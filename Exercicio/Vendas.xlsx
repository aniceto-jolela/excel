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"/>
    </mc:Choice>
  </mc:AlternateContent>
  <bookViews>
    <workbookView xWindow="0" yWindow="0" windowWidth="20490" windowHeight="10500"/>
  </bookViews>
  <sheets>
    <sheet name="Planilha4" sheetId="4" r:id="rId1"/>
    <sheet name="Planilha1" sheetId="1" r:id="rId2"/>
    <sheet name="Planilha2" sheetId="2" r:id="rId3"/>
  </sheets>
  <calcPr calcId="162913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I6" i="2" s="1"/>
  <c r="H6" i="2"/>
  <c r="F6" i="2"/>
  <c r="K7" i="1"/>
  <c r="K8" i="1"/>
  <c r="K9" i="1"/>
  <c r="K10" i="1"/>
  <c r="K11" i="1"/>
  <c r="K12" i="1"/>
  <c r="K13" i="1"/>
  <c r="K14" i="1"/>
  <c r="K6" i="1"/>
  <c r="J7" i="1"/>
  <c r="J8" i="1"/>
  <c r="J9" i="1"/>
  <c r="J10" i="1"/>
  <c r="J11" i="1"/>
  <c r="J12" i="1"/>
  <c r="J13" i="1"/>
  <c r="J14" i="1"/>
  <c r="J6" i="1"/>
  <c r="I7" i="1"/>
  <c r="I8" i="1"/>
  <c r="I9" i="1"/>
  <c r="I10" i="1"/>
  <c r="I11" i="1"/>
  <c r="I12" i="1"/>
  <c r="I13" i="1"/>
  <c r="I14" i="1"/>
  <c r="I6" i="1"/>
</calcChain>
</file>

<file path=xl/sharedStrings.xml><?xml version="1.0" encoding="utf-8"?>
<sst xmlns="http://schemas.openxmlformats.org/spreadsheetml/2006/main" count="37" uniqueCount="36">
  <si>
    <t>DATA</t>
  </si>
  <si>
    <t>DESIGNAÇÃO</t>
  </si>
  <si>
    <t>ENTRADA</t>
  </si>
  <si>
    <t>EXISTENCIA</t>
  </si>
  <si>
    <t xml:space="preserve">REFERÊNCIA </t>
  </si>
  <si>
    <t>SAÍDA</t>
  </si>
  <si>
    <t>Coca Cola</t>
  </si>
  <si>
    <t>Fanta</t>
  </si>
  <si>
    <t>Booster</t>
  </si>
  <si>
    <t>Compal</t>
  </si>
  <si>
    <t>Sagres</t>
  </si>
  <si>
    <t>Sminorf</t>
  </si>
  <si>
    <t>Eka</t>
  </si>
  <si>
    <t>Cuca</t>
  </si>
  <si>
    <t>Noc al</t>
  </si>
  <si>
    <t>PREÇO UNITÁRIO</t>
  </si>
  <si>
    <t>NOME</t>
  </si>
  <si>
    <t>TOTAL ENTRADA</t>
  </si>
  <si>
    <t>TOTAL SAÍDA</t>
  </si>
  <si>
    <t>FALTA</t>
  </si>
  <si>
    <t>Liana</t>
  </si>
  <si>
    <t>ADIANTAMENTO</t>
  </si>
  <si>
    <t>SALÁRIO</t>
  </si>
  <si>
    <t>LISTA DE FUNCIONÁRIOS</t>
  </si>
  <si>
    <t>CADA FALTA</t>
  </si>
  <si>
    <t xml:space="preserve">TOTAL DAS FALTAS </t>
  </si>
  <si>
    <t>SALARIO FINAL</t>
  </si>
  <si>
    <t>DISCONTO FALTA</t>
  </si>
  <si>
    <t>DISCONTO ADIANTAMENTO</t>
  </si>
  <si>
    <t>DATA2</t>
  </si>
  <si>
    <t>Soma de TOTAL SAÍDA</t>
  </si>
  <si>
    <t>Soma de TOTAL ENTRADA</t>
  </si>
  <si>
    <t>Rótulos de Linha</t>
  </si>
  <si>
    <t>Total Geral</t>
  </si>
  <si>
    <t>(Vários itens)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</si>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</sst>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[$AOA]\ #,##0.00"/>
    <numFmt numFmtId="168" formatCode="_-[$AOA]\ * #,##0.00_-;\-[$AOA]\ * #,##0.00_-;_-[$AOA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5" fontId="0" fillId="0" borderId="1" xfId="1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0" fillId="0" borderId="2" xfId="0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Fill="1" applyBorder="1"/>
    <xf numFmtId="0" fontId="3" fillId="0" borderId="6" xfId="0" applyFont="1" applyFill="1" applyBorder="1"/>
    <xf numFmtId="0" fontId="0" fillId="0" borderId="7" xfId="0" applyBorder="1"/>
    <xf numFmtId="165" fontId="0" fillId="0" borderId="8" xfId="0" applyNumberFormat="1" applyBorder="1"/>
    <xf numFmtId="0" fontId="0" fillId="0" borderId="8" xfId="0" applyBorder="1"/>
    <xf numFmtId="168" fontId="0" fillId="0" borderId="8" xfId="0" applyNumberFormat="1" applyBorder="1"/>
    <xf numFmtId="168" fontId="0" fillId="0" borderId="9" xfId="0" applyNumberFormat="1" applyBorder="1"/>
    <xf numFmtId="0" fontId="4" fillId="0" borderId="0" xfId="0" applyFont="1" applyAlignment="1">
      <alignment horizontal="center"/>
    </xf>
    <xf numFmtId="165" fontId="0" fillId="0" borderId="3" xfId="0" applyNumberFormat="1" applyBorder="1"/>
    <xf numFmtId="14" fontId="0" fillId="0" borderId="8" xfId="0" applyNumberFormat="1" applyBorder="1"/>
    <xf numFmtId="165" fontId="0" fillId="0" borderId="8" xfId="1" applyNumberFormat="1" applyFont="1" applyBorder="1"/>
    <xf numFmtId="165" fontId="0" fillId="0" borderId="9" xfId="0" applyNumberFormat="1" applyBorder="1"/>
    <xf numFmtId="0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</dxf>
    <dxf>
      <numFmt numFmtId="165" formatCode="[$AOA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-[$AOA]\ * #,##0.00_-;\-[$AOA]\ * #,##0.00_-;_-[$AOA]\ * &quot;-&quot;??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8" formatCode="_-[$AOA]\ * #,##0.00_-;\-[$AOA]\ * #,##0.00_-;_-[$AOA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8" formatCode="_-[$AOA]\ * #,##0.00_-;\-[$AOA]\ * #,##0.00_-;_-[$AOA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[Vendas.xlsx]Planilha4!Tabela dinâmica2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Soma de TOTAL ENTRADA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Planilha4!$A$4:$A$7</c:f>
              <c:strCache>
                <c:ptCount val="3"/>
                <c:pt idx="0">
                  <c:v>AOA 100,00</c:v>
                </c:pt>
                <c:pt idx="1">
                  <c:v>AOA 2.000,00</c:v>
                </c:pt>
                <c:pt idx="2">
                  <c:v>AOA 2.500,00</c:v>
                </c:pt>
              </c:strCache>
            </c:strRef>
          </c:cat>
          <c:val>
            <c:numRef>
              <c:f>Planilha4!$B$4:$B$7</c:f>
              <c:numCache>
                <c:formatCode>General</c:formatCode>
                <c:ptCount val="3"/>
                <c:pt idx="0">
                  <c:v>1000</c:v>
                </c:pt>
                <c:pt idx="1">
                  <c:v>30000</c:v>
                </c:pt>
                <c:pt idx="2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C-4507-AD64-915149204ADA}"/>
            </c:ext>
          </c:extLst>
        </c:ser>
        <c:ser>
          <c:idx val="1"/>
          <c:order val="1"/>
          <c:tx>
            <c:strRef>
              <c:f>Planilha4!$C$3</c:f>
              <c:strCache>
                <c:ptCount val="1"/>
                <c:pt idx="0">
                  <c:v>Soma de TOTAL SAÍDA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Planilha4!$A$4:$A$7</c:f>
              <c:strCache>
                <c:ptCount val="3"/>
                <c:pt idx="0">
                  <c:v>AOA 100,00</c:v>
                </c:pt>
                <c:pt idx="1">
                  <c:v>AOA 2.000,00</c:v>
                </c:pt>
                <c:pt idx="2">
                  <c:v>AOA 2.500,00</c:v>
                </c:pt>
              </c:strCache>
            </c:strRef>
          </c:cat>
          <c:val>
            <c:numRef>
              <c:f>Planilha4!$C$4:$C$7</c:f>
              <c:numCache>
                <c:formatCode>General</c:formatCode>
                <c:ptCount val="3"/>
                <c:pt idx="0">
                  <c:v>800</c:v>
                </c:pt>
                <c:pt idx="1">
                  <c:v>16000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C-4507-AD64-915149204A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45599872"/>
        <c:axId val="1045600288"/>
      </c:barChart>
      <c:catAx>
        <c:axId val="104559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600288"/>
        <c:crosses val="autoZero"/>
        <c:auto val="1"/>
        <c:lblAlgn val="ctr"/>
        <c:lblOffset val="100"/>
        <c:noMultiLvlLbl val="0"/>
      </c:catAx>
      <c:valAx>
        <c:axId val="104560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559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8</xdr:row>
      <xdr:rowOff>171450</xdr:rowOff>
    </xdr:from>
    <xdr:to>
      <xdr:col>8</xdr:col>
      <xdr:colOff>1071562</xdr:colOff>
      <xdr:row>23</xdr:row>
      <xdr:rowOff>138112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ther" refreshedDate="45955.537012499997" createdVersion="6" refreshedVersion="6" minRefreshableVersion="3" recordCount="9">
  <cacheSource type="worksheet">
    <worksheetSource name="Tabela2"/>
  </cacheSource>
  <cacheFields count="10">
    <cacheField name="REFERÊNCIA " numFmtId="0">
      <sharedItems containsSemiMixedTypes="0" containsString="0" containsNumber="1" containsInteger="1" minValue="1" maxValue="33"/>
    </cacheField>
    <cacheField name="DESIGNAÇÃO" numFmtId="0">
      <sharedItems count="9">
        <s v="Coca Cola"/>
        <s v="Fanta"/>
        <s v="Booster"/>
        <s v="Compal"/>
        <s v="Sagres"/>
        <s v="Sminorf"/>
        <s v="Eka"/>
        <s v="Cuca"/>
        <s v="Noc al"/>
      </sharedItems>
    </cacheField>
    <cacheField name="DATA" numFmtId="14">
      <sharedItems containsSemiMixedTypes="0" containsNonDate="0" containsDate="1" containsString="0" minDate="2022-02-01T00:00:00" maxDate="2022-02-10T00:00:00"/>
    </cacheField>
    <cacheField name="ENTRADA" numFmtId="0">
      <sharedItems containsSemiMixedTypes="0" containsString="0" containsNumber="1" containsInteger="1" minValue="5" maxValue="40"/>
    </cacheField>
    <cacheField name="PREÇO UNITÁRIO" numFmtId="165">
      <sharedItems containsSemiMixedTypes="0" containsString="0" containsNumber="1" containsInteger="1" minValue="100" maxValue="6300" count="8">
        <n v="1000"/>
        <n v="500"/>
        <n v="2000"/>
        <n v="6300"/>
        <n v="350"/>
        <n v="100"/>
        <n v="2500"/>
        <n v="300"/>
      </sharedItems>
    </cacheField>
    <cacheField name="SAÍDA" numFmtId="0">
      <sharedItems containsSemiMixedTypes="0" containsString="0" containsNumber="1" containsInteger="1" minValue="1" maxValue="8" count="6">
        <n v="3"/>
        <n v="2"/>
        <n v="8"/>
        <n v="4"/>
        <n v="1"/>
        <n v="7"/>
      </sharedItems>
    </cacheField>
    <cacheField name="DATA2" numFmtId="14">
      <sharedItems containsSemiMixedTypes="0" containsNonDate="0" containsDate="1" containsString="0" minDate="2022-02-01T00:00:00" maxDate="2022-02-10T00:00:00"/>
    </cacheField>
    <cacheField name="EXISTENCIA" numFmtId="0">
      <sharedItems containsSemiMixedTypes="0" containsString="0" containsNumber="1" containsInteger="1" minValue="0" maxValue="36" count="8">
        <n v="17"/>
        <n v="8"/>
        <n v="7"/>
        <n v="22"/>
        <n v="36"/>
        <n v="2"/>
        <n v="4"/>
        <n v="0"/>
      </sharedItems>
    </cacheField>
    <cacheField name="TOTAL SAÍDA" numFmtId="165">
      <sharedItems containsSemiMixedTypes="0" containsString="0" containsNumber="1" containsInteger="1" minValue="600" maxValue="50400"/>
    </cacheField>
    <cacheField name="TOTAL ENTRADA" numFmtId="165">
      <sharedItems containsSemiMixedTypes="0" containsString="0" containsNumber="1" containsInteger="1" minValue="700" maxValue="18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n v="12"/>
    <x v="0"/>
    <d v="2022-02-01T00:00:00"/>
    <n v="20"/>
    <x v="0"/>
    <x v="0"/>
    <d v="2022-02-01T00:00:00"/>
    <x v="0"/>
    <n v="3000"/>
    <n v="20000"/>
  </r>
  <r>
    <n v="33"/>
    <x v="1"/>
    <d v="2022-02-02T00:00:00"/>
    <n v="10"/>
    <x v="1"/>
    <x v="1"/>
    <d v="2022-02-02T00:00:00"/>
    <x v="1"/>
    <n v="1000"/>
    <n v="5000"/>
  </r>
  <r>
    <n v="23"/>
    <x v="2"/>
    <d v="2022-02-03T00:00:00"/>
    <n v="15"/>
    <x v="2"/>
    <x v="2"/>
    <d v="2022-02-03T00:00:00"/>
    <x v="2"/>
    <n v="16000"/>
    <n v="30000"/>
  </r>
  <r>
    <n v="1"/>
    <x v="3"/>
    <d v="2022-02-04T00:00:00"/>
    <n v="30"/>
    <x v="3"/>
    <x v="2"/>
    <d v="2022-02-04T00:00:00"/>
    <x v="3"/>
    <n v="50400"/>
    <n v="189000"/>
  </r>
  <r>
    <n v="4"/>
    <x v="4"/>
    <d v="2022-02-05T00:00:00"/>
    <n v="40"/>
    <x v="4"/>
    <x v="3"/>
    <d v="2022-02-05T00:00:00"/>
    <x v="4"/>
    <n v="1400"/>
    <n v="14000"/>
  </r>
  <r>
    <n v="6"/>
    <x v="5"/>
    <d v="2022-02-06T00:00:00"/>
    <n v="10"/>
    <x v="5"/>
    <x v="2"/>
    <d v="2022-02-06T00:00:00"/>
    <x v="5"/>
    <n v="800"/>
    <n v="1000"/>
  </r>
  <r>
    <n v="7"/>
    <x v="6"/>
    <d v="2022-02-07T00:00:00"/>
    <n v="5"/>
    <x v="6"/>
    <x v="4"/>
    <d v="2022-02-07T00:00:00"/>
    <x v="6"/>
    <n v="2500"/>
    <n v="12500"/>
  </r>
  <r>
    <n v="10"/>
    <x v="7"/>
    <d v="2022-02-08T00:00:00"/>
    <n v="6"/>
    <x v="7"/>
    <x v="1"/>
    <d v="2022-02-08T00:00:00"/>
    <x v="6"/>
    <n v="600"/>
    <n v="1800"/>
  </r>
  <r>
    <n v="11"/>
    <x v="8"/>
    <d v="2022-02-09T00:00:00"/>
    <n v="7"/>
    <x v="5"/>
    <x v="5"/>
    <d v="2022-02-09T00:00:00"/>
    <x v="7"/>
    <n v="700"/>
    <n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C7" firstHeaderRow="0" firstDataRow="1" firstDataCol="1" rowPageCount="1" colPageCount="1"/>
  <pivotFields count="10">
    <pivotField showAll="0"/>
    <pivotField axis="axisPage" multipleItemSelectionAllowed="1" showAll="0">
      <items count="10">
        <item x="2"/>
        <item h="1" x="0"/>
        <item h="1" x="3"/>
        <item h="1" x="7"/>
        <item x="6"/>
        <item h="1" x="1"/>
        <item h="1" x="8"/>
        <item h="1" x="4"/>
        <item x="5"/>
        <item t="default"/>
      </items>
    </pivotField>
    <pivotField numFmtId="14" showAll="0"/>
    <pivotField showAll="0"/>
    <pivotField axis="axisRow" numFmtId="165" showAll="0">
      <items count="9">
        <item x="5"/>
        <item x="7"/>
        <item x="4"/>
        <item x="1"/>
        <item x="0"/>
        <item x="2"/>
        <item x="6"/>
        <item x="3"/>
        <item t="default"/>
      </items>
    </pivotField>
    <pivotField showAll="0">
      <items count="7">
        <item x="4"/>
        <item x="1"/>
        <item x="0"/>
        <item x="3"/>
        <item x="5"/>
        <item x="2"/>
        <item t="default"/>
      </items>
    </pivotField>
    <pivotField numFmtId="14" showAll="0"/>
    <pivotField showAll="0">
      <items count="9">
        <item x="7"/>
        <item x="5"/>
        <item x="6"/>
        <item x="2"/>
        <item x="1"/>
        <item x="0"/>
        <item x="3"/>
        <item x="4"/>
        <item t="default"/>
      </items>
    </pivotField>
    <pivotField dataField="1" numFmtId="165" showAll="0"/>
    <pivotField dataField="1" numFmtId="165" showAll="0"/>
  </pivotFields>
  <rowFields count="1">
    <field x="4"/>
  </rowFields>
  <rowItems count="4">
    <i>
      <x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TOTAL ENTRADA" fld="9" baseField="0" baseItem="0"/>
    <dataField name="Soma de TOTAL SAÍDA" fld="8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ela2" displayName="Tabela2" ref="B5:K14" totalsRowShown="0" headerRowDxfId="14" headerRowBorderDxfId="12" tableBorderDxfId="13" totalsRowBorderDxfId="11">
  <autoFilter ref="B5:K14"/>
  <tableColumns count="10">
    <tableColumn id="1" name="REFERÊNCIA " dataDxfId="10"/>
    <tableColumn id="2" name="DESIGNAÇÃO" dataDxfId="9"/>
    <tableColumn id="3" name="DATA" dataDxfId="8"/>
    <tableColumn id="4" name="ENTRADA" dataDxfId="7"/>
    <tableColumn id="5" name="PREÇO UNITÁRIO" dataDxfId="6" dataCellStyle="Porcentagem"/>
    <tableColumn id="6" name="SAÍDA" dataDxfId="5"/>
    <tableColumn id="7" name="DATA2" dataDxfId="4"/>
    <tableColumn id="8" name="EXISTENCIA" dataDxfId="3">
      <calculatedColumnFormula>E6-G6</calculatedColumnFormula>
    </tableColumn>
    <tableColumn id="9" name="TOTAL SAÍDA" dataDxfId="2">
      <calculatedColumnFormula>F6*G6</calculatedColumnFormula>
    </tableColumn>
    <tableColumn id="10" name="TOTAL ENTRADA" dataDxfId="1">
      <calculatedColumnFormula>F6*E6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B5:I6" totalsRowShown="0" headerRowDxfId="15" headerRowBorderDxfId="25" tableBorderDxfId="26" totalsRowBorderDxfId="24">
  <autoFilter ref="B5:I6"/>
  <tableColumns count="8">
    <tableColumn id="1" name="NOME" dataDxfId="23"/>
    <tableColumn id="2" name="SALÁRIO" dataDxfId="22"/>
    <tableColumn id="3" name="FALTA" dataDxfId="21"/>
    <tableColumn id="4" name="ADIANTAMENTO" dataDxfId="20"/>
    <tableColumn id="5" name="TOTAL DAS FALTAS " dataDxfId="19">
      <calculatedColumnFormula>J2*D6</calculatedColumnFormula>
    </tableColumn>
    <tableColumn id="6" name="DISCONTO FALTA" dataDxfId="18">
      <calculatedColumnFormula>C6-Tabela1[[TOTAL DAS FALTAS ]]</calculatedColumnFormula>
    </tableColumn>
    <tableColumn id="7" name="DISCONTO ADIANTAMENTO" dataDxfId="17">
      <calculatedColumnFormula>C6-E6</calculatedColumnFormula>
    </tableColumn>
    <tableColumn id="8" name="SALARIO FINAL" dataDxfId="16">
      <calculatedColumnFormula>C6-(G6+H6)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H4" sqref="H4"/>
    </sheetView>
  </sheetViews>
  <sheetFormatPr defaultRowHeight="15" x14ac:dyDescent="0.25"/>
  <cols>
    <col min="1" max="1" width="18" customWidth="1"/>
    <col min="2" max="2" width="23.85546875" customWidth="1"/>
    <col min="3" max="3" width="20.7109375" bestFit="1" customWidth="1"/>
    <col min="4" max="4" width="6" bestFit="1" customWidth="1"/>
    <col min="5" max="5" width="20.7109375" bestFit="1" customWidth="1"/>
    <col min="6" max="6" width="5" bestFit="1" customWidth="1"/>
    <col min="7" max="7" width="6" bestFit="1" customWidth="1"/>
    <col min="8" max="8" width="28.85546875" bestFit="1" customWidth="1"/>
    <col min="9" max="9" width="25.85546875" bestFit="1" customWidth="1"/>
  </cols>
  <sheetData>
    <row r="1" spans="1:3" x14ac:dyDescent="0.25">
      <c r="A1" s="23" t="s">
        <v>1</v>
      </c>
      <c r="B1" t="s">
        <v>34</v>
      </c>
    </row>
    <row r="3" spans="1:3" x14ac:dyDescent="0.25">
      <c r="A3" s="23" t="s">
        <v>32</v>
      </c>
      <c r="B3" t="s">
        <v>31</v>
      </c>
      <c r="C3" t="s">
        <v>30</v>
      </c>
    </row>
    <row r="4" spans="1:3" x14ac:dyDescent="0.25">
      <c r="A4" s="24">
        <v>100</v>
      </c>
      <c r="B4" s="22">
        <v>1000</v>
      </c>
      <c r="C4" s="22">
        <v>800</v>
      </c>
    </row>
    <row r="5" spans="1:3" x14ac:dyDescent="0.25">
      <c r="A5" s="24">
        <v>2000</v>
      </c>
      <c r="B5" s="22">
        <v>30000</v>
      </c>
      <c r="C5" s="22">
        <v>16000</v>
      </c>
    </row>
    <row r="6" spans="1:3" x14ac:dyDescent="0.25">
      <c r="A6" s="24">
        <v>2500</v>
      </c>
      <c r="B6" s="22">
        <v>12500</v>
      </c>
      <c r="C6" s="22">
        <v>2500</v>
      </c>
    </row>
    <row r="7" spans="1:3" x14ac:dyDescent="0.25">
      <c r="A7" s="24" t="s">
        <v>33</v>
      </c>
      <c r="B7" s="22">
        <v>43500</v>
      </c>
      <c r="C7" s="22">
        <v>19300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4"/>
  <sheetViews>
    <sheetView workbookViewId="0">
      <selection activeCell="G3" sqref="G3"/>
    </sheetView>
  </sheetViews>
  <sheetFormatPr defaultRowHeight="15" x14ac:dyDescent="0.25"/>
  <cols>
    <col min="2" max="2" width="17.7109375" customWidth="1"/>
    <col min="3" max="3" width="18.42578125" customWidth="1"/>
    <col min="4" max="4" width="13.85546875" customWidth="1"/>
    <col min="5" max="5" width="16" bestFit="1" customWidth="1"/>
    <col min="6" max="6" width="22.7109375" customWidth="1"/>
    <col min="7" max="7" width="12.42578125" bestFit="1" customWidth="1"/>
    <col min="8" max="8" width="14.42578125" bestFit="1" customWidth="1"/>
    <col min="9" max="9" width="16.140625" customWidth="1"/>
    <col min="10" max="10" width="20.5703125" bestFit="1" customWidth="1"/>
    <col min="11" max="11" width="22.140625" customWidth="1"/>
  </cols>
  <sheetData>
    <row r="3" spans="2:11" ht="26.25" x14ac:dyDescent="0.4">
      <c r="E3" s="25" t="s">
        <v>35</v>
      </c>
      <c r="F3" s="25"/>
    </row>
    <row r="5" spans="2:11" ht="18.75" x14ac:dyDescent="0.3">
      <c r="B5" s="8" t="s">
        <v>4</v>
      </c>
      <c r="C5" s="9" t="s">
        <v>1</v>
      </c>
      <c r="D5" s="9" t="s">
        <v>0</v>
      </c>
      <c r="E5" s="9" t="s">
        <v>2</v>
      </c>
      <c r="F5" s="9" t="s">
        <v>15</v>
      </c>
      <c r="G5" s="9" t="s">
        <v>5</v>
      </c>
      <c r="H5" s="9" t="s">
        <v>29</v>
      </c>
      <c r="I5" s="9" t="s">
        <v>3</v>
      </c>
      <c r="J5" s="10" t="s">
        <v>18</v>
      </c>
      <c r="K5" s="11" t="s">
        <v>17</v>
      </c>
    </row>
    <row r="6" spans="2:11" x14ac:dyDescent="0.25">
      <c r="B6" s="7">
        <v>12</v>
      </c>
      <c r="C6" s="1" t="s">
        <v>6</v>
      </c>
      <c r="D6" s="2">
        <v>44593</v>
      </c>
      <c r="E6" s="1">
        <v>20</v>
      </c>
      <c r="F6" s="4">
        <v>1000</v>
      </c>
      <c r="G6" s="1">
        <v>3</v>
      </c>
      <c r="H6" s="2">
        <v>44593</v>
      </c>
      <c r="I6" s="1">
        <f>E6-G6</f>
        <v>17</v>
      </c>
      <c r="J6" s="3">
        <f>F6*G6</f>
        <v>3000</v>
      </c>
      <c r="K6" s="18">
        <f>F6*E6</f>
        <v>20000</v>
      </c>
    </row>
    <row r="7" spans="2:11" x14ac:dyDescent="0.25">
      <c r="B7" s="7">
        <v>33</v>
      </c>
      <c r="C7" s="1" t="s">
        <v>7</v>
      </c>
      <c r="D7" s="2">
        <v>44594</v>
      </c>
      <c r="E7" s="1">
        <v>10</v>
      </c>
      <c r="F7" s="4">
        <v>500</v>
      </c>
      <c r="G7" s="1">
        <v>2</v>
      </c>
      <c r="H7" s="2">
        <v>44594</v>
      </c>
      <c r="I7" s="1">
        <f>E7-G7</f>
        <v>8</v>
      </c>
      <c r="J7" s="3">
        <f t="shared" ref="J7:J14" si="0">F7*G7</f>
        <v>1000</v>
      </c>
      <c r="K7" s="18">
        <f t="shared" ref="K7:K14" si="1">F7*E7</f>
        <v>5000</v>
      </c>
    </row>
    <row r="8" spans="2:11" x14ac:dyDescent="0.25">
      <c r="B8" s="7">
        <v>23</v>
      </c>
      <c r="C8" s="1" t="s">
        <v>8</v>
      </c>
      <c r="D8" s="2">
        <v>44595</v>
      </c>
      <c r="E8" s="1">
        <v>15</v>
      </c>
      <c r="F8" s="4">
        <v>2000</v>
      </c>
      <c r="G8" s="1">
        <v>8</v>
      </c>
      <c r="H8" s="2">
        <v>44595</v>
      </c>
      <c r="I8" s="1">
        <f>E8-G8</f>
        <v>7</v>
      </c>
      <c r="J8" s="3">
        <f t="shared" si="0"/>
        <v>16000</v>
      </c>
      <c r="K8" s="18">
        <f t="shared" si="1"/>
        <v>30000</v>
      </c>
    </row>
    <row r="9" spans="2:11" x14ac:dyDescent="0.25">
      <c r="B9" s="7">
        <v>1</v>
      </c>
      <c r="C9" s="1" t="s">
        <v>9</v>
      </c>
      <c r="D9" s="2">
        <v>44596</v>
      </c>
      <c r="E9" s="1">
        <v>30</v>
      </c>
      <c r="F9" s="4">
        <v>6300</v>
      </c>
      <c r="G9" s="1">
        <v>8</v>
      </c>
      <c r="H9" s="2">
        <v>44596</v>
      </c>
      <c r="I9" s="1">
        <f>E9-G9</f>
        <v>22</v>
      </c>
      <c r="J9" s="3">
        <f t="shared" si="0"/>
        <v>50400</v>
      </c>
      <c r="K9" s="18">
        <f t="shared" si="1"/>
        <v>189000</v>
      </c>
    </row>
    <row r="10" spans="2:11" x14ac:dyDescent="0.25">
      <c r="B10" s="7">
        <v>4</v>
      </c>
      <c r="C10" s="1" t="s">
        <v>10</v>
      </c>
      <c r="D10" s="2">
        <v>44597</v>
      </c>
      <c r="E10" s="1">
        <v>40</v>
      </c>
      <c r="F10" s="4">
        <v>350</v>
      </c>
      <c r="G10" s="1">
        <v>4</v>
      </c>
      <c r="H10" s="2">
        <v>44597</v>
      </c>
      <c r="I10" s="1">
        <f>E10-G10</f>
        <v>36</v>
      </c>
      <c r="J10" s="3">
        <f t="shared" si="0"/>
        <v>1400</v>
      </c>
      <c r="K10" s="18">
        <f t="shared" si="1"/>
        <v>14000</v>
      </c>
    </row>
    <row r="11" spans="2:11" x14ac:dyDescent="0.25">
      <c r="B11" s="7">
        <v>6</v>
      </c>
      <c r="C11" s="1" t="s">
        <v>11</v>
      </c>
      <c r="D11" s="2">
        <v>44598</v>
      </c>
      <c r="E11" s="1">
        <v>10</v>
      </c>
      <c r="F11" s="4">
        <v>100</v>
      </c>
      <c r="G11" s="1">
        <v>8</v>
      </c>
      <c r="H11" s="2">
        <v>44598</v>
      </c>
      <c r="I11" s="1">
        <f>E11-G11</f>
        <v>2</v>
      </c>
      <c r="J11" s="3">
        <f t="shared" si="0"/>
        <v>800</v>
      </c>
      <c r="K11" s="18">
        <f t="shared" si="1"/>
        <v>1000</v>
      </c>
    </row>
    <row r="12" spans="2:11" x14ac:dyDescent="0.25">
      <c r="B12" s="7">
        <v>7</v>
      </c>
      <c r="C12" s="1" t="s">
        <v>12</v>
      </c>
      <c r="D12" s="2">
        <v>44599</v>
      </c>
      <c r="E12" s="1">
        <v>5</v>
      </c>
      <c r="F12" s="4">
        <v>2500</v>
      </c>
      <c r="G12" s="1">
        <v>1</v>
      </c>
      <c r="H12" s="2">
        <v>44599</v>
      </c>
      <c r="I12" s="1">
        <f>E12-G12</f>
        <v>4</v>
      </c>
      <c r="J12" s="3">
        <f t="shared" si="0"/>
        <v>2500</v>
      </c>
      <c r="K12" s="18">
        <f t="shared" si="1"/>
        <v>12500</v>
      </c>
    </row>
    <row r="13" spans="2:11" x14ac:dyDescent="0.25">
      <c r="B13" s="7">
        <v>10</v>
      </c>
      <c r="C13" s="1" t="s">
        <v>13</v>
      </c>
      <c r="D13" s="2">
        <v>44600</v>
      </c>
      <c r="E13" s="1">
        <v>6</v>
      </c>
      <c r="F13" s="4">
        <v>300</v>
      </c>
      <c r="G13" s="1">
        <v>2</v>
      </c>
      <c r="H13" s="2">
        <v>44600</v>
      </c>
      <c r="I13" s="1">
        <f>E13-G13</f>
        <v>4</v>
      </c>
      <c r="J13" s="3">
        <f t="shared" si="0"/>
        <v>600</v>
      </c>
      <c r="K13" s="18">
        <f t="shared" si="1"/>
        <v>1800</v>
      </c>
    </row>
    <row r="14" spans="2:11" x14ac:dyDescent="0.25">
      <c r="B14" s="12">
        <v>11</v>
      </c>
      <c r="C14" s="14" t="s">
        <v>14</v>
      </c>
      <c r="D14" s="19">
        <v>44601</v>
      </c>
      <c r="E14" s="14">
        <v>7</v>
      </c>
      <c r="F14" s="20">
        <v>100</v>
      </c>
      <c r="G14" s="14">
        <v>7</v>
      </c>
      <c r="H14" s="19">
        <v>44601</v>
      </c>
      <c r="I14" s="14">
        <f>E14-G14</f>
        <v>0</v>
      </c>
      <c r="J14" s="13">
        <f t="shared" si="0"/>
        <v>700</v>
      </c>
      <c r="K14" s="21">
        <f t="shared" si="1"/>
        <v>700</v>
      </c>
    </row>
  </sheetData>
  <mergeCells count="1">
    <mergeCell ref="E3:F3"/>
  </mergeCells>
  <conditionalFormatting sqref="K6">
    <cfRule type="cellIs" dxfId="0" priority="1" operator="greaterThan">
      <formula>"AOA 20.000,00"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workbookViewId="0">
      <selection activeCell="G6" sqref="G6"/>
    </sheetView>
  </sheetViews>
  <sheetFormatPr defaultRowHeight="15" x14ac:dyDescent="0.25"/>
  <cols>
    <col min="2" max="3" width="14.7109375" bestFit="1" customWidth="1"/>
    <col min="4" max="4" width="12" customWidth="1"/>
    <col min="5" max="5" width="23.85546875" bestFit="1" customWidth="1"/>
    <col min="6" max="6" width="25.28515625" customWidth="1"/>
    <col min="7" max="7" width="23.85546875" bestFit="1" customWidth="1"/>
    <col min="8" max="8" width="36.42578125" bestFit="1" customWidth="1"/>
    <col min="9" max="9" width="21.140625" bestFit="1" customWidth="1"/>
    <col min="11" max="11" width="11.85546875" bestFit="1" customWidth="1"/>
  </cols>
  <sheetData>
    <row r="2" spans="2:10" x14ac:dyDescent="0.25">
      <c r="I2" s="5" t="s">
        <v>24</v>
      </c>
      <c r="J2" s="6">
        <v>5000</v>
      </c>
    </row>
    <row r="3" spans="2:10" ht="23.25" x14ac:dyDescent="0.35">
      <c r="D3" s="17" t="s">
        <v>23</v>
      </c>
      <c r="E3" s="17"/>
      <c r="F3" s="17"/>
    </row>
    <row r="5" spans="2:10" ht="18.75" x14ac:dyDescent="0.3">
      <c r="B5" s="8" t="s">
        <v>16</v>
      </c>
      <c r="C5" s="9" t="s">
        <v>22</v>
      </c>
      <c r="D5" s="9" t="s">
        <v>19</v>
      </c>
      <c r="E5" s="9" t="s">
        <v>21</v>
      </c>
      <c r="F5" s="10" t="s">
        <v>25</v>
      </c>
      <c r="G5" s="10" t="s">
        <v>27</v>
      </c>
      <c r="H5" s="10" t="s">
        <v>28</v>
      </c>
      <c r="I5" s="11" t="s">
        <v>26</v>
      </c>
    </row>
    <row r="6" spans="2:10" x14ac:dyDescent="0.25">
      <c r="B6" s="12" t="s">
        <v>20</v>
      </c>
      <c r="C6" s="13">
        <v>200000</v>
      </c>
      <c r="D6" s="14">
        <v>2</v>
      </c>
      <c r="E6" s="15">
        <v>30000</v>
      </c>
      <c r="F6" s="15">
        <f>J2*D6</f>
        <v>10000</v>
      </c>
      <c r="G6" s="13">
        <f>C6-Tabela1[[TOTAL DAS FALTAS ]]</f>
        <v>190000</v>
      </c>
      <c r="H6" s="13">
        <f>C6-E6</f>
        <v>170000</v>
      </c>
      <c r="I6" s="16">
        <f>C6-(G6+H6)</f>
        <v>-160000</v>
      </c>
    </row>
  </sheetData>
  <mergeCells count="1">
    <mergeCell ref="D3:F3"/>
  </mergeCells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Planilha4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2025-10-25T09:46:45Z</dcterms:created>
  <dcterms:modified xsi:type="dcterms:W3CDTF">2025-10-25T12:19:58Z</dcterms:modified>
</cp:coreProperties>
</file>