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"/>
    </mc:Choice>
  </mc:AlternateContent>
  <bookViews>
    <workbookView xWindow="0" yWindow="0" windowWidth="20490" windowHeight="8205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5" l="1"/>
  <c r="L7" i="5"/>
  <c r="L6" i="5"/>
  <c r="L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7" i="5"/>
  <c r="I6" i="5"/>
  <c r="I5" i="5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7" i="4"/>
  <c r="B8" i="4" s="1"/>
  <c r="B9" i="4" s="1"/>
  <c r="B10" i="4" s="1"/>
  <c r="B11" i="4" s="1"/>
</calcChain>
</file>

<file path=xl/sharedStrings.xml><?xml version="1.0" encoding="utf-8"?>
<sst xmlns="http://schemas.openxmlformats.org/spreadsheetml/2006/main" count="1111" uniqueCount="100">
  <si>
    <t>Altere os nomes de todas as planilhas na seguinte ordem:</t>
  </si>
  <si>
    <t>1- Primeira planilha, digite o seu nome completo</t>
  </si>
  <si>
    <t xml:space="preserve">2- Segunda planilha, Funções básicas </t>
  </si>
  <si>
    <t>3- Terceira Planilha, Analise De Dados</t>
  </si>
  <si>
    <t>4- Quarta Planilha, Gráficos</t>
  </si>
  <si>
    <t xml:space="preserve">5- Quinta Planilha, Relatório </t>
  </si>
  <si>
    <t>6- Sexta Planilha, Rascunho</t>
  </si>
  <si>
    <t>Analise De Dados</t>
  </si>
  <si>
    <t>Gráficos</t>
  </si>
  <si>
    <t>Relatório</t>
  </si>
  <si>
    <t>Rascunho</t>
  </si>
  <si>
    <t>Fórmulas e Funções Básicas</t>
  </si>
  <si>
    <t xml:space="preserve">2- Inserir 15 itens de despesas (ex: Alimentação, Transporte, Internet, etc.).  </t>
  </si>
  <si>
    <t>3- Calcular o Total das despesas</t>
  </si>
  <si>
    <t>4- Calcular a Média das despesas</t>
  </si>
  <si>
    <t>5- Identificar maior e menor despesa</t>
  </si>
  <si>
    <r>
      <t xml:space="preserve">1- Cria uma tabela 'Despesas Pessoais' com </t>
    </r>
    <r>
      <rPr>
        <b/>
        <sz val="11"/>
        <color theme="1"/>
        <rFont val="Calibri"/>
        <family val="2"/>
        <scheme val="minor"/>
      </rPr>
      <t>Item, Valor e Data</t>
    </r>
    <r>
      <rPr>
        <sz val="11"/>
        <color theme="1"/>
        <rFont val="Calibri"/>
        <family val="2"/>
        <scheme val="minor"/>
      </rPr>
      <t>.</t>
    </r>
  </si>
  <si>
    <t>Data</t>
  </si>
  <si>
    <t>Categoria</t>
  </si>
  <si>
    <t>Produto</t>
  </si>
  <si>
    <t>Quantidade</t>
  </si>
  <si>
    <t>Preço Unitário (Kz)</t>
  </si>
  <si>
    <t>Total (Kz)</t>
  </si>
  <si>
    <t>Alimentos</t>
  </si>
  <si>
    <t>Leite em pó</t>
  </si>
  <si>
    <t>Bebidas</t>
  </si>
  <si>
    <t>Água mineral</t>
  </si>
  <si>
    <t>Cerveja</t>
  </si>
  <si>
    <t>Refrigerante</t>
  </si>
  <si>
    <t>Sumo</t>
  </si>
  <si>
    <t>Roupas</t>
  </si>
  <si>
    <t>Vestido</t>
  </si>
  <si>
    <t>Higiene</t>
  </si>
  <si>
    <t>Sabão</t>
  </si>
  <si>
    <t>Calça</t>
  </si>
  <si>
    <t>Vinho</t>
  </si>
  <si>
    <t>Boné</t>
  </si>
  <si>
    <t>Farinha de trigo</t>
  </si>
  <si>
    <t>Óleo de cozinha</t>
  </si>
  <si>
    <t>Pasta de dente</t>
  </si>
  <si>
    <t>Eletrônicos</t>
  </si>
  <si>
    <t>Telemóvel</t>
  </si>
  <si>
    <t>Shampoo</t>
  </si>
  <si>
    <t>Televisor</t>
  </si>
  <si>
    <t>Rádio</t>
  </si>
  <si>
    <t>Sapato</t>
  </si>
  <si>
    <t>Camiseta</t>
  </si>
  <si>
    <t>Arroz</t>
  </si>
  <si>
    <t>Ventoinha</t>
  </si>
  <si>
    <t>Detergente</t>
  </si>
  <si>
    <t>Desinfetante</t>
  </si>
  <si>
    <t>Computador</t>
  </si>
  <si>
    <t>Milho</t>
  </si>
  <si>
    <t>Açúcar</t>
  </si>
  <si>
    <t>Feijão</t>
  </si>
  <si>
    <t>Faça analise desse relatório</t>
  </si>
  <si>
    <t>1- Melhora a visibilidade da tabela</t>
  </si>
  <si>
    <t xml:space="preserve">3- Negrita e aumenta o tamanho da fonte para 14 nas colunas </t>
  </si>
  <si>
    <t>4- Cria uma lista de categoria</t>
  </si>
  <si>
    <r>
      <t xml:space="preserve">2- Cria uma nova coluna </t>
    </r>
    <r>
      <rPr>
        <b/>
        <sz val="11"/>
        <color theme="1"/>
        <rFont val="Calibri"/>
        <family val="2"/>
        <scheme val="minor"/>
      </rPr>
      <t>Nº</t>
    </r>
    <r>
      <rPr>
        <sz val="11"/>
        <color theme="1"/>
        <rFont val="Calibri"/>
        <family val="2"/>
        <scheme val="minor"/>
      </rPr>
      <t xml:space="preserve"> antes do Data e numera as linhas</t>
    </r>
  </si>
  <si>
    <t>5- Qual é o produto mais caro</t>
  </si>
  <si>
    <t>FUNÇÃO PROCV</t>
  </si>
  <si>
    <t>ID</t>
  </si>
  <si>
    <t>ANALISTA</t>
  </si>
  <si>
    <t>JAN</t>
  </si>
  <si>
    <t>FEV</t>
  </si>
  <si>
    <t>MAR</t>
  </si>
  <si>
    <t>ABR</t>
  </si>
  <si>
    <t>MAI</t>
  </si>
  <si>
    <t>JUN</t>
  </si>
  <si>
    <t>Pedro</t>
  </si>
  <si>
    <t>Analia</t>
  </si>
  <si>
    <t>Lucas</t>
  </si>
  <si>
    <t>Joana</t>
  </si>
  <si>
    <t>Wilma</t>
  </si>
  <si>
    <t>Liliana</t>
  </si>
  <si>
    <t>1- Cria uma lista de analista</t>
  </si>
  <si>
    <t>2- Faça um relatório de desempenho de cada analista do mês</t>
  </si>
  <si>
    <t>3- Utiliza a função PROCV para esse relatório</t>
  </si>
  <si>
    <t>3- Tipo de gráfico que será usado - linhas com marcadores</t>
  </si>
  <si>
    <t>Unidade</t>
  </si>
  <si>
    <t>Valor</t>
  </si>
  <si>
    <t>Dia da Semana</t>
  </si>
  <si>
    <t>LA</t>
  </si>
  <si>
    <t>sáb</t>
  </si>
  <si>
    <t>dom</t>
  </si>
  <si>
    <t>BE</t>
  </si>
  <si>
    <t>seg</t>
  </si>
  <si>
    <t>ter</t>
  </si>
  <si>
    <t>MA</t>
  </si>
  <si>
    <t>qua</t>
  </si>
  <si>
    <t>qui</t>
  </si>
  <si>
    <t>sex</t>
  </si>
  <si>
    <t>Cria 3 gráficos</t>
  </si>
  <si>
    <r>
      <rPr>
        <b/>
        <sz val="11"/>
        <color rgb="FFFF0000"/>
        <rFont val="Calibri"/>
        <family val="2"/>
        <scheme val="minor"/>
      </rPr>
      <t>1-</t>
    </r>
    <r>
      <rPr>
        <sz val="11"/>
        <color theme="1"/>
        <rFont val="Calibri"/>
        <family val="2"/>
        <scheme val="minor"/>
      </rPr>
      <t xml:space="preserve"> Controle de faturamento por unidade</t>
    </r>
  </si>
  <si>
    <r>
      <rPr>
        <b/>
        <sz val="11"/>
        <color rgb="FFFF0000"/>
        <rFont val="Calibri"/>
        <family val="2"/>
        <scheme val="minor"/>
      </rPr>
      <t xml:space="preserve">2- </t>
    </r>
    <r>
      <rPr>
        <sz val="11"/>
        <color theme="1"/>
        <rFont val="Calibri"/>
        <family val="2"/>
        <scheme val="minor"/>
      </rPr>
      <t>Total de faturamento diário</t>
    </r>
  </si>
  <si>
    <r>
      <rPr>
        <b/>
        <sz val="11"/>
        <color rgb="FFFF0000"/>
        <rFont val="Calibri"/>
        <family val="2"/>
        <scheme val="minor"/>
      </rPr>
      <t>3-</t>
    </r>
    <r>
      <rPr>
        <sz val="11"/>
        <color theme="1"/>
        <rFont val="Calibri"/>
        <family val="2"/>
        <scheme val="minor"/>
      </rPr>
      <t xml:space="preserve"> Total de faturamento e dia da semana</t>
    </r>
  </si>
  <si>
    <t>2- Linhas com marcadores</t>
  </si>
  <si>
    <t>3- Coluna agrupada</t>
  </si>
  <si>
    <t>1- Coluna agrupada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</si>
</sst>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20"/>
      <color theme="1"/>
      <name val="Segoe UI"/>
      <family val="2"/>
    </font>
    <font>
      <sz val="11"/>
      <color theme="1"/>
      <name val="Segoe UI"/>
      <family val="2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 applyAlignment="1">
      <alignment horizontal="center" vertical="top"/>
    </xf>
    <xf numFmtId="168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1" fillId="4" borderId="2" xfId="0" applyFont="1" applyFill="1" applyBorder="1"/>
    <xf numFmtId="0" fontId="0" fillId="5" borderId="2" xfId="0" applyFont="1" applyFill="1" applyBorder="1"/>
    <xf numFmtId="14" fontId="0" fillId="0" borderId="2" xfId="0" applyNumberFormat="1" applyFont="1" applyBorder="1"/>
    <xf numFmtId="14" fontId="0" fillId="5" borderId="2" xfId="0" applyNumberFormat="1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0" fillId="6" borderId="0" xfId="0" applyFill="1"/>
    <xf numFmtId="0" fontId="8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fmlaLink="$M$16" fmlaRange="$N$5:$N$11" noThreeD="1" sel="4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47626</xdr:rowOff>
    </xdr:from>
    <xdr:to>
      <xdr:col>0</xdr:col>
      <xdr:colOff>561975</xdr:colOff>
      <xdr:row>2</xdr:row>
      <xdr:rowOff>180976</xdr:rowOff>
    </xdr:to>
    <xdr:sp macro="" textlink="">
      <xdr:nvSpPr>
        <xdr:cNvPr id="2" name="Estrela de 10 Pontas 1"/>
        <xdr:cNvSpPr/>
      </xdr:nvSpPr>
      <xdr:spPr>
        <a:xfrm>
          <a:off x="47625" y="47626"/>
          <a:ext cx="514350" cy="514350"/>
        </a:xfrm>
        <a:prstGeom prst="star10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514350</xdr:colOff>
      <xdr:row>2</xdr:row>
      <xdr:rowOff>133350</xdr:rowOff>
    </xdr:to>
    <xdr:sp macro="" textlink="">
      <xdr:nvSpPr>
        <xdr:cNvPr id="2" name="Estrela de 10 Pontas 1"/>
        <xdr:cNvSpPr/>
      </xdr:nvSpPr>
      <xdr:spPr>
        <a:xfrm>
          <a:off x="0" y="0"/>
          <a:ext cx="514350" cy="514350"/>
        </a:xfrm>
        <a:prstGeom prst="star10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0</xdr:row>
      <xdr:rowOff>0</xdr:rowOff>
    </xdr:from>
    <xdr:to>
      <xdr:col>12</xdr:col>
      <xdr:colOff>590550</xdr:colOff>
      <xdr:row>2</xdr:row>
      <xdr:rowOff>133350</xdr:rowOff>
    </xdr:to>
    <xdr:sp macro="" textlink="">
      <xdr:nvSpPr>
        <xdr:cNvPr id="2" name="Estrela de 10 Pontas 1"/>
        <xdr:cNvSpPr/>
      </xdr:nvSpPr>
      <xdr:spPr>
        <a:xfrm>
          <a:off x="7391400" y="0"/>
          <a:ext cx="514350" cy="590550"/>
        </a:xfrm>
        <a:prstGeom prst="star10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514350</xdr:colOff>
      <xdr:row>2</xdr:row>
      <xdr:rowOff>133350</xdr:rowOff>
    </xdr:to>
    <xdr:sp macro="" textlink="">
      <xdr:nvSpPr>
        <xdr:cNvPr id="2" name="Estrela de 10 Pontas 1"/>
        <xdr:cNvSpPr/>
      </xdr:nvSpPr>
      <xdr:spPr>
        <a:xfrm>
          <a:off x="0" y="0"/>
          <a:ext cx="514350" cy="514350"/>
        </a:xfrm>
        <a:prstGeom prst="star10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514350</xdr:colOff>
      <xdr:row>2</xdr:row>
      <xdr:rowOff>133350</xdr:rowOff>
    </xdr:to>
    <xdr:sp macro="" textlink="">
      <xdr:nvSpPr>
        <xdr:cNvPr id="2" name="Estrela de 10 Pontas 1"/>
        <xdr:cNvSpPr/>
      </xdr:nvSpPr>
      <xdr:spPr>
        <a:xfrm>
          <a:off x="0" y="0"/>
          <a:ext cx="514350" cy="514350"/>
        </a:xfrm>
        <a:prstGeom prst="star10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5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14</xdr:row>
          <xdr:rowOff>19051</xdr:rowOff>
        </xdr:from>
        <xdr:to>
          <xdr:col>14</xdr:col>
          <xdr:colOff>9525</xdr:colOff>
          <xdr:row>15</xdr:row>
          <xdr:rowOff>1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514350</xdr:colOff>
      <xdr:row>2</xdr:row>
      <xdr:rowOff>133350</xdr:rowOff>
    </xdr:to>
    <xdr:sp macro="" textlink="">
      <xdr:nvSpPr>
        <xdr:cNvPr id="2" name="Estrela de 10 Pontas 1"/>
        <xdr:cNvSpPr/>
      </xdr:nvSpPr>
      <xdr:spPr>
        <a:xfrm>
          <a:off x="0" y="0"/>
          <a:ext cx="514350" cy="514350"/>
        </a:xfrm>
        <a:prstGeom prst="star10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6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/SomaseRelatoriosDinam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-0"/>
      <sheetName val="0-1"/>
      <sheetName val="1-0"/>
    </sheetNames>
    <sheetDataSet>
      <sheetData sheetId="0" refreshError="1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id="1" name="Tabela5" displayName="Tabela5" ref="B4:F19" totalsRowShown="0">
  <autoFilter ref="B4:F19"/>
  <tableColumns count="5">
    <tableColumn id="1" name="ID"/>
    <tableColumn id="2" name="Unidade"/>
    <tableColumn id="3" name="Valor"/>
    <tableColumn id="4" name="Data" dataDxfId="6"/>
    <tableColumn id="5" name="Dia da Sema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" displayName="Tabela1" ref="N4:N11" totalsRowShown="0" headerRowDxfId="5" dataDxfId="4" headerRowBorderDxfId="2" tableBorderDxfId="3" totalsRowBorderDxfId="1">
  <tableColumns count="1">
    <tableColumn id="1" name="Dia da Se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7:G13"/>
  <sheetViews>
    <sheetView tabSelected="1" workbookViewId="0">
      <selection activeCell="K19" sqref="K19"/>
    </sheetView>
  </sheetViews>
  <sheetFormatPr defaultRowHeight="15" x14ac:dyDescent="0.25"/>
  <sheetData>
    <row r="7" spans="7:7" ht="30.75" x14ac:dyDescent="0.25">
      <c r="G7" s="2" t="s">
        <v>0</v>
      </c>
    </row>
    <row r="8" spans="7:7" x14ac:dyDescent="0.25">
      <c r="G8" t="s">
        <v>1</v>
      </c>
    </row>
    <row r="9" spans="7:7" x14ac:dyDescent="0.25">
      <c r="G9" t="s">
        <v>2</v>
      </c>
    </row>
    <row r="10" spans="7:7" x14ac:dyDescent="0.25">
      <c r="G10" t="s">
        <v>3</v>
      </c>
    </row>
    <row r="11" spans="7:7" x14ac:dyDescent="0.25">
      <c r="G11" t="s">
        <v>4</v>
      </c>
    </row>
    <row r="12" spans="7:7" x14ac:dyDescent="0.25">
      <c r="G12" t="s">
        <v>5</v>
      </c>
    </row>
    <row r="13" spans="7:7" x14ac:dyDescent="0.25">
      <c r="G13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N7"/>
  <sheetViews>
    <sheetView workbookViewId="0">
      <selection activeCell="J6" sqref="J6"/>
    </sheetView>
  </sheetViews>
  <sheetFormatPr defaultRowHeight="15" x14ac:dyDescent="0.25"/>
  <sheetData>
    <row r="2" spans="5:14" ht="21" x14ac:dyDescent="0.35">
      <c r="E2" s="3"/>
      <c r="N2" s="4" t="s">
        <v>11</v>
      </c>
    </row>
    <row r="3" spans="5:14" x14ac:dyDescent="0.25">
      <c r="N3" t="s">
        <v>16</v>
      </c>
    </row>
    <row r="4" spans="5:14" x14ac:dyDescent="0.25">
      <c r="N4" t="s">
        <v>12</v>
      </c>
    </row>
    <row r="5" spans="5:14" x14ac:dyDescent="0.25">
      <c r="N5" t="s">
        <v>13</v>
      </c>
    </row>
    <row r="6" spans="5:14" x14ac:dyDescent="0.25">
      <c r="N6" t="s">
        <v>14</v>
      </c>
    </row>
    <row r="7" spans="5:14" x14ac:dyDescent="0.25">
      <c r="N7" t="s">
        <v>15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>
      <selection activeCell="N14" sqref="N14"/>
    </sheetView>
  </sheetViews>
  <sheetFormatPr defaultRowHeight="15" x14ac:dyDescent="0.25"/>
  <sheetData>
    <row r="1" spans="1:14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4" ht="21" x14ac:dyDescent="0.35">
      <c r="A2" s="6">
        <v>45728</v>
      </c>
      <c r="B2" t="s">
        <v>23</v>
      </c>
      <c r="C2" t="s">
        <v>24</v>
      </c>
      <c r="D2">
        <v>6</v>
      </c>
      <c r="E2">
        <v>29689.61</v>
      </c>
      <c r="F2">
        <v>178137.66</v>
      </c>
      <c r="N2" s="4" t="s">
        <v>7</v>
      </c>
    </row>
    <row r="3" spans="1:14" ht="17.25" x14ac:dyDescent="0.25">
      <c r="A3" s="6">
        <v>45763</v>
      </c>
      <c r="B3" t="s">
        <v>25</v>
      </c>
      <c r="C3" t="s">
        <v>26</v>
      </c>
      <c r="D3">
        <v>7</v>
      </c>
      <c r="E3">
        <v>35702.03</v>
      </c>
      <c r="F3">
        <v>249914.21</v>
      </c>
      <c r="N3" s="1" t="s">
        <v>55</v>
      </c>
    </row>
    <row r="4" spans="1:14" x14ac:dyDescent="0.25">
      <c r="A4" s="6">
        <v>45797</v>
      </c>
      <c r="B4" t="s">
        <v>25</v>
      </c>
      <c r="C4" t="s">
        <v>27</v>
      </c>
      <c r="D4">
        <v>11</v>
      </c>
      <c r="E4">
        <v>85378.08</v>
      </c>
      <c r="F4">
        <v>939158.88</v>
      </c>
      <c r="N4" t="s">
        <v>56</v>
      </c>
    </row>
    <row r="5" spans="1:14" x14ac:dyDescent="0.25">
      <c r="A5" s="6">
        <v>45677</v>
      </c>
      <c r="B5" t="s">
        <v>25</v>
      </c>
      <c r="C5" t="s">
        <v>28</v>
      </c>
      <c r="D5">
        <v>7</v>
      </c>
      <c r="E5">
        <v>10038.19</v>
      </c>
      <c r="F5">
        <v>70267.33</v>
      </c>
      <c r="N5" t="s">
        <v>59</v>
      </c>
    </row>
    <row r="6" spans="1:14" x14ac:dyDescent="0.25">
      <c r="A6" s="6">
        <v>45757</v>
      </c>
      <c r="B6" t="s">
        <v>25</v>
      </c>
      <c r="C6" t="s">
        <v>29</v>
      </c>
      <c r="D6">
        <v>3</v>
      </c>
      <c r="E6">
        <v>26277.17</v>
      </c>
      <c r="F6">
        <v>78831.509999999995</v>
      </c>
      <c r="N6" t="s">
        <v>57</v>
      </c>
    </row>
    <row r="7" spans="1:14" x14ac:dyDescent="0.25">
      <c r="A7" s="6">
        <v>45813</v>
      </c>
      <c r="B7" t="s">
        <v>30</v>
      </c>
      <c r="C7" t="s">
        <v>31</v>
      </c>
      <c r="D7">
        <v>15</v>
      </c>
      <c r="E7">
        <v>61383.27</v>
      </c>
      <c r="F7">
        <v>920749.05</v>
      </c>
      <c r="N7" t="s">
        <v>58</v>
      </c>
    </row>
    <row r="8" spans="1:14" x14ac:dyDescent="0.25">
      <c r="A8" s="6">
        <v>45875</v>
      </c>
      <c r="B8" t="s">
        <v>32</v>
      </c>
      <c r="C8" t="s">
        <v>33</v>
      </c>
      <c r="D8">
        <v>6</v>
      </c>
      <c r="E8">
        <v>44794.48</v>
      </c>
      <c r="F8">
        <v>268766.88</v>
      </c>
      <c r="N8" s="7" t="s">
        <v>60</v>
      </c>
    </row>
    <row r="9" spans="1:14" x14ac:dyDescent="0.25">
      <c r="A9" s="6">
        <v>45902</v>
      </c>
      <c r="B9" t="s">
        <v>25</v>
      </c>
      <c r="C9" t="s">
        <v>28</v>
      </c>
      <c r="D9">
        <v>3</v>
      </c>
      <c r="E9">
        <v>53933.99</v>
      </c>
      <c r="F9">
        <v>161801.97</v>
      </c>
    </row>
    <row r="10" spans="1:14" x14ac:dyDescent="0.25">
      <c r="A10" s="6">
        <v>45796</v>
      </c>
      <c r="B10" t="s">
        <v>32</v>
      </c>
      <c r="C10" t="s">
        <v>33</v>
      </c>
      <c r="D10">
        <v>14</v>
      </c>
      <c r="E10">
        <v>82261.83</v>
      </c>
      <c r="F10">
        <v>1151665.6200000001</v>
      </c>
    </row>
    <row r="11" spans="1:14" x14ac:dyDescent="0.25">
      <c r="A11" s="6">
        <v>45883</v>
      </c>
      <c r="B11" t="s">
        <v>32</v>
      </c>
      <c r="C11" t="s">
        <v>33</v>
      </c>
      <c r="D11">
        <v>4</v>
      </c>
      <c r="E11">
        <v>17881.580000000002</v>
      </c>
      <c r="F11">
        <v>71526.320000000007</v>
      </c>
    </row>
    <row r="12" spans="1:14" x14ac:dyDescent="0.25">
      <c r="A12" s="6">
        <v>45926</v>
      </c>
      <c r="B12" t="s">
        <v>30</v>
      </c>
      <c r="C12" t="s">
        <v>34</v>
      </c>
      <c r="D12">
        <v>1</v>
      </c>
      <c r="E12">
        <v>50501.21</v>
      </c>
      <c r="F12">
        <v>50501.21</v>
      </c>
    </row>
    <row r="13" spans="1:14" x14ac:dyDescent="0.25">
      <c r="A13" s="6">
        <v>45715</v>
      </c>
      <c r="B13" t="s">
        <v>25</v>
      </c>
      <c r="C13" t="s">
        <v>35</v>
      </c>
      <c r="D13">
        <v>13</v>
      </c>
      <c r="E13">
        <v>44230.48</v>
      </c>
      <c r="F13">
        <v>574996.24</v>
      </c>
    </row>
    <row r="14" spans="1:14" x14ac:dyDescent="0.25">
      <c r="A14" s="6">
        <v>45862</v>
      </c>
      <c r="B14" t="s">
        <v>30</v>
      </c>
      <c r="C14" t="s">
        <v>36</v>
      </c>
      <c r="D14">
        <v>8</v>
      </c>
      <c r="E14">
        <v>40719.01</v>
      </c>
      <c r="F14">
        <v>325752.08</v>
      </c>
    </row>
    <row r="15" spans="1:14" x14ac:dyDescent="0.25">
      <c r="A15" s="6">
        <v>45918</v>
      </c>
      <c r="B15" t="s">
        <v>23</v>
      </c>
      <c r="C15" t="s">
        <v>37</v>
      </c>
      <c r="D15">
        <v>2</v>
      </c>
      <c r="E15">
        <v>29699.46</v>
      </c>
      <c r="F15">
        <v>59398.92</v>
      </c>
    </row>
    <row r="16" spans="1:14" x14ac:dyDescent="0.25">
      <c r="A16" s="6">
        <v>45852</v>
      </c>
      <c r="B16" t="s">
        <v>23</v>
      </c>
      <c r="C16" t="s">
        <v>38</v>
      </c>
      <c r="D16">
        <v>9</v>
      </c>
      <c r="E16">
        <v>60042.11</v>
      </c>
      <c r="F16">
        <v>540378.99</v>
      </c>
    </row>
    <row r="17" spans="1:6" x14ac:dyDescent="0.25">
      <c r="A17" s="6">
        <v>45884</v>
      </c>
      <c r="B17" t="s">
        <v>30</v>
      </c>
      <c r="C17" t="s">
        <v>31</v>
      </c>
      <c r="D17">
        <v>19</v>
      </c>
      <c r="E17">
        <v>4526.41</v>
      </c>
      <c r="F17">
        <v>86001.79</v>
      </c>
    </row>
    <row r="18" spans="1:6" x14ac:dyDescent="0.25">
      <c r="A18" s="6">
        <v>45905</v>
      </c>
      <c r="B18" t="s">
        <v>32</v>
      </c>
      <c r="C18" t="s">
        <v>39</v>
      </c>
      <c r="D18">
        <v>6</v>
      </c>
      <c r="E18">
        <v>6573.74</v>
      </c>
      <c r="F18">
        <v>39442.44</v>
      </c>
    </row>
    <row r="19" spans="1:6" x14ac:dyDescent="0.25">
      <c r="A19" s="6">
        <v>45895</v>
      </c>
      <c r="B19" t="s">
        <v>25</v>
      </c>
      <c r="C19" t="s">
        <v>29</v>
      </c>
      <c r="D19">
        <v>12</v>
      </c>
      <c r="E19">
        <v>35713.1</v>
      </c>
      <c r="F19">
        <v>428557.2</v>
      </c>
    </row>
    <row r="20" spans="1:6" x14ac:dyDescent="0.25">
      <c r="A20" s="6">
        <v>45846</v>
      </c>
      <c r="B20" t="s">
        <v>40</v>
      </c>
      <c r="C20" t="s">
        <v>41</v>
      </c>
      <c r="D20">
        <v>16</v>
      </c>
      <c r="E20">
        <v>3864.85</v>
      </c>
      <c r="F20">
        <v>61837.599999999999</v>
      </c>
    </row>
    <row r="21" spans="1:6" x14ac:dyDescent="0.25">
      <c r="A21" s="6">
        <v>45781</v>
      </c>
      <c r="B21" t="s">
        <v>32</v>
      </c>
      <c r="C21" t="s">
        <v>42</v>
      </c>
      <c r="D21">
        <v>7</v>
      </c>
      <c r="E21">
        <v>58810.42</v>
      </c>
      <c r="F21">
        <v>411672.94</v>
      </c>
    </row>
    <row r="22" spans="1:6" x14ac:dyDescent="0.25">
      <c r="A22" s="6">
        <v>45834</v>
      </c>
      <c r="B22" t="s">
        <v>40</v>
      </c>
      <c r="C22" t="s">
        <v>43</v>
      </c>
      <c r="D22">
        <v>8</v>
      </c>
      <c r="E22">
        <v>41766.120000000003</v>
      </c>
      <c r="F22">
        <v>334128.96000000002</v>
      </c>
    </row>
    <row r="23" spans="1:6" x14ac:dyDescent="0.25">
      <c r="A23" s="6">
        <v>45710</v>
      </c>
      <c r="B23" t="s">
        <v>30</v>
      </c>
      <c r="C23" t="s">
        <v>34</v>
      </c>
      <c r="D23">
        <v>8</v>
      </c>
      <c r="E23">
        <v>76804.039999999994</v>
      </c>
      <c r="F23">
        <v>614432.31999999995</v>
      </c>
    </row>
    <row r="24" spans="1:6" x14ac:dyDescent="0.25">
      <c r="A24" s="6">
        <v>45736</v>
      </c>
      <c r="B24" t="s">
        <v>30</v>
      </c>
      <c r="C24" t="s">
        <v>36</v>
      </c>
      <c r="D24">
        <v>20</v>
      </c>
      <c r="E24">
        <v>5201.99</v>
      </c>
      <c r="F24">
        <v>104039.8</v>
      </c>
    </row>
    <row r="25" spans="1:6" x14ac:dyDescent="0.25">
      <c r="A25" s="6">
        <v>45888</v>
      </c>
      <c r="B25" t="s">
        <v>40</v>
      </c>
      <c r="C25" t="s">
        <v>44</v>
      </c>
      <c r="D25">
        <v>4</v>
      </c>
      <c r="E25">
        <v>86681.03</v>
      </c>
      <c r="F25">
        <v>346724.12</v>
      </c>
    </row>
    <row r="26" spans="1:6" x14ac:dyDescent="0.25">
      <c r="A26" s="6">
        <v>45768</v>
      </c>
      <c r="B26" t="s">
        <v>32</v>
      </c>
      <c r="C26" t="s">
        <v>33</v>
      </c>
      <c r="D26">
        <v>17</v>
      </c>
      <c r="E26">
        <v>25605.9</v>
      </c>
      <c r="F26">
        <v>435300.3</v>
      </c>
    </row>
    <row r="27" spans="1:6" x14ac:dyDescent="0.25">
      <c r="A27" s="6">
        <v>45823</v>
      </c>
      <c r="B27" t="s">
        <v>30</v>
      </c>
      <c r="C27" t="s">
        <v>45</v>
      </c>
      <c r="D27">
        <v>1</v>
      </c>
      <c r="E27">
        <v>48783.45</v>
      </c>
      <c r="F27">
        <v>48783.45</v>
      </c>
    </row>
    <row r="28" spans="1:6" x14ac:dyDescent="0.25">
      <c r="A28" s="6">
        <v>45658</v>
      </c>
      <c r="B28" t="s">
        <v>32</v>
      </c>
      <c r="C28" t="s">
        <v>42</v>
      </c>
      <c r="D28">
        <v>11</v>
      </c>
      <c r="E28">
        <v>64956.17</v>
      </c>
      <c r="F28">
        <v>714517.87</v>
      </c>
    </row>
    <row r="29" spans="1:6" x14ac:dyDescent="0.25">
      <c r="A29" s="6">
        <v>45880</v>
      </c>
      <c r="B29" t="s">
        <v>23</v>
      </c>
      <c r="C29" t="s">
        <v>37</v>
      </c>
      <c r="D29">
        <v>9</v>
      </c>
      <c r="E29">
        <v>35636.18</v>
      </c>
      <c r="F29">
        <v>320725.62</v>
      </c>
    </row>
    <row r="30" spans="1:6" x14ac:dyDescent="0.25">
      <c r="A30" s="6">
        <v>45786</v>
      </c>
      <c r="B30" t="s">
        <v>40</v>
      </c>
      <c r="C30" t="s">
        <v>43</v>
      </c>
      <c r="D30">
        <v>11</v>
      </c>
      <c r="E30">
        <v>27121.66</v>
      </c>
      <c r="F30">
        <v>298338.26</v>
      </c>
    </row>
    <row r="31" spans="1:6" x14ac:dyDescent="0.25">
      <c r="A31" s="6">
        <v>45877</v>
      </c>
      <c r="B31" t="s">
        <v>30</v>
      </c>
      <c r="C31" t="s">
        <v>46</v>
      </c>
      <c r="D31">
        <v>14</v>
      </c>
      <c r="E31">
        <v>10476.33</v>
      </c>
      <c r="F31">
        <v>146668.62</v>
      </c>
    </row>
    <row r="32" spans="1:6" x14ac:dyDescent="0.25">
      <c r="A32" s="6">
        <v>45901</v>
      </c>
      <c r="B32" t="s">
        <v>30</v>
      </c>
      <c r="C32" t="s">
        <v>36</v>
      </c>
      <c r="D32">
        <v>4</v>
      </c>
      <c r="E32">
        <v>94766.36</v>
      </c>
      <c r="F32">
        <v>379065.44</v>
      </c>
    </row>
    <row r="33" spans="1:6" x14ac:dyDescent="0.25">
      <c r="A33" s="6">
        <v>45880</v>
      </c>
      <c r="B33" t="s">
        <v>23</v>
      </c>
      <c r="C33" t="s">
        <v>47</v>
      </c>
      <c r="D33">
        <v>8</v>
      </c>
      <c r="E33">
        <v>27085.58</v>
      </c>
      <c r="F33">
        <v>216684.64</v>
      </c>
    </row>
    <row r="34" spans="1:6" x14ac:dyDescent="0.25">
      <c r="A34" s="6">
        <v>45926</v>
      </c>
      <c r="B34" t="s">
        <v>25</v>
      </c>
      <c r="C34" t="s">
        <v>27</v>
      </c>
      <c r="D34">
        <v>2</v>
      </c>
      <c r="E34">
        <v>6433.34</v>
      </c>
      <c r="F34">
        <v>12866.68</v>
      </c>
    </row>
    <row r="35" spans="1:6" x14ac:dyDescent="0.25">
      <c r="A35" s="6">
        <v>45909</v>
      </c>
      <c r="B35" t="s">
        <v>30</v>
      </c>
      <c r="C35" t="s">
        <v>36</v>
      </c>
      <c r="D35">
        <v>4</v>
      </c>
      <c r="E35">
        <v>76311.67</v>
      </c>
      <c r="F35">
        <v>305246.68</v>
      </c>
    </row>
    <row r="36" spans="1:6" x14ac:dyDescent="0.25">
      <c r="A36" s="6">
        <v>45734</v>
      </c>
      <c r="B36" t="s">
        <v>30</v>
      </c>
      <c r="C36" t="s">
        <v>45</v>
      </c>
      <c r="D36">
        <v>8</v>
      </c>
      <c r="E36">
        <v>17245.72</v>
      </c>
      <c r="F36">
        <v>137965.76000000001</v>
      </c>
    </row>
    <row r="37" spans="1:6" x14ac:dyDescent="0.25">
      <c r="A37" s="6">
        <v>45755</v>
      </c>
      <c r="B37" t="s">
        <v>25</v>
      </c>
      <c r="C37" t="s">
        <v>26</v>
      </c>
      <c r="D37">
        <v>5</v>
      </c>
      <c r="E37">
        <v>51295.79</v>
      </c>
      <c r="F37">
        <v>256478.95</v>
      </c>
    </row>
    <row r="38" spans="1:6" x14ac:dyDescent="0.25">
      <c r="A38" s="6">
        <v>45905</v>
      </c>
      <c r="B38" t="s">
        <v>32</v>
      </c>
      <c r="C38" t="s">
        <v>33</v>
      </c>
      <c r="D38">
        <v>14</v>
      </c>
      <c r="E38">
        <v>68896.39</v>
      </c>
      <c r="F38">
        <v>964549.46</v>
      </c>
    </row>
    <row r="39" spans="1:6" x14ac:dyDescent="0.25">
      <c r="A39" s="6">
        <v>45693</v>
      </c>
      <c r="B39" t="s">
        <v>25</v>
      </c>
      <c r="C39" t="s">
        <v>28</v>
      </c>
      <c r="D39">
        <v>20</v>
      </c>
      <c r="E39">
        <v>5817.14</v>
      </c>
      <c r="F39">
        <v>116342.8</v>
      </c>
    </row>
    <row r="40" spans="1:6" x14ac:dyDescent="0.25">
      <c r="A40" s="6">
        <v>45684</v>
      </c>
      <c r="B40" t="s">
        <v>40</v>
      </c>
      <c r="C40" t="s">
        <v>48</v>
      </c>
      <c r="D40">
        <v>13</v>
      </c>
      <c r="E40">
        <v>75139.72</v>
      </c>
      <c r="F40">
        <v>976816.36</v>
      </c>
    </row>
    <row r="41" spans="1:6" x14ac:dyDescent="0.25">
      <c r="A41" s="6">
        <v>45911</v>
      </c>
      <c r="B41" t="s">
        <v>25</v>
      </c>
      <c r="C41" t="s">
        <v>26</v>
      </c>
      <c r="D41">
        <v>1</v>
      </c>
      <c r="E41">
        <v>23603.74</v>
      </c>
      <c r="F41">
        <v>23603.74</v>
      </c>
    </row>
    <row r="42" spans="1:6" x14ac:dyDescent="0.25">
      <c r="A42" s="6">
        <v>45905</v>
      </c>
      <c r="B42" t="s">
        <v>30</v>
      </c>
      <c r="C42" t="s">
        <v>31</v>
      </c>
      <c r="D42">
        <v>12</v>
      </c>
      <c r="E42">
        <v>18793.52</v>
      </c>
      <c r="F42">
        <v>225522.24</v>
      </c>
    </row>
    <row r="43" spans="1:6" x14ac:dyDescent="0.25">
      <c r="A43" s="6">
        <v>45870</v>
      </c>
      <c r="B43" t="s">
        <v>25</v>
      </c>
      <c r="C43" t="s">
        <v>26</v>
      </c>
      <c r="D43">
        <v>14</v>
      </c>
      <c r="E43">
        <v>75278.39</v>
      </c>
      <c r="F43">
        <v>1053897.46</v>
      </c>
    </row>
    <row r="44" spans="1:6" x14ac:dyDescent="0.25">
      <c r="A44" s="6">
        <v>45763</v>
      </c>
      <c r="B44" t="s">
        <v>32</v>
      </c>
      <c r="C44" t="s">
        <v>42</v>
      </c>
      <c r="D44">
        <v>1</v>
      </c>
      <c r="E44">
        <v>29179.73</v>
      </c>
      <c r="F44">
        <v>29179.73</v>
      </c>
    </row>
    <row r="45" spans="1:6" x14ac:dyDescent="0.25">
      <c r="A45" s="6">
        <v>45782</v>
      </c>
      <c r="B45" t="s">
        <v>40</v>
      </c>
      <c r="C45" t="s">
        <v>43</v>
      </c>
      <c r="D45">
        <v>17</v>
      </c>
      <c r="E45">
        <v>71538.47</v>
      </c>
      <c r="F45">
        <v>1216153.99</v>
      </c>
    </row>
    <row r="46" spans="1:6" x14ac:dyDescent="0.25">
      <c r="A46" s="6">
        <v>45734</v>
      </c>
      <c r="B46" t="s">
        <v>32</v>
      </c>
      <c r="C46" t="s">
        <v>49</v>
      </c>
      <c r="D46">
        <v>15</v>
      </c>
      <c r="E46">
        <v>78654.009999999995</v>
      </c>
      <c r="F46">
        <v>1179810.1499999999</v>
      </c>
    </row>
    <row r="47" spans="1:6" x14ac:dyDescent="0.25">
      <c r="A47" s="6">
        <v>45880</v>
      </c>
      <c r="B47" t="s">
        <v>23</v>
      </c>
      <c r="C47" t="s">
        <v>37</v>
      </c>
      <c r="D47">
        <v>10</v>
      </c>
      <c r="E47">
        <v>49866.239999999998</v>
      </c>
      <c r="F47">
        <v>498662.40000000002</v>
      </c>
    </row>
    <row r="48" spans="1:6" x14ac:dyDescent="0.25">
      <c r="A48" s="6">
        <v>45820</v>
      </c>
      <c r="B48" t="s">
        <v>40</v>
      </c>
      <c r="C48" t="s">
        <v>43</v>
      </c>
      <c r="D48">
        <v>7</v>
      </c>
      <c r="E48">
        <v>96503.360000000001</v>
      </c>
      <c r="F48">
        <v>675523.52</v>
      </c>
    </row>
    <row r="49" spans="1:6" x14ac:dyDescent="0.25">
      <c r="A49" s="6">
        <v>45762</v>
      </c>
      <c r="B49" t="s">
        <v>32</v>
      </c>
      <c r="C49" t="s">
        <v>50</v>
      </c>
      <c r="D49">
        <v>3</v>
      </c>
      <c r="E49">
        <v>6441.9</v>
      </c>
      <c r="F49">
        <v>19325.7</v>
      </c>
    </row>
    <row r="50" spans="1:6" x14ac:dyDescent="0.25">
      <c r="A50" s="6">
        <v>45685</v>
      </c>
      <c r="B50" t="s">
        <v>32</v>
      </c>
      <c r="C50" t="s">
        <v>39</v>
      </c>
      <c r="D50">
        <v>2</v>
      </c>
      <c r="E50">
        <v>33623.22</v>
      </c>
      <c r="F50">
        <v>67246.44</v>
      </c>
    </row>
    <row r="51" spans="1:6" x14ac:dyDescent="0.25">
      <c r="A51" s="6">
        <v>45814</v>
      </c>
      <c r="B51" t="s">
        <v>32</v>
      </c>
      <c r="C51" t="s">
        <v>39</v>
      </c>
      <c r="D51">
        <v>9</v>
      </c>
      <c r="E51">
        <v>48427.37</v>
      </c>
      <c r="F51">
        <v>435846.33</v>
      </c>
    </row>
    <row r="52" spans="1:6" x14ac:dyDescent="0.25">
      <c r="A52" s="6">
        <v>45925</v>
      </c>
      <c r="B52" t="s">
        <v>32</v>
      </c>
      <c r="C52" t="s">
        <v>49</v>
      </c>
      <c r="D52">
        <v>10</v>
      </c>
      <c r="E52">
        <v>45105.04</v>
      </c>
      <c r="F52">
        <v>451050.4</v>
      </c>
    </row>
    <row r="53" spans="1:6" x14ac:dyDescent="0.25">
      <c r="A53" s="6">
        <v>45827</v>
      </c>
      <c r="B53" t="s">
        <v>40</v>
      </c>
      <c r="C53" t="s">
        <v>43</v>
      </c>
      <c r="D53">
        <v>16</v>
      </c>
      <c r="E53">
        <v>46383.58</v>
      </c>
      <c r="F53">
        <v>742137.28</v>
      </c>
    </row>
    <row r="54" spans="1:6" x14ac:dyDescent="0.25">
      <c r="A54" s="6">
        <v>45817</v>
      </c>
      <c r="B54" t="s">
        <v>23</v>
      </c>
      <c r="C54" t="s">
        <v>24</v>
      </c>
      <c r="D54">
        <v>9</v>
      </c>
      <c r="E54">
        <v>98782.03</v>
      </c>
      <c r="F54">
        <v>889038.27</v>
      </c>
    </row>
    <row r="55" spans="1:6" x14ac:dyDescent="0.25">
      <c r="A55" s="6">
        <v>45714</v>
      </c>
      <c r="B55" t="s">
        <v>40</v>
      </c>
      <c r="C55" t="s">
        <v>48</v>
      </c>
      <c r="D55">
        <v>11</v>
      </c>
      <c r="E55">
        <v>33367.89</v>
      </c>
      <c r="F55">
        <v>367046.79</v>
      </c>
    </row>
    <row r="56" spans="1:6" x14ac:dyDescent="0.25">
      <c r="A56" s="6">
        <v>45761</v>
      </c>
      <c r="B56" t="s">
        <v>40</v>
      </c>
      <c r="C56" t="s">
        <v>51</v>
      </c>
      <c r="D56">
        <v>18</v>
      </c>
      <c r="E56">
        <v>25695.47</v>
      </c>
      <c r="F56">
        <v>462518.46</v>
      </c>
    </row>
    <row r="57" spans="1:6" x14ac:dyDescent="0.25">
      <c r="A57" s="6">
        <v>45820</v>
      </c>
      <c r="B57" t="s">
        <v>23</v>
      </c>
      <c r="C57" t="s">
        <v>52</v>
      </c>
      <c r="D57">
        <v>18</v>
      </c>
      <c r="E57">
        <v>87747.24</v>
      </c>
      <c r="F57">
        <v>1579450.32</v>
      </c>
    </row>
    <row r="58" spans="1:6" x14ac:dyDescent="0.25">
      <c r="A58" s="6">
        <v>45663</v>
      </c>
      <c r="B58" t="s">
        <v>30</v>
      </c>
      <c r="C58" t="s">
        <v>34</v>
      </c>
      <c r="D58">
        <v>3</v>
      </c>
      <c r="E58">
        <v>16125.72</v>
      </c>
      <c r="F58">
        <v>48377.16</v>
      </c>
    </row>
    <row r="59" spans="1:6" x14ac:dyDescent="0.25">
      <c r="A59" s="6">
        <v>45882</v>
      </c>
      <c r="B59" t="s">
        <v>25</v>
      </c>
      <c r="C59" t="s">
        <v>28</v>
      </c>
      <c r="D59">
        <v>8</v>
      </c>
      <c r="E59">
        <v>7988.54</v>
      </c>
      <c r="F59">
        <v>63908.32</v>
      </c>
    </row>
    <row r="60" spans="1:6" x14ac:dyDescent="0.25">
      <c r="A60" s="6">
        <v>45828</v>
      </c>
      <c r="B60" t="s">
        <v>25</v>
      </c>
      <c r="C60" t="s">
        <v>28</v>
      </c>
      <c r="D60">
        <v>5</v>
      </c>
      <c r="E60">
        <v>47202.49</v>
      </c>
      <c r="F60">
        <v>236012.45</v>
      </c>
    </row>
    <row r="61" spans="1:6" x14ac:dyDescent="0.25">
      <c r="A61" s="6">
        <v>45660</v>
      </c>
      <c r="B61" t="s">
        <v>23</v>
      </c>
      <c r="C61" t="s">
        <v>52</v>
      </c>
      <c r="D61">
        <v>7</v>
      </c>
      <c r="E61">
        <v>37081.370000000003</v>
      </c>
      <c r="F61">
        <v>259569.59</v>
      </c>
    </row>
    <row r="62" spans="1:6" x14ac:dyDescent="0.25">
      <c r="A62" s="6">
        <v>45815</v>
      </c>
      <c r="B62" t="s">
        <v>23</v>
      </c>
      <c r="C62" t="s">
        <v>53</v>
      </c>
      <c r="D62">
        <v>15</v>
      </c>
      <c r="E62">
        <v>41339.919999999998</v>
      </c>
      <c r="F62">
        <v>620098.80000000005</v>
      </c>
    </row>
    <row r="63" spans="1:6" x14ac:dyDescent="0.25">
      <c r="A63" s="6">
        <v>45870</v>
      </c>
      <c r="B63" t="s">
        <v>40</v>
      </c>
      <c r="C63" t="s">
        <v>51</v>
      </c>
      <c r="D63">
        <v>1</v>
      </c>
      <c r="E63">
        <v>91457.18</v>
      </c>
      <c r="F63">
        <v>91457.18</v>
      </c>
    </row>
    <row r="64" spans="1:6" x14ac:dyDescent="0.25">
      <c r="A64" s="6">
        <v>45886</v>
      </c>
      <c r="B64" t="s">
        <v>30</v>
      </c>
      <c r="C64" t="s">
        <v>36</v>
      </c>
      <c r="D64">
        <v>13</v>
      </c>
      <c r="E64">
        <v>64443.49</v>
      </c>
      <c r="F64">
        <v>837765.37</v>
      </c>
    </row>
    <row r="65" spans="1:6" x14ac:dyDescent="0.25">
      <c r="A65" s="6">
        <v>45748</v>
      </c>
      <c r="B65" t="s">
        <v>23</v>
      </c>
      <c r="C65" t="s">
        <v>38</v>
      </c>
      <c r="D65">
        <v>10</v>
      </c>
      <c r="E65">
        <v>8697.2000000000007</v>
      </c>
      <c r="F65">
        <v>86972</v>
      </c>
    </row>
    <row r="66" spans="1:6" x14ac:dyDescent="0.25">
      <c r="A66" s="6">
        <v>45875</v>
      </c>
      <c r="B66" t="s">
        <v>23</v>
      </c>
      <c r="C66" t="s">
        <v>38</v>
      </c>
      <c r="D66">
        <v>1</v>
      </c>
      <c r="E66">
        <v>80101.36</v>
      </c>
      <c r="F66">
        <v>80101.36</v>
      </c>
    </row>
    <row r="67" spans="1:6" x14ac:dyDescent="0.25">
      <c r="A67" s="6">
        <v>45674</v>
      </c>
      <c r="B67" t="s">
        <v>25</v>
      </c>
      <c r="C67" t="s">
        <v>29</v>
      </c>
      <c r="D67">
        <v>6</v>
      </c>
      <c r="E67">
        <v>40326.980000000003</v>
      </c>
      <c r="F67">
        <v>241961.88</v>
      </c>
    </row>
    <row r="68" spans="1:6" x14ac:dyDescent="0.25">
      <c r="A68" s="6">
        <v>45881</v>
      </c>
      <c r="B68" t="s">
        <v>32</v>
      </c>
      <c r="C68" t="s">
        <v>42</v>
      </c>
      <c r="D68">
        <v>10</v>
      </c>
      <c r="E68">
        <v>39724.410000000003</v>
      </c>
      <c r="F68">
        <v>397244.1</v>
      </c>
    </row>
    <row r="69" spans="1:6" x14ac:dyDescent="0.25">
      <c r="A69" s="6">
        <v>45803</v>
      </c>
      <c r="B69" t="s">
        <v>30</v>
      </c>
      <c r="C69" t="s">
        <v>34</v>
      </c>
      <c r="D69">
        <v>20</v>
      </c>
      <c r="E69">
        <v>98719.97</v>
      </c>
      <c r="F69">
        <v>1974399.4</v>
      </c>
    </row>
    <row r="70" spans="1:6" x14ac:dyDescent="0.25">
      <c r="A70" s="6">
        <v>45744</v>
      </c>
      <c r="B70" t="s">
        <v>40</v>
      </c>
      <c r="C70" t="s">
        <v>48</v>
      </c>
      <c r="D70">
        <v>20</v>
      </c>
      <c r="E70">
        <v>44372.22</v>
      </c>
      <c r="F70">
        <v>887444.4</v>
      </c>
    </row>
    <row r="71" spans="1:6" x14ac:dyDescent="0.25">
      <c r="A71" s="6">
        <v>45796</v>
      </c>
      <c r="B71" t="s">
        <v>30</v>
      </c>
      <c r="C71" t="s">
        <v>31</v>
      </c>
      <c r="D71">
        <v>15</v>
      </c>
      <c r="E71">
        <v>42092.54</v>
      </c>
      <c r="F71">
        <v>631388.1</v>
      </c>
    </row>
    <row r="72" spans="1:6" x14ac:dyDescent="0.25">
      <c r="A72" s="6">
        <v>45883</v>
      </c>
      <c r="B72" t="s">
        <v>23</v>
      </c>
      <c r="C72" t="s">
        <v>53</v>
      </c>
      <c r="D72">
        <v>5</v>
      </c>
      <c r="E72">
        <v>65355.69</v>
      </c>
      <c r="F72">
        <v>326778.45</v>
      </c>
    </row>
    <row r="73" spans="1:6" x14ac:dyDescent="0.25">
      <c r="A73" s="6">
        <v>45754</v>
      </c>
      <c r="B73" t="s">
        <v>32</v>
      </c>
      <c r="C73" t="s">
        <v>42</v>
      </c>
      <c r="D73">
        <v>6</v>
      </c>
      <c r="E73">
        <v>31871</v>
      </c>
      <c r="F73">
        <v>191226</v>
      </c>
    </row>
    <row r="74" spans="1:6" x14ac:dyDescent="0.25">
      <c r="A74" s="6">
        <v>45770</v>
      </c>
      <c r="B74" t="s">
        <v>23</v>
      </c>
      <c r="C74" t="s">
        <v>52</v>
      </c>
      <c r="D74">
        <v>8</v>
      </c>
      <c r="E74">
        <v>73195.22</v>
      </c>
      <c r="F74">
        <v>585561.76</v>
      </c>
    </row>
    <row r="75" spans="1:6" x14ac:dyDescent="0.25">
      <c r="A75" s="6">
        <v>45674</v>
      </c>
      <c r="B75" t="s">
        <v>25</v>
      </c>
      <c r="C75" t="s">
        <v>28</v>
      </c>
      <c r="D75">
        <v>1</v>
      </c>
      <c r="E75">
        <v>42476.65</v>
      </c>
      <c r="F75">
        <v>42476.65</v>
      </c>
    </row>
    <row r="76" spans="1:6" x14ac:dyDescent="0.25">
      <c r="A76" s="6">
        <v>45787</v>
      </c>
      <c r="B76" t="s">
        <v>30</v>
      </c>
      <c r="C76" t="s">
        <v>34</v>
      </c>
      <c r="D76">
        <v>2</v>
      </c>
      <c r="E76">
        <v>50201.69</v>
      </c>
      <c r="F76">
        <v>100403.38</v>
      </c>
    </row>
    <row r="77" spans="1:6" x14ac:dyDescent="0.25">
      <c r="A77" s="6">
        <v>45669</v>
      </c>
      <c r="B77" t="s">
        <v>30</v>
      </c>
      <c r="C77" t="s">
        <v>34</v>
      </c>
      <c r="D77">
        <v>16</v>
      </c>
      <c r="E77">
        <v>48771</v>
      </c>
      <c r="F77">
        <v>780336</v>
      </c>
    </row>
    <row r="78" spans="1:6" x14ac:dyDescent="0.25">
      <c r="A78" s="6">
        <v>45829</v>
      </c>
      <c r="B78" t="s">
        <v>23</v>
      </c>
      <c r="C78" t="s">
        <v>52</v>
      </c>
      <c r="D78">
        <v>19</v>
      </c>
      <c r="E78">
        <v>75350.929999999993</v>
      </c>
      <c r="F78">
        <v>1431667.67</v>
      </c>
    </row>
    <row r="79" spans="1:6" x14ac:dyDescent="0.25">
      <c r="A79" s="6">
        <v>45661</v>
      </c>
      <c r="B79" t="s">
        <v>32</v>
      </c>
      <c r="C79" t="s">
        <v>50</v>
      </c>
      <c r="D79">
        <v>1</v>
      </c>
      <c r="E79">
        <v>34537.449999999997</v>
      </c>
      <c r="F79">
        <v>34537.449999999997</v>
      </c>
    </row>
    <row r="80" spans="1:6" x14ac:dyDescent="0.25">
      <c r="A80" s="6">
        <v>45852</v>
      </c>
      <c r="B80" t="s">
        <v>25</v>
      </c>
      <c r="C80" t="s">
        <v>35</v>
      </c>
      <c r="D80">
        <v>9</v>
      </c>
      <c r="E80">
        <v>46439.68</v>
      </c>
      <c r="F80">
        <v>417957.12</v>
      </c>
    </row>
    <row r="81" spans="1:6" x14ac:dyDescent="0.25">
      <c r="A81" s="6">
        <v>45926</v>
      </c>
      <c r="B81" t="s">
        <v>25</v>
      </c>
      <c r="C81" t="s">
        <v>28</v>
      </c>
      <c r="D81">
        <v>14</v>
      </c>
      <c r="E81">
        <v>20863.310000000001</v>
      </c>
      <c r="F81">
        <v>292086.34000000003</v>
      </c>
    </row>
    <row r="82" spans="1:6" x14ac:dyDescent="0.25">
      <c r="A82" s="6">
        <v>45902</v>
      </c>
      <c r="B82" t="s">
        <v>25</v>
      </c>
      <c r="C82" t="s">
        <v>29</v>
      </c>
      <c r="D82">
        <v>15</v>
      </c>
      <c r="E82">
        <v>25131.55</v>
      </c>
      <c r="F82">
        <v>376973.25</v>
      </c>
    </row>
    <row r="83" spans="1:6" x14ac:dyDescent="0.25">
      <c r="A83" s="6">
        <v>45822</v>
      </c>
      <c r="B83" t="s">
        <v>23</v>
      </c>
      <c r="C83" t="s">
        <v>53</v>
      </c>
      <c r="D83">
        <v>14</v>
      </c>
      <c r="E83">
        <v>30522.240000000002</v>
      </c>
      <c r="F83">
        <v>427311.35999999999</v>
      </c>
    </row>
    <row r="84" spans="1:6" x14ac:dyDescent="0.25">
      <c r="A84" s="6">
        <v>45879</v>
      </c>
      <c r="B84" t="s">
        <v>30</v>
      </c>
      <c r="C84" t="s">
        <v>34</v>
      </c>
      <c r="D84">
        <v>2</v>
      </c>
      <c r="E84">
        <v>1156.44</v>
      </c>
      <c r="F84">
        <v>2312.88</v>
      </c>
    </row>
    <row r="85" spans="1:6" x14ac:dyDescent="0.25">
      <c r="A85" s="6">
        <v>45734</v>
      </c>
      <c r="B85" t="s">
        <v>30</v>
      </c>
      <c r="C85" t="s">
        <v>46</v>
      </c>
      <c r="D85">
        <v>18</v>
      </c>
      <c r="E85">
        <v>91683.82</v>
      </c>
      <c r="F85">
        <v>1650308.76</v>
      </c>
    </row>
    <row r="86" spans="1:6" x14ac:dyDescent="0.25">
      <c r="A86" s="6">
        <v>45871</v>
      </c>
      <c r="B86" t="s">
        <v>23</v>
      </c>
      <c r="C86" t="s">
        <v>52</v>
      </c>
      <c r="D86">
        <v>10</v>
      </c>
      <c r="E86">
        <v>23760.69</v>
      </c>
      <c r="F86">
        <v>237606.9</v>
      </c>
    </row>
    <row r="87" spans="1:6" x14ac:dyDescent="0.25">
      <c r="A87" s="6">
        <v>45691</v>
      </c>
      <c r="B87" t="s">
        <v>23</v>
      </c>
      <c r="C87" t="s">
        <v>38</v>
      </c>
      <c r="D87">
        <v>17</v>
      </c>
      <c r="E87">
        <v>55833.75</v>
      </c>
      <c r="F87">
        <v>949173.75</v>
      </c>
    </row>
    <row r="88" spans="1:6" x14ac:dyDescent="0.25">
      <c r="A88" s="6">
        <v>45915</v>
      </c>
      <c r="B88" t="s">
        <v>23</v>
      </c>
      <c r="C88" t="s">
        <v>54</v>
      </c>
      <c r="D88">
        <v>8</v>
      </c>
      <c r="E88">
        <v>12733.39</v>
      </c>
      <c r="F88">
        <v>101867.12</v>
      </c>
    </row>
    <row r="89" spans="1:6" x14ac:dyDescent="0.25">
      <c r="A89" s="6">
        <v>45895</v>
      </c>
      <c r="B89" t="s">
        <v>23</v>
      </c>
      <c r="C89" t="s">
        <v>38</v>
      </c>
      <c r="D89">
        <v>12</v>
      </c>
      <c r="E89">
        <v>70684.179999999993</v>
      </c>
      <c r="F89">
        <v>848210.16</v>
      </c>
    </row>
    <row r="90" spans="1:6" x14ac:dyDescent="0.25">
      <c r="A90" s="6">
        <v>45697</v>
      </c>
      <c r="B90" t="s">
        <v>32</v>
      </c>
      <c r="C90" t="s">
        <v>49</v>
      </c>
      <c r="D90">
        <v>12</v>
      </c>
      <c r="E90">
        <v>82552.570000000007</v>
      </c>
      <c r="F90">
        <v>990630.84</v>
      </c>
    </row>
    <row r="91" spans="1:6" x14ac:dyDescent="0.25">
      <c r="A91" s="6">
        <v>45880</v>
      </c>
      <c r="B91" t="s">
        <v>30</v>
      </c>
      <c r="C91" t="s">
        <v>46</v>
      </c>
      <c r="D91">
        <v>10</v>
      </c>
      <c r="E91">
        <v>33635</v>
      </c>
      <c r="F91">
        <v>336350</v>
      </c>
    </row>
    <row r="92" spans="1:6" x14ac:dyDescent="0.25">
      <c r="A92" s="6">
        <v>45773</v>
      </c>
      <c r="B92" t="s">
        <v>30</v>
      </c>
      <c r="C92" t="s">
        <v>36</v>
      </c>
      <c r="D92">
        <v>17</v>
      </c>
      <c r="E92">
        <v>45099.78</v>
      </c>
      <c r="F92">
        <v>766696.26</v>
      </c>
    </row>
    <row r="93" spans="1:6" x14ac:dyDescent="0.25">
      <c r="A93" s="6">
        <v>45857</v>
      </c>
      <c r="B93" t="s">
        <v>23</v>
      </c>
      <c r="C93" t="s">
        <v>47</v>
      </c>
      <c r="D93">
        <v>12</v>
      </c>
      <c r="E93">
        <v>70555.53</v>
      </c>
      <c r="F93">
        <v>846666.36</v>
      </c>
    </row>
    <row r="94" spans="1:6" x14ac:dyDescent="0.25">
      <c r="A94" s="6">
        <v>45877</v>
      </c>
      <c r="B94" t="s">
        <v>25</v>
      </c>
      <c r="C94" t="s">
        <v>35</v>
      </c>
      <c r="D94">
        <v>11</v>
      </c>
      <c r="E94">
        <v>35096.160000000003</v>
      </c>
      <c r="F94">
        <v>386057.76</v>
      </c>
    </row>
    <row r="95" spans="1:6" x14ac:dyDescent="0.25">
      <c r="A95" s="6">
        <v>45750</v>
      </c>
      <c r="B95" t="s">
        <v>25</v>
      </c>
      <c r="C95" t="s">
        <v>35</v>
      </c>
      <c r="D95">
        <v>10</v>
      </c>
      <c r="E95">
        <v>5028.37</v>
      </c>
      <c r="F95">
        <v>50283.7</v>
      </c>
    </row>
    <row r="96" spans="1:6" x14ac:dyDescent="0.25">
      <c r="A96" s="6">
        <v>45882</v>
      </c>
      <c r="B96" t="s">
        <v>25</v>
      </c>
      <c r="C96" t="s">
        <v>35</v>
      </c>
      <c r="D96">
        <v>4</v>
      </c>
      <c r="E96">
        <v>87571.54</v>
      </c>
      <c r="F96">
        <v>350286.16</v>
      </c>
    </row>
    <row r="97" spans="1:6" x14ac:dyDescent="0.25">
      <c r="A97" s="6">
        <v>45834</v>
      </c>
      <c r="B97" t="s">
        <v>40</v>
      </c>
      <c r="C97" t="s">
        <v>48</v>
      </c>
      <c r="D97">
        <v>8</v>
      </c>
      <c r="E97">
        <v>97511.58</v>
      </c>
      <c r="F97">
        <v>780092.64</v>
      </c>
    </row>
    <row r="98" spans="1:6" x14ac:dyDescent="0.25">
      <c r="A98" s="6">
        <v>45727</v>
      </c>
      <c r="B98" t="s">
        <v>40</v>
      </c>
      <c r="C98" t="s">
        <v>48</v>
      </c>
      <c r="D98">
        <v>2</v>
      </c>
      <c r="E98">
        <v>99893.3</v>
      </c>
      <c r="F98">
        <v>199786.6</v>
      </c>
    </row>
    <row r="99" spans="1:6" x14ac:dyDescent="0.25">
      <c r="A99" s="6">
        <v>45886</v>
      </c>
      <c r="B99" t="s">
        <v>32</v>
      </c>
      <c r="C99" t="s">
        <v>49</v>
      </c>
      <c r="D99">
        <v>17</v>
      </c>
      <c r="E99">
        <v>51303.43</v>
      </c>
      <c r="F99">
        <v>872158.31</v>
      </c>
    </row>
    <row r="100" spans="1:6" x14ac:dyDescent="0.25">
      <c r="A100" s="6">
        <v>45749</v>
      </c>
      <c r="B100" t="s">
        <v>30</v>
      </c>
      <c r="C100" t="s">
        <v>36</v>
      </c>
      <c r="D100">
        <v>17</v>
      </c>
      <c r="E100">
        <v>34975.620000000003</v>
      </c>
      <c r="F100">
        <v>594585.54</v>
      </c>
    </row>
    <row r="101" spans="1:6" x14ac:dyDescent="0.25">
      <c r="A101" s="6">
        <v>45676</v>
      </c>
      <c r="B101" t="s">
        <v>25</v>
      </c>
      <c r="C101" t="s">
        <v>28</v>
      </c>
      <c r="D101">
        <v>9</v>
      </c>
      <c r="E101">
        <v>83916.34</v>
      </c>
      <c r="F101">
        <v>755247.06</v>
      </c>
    </row>
    <row r="102" spans="1:6" x14ac:dyDescent="0.25">
      <c r="A102" s="6">
        <v>45781</v>
      </c>
      <c r="B102" t="s">
        <v>40</v>
      </c>
      <c r="C102" t="s">
        <v>51</v>
      </c>
      <c r="D102">
        <v>1</v>
      </c>
      <c r="E102">
        <v>1375.89</v>
      </c>
      <c r="F102">
        <v>1375.89</v>
      </c>
    </row>
    <row r="103" spans="1:6" x14ac:dyDescent="0.25">
      <c r="A103" s="6">
        <v>45710</v>
      </c>
      <c r="B103" t="s">
        <v>40</v>
      </c>
      <c r="C103" t="s">
        <v>48</v>
      </c>
      <c r="D103">
        <v>9</v>
      </c>
      <c r="E103">
        <v>86266.62</v>
      </c>
      <c r="F103">
        <v>776399.58</v>
      </c>
    </row>
    <row r="104" spans="1:6" x14ac:dyDescent="0.25">
      <c r="A104" s="6">
        <v>45802</v>
      </c>
      <c r="B104" t="s">
        <v>32</v>
      </c>
      <c r="C104" t="s">
        <v>33</v>
      </c>
      <c r="D104">
        <v>17</v>
      </c>
      <c r="E104">
        <v>18588.89</v>
      </c>
      <c r="F104">
        <v>316011.13</v>
      </c>
    </row>
    <row r="105" spans="1:6" x14ac:dyDescent="0.25">
      <c r="A105" s="6">
        <v>45730</v>
      </c>
      <c r="B105" t="s">
        <v>25</v>
      </c>
      <c r="C105" t="s">
        <v>29</v>
      </c>
      <c r="D105">
        <v>3</v>
      </c>
      <c r="E105">
        <v>69998.039999999994</v>
      </c>
      <c r="F105">
        <v>209994.12</v>
      </c>
    </row>
    <row r="106" spans="1:6" x14ac:dyDescent="0.25">
      <c r="A106" s="6">
        <v>45903</v>
      </c>
      <c r="B106" t="s">
        <v>32</v>
      </c>
      <c r="C106" t="s">
        <v>42</v>
      </c>
      <c r="D106">
        <v>7</v>
      </c>
      <c r="E106">
        <v>18738.5</v>
      </c>
      <c r="F106">
        <v>131169.5</v>
      </c>
    </row>
    <row r="107" spans="1:6" x14ac:dyDescent="0.25">
      <c r="A107" s="6">
        <v>45738</v>
      </c>
      <c r="B107" t="s">
        <v>40</v>
      </c>
      <c r="C107" t="s">
        <v>43</v>
      </c>
      <c r="D107">
        <v>17</v>
      </c>
      <c r="E107">
        <v>31564.86</v>
      </c>
      <c r="F107">
        <v>536602.62</v>
      </c>
    </row>
    <row r="108" spans="1:6" x14ac:dyDescent="0.25">
      <c r="A108" s="6">
        <v>45877</v>
      </c>
      <c r="B108" t="s">
        <v>30</v>
      </c>
      <c r="C108" t="s">
        <v>31</v>
      </c>
      <c r="D108">
        <v>7</v>
      </c>
      <c r="E108">
        <v>20611.64</v>
      </c>
      <c r="F108">
        <v>144281.48000000001</v>
      </c>
    </row>
    <row r="109" spans="1:6" x14ac:dyDescent="0.25">
      <c r="A109" s="6">
        <v>45893</v>
      </c>
      <c r="B109" t="s">
        <v>32</v>
      </c>
      <c r="C109" t="s">
        <v>33</v>
      </c>
      <c r="D109">
        <v>18</v>
      </c>
      <c r="E109">
        <v>43003.38</v>
      </c>
      <c r="F109">
        <v>774060.84</v>
      </c>
    </row>
    <row r="110" spans="1:6" x14ac:dyDescent="0.25">
      <c r="A110" s="6">
        <v>45765</v>
      </c>
      <c r="B110" t="s">
        <v>25</v>
      </c>
      <c r="C110" t="s">
        <v>26</v>
      </c>
      <c r="D110">
        <v>11</v>
      </c>
      <c r="E110">
        <v>93410.16</v>
      </c>
      <c r="F110">
        <v>1027511.76</v>
      </c>
    </row>
    <row r="111" spans="1:6" x14ac:dyDescent="0.25">
      <c r="A111" s="6">
        <v>45843</v>
      </c>
      <c r="B111" t="s">
        <v>40</v>
      </c>
      <c r="C111" t="s">
        <v>51</v>
      </c>
      <c r="D111">
        <v>3</v>
      </c>
      <c r="E111">
        <v>26350.31</v>
      </c>
      <c r="F111">
        <v>79050.929999999993</v>
      </c>
    </row>
    <row r="112" spans="1:6" x14ac:dyDescent="0.25">
      <c r="A112" s="6">
        <v>45902</v>
      </c>
      <c r="B112" t="s">
        <v>30</v>
      </c>
      <c r="C112" t="s">
        <v>46</v>
      </c>
      <c r="D112">
        <v>15</v>
      </c>
      <c r="E112">
        <v>42036</v>
      </c>
      <c r="F112">
        <v>630540</v>
      </c>
    </row>
    <row r="113" spans="1:6" x14ac:dyDescent="0.25">
      <c r="A113" s="6">
        <v>45827</v>
      </c>
      <c r="B113" t="s">
        <v>23</v>
      </c>
      <c r="C113" t="s">
        <v>24</v>
      </c>
      <c r="D113">
        <v>9</v>
      </c>
      <c r="E113">
        <v>12155.31</v>
      </c>
      <c r="F113">
        <v>109397.79</v>
      </c>
    </row>
    <row r="114" spans="1:6" x14ac:dyDescent="0.25">
      <c r="A114" s="6">
        <v>45915</v>
      </c>
      <c r="B114" t="s">
        <v>40</v>
      </c>
      <c r="C114" t="s">
        <v>43</v>
      </c>
      <c r="D114">
        <v>1</v>
      </c>
      <c r="E114">
        <v>73545.3</v>
      </c>
      <c r="F114">
        <v>73545.3</v>
      </c>
    </row>
    <row r="115" spans="1:6" x14ac:dyDescent="0.25">
      <c r="A115" s="6">
        <v>45927</v>
      </c>
      <c r="B115" t="s">
        <v>32</v>
      </c>
      <c r="C115" t="s">
        <v>39</v>
      </c>
      <c r="D115">
        <v>2</v>
      </c>
      <c r="E115">
        <v>65437.34</v>
      </c>
      <c r="F115">
        <v>130874.68</v>
      </c>
    </row>
    <row r="116" spans="1:6" x14ac:dyDescent="0.25">
      <c r="A116" s="6">
        <v>45786</v>
      </c>
      <c r="B116" t="s">
        <v>23</v>
      </c>
      <c r="C116" t="s">
        <v>47</v>
      </c>
      <c r="D116">
        <v>11</v>
      </c>
      <c r="E116">
        <v>29236.11</v>
      </c>
      <c r="F116">
        <v>321597.21000000002</v>
      </c>
    </row>
    <row r="117" spans="1:6" x14ac:dyDescent="0.25">
      <c r="A117" s="6">
        <v>45751</v>
      </c>
      <c r="B117" t="s">
        <v>25</v>
      </c>
      <c r="C117" t="s">
        <v>28</v>
      </c>
      <c r="D117">
        <v>16</v>
      </c>
      <c r="E117">
        <v>77717.03</v>
      </c>
      <c r="F117">
        <v>1243472.48</v>
      </c>
    </row>
    <row r="118" spans="1:6" x14ac:dyDescent="0.25">
      <c r="A118" s="6">
        <v>45928</v>
      </c>
      <c r="B118" t="s">
        <v>25</v>
      </c>
      <c r="C118" t="s">
        <v>28</v>
      </c>
      <c r="D118">
        <v>19</v>
      </c>
      <c r="E118">
        <v>98993.44</v>
      </c>
      <c r="F118">
        <v>1880875.36</v>
      </c>
    </row>
    <row r="119" spans="1:6" x14ac:dyDescent="0.25">
      <c r="A119" s="6">
        <v>45892</v>
      </c>
      <c r="B119" t="s">
        <v>23</v>
      </c>
      <c r="C119" t="s">
        <v>24</v>
      </c>
      <c r="D119">
        <v>5</v>
      </c>
      <c r="E119">
        <v>60451.15</v>
      </c>
      <c r="F119">
        <v>302255.75</v>
      </c>
    </row>
    <row r="120" spans="1:6" x14ac:dyDescent="0.25">
      <c r="A120" s="6">
        <v>45707</v>
      </c>
      <c r="B120" t="s">
        <v>32</v>
      </c>
      <c r="C120" t="s">
        <v>42</v>
      </c>
      <c r="D120">
        <v>6</v>
      </c>
      <c r="E120">
        <v>70122.73</v>
      </c>
      <c r="F120">
        <v>420736.38</v>
      </c>
    </row>
    <row r="121" spans="1:6" x14ac:dyDescent="0.25">
      <c r="A121" s="6">
        <v>45877</v>
      </c>
      <c r="B121" t="s">
        <v>25</v>
      </c>
      <c r="C121" t="s">
        <v>26</v>
      </c>
      <c r="D121">
        <v>10</v>
      </c>
      <c r="E121">
        <v>47501.81</v>
      </c>
      <c r="F121">
        <v>475018.1</v>
      </c>
    </row>
    <row r="122" spans="1:6" x14ac:dyDescent="0.25">
      <c r="A122" s="6">
        <v>45859</v>
      </c>
      <c r="B122" t="s">
        <v>25</v>
      </c>
      <c r="C122" t="s">
        <v>29</v>
      </c>
      <c r="D122">
        <v>6</v>
      </c>
      <c r="E122">
        <v>35873.550000000003</v>
      </c>
      <c r="F122">
        <v>215241.3</v>
      </c>
    </row>
    <row r="123" spans="1:6" x14ac:dyDescent="0.25">
      <c r="A123" s="6">
        <v>45673</v>
      </c>
      <c r="B123" t="s">
        <v>32</v>
      </c>
      <c r="C123" t="s">
        <v>39</v>
      </c>
      <c r="D123">
        <v>16</v>
      </c>
      <c r="E123">
        <v>62912.28</v>
      </c>
      <c r="F123">
        <v>1006596.48</v>
      </c>
    </row>
    <row r="124" spans="1:6" x14ac:dyDescent="0.25">
      <c r="A124" s="6">
        <v>45872</v>
      </c>
      <c r="B124" t="s">
        <v>32</v>
      </c>
      <c r="C124" t="s">
        <v>50</v>
      </c>
      <c r="D124">
        <v>8</v>
      </c>
      <c r="E124">
        <v>20243.98</v>
      </c>
      <c r="F124">
        <v>161951.84</v>
      </c>
    </row>
    <row r="125" spans="1:6" x14ac:dyDescent="0.25">
      <c r="A125" s="6">
        <v>45739</v>
      </c>
      <c r="B125" t="s">
        <v>30</v>
      </c>
      <c r="C125" t="s">
        <v>31</v>
      </c>
      <c r="D125">
        <v>14</v>
      </c>
      <c r="E125">
        <v>58486.25</v>
      </c>
      <c r="F125">
        <v>818807.5</v>
      </c>
    </row>
    <row r="126" spans="1:6" x14ac:dyDescent="0.25">
      <c r="A126" s="6">
        <v>45780</v>
      </c>
      <c r="B126" t="s">
        <v>32</v>
      </c>
      <c r="C126" t="s">
        <v>33</v>
      </c>
      <c r="D126">
        <v>11</v>
      </c>
      <c r="E126">
        <v>5649.77</v>
      </c>
      <c r="F126">
        <v>62147.47</v>
      </c>
    </row>
    <row r="127" spans="1:6" x14ac:dyDescent="0.25">
      <c r="A127" s="6">
        <v>45891</v>
      </c>
      <c r="B127" t="s">
        <v>30</v>
      </c>
      <c r="C127" t="s">
        <v>36</v>
      </c>
      <c r="D127">
        <v>18</v>
      </c>
      <c r="E127">
        <v>38550.15</v>
      </c>
      <c r="F127">
        <v>693902.7</v>
      </c>
    </row>
    <row r="128" spans="1:6" x14ac:dyDescent="0.25">
      <c r="A128" s="6">
        <v>45732</v>
      </c>
      <c r="B128" t="s">
        <v>23</v>
      </c>
      <c r="C128" t="s">
        <v>24</v>
      </c>
      <c r="D128">
        <v>12</v>
      </c>
      <c r="E128">
        <v>38396.300000000003</v>
      </c>
      <c r="F128">
        <v>460755.6</v>
      </c>
    </row>
    <row r="129" spans="1:6" x14ac:dyDescent="0.25">
      <c r="A129" s="6">
        <v>45849</v>
      </c>
      <c r="B129" t="s">
        <v>30</v>
      </c>
      <c r="C129" t="s">
        <v>31</v>
      </c>
      <c r="D129">
        <v>14</v>
      </c>
      <c r="E129">
        <v>96426.95</v>
      </c>
      <c r="F129">
        <v>1349977.3</v>
      </c>
    </row>
    <row r="130" spans="1:6" x14ac:dyDescent="0.25">
      <c r="A130" s="6">
        <v>45842</v>
      </c>
      <c r="B130" t="s">
        <v>30</v>
      </c>
      <c r="C130" t="s">
        <v>31</v>
      </c>
      <c r="D130">
        <v>5</v>
      </c>
      <c r="E130">
        <v>83716.06</v>
      </c>
      <c r="F130">
        <v>418580.3</v>
      </c>
    </row>
    <row r="131" spans="1:6" x14ac:dyDescent="0.25">
      <c r="A131" s="6">
        <v>45877</v>
      </c>
      <c r="B131" t="s">
        <v>40</v>
      </c>
      <c r="C131" t="s">
        <v>43</v>
      </c>
      <c r="D131">
        <v>18</v>
      </c>
      <c r="E131">
        <v>69065.240000000005</v>
      </c>
      <c r="F131">
        <v>1243174.32</v>
      </c>
    </row>
    <row r="132" spans="1:6" x14ac:dyDescent="0.25">
      <c r="A132" s="6">
        <v>45834</v>
      </c>
      <c r="B132" t="s">
        <v>30</v>
      </c>
      <c r="C132" t="s">
        <v>36</v>
      </c>
      <c r="D132">
        <v>7</v>
      </c>
      <c r="E132">
        <v>2576.31</v>
      </c>
      <c r="F132">
        <v>18034.169999999998</v>
      </c>
    </row>
    <row r="133" spans="1:6" x14ac:dyDescent="0.25">
      <c r="A133" s="6">
        <v>45916</v>
      </c>
      <c r="B133" t="s">
        <v>23</v>
      </c>
      <c r="C133" t="s">
        <v>52</v>
      </c>
      <c r="D133">
        <v>4</v>
      </c>
      <c r="E133">
        <v>36686.379999999997</v>
      </c>
      <c r="F133">
        <v>146745.51999999999</v>
      </c>
    </row>
    <row r="134" spans="1:6" x14ac:dyDescent="0.25">
      <c r="A134" s="6">
        <v>45729</v>
      </c>
      <c r="B134" t="s">
        <v>23</v>
      </c>
      <c r="C134" t="s">
        <v>52</v>
      </c>
      <c r="D134">
        <v>5</v>
      </c>
      <c r="E134">
        <v>7147.92</v>
      </c>
      <c r="F134">
        <v>35739.599999999999</v>
      </c>
    </row>
    <row r="135" spans="1:6" x14ac:dyDescent="0.25">
      <c r="A135" s="6">
        <v>45732</v>
      </c>
      <c r="B135" t="s">
        <v>25</v>
      </c>
      <c r="C135" t="s">
        <v>29</v>
      </c>
      <c r="D135">
        <v>14</v>
      </c>
      <c r="E135">
        <v>32250.27</v>
      </c>
      <c r="F135">
        <v>451503.78</v>
      </c>
    </row>
    <row r="136" spans="1:6" x14ac:dyDescent="0.25">
      <c r="A136" s="6">
        <v>45778</v>
      </c>
      <c r="B136" t="s">
        <v>32</v>
      </c>
      <c r="C136" t="s">
        <v>33</v>
      </c>
      <c r="D136">
        <v>12</v>
      </c>
      <c r="E136">
        <v>5947.92</v>
      </c>
      <c r="F136">
        <v>71375.039999999994</v>
      </c>
    </row>
    <row r="137" spans="1:6" x14ac:dyDescent="0.25">
      <c r="A137" s="6">
        <v>45859</v>
      </c>
      <c r="B137" t="s">
        <v>40</v>
      </c>
      <c r="C137" t="s">
        <v>44</v>
      </c>
      <c r="D137">
        <v>2</v>
      </c>
      <c r="E137">
        <v>86539.04</v>
      </c>
      <c r="F137">
        <v>173078.08</v>
      </c>
    </row>
    <row r="138" spans="1:6" x14ac:dyDescent="0.25">
      <c r="A138" s="6">
        <v>45749</v>
      </c>
      <c r="B138" t="s">
        <v>23</v>
      </c>
      <c r="C138" t="s">
        <v>52</v>
      </c>
      <c r="D138">
        <v>16</v>
      </c>
      <c r="E138">
        <v>28552.93</v>
      </c>
      <c r="F138">
        <v>456846.88</v>
      </c>
    </row>
    <row r="139" spans="1:6" x14ac:dyDescent="0.25">
      <c r="A139" s="6">
        <v>45909</v>
      </c>
      <c r="B139" t="s">
        <v>23</v>
      </c>
      <c r="C139" t="s">
        <v>52</v>
      </c>
      <c r="D139">
        <v>19</v>
      </c>
      <c r="E139">
        <v>49708.38</v>
      </c>
      <c r="F139">
        <v>944459.22</v>
      </c>
    </row>
    <row r="140" spans="1:6" x14ac:dyDescent="0.25">
      <c r="A140" s="6">
        <v>45875</v>
      </c>
      <c r="B140" t="s">
        <v>25</v>
      </c>
      <c r="C140" t="s">
        <v>28</v>
      </c>
      <c r="D140">
        <v>17</v>
      </c>
      <c r="E140">
        <v>43988.54</v>
      </c>
      <c r="F140">
        <v>747805.18</v>
      </c>
    </row>
    <row r="141" spans="1:6" x14ac:dyDescent="0.25">
      <c r="A141" s="6">
        <v>45669</v>
      </c>
      <c r="B141" t="s">
        <v>30</v>
      </c>
      <c r="C141" t="s">
        <v>34</v>
      </c>
      <c r="D141">
        <v>10</v>
      </c>
      <c r="E141">
        <v>19795.46</v>
      </c>
      <c r="F141">
        <v>197954.6</v>
      </c>
    </row>
    <row r="142" spans="1:6" x14ac:dyDescent="0.25">
      <c r="A142" s="6">
        <v>45705</v>
      </c>
      <c r="B142" t="s">
        <v>32</v>
      </c>
      <c r="C142" t="s">
        <v>39</v>
      </c>
      <c r="D142">
        <v>9</v>
      </c>
      <c r="E142">
        <v>35832.959999999999</v>
      </c>
      <c r="F142">
        <v>322496.64000000001</v>
      </c>
    </row>
    <row r="143" spans="1:6" x14ac:dyDescent="0.25">
      <c r="A143" s="6">
        <v>45810</v>
      </c>
      <c r="B143" t="s">
        <v>30</v>
      </c>
      <c r="C143" t="s">
        <v>46</v>
      </c>
      <c r="D143">
        <v>12</v>
      </c>
      <c r="E143">
        <v>29118.2</v>
      </c>
      <c r="F143">
        <v>349418.4</v>
      </c>
    </row>
    <row r="144" spans="1:6" x14ac:dyDescent="0.25">
      <c r="A144" s="6">
        <v>45764</v>
      </c>
      <c r="B144" t="s">
        <v>32</v>
      </c>
      <c r="C144" t="s">
        <v>50</v>
      </c>
      <c r="D144">
        <v>3</v>
      </c>
      <c r="E144">
        <v>63433.36</v>
      </c>
      <c r="F144">
        <v>190300.08</v>
      </c>
    </row>
    <row r="145" spans="1:6" x14ac:dyDescent="0.25">
      <c r="A145" s="6">
        <v>45798</v>
      </c>
      <c r="B145" t="s">
        <v>25</v>
      </c>
      <c r="C145" t="s">
        <v>35</v>
      </c>
      <c r="D145">
        <v>16</v>
      </c>
      <c r="E145">
        <v>83793.710000000006</v>
      </c>
      <c r="F145">
        <v>1340699.3600000001</v>
      </c>
    </row>
    <row r="146" spans="1:6" x14ac:dyDescent="0.25">
      <c r="A146" s="6">
        <v>45878</v>
      </c>
      <c r="B146" t="s">
        <v>40</v>
      </c>
      <c r="C146" t="s">
        <v>48</v>
      </c>
      <c r="D146">
        <v>3</v>
      </c>
      <c r="E146">
        <v>70205.5</v>
      </c>
      <c r="F146">
        <v>210616.5</v>
      </c>
    </row>
    <row r="147" spans="1:6" x14ac:dyDescent="0.25">
      <c r="A147" s="6">
        <v>45667</v>
      </c>
      <c r="B147" t="s">
        <v>32</v>
      </c>
      <c r="C147" t="s">
        <v>33</v>
      </c>
      <c r="D147">
        <v>18</v>
      </c>
      <c r="E147">
        <v>75990.23</v>
      </c>
      <c r="F147">
        <v>1367824.14</v>
      </c>
    </row>
    <row r="148" spans="1:6" x14ac:dyDescent="0.25">
      <c r="A148" s="6">
        <v>45883</v>
      </c>
      <c r="B148" t="s">
        <v>25</v>
      </c>
      <c r="C148" t="s">
        <v>28</v>
      </c>
      <c r="D148">
        <v>14</v>
      </c>
      <c r="E148">
        <v>17749.11</v>
      </c>
      <c r="F148">
        <v>248487.54</v>
      </c>
    </row>
    <row r="149" spans="1:6" x14ac:dyDescent="0.25">
      <c r="A149" s="6">
        <v>45741</v>
      </c>
      <c r="B149" t="s">
        <v>30</v>
      </c>
      <c r="C149" t="s">
        <v>34</v>
      </c>
      <c r="D149">
        <v>9</v>
      </c>
      <c r="E149">
        <v>86841.67</v>
      </c>
      <c r="F149">
        <v>781575.03</v>
      </c>
    </row>
    <row r="150" spans="1:6" x14ac:dyDescent="0.25">
      <c r="A150" s="6">
        <v>45880</v>
      </c>
      <c r="B150" t="s">
        <v>32</v>
      </c>
      <c r="C150" t="s">
        <v>39</v>
      </c>
      <c r="D150">
        <v>5</v>
      </c>
      <c r="E150">
        <v>1223.68</v>
      </c>
      <c r="F150">
        <v>6118.4</v>
      </c>
    </row>
    <row r="151" spans="1:6" x14ac:dyDescent="0.25">
      <c r="A151" s="6">
        <v>45832</v>
      </c>
      <c r="B151" t="s">
        <v>30</v>
      </c>
      <c r="C151" t="s">
        <v>36</v>
      </c>
      <c r="D151">
        <v>3</v>
      </c>
      <c r="E151">
        <v>31587.77</v>
      </c>
      <c r="F151">
        <v>94763.31</v>
      </c>
    </row>
    <row r="152" spans="1:6" x14ac:dyDescent="0.25">
      <c r="A152" s="6">
        <v>45674</v>
      </c>
      <c r="B152" t="s">
        <v>40</v>
      </c>
      <c r="C152" t="s">
        <v>44</v>
      </c>
      <c r="D152">
        <v>19</v>
      </c>
      <c r="E152">
        <v>41181.82</v>
      </c>
      <c r="F152">
        <v>782454.58</v>
      </c>
    </row>
    <row r="153" spans="1:6" x14ac:dyDescent="0.25">
      <c r="A153" s="6">
        <v>45827</v>
      </c>
      <c r="B153" t="s">
        <v>23</v>
      </c>
      <c r="C153" t="s">
        <v>47</v>
      </c>
      <c r="D153">
        <v>7</v>
      </c>
      <c r="E153">
        <v>81570.649999999994</v>
      </c>
      <c r="F153">
        <v>570994.55000000005</v>
      </c>
    </row>
    <row r="154" spans="1:6" x14ac:dyDescent="0.25">
      <c r="A154" s="6">
        <v>45706</v>
      </c>
      <c r="B154" t="s">
        <v>40</v>
      </c>
      <c r="C154" t="s">
        <v>43</v>
      </c>
      <c r="D154">
        <v>12</v>
      </c>
      <c r="E154">
        <v>55960.73</v>
      </c>
      <c r="F154">
        <v>671528.76</v>
      </c>
    </row>
    <row r="155" spans="1:6" x14ac:dyDescent="0.25">
      <c r="A155" s="6">
        <v>45847</v>
      </c>
      <c r="B155" t="s">
        <v>25</v>
      </c>
      <c r="C155" t="s">
        <v>27</v>
      </c>
      <c r="D155">
        <v>12</v>
      </c>
      <c r="E155">
        <v>64714.74</v>
      </c>
      <c r="F155">
        <v>776576.88</v>
      </c>
    </row>
    <row r="156" spans="1:6" x14ac:dyDescent="0.25">
      <c r="A156" s="6">
        <v>45818</v>
      </c>
      <c r="B156" t="s">
        <v>23</v>
      </c>
      <c r="C156" t="s">
        <v>24</v>
      </c>
      <c r="D156">
        <v>6</v>
      </c>
      <c r="E156">
        <v>76113.98</v>
      </c>
      <c r="F156">
        <v>456683.88</v>
      </c>
    </row>
    <row r="157" spans="1:6" x14ac:dyDescent="0.25">
      <c r="A157" s="6">
        <v>45662</v>
      </c>
      <c r="B157" t="s">
        <v>30</v>
      </c>
      <c r="C157" t="s">
        <v>46</v>
      </c>
      <c r="D157">
        <v>13</v>
      </c>
      <c r="E157">
        <v>58780.23</v>
      </c>
      <c r="F157">
        <v>764142.99</v>
      </c>
    </row>
    <row r="158" spans="1:6" x14ac:dyDescent="0.25">
      <c r="A158" s="6">
        <v>45926</v>
      </c>
      <c r="B158" t="s">
        <v>23</v>
      </c>
      <c r="C158" t="s">
        <v>47</v>
      </c>
      <c r="D158">
        <v>12</v>
      </c>
      <c r="E158">
        <v>48853.95</v>
      </c>
      <c r="F158">
        <v>586247.4</v>
      </c>
    </row>
    <row r="159" spans="1:6" x14ac:dyDescent="0.25">
      <c r="A159" s="6">
        <v>45798</v>
      </c>
      <c r="B159" t="s">
        <v>32</v>
      </c>
      <c r="C159" t="s">
        <v>33</v>
      </c>
      <c r="D159">
        <v>8</v>
      </c>
      <c r="E159">
        <v>6023.73</v>
      </c>
      <c r="F159">
        <v>48189.84</v>
      </c>
    </row>
    <row r="160" spans="1:6" x14ac:dyDescent="0.25">
      <c r="A160" s="6">
        <v>45810</v>
      </c>
      <c r="B160" t="s">
        <v>40</v>
      </c>
      <c r="C160" t="s">
        <v>51</v>
      </c>
      <c r="D160">
        <v>17</v>
      </c>
      <c r="E160">
        <v>71424.679999999993</v>
      </c>
      <c r="F160">
        <v>1214219.56</v>
      </c>
    </row>
    <row r="161" spans="1:6" x14ac:dyDescent="0.25">
      <c r="A161" s="6">
        <v>45788</v>
      </c>
      <c r="B161" t="s">
        <v>25</v>
      </c>
      <c r="C161" t="s">
        <v>26</v>
      </c>
      <c r="D161">
        <v>12</v>
      </c>
      <c r="E161">
        <v>2211.31</v>
      </c>
      <c r="F161">
        <v>26535.72</v>
      </c>
    </row>
    <row r="162" spans="1:6" x14ac:dyDescent="0.25">
      <c r="A162" s="6">
        <v>45728</v>
      </c>
      <c r="B162" t="s">
        <v>40</v>
      </c>
      <c r="C162" t="s">
        <v>51</v>
      </c>
      <c r="D162">
        <v>18</v>
      </c>
      <c r="E162">
        <v>99450.41</v>
      </c>
      <c r="F162">
        <v>1790107.38</v>
      </c>
    </row>
    <row r="163" spans="1:6" x14ac:dyDescent="0.25">
      <c r="A163" s="6">
        <v>45814</v>
      </c>
      <c r="B163" t="s">
        <v>25</v>
      </c>
      <c r="C163" t="s">
        <v>26</v>
      </c>
      <c r="D163">
        <v>15</v>
      </c>
      <c r="E163">
        <v>20777.57</v>
      </c>
      <c r="F163">
        <v>311663.55</v>
      </c>
    </row>
    <row r="164" spans="1:6" x14ac:dyDescent="0.25">
      <c r="A164" s="6">
        <v>45684</v>
      </c>
      <c r="B164" t="s">
        <v>40</v>
      </c>
      <c r="C164" t="s">
        <v>43</v>
      </c>
      <c r="D164">
        <v>8</v>
      </c>
      <c r="E164">
        <v>44130.63</v>
      </c>
      <c r="F164">
        <v>353045.04</v>
      </c>
    </row>
    <row r="165" spans="1:6" x14ac:dyDescent="0.25">
      <c r="A165" s="6">
        <v>45670</v>
      </c>
      <c r="B165" t="s">
        <v>25</v>
      </c>
      <c r="C165" t="s">
        <v>27</v>
      </c>
      <c r="D165">
        <v>6</v>
      </c>
      <c r="E165">
        <v>42668.69</v>
      </c>
      <c r="F165">
        <v>256012.14</v>
      </c>
    </row>
    <row r="166" spans="1:6" x14ac:dyDescent="0.25">
      <c r="A166" s="6">
        <v>45753</v>
      </c>
      <c r="B166" t="s">
        <v>30</v>
      </c>
      <c r="C166" t="s">
        <v>46</v>
      </c>
      <c r="D166">
        <v>3</v>
      </c>
      <c r="E166">
        <v>98866.78</v>
      </c>
      <c r="F166">
        <v>296600.34000000003</v>
      </c>
    </row>
    <row r="167" spans="1:6" x14ac:dyDescent="0.25">
      <c r="A167" s="6">
        <v>45793</v>
      </c>
      <c r="B167" t="s">
        <v>25</v>
      </c>
      <c r="C167" t="s">
        <v>35</v>
      </c>
      <c r="D167">
        <v>18</v>
      </c>
      <c r="E167">
        <v>80608.509999999995</v>
      </c>
      <c r="F167">
        <v>1450953.18</v>
      </c>
    </row>
    <row r="168" spans="1:6" x14ac:dyDescent="0.25">
      <c r="A168" s="6">
        <v>45735</v>
      </c>
      <c r="B168" t="s">
        <v>32</v>
      </c>
      <c r="C168" t="s">
        <v>49</v>
      </c>
      <c r="D168">
        <v>13</v>
      </c>
      <c r="E168">
        <v>85795.08</v>
      </c>
      <c r="F168">
        <v>1115336.04</v>
      </c>
    </row>
    <row r="169" spans="1:6" x14ac:dyDescent="0.25">
      <c r="A169" s="6">
        <v>45821</v>
      </c>
      <c r="B169" t="s">
        <v>32</v>
      </c>
      <c r="C169" t="s">
        <v>39</v>
      </c>
      <c r="D169">
        <v>17</v>
      </c>
      <c r="E169">
        <v>84263.51</v>
      </c>
      <c r="F169">
        <v>1432479.67</v>
      </c>
    </row>
    <row r="170" spans="1:6" x14ac:dyDescent="0.25">
      <c r="A170" s="6">
        <v>45664</v>
      </c>
      <c r="B170" t="s">
        <v>30</v>
      </c>
      <c r="C170" t="s">
        <v>31</v>
      </c>
      <c r="D170">
        <v>13</v>
      </c>
      <c r="E170">
        <v>54761.3</v>
      </c>
      <c r="F170">
        <v>711896.9</v>
      </c>
    </row>
    <row r="171" spans="1:6" x14ac:dyDescent="0.25">
      <c r="A171" s="6">
        <v>45710</v>
      </c>
      <c r="B171" t="s">
        <v>23</v>
      </c>
      <c r="C171" t="s">
        <v>37</v>
      </c>
      <c r="D171">
        <v>1</v>
      </c>
      <c r="E171">
        <v>83119.149999999994</v>
      </c>
      <c r="F171">
        <v>83119.149999999994</v>
      </c>
    </row>
    <row r="172" spans="1:6" x14ac:dyDescent="0.25">
      <c r="A172" s="6">
        <v>45906</v>
      </c>
      <c r="B172" t="s">
        <v>25</v>
      </c>
      <c r="C172" t="s">
        <v>26</v>
      </c>
      <c r="D172">
        <v>15</v>
      </c>
      <c r="E172">
        <v>58925.93</v>
      </c>
      <c r="F172">
        <v>883888.95</v>
      </c>
    </row>
    <row r="173" spans="1:6" x14ac:dyDescent="0.25">
      <c r="A173" s="6">
        <v>45871</v>
      </c>
      <c r="B173" t="s">
        <v>23</v>
      </c>
      <c r="C173" t="s">
        <v>24</v>
      </c>
      <c r="D173">
        <v>18</v>
      </c>
      <c r="E173">
        <v>76046.34</v>
      </c>
      <c r="F173">
        <v>1368834.12</v>
      </c>
    </row>
    <row r="174" spans="1:6" x14ac:dyDescent="0.25">
      <c r="A174" s="6">
        <v>45923</v>
      </c>
      <c r="B174" t="s">
        <v>23</v>
      </c>
      <c r="C174" t="s">
        <v>54</v>
      </c>
      <c r="D174">
        <v>1</v>
      </c>
      <c r="E174">
        <v>81566.53</v>
      </c>
      <c r="F174">
        <v>81566.53</v>
      </c>
    </row>
    <row r="175" spans="1:6" x14ac:dyDescent="0.25">
      <c r="A175" s="6">
        <v>45860</v>
      </c>
      <c r="B175" t="s">
        <v>30</v>
      </c>
      <c r="C175" t="s">
        <v>45</v>
      </c>
      <c r="D175">
        <v>14</v>
      </c>
      <c r="E175">
        <v>61718.81</v>
      </c>
      <c r="F175">
        <v>864063.34</v>
      </c>
    </row>
    <row r="176" spans="1:6" x14ac:dyDescent="0.25">
      <c r="A176" s="6">
        <v>45699</v>
      </c>
      <c r="B176" t="s">
        <v>23</v>
      </c>
      <c r="C176" t="s">
        <v>38</v>
      </c>
      <c r="D176">
        <v>3</v>
      </c>
      <c r="E176">
        <v>41773.29</v>
      </c>
      <c r="F176">
        <v>125319.87</v>
      </c>
    </row>
    <row r="177" spans="1:6" x14ac:dyDescent="0.25">
      <c r="A177" s="6">
        <v>45789</v>
      </c>
      <c r="B177" t="s">
        <v>30</v>
      </c>
      <c r="C177" t="s">
        <v>34</v>
      </c>
      <c r="D177">
        <v>1</v>
      </c>
      <c r="E177">
        <v>2196.11</v>
      </c>
      <c r="F177">
        <v>2196.11</v>
      </c>
    </row>
    <row r="178" spans="1:6" x14ac:dyDescent="0.25">
      <c r="A178" s="6">
        <v>45797</v>
      </c>
      <c r="B178" t="s">
        <v>40</v>
      </c>
      <c r="C178" t="s">
        <v>51</v>
      </c>
      <c r="D178">
        <v>10</v>
      </c>
      <c r="E178">
        <v>85941.28</v>
      </c>
      <c r="F178">
        <v>859412.8</v>
      </c>
    </row>
    <row r="179" spans="1:6" x14ac:dyDescent="0.25">
      <c r="A179" s="6">
        <v>45914</v>
      </c>
      <c r="B179" t="s">
        <v>40</v>
      </c>
      <c r="C179" t="s">
        <v>41</v>
      </c>
      <c r="D179">
        <v>11</v>
      </c>
      <c r="E179">
        <v>69295.34</v>
      </c>
      <c r="F179">
        <v>762248.74</v>
      </c>
    </row>
    <row r="180" spans="1:6" x14ac:dyDescent="0.25">
      <c r="A180" s="6">
        <v>45793</v>
      </c>
      <c r="B180" t="s">
        <v>23</v>
      </c>
      <c r="C180" t="s">
        <v>24</v>
      </c>
      <c r="D180">
        <v>18</v>
      </c>
      <c r="E180">
        <v>93929.27</v>
      </c>
      <c r="F180">
        <v>1690726.86</v>
      </c>
    </row>
    <row r="181" spans="1:6" x14ac:dyDescent="0.25">
      <c r="A181" s="6">
        <v>45680</v>
      </c>
      <c r="B181" t="s">
        <v>25</v>
      </c>
      <c r="C181" t="s">
        <v>35</v>
      </c>
      <c r="D181">
        <v>17</v>
      </c>
      <c r="E181">
        <v>41616.97</v>
      </c>
      <c r="F181">
        <v>707488.49</v>
      </c>
    </row>
    <row r="182" spans="1:6" x14ac:dyDescent="0.25">
      <c r="A182" s="6">
        <v>45704</v>
      </c>
      <c r="B182" t="s">
        <v>30</v>
      </c>
      <c r="C182" t="s">
        <v>45</v>
      </c>
      <c r="D182">
        <v>18</v>
      </c>
      <c r="E182">
        <v>50177.37</v>
      </c>
      <c r="F182">
        <v>903192.66</v>
      </c>
    </row>
    <row r="183" spans="1:6" x14ac:dyDescent="0.25">
      <c r="A183" s="6">
        <v>45877</v>
      </c>
      <c r="B183" t="s">
        <v>23</v>
      </c>
      <c r="C183" t="s">
        <v>38</v>
      </c>
      <c r="D183">
        <v>9</v>
      </c>
      <c r="E183">
        <v>95143.23</v>
      </c>
      <c r="F183">
        <v>856289.07</v>
      </c>
    </row>
    <row r="184" spans="1:6" x14ac:dyDescent="0.25">
      <c r="A184" s="6">
        <v>45714</v>
      </c>
      <c r="B184" t="s">
        <v>25</v>
      </c>
      <c r="C184" t="s">
        <v>29</v>
      </c>
      <c r="D184">
        <v>18</v>
      </c>
      <c r="E184">
        <v>6252.24</v>
      </c>
      <c r="F184">
        <v>112540.32</v>
      </c>
    </row>
    <row r="185" spans="1:6" x14ac:dyDescent="0.25">
      <c r="A185" s="6">
        <v>45824</v>
      </c>
      <c r="B185" t="s">
        <v>23</v>
      </c>
      <c r="C185" t="s">
        <v>54</v>
      </c>
      <c r="D185">
        <v>12</v>
      </c>
      <c r="E185">
        <v>63431.29</v>
      </c>
      <c r="F185">
        <v>761175.48</v>
      </c>
    </row>
    <row r="186" spans="1:6" x14ac:dyDescent="0.25">
      <c r="A186" s="6">
        <v>45793</v>
      </c>
      <c r="B186" t="s">
        <v>25</v>
      </c>
      <c r="C186" t="s">
        <v>27</v>
      </c>
      <c r="D186">
        <v>18</v>
      </c>
      <c r="E186">
        <v>62758.45</v>
      </c>
      <c r="F186">
        <v>1129652.1000000001</v>
      </c>
    </row>
    <row r="187" spans="1:6" x14ac:dyDescent="0.25">
      <c r="A187" s="6">
        <v>45690</v>
      </c>
      <c r="B187" t="s">
        <v>25</v>
      </c>
      <c r="C187" t="s">
        <v>35</v>
      </c>
      <c r="D187">
        <v>15</v>
      </c>
      <c r="E187">
        <v>4619.1499999999996</v>
      </c>
      <c r="F187">
        <v>69287.25</v>
      </c>
    </row>
    <row r="188" spans="1:6" x14ac:dyDescent="0.25">
      <c r="A188" s="6">
        <v>45714</v>
      </c>
      <c r="B188" t="s">
        <v>40</v>
      </c>
      <c r="C188" t="s">
        <v>41</v>
      </c>
      <c r="D188">
        <v>17</v>
      </c>
      <c r="E188">
        <v>83093.38</v>
      </c>
      <c r="F188">
        <v>1412587.46</v>
      </c>
    </row>
    <row r="189" spans="1:6" x14ac:dyDescent="0.25">
      <c r="A189" s="6">
        <v>45667</v>
      </c>
      <c r="B189" t="s">
        <v>23</v>
      </c>
      <c r="C189" t="s">
        <v>53</v>
      </c>
      <c r="D189">
        <v>9</v>
      </c>
      <c r="E189">
        <v>98266.57</v>
      </c>
      <c r="F189">
        <v>884399.13</v>
      </c>
    </row>
    <row r="190" spans="1:6" x14ac:dyDescent="0.25">
      <c r="A190" s="6">
        <v>45915</v>
      </c>
      <c r="B190" t="s">
        <v>32</v>
      </c>
      <c r="C190" t="s">
        <v>39</v>
      </c>
      <c r="D190">
        <v>16</v>
      </c>
      <c r="E190">
        <v>86799.42</v>
      </c>
      <c r="F190">
        <v>1388790.72</v>
      </c>
    </row>
    <row r="191" spans="1:6" x14ac:dyDescent="0.25">
      <c r="A191" s="6">
        <v>45811</v>
      </c>
      <c r="B191" t="s">
        <v>23</v>
      </c>
      <c r="C191" t="s">
        <v>38</v>
      </c>
      <c r="D191">
        <v>5</v>
      </c>
      <c r="E191">
        <v>73037.03</v>
      </c>
      <c r="F191">
        <v>365185.15</v>
      </c>
    </row>
    <row r="192" spans="1:6" x14ac:dyDescent="0.25">
      <c r="A192" s="6">
        <v>45818</v>
      </c>
      <c r="B192" t="s">
        <v>23</v>
      </c>
      <c r="C192" t="s">
        <v>54</v>
      </c>
      <c r="D192">
        <v>2</v>
      </c>
      <c r="E192">
        <v>67588.86</v>
      </c>
      <c r="F192">
        <v>135177.72</v>
      </c>
    </row>
    <row r="193" spans="1:6" x14ac:dyDescent="0.25">
      <c r="A193" s="6">
        <v>45672</v>
      </c>
      <c r="B193" t="s">
        <v>30</v>
      </c>
      <c r="C193" t="s">
        <v>45</v>
      </c>
      <c r="D193">
        <v>8</v>
      </c>
      <c r="E193">
        <v>3249.6</v>
      </c>
      <c r="F193">
        <v>25996.799999999999</v>
      </c>
    </row>
    <row r="194" spans="1:6" x14ac:dyDescent="0.25">
      <c r="A194" s="6">
        <v>45858</v>
      </c>
      <c r="B194" t="s">
        <v>40</v>
      </c>
      <c r="C194" t="s">
        <v>44</v>
      </c>
      <c r="D194">
        <v>6</v>
      </c>
      <c r="E194">
        <v>11717.99</v>
      </c>
      <c r="F194">
        <v>70307.94</v>
      </c>
    </row>
    <row r="195" spans="1:6" x14ac:dyDescent="0.25">
      <c r="A195" s="6">
        <v>45911</v>
      </c>
      <c r="B195" t="s">
        <v>23</v>
      </c>
      <c r="C195" t="s">
        <v>53</v>
      </c>
      <c r="D195">
        <v>17</v>
      </c>
      <c r="E195">
        <v>60021.8</v>
      </c>
      <c r="F195">
        <v>1020370.6</v>
      </c>
    </row>
    <row r="196" spans="1:6" x14ac:dyDescent="0.25">
      <c r="A196" s="6">
        <v>45713</v>
      </c>
      <c r="B196" t="s">
        <v>30</v>
      </c>
      <c r="C196" t="s">
        <v>34</v>
      </c>
      <c r="D196">
        <v>18</v>
      </c>
      <c r="E196">
        <v>18422.02</v>
      </c>
      <c r="F196">
        <v>331596.36</v>
      </c>
    </row>
    <row r="197" spans="1:6" x14ac:dyDescent="0.25">
      <c r="A197" s="6">
        <v>45874</v>
      </c>
      <c r="B197" t="s">
        <v>23</v>
      </c>
      <c r="C197" t="s">
        <v>52</v>
      </c>
      <c r="D197">
        <v>3</v>
      </c>
      <c r="E197">
        <v>50347.01</v>
      </c>
      <c r="F197">
        <v>151041.03</v>
      </c>
    </row>
    <row r="198" spans="1:6" x14ac:dyDescent="0.25">
      <c r="A198" s="6">
        <v>45827</v>
      </c>
      <c r="B198" t="s">
        <v>25</v>
      </c>
      <c r="C198" t="s">
        <v>26</v>
      </c>
      <c r="D198">
        <v>15</v>
      </c>
      <c r="E198">
        <v>44372.59</v>
      </c>
      <c r="F198">
        <v>665588.85</v>
      </c>
    </row>
    <row r="199" spans="1:6" x14ac:dyDescent="0.25">
      <c r="A199" s="6">
        <v>45755</v>
      </c>
      <c r="B199" t="s">
        <v>30</v>
      </c>
      <c r="C199" t="s">
        <v>34</v>
      </c>
      <c r="D199">
        <v>15</v>
      </c>
      <c r="E199">
        <v>6174.78</v>
      </c>
      <c r="F199">
        <v>92621.7</v>
      </c>
    </row>
    <row r="200" spans="1:6" x14ac:dyDescent="0.25">
      <c r="A200" s="6">
        <v>45864</v>
      </c>
      <c r="B200" t="s">
        <v>32</v>
      </c>
      <c r="C200" t="s">
        <v>39</v>
      </c>
      <c r="D200">
        <v>20</v>
      </c>
      <c r="E200">
        <v>25246.85</v>
      </c>
      <c r="F200">
        <v>504937</v>
      </c>
    </row>
    <row r="201" spans="1:6" x14ac:dyDescent="0.25">
      <c r="A201" s="6">
        <v>45902</v>
      </c>
      <c r="B201" t="s">
        <v>40</v>
      </c>
      <c r="C201" t="s">
        <v>48</v>
      </c>
      <c r="D201">
        <v>2</v>
      </c>
      <c r="E201">
        <v>51570.91</v>
      </c>
      <c r="F201">
        <v>103141.82</v>
      </c>
    </row>
    <row r="202" spans="1:6" x14ac:dyDescent="0.25">
      <c r="A202" s="6">
        <v>45734</v>
      </c>
      <c r="B202" t="s">
        <v>32</v>
      </c>
      <c r="C202" t="s">
        <v>49</v>
      </c>
      <c r="D202">
        <v>14</v>
      </c>
      <c r="E202">
        <v>33830.57</v>
      </c>
      <c r="F202">
        <v>473627.98</v>
      </c>
    </row>
    <row r="203" spans="1:6" x14ac:dyDescent="0.25">
      <c r="A203" s="6">
        <v>45666</v>
      </c>
      <c r="B203" t="s">
        <v>25</v>
      </c>
      <c r="C203" t="s">
        <v>27</v>
      </c>
      <c r="D203">
        <v>4</v>
      </c>
      <c r="E203">
        <v>51463.1</v>
      </c>
      <c r="F203">
        <v>205852.4</v>
      </c>
    </row>
    <row r="204" spans="1:6" x14ac:dyDescent="0.25">
      <c r="A204" s="6">
        <v>45894</v>
      </c>
      <c r="B204" t="s">
        <v>32</v>
      </c>
      <c r="C204" t="s">
        <v>33</v>
      </c>
      <c r="D204">
        <v>9</v>
      </c>
      <c r="E204">
        <v>64978.239999999998</v>
      </c>
      <c r="F204">
        <v>584804.16</v>
      </c>
    </row>
    <row r="205" spans="1:6" x14ac:dyDescent="0.25">
      <c r="A205" s="6">
        <v>45822</v>
      </c>
      <c r="B205" t="s">
        <v>32</v>
      </c>
      <c r="C205" t="s">
        <v>33</v>
      </c>
      <c r="D205">
        <v>13</v>
      </c>
      <c r="E205">
        <v>31815.8</v>
      </c>
      <c r="F205">
        <v>413605.4</v>
      </c>
    </row>
    <row r="206" spans="1:6" x14ac:dyDescent="0.25">
      <c r="A206" s="6">
        <v>45764</v>
      </c>
      <c r="B206" t="s">
        <v>40</v>
      </c>
      <c r="C206" t="s">
        <v>41</v>
      </c>
      <c r="D206">
        <v>9</v>
      </c>
      <c r="E206">
        <v>53494.34</v>
      </c>
      <c r="F206">
        <v>481449.06</v>
      </c>
    </row>
    <row r="207" spans="1:6" x14ac:dyDescent="0.25">
      <c r="A207" s="6">
        <v>45910</v>
      </c>
      <c r="B207" t="s">
        <v>23</v>
      </c>
      <c r="C207" t="s">
        <v>47</v>
      </c>
      <c r="D207">
        <v>13</v>
      </c>
      <c r="E207">
        <v>77260</v>
      </c>
      <c r="F207">
        <v>1004380</v>
      </c>
    </row>
    <row r="208" spans="1:6" x14ac:dyDescent="0.25">
      <c r="A208" s="6">
        <v>45665</v>
      </c>
      <c r="B208" t="s">
        <v>25</v>
      </c>
      <c r="C208" t="s">
        <v>28</v>
      </c>
      <c r="D208">
        <v>3</v>
      </c>
      <c r="E208">
        <v>65584.52</v>
      </c>
      <c r="F208">
        <v>196753.56</v>
      </c>
    </row>
    <row r="209" spans="1:6" x14ac:dyDescent="0.25">
      <c r="A209" s="6">
        <v>45796</v>
      </c>
      <c r="B209" t="s">
        <v>32</v>
      </c>
      <c r="C209" t="s">
        <v>33</v>
      </c>
      <c r="D209">
        <v>14</v>
      </c>
      <c r="E209">
        <v>12066.19</v>
      </c>
      <c r="F209">
        <v>168926.66</v>
      </c>
    </row>
    <row r="210" spans="1:6" x14ac:dyDescent="0.25">
      <c r="A210" s="6">
        <v>45721</v>
      </c>
      <c r="B210" t="s">
        <v>40</v>
      </c>
      <c r="C210" t="s">
        <v>41</v>
      </c>
      <c r="D210">
        <v>20</v>
      </c>
      <c r="E210">
        <v>43189.42</v>
      </c>
      <c r="F210">
        <v>863788.4</v>
      </c>
    </row>
    <row r="211" spans="1:6" x14ac:dyDescent="0.25">
      <c r="A211" s="6">
        <v>45887</v>
      </c>
      <c r="B211" t="s">
        <v>23</v>
      </c>
      <c r="C211" t="s">
        <v>38</v>
      </c>
      <c r="D211">
        <v>14</v>
      </c>
      <c r="E211">
        <v>24670.61</v>
      </c>
      <c r="F211">
        <v>345388.54</v>
      </c>
    </row>
    <row r="212" spans="1:6" x14ac:dyDescent="0.25">
      <c r="A212" s="6">
        <v>45924</v>
      </c>
      <c r="B212" t="s">
        <v>30</v>
      </c>
      <c r="C212" t="s">
        <v>45</v>
      </c>
      <c r="D212">
        <v>2</v>
      </c>
      <c r="E212">
        <v>33430.080000000002</v>
      </c>
      <c r="F212">
        <v>66860.160000000003</v>
      </c>
    </row>
    <row r="213" spans="1:6" x14ac:dyDescent="0.25">
      <c r="A213" s="6">
        <v>45794</v>
      </c>
      <c r="B213" t="s">
        <v>32</v>
      </c>
      <c r="C213" t="s">
        <v>50</v>
      </c>
      <c r="D213">
        <v>20</v>
      </c>
      <c r="E213">
        <v>22190.37</v>
      </c>
      <c r="F213">
        <v>443807.4</v>
      </c>
    </row>
    <row r="214" spans="1:6" x14ac:dyDescent="0.25">
      <c r="A214" s="6">
        <v>45676</v>
      </c>
      <c r="B214" t="s">
        <v>32</v>
      </c>
      <c r="C214" t="s">
        <v>49</v>
      </c>
      <c r="D214">
        <v>15</v>
      </c>
      <c r="E214">
        <v>95894.35</v>
      </c>
      <c r="F214">
        <v>1438415.25</v>
      </c>
    </row>
    <row r="215" spans="1:6" x14ac:dyDescent="0.25">
      <c r="A215" s="6">
        <v>45731</v>
      </c>
      <c r="B215" t="s">
        <v>25</v>
      </c>
      <c r="C215" t="s">
        <v>28</v>
      </c>
      <c r="D215">
        <v>6</v>
      </c>
      <c r="E215">
        <v>1747.96</v>
      </c>
      <c r="F215">
        <v>10487.76</v>
      </c>
    </row>
    <row r="216" spans="1:6" x14ac:dyDescent="0.25">
      <c r="A216" s="6">
        <v>45787</v>
      </c>
      <c r="B216" t="s">
        <v>23</v>
      </c>
      <c r="C216" t="s">
        <v>24</v>
      </c>
      <c r="D216">
        <v>4</v>
      </c>
      <c r="E216">
        <v>12285.73</v>
      </c>
      <c r="F216">
        <v>49142.92</v>
      </c>
    </row>
    <row r="217" spans="1:6" x14ac:dyDescent="0.25">
      <c r="A217" s="6">
        <v>45903</v>
      </c>
      <c r="B217" t="s">
        <v>23</v>
      </c>
      <c r="C217" t="s">
        <v>54</v>
      </c>
      <c r="D217">
        <v>17</v>
      </c>
      <c r="E217">
        <v>83640.100000000006</v>
      </c>
      <c r="F217">
        <v>1421881.7</v>
      </c>
    </row>
    <row r="218" spans="1:6" x14ac:dyDescent="0.25">
      <c r="A218" s="6">
        <v>45720</v>
      </c>
      <c r="B218" t="s">
        <v>25</v>
      </c>
      <c r="C218" t="s">
        <v>28</v>
      </c>
      <c r="D218">
        <v>4</v>
      </c>
      <c r="E218">
        <v>60962.07</v>
      </c>
      <c r="F218">
        <v>243848.28</v>
      </c>
    </row>
    <row r="219" spans="1:6" x14ac:dyDescent="0.25">
      <c r="A219" s="6">
        <v>45717</v>
      </c>
      <c r="B219" t="s">
        <v>40</v>
      </c>
      <c r="C219" t="s">
        <v>48</v>
      </c>
      <c r="D219">
        <v>18</v>
      </c>
      <c r="E219">
        <v>52758.66</v>
      </c>
      <c r="F219">
        <v>949655.88</v>
      </c>
    </row>
    <row r="220" spans="1:6" x14ac:dyDescent="0.25">
      <c r="A220" s="6">
        <v>45773</v>
      </c>
      <c r="B220" t="s">
        <v>40</v>
      </c>
      <c r="C220" t="s">
        <v>44</v>
      </c>
      <c r="D220">
        <v>3</v>
      </c>
      <c r="E220">
        <v>85497.39</v>
      </c>
      <c r="F220">
        <v>256492.17</v>
      </c>
    </row>
    <row r="221" spans="1:6" x14ac:dyDescent="0.25">
      <c r="A221" s="6">
        <v>45764</v>
      </c>
      <c r="B221" t="s">
        <v>40</v>
      </c>
      <c r="C221" t="s">
        <v>51</v>
      </c>
      <c r="D221">
        <v>1</v>
      </c>
      <c r="E221">
        <v>2441.7199999999998</v>
      </c>
      <c r="F221">
        <v>2441.7199999999998</v>
      </c>
    </row>
    <row r="222" spans="1:6" x14ac:dyDescent="0.25">
      <c r="A222" s="6">
        <v>45809</v>
      </c>
      <c r="B222" t="s">
        <v>30</v>
      </c>
      <c r="C222" t="s">
        <v>45</v>
      </c>
      <c r="D222">
        <v>13</v>
      </c>
      <c r="E222">
        <v>67317.539999999994</v>
      </c>
      <c r="F222">
        <v>875128.02</v>
      </c>
    </row>
    <row r="223" spans="1:6" x14ac:dyDescent="0.25">
      <c r="A223" s="6">
        <v>45664</v>
      </c>
      <c r="B223" t="s">
        <v>23</v>
      </c>
      <c r="C223" t="s">
        <v>52</v>
      </c>
      <c r="D223">
        <v>13</v>
      </c>
      <c r="E223">
        <v>83671.75</v>
      </c>
      <c r="F223">
        <v>1087732.75</v>
      </c>
    </row>
    <row r="224" spans="1:6" x14ac:dyDescent="0.25">
      <c r="A224" s="6">
        <v>45714</v>
      </c>
      <c r="B224" t="s">
        <v>40</v>
      </c>
      <c r="C224" t="s">
        <v>44</v>
      </c>
      <c r="D224">
        <v>19</v>
      </c>
      <c r="E224">
        <v>76211.48</v>
      </c>
      <c r="F224">
        <v>1448018.12</v>
      </c>
    </row>
    <row r="225" spans="1:6" x14ac:dyDescent="0.25">
      <c r="A225" s="6">
        <v>45836</v>
      </c>
      <c r="B225" t="s">
        <v>40</v>
      </c>
      <c r="C225" t="s">
        <v>48</v>
      </c>
      <c r="D225">
        <v>16</v>
      </c>
      <c r="E225">
        <v>99704.47</v>
      </c>
      <c r="F225">
        <v>1595271.52</v>
      </c>
    </row>
    <row r="226" spans="1:6" x14ac:dyDescent="0.25">
      <c r="A226" s="6">
        <v>45841</v>
      </c>
      <c r="B226" t="s">
        <v>40</v>
      </c>
      <c r="C226" t="s">
        <v>43</v>
      </c>
      <c r="D226">
        <v>12</v>
      </c>
      <c r="E226">
        <v>49562.27</v>
      </c>
      <c r="F226">
        <v>594747.24</v>
      </c>
    </row>
    <row r="227" spans="1:6" x14ac:dyDescent="0.25">
      <c r="A227" s="6">
        <v>45815</v>
      </c>
      <c r="B227" t="s">
        <v>30</v>
      </c>
      <c r="C227" t="s">
        <v>45</v>
      </c>
      <c r="D227">
        <v>10</v>
      </c>
      <c r="E227">
        <v>11953.93</v>
      </c>
      <c r="F227">
        <v>119539.3</v>
      </c>
    </row>
    <row r="228" spans="1:6" x14ac:dyDescent="0.25">
      <c r="A228" s="6">
        <v>45882</v>
      </c>
      <c r="B228" t="s">
        <v>25</v>
      </c>
      <c r="C228" t="s">
        <v>27</v>
      </c>
      <c r="D228">
        <v>14</v>
      </c>
      <c r="E228">
        <v>84160.62</v>
      </c>
      <c r="F228">
        <v>1178248.68</v>
      </c>
    </row>
    <row r="229" spans="1:6" x14ac:dyDescent="0.25">
      <c r="A229" s="6">
        <v>45902</v>
      </c>
      <c r="B229" t="s">
        <v>30</v>
      </c>
      <c r="C229" t="s">
        <v>31</v>
      </c>
      <c r="D229">
        <v>13</v>
      </c>
      <c r="E229">
        <v>99205.45</v>
      </c>
      <c r="F229">
        <v>1289670.8500000001</v>
      </c>
    </row>
    <row r="230" spans="1:6" x14ac:dyDescent="0.25">
      <c r="A230" s="6">
        <v>45694</v>
      </c>
      <c r="B230" t="s">
        <v>30</v>
      </c>
      <c r="C230" t="s">
        <v>34</v>
      </c>
      <c r="D230">
        <v>14</v>
      </c>
      <c r="E230">
        <v>15538.23</v>
      </c>
      <c r="F230">
        <v>217535.22</v>
      </c>
    </row>
    <row r="231" spans="1:6" x14ac:dyDescent="0.25">
      <c r="A231" s="6">
        <v>45689</v>
      </c>
      <c r="B231" t="s">
        <v>25</v>
      </c>
      <c r="C231" t="s">
        <v>26</v>
      </c>
      <c r="D231">
        <v>19</v>
      </c>
      <c r="E231">
        <v>82512.77</v>
      </c>
      <c r="F231">
        <v>1567742.63</v>
      </c>
    </row>
    <row r="232" spans="1:6" x14ac:dyDescent="0.25">
      <c r="A232" s="6">
        <v>45691</v>
      </c>
      <c r="B232" t="s">
        <v>25</v>
      </c>
      <c r="C232" t="s">
        <v>28</v>
      </c>
      <c r="D232">
        <v>7</v>
      </c>
      <c r="E232">
        <v>13694.54</v>
      </c>
      <c r="F232">
        <v>95861.78</v>
      </c>
    </row>
    <row r="233" spans="1:6" x14ac:dyDescent="0.25">
      <c r="A233" s="6">
        <v>45854</v>
      </c>
      <c r="B233" t="s">
        <v>32</v>
      </c>
      <c r="C233" t="s">
        <v>50</v>
      </c>
      <c r="D233">
        <v>15</v>
      </c>
      <c r="E233">
        <v>17995.05</v>
      </c>
      <c r="F233">
        <v>269925.75</v>
      </c>
    </row>
    <row r="234" spans="1:6" x14ac:dyDescent="0.25">
      <c r="A234" s="6">
        <v>45799</v>
      </c>
      <c r="B234" t="s">
        <v>25</v>
      </c>
      <c r="C234" t="s">
        <v>29</v>
      </c>
      <c r="D234">
        <v>14</v>
      </c>
      <c r="E234">
        <v>6064</v>
      </c>
      <c r="F234">
        <v>84896</v>
      </c>
    </row>
    <row r="235" spans="1:6" x14ac:dyDescent="0.25">
      <c r="A235" s="6">
        <v>45667</v>
      </c>
      <c r="B235" t="s">
        <v>25</v>
      </c>
      <c r="C235" t="s">
        <v>29</v>
      </c>
      <c r="D235">
        <v>10</v>
      </c>
      <c r="E235">
        <v>81154.33</v>
      </c>
      <c r="F235">
        <v>811543.3</v>
      </c>
    </row>
    <row r="236" spans="1:6" x14ac:dyDescent="0.25">
      <c r="A236" s="6">
        <v>45887</v>
      </c>
      <c r="B236" t="s">
        <v>30</v>
      </c>
      <c r="C236" t="s">
        <v>45</v>
      </c>
      <c r="D236">
        <v>18</v>
      </c>
      <c r="E236">
        <v>21601.06</v>
      </c>
      <c r="F236">
        <v>388819.08</v>
      </c>
    </row>
    <row r="237" spans="1:6" x14ac:dyDescent="0.25">
      <c r="A237" s="6">
        <v>45818</v>
      </c>
      <c r="B237" t="s">
        <v>32</v>
      </c>
      <c r="C237" t="s">
        <v>42</v>
      </c>
      <c r="D237">
        <v>7</v>
      </c>
      <c r="E237">
        <v>95365.64</v>
      </c>
      <c r="F237">
        <v>667559.48</v>
      </c>
    </row>
    <row r="238" spans="1:6" x14ac:dyDescent="0.25">
      <c r="A238" s="6">
        <v>45685</v>
      </c>
      <c r="B238" t="s">
        <v>25</v>
      </c>
      <c r="C238" t="s">
        <v>26</v>
      </c>
      <c r="D238">
        <v>9</v>
      </c>
      <c r="E238">
        <v>94534.95</v>
      </c>
      <c r="F238">
        <v>850814.55</v>
      </c>
    </row>
    <row r="239" spans="1:6" x14ac:dyDescent="0.25">
      <c r="A239" s="6">
        <v>45725</v>
      </c>
      <c r="B239" t="s">
        <v>30</v>
      </c>
      <c r="C239" t="s">
        <v>34</v>
      </c>
      <c r="D239">
        <v>2</v>
      </c>
      <c r="E239">
        <v>44356.44</v>
      </c>
      <c r="F239">
        <v>88712.88</v>
      </c>
    </row>
    <row r="240" spans="1:6" x14ac:dyDescent="0.25">
      <c r="A240" s="6">
        <v>45796</v>
      </c>
      <c r="B240" t="s">
        <v>25</v>
      </c>
      <c r="C240" t="s">
        <v>35</v>
      </c>
      <c r="D240">
        <v>2</v>
      </c>
      <c r="E240">
        <v>47787.61</v>
      </c>
      <c r="F240">
        <v>95575.22</v>
      </c>
    </row>
    <row r="241" spans="1:6" x14ac:dyDescent="0.25">
      <c r="A241" s="6">
        <v>45870</v>
      </c>
      <c r="B241" t="s">
        <v>32</v>
      </c>
      <c r="C241" t="s">
        <v>49</v>
      </c>
      <c r="D241">
        <v>8</v>
      </c>
      <c r="E241">
        <v>53397.22</v>
      </c>
      <c r="F241">
        <v>427177.76</v>
      </c>
    </row>
    <row r="242" spans="1:6" x14ac:dyDescent="0.25">
      <c r="A242" s="6">
        <v>45829</v>
      </c>
      <c r="B242" t="s">
        <v>30</v>
      </c>
      <c r="C242" t="s">
        <v>45</v>
      </c>
      <c r="D242">
        <v>3</v>
      </c>
      <c r="E242">
        <v>56879.26</v>
      </c>
      <c r="F242">
        <v>170637.78</v>
      </c>
    </row>
    <row r="243" spans="1:6" x14ac:dyDescent="0.25">
      <c r="A243" s="6">
        <v>45874</v>
      </c>
      <c r="B243" t="s">
        <v>32</v>
      </c>
      <c r="C243" t="s">
        <v>39</v>
      </c>
      <c r="D243">
        <v>6</v>
      </c>
      <c r="E243">
        <v>85583.03</v>
      </c>
      <c r="F243">
        <v>513498.18</v>
      </c>
    </row>
    <row r="244" spans="1:6" x14ac:dyDescent="0.25">
      <c r="A244" s="6">
        <v>45827</v>
      </c>
      <c r="B244" t="s">
        <v>32</v>
      </c>
      <c r="C244" t="s">
        <v>50</v>
      </c>
      <c r="D244">
        <v>8</v>
      </c>
      <c r="E244">
        <v>44980.24</v>
      </c>
      <c r="F244">
        <v>359841.92</v>
      </c>
    </row>
    <row r="245" spans="1:6" x14ac:dyDescent="0.25">
      <c r="A245" s="6">
        <v>45778</v>
      </c>
      <c r="B245" t="s">
        <v>23</v>
      </c>
      <c r="C245" t="s">
        <v>38</v>
      </c>
      <c r="D245">
        <v>15</v>
      </c>
      <c r="E245">
        <v>67270.820000000007</v>
      </c>
      <c r="F245">
        <v>1009062.3</v>
      </c>
    </row>
    <row r="246" spans="1:6" x14ac:dyDescent="0.25">
      <c r="A246" s="6">
        <v>45865</v>
      </c>
      <c r="B246" t="s">
        <v>32</v>
      </c>
      <c r="C246" t="s">
        <v>39</v>
      </c>
      <c r="D246">
        <v>2</v>
      </c>
      <c r="E246">
        <v>57081.77</v>
      </c>
      <c r="F246">
        <v>114163.54</v>
      </c>
    </row>
    <row r="247" spans="1:6" x14ac:dyDescent="0.25">
      <c r="A247" s="6">
        <v>45817</v>
      </c>
      <c r="B247" t="s">
        <v>23</v>
      </c>
      <c r="C247" t="s">
        <v>52</v>
      </c>
      <c r="D247">
        <v>4</v>
      </c>
      <c r="E247">
        <v>6622.95</v>
      </c>
      <c r="F247">
        <v>26491.8</v>
      </c>
    </row>
    <row r="248" spans="1:6" x14ac:dyDescent="0.25">
      <c r="A248" s="6">
        <v>45663</v>
      </c>
      <c r="B248" t="s">
        <v>40</v>
      </c>
      <c r="C248" t="s">
        <v>43</v>
      </c>
      <c r="D248">
        <v>10</v>
      </c>
      <c r="E248">
        <v>8590.4</v>
      </c>
      <c r="F248">
        <v>85904</v>
      </c>
    </row>
    <row r="249" spans="1:6" x14ac:dyDescent="0.25">
      <c r="A249" s="6">
        <v>45831</v>
      </c>
      <c r="B249" t="s">
        <v>32</v>
      </c>
      <c r="C249" t="s">
        <v>42</v>
      </c>
      <c r="D249">
        <v>17</v>
      </c>
      <c r="E249">
        <v>63577.2</v>
      </c>
      <c r="F249">
        <v>1080812.3999999999</v>
      </c>
    </row>
    <row r="250" spans="1:6" x14ac:dyDescent="0.25">
      <c r="A250" s="6">
        <v>45749</v>
      </c>
      <c r="B250" t="s">
        <v>30</v>
      </c>
      <c r="C250" t="s">
        <v>46</v>
      </c>
      <c r="D250">
        <v>2</v>
      </c>
      <c r="E250">
        <v>22629.02</v>
      </c>
      <c r="F250">
        <v>45258.04</v>
      </c>
    </row>
    <row r="251" spans="1:6" x14ac:dyDescent="0.25">
      <c r="A251" s="6">
        <v>45821</v>
      </c>
      <c r="B251" t="s">
        <v>40</v>
      </c>
      <c r="C251" t="s">
        <v>43</v>
      </c>
      <c r="D251">
        <v>1</v>
      </c>
      <c r="E251">
        <v>50450.68</v>
      </c>
      <c r="F251">
        <v>50450.68</v>
      </c>
    </row>
    <row r="252" spans="1:6" x14ac:dyDescent="0.25">
      <c r="A252" s="6">
        <v>45762</v>
      </c>
      <c r="B252" t="s">
        <v>25</v>
      </c>
      <c r="C252" t="s">
        <v>28</v>
      </c>
      <c r="D252">
        <v>19</v>
      </c>
      <c r="E252">
        <v>34372.160000000003</v>
      </c>
      <c r="F252">
        <v>653071.04</v>
      </c>
    </row>
    <row r="253" spans="1:6" x14ac:dyDescent="0.25">
      <c r="A253" s="6">
        <v>45927</v>
      </c>
      <c r="B253" t="s">
        <v>32</v>
      </c>
      <c r="C253" t="s">
        <v>50</v>
      </c>
      <c r="D253">
        <v>7</v>
      </c>
      <c r="E253">
        <v>88404.51</v>
      </c>
      <c r="F253">
        <v>618831.56999999995</v>
      </c>
    </row>
    <row r="254" spans="1:6" x14ac:dyDescent="0.25">
      <c r="A254" s="6">
        <v>45739</v>
      </c>
      <c r="B254" t="s">
        <v>40</v>
      </c>
      <c r="C254" t="s">
        <v>48</v>
      </c>
      <c r="D254">
        <v>14</v>
      </c>
      <c r="E254">
        <v>95276.99</v>
      </c>
      <c r="F254">
        <v>1333877.8600000001</v>
      </c>
    </row>
    <row r="255" spans="1:6" x14ac:dyDescent="0.25">
      <c r="A255" s="6">
        <v>45737</v>
      </c>
      <c r="B255" t="s">
        <v>25</v>
      </c>
      <c r="C255" t="s">
        <v>26</v>
      </c>
      <c r="D255">
        <v>1</v>
      </c>
      <c r="E255">
        <v>63408.26</v>
      </c>
      <c r="F255">
        <v>63408.26</v>
      </c>
    </row>
    <row r="256" spans="1:6" x14ac:dyDescent="0.25">
      <c r="A256" s="6">
        <v>45923</v>
      </c>
      <c r="B256" t="s">
        <v>32</v>
      </c>
      <c r="C256" t="s">
        <v>50</v>
      </c>
      <c r="D256">
        <v>17</v>
      </c>
      <c r="E256">
        <v>10866.12</v>
      </c>
      <c r="F256">
        <v>184724.04</v>
      </c>
    </row>
    <row r="257" spans="1:6" x14ac:dyDescent="0.25">
      <c r="A257" s="6">
        <v>45891</v>
      </c>
      <c r="B257" t="s">
        <v>25</v>
      </c>
      <c r="C257" t="s">
        <v>26</v>
      </c>
      <c r="D257">
        <v>4</v>
      </c>
      <c r="E257">
        <v>68120.75</v>
      </c>
      <c r="F257">
        <v>272483</v>
      </c>
    </row>
    <row r="258" spans="1:6" x14ac:dyDescent="0.25">
      <c r="A258" s="6">
        <v>45779</v>
      </c>
      <c r="B258" t="s">
        <v>25</v>
      </c>
      <c r="C258" t="s">
        <v>35</v>
      </c>
      <c r="D258">
        <v>2</v>
      </c>
      <c r="E258">
        <v>32685.53</v>
      </c>
      <c r="F258">
        <v>65371.06</v>
      </c>
    </row>
    <row r="259" spans="1:6" x14ac:dyDescent="0.25">
      <c r="A259" s="6">
        <v>45680</v>
      </c>
      <c r="B259" t="s">
        <v>25</v>
      </c>
      <c r="C259" t="s">
        <v>29</v>
      </c>
      <c r="D259">
        <v>2</v>
      </c>
      <c r="E259">
        <v>35577.46</v>
      </c>
      <c r="F259">
        <v>71154.92</v>
      </c>
    </row>
    <row r="260" spans="1:6" x14ac:dyDescent="0.25">
      <c r="A260" s="6">
        <v>45739</v>
      </c>
      <c r="B260" t="s">
        <v>32</v>
      </c>
      <c r="C260" t="s">
        <v>33</v>
      </c>
      <c r="D260">
        <v>10</v>
      </c>
      <c r="E260">
        <v>40468.589999999997</v>
      </c>
      <c r="F260">
        <v>404685.9</v>
      </c>
    </row>
    <row r="261" spans="1:6" x14ac:dyDescent="0.25">
      <c r="A261" s="6">
        <v>45767</v>
      </c>
      <c r="B261" t="s">
        <v>25</v>
      </c>
      <c r="C261" t="s">
        <v>26</v>
      </c>
      <c r="D261">
        <v>20</v>
      </c>
      <c r="E261">
        <v>23762.33</v>
      </c>
      <c r="F261">
        <v>475246.6</v>
      </c>
    </row>
    <row r="262" spans="1:6" x14ac:dyDescent="0.25">
      <c r="A262" s="6">
        <v>45920</v>
      </c>
      <c r="B262" t="s">
        <v>40</v>
      </c>
      <c r="C262" t="s">
        <v>48</v>
      </c>
      <c r="D262">
        <v>7</v>
      </c>
      <c r="E262">
        <v>42441.45</v>
      </c>
      <c r="F262">
        <v>297090.15000000002</v>
      </c>
    </row>
    <row r="263" spans="1:6" x14ac:dyDescent="0.25">
      <c r="A263" s="6">
        <v>45871</v>
      </c>
      <c r="B263" t="s">
        <v>25</v>
      </c>
      <c r="C263" t="s">
        <v>28</v>
      </c>
      <c r="D263">
        <v>16</v>
      </c>
      <c r="E263">
        <v>17307.89</v>
      </c>
      <c r="F263">
        <v>276926.24</v>
      </c>
    </row>
    <row r="264" spans="1:6" x14ac:dyDescent="0.25">
      <c r="A264" s="6">
        <v>45823</v>
      </c>
      <c r="B264" t="s">
        <v>30</v>
      </c>
      <c r="C264" t="s">
        <v>31</v>
      </c>
      <c r="D264">
        <v>20</v>
      </c>
      <c r="E264">
        <v>72460.899999999994</v>
      </c>
      <c r="F264">
        <v>1449218</v>
      </c>
    </row>
    <row r="265" spans="1:6" x14ac:dyDescent="0.25">
      <c r="A265" s="6">
        <v>45726</v>
      </c>
      <c r="B265" t="s">
        <v>32</v>
      </c>
      <c r="C265" t="s">
        <v>39</v>
      </c>
      <c r="D265">
        <v>15</v>
      </c>
      <c r="E265">
        <v>89092.92</v>
      </c>
      <c r="F265">
        <v>1336393.8</v>
      </c>
    </row>
    <row r="266" spans="1:6" x14ac:dyDescent="0.25">
      <c r="A266" s="6">
        <v>45863</v>
      </c>
      <c r="B266" t="s">
        <v>32</v>
      </c>
      <c r="C266" t="s">
        <v>49</v>
      </c>
      <c r="D266">
        <v>14</v>
      </c>
      <c r="E266">
        <v>79789.7</v>
      </c>
      <c r="F266">
        <v>1117055.8</v>
      </c>
    </row>
    <row r="267" spans="1:6" x14ac:dyDescent="0.25">
      <c r="A267" s="6">
        <v>45786</v>
      </c>
      <c r="B267" t="s">
        <v>30</v>
      </c>
      <c r="C267" t="s">
        <v>36</v>
      </c>
      <c r="D267">
        <v>15</v>
      </c>
      <c r="E267">
        <v>58652.27</v>
      </c>
      <c r="F267">
        <v>879784.05</v>
      </c>
    </row>
    <row r="268" spans="1:6" x14ac:dyDescent="0.25">
      <c r="A268" s="6">
        <v>45895</v>
      </c>
      <c r="B268" t="s">
        <v>32</v>
      </c>
      <c r="C268" t="s">
        <v>42</v>
      </c>
      <c r="D268">
        <v>17</v>
      </c>
      <c r="E268">
        <v>94901.13</v>
      </c>
      <c r="F268">
        <v>1613319.21</v>
      </c>
    </row>
    <row r="269" spans="1:6" x14ac:dyDescent="0.25">
      <c r="A269" s="6">
        <v>45849</v>
      </c>
      <c r="B269" t="s">
        <v>30</v>
      </c>
      <c r="C269" t="s">
        <v>45</v>
      </c>
      <c r="D269">
        <v>17</v>
      </c>
      <c r="E269">
        <v>97570.14</v>
      </c>
      <c r="F269">
        <v>1658692.38</v>
      </c>
    </row>
    <row r="270" spans="1:6" x14ac:dyDescent="0.25">
      <c r="A270" s="6">
        <v>45732</v>
      </c>
      <c r="B270" t="s">
        <v>23</v>
      </c>
      <c r="C270" t="s">
        <v>38</v>
      </c>
      <c r="D270">
        <v>5</v>
      </c>
      <c r="E270">
        <v>18932.439999999999</v>
      </c>
      <c r="F270">
        <v>94662.2</v>
      </c>
    </row>
    <row r="271" spans="1:6" x14ac:dyDescent="0.25">
      <c r="A271" s="6">
        <v>45665</v>
      </c>
      <c r="B271" t="s">
        <v>40</v>
      </c>
      <c r="C271" t="s">
        <v>44</v>
      </c>
      <c r="D271">
        <v>14</v>
      </c>
      <c r="E271">
        <v>3856.16</v>
      </c>
      <c r="F271">
        <v>53986.239999999998</v>
      </c>
    </row>
    <row r="272" spans="1:6" x14ac:dyDescent="0.25">
      <c r="A272" s="6">
        <v>45821</v>
      </c>
      <c r="B272" t="s">
        <v>32</v>
      </c>
      <c r="C272" t="s">
        <v>42</v>
      </c>
      <c r="D272">
        <v>15</v>
      </c>
      <c r="E272">
        <v>79288.100000000006</v>
      </c>
      <c r="F272">
        <v>1189321.5</v>
      </c>
    </row>
    <row r="273" spans="1:6" x14ac:dyDescent="0.25">
      <c r="A273" s="6">
        <v>45683</v>
      </c>
      <c r="B273" t="s">
        <v>23</v>
      </c>
      <c r="C273" t="s">
        <v>52</v>
      </c>
      <c r="D273">
        <v>4</v>
      </c>
      <c r="E273">
        <v>32175.64</v>
      </c>
      <c r="F273">
        <v>128702.56</v>
      </c>
    </row>
    <row r="274" spans="1:6" x14ac:dyDescent="0.25">
      <c r="A274" s="6">
        <v>45795</v>
      </c>
      <c r="B274" t="s">
        <v>23</v>
      </c>
      <c r="C274" t="s">
        <v>24</v>
      </c>
      <c r="D274">
        <v>15</v>
      </c>
      <c r="E274">
        <v>93873.69</v>
      </c>
      <c r="F274">
        <v>1408105.35</v>
      </c>
    </row>
    <row r="275" spans="1:6" x14ac:dyDescent="0.25">
      <c r="A275" s="6">
        <v>45726</v>
      </c>
      <c r="B275" t="s">
        <v>40</v>
      </c>
      <c r="C275" t="s">
        <v>43</v>
      </c>
      <c r="D275">
        <v>17</v>
      </c>
      <c r="E275">
        <v>66850.89</v>
      </c>
      <c r="F275">
        <v>1136465.1299999999</v>
      </c>
    </row>
    <row r="276" spans="1:6" x14ac:dyDescent="0.25">
      <c r="A276" s="6">
        <v>45731</v>
      </c>
      <c r="B276" t="s">
        <v>25</v>
      </c>
      <c r="C276" t="s">
        <v>28</v>
      </c>
      <c r="D276">
        <v>4</v>
      </c>
      <c r="E276">
        <v>76491.179999999993</v>
      </c>
      <c r="F276">
        <v>305964.71999999997</v>
      </c>
    </row>
    <row r="277" spans="1:6" x14ac:dyDescent="0.25">
      <c r="A277" s="6">
        <v>45915</v>
      </c>
      <c r="B277" t="s">
        <v>30</v>
      </c>
      <c r="C277" t="s">
        <v>36</v>
      </c>
      <c r="D277">
        <v>7</v>
      </c>
      <c r="E277">
        <v>14691.87</v>
      </c>
      <c r="F277">
        <v>102843.09</v>
      </c>
    </row>
    <row r="278" spans="1:6" x14ac:dyDescent="0.25">
      <c r="A278" s="6">
        <v>45915</v>
      </c>
      <c r="B278" t="s">
        <v>40</v>
      </c>
      <c r="C278" t="s">
        <v>48</v>
      </c>
      <c r="D278">
        <v>1</v>
      </c>
      <c r="E278">
        <v>85723.19</v>
      </c>
      <c r="F278">
        <v>85723.19</v>
      </c>
    </row>
    <row r="279" spans="1:6" x14ac:dyDescent="0.25">
      <c r="A279" s="6">
        <v>45805</v>
      </c>
      <c r="B279" t="s">
        <v>25</v>
      </c>
      <c r="C279" t="s">
        <v>27</v>
      </c>
      <c r="D279">
        <v>4</v>
      </c>
      <c r="E279">
        <v>43007.61</v>
      </c>
      <c r="F279">
        <v>172030.44</v>
      </c>
    </row>
    <row r="280" spans="1:6" x14ac:dyDescent="0.25">
      <c r="A280" s="6">
        <v>45811</v>
      </c>
      <c r="B280" t="s">
        <v>30</v>
      </c>
      <c r="C280" t="s">
        <v>31</v>
      </c>
      <c r="D280">
        <v>13</v>
      </c>
      <c r="E280">
        <v>76730.080000000002</v>
      </c>
      <c r="F280">
        <v>997491.04</v>
      </c>
    </row>
    <row r="281" spans="1:6" x14ac:dyDescent="0.25">
      <c r="A281" s="6">
        <v>45692</v>
      </c>
      <c r="B281" t="s">
        <v>32</v>
      </c>
      <c r="C281" t="s">
        <v>42</v>
      </c>
      <c r="D281">
        <v>1</v>
      </c>
      <c r="E281">
        <v>39122.269999999997</v>
      </c>
      <c r="F281">
        <v>39122.269999999997</v>
      </c>
    </row>
    <row r="282" spans="1:6" x14ac:dyDescent="0.25">
      <c r="A282" s="6">
        <v>45790</v>
      </c>
      <c r="B282" t="s">
        <v>25</v>
      </c>
      <c r="C282" t="s">
        <v>26</v>
      </c>
      <c r="D282">
        <v>3</v>
      </c>
      <c r="E282">
        <v>69239.59</v>
      </c>
      <c r="F282">
        <v>207718.77</v>
      </c>
    </row>
    <row r="283" spans="1:6" x14ac:dyDescent="0.25">
      <c r="A283" s="6">
        <v>45671</v>
      </c>
      <c r="B283" t="s">
        <v>30</v>
      </c>
      <c r="C283" t="s">
        <v>45</v>
      </c>
      <c r="D283">
        <v>18</v>
      </c>
      <c r="E283">
        <v>70874.83</v>
      </c>
      <c r="F283">
        <v>1275746.94</v>
      </c>
    </row>
    <row r="284" spans="1:6" x14ac:dyDescent="0.25">
      <c r="A284" s="6">
        <v>45844</v>
      </c>
      <c r="B284" t="s">
        <v>40</v>
      </c>
      <c r="C284" t="s">
        <v>43</v>
      </c>
      <c r="D284">
        <v>13</v>
      </c>
      <c r="E284">
        <v>86817.64</v>
      </c>
      <c r="F284">
        <v>1128629.32</v>
      </c>
    </row>
    <row r="285" spans="1:6" x14ac:dyDescent="0.25">
      <c r="A285" s="6">
        <v>45734</v>
      </c>
      <c r="B285" t="s">
        <v>40</v>
      </c>
      <c r="C285" t="s">
        <v>41</v>
      </c>
      <c r="D285">
        <v>15</v>
      </c>
      <c r="E285">
        <v>17486.98</v>
      </c>
      <c r="F285">
        <v>262304.7</v>
      </c>
    </row>
    <row r="286" spans="1:6" x14ac:dyDescent="0.25">
      <c r="A286" s="6">
        <v>45845</v>
      </c>
      <c r="B286" t="s">
        <v>40</v>
      </c>
      <c r="C286" t="s">
        <v>43</v>
      </c>
      <c r="D286">
        <v>14</v>
      </c>
      <c r="E286">
        <v>92313.07</v>
      </c>
      <c r="F286">
        <v>1292382.98</v>
      </c>
    </row>
    <row r="287" spans="1:6" x14ac:dyDescent="0.25">
      <c r="A287" s="6">
        <v>45901</v>
      </c>
      <c r="B287" t="s">
        <v>40</v>
      </c>
      <c r="C287" t="s">
        <v>43</v>
      </c>
      <c r="D287">
        <v>20</v>
      </c>
      <c r="E287">
        <v>39609.85</v>
      </c>
      <c r="F287">
        <v>792197</v>
      </c>
    </row>
    <row r="288" spans="1:6" x14ac:dyDescent="0.25">
      <c r="A288" s="6">
        <v>45711</v>
      </c>
      <c r="B288" t="s">
        <v>40</v>
      </c>
      <c r="C288" t="s">
        <v>51</v>
      </c>
      <c r="D288">
        <v>5</v>
      </c>
      <c r="E288">
        <v>25582.27</v>
      </c>
      <c r="F288">
        <v>127911.35</v>
      </c>
    </row>
    <row r="289" spans="1:6" x14ac:dyDescent="0.25">
      <c r="A289" s="6">
        <v>45810</v>
      </c>
      <c r="B289" t="s">
        <v>25</v>
      </c>
      <c r="C289" t="s">
        <v>28</v>
      </c>
      <c r="D289">
        <v>3</v>
      </c>
      <c r="E289">
        <v>31601.48</v>
      </c>
      <c r="F289">
        <v>94804.44</v>
      </c>
    </row>
    <row r="290" spans="1:6" x14ac:dyDescent="0.25">
      <c r="A290" s="6">
        <v>45789</v>
      </c>
      <c r="B290" t="s">
        <v>30</v>
      </c>
      <c r="C290" t="s">
        <v>34</v>
      </c>
      <c r="D290">
        <v>20</v>
      </c>
      <c r="E290">
        <v>90238.64</v>
      </c>
      <c r="F290">
        <v>1804772.8</v>
      </c>
    </row>
    <row r="291" spans="1:6" x14ac:dyDescent="0.25">
      <c r="A291" s="6">
        <v>45669</v>
      </c>
      <c r="B291" t="s">
        <v>30</v>
      </c>
      <c r="C291" t="s">
        <v>36</v>
      </c>
      <c r="D291">
        <v>9</v>
      </c>
      <c r="E291">
        <v>86278.94</v>
      </c>
      <c r="F291">
        <v>776510.46</v>
      </c>
    </row>
    <row r="292" spans="1:6" x14ac:dyDescent="0.25">
      <c r="A292" s="6">
        <v>45831</v>
      </c>
      <c r="B292" t="s">
        <v>25</v>
      </c>
      <c r="C292" t="s">
        <v>35</v>
      </c>
      <c r="D292">
        <v>5</v>
      </c>
      <c r="E292">
        <v>67458.12</v>
      </c>
      <c r="F292">
        <v>337290.6</v>
      </c>
    </row>
    <row r="293" spans="1:6" x14ac:dyDescent="0.25">
      <c r="A293" s="6">
        <v>45739</v>
      </c>
      <c r="B293" t="s">
        <v>25</v>
      </c>
      <c r="C293" t="s">
        <v>27</v>
      </c>
      <c r="D293">
        <v>15</v>
      </c>
      <c r="E293">
        <v>48741.22</v>
      </c>
      <c r="F293">
        <v>731118.3</v>
      </c>
    </row>
    <row r="294" spans="1:6" x14ac:dyDescent="0.25">
      <c r="A294" s="6">
        <v>45787</v>
      </c>
      <c r="B294" t="s">
        <v>30</v>
      </c>
      <c r="C294" t="s">
        <v>45</v>
      </c>
      <c r="D294">
        <v>20</v>
      </c>
      <c r="E294">
        <v>97104.01</v>
      </c>
      <c r="F294">
        <v>1942080.2</v>
      </c>
    </row>
    <row r="295" spans="1:6" x14ac:dyDescent="0.25">
      <c r="A295" s="6">
        <v>45846</v>
      </c>
      <c r="B295" t="s">
        <v>30</v>
      </c>
      <c r="C295" t="s">
        <v>31</v>
      </c>
      <c r="D295">
        <v>19</v>
      </c>
      <c r="E295">
        <v>3293.87</v>
      </c>
      <c r="F295">
        <v>62583.53</v>
      </c>
    </row>
    <row r="296" spans="1:6" x14ac:dyDescent="0.25">
      <c r="A296" s="6">
        <v>45742</v>
      </c>
      <c r="B296" t="s">
        <v>23</v>
      </c>
      <c r="C296" t="s">
        <v>37</v>
      </c>
      <c r="D296">
        <v>11</v>
      </c>
      <c r="E296">
        <v>25077.73</v>
      </c>
      <c r="F296">
        <v>275855.03000000003</v>
      </c>
    </row>
    <row r="297" spans="1:6" x14ac:dyDescent="0.25">
      <c r="A297" s="6">
        <v>45760</v>
      </c>
      <c r="B297" t="s">
        <v>32</v>
      </c>
      <c r="C297" t="s">
        <v>42</v>
      </c>
      <c r="D297">
        <v>4</v>
      </c>
      <c r="E297">
        <v>78293.83</v>
      </c>
      <c r="F297">
        <v>313175.32</v>
      </c>
    </row>
    <row r="298" spans="1:6" x14ac:dyDescent="0.25">
      <c r="A298" s="6">
        <v>45824</v>
      </c>
      <c r="B298" t="s">
        <v>23</v>
      </c>
      <c r="C298" t="s">
        <v>52</v>
      </c>
      <c r="D298">
        <v>14</v>
      </c>
      <c r="E298">
        <v>41896.629999999997</v>
      </c>
      <c r="F298">
        <v>586552.81999999995</v>
      </c>
    </row>
    <row r="299" spans="1:6" x14ac:dyDescent="0.25">
      <c r="A299" s="6">
        <v>45875</v>
      </c>
      <c r="B299" t="s">
        <v>30</v>
      </c>
      <c r="C299" t="s">
        <v>45</v>
      </c>
      <c r="D299">
        <v>16</v>
      </c>
      <c r="E299">
        <v>87230.14</v>
      </c>
      <c r="F299">
        <v>1395682.24</v>
      </c>
    </row>
    <row r="300" spans="1:6" x14ac:dyDescent="0.25">
      <c r="A300" s="6">
        <v>45789</v>
      </c>
      <c r="B300" t="s">
        <v>32</v>
      </c>
      <c r="C300" t="s">
        <v>50</v>
      </c>
      <c r="D300">
        <v>12</v>
      </c>
      <c r="E300">
        <v>64689.39</v>
      </c>
      <c r="F300">
        <v>776272.68</v>
      </c>
    </row>
    <row r="301" spans="1:6" x14ac:dyDescent="0.25">
      <c r="A301" s="6">
        <v>45820</v>
      </c>
      <c r="B301" t="s">
        <v>23</v>
      </c>
      <c r="C301" t="s">
        <v>53</v>
      </c>
      <c r="D301">
        <v>9</v>
      </c>
      <c r="E301">
        <v>98487.53</v>
      </c>
      <c r="F301">
        <v>886387.77</v>
      </c>
    </row>
    <row r="302" spans="1:6" x14ac:dyDescent="0.25">
      <c r="A302" s="6">
        <v>45836</v>
      </c>
      <c r="B302" t="s">
        <v>23</v>
      </c>
      <c r="C302" t="s">
        <v>52</v>
      </c>
      <c r="D302">
        <v>1</v>
      </c>
      <c r="E302">
        <v>41498.67</v>
      </c>
      <c r="F302">
        <v>41498.67</v>
      </c>
    </row>
    <row r="303" spans="1:6" x14ac:dyDescent="0.25">
      <c r="A303" s="6">
        <v>45684</v>
      </c>
      <c r="B303" t="s">
        <v>32</v>
      </c>
      <c r="C303" t="s">
        <v>50</v>
      </c>
      <c r="D303">
        <v>14</v>
      </c>
      <c r="E303">
        <v>25275.81</v>
      </c>
      <c r="F303">
        <v>353861.34</v>
      </c>
    </row>
    <row r="304" spans="1:6" x14ac:dyDescent="0.25">
      <c r="A304" s="6">
        <v>45879</v>
      </c>
      <c r="B304" t="s">
        <v>30</v>
      </c>
      <c r="C304" t="s">
        <v>34</v>
      </c>
      <c r="D304">
        <v>11</v>
      </c>
      <c r="E304">
        <v>26382.62</v>
      </c>
      <c r="F304">
        <v>290208.82</v>
      </c>
    </row>
    <row r="305" spans="1:6" x14ac:dyDescent="0.25">
      <c r="A305" s="6">
        <v>45892</v>
      </c>
      <c r="B305" t="s">
        <v>30</v>
      </c>
      <c r="C305" t="s">
        <v>46</v>
      </c>
      <c r="D305">
        <v>7</v>
      </c>
      <c r="E305">
        <v>77070.070000000007</v>
      </c>
      <c r="F305">
        <v>539490.49</v>
      </c>
    </row>
    <row r="306" spans="1:6" x14ac:dyDescent="0.25">
      <c r="A306" s="6">
        <v>45721</v>
      </c>
      <c r="B306" t="s">
        <v>32</v>
      </c>
      <c r="C306" t="s">
        <v>42</v>
      </c>
      <c r="D306">
        <v>16</v>
      </c>
      <c r="E306">
        <v>21496.12</v>
      </c>
      <c r="F306">
        <v>343937.92</v>
      </c>
    </row>
    <row r="307" spans="1:6" x14ac:dyDescent="0.25">
      <c r="A307" s="6">
        <v>45875</v>
      </c>
      <c r="B307" t="s">
        <v>25</v>
      </c>
      <c r="C307" t="s">
        <v>26</v>
      </c>
      <c r="D307">
        <v>1</v>
      </c>
      <c r="E307">
        <v>20243.84</v>
      </c>
      <c r="F307">
        <v>20243.84</v>
      </c>
    </row>
    <row r="308" spans="1:6" x14ac:dyDescent="0.25">
      <c r="A308" s="6">
        <v>45825</v>
      </c>
      <c r="B308" t="s">
        <v>30</v>
      </c>
      <c r="C308" t="s">
        <v>46</v>
      </c>
      <c r="D308">
        <v>10</v>
      </c>
      <c r="E308">
        <v>40672.79</v>
      </c>
      <c r="F308">
        <v>406727.9</v>
      </c>
    </row>
    <row r="309" spans="1:6" x14ac:dyDescent="0.25">
      <c r="A309" s="6">
        <v>45848</v>
      </c>
      <c r="B309" t="s">
        <v>30</v>
      </c>
      <c r="C309" t="s">
        <v>45</v>
      </c>
      <c r="D309">
        <v>7</v>
      </c>
      <c r="E309">
        <v>27777.13</v>
      </c>
      <c r="F309">
        <v>194439.91</v>
      </c>
    </row>
    <row r="310" spans="1:6" x14ac:dyDescent="0.25">
      <c r="A310" s="6">
        <v>45844</v>
      </c>
      <c r="B310" t="s">
        <v>25</v>
      </c>
      <c r="C310" t="s">
        <v>29</v>
      </c>
      <c r="D310">
        <v>14</v>
      </c>
      <c r="E310">
        <v>71729.679999999993</v>
      </c>
      <c r="F310">
        <v>1004215.52</v>
      </c>
    </row>
    <row r="311" spans="1:6" x14ac:dyDescent="0.25">
      <c r="A311" s="6">
        <v>45659</v>
      </c>
      <c r="B311" t="s">
        <v>25</v>
      </c>
      <c r="C311" t="s">
        <v>35</v>
      </c>
      <c r="D311">
        <v>3</v>
      </c>
      <c r="E311">
        <v>66090.8</v>
      </c>
      <c r="F311">
        <v>198272.4</v>
      </c>
    </row>
    <row r="312" spans="1:6" x14ac:dyDescent="0.25">
      <c r="A312" s="6">
        <v>45911</v>
      </c>
      <c r="B312" t="s">
        <v>40</v>
      </c>
      <c r="C312" t="s">
        <v>51</v>
      </c>
      <c r="D312">
        <v>20</v>
      </c>
      <c r="E312">
        <v>32747.759999999998</v>
      </c>
      <c r="F312">
        <v>654955.19999999995</v>
      </c>
    </row>
    <row r="313" spans="1:6" x14ac:dyDescent="0.25">
      <c r="A313" s="6">
        <v>45794</v>
      </c>
      <c r="B313" t="s">
        <v>32</v>
      </c>
      <c r="C313" t="s">
        <v>50</v>
      </c>
      <c r="D313">
        <v>10</v>
      </c>
      <c r="E313">
        <v>63256.54</v>
      </c>
      <c r="F313">
        <v>632565.4</v>
      </c>
    </row>
    <row r="314" spans="1:6" x14ac:dyDescent="0.25">
      <c r="A314" s="6">
        <v>45682</v>
      </c>
      <c r="B314" t="s">
        <v>40</v>
      </c>
      <c r="C314" t="s">
        <v>41</v>
      </c>
      <c r="D314">
        <v>11</v>
      </c>
      <c r="E314">
        <v>70563.47</v>
      </c>
      <c r="F314">
        <v>776198.17</v>
      </c>
    </row>
    <row r="315" spans="1:6" x14ac:dyDescent="0.25">
      <c r="A315" s="6">
        <v>45927</v>
      </c>
      <c r="B315" t="s">
        <v>32</v>
      </c>
      <c r="C315" t="s">
        <v>49</v>
      </c>
      <c r="D315">
        <v>15</v>
      </c>
      <c r="E315">
        <v>43197.51</v>
      </c>
      <c r="F315">
        <v>647962.65</v>
      </c>
    </row>
    <row r="316" spans="1:6" x14ac:dyDescent="0.25">
      <c r="A316" s="6">
        <v>45844</v>
      </c>
      <c r="B316" t="s">
        <v>30</v>
      </c>
      <c r="C316" t="s">
        <v>34</v>
      </c>
      <c r="D316">
        <v>13</v>
      </c>
      <c r="E316">
        <v>47998.97</v>
      </c>
      <c r="F316">
        <v>623986.61</v>
      </c>
    </row>
    <row r="317" spans="1:6" x14ac:dyDescent="0.25">
      <c r="A317" s="6">
        <v>45852</v>
      </c>
      <c r="B317" t="s">
        <v>40</v>
      </c>
      <c r="C317" t="s">
        <v>51</v>
      </c>
      <c r="D317">
        <v>9</v>
      </c>
      <c r="E317">
        <v>1911.64</v>
      </c>
      <c r="F317">
        <v>17204.759999999998</v>
      </c>
    </row>
    <row r="318" spans="1:6" x14ac:dyDescent="0.25">
      <c r="A318" s="6">
        <v>45829</v>
      </c>
      <c r="B318" t="s">
        <v>25</v>
      </c>
      <c r="C318" t="s">
        <v>26</v>
      </c>
      <c r="D318">
        <v>11</v>
      </c>
      <c r="E318">
        <v>9937.65</v>
      </c>
      <c r="F318">
        <v>109314.15</v>
      </c>
    </row>
    <row r="319" spans="1:6" x14ac:dyDescent="0.25">
      <c r="A319" s="6">
        <v>45689</v>
      </c>
      <c r="B319" t="s">
        <v>32</v>
      </c>
      <c r="C319" t="s">
        <v>39</v>
      </c>
      <c r="D319">
        <v>6</v>
      </c>
      <c r="E319">
        <v>51187.23</v>
      </c>
      <c r="F319">
        <v>307123.38</v>
      </c>
    </row>
    <row r="320" spans="1:6" x14ac:dyDescent="0.25">
      <c r="A320" s="6">
        <v>45676</v>
      </c>
      <c r="B320" t="s">
        <v>25</v>
      </c>
      <c r="C320" t="s">
        <v>26</v>
      </c>
      <c r="D320">
        <v>3</v>
      </c>
      <c r="E320">
        <v>40604.07</v>
      </c>
      <c r="F320">
        <v>121812.21</v>
      </c>
    </row>
    <row r="321" spans="1:6" x14ac:dyDescent="0.25">
      <c r="A321" s="6">
        <v>45782</v>
      </c>
      <c r="B321" t="s">
        <v>25</v>
      </c>
      <c r="C321" t="s">
        <v>29</v>
      </c>
      <c r="D321">
        <v>4</v>
      </c>
      <c r="E321">
        <v>90229.69</v>
      </c>
      <c r="F321">
        <v>360918.76</v>
      </c>
    </row>
    <row r="322" spans="1:6" x14ac:dyDescent="0.25">
      <c r="A322" s="6">
        <v>45726</v>
      </c>
      <c r="B322" t="s">
        <v>23</v>
      </c>
      <c r="C322" t="s">
        <v>54</v>
      </c>
      <c r="D322">
        <v>9</v>
      </c>
      <c r="E322">
        <v>90976.02</v>
      </c>
      <c r="F322">
        <v>818784.18</v>
      </c>
    </row>
    <row r="323" spans="1:6" x14ac:dyDescent="0.25">
      <c r="A323" s="6">
        <v>45726</v>
      </c>
      <c r="B323" t="s">
        <v>23</v>
      </c>
      <c r="C323" t="s">
        <v>52</v>
      </c>
      <c r="D323">
        <v>13</v>
      </c>
      <c r="E323">
        <v>71739.39</v>
      </c>
      <c r="F323">
        <v>932612.07</v>
      </c>
    </row>
    <row r="324" spans="1:6" x14ac:dyDescent="0.25">
      <c r="A324" s="6">
        <v>45724</v>
      </c>
      <c r="B324" t="s">
        <v>23</v>
      </c>
      <c r="C324" t="s">
        <v>47</v>
      </c>
      <c r="D324">
        <v>15</v>
      </c>
      <c r="E324">
        <v>30384.52</v>
      </c>
      <c r="F324">
        <v>455767.8</v>
      </c>
    </row>
    <row r="325" spans="1:6" x14ac:dyDescent="0.25">
      <c r="A325" s="6">
        <v>45827</v>
      </c>
      <c r="B325" t="s">
        <v>40</v>
      </c>
      <c r="C325" t="s">
        <v>44</v>
      </c>
      <c r="D325">
        <v>13</v>
      </c>
      <c r="E325">
        <v>85435.18</v>
      </c>
      <c r="F325">
        <v>1110657.3400000001</v>
      </c>
    </row>
    <row r="326" spans="1:6" x14ac:dyDescent="0.25">
      <c r="A326" s="6">
        <v>45788</v>
      </c>
      <c r="B326" t="s">
        <v>23</v>
      </c>
      <c r="C326" t="s">
        <v>24</v>
      </c>
      <c r="D326">
        <v>4</v>
      </c>
      <c r="E326">
        <v>24800.68</v>
      </c>
      <c r="F326">
        <v>99202.72</v>
      </c>
    </row>
    <row r="327" spans="1:6" x14ac:dyDescent="0.25">
      <c r="A327" s="6">
        <v>45720</v>
      </c>
      <c r="B327" t="s">
        <v>25</v>
      </c>
      <c r="C327" t="s">
        <v>29</v>
      </c>
      <c r="D327">
        <v>6</v>
      </c>
      <c r="E327">
        <v>47952.32</v>
      </c>
      <c r="F327">
        <v>287713.91999999998</v>
      </c>
    </row>
    <row r="328" spans="1:6" x14ac:dyDescent="0.25">
      <c r="A328" s="6">
        <v>45853</v>
      </c>
      <c r="B328" t="s">
        <v>32</v>
      </c>
      <c r="C328" t="s">
        <v>50</v>
      </c>
      <c r="D328">
        <v>18</v>
      </c>
      <c r="E328">
        <v>14865.57</v>
      </c>
      <c r="F328">
        <v>267580.26</v>
      </c>
    </row>
    <row r="329" spans="1:6" x14ac:dyDescent="0.25">
      <c r="A329" s="6">
        <v>45860</v>
      </c>
      <c r="B329" t="s">
        <v>30</v>
      </c>
      <c r="C329" t="s">
        <v>36</v>
      </c>
      <c r="D329">
        <v>15</v>
      </c>
      <c r="E329">
        <v>99907.5</v>
      </c>
      <c r="F329">
        <v>1498612.5</v>
      </c>
    </row>
    <row r="330" spans="1:6" x14ac:dyDescent="0.25">
      <c r="A330" s="6">
        <v>45849</v>
      </c>
      <c r="B330" t="s">
        <v>32</v>
      </c>
      <c r="C330" t="s">
        <v>49</v>
      </c>
      <c r="D330">
        <v>14</v>
      </c>
      <c r="E330">
        <v>79911.63</v>
      </c>
      <c r="F330">
        <v>1118762.82</v>
      </c>
    </row>
    <row r="331" spans="1:6" x14ac:dyDescent="0.25">
      <c r="A331" s="6">
        <v>45820</v>
      </c>
      <c r="B331" t="s">
        <v>25</v>
      </c>
      <c r="C331" t="s">
        <v>27</v>
      </c>
      <c r="D331">
        <v>10</v>
      </c>
      <c r="E331">
        <v>86422.42</v>
      </c>
      <c r="F331">
        <v>864224.2</v>
      </c>
    </row>
    <row r="332" spans="1:6" x14ac:dyDescent="0.25">
      <c r="A332" s="6">
        <v>45660</v>
      </c>
      <c r="B332" t="s">
        <v>30</v>
      </c>
      <c r="C332" t="s">
        <v>31</v>
      </c>
      <c r="D332">
        <v>19</v>
      </c>
      <c r="E332">
        <v>36128.9</v>
      </c>
      <c r="F332">
        <v>686449.1</v>
      </c>
    </row>
    <row r="333" spans="1:6" x14ac:dyDescent="0.25">
      <c r="A333" s="6">
        <v>45846</v>
      </c>
      <c r="B333" t="s">
        <v>25</v>
      </c>
      <c r="C333" t="s">
        <v>28</v>
      </c>
      <c r="D333">
        <v>6</v>
      </c>
      <c r="E333">
        <v>41238.639999999999</v>
      </c>
      <c r="F333">
        <v>247431.84</v>
      </c>
    </row>
    <row r="334" spans="1:6" x14ac:dyDescent="0.25">
      <c r="A334" s="6">
        <v>45771</v>
      </c>
      <c r="B334" t="s">
        <v>40</v>
      </c>
      <c r="C334" t="s">
        <v>43</v>
      </c>
      <c r="D334">
        <v>2</v>
      </c>
      <c r="E334">
        <v>10092.200000000001</v>
      </c>
      <c r="F334">
        <v>20184.400000000001</v>
      </c>
    </row>
    <row r="335" spans="1:6" x14ac:dyDescent="0.25">
      <c r="A335" s="6">
        <v>45743</v>
      </c>
      <c r="B335" t="s">
        <v>40</v>
      </c>
      <c r="C335" t="s">
        <v>48</v>
      </c>
      <c r="D335">
        <v>7</v>
      </c>
      <c r="E335">
        <v>6558.21</v>
      </c>
      <c r="F335">
        <v>45907.47</v>
      </c>
    </row>
    <row r="336" spans="1:6" x14ac:dyDescent="0.25">
      <c r="A336" s="6">
        <v>45796</v>
      </c>
      <c r="B336" t="s">
        <v>25</v>
      </c>
      <c r="C336" t="s">
        <v>27</v>
      </c>
      <c r="D336">
        <v>6</v>
      </c>
      <c r="E336">
        <v>67880.52</v>
      </c>
      <c r="F336">
        <v>407283.12</v>
      </c>
    </row>
    <row r="337" spans="1:6" x14ac:dyDescent="0.25">
      <c r="A337" s="6">
        <v>45874</v>
      </c>
      <c r="B337" t="s">
        <v>23</v>
      </c>
      <c r="C337" t="s">
        <v>53</v>
      </c>
      <c r="D337">
        <v>6</v>
      </c>
      <c r="E337">
        <v>5698.73</v>
      </c>
      <c r="F337">
        <v>34192.379999999997</v>
      </c>
    </row>
    <row r="338" spans="1:6" x14ac:dyDescent="0.25">
      <c r="A338" s="6">
        <v>45857</v>
      </c>
      <c r="B338" t="s">
        <v>32</v>
      </c>
      <c r="C338" t="s">
        <v>42</v>
      </c>
      <c r="D338">
        <v>15</v>
      </c>
      <c r="E338">
        <v>24247.35</v>
      </c>
      <c r="F338">
        <v>363710.25</v>
      </c>
    </row>
    <row r="339" spans="1:6" x14ac:dyDescent="0.25">
      <c r="A339" s="6">
        <v>45857</v>
      </c>
      <c r="B339" t="s">
        <v>23</v>
      </c>
      <c r="C339" t="s">
        <v>37</v>
      </c>
      <c r="D339">
        <v>16</v>
      </c>
      <c r="E339">
        <v>26002.35</v>
      </c>
      <c r="F339">
        <v>416037.6</v>
      </c>
    </row>
    <row r="340" spans="1:6" x14ac:dyDescent="0.25">
      <c r="A340" s="6">
        <v>45797</v>
      </c>
      <c r="B340" t="s">
        <v>40</v>
      </c>
      <c r="C340" t="s">
        <v>44</v>
      </c>
      <c r="D340">
        <v>20</v>
      </c>
      <c r="E340">
        <v>64444.5</v>
      </c>
      <c r="F340">
        <v>1288890</v>
      </c>
    </row>
    <row r="341" spans="1:6" x14ac:dyDescent="0.25">
      <c r="A341" s="6">
        <v>45866</v>
      </c>
      <c r="B341" t="s">
        <v>40</v>
      </c>
      <c r="C341" t="s">
        <v>51</v>
      </c>
      <c r="D341">
        <v>14</v>
      </c>
      <c r="E341">
        <v>98846.2</v>
      </c>
      <c r="F341">
        <v>1383846.8</v>
      </c>
    </row>
    <row r="342" spans="1:6" x14ac:dyDescent="0.25">
      <c r="A342" s="6">
        <v>45902</v>
      </c>
      <c r="B342" t="s">
        <v>32</v>
      </c>
      <c r="C342" t="s">
        <v>39</v>
      </c>
      <c r="D342">
        <v>19</v>
      </c>
      <c r="E342">
        <v>72708.92</v>
      </c>
      <c r="F342">
        <v>1381469.48</v>
      </c>
    </row>
    <row r="343" spans="1:6" x14ac:dyDescent="0.25">
      <c r="A343" s="6">
        <v>45814</v>
      </c>
      <c r="B343" t="s">
        <v>30</v>
      </c>
      <c r="C343" t="s">
        <v>34</v>
      </c>
      <c r="D343">
        <v>8</v>
      </c>
      <c r="E343">
        <v>92494.42</v>
      </c>
      <c r="F343">
        <v>739955.36</v>
      </c>
    </row>
    <row r="344" spans="1:6" x14ac:dyDescent="0.25">
      <c r="A344" s="6">
        <v>45711</v>
      </c>
      <c r="B344" t="s">
        <v>23</v>
      </c>
      <c r="C344" t="s">
        <v>38</v>
      </c>
      <c r="D344">
        <v>19</v>
      </c>
      <c r="E344">
        <v>36930.43</v>
      </c>
      <c r="F344">
        <v>701678.17</v>
      </c>
    </row>
    <row r="345" spans="1:6" x14ac:dyDescent="0.25">
      <c r="A345" s="6">
        <v>45743</v>
      </c>
      <c r="B345" t="s">
        <v>25</v>
      </c>
      <c r="C345" t="s">
        <v>26</v>
      </c>
      <c r="D345">
        <v>20</v>
      </c>
      <c r="E345">
        <v>98514.18</v>
      </c>
      <c r="F345">
        <v>1970283.6</v>
      </c>
    </row>
    <row r="346" spans="1:6" x14ac:dyDescent="0.25">
      <c r="A346" s="6">
        <v>45783</v>
      </c>
      <c r="B346" t="s">
        <v>32</v>
      </c>
      <c r="C346" t="s">
        <v>33</v>
      </c>
      <c r="D346">
        <v>6</v>
      </c>
      <c r="E346">
        <v>37290.629999999997</v>
      </c>
      <c r="F346">
        <v>223743.78</v>
      </c>
    </row>
    <row r="347" spans="1:6" x14ac:dyDescent="0.25">
      <c r="A347" s="6">
        <v>45770</v>
      </c>
      <c r="B347" t="s">
        <v>23</v>
      </c>
      <c r="C347" t="s">
        <v>53</v>
      </c>
      <c r="D347">
        <v>17</v>
      </c>
      <c r="E347">
        <v>30065.3</v>
      </c>
      <c r="F347">
        <v>511110.1</v>
      </c>
    </row>
    <row r="348" spans="1:6" x14ac:dyDescent="0.25">
      <c r="A348" s="6">
        <v>45851</v>
      </c>
      <c r="B348" t="s">
        <v>30</v>
      </c>
      <c r="C348" t="s">
        <v>31</v>
      </c>
      <c r="D348">
        <v>5</v>
      </c>
      <c r="E348">
        <v>78002.45</v>
      </c>
      <c r="F348">
        <v>390012.25</v>
      </c>
    </row>
    <row r="349" spans="1:6" x14ac:dyDescent="0.25">
      <c r="A349" s="6">
        <v>45721</v>
      </c>
      <c r="B349" t="s">
        <v>40</v>
      </c>
      <c r="C349" t="s">
        <v>41</v>
      </c>
      <c r="D349">
        <v>4</v>
      </c>
      <c r="E349">
        <v>97826.17</v>
      </c>
      <c r="F349">
        <v>391304.68</v>
      </c>
    </row>
    <row r="350" spans="1:6" x14ac:dyDescent="0.25">
      <c r="A350" s="6">
        <v>45690</v>
      </c>
      <c r="B350" t="s">
        <v>25</v>
      </c>
      <c r="C350" t="s">
        <v>28</v>
      </c>
      <c r="D350">
        <v>17</v>
      </c>
      <c r="E350">
        <v>10083.709999999999</v>
      </c>
      <c r="F350">
        <v>171423.07</v>
      </c>
    </row>
    <row r="351" spans="1:6" x14ac:dyDescent="0.25">
      <c r="A351" s="6">
        <v>45730</v>
      </c>
      <c r="B351" t="s">
        <v>32</v>
      </c>
      <c r="C351" t="s">
        <v>49</v>
      </c>
      <c r="D351">
        <v>3</v>
      </c>
      <c r="E351">
        <v>64529.62</v>
      </c>
      <c r="F351">
        <v>193588.86</v>
      </c>
    </row>
    <row r="352" spans="1:6" x14ac:dyDescent="0.25">
      <c r="A352" s="6">
        <v>45659</v>
      </c>
      <c r="B352" t="s">
        <v>40</v>
      </c>
      <c r="C352" t="s">
        <v>48</v>
      </c>
      <c r="D352">
        <v>20</v>
      </c>
      <c r="E352">
        <v>44269.279999999999</v>
      </c>
      <c r="F352">
        <v>885385.6</v>
      </c>
    </row>
    <row r="353" spans="1:6" x14ac:dyDescent="0.25">
      <c r="A353" s="6">
        <v>45700</v>
      </c>
      <c r="B353" t="s">
        <v>30</v>
      </c>
      <c r="C353" t="s">
        <v>31</v>
      </c>
      <c r="D353">
        <v>13</v>
      </c>
      <c r="E353">
        <v>46866.99</v>
      </c>
      <c r="F353">
        <v>609270.87</v>
      </c>
    </row>
    <row r="354" spans="1:6" x14ac:dyDescent="0.25">
      <c r="A354" s="6">
        <v>45758</v>
      </c>
      <c r="B354" t="s">
        <v>30</v>
      </c>
      <c r="C354" t="s">
        <v>34</v>
      </c>
      <c r="D354">
        <v>4</v>
      </c>
      <c r="E354">
        <v>73572.429999999993</v>
      </c>
      <c r="F354">
        <v>294289.71999999997</v>
      </c>
    </row>
    <row r="355" spans="1:6" x14ac:dyDescent="0.25">
      <c r="A355" s="6">
        <v>45754</v>
      </c>
      <c r="B355" t="s">
        <v>32</v>
      </c>
      <c r="C355" t="s">
        <v>39</v>
      </c>
      <c r="D355">
        <v>5</v>
      </c>
      <c r="E355">
        <v>46079.199999999997</v>
      </c>
      <c r="F355">
        <v>230396</v>
      </c>
    </row>
    <row r="356" spans="1:6" x14ac:dyDescent="0.25">
      <c r="A356" s="6">
        <v>45881</v>
      </c>
      <c r="B356" t="s">
        <v>32</v>
      </c>
      <c r="C356" t="s">
        <v>42</v>
      </c>
      <c r="D356">
        <v>4</v>
      </c>
      <c r="E356">
        <v>42861.7</v>
      </c>
      <c r="F356">
        <v>171446.8</v>
      </c>
    </row>
    <row r="357" spans="1:6" x14ac:dyDescent="0.25">
      <c r="A357" s="6">
        <v>45810</v>
      </c>
      <c r="B357" t="s">
        <v>25</v>
      </c>
      <c r="C357" t="s">
        <v>27</v>
      </c>
      <c r="D357">
        <v>3</v>
      </c>
      <c r="E357">
        <v>34373.360000000001</v>
      </c>
      <c r="F357">
        <v>103120.08</v>
      </c>
    </row>
    <row r="358" spans="1:6" x14ac:dyDescent="0.25">
      <c r="A358" s="6">
        <v>45754</v>
      </c>
      <c r="B358" t="s">
        <v>25</v>
      </c>
      <c r="C358" t="s">
        <v>26</v>
      </c>
      <c r="D358">
        <v>9</v>
      </c>
      <c r="E358">
        <v>45886.46</v>
      </c>
      <c r="F358">
        <v>412978.14</v>
      </c>
    </row>
    <row r="359" spans="1:6" x14ac:dyDescent="0.25">
      <c r="A359" s="6">
        <v>45928</v>
      </c>
      <c r="B359" t="s">
        <v>30</v>
      </c>
      <c r="C359" t="s">
        <v>31</v>
      </c>
      <c r="D359">
        <v>18</v>
      </c>
      <c r="E359">
        <v>13450.03</v>
      </c>
      <c r="F359">
        <v>242100.54</v>
      </c>
    </row>
    <row r="360" spans="1:6" x14ac:dyDescent="0.25">
      <c r="A360" s="6">
        <v>45901</v>
      </c>
      <c r="B360" t="s">
        <v>25</v>
      </c>
      <c r="C360" t="s">
        <v>35</v>
      </c>
      <c r="D360">
        <v>14</v>
      </c>
      <c r="E360">
        <v>30861.06</v>
      </c>
      <c r="F360">
        <v>432054.84</v>
      </c>
    </row>
    <row r="361" spans="1:6" x14ac:dyDescent="0.25">
      <c r="A361" s="6">
        <v>45916</v>
      </c>
      <c r="B361" t="s">
        <v>25</v>
      </c>
      <c r="C361" t="s">
        <v>35</v>
      </c>
      <c r="D361">
        <v>9</v>
      </c>
      <c r="E361">
        <v>83502.78</v>
      </c>
      <c r="F361">
        <v>751525.02</v>
      </c>
    </row>
    <row r="362" spans="1:6" x14ac:dyDescent="0.25">
      <c r="A362" s="6">
        <v>45888</v>
      </c>
      <c r="B362" t="s">
        <v>30</v>
      </c>
      <c r="C362" t="s">
        <v>31</v>
      </c>
      <c r="D362">
        <v>4</v>
      </c>
      <c r="E362">
        <v>21861.64</v>
      </c>
      <c r="F362">
        <v>87446.56</v>
      </c>
    </row>
    <row r="363" spans="1:6" x14ac:dyDescent="0.25">
      <c r="A363" s="6">
        <v>45884</v>
      </c>
      <c r="B363" t="s">
        <v>40</v>
      </c>
      <c r="C363" t="s">
        <v>51</v>
      </c>
      <c r="D363">
        <v>12</v>
      </c>
      <c r="E363">
        <v>23678.7</v>
      </c>
      <c r="F363">
        <v>284144.40000000002</v>
      </c>
    </row>
    <row r="364" spans="1:6" x14ac:dyDescent="0.25">
      <c r="A364" s="6">
        <v>45896</v>
      </c>
      <c r="B364" t="s">
        <v>25</v>
      </c>
      <c r="C364" t="s">
        <v>26</v>
      </c>
      <c r="D364">
        <v>7</v>
      </c>
      <c r="E364">
        <v>8788.0499999999993</v>
      </c>
      <c r="F364">
        <v>61516.35</v>
      </c>
    </row>
    <row r="365" spans="1:6" x14ac:dyDescent="0.25">
      <c r="A365" s="6">
        <v>45680</v>
      </c>
      <c r="B365" t="s">
        <v>30</v>
      </c>
      <c r="C365" t="s">
        <v>31</v>
      </c>
      <c r="D365">
        <v>2</v>
      </c>
      <c r="E365">
        <v>91443.76</v>
      </c>
      <c r="F365">
        <v>182887.52</v>
      </c>
    </row>
    <row r="366" spans="1:6" x14ac:dyDescent="0.25">
      <c r="A366" s="6">
        <v>45912</v>
      </c>
      <c r="B366" t="s">
        <v>23</v>
      </c>
      <c r="C366" t="s">
        <v>47</v>
      </c>
      <c r="D366">
        <v>11</v>
      </c>
      <c r="E366">
        <v>53364.79</v>
      </c>
      <c r="F366">
        <v>587012.68999999994</v>
      </c>
    </row>
    <row r="367" spans="1:6" x14ac:dyDescent="0.25">
      <c r="A367" s="6">
        <v>45830</v>
      </c>
      <c r="B367" t="s">
        <v>23</v>
      </c>
      <c r="C367" t="s">
        <v>24</v>
      </c>
      <c r="D367">
        <v>5</v>
      </c>
      <c r="E367">
        <v>36676.53</v>
      </c>
      <c r="F367">
        <v>183382.65</v>
      </c>
    </row>
    <row r="368" spans="1:6" x14ac:dyDescent="0.25">
      <c r="A368" s="6">
        <v>45791</v>
      </c>
      <c r="B368" t="s">
        <v>23</v>
      </c>
      <c r="C368" t="s">
        <v>53</v>
      </c>
      <c r="D368">
        <v>14</v>
      </c>
      <c r="E368">
        <v>2361.75</v>
      </c>
      <c r="F368">
        <v>33064.5</v>
      </c>
    </row>
    <row r="369" spans="1:6" x14ac:dyDescent="0.25">
      <c r="A369" s="6">
        <v>45763</v>
      </c>
      <c r="B369" t="s">
        <v>30</v>
      </c>
      <c r="C369" t="s">
        <v>36</v>
      </c>
      <c r="D369">
        <v>13</v>
      </c>
      <c r="E369">
        <v>58227.42</v>
      </c>
      <c r="F369">
        <v>756956.46</v>
      </c>
    </row>
    <row r="370" spans="1:6" x14ac:dyDescent="0.25">
      <c r="A370" s="6">
        <v>45781</v>
      </c>
      <c r="B370" t="s">
        <v>40</v>
      </c>
      <c r="C370" t="s">
        <v>48</v>
      </c>
      <c r="D370">
        <v>11</v>
      </c>
      <c r="E370">
        <v>58921.62</v>
      </c>
      <c r="F370">
        <v>648137.81999999995</v>
      </c>
    </row>
    <row r="371" spans="1:6" x14ac:dyDescent="0.25">
      <c r="A371" s="6">
        <v>45877</v>
      </c>
      <c r="B371" t="s">
        <v>25</v>
      </c>
      <c r="C371" t="s">
        <v>28</v>
      </c>
      <c r="D371">
        <v>5</v>
      </c>
      <c r="E371">
        <v>26453.29</v>
      </c>
      <c r="F371">
        <v>132266.45000000001</v>
      </c>
    </row>
    <row r="372" spans="1:6" x14ac:dyDescent="0.25">
      <c r="A372" s="6">
        <v>45809</v>
      </c>
      <c r="B372" t="s">
        <v>32</v>
      </c>
      <c r="C372" t="s">
        <v>42</v>
      </c>
      <c r="D372">
        <v>17</v>
      </c>
      <c r="E372">
        <v>45814.080000000002</v>
      </c>
      <c r="F372">
        <v>778839.36</v>
      </c>
    </row>
    <row r="373" spans="1:6" x14ac:dyDescent="0.25">
      <c r="A373" s="6">
        <v>45710</v>
      </c>
      <c r="B373" t="s">
        <v>30</v>
      </c>
      <c r="C373" t="s">
        <v>34</v>
      </c>
      <c r="D373">
        <v>14</v>
      </c>
      <c r="E373">
        <v>58846.95</v>
      </c>
      <c r="F373">
        <v>823857.3</v>
      </c>
    </row>
    <row r="374" spans="1:6" x14ac:dyDescent="0.25">
      <c r="A374" s="6">
        <v>45882</v>
      </c>
      <c r="B374" t="s">
        <v>40</v>
      </c>
      <c r="C374" t="s">
        <v>48</v>
      </c>
      <c r="D374">
        <v>13</v>
      </c>
      <c r="E374">
        <v>64491.34</v>
      </c>
      <c r="F374">
        <v>838387.42</v>
      </c>
    </row>
    <row r="375" spans="1:6" x14ac:dyDescent="0.25">
      <c r="A375" s="6">
        <v>45759</v>
      </c>
      <c r="B375" t="s">
        <v>25</v>
      </c>
      <c r="C375" t="s">
        <v>35</v>
      </c>
      <c r="D375">
        <v>14</v>
      </c>
      <c r="E375">
        <v>11767.74</v>
      </c>
      <c r="F375">
        <v>164748.35999999999</v>
      </c>
    </row>
    <row r="376" spans="1:6" x14ac:dyDescent="0.25">
      <c r="A376" s="6">
        <v>45711</v>
      </c>
      <c r="B376" t="s">
        <v>40</v>
      </c>
      <c r="C376" t="s">
        <v>44</v>
      </c>
      <c r="D376">
        <v>8</v>
      </c>
      <c r="E376">
        <v>91367.8</v>
      </c>
      <c r="F376">
        <v>730942.4</v>
      </c>
    </row>
    <row r="377" spans="1:6" x14ac:dyDescent="0.25">
      <c r="A377" s="6">
        <v>45733</v>
      </c>
      <c r="B377" t="s">
        <v>32</v>
      </c>
      <c r="C377" t="s">
        <v>33</v>
      </c>
      <c r="D377">
        <v>15</v>
      </c>
      <c r="E377">
        <v>18506.5</v>
      </c>
      <c r="F377">
        <v>277597.5</v>
      </c>
    </row>
    <row r="378" spans="1:6" x14ac:dyDescent="0.25">
      <c r="A378" s="6">
        <v>45892</v>
      </c>
      <c r="B378" t="s">
        <v>30</v>
      </c>
      <c r="C378" t="s">
        <v>36</v>
      </c>
      <c r="D378">
        <v>3</v>
      </c>
      <c r="E378">
        <v>6257.03</v>
      </c>
      <c r="F378">
        <v>18771.09</v>
      </c>
    </row>
    <row r="379" spans="1:6" x14ac:dyDescent="0.25">
      <c r="A379" s="6">
        <v>45833</v>
      </c>
      <c r="B379" t="s">
        <v>32</v>
      </c>
      <c r="C379" t="s">
        <v>33</v>
      </c>
      <c r="D379">
        <v>12</v>
      </c>
      <c r="E379">
        <v>95791.54</v>
      </c>
      <c r="F379">
        <v>1149498.48</v>
      </c>
    </row>
    <row r="380" spans="1:6" x14ac:dyDescent="0.25">
      <c r="A380" s="6">
        <v>45894</v>
      </c>
      <c r="B380" t="s">
        <v>32</v>
      </c>
      <c r="C380" t="s">
        <v>50</v>
      </c>
      <c r="D380">
        <v>1</v>
      </c>
      <c r="E380">
        <v>89167.039999999994</v>
      </c>
      <c r="F380">
        <v>89167.039999999994</v>
      </c>
    </row>
    <row r="381" spans="1:6" x14ac:dyDescent="0.25">
      <c r="A381" s="6">
        <v>45669</v>
      </c>
      <c r="B381" t="s">
        <v>40</v>
      </c>
      <c r="C381" t="s">
        <v>41</v>
      </c>
      <c r="D381">
        <v>16</v>
      </c>
      <c r="E381">
        <v>53682.83</v>
      </c>
      <c r="F381">
        <v>858925.28</v>
      </c>
    </row>
    <row r="382" spans="1:6" x14ac:dyDescent="0.25">
      <c r="A382" s="6">
        <v>45915</v>
      </c>
      <c r="B382" t="s">
        <v>25</v>
      </c>
      <c r="C382" t="s">
        <v>27</v>
      </c>
      <c r="D382">
        <v>18</v>
      </c>
      <c r="E382">
        <v>72631.570000000007</v>
      </c>
      <c r="F382">
        <v>1307368.26</v>
      </c>
    </row>
    <row r="383" spans="1:6" x14ac:dyDescent="0.25">
      <c r="A383" s="6">
        <v>45917</v>
      </c>
      <c r="B383" t="s">
        <v>23</v>
      </c>
      <c r="C383" t="s">
        <v>38</v>
      </c>
      <c r="D383">
        <v>3</v>
      </c>
      <c r="E383">
        <v>61074.03</v>
      </c>
      <c r="F383">
        <v>183222.09</v>
      </c>
    </row>
    <row r="384" spans="1:6" x14ac:dyDescent="0.25">
      <c r="A384" s="6">
        <v>45872</v>
      </c>
      <c r="B384" t="s">
        <v>40</v>
      </c>
      <c r="C384" t="s">
        <v>43</v>
      </c>
      <c r="D384">
        <v>11</v>
      </c>
      <c r="E384">
        <v>99195.47</v>
      </c>
      <c r="F384">
        <v>1091150.17</v>
      </c>
    </row>
    <row r="385" spans="1:6" x14ac:dyDescent="0.25">
      <c r="A385" s="6">
        <v>45791</v>
      </c>
      <c r="B385" t="s">
        <v>32</v>
      </c>
      <c r="C385" t="s">
        <v>42</v>
      </c>
      <c r="D385">
        <v>7</v>
      </c>
      <c r="E385">
        <v>69736.23</v>
      </c>
      <c r="F385">
        <v>488153.61</v>
      </c>
    </row>
    <row r="386" spans="1:6" x14ac:dyDescent="0.25">
      <c r="A386" s="6">
        <v>45794</v>
      </c>
      <c r="B386" t="s">
        <v>40</v>
      </c>
      <c r="C386" t="s">
        <v>43</v>
      </c>
      <c r="D386">
        <v>15</v>
      </c>
      <c r="E386">
        <v>91298.91</v>
      </c>
      <c r="F386">
        <v>1369483.65</v>
      </c>
    </row>
    <row r="387" spans="1:6" x14ac:dyDescent="0.25">
      <c r="A387" s="6">
        <v>45883</v>
      </c>
      <c r="B387" t="s">
        <v>32</v>
      </c>
      <c r="C387" t="s">
        <v>39</v>
      </c>
      <c r="D387">
        <v>13</v>
      </c>
      <c r="E387">
        <v>35553.699999999997</v>
      </c>
      <c r="F387">
        <v>462198.1</v>
      </c>
    </row>
    <row r="388" spans="1:6" x14ac:dyDescent="0.25">
      <c r="A388" s="6">
        <v>45927</v>
      </c>
      <c r="B388" t="s">
        <v>25</v>
      </c>
      <c r="C388" t="s">
        <v>27</v>
      </c>
      <c r="D388">
        <v>1</v>
      </c>
      <c r="E388">
        <v>94504.62</v>
      </c>
      <c r="F388">
        <v>94504.62</v>
      </c>
    </row>
    <row r="389" spans="1:6" x14ac:dyDescent="0.25">
      <c r="A389" s="6">
        <v>45889</v>
      </c>
      <c r="B389" t="s">
        <v>40</v>
      </c>
      <c r="C389" t="s">
        <v>44</v>
      </c>
      <c r="D389">
        <v>11</v>
      </c>
      <c r="E389">
        <v>55660.86</v>
      </c>
      <c r="F389">
        <v>612269.46</v>
      </c>
    </row>
    <row r="390" spans="1:6" x14ac:dyDescent="0.25">
      <c r="A390" s="6">
        <v>45927</v>
      </c>
      <c r="B390" t="s">
        <v>40</v>
      </c>
      <c r="C390" t="s">
        <v>44</v>
      </c>
      <c r="D390">
        <v>11</v>
      </c>
      <c r="E390">
        <v>82559.05</v>
      </c>
      <c r="F390">
        <v>908149.55</v>
      </c>
    </row>
    <row r="391" spans="1:6" x14ac:dyDescent="0.25">
      <c r="A391" s="6">
        <v>45780</v>
      </c>
      <c r="B391" t="s">
        <v>32</v>
      </c>
      <c r="C391" t="s">
        <v>33</v>
      </c>
      <c r="D391">
        <v>15</v>
      </c>
      <c r="E391">
        <v>88919.46</v>
      </c>
      <c r="F391">
        <v>1333791.8999999999</v>
      </c>
    </row>
    <row r="392" spans="1:6" x14ac:dyDescent="0.25">
      <c r="A392" s="6">
        <v>45863</v>
      </c>
      <c r="B392" t="s">
        <v>23</v>
      </c>
      <c r="C392" t="s">
        <v>37</v>
      </c>
      <c r="D392">
        <v>9</v>
      </c>
      <c r="E392">
        <v>27563.73</v>
      </c>
      <c r="F392">
        <v>248073.57</v>
      </c>
    </row>
    <row r="393" spans="1:6" x14ac:dyDescent="0.25">
      <c r="A393" s="6">
        <v>45892</v>
      </c>
      <c r="B393" t="s">
        <v>30</v>
      </c>
      <c r="C393" t="s">
        <v>31</v>
      </c>
      <c r="D393">
        <v>1</v>
      </c>
      <c r="E393">
        <v>54422.36</v>
      </c>
      <c r="F393">
        <v>54422.36</v>
      </c>
    </row>
    <row r="394" spans="1:6" x14ac:dyDescent="0.25">
      <c r="A394" s="6">
        <v>45671</v>
      </c>
      <c r="B394" t="s">
        <v>32</v>
      </c>
      <c r="C394" t="s">
        <v>50</v>
      </c>
      <c r="D394">
        <v>1</v>
      </c>
      <c r="E394">
        <v>95937.55</v>
      </c>
      <c r="F394">
        <v>95937.55</v>
      </c>
    </row>
    <row r="395" spans="1:6" x14ac:dyDescent="0.25">
      <c r="A395" s="6">
        <v>45702</v>
      </c>
      <c r="B395" t="s">
        <v>40</v>
      </c>
      <c r="C395" t="s">
        <v>43</v>
      </c>
      <c r="D395">
        <v>9</v>
      </c>
      <c r="E395">
        <v>47159.839999999997</v>
      </c>
      <c r="F395">
        <v>424438.56</v>
      </c>
    </row>
    <row r="396" spans="1:6" x14ac:dyDescent="0.25">
      <c r="A396" s="6">
        <v>45810</v>
      </c>
      <c r="B396" t="s">
        <v>23</v>
      </c>
      <c r="C396" t="s">
        <v>38</v>
      </c>
      <c r="D396">
        <v>15</v>
      </c>
      <c r="E396">
        <v>79974.39</v>
      </c>
      <c r="F396">
        <v>1199615.8500000001</v>
      </c>
    </row>
    <row r="397" spans="1:6" x14ac:dyDescent="0.25">
      <c r="A397" s="6">
        <v>45737</v>
      </c>
      <c r="B397" t="s">
        <v>30</v>
      </c>
      <c r="C397" t="s">
        <v>46</v>
      </c>
      <c r="D397">
        <v>8</v>
      </c>
      <c r="E397">
        <v>43843.92</v>
      </c>
      <c r="F397">
        <v>350751.36</v>
      </c>
    </row>
    <row r="398" spans="1:6" x14ac:dyDescent="0.25">
      <c r="A398" s="6">
        <v>45855</v>
      </c>
      <c r="B398" t="s">
        <v>32</v>
      </c>
      <c r="C398" t="s">
        <v>33</v>
      </c>
      <c r="D398">
        <v>14</v>
      </c>
      <c r="E398">
        <v>3314.61</v>
      </c>
      <c r="F398">
        <v>46404.54</v>
      </c>
    </row>
    <row r="399" spans="1:6" x14ac:dyDescent="0.25">
      <c r="A399" s="6">
        <v>45884</v>
      </c>
      <c r="B399" t="s">
        <v>30</v>
      </c>
      <c r="C399" t="s">
        <v>34</v>
      </c>
      <c r="D399">
        <v>17</v>
      </c>
      <c r="E399">
        <v>54590.69</v>
      </c>
      <c r="F399">
        <v>928041.73</v>
      </c>
    </row>
    <row r="400" spans="1:6" x14ac:dyDescent="0.25">
      <c r="A400" s="6">
        <v>45889</v>
      </c>
      <c r="B400" t="s">
        <v>23</v>
      </c>
      <c r="C400" t="s">
        <v>37</v>
      </c>
      <c r="D400">
        <v>14</v>
      </c>
      <c r="E400">
        <v>48175.71</v>
      </c>
      <c r="F400">
        <v>674459.94</v>
      </c>
    </row>
    <row r="401" spans="1:6" x14ac:dyDescent="0.25">
      <c r="A401" s="6">
        <v>45700</v>
      </c>
      <c r="B401" t="s">
        <v>25</v>
      </c>
      <c r="C401" t="s">
        <v>35</v>
      </c>
      <c r="D401">
        <v>5</v>
      </c>
      <c r="E401">
        <v>68486.539999999994</v>
      </c>
      <c r="F401">
        <v>342432.7</v>
      </c>
    </row>
    <row r="402" spans="1:6" x14ac:dyDescent="0.25">
      <c r="A402" s="6">
        <v>45782</v>
      </c>
      <c r="B402" t="s">
        <v>32</v>
      </c>
      <c r="C402" t="s">
        <v>33</v>
      </c>
      <c r="D402">
        <v>10</v>
      </c>
      <c r="E402">
        <v>51956.77</v>
      </c>
      <c r="F402">
        <v>519567.7</v>
      </c>
    </row>
    <row r="403" spans="1:6" x14ac:dyDescent="0.25">
      <c r="A403" s="6">
        <v>45723</v>
      </c>
      <c r="B403" t="s">
        <v>23</v>
      </c>
      <c r="C403" t="s">
        <v>52</v>
      </c>
      <c r="D403">
        <v>6</v>
      </c>
      <c r="E403">
        <v>98001.88</v>
      </c>
      <c r="F403">
        <v>588011.28</v>
      </c>
    </row>
    <row r="404" spans="1:6" x14ac:dyDescent="0.25">
      <c r="A404" s="6">
        <v>45841</v>
      </c>
      <c r="B404" t="s">
        <v>40</v>
      </c>
      <c r="C404" t="s">
        <v>51</v>
      </c>
      <c r="D404">
        <v>3</v>
      </c>
      <c r="E404">
        <v>16428.95</v>
      </c>
      <c r="F404">
        <v>49286.85</v>
      </c>
    </row>
    <row r="405" spans="1:6" x14ac:dyDescent="0.25">
      <c r="A405" s="6">
        <v>45834</v>
      </c>
      <c r="B405" t="s">
        <v>23</v>
      </c>
      <c r="C405" t="s">
        <v>54</v>
      </c>
      <c r="D405">
        <v>8</v>
      </c>
      <c r="E405">
        <v>69834.070000000007</v>
      </c>
      <c r="F405">
        <v>558672.56000000006</v>
      </c>
    </row>
    <row r="406" spans="1:6" x14ac:dyDescent="0.25">
      <c r="A406" s="6">
        <v>45848</v>
      </c>
      <c r="B406" t="s">
        <v>30</v>
      </c>
      <c r="C406" t="s">
        <v>36</v>
      </c>
      <c r="D406">
        <v>16</v>
      </c>
      <c r="E406">
        <v>92575.32</v>
      </c>
      <c r="F406">
        <v>1481205.12</v>
      </c>
    </row>
    <row r="407" spans="1:6" x14ac:dyDescent="0.25">
      <c r="A407" s="6">
        <v>45694</v>
      </c>
      <c r="B407" t="s">
        <v>25</v>
      </c>
      <c r="C407" t="s">
        <v>26</v>
      </c>
      <c r="D407">
        <v>18</v>
      </c>
      <c r="E407">
        <v>20222.38</v>
      </c>
      <c r="F407">
        <v>364002.84</v>
      </c>
    </row>
    <row r="408" spans="1:6" x14ac:dyDescent="0.25">
      <c r="A408" s="6">
        <v>45848</v>
      </c>
      <c r="B408" t="s">
        <v>30</v>
      </c>
      <c r="C408" t="s">
        <v>46</v>
      </c>
      <c r="D408">
        <v>20</v>
      </c>
      <c r="E408">
        <v>31048.82</v>
      </c>
      <c r="F408">
        <v>620976.4</v>
      </c>
    </row>
    <row r="409" spans="1:6" x14ac:dyDescent="0.25">
      <c r="A409" s="6">
        <v>45798</v>
      </c>
      <c r="B409" t="s">
        <v>40</v>
      </c>
      <c r="C409" t="s">
        <v>41</v>
      </c>
      <c r="D409">
        <v>19</v>
      </c>
      <c r="E409">
        <v>5384.49</v>
      </c>
      <c r="F409">
        <v>102305.31</v>
      </c>
    </row>
    <row r="410" spans="1:6" x14ac:dyDescent="0.25">
      <c r="A410" s="6">
        <v>45903</v>
      </c>
      <c r="B410" t="s">
        <v>32</v>
      </c>
      <c r="C410" t="s">
        <v>39</v>
      </c>
      <c r="D410">
        <v>5</v>
      </c>
      <c r="E410">
        <v>1118.26</v>
      </c>
      <c r="F410">
        <v>5591.3</v>
      </c>
    </row>
    <row r="411" spans="1:6" x14ac:dyDescent="0.25">
      <c r="A411" s="6">
        <v>45711</v>
      </c>
      <c r="B411" t="s">
        <v>32</v>
      </c>
      <c r="C411" t="s">
        <v>49</v>
      </c>
      <c r="D411">
        <v>16</v>
      </c>
      <c r="E411">
        <v>520.23</v>
      </c>
      <c r="F411">
        <v>8323.68</v>
      </c>
    </row>
    <row r="412" spans="1:6" x14ac:dyDescent="0.25">
      <c r="A412" s="6">
        <v>45864</v>
      </c>
      <c r="B412" t="s">
        <v>23</v>
      </c>
      <c r="C412" t="s">
        <v>54</v>
      </c>
      <c r="D412">
        <v>16</v>
      </c>
      <c r="E412">
        <v>8984.66</v>
      </c>
      <c r="F412">
        <v>143754.56</v>
      </c>
    </row>
    <row r="413" spans="1:6" x14ac:dyDescent="0.25">
      <c r="A413" s="6">
        <v>45850</v>
      </c>
      <c r="B413" t="s">
        <v>32</v>
      </c>
      <c r="C413" t="s">
        <v>49</v>
      </c>
      <c r="D413">
        <v>5</v>
      </c>
      <c r="E413">
        <v>51345.87</v>
      </c>
      <c r="F413">
        <v>256729.35</v>
      </c>
    </row>
    <row r="414" spans="1:6" x14ac:dyDescent="0.25">
      <c r="A414" s="6">
        <v>45722</v>
      </c>
      <c r="B414" t="s">
        <v>30</v>
      </c>
      <c r="C414" t="s">
        <v>31</v>
      </c>
      <c r="D414">
        <v>16</v>
      </c>
      <c r="E414">
        <v>8339.0300000000007</v>
      </c>
      <c r="F414">
        <v>133424.48000000001</v>
      </c>
    </row>
    <row r="415" spans="1:6" x14ac:dyDescent="0.25">
      <c r="A415" s="6">
        <v>45895</v>
      </c>
      <c r="B415" t="s">
        <v>32</v>
      </c>
      <c r="C415" t="s">
        <v>39</v>
      </c>
      <c r="D415">
        <v>12</v>
      </c>
      <c r="E415">
        <v>49298.42</v>
      </c>
      <c r="F415">
        <v>591581.04</v>
      </c>
    </row>
    <row r="416" spans="1:6" x14ac:dyDescent="0.25">
      <c r="A416" s="6">
        <v>45729</v>
      </c>
      <c r="B416" t="s">
        <v>23</v>
      </c>
      <c r="C416" t="s">
        <v>37</v>
      </c>
      <c r="D416">
        <v>9</v>
      </c>
      <c r="E416">
        <v>28828.080000000002</v>
      </c>
      <c r="F416">
        <v>259452.72</v>
      </c>
    </row>
    <row r="417" spans="1:6" x14ac:dyDescent="0.25">
      <c r="A417" s="6">
        <v>45814</v>
      </c>
      <c r="B417" t="s">
        <v>30</v>
      </c>
      <c r="C417" t="s">
        <v>46</v>
      </c>
      <c r="D417">
        <v>3</v>
      </c>
      <c r="E417">
        <v>15352.34</v>
      </c>
      <c r="F417">
        <v>46057.02</v>
      </c>
    </row>
    <row r="418" spans="1:6" x14ac:dyDescent="0.25">
      <c r="A418" s="6">
        <v>45698</v>
      </c>
      <c r="B418" t="s">
        <v>32</v>
      </c>
      <c r="C418" t="s">
        <v>33</v>
      </c>
      <c r="D418">
        <v>14</v>
      </c>
      <c r="E418">
        <v>53960.71</v>
      </c>
      <c r="F418">
        <v>755449.94</v>
      </c>
    </row>
    <row r="419" spans="1:6" x14ac:dyDescent="0.25">
      <c r="A419" s="6">
        <v>45815</v>
      </c>
      <c r="B419" t="s">
        <v>23</v>
      </c>
      <c r="C419" t="s">
        <v>47</v>
      </c>
      <c r="D419">
        <v>16</v>
      </c>
      <c r="E419">
        <v>56024.19</v>
      </c>
      <c r="F419">
        <v>896387.04</v>
      </c>
    </row>
    <row r="420" spans="1:6" x14ac:dyDescent="0.25">
      <c r="A420" s="6">
        <v>45660</v>
      </c>
      <c r="B420" t="s">
        <v>23</v>
      </c>
      <c r="C420" t="s">
        <v>54</v>
      </c>
      <c r="D420">
        <v>19</v>
      </c>
      <c r="E420">
        <v>48199.94</v>
      </c>
      <c r="F420">
        <v>915798.86</v>
      </c>
    </row>
    <row r="421" spans="1:6" x14ac:dyDescent="0.25">
      <c r="A421" s="6">
        <v>45735</v>
      </c>
      <c r="B421" t="s">
        <v>40</v>
      </c>
      <c r="C421" t="s">
        <v>51</v>
      </c>
      <c r="D421">
        <v>12</v>
      </c>
      <c r="E421">
        <v>2239.63</v>
      </c>
      <c r="F421">
        <v>26875.56</v>
      </c>
    </row>
    <row r="422" spans="1:6" x14ac:dyDescent="0.25">
      <c r="A422" s="6">
        <v>45928</v>
      </c>
      <c r="B422" t="s">
        <v>32</v>
      </c>
      <c r="C422" t="s">
        <v>39</v>
      </c>
      <c r="D422">
        <v>4</v>
      </c>
      <c r="E422">
        <v>92300.44</v>
      </c>
      <c r="F422">
        <v>369201.76</v>
      </c>
    </row>
    <row r="423" spans="1:6" x14ac:dyDescent="0.25">
      <c r="A423" s="6">
        <v>45703</v>
      </c>
      <c r="B423" t="s">
        <v>32</v>
      </c>
      <c r="C423" t="s">
        <v>49</v>
      </c>
      <c r="D423">
        <v>6</v>
      </c>
      <c r="E423">
        <v>40152.93</v>
      </c>
      <c r="F423">
        <v>240917.58</v>
      </c>
    </row>
    <row r="424" spans="1:6" x14ac:dyDescent="0.25">
      <c r="A424" s="6">
        <v>45762</v>
      </c>
      <c r="B424" t="s">
        <v>23</v>
      </c>
      <c r="C424" t="s">
        <v>54</v>
      </c>
      <c r="D424">
        <v>15</v>
      </c>
      <c r="E424">
        <v>92522.240000000005</v>
      </c>
      <c r="F424">
        <v>1387833.6</v>
      </c>
    </row>
    <row r="425" spans="1:6" x14ac:dyDescent="0.25">
      <c r="A425" s="6">
        <v>45766</v>
      </c>
      <c r="B425" t="s">
        <v>40</v>
      </c>
      <c r="C425" t="s">
        <v>43</v>
      </c>
      <c r="D425">
        <v>16</v>
      </c>
      <c r="E425">
        <v>76156.23</v>
      </c>
      <c r="F425">
        <v>1218499.68</v>
      </c>
    </row>
    <row r="426" spans="1:6" x14ac:dyDescent="0.25">
      <c r="A426" s="6">
        <v>45829</v>
      </c>
      <c r="B426" t="s">
        <v>30</v>
      </c>
      <c r="C426" t="s">
        <v>31</v>
      </c>
      <c r="D426">
        <v>5</v>
      </c>
      <c r="E426">
        <v>82529.3</v>
      </c>
      <c r="F426">
        <v>412646.5</v>
      </c>
    </row>
    <row r="427" spans="1:6" x14ac:dyDescent="0.25">
      <c r="A427" s="6">
        <v>45833</v>
      </c>
      <c r="B427" t="s">
        <v>23</v>
      </c>
      <c r="C427" t="s">
        <v>38</v>
      </c>
      <c r="D427">
        <v>11</v>
      </c>
      <c r="E427">
        <v>33170.559999999998</v>
      </c>
      <c r="F427">
        <v>364876.16</v>
      </c>
    </row>
    <row r="428" spans="1:6" x14ac:dyDescent="0.25">
      <c r="A428" s="6">
        <v>45794</v>
      </c>
      <c r="B428" t="s">
        <v>25</v>
      </c>
      <c r="C428" t="s">
        <v>27</v>
      </c>
      <c r="D428">
        <v>9</v>
      </c>
      <c r="E428">
        <v>22777.03</v>
      </c>
      <c r="F428">
        <v>204993.27</v>
      </c>
    </row>
    <row r="429" spans="1:6" x14ac:dyDescent="0.25">
      <c r="A429" s="6">
        <v>45659</v>
      </c>
      <c r="B429" t="s">
        <v>32</v>
      </c>
      <c r="C429" t="s">
        <v>39</v>
      </c>
      <c r="D429">
        <v>2</v>
      </c>
      <c r="E429">
        <v>99935.32</v>
      </c>
      <c r="F429">
        <v>199870.64</v>
      </c>
    </row>
    <row r="430" spans="1:6" x14ac:dyDescent="0.25">
      <c r="A430" s="6">
        <v>45729</v>
      </c>
      <c r="B430" t="s">
        <v>30</v>
      </c>
      <c r="C430" t="s">
        <v>36</v>
      </c>
      <c r="D430">
        <v>5</v>
      </c>
      <c r="E430">
        <v>99141.37</v>
      </c>
      <c r="F430">
        <v>495706.85</v>
      </c>
    </row>
    <row r="431" spans="1:6" x14ac:dyDescent="0.25">
      <c r="A431" s="6">
        <v>45772</v>
      </c>
      <c r="B431" t="s">
        <v>32</v>
      </c>
      <c r="C431" t="s">
        <v>50</v>
      </c>
      <c r="D431">
        <v>15</v>
      </c>
      <c r="E431">
        <v>31010.86</v>
      </c>
      <c r="F431">
        <v>465162.9</v>
      </c>
    </row>
    <row r="432" spans="1:6" x14ac:dyDescent="0.25">
      <c r="A432" s="6">
        <v>45884</v>
      </c>
      <c r="B432" t="s">
        <v>25</v>
      </c>
      <c r="C432" t="s">
        <v>35</v>
      </c>
      <c r="D432">
        <v>19</v>
      </c>
      <c r="E432">
        <v>83606.77</v>
      </c>
      <c r="F432">
        <v>1588528.63</v>
      </c>
    </row>
    <row r="433" spans="1:6" x14ac:dyDescent="0.25">
      <c r="A433" s="6">
        <v>45768</v>
      </c>
      <c r="B433" t="s">
        <v>25</v>
      </c>
      <c r="C433" t="s">
        <v>27</v>
      </c>
      <c r="D433">
        <v>14</v>
      </c>
      <c r="E433">
        <v>98917.58</v>
      </c>
      <c r="F433">
        <v>1384846.12</v>
      </c>
    </row>
    <row r="434" spans="1:6" x14ac:dyDescent="0.25">
      <c r="A434" s="6">
        <v>45674</v>
      </c>
      <c r="B434" t="s">
        <v>25</v>
      </c>
      <c r="C434" t="s">
        <v>27</v>
      </c>
      <c r="D434">
        <v>3</v>
      </c>
      <c r="E434">
        <v>58882.52</v>
      </c>
      <c r="F434">
        <v>176647.56</v>
      </c>
    </row>
    <row r="435" spans="1:6" x14ac:dyDescent="0.25">
      <c r="A435" s="6">
        <v>45693</v>
      </c>
      <c r="B435" t="s">
        <v>40</v>
      </c>
      <c r="C435" t="s">
        <v>44</v>
      </c>
      <c r="D435">
        <v>7</v>
      </c>
      <c r="E435">
        <v>20367.349999999999</v>
      </c>
      <c r="F435">
        <v>142571.45000000001</v>
      </c>
    </row>
    <row r="436" spans="1:6" x14ac:dyDescent="0.25">
      <c r="A436" s="6">
        <v>45854</v>
      </c>
      <c r="B436" t="s">
        <v>25</v>
      </c>
      <c r="C436" t="s">
        <v>28</v>
      </c>
      <c r="D436">
        <v>4</v>
      </c>
      <c r="E436">
        <v>59684.959999999999</v>
      </c>
      <c r="F436">
        <v>238739.84</v>
      </c>
    </row>
    <row r="437" spans="1:6" x14ac:dyDescent="0.25">
      <c r="A437" s="6">
        <v>45661</v>
      </c>
      <c r="B437" t="s">
        <v>32</v>
      </c>
      <c r="C437" t="s">
        <v>33</v>
      </c>
      <c r="D437">
        <v>8</v>
      </c>
      <c r="E437">
        <v>98640.41</v>
      </c>
      <c r="F437">
        <v>789123.28</v>
      </c>
    </row>
    <row r="438" spans="1:6" x14ac:dyDescent="0.25">
      <c r="A438" s="6">
        <v>45783</v>
      </c>
      <c r="B438" t="s">
        <v>25</v>
      </c>
      <c r="C438" t="s">
        <v>28</v>
      </c>
      <c r="D438">
        <v>4</v>
      </c>
      <c r="E438">
        <v>88927.24</v>
      </c>
      <c r="F438">
        <v>355708.96</v>
      </c>
    </row>
    <row r="439" spans="1:6" x14ac:dyDescent="0.25">
      <c r="A439" s="6">
        <v>45812</v>
      </c>
      <c r="B439" t="s">
        <v>25</v>
      </c>
      <c r="C439" t="s">
        <v>27</v>
      </c>
      <c r="D439">
        <v>18</v>
      </c>
      <c r="E439">
        <v>31756.19</v>
      </c>
      <c r="F439">
        <v>571611.42000000004</v>
      </c>
    </row>
    <row r="440" spans="1:6" x14ac:dyDescent="0.25">
      <c r="A440" s="6">
        <v>45832</v>
      </c>
      <c r="B440" t="s">
        <v>23</v>
      </c>
      <c r="C440" t="s">
        <v>53</v>
      </c>
      <c r="D440">
        <v>6</v>
      </c>
      <c r="E440">
        <v>20128.14</v>
      </c>
      <c r="F440">
        <v>120768.84</v>
      </c>
    </row>
    <row r="441" spans="1:6" x14ac:dyDescent="0.25">
      <c r="A441" s="6">
        <v>45703</v>
      </c>
      <c r="B441" t="s">
        <v>30</v>
      </c>
      <c r="C441" t="s">
        <v>46</v>
      </c>
      <c r="D441">
        <v>5</v>
      </c>
      <c r="E441">
        <v>61653.599999999999</v>
      </c>
      <c r="F441">
        <v>308268</v>
      </c>
    </row>
    <row r="442" spans="1:6" x14ac:dyDescent="0.25">
      <c r="A442" s="6">
        <v>45888</v>
      </c>
      <c r="B442" t="s">
        <v>25</v>
      </c>
      <c r="C442" t="s">
        <v>28</v>
      </c>
      <c r="D442">
        <v>19</v>
      </c>
      <c r="E442">
        <v>47737.34</v>
      </c>
      <c r="F442">
        <v>907009.46</v>
      </c>
    </row>
    <row r="443" spans="1:6" x14ac:dyDescent="0.25">
      <c r="A443" s="6">
        <v>45718</v>
      </c>
      <c r="B443" t="s">
        <v>25</v>
      </c>
      <c r="C443" t="s">
        <v>28</v>
      </c>
      <c r="D443">
        <v>10</v>
      </c>
      <c r="E443">
        <v>22991.37</v>
      </c>
      <c r="F443">
        <v>229913.7</v>
      </c>
    </row>
    <row r="444" spans="1:6" x14ac:dyDescent="0.25">
      <c r="A444" s="6">
        <v>45809</v>
      </c>
      <c r="B444" t="s">
        <v>30</v>
      </c>
      <c r="C444" t="s">
        <v>31</v>
      </c>
      <c r="D444">
        <v>15</v>
      </c>
      <c r="E444">
        <v>57697.03</v>
      </c>
      <c r="F444">
        <v>865455.45</v>
      </c>
    </row>
    <row r="445" spans="1:6" x14ac:dyDescent="0.25">
      <c r="A445" s="6">
        <v>45928</v>
      </c>
      <c r="B445" t="s">
        <v>30</v>
      </c>
      <c r="C445" t="s">
        <v>34</v>
      </c>
      <c r="D445">
        <v>7</v>
      </c>
      <c r="E445">
        <v>6205.59</v>
      </c>
      <c r="F445">
        <v>43439.13</v>
      </c>
    </row>
    <row r="446" spans="1:6" x14ac:dyDescent="0.25">
      <c r="A446" s="6">
        <v>45671</v>
      </c>
      <c r="B446" t="s">
        <v>30</v>
      </c>
      <c r="C446" t="s">
        <v>36</v>
      </c>
      <c r="D446">
        <v>2</v>
      </c>
      <c r="E446">
        <v>10842.65</v>
      </c>
      <c r="F446">
        <v>21685.3</v>
      </c>
    </row>
    <row r="447" spans="1:6" x14ac:dyDescent="0.25">
      <c r="A447" s="6">
        <v>45666</v>
      </c>
      <c r="B447" t="s">
        <v>32</v>
      </c>
      <c r="C447" t="s">
        <v>42</v>
      </c>
      <c r="D447">
        <v>15</v>
      </c>
      <c r="E447">
        <v>45894.73</v>
      </c>
      <c r="F447">
        <v>688420.95</v>
      </c>
    </row>
    <row r="448" spans="1:6" x14ac:dyDescent="0.25">
      <c r="A448" s="6">
        <v>45749</v>
      </c>
      <c r="B448" t="s">
        <v>23</v>
      </c>
      <c r="C448" t="s">
        <v>38</v>
      </c>
      <c r="D448">
        <v>1</v>
      </c>
      <c r="E448">
        <v>7436.74</v>
      </c>
      <c r="F448">
        <v>7436.74</v>
      </c>
    </row>
    <row r="449" spans="1:6" x14ac:dyDescent="0.25">
      <c r="A449" s="6">
        <v>45678</v>
      </c>
      <c r="B449" t="s">
        <v>30</v>
      </c>
      <c r="C449" t="s">
        <v>46</v>
      </c>
      <c r="D449">
        <v>7</v>
      </c>
      <c r="E449">
        <v>53321.07</v>
      </c>
      <c r="F449">
        <v>373247.49</v>
      </c>
    </row>
    <row r="450" spans="1:6" x14ac:dyDescent="0.25">
      <c r="A450" s="6">
        <v>45756</v>
      </c>
      <c r="B450" t="s">
        <v>25</v>
      </c>
      <c r="C450" t="s">
        <v>27</v>
      </c>
      <c r="D450">
        <v>11</v>
      </c>
      <c r="E450">
        <v>49677.79</v>
      </c>
      <c r="F450">
        <v>546455.68999999994</v>
      </c>
    </row>
    <row r="451" spans="1:6" x14ac:dyDescent="0.25">
      <c r="A451" s="6">
        <v>45811</v>
      </c>
      <c r="B451" t="s">
        <v>32</v>
      </c>
      <c r="C451" t="s">
        <v>42</v>
      </c>
      <c r="D451">
        <v>7</v>
      </c>
      <c r="E451">
        <v>1285.6600000000001</v>
      </c>
      <c r="F451">
        <v>8999.6200000000008</v>
      </c>
    </row>
    <row r="452" spans="1:6" x14ac:dyDescent="0.25">
      <c r="A452" s="6">
        <v>45785</v>
      </c>
      <c r="B452" t="s">
        <v>30</v>
      </c>
      <c r="C452" t="s">
        <v>36</v>
      </c>
      <c r="D452">
        <v>14</v>
      </c>
      <c r="E452">
        <v>73065.039999999994</v>
      </c>
      <c r="F452">
        <v>1022910.56</v>
      </c>
    </row>
    <row r="453" spans="1:6" x14ac:dyDescent="0.25">
      <c r="A453" s="6">
        <v>45904</v>
      </c>
      <c r="B453" t="s">
        <v>23</v>
      </c>
      <c r="C453" t="s">
        <v>24</v>
      </c>
      <c r="D453">
        <v>3</v>
      </c>
      <c r="E453">
        <v>99459.67</v>
      </c>
      <c r="F453">
        <v>298379.01</v>
      </c>
    </row>
    <row r="454" spans="1:6" x14ac:dyDescent="0.25">
      <c r="A454" s="6">
        <v>45826</v>
      </c>
      <c r="B454" t="s">
        <v>32</v>
      </c>
      <c r="C454" t="s">
        <v>33</v>
      </c>
      <c r="D454">
        <v>17</v>
      </c>
      <c r="E454">
        <v>42245.43</v>
      </c>
      <c r="F454">
        <v>718172.31</v>
      </c>
    </row>
    <row r="455" spans="1:6" x14ac:dyDescent="0.25">
      <c r="A455" s="6">
        <v>45764</v>
      </c>
      <c r="B455" t="s">
        <v>25</v>
      </c>
      <c r="C455" t="s">
        <v>35</v>
      </c>
      <c r="D455">
        <v>10</v>
      </c>
      <c r="E455">
        <v>65630</v>
      </c>
      <c r="F455">
        <v>656300</v>
      </c>
    </row>
    <row r="456" spans="1:6" x14ac:dyDescent="0.25">
      <c r="A456" s="6">
        <v>45856</v>
      </c>
      <c r="B456" t="s">
        <v>30</v>
      </c>
      <c r="C456" t="s">
        <v>36</v>
      </c>
      <c r="D456">
        <v>3</v>
      </c>
      <c r="E456">
        <v>74341.52</v>
      </c>
      <c r="F456">
        <v>223024.56</v>
      </c>
    </row>
    <row r="457" spans="1:6" x14ac:dyDescent="0.25">
      <c r="A457" s="6">
        <v>45878</v>
      </c>
      <c r="B457" t="s">
        <v>25</v>
      </c>
      <c r="C457" t="s">
        <v>35</v>
      </c>
      <c r="D457">
        <v>3</v>
      </c>
      <c r="E457">
        <v>85519.05</v>
      </c>
      <c r="F457">
        <v>256557.15</v>
      </c>
    </row>
    <row r="458" spans="1:6" x14ac:dyDescent="0.25">
      <c r="A458" s="6">
        <v>45911</v>
      </c>
      <c r="B458" t="s">
        <v>32</v>
      </c>
      <c r="C458" t="s">
        <v>39</v>
      </c>
      <c r="D458">
        <v>14</v>
      </c>
      <c r="E458">
        <v>25130.26</v>
      </c>
      <c r="F458">
        <v>351823.64</v>
      </c>
    </row>
    <row r="459" spans="1:6" x14ac:dyDescent="0.25">
      <c r="A459" s="6">
        <v>45742</v>
      </c>
      <c r="B459" t="s">
        <v>40</v>
      </c>
      <c r="C459" t="s">
        <v>44</v>
      </c>
      <c r="D459">
        <v>15</v>
      </c>
      <c r="E459">
        <v>43217.73</v>
      </c>
      <c r="F459">
        <v>648265.94999999995</v>
      </c>
    </row>
    <row r="460" spans="1:6" x14ac:dyDescent="0.25">
      <c r="A460" s="6">
        <v>45911</v>
      </c>
      <c r="B460" t="s">
        <v>32</v>
      </c>
      <c r="C460" t="s">
        <v>50</v>
      </c>
      <c r="D460">
        <v>19</v>
      </c>
      <c r="E460">
        <v>11627.17</v>
      </c>
      <c r="F460">
        <v>220916.23</v>
      </c>
    </row>
    <row r="461" spans="1:6" x14ac:dyDescent="0.25">
      <c r="A461" s="6">
        <v>45757</v>
      </c>
      <c r="B461" t="s">
        <v>30</v>
      </c>
      <c r="C461" t="s">
        <v>36</v>
      </c>
      <c r="D461">
        <v>2</v>
      </c>
      <c r="E461">
        <v>46438.34</v>
      </c>
      <c r="F461">
        <v>92876.68</v>
      </c>
    </row>
    <row r="462" spans="1:6" x14ac:dyDescent="0.25">
      <c r="A462" s="6">
        <v>45820</v>
      </c>
      <c r="B462" t="s">
        <v>40</v>
      </c>
      <c r="C462" t="s">
        <v>44</v>
      </c>
      <c r="D462">
        <v>1</v>
      </c>
      <c r="E462">
        <v>57263.38</v>
      </c>
      <c r="F462">
        <v>57263.38</v>
      </c>
    </row>
    <row r="463" spans="1:6" x14ac:dyDescent="0.25">
      <c r="A463" s="6">
        <v>45797</v>
      </c>
      <c r="B463" t="s">
        <v>40</v>
      </c>
      <c r="C463" t="s">
        <v>44</v>
      </c>
      <c r="D463">
        <v>8</v>
      </c>
      <c r="E463">
        <v>36407.06</v>
      </c>
      <c r="F463">
        <v>291256.48</v>
      </c>
    </row>
    <row r="464" spans="1:6" x14ac:dyDescent="0.25">
      <c r="A464" s="6">
        <v>45795</v>
      </c>
      <c r="B464" t="s">
        <v>32</v>
      </c>
      <c r="C464" t="s">
        <v>49</v>
      </c>
      <c r="D464">
        <v>20</v>
      </c>
      <c r="E464">
        <v>39734.92</v>
      </c>
      <c r="F464">
        <v>794698.4</v>
      </c>
    </row>
    <row r="465" spans="1:6" x14ac:dyDescent="0.25">
      <c r="A465" s="6">
        <v>45770</v>
      </c>
      <c r="B465" t="s">
        <v>40</v>
      </c>
      <c r="C465" t="s">
        <v>51</v>
      </c>
      <c r="D465">
        <v>18</v>
      </c>
      <c r="E465">
        <v>18203.919999999998</v>
      </c>
      <c r="F465">
        <v>327670.56</v>
      </c>
    </row>
    <row r="466" spans="1:6" x14ac:dyDescent="0.25">
      <c r="A466" s="6">
        <v>45854</v>
      </c>
      <c r="B466" t="s">
        <v>32</v>
      </c>
      <c r="C466" t="s">
        <v>49</v>
      </c>
      <c r="D466">
        <v>15</v>
      </c>
      <c r="E466">
        <v>31006.47</v>
      </c>
      <c r="F466">
        <v>465097.05</v>
      </c>
    </row>
    <row r="467" spans="1:6" x14ac:dyDescent="0.25">
      <c r="A467" s="6">
        <v>45880</v>
      </c>
      <c r="B467" t="s">
        <v>32</v>
      </c>
      <c r="C467" t="s">
        <v>49</v>
      </c>
      <c r="D467">
        <v>8</v>
      </c>
      <c r="E467">
        <v>2167.21</v>
      </c>
      <c r="F467">
        <v>17337.68</v>
      </c>
    </row>
    <row r="468" spans="1:6" x14ac:dyDescent="0.25">
      <c r="A468" s="6">
        <v>45827</v>
      </c>
      <c r="B468" t="s">
        <v>25</v>
      </c>
      <c r="C468" t="s">
        <v>35</v>
      </c>
      <c r="D468">
        <v>1</v>
      </c>
      <c r="E468">
        <v>59536.13</v>
      </c>
      <c r="F468">
        <v>59536.13</v>
      </c>
    </row>
    <row r="469" spans="1:6" x14ac:dyDescent="0.25">
      <c r="A469" s="6">
        <v>45734</v>
      </c>
      <c r="B469" t="s">
        <v>30</v>
      </c>
      <c r="C469" t="s">
        <v>34</v>
      </c>
      <c r="D469">
        <v>18</v>
      </c>
      <c r="E469">
        <v>18657.21</v>
      </c>
      <c r="F469">
        <v>335829.78</v>
      </c>
    </row>
    <row r="470" spans="1:6" x14ac:dyDescent="0.25">
      <c r="A470" s="6">
        <v>45811</v>
      </c>
      <c r="B470" t="s">
        <v>40</v>
      </c>
      <c r="C470" t="s">
        <v>44</v>
      </c>
      <c r="D470">
        <v>19</v>
      </c>
      <c r="E470">
        <v>54156.83</v>
      </c>
      <c r="F470">
        <v>1028979.77</v>
      </c>
    </row>
    <row r="471" spans="1:6" x14ac:dyDescent="0.25">
      <c r="A471" s="6">
        <v>45680</v>
      </c>
      <c r="B471" t="s">
        <v>25</v>
      </c>
      <c r="C471" t="s">
        <v>29</v>
      </c>
      <c r="D471">
        <v>5</v>
      </c>
      <c r="E471">
        <v>70084.240000000005</v>
      </c>
      <c r="F471">
        <v>350421.2</v>
      </c>
    </row>
    <row r="472" spans="1:6" x14ac:dyDescent="0.25">
      <c r="A472" s="6">
        <v>45730</v>
      </c>
      <c r="B472" t="s">
        <v>40</v>
      </c>
      <c r="C472" t="s">
        <v>48</v>
      </c>
      <c r="D472">
        <v>17</v>
      </c>
      <c r="E472">
        <v>83664.56</v>
      </c>
      <c r="F472">
        <v>1422297.52</v>
      </c>
    </row>
    <row r="473" spans="1:6" x14ac:dyDescent="0.25">
      <c r="A473" s="6">
        <v>45879</v>
      </c>
      <c r="B473" t="s">
        <v>32</v>
      </c>
      <c r="C473" t="s">
        <v>49</v>
      </c>
      <c r="D473">
        <v>3</v>
      </c>
      <c r="E473">
        <v>68634.39</v>
      </c>
      <c r="F473">
        <v>205903.17</v>
      </c>
    </row>
    <row r="474" spans="1:6" x14ac:dyDescent="0.25">
      <c r="A474" s="6">
        <v>45852</v>
      </c>
      <c r="B474" t="s">
        <v>23</v>
      </c>
      <c r="C474" t="s">
        <v>37</v>
      </c>
      <c r="D474">
        <v>2</v>
      </c>
      <c r="E474">
        <v>34872.959999999999</v>
      </c>
      <c r="F474">
        <v>69745.919999999998</v>
      </c>
    </row>
    <row r="475" spans="1:6" x14ac:dyDescent="0.25">
      <c r="A475" s="6">
        <v>45809</v>
      </c>
      <c r="B475" t="s">
        <v>40</v>
      </c>
      <c r="C475" t="s">
        <v>51</v>
      </c>
      <c r="D475">
        <v>14</v>
      </c>
      <c r="E475">
        <v>4323.46</v>
      </c>
      <c r="F475">
        <v>60528.44</v>
      </c>
    </row>
    <row r="476" spans="1:6" x14ac:dyDescent="0.25">
      <c r="A476" s="6">
        <v>45709</v>
      </c>
      <c r="B476" t="s">
        <v>23</v>
      </c>
      <c r="C476" t="s">
        <v>52</v>
      </c>
      <c r="D476">
        <v>10</v>
      </c>
      <c r="E476">
        <v>80735.88</v>
      </c>
      <c r="F476">
        <v>807358.8</v>
      </c>
    </row>
    <row r="477" spans="1:6" x14ac:dyDescent="0.25">
      <c r="A477" s="6">
        <v>45713</v>
      </c>
      <c r="B477" t="s">
        <v>30</v>
      </c>
      <c r="C477" t="s">
        <v>46</v>
      </c>
      <c r="D477">
        <v>20</v>
      </c>
      <c r="E477">
        <v>61525.65</v>
      </c>
      <c r="F477">
        <v>1230513</v>
      </c>
    </row>
    <row r="478" spans="1:6" x14ac:dyDescent="0.25">
      <c r="A478" s="6">
        <v>45675</v>
      </c>
      <c r="B478" t="s">
        <v>23</v>
      </c>
      <c r="C478" t="s">
        <v>54</v>
      </c>
      <c r="D478">
        <v>20</v>
      </c>
      <c r="E478">
        <v>865.91</v>
      </c>
      <c r="F478">
        <v>17318.2</v>
      </c>
    </row>
    <row r="479" spans="1:6" x14ac:dyDescent="0.25">
      <c r="A479" s="6">
        <v>45820</v>
      </c>
      <c r="B479" t="s">
        <v>23</v>
      </c>
      <c r="C479" t="s">
        <v>54</v>
      </c>
      <c r="D479">
        <v>7</v>
      </c>
      <c r="E479">
        <v>64806.67</v>
      </c>
      <c r="F479">
        <v>453646.69</v>
      </c>
    </row>
    <row r="480" spans="1:6" x14ac:dyDescent="0.25">
      <c r="A480" s="6">
        <v>45895</v>
      </c>
      <c r="B480" t="s">
        <v>25</v>
      </c>
      <c r="C480" t="s">
        <v>27</v>
      </c>
      <c r="D480">
        <v>7</v>
      </c>
      <c r="E480">
        <v>63884.29</v>
      </c>
      <c r="F480">
        <v>447190.03</v>
      </c>
    </row>
    <row r="481" spans="1:6" x14ac:dyDescent="0.25">
      <c r="A481" s="6">
        <v>45692</v>
      </c>
      <c r="B481" t="s">
        <v>40</v>
      </c>
      <c r="C481" t="s">
        <v>48</v>
      </c>
      <c r="D481">
        <v>11</v>
      </c>
      <c r="E481">
        <v>41403.54</v>
      </c>
      <c r="F481">
        <v>455438.94</v>
      </c>
    </row>
    <row r="482" spans="1:6" x14ac:dyDescent="0.25">
      <c r="A482" s="6">
        <v>45920</v>
      </c>
      <c r="B482" t="s">
        <v>25</v>
      </c>
      <c r="C482" t="s">
        <v>28</v>
      </c>
      <c r="D482">
        <v>6</v>
      </c>
      <c r="E482">
        <v>88530.25</v>
      </c>
      <c r="F482">
        <v>531181.5</v>
      </c>
    </row>
    <row r="483" spans="1:6" x14ac:dyDescent="0.25">
      <c r="A483" s="6">
        <v>45695</v>
      </c>
      <c r="B483" t="s">
        <v>32</v>
      </c>
      <c r="C483" t="s">
        <v>39</v>
      </c>
      <c r="D483">
        <v>17</v>
      </c>
      <c r="E483">
        <v>26687.75</v>
      </c>
      <c r="F483">
        <v>453691.75</v>
      </c>
    </row>
    <row r="484" spans="1:6" x14ac:dyDescent="0.25">
      <c r="A484" s="6">
        <v>45782</v>
      </c>
      <c r="B484" t="s">
        <v>23</v>
      </c>
      <c r="C484" t="s">
        <v>38</v>
      </c>
      <c r="D484">
        <v>19</v>
      </c>
      <c r="E484">
        <v>41596.51</v>
      </c>
      <c r="F484">
        <v>790333.69</v>
      </c>
    </row>
    <row r="485" spans="1:6" x14ac:dyDescent="0.25">
      <c r="A485" s="6">
        <v>45863</v>
      </c>
      <c r="B485" t="s">
        <v>32</v>
      </c>
      <c r="C485" t="s">
        <v>42</v>
      </c>
      <c r="D485">
        <v>19</v>
      </c>
      <c r="E485">
        <v>78045.08</v>
      </c>
      <c r="F485">
        <v>1482856.52</v>
      </c>
    </row>
    <row r="486" spans="1:6" x14ac:dyDescent="0.25">
      <c r="A486" s="6">
        <v>45729</v>
      </c>
      <c r="B486" t="s">
        <v>32</v>
      </c>
      <c r="C486" t="s">
        <v>39</v>
      </c>
      <c r="D486">
        <v>1</v>
      </c>
      <c r="E486">
        <v>96338.22</v>
      </c>
      <c r="F486">
        <v>96338.22</v>
      </c>
    </row>
    <row r="487" spans="1:6" x14ac:dyDescent="0.25">
      <c r="A487" s="6">
        <v>45835</v>
      </c>
      <c r="B487" t="s">
        <v>25</v>
      </c>
      <c r="C487" t="s">
        <v>27</v>
      </c>
      <c r="D487">
        <v>5</v>
      </c>
      <c r="E487">
        <v>78001.97</v>
      </c>
      <c r="F487">
        <v>390009.85</v>
      </c>
    </row>
    <row r="488" spans="1:6" x14ac:dyDescent="0.25">
      <c r="A488" s="6">
        <v>45660</v>
      </c>
      <c r="B488" t="s">
        <v>25</v>
      </c>
      <c r="C488" t="s">
        <v>26</v>
      </c>
      <c r="D488">
        <v>4</v>
      </c>
      <c r="E488">
        <v>84659.08</v>
      </c>
      <c r="F488">
        <v>338636.32</v>
      </c>
    </row>
    <row r="489" spans="1:6" x14ac:dyDescent="0.25">
      <c r="A489" s="6">
        <v>45774</v>
      </c>
      <c r="B489" t="s">
        <v>40</v>
      </c>
      <c r="C489" t="s">
        <v>41</v>
      </c>
      <c r="D489">
        <v>16</v>
      </c>
      <c r="E489">
        <v>11721.33</v>
      </c>
      <c r="F489">
        <v>187541.28</v>
      </c>
    </row>
    <row r="490" spans="1:6" x14ac:dyDescent="0.25">
      <c r="A490" s="6">
        <v>45852</v>
      </c>
      <c r="B490" t="s">
        <v>23</v>
      </c>
      <c r="C490" t="s">
        <v>52</v>
      </c>
      <c r="D490">
        <v>10</v>
      </c>
      <c r="E490">
        <v>75383.33</v>
      </c>
      <c r="F490">
        <v>753833.3</v>
      </c>
    </row>
    <row r="491" spans="1:6" x14ac:dyDescent="0.25">
      <c r="A491" s="6">
        <v>45790</v>
      </c>
      <c r="B491" t="s">
        <v>30</v>
      </c>
      <c r="C491" t="s">
        <v>31</v>
      </c>
      <c r="D491">
        <v>7</v>
      </c>
      <c r="E491">
        <v>60128.83</v>
      </c>
      <c r="F491">
        <v>420901.81</v>
      </c>
    </row>
    <row r="492" spans="1:6" x14ac:dyDescent="0.25">
      <c r="A492" s="6">
        <v>45908</v>
      </c>
      <c r="B492" t="s">
        <v>32</v>
      </c>
      <c r="C492" t="s">
        <v>50</v>
      </c>
      <c r="D492">
        <v>16</v>
      </c>
      <c r="E492">
        <v>59759.11</v>
      </c>
      <c r="F492">
        <v>956145.76</v>
      </c>
    </row>
    <row r="493" spans="1:6" x14ac:dyDescent="0.25">
      <c r="A493" s="6">
        <v>45854</v>
      </c>
      <c r="B493" t="s">
        <v>30</v>
      </c>
      <c r="C493" t="s">
        <v>45</v>
      </c>
      <c r="D493">
        <v>13</v>
      </c>
      <c r="E493">
        <v>21423.599999999999</v>
      </c>
      <c r="F493">
        <v>278506.8</v>
      </c>
    </row>
    <row r="494" spans="1:6" x14ac:dyDescent="0.25">
      <c r="A494" s="6">
        <v>45726</v>
      </c>
      <c r="B494" t="s">
        <v>40</v>
      </c>
      <c r="C494" t="s">
        <v>43</v>
      </c>
      <c r="D494">
        <v>17</v>
      </c>
      <c r="E494">
        <v>87251.95</v>
      </c>
      <c r="F494">
        <v>1483283.15</v>
      </c>
    </row>
    <row r="495" spans="1:6" x14ac:dyDescent="0.25">
      <c r="A495" s="6">
        <v>45724</v>
      </c>
      <c r="B495" t="s">
        <v>30</v>
      </c>
      <c r="C495" t="s">
        <v>46</v>
      </c>
      <c r="D495">
        <v>16</v>
      </c>
      <c r="E495">
        <v>73298.210000000006</v>
      </c>
      <c r="F495">
        <v>1172771.3600000001</v>
      </c>
    </row>
    <row r="496" spans="1:6" x14ac:dyDescent="0.25">
      <c r="A496" s="6">
        <v>45710</v>
      </c>
      <c r="B496" t="s">
        <v>32</v>
      </c>
      <c r="C496" t="s">
        <v>39</v>
      </c>
      <c r="D496">
        <v>14</v>
      </c>
      <c r="E496">
        <v>85881.279999999999</v>
      </c>
      <c r="F496">
        <v>1202337.92</v>
      </c>
    </row>
    <row r="497" spans="1:6" x14ac:dyDescent="0.25">
      <c r="A497" s="6">
        <v>45744</v>
      </c>
      <c r="B497" t="s">
        <v>30</v>
      </c>
      <c r="C497" t="s">
        <v>36</v>
      </c>
      <c r="D497">
        <v>1</v>
      </c>
      <c r="E497">
        <v>47912.160000000003</v>
      </c>
      <c r="F497">
        <v>47912.160000000003</v>
      </c>
    </row>
    <row r="498" spans="1:6" x14ac:dyDescent="0.25">
      <c r="A498" s="6">
        <v>45763</v>
      </c>
      <c r="B498" t="s">
        <v>32</v>
      </c>
      <c r="C498" t="s">
        <v>50</v>
      </c>
      <c r="D498">
        <v>8</v>
      </c>
      <c r="E498">
        <v>13492.99</v>
      </c>
      <c r="F498">
        <v>107943.92</v>
      </c>
    </row>
    <row r="499" spans="1:6" x14ac:dyDescent="0.25">
      <c r="A499" s="6">
        <v>45809</v>
      </c>
      <c r="B499" t="s">
        <v>32</v>
      </c>
      <c r="C499" t="s">
        <v>49</v>
      </c>
      <c r="D499">
        <v>14</v>
      </c>
      <c r="E499">
        <v>24175.279999999999</v>
      </c>
      <c r="F499">
        <v>338453.92</v>
      </c>
    </row>
    <row r="500" spans="1:6" x14ac:dyDescent="0.25">
      <c r="A500" s="6">
        <v>45856</v>
      </c>
      <c r="B500" t="s">
        <v>25</v>
      </c>
      <c r="C500" t="s">
        <v>35</v>
      </c>
      <c r="D500">
        <v>5</v>
      </c>
      <c r="E500">
        <v>27961.55</v>
      </c>
      <c r="F500">
        <v>139807.75</v>
      </c>
    </row>
    <row r="501" spans="1:6" x14ac:dyDescent="0.25">
      <c r="A501" s="6">
        <v>45792</v>
      </c>
      <c r="B501" t="s">
        <v>40</v>
      </c>
      <c r="C501" t="s">
        <v>41</v>
      </c>
      <c r="D501">
        <v>9</v>
      </c>
      <c r="E501">
        <v>18936.38</v>
      </c>
      <c r="F501">
        <v>170427.42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"/>
  <sheetViews>
    <sheetView workbookViewId="0">
      <selection activeCell="L15" sqref="L15"/>
    </sheetView>
  </sheetViews>
  <sheetFormatPr defaultRowHeight="15" x14ac:dyDescent="0.25"/>
  <sheetData>
    <row r="2" spans="2:14" ht="21" x14ac:dyDescent="0.35">
      <c r="F2" s="3"/>
      <c r="N2" s="4" t="s">
        <v>8</v>
      </c>
    </row>
    <row r="3" spans="2:14" x14ac:dyDescent="0.25">
      <c r="B3" s="8" t="s">
        <v>61</v>
      </c>
      <c r="C3" s="8"/>
      <c r="D3" s="8"/>
      <c r="E3" s="8"/>
      <c r="F3" s="8"/>
      <c r="G3" s="8"/>
      <c r="H3" s="8"/>
      <c r="I3" s="8"/>
      <c r="N3" t="s">
        <v>76</v>
      </c>
    </row>
    <row r="4" spans="2:14" x14ac:dyDescent="0.25">
      <c r="N4" t="s">
        <v>77</v>
      </c>
    </row>
    <row r="5" spans="2:14" x14ac:dyDescent="0.25">
      <c r="B5" s="9" t="s">
        <v>62</v>
      </c>
      <c r="C5" s="9" t="s">
        <v>63</v>
      </c>
      <c r="D5" s="9" t="s">
        <v>64</v>
      </c>
      <c r="E5" s="9" t="s">
        <v>65</v>
      </c>
      <c r="F5" s="9" t="s">
        <v>66</v>
      </c>
      <c r="G5" s="9" t="s">
        <v>67</v>
      </c>
      <c r="H5" s="9" t="s">
        <v>68</v>
      </c>
      <c r="I5" s="9" t="s">
        <v>69</v>
      </c>
      <c r="N5" t="s">
        <v>78</v>
      </c>
    </row>
    <row r="6" spans="2:14" x14ac:dyDescent="0.25">
      <c r="B6" s="10">
        <v>1</v>
      </c>
      <c r="C6" s="11" t="s">
        <v>70</v>
      </c>
      <c r="D6" s="12">
        <v>234</v>
      </c>
      <c r="E6" s="11">
        <v>186</v>
      </c>
      <c r="F6" s="11">
        <v>656</v>
      </c>
      <c r="G6" s="11">
        <v>667</v>
      </c>
      <c r="H6" s="11">
        <v>117</v>
      </c>
      <c r="I6" s="11">
        <v>124</v>
      </c>
      <c r="N6" t="s">
        <v>79</v>
      </c>
    </row>
    <row r="7" spans="2:14" x14ac:dyDescent="0.25">
      <c r="B7" s="10">
        <f>B6+1</f>
        <v>2</v>
      </c>
      <c r="C7" s="11" t="s">
        <v>71</v>
      </c>
      <c r="D7" s="12">
        <v>124</v>
      </c>
      <c r="E7" s="11">
        <v>352</v>
      </c>
      <c r="F7" s="11">
        <v>147</v>
      </c>
      <c r="G7" s="11">
        <v>123</v>
      </c>
      <c r="H7" s="11">
        <v>234</v>
      </c>
      <c r="I7" s="11">
        <v>109</v>
      </c>
    </row>
    <row r="8" spans="2:14" x14ac:dyDescent="0.25">
      <c r="B8" s="10">
        <f t="shared" ref="B8:B10" si="0">B7+1</f>
        <v>3</v>
      </c>
      <c r="C8" s="11" t="s">
        <v>72</v>
      </c>
      <c r="D8" s="12">
        <v>456</v>
      </c>
      <c r="E8" s="11">
        <v>235</v>
      </c>
      <c r="F8" s="11">
        <v>186</v>
      </c>
      <c r="G8" s="11">
        <v>86</v>
      </c>
      <c r="H8" s="11">
        <v>234</v>
      </c>
      <c r="I8" s="11">
        <v>325</v>
      </c>
    </row>
    <row r="9" spans="2:14" x14ac:dyDescent="0.25">
      <c r="B9" s="10">
        <f t="shared" si="0"/>
        <v>4</v>
      </c>
      <c r="C9" s="11" t="s">
        <v>73</v>
      </c>
      <c r="D9" s="12">
        <v>234</v>
      </c>
      <c r="E9" s="11">
        <v>468</v>
      </c>
      <c r="F9" s="11">
        <v>124</v>
      </c>
      <c r="G9" s="11">
        <v>98</v>
      </c>
      <c r="H9" s="11">
        <v>357</v>
      </c>
      <c r="I9" s="11">
        <v>168</v>
      </c>
    </row>
    <row r="10" spans="2:14" x14ac:dyDescent="0.25">
      <c r="B10" s="10">
        <f t="shared" si="0"/>
        <v>5</v>
      </c>
      <c r="C10" s="11" t="s">
        <v>74</v>
      </c>
      <c r="D10" s="12">
        <v>110</v>
      </c>
      <c r="E10" s="11">
        <v>153</v>
      </c>
      <c r="F10" s="11">
        <v>879</v>
      </c>
      <c r="G10" s="11">
        <v>352</v>
      </c>
      <c r="H10" s="11">
        <v>436</v>
      </c>
      <c r="I10" s="11">
        <v>254</v>
      </c>
    </row>
    <row r="11" spans="2:14" x14ac:dyDescent="0.25">
      <c r="B11" s="10">
        <f>B10+1</f>
        <v>6</v>
      </c>
      <c r="C11" s="11" t="s">
        <v>75</v>
      </c>
      <c r="D11" s="12">
        <v>325</v>
      </c>
      <c r="E11" s="11">
        <v>257</v>
      </c>
      <c r="F11" s="11">
        <v>946</v>
      </c>
      <c r="G11" s="11">
        <v>543</v>
      </c>
      <c r="H11" s="11">
        <v>234</v>
      </c>
      <c r="I11" s="11">
        <v>298</v>
      </c>
    </row>
  </sheetData>
  <mergeCells count="1">
    <mergeCell ref="B3:I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24"/>
  <sheetViews>
    <sheetView workbookViewId="0">
      <selection activeCell="Q16" sqref="Q16"/>
    </sheetView>
  </sheetViews>
  <sheetFormatPr defaultRowHeight="15" x14ac:dyDescent="0.25"/>
  <cols>
    <col min="8" max="8" width="9.140625" customWidth="1"/>
    <col min="14" max="14" width="14" bestFit="1" customWidth="1"/>
  </cols>
  <sheetData>
    <row r="2" spans="2:16" ht="21" x14ac:dyDescent="0.35">
      <c r="F2" s="3"/>
      <c r="P2" s="4" t="s">
        <v>9</v>
      </c>
    </row>
    <row r="3" spans="2:16" x14ac:dyDescent="0.25">
      <c r="H3" s="21" t="s">
        <v>99</v>
      </c>
      <c r="K3" s="21" t="s">
        <v>98</v>
      </c>
      <c r="P3" t="s">
        <v>93</v>
      </c>
    </row>
    <row r="4" spans="2:16" x14ac:dyDescent="0.25">
      <c r="B4" t="s">
        <v>62</v>
      </c>
      <c r="C4" t="s">
        <v>80</v>
      </c>
      <c r="D4" t="s">
        <v>81</v>
      </c>
      <c r="E4" t="s">
        <v>17</v>
      </c>
      <c r="F4" t="s">
        <v>82</v>
      </c>
      <c r="H4" s="14" t="s">
        <v>80</v>
      </c>
      <c r="I4" s="14" t="s">
        <v>81</v>
      </c>
      <c r="K4" s="14" t="s">
        <v>80</v>
      </c>
      <c r="L4" s="18" t="s">
        <v>81</v>
      </c>
      <c r="M4" s="18" t="str">
        <f>VLOOKUP(M16,Tabela5[#All],5,FALSE)</f>
        <v>ter</v>
      </c>
      <c r="N4" s="19" t="s">
        <v>82</v>
      </c>
      <c r="P4" t="s">
        <v>94</v>
      </c>
    </row>
    <row r="5" spans="2:16" x14ac:dyDescent="0.25">
      <c r="B5">
        <v>1</v>
      </c>
      <c r="C5" t="s">
        <v>83</v>
      </c>
      <c r="D5">
        <v>4546</v>
      </c>
      <c r="E5" s="13">
        <v>45444</v>
      </c>
      <c r="F5" t="s">
        <v>84</v>
      </c>
      <c r="H5" s="15" t="s">
        <v>83</v>
      </c>
      <c r="I5">
        <f>SUMIF([1]!Tabela5[Unidade],H5,[1]!Tabela5[Valor])</f>
        <v>50946</v>
      </c>
      <c r="K5" s="15" t="s">
        <v>83</v>
      </c>
      <c r="L5">
        <f>SUMIFS([1]!Tabela5[Valor],[1]!Tabela5[Unidade],K5,[1]!Tabela5[Dia da Semana],$N$4)</f>
        <v>0</v>
      </c>
      <c r="N5" s="15" t="s">
        <v>84</v>
      </c>
      <c r="P5" t="s">
        <v>95</v>
      </c>
    </row>
    <row r="6" spans="2:16" x14ac:dyDescent="0.25">
      <c r="B6">
        <f>B5+1</f>
        <v>2</v>
      </c>
      <c r="C6" t="s">
        <v>83</v>
      </c>
      <c r="D6">
        <v>36768</v>
      </c>
      <c r="E6" s="13">
        <v>45445</v>
      </c>
      <c r="F6" t="s">
        <v>85</v>
      </c>
      <c r="H6" s="15" t="s">
        <v>86</v>
      </c>
      <c r="I6">
        <f>SUMIF([1]!Tabela5[Unidade],H6,[1]!Tabela5[Valor])</f>
        <v>12220</v>
      </c>
      <c r="K6" s="15" t="s">
        <v>86</v>
      </c>
      <c r="L6">
        <f>SUMIFS([1]!Tabela5[Valor],[1]!Tabela5[Unidade],K6,[1]!Tabela5[Dia da Semana],$N$4)</f>
        <v>0</v>
      </c>
      <c r="N6" s="15" t="s">
        <v>85</v>
      </c>
      <c r="P6" t="s">
        <v>96</v>
      </c>
    </row>
    <row r="7" spans="2:16" x14ac:dyDescent="0.25">
      <c r="B7">
        <f t="shared" ref="B7:B16" si="0">B6+1</f>
        <v>3</v>
      </c>
      <c r="C7" t="s">
        <v>86</v>
      </c>
      <c r="D7">
        <v>45</v>
      </c>
      <c r="E7" s="13">
        <v>45446</v>
      </c>
      <c r="F7" t="s">
        <v>87</v>
      </c>
      <c r="H7" s="15" t="s">
        <v>89</v>
      </c>
      <c r="I7">
        <f>SUMIF([1]!Tabela5[Unidade],H7,[1]!Tabela5[Valor])</f>
        <v>1593</v>
      </c>
      <c r="K7" s="15" t="s">
        <v>89</v>
      </c>
      <c r="L7">
        <f>SUMIFS([1]!Tabela5[Valor],[1]!Tabela5[Unidade],K7,[1]!Tabela5[Dia da Semana],$N$4)</f>
        <v>0</v>
      </c>
      <c r="N7" s="15" t="s">
        <v>87</v>
      </c>
    </row>
    <row r="8" spans="2:16" x14ac:dyDescent="0.25">
      <c r="B8">
        <f t="shared" si="0"/>
        <v>4</v>
      </c>
      <c r="C8" t="s">
        <v>83</v>
      </c>
      <c r="D8">
        <v>767</v>
      </c>
      <c r="E8" s="13">
        <v>45447</v>
      </c>
      <c r="F8" t="s">
        <v>88</v>
      </c>
      <c r="H8" s="21" t="s">
        <v>97</v>
      </c>
      <c r="N8" s="15" t="s">
        <v>88</v>
      </c>
    </row>
    <row r="9" spans="2:16" x14ac:dyDescent="0.25">
      <c r="B9">
        <f t="shared" si="0"/>
        <v>5</v>
      </c>
      <c r="C9" t="s">
        <v>89</v>
      </c>
      <c r="D9">
        <v>343</v>
      </c>
      <c r="E9" s="13">
        <v>45448</v>
      </c>
      <c r="F9" t="s">
        <v>90</v>
      </c>
      <c r="H9" s="14" t="s">
        <v>17</v>
      </c>
      <c r="I9" s="14" t="s">
        <v>81</v>
      </c>
      <c r="N9" s="15" t="s">
        <v>90</v>
      </c>
    </row>
    <row r="10" spans="2:16" x14ac:dyDescent="0.25">
      <c r="B10">
        <f t="shared" si="0"/>
        <v>6</v>
      </c>
      <c r="C10" t="s">
        <v>86</v>
      </c>
      <c r="D10">
        <v>3445</v>
      </c>
      <c r="E10" s="13">
        <v>45449</v>
      </c>
      <c r="F10" t="s">
        <v>91</v>
      </c>
      <c r="H10" s="17">
        <v>45444</v>
      </c>
      <c r="I10">
        <f>SUMIF([1]!Tabela5[Data],H10,[1]!Tabela5[Valor])</f>
        <v>4546</v>
      </c>
      <c r="N10" s="15" t="s">
        <v>91</v>
      </c>
    </row>
    <row r="11" spans="2:16" x14ac:dyDescent="0.25">
      <c r="B11">
        <f t="shared" si="0"/>
        <v>7</v>
      </c>
      <c r="C11" t="s">
        <v>89</v>
      </c>
      <c r="D11">
        <v>234</v>
      </c>
      <c r="E11" s="13">
        <v>45450</v>
      </c>
      <c r="F11" t="s">
        <v>92</v>
      </c>
      <c r="H11" s="16">
        <v>45445</v>
      </c>
      <c r="I11">
        <f>SUMIF([1]!Tabela5[Data],H11,[1]!Tabela5[Valor])</f>
        <v>36768</v>
      </c>
      <c r="N11" s="15" t="s">
        <v>92</v>
      </c>
    </row>
    <row r="12" spans="2:16" x14ac:dyDescent="0.25">
      <c r="B12">
        <f t="shared" si="0"/>
        <v>8</v>
      </c>
      <c r="C12" t="s">
        <v>83</v>
      </c>
      <c r="D12">
        <v>6856</v>
      </c>
      <c r="E12" s="13">
        <v>45451</v>
      </c>
      <c r="F12" t="s">
        <v>84</v>
      </c>
      <c r="H12" s="17">
        <v>45446</v>
      </c>
      <c r="I12">
        <f>SUMIF([1]!Tabela5[Data],H12,[1]!Tabela5[Valor])</f>
        <v>45</v>
      </c>
    </row>
    <row r="13" spans="2:16" x14ac:dyDescent="0.25">
      <c r="B13">
        <f t="shared" si="0"/>
        <v>9</v>
      </c>
      <c r="C13" t="s">
        <v>86</v>
      </c>
      <c r="D13">
        <v>7343</v>
      </c>
      <c r="E13" s="13">
        <v>45452</v>
      </c>
      <c r="F13" t="s">
        <v>85</v>
      </c>
      <c r="H13" s="16">
        <v>45447</v>
      </c>
      <c r="I13">
        <f>SUMIF([1]!Tabela5[Data],H13,[1]!Tabela5[Valor])</f>
        <v>767</v>
      </c>
    </row>
    <row r="14" spans="2:16" x14ac:dyDescent="0.25">
      <c r="B14">
        <f t="shared" si="0"/>
        <v>10</v>
      </c>
      <c r="C14" t="s">
        <v>89</v>
      </c>
      <c r="D14">
        <v>973</v>
      </c>
      <c r="E14" s="13">
        <v>45453</v>
      </c>
      <c r="F14" t="s">
        <v>87</v>
      </c>
      <c r="H14" s="17">
        <v>45448</v>
      </c>
      <c r="I14">
        <f>SUMIF([1]!Tabela5[Data],H14,[1]!Tabela5[Valor])</f>
        <v>343</v>
      </c>
    </row>
    <row r="15" spans="2:16" x14ac:dyDescent="0.25">
      <c r="B15">
        <f t="shared" si="0"/>
        <v>11</v>
      </c>
      <c r="C15" t="s">
        <v>83</v>
      </c>
      <c r="D15">
        <v>123</v>
      </c>
      <c r="E15" s="13">
        <v>45454</v>
      </c>
      <c r="F15" t="s">
        <v>88</v>
      </c>
      <c r="H15" s="16">
        <v>45449</v>
      </c>
      <c r="I15">
        <f>SUMIF([1]!Tabela5[Data],H15,[1]!Tabela5[Valor])</f>
        <v>3445</v>
      </c>
      <c r="M15" s="20" t="s">
        <v>62</v>
      </c>
    </row>
    <row r="16" spans="2:16" x14ac:dyDescent="0.25">
      <c r="B16">
        <f t="shared" si="0"/>
        <v>12</v>
      </c>
      <c r="C16" t="s">
        <v>86</v>
      </c>
      <c r="D16">
        <v>632</v>
      </c>
      <c r="E16" s="13">
        <v>45455</v>
      </c>
      <c r="F16" t="s">
        <v>90</v>
      </c>
      <c r="H16" s="17">
        <v>45450</v>
      </c>
      <c r="I16">
        <f>SUMIF([1]!Tabela5[Data],H16,[1]!Tabela5[Valor])</f>
        <v>234</v>
      </c>
      <c r="M16">
        <v>4</v>
      </c>
    </row>
    <row r="17" spans="2:9" x14ac:dyDescent="0.25">
      <c r="B17">
        <f>B16+1</f>
        <v>13</v>
      </c>
      <c r="C17" t="s">
        <v>86</v>
      </c>
      <c r="D17">
        <v>755</v>
      </c>
      <c r="E17" s="13">
        <v>45456</v>
      </c>
      <c r="F17" t="s">
        <v>91</v>
      </c>
      <c r="H17" s="16">
        <v>45451</v>
      </c>
      <c r="I17">
        <f>SUMIF([1]!Tabela5[Data],H17,[1]!Tabela5[Valor])</f>
        <v>6856</v>
      </c>
    </row>
    <row r="18" spans="2:9" x14ac:dyDescent="0.25">
      <c r="B18">
        <f>B17+1</f>
        <v>14</v>
      </c>
      <c r="C18" t="s">
        <v>83</v>
      </c>
      <c r="D18">
        <v>1886</v>
      </c>
      <c r="E18" s="13">
        <v>45457</v>
      </c>
      <c r="F18" t="s">
        <v>92</v>
      </c>
      <c r="H18" s="17">
        <v>45452</v>
      </c>
      <c r="I18">
        <f>SUMIF([1]!Tabela5[Data],H18,[1]!Tabela5[Valor])</f>
        <v>7343</v>
      </c>
    </row>
    <row r="19" spans="2:9" x14ac:dyDescent="0.25">
      <c r="B19">
        <v>15</v>
      </c>
      <c r="C19" t="s">
        <v>89</v>
      </c>
      <c r="D19">
        <v>43</v>
      </c>
      <c r="E19" s="13">
        <v>45458</v>
      </c>
      <c r="F19" t="s">
        <v>84</v>
      </c>
      <c r="H19" s="16">
        <v>45453</v>
      </c>
      <c r="I19">
        <f>SUMIF([1]!Tabela5[Data],H19,[1]!Tabela5[Valor])</f>
        <v>973</v>
      </c>
    </row>
    <row r="20" spans="2:9" x14ac:dyDescent="0.25">
      <c r="H20" s="17">
        <v>45454</v>
      </c>
      <c r="I20">
        <f>SUMIF([1]!Tabela5[Data],H20,[1]!Tabela5[Valor])</f>
        <v>123</v>
      </c>
    </row>
    <row r="21" spans="2:9" x14ac:dyDescent="0.25">
      <c r="H21" s="16">
        <v>45455</v>
      </c>
      <c r="I21">
        <f>SUMIF([1]!Tabela5[Data],H21,[1]!Tabela5[Valor])</f>
        <v>632</v>
      </c>
    </row>
    <row r="22" spans="2:9" x14ac:dyDescent="0.25">
      <c r="H22" s="17">
        <v>45456</v>
      </c>
      <c r="I22">
        <f>SUMIF([1]!Tabela5[Data],H22,[1]!Tabela5[Valor])</f>
        <v>755</v>
      </c>
    </row>
    <row r="23" spans="2:9" x14ac:dyDescent="0.25">
      <c r="H23" s="16">
        <v>45457</v>
      </c>
      <c r="I23">
        <f>SUMIF([1]!Tabela5[Data],H23,[1]!Tabela5[Valor])</f>
        <v>1886</v>
      </c>
    </row>
    <row r="24" spans="2:9" x14ac:dyDescent="0.25">
      <c r="H24" s="17">
        <v>45458</v>
      </c>
      <c r="I24">
        <f>SUMIF([1]!Tabela5[Data],H24,[1]!Tabela5[Valor])</f>
        <v>43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13</xdr:col>
                    <xdr:colOff>9525</xdr:colOff>
                    <xdr:row>14</xdr:row>
                    <xdr:rowOff>19050</xdr:rowOff>
                  </from>
                  <to>
                    <xdr:col>14</xdr:col>
                    <xdr:colOff>9525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"/>
  <sheetViews>
    <sheetView workbookViewId="0">
      <selection activeCell="F6" sqref="F6"/>
    </sheetView>
  </sheetViews>
  <sheetFormatPr defaultRowHeight="15" x14ac:dyDescent="0.25"/>
  <cols>
    <col min="6" max="6" width="10" bestFit="1" customWidth="1"/>
  </cols>
  <sheetData>
    <row r="2" spans="6:6" ht="16.5" x14ac:dyDescent="0.3">
      <c r="F2" s="3" t="s">
        <v>10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Planilha2</vt:lpstr>
      <vt:lpstr>Planilha3</vt:lpstr>
      <vt:lpstr>Planilha4</vt:lpstr>
      <vt:lpstr>Planilha5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2025-10-23T20:43:11Z</dcterms:created>
  <dcterms:modified xsi:type="dcterms:W3CDTF">2025-10-23T22:37:26Z</dcterms:modified>
</cp:coreProperties>
</file>