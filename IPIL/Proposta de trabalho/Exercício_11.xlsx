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her\Documents\Git\excel\Proposta de trabalho\"/>
    </mc:Choice>
  </mc:AlternateContent>
  <bookViews>
    <workbookView xWindow="0" yWindow="0" windowWidth="20490" windowHeight="8340"/>
  </bookViews>
  <sheets>
    <sheet name="EX1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D18" i="1"/>
  <c r="C18" i="1"/>
  <c r="G17" i="1"/>
  <c r="G15" i="1"/>
  <c r="G16" i="1" s="1"/>
  <c r="E15" i="1"/>
  <c r="D15" i="1"/>
  <c r="C15" i="1"/>
  <c r="H14" i="1"/>
  <c r="I14" i="1" s="1"/>
  <c r="F14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F4" i="1"/>
  <c r="F15" i="1" l="1"/>
  <c r="I16" i="1"/>
  <c r="I17" i="1"/>
  <c r="I15" i="1"/>
</calcChain>
</file>

<file path=xl/sharedStrings.xml><?xml version="1.0" encoding="utf-8"?>
<sst xmlns="http://schemas.openxmlformats.org/spreadsheetml/2006/main" count="28" uniqueCount="28">
  <si>
    <t>Nome do funcionário</t>
  </si>
  <si>
    <t>Horas Extras Janeiro</t>
  </si>
  <si>
    <t xml:space="preserve"> Horas Extras Fevereiro</t>
  </si>
  <si>
    <t xml:space="preserve"> Horas Extras Março</t>
  </si>
  <si>
    <t xml:space="preserve"> Total Horas Extras</t>
  </si>
  <si>
    <t>Vencimento  Base</t>
  </si>
  <si>
    <t>Taxa de Acréscimo</t>
  </si>
  <si>
    <t>Vencimento  Total</t>
  </si>
  <si>
    <t xml:space="preserve"> Timóteo Dala</t>
  </si>
  <si>
    <t xml:space="preserve"> Quaresma Dungula</t>
  </si>
  <si>
    <t xml:space="preserve"> Pedro Butuca</t>
  </si>
  <si>
    <t xml:space="preserve"> Luís Zacoeiro</t>
  </si>
  <si>
    <t xml:space="preserve"> Lafayeth Camosso</t>
  </si>
  <si>
    <t xml:space="preserve"> Kimaki Mezonda</t>
  </si>
  <si>
    <t xml:space="preserve"> Kiese Mendes</t>
  </si>
  <si>
    <t xml:space="preserve"> Januário da Silva</t>
  </si>
  <si>
    <t xml:space="preserve"> Ignácio Niango</t>
  </si>
  <si>
    <t xml:space="preserve"> Guilherme Pascoal</t>
  </si>
  <si>
    <t>Felisberto Raposo</t>
  </si>
  <si>
    <t xml:space="preserve"> Total</t>
  </si>
  <si>
    <t>Valor máximo</t>
  </si>
  <si>
    <t xml:space="preserve">Média </t>
  </si>
  <si>
    <t>Baixo</t>
  </si>
  <si>
    <t xml:space="preserve"> Fim do exercício</t>
  </si>
  <si>
    <r>
      <t xml:space="preserve"> </t>
    </r>
    <r>
      <rPr>
        <b/>
        <sz val="12"/>
        <color theme="1"/>
        <rFont val="Calibri"/>
        <family val="2"/>
        <scheme val="minor"/>
      </rPr>
      <t>Formula</t>
    </r>
  </si>
  <si>
    <t xml:space="preserve"> =SOMA(C4:E4)</t>
  </si>
  <si>
    <t xml:space="preserve">  =SE(G4&lt;=500;10;15)&amp;"%"</t>
  </si>
  <si>
    <t xml:space="preserve"> =(G4*H4+G4)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</si>
</sst>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Vencimento  Base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93542010952334"/>
          <c:y val="0.28355573597756206"/>
          <c:w val="0.85485058812092929"/>
          <c:h val="0.512821769074536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[1]EX11!$G$3</c:f>
              <c:strCache>
                <c:ptCount val="1"/>
                <c:pt idx="0">
                  <c:v>Vencimento  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[1]EX11!$G$4:$G$18</c:f>
              <c:numCache>
                <c:formatCode>General</c:formatCode>
                <c:ptCount val="15"/>
                <c:pt idx="0">
                  <c:v>500</c:v>
                </c:pt>
                <c:pt idx="1">
                  <c:v>600</c:v>
                </c:pt>
                <c:pt idx="2">
                  <c:v>400</c:v>
                </c:pt>
                <c:pt idx="3">
                  <c:v>380</c:v>
                </c:pt>
                <c:pt idx="4">
                  <c:v>650</c:v>
                </c:pt>
                <c:pt idx="5">
                  <c:v>700</c:v>
                </c:pt>
                <c:pt idx="6">
                  <c:v>800</c:v>
                </c:pt>
                <c:pt idx="7">
                  <c:v>620</c:v>
                </c:pt>
                <c:pt idx="8">
                  <c:v>390</c:v>
                </c:pt>
                <c:pt idx="9">
                  <c:v>490</c:v>
                </c:pt>
                <c:pt idx="10">
                  <c:v>900</c:v>
                </c:pt>
                <c:pt idx="11">
                  <c:v>6430</c:v>
                </c:pt>
                <c:pt idx="12">
                  <c:v>6430</c:v>
                </c:pt>
                <c:pt idx="13">
                  <c:v>584.5454545454545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8-4939-A1B2-7CF85767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994992"/>
        <c:axId val="451993424"/>
      </c:barChart>
      <c:catAx>
        <c:axId val="45199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993424"/>
        <c:crosses val="autoZero"/>
        <c:auto val="1"/>
        <c:lblAlgn val="ctr"/>
        <c:lblOffset val="100"/>
        <c:noMultiLvlLbl val="0"/>
      </c:catAx>
      <c:valAx>
        <c:axId val="4519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9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Vencimento</a:t>
            </a:r>
          </a:p>
          <a:p>
            <a:pPr>
              <a:defRPr/>
            </a:pPr>
            <a:r>
              <a:rPr lang="pt-BR"/>
              <a:t> Total</a:t>
            </a:r>
          </a:p>
        </c:rich>
      </c:tx>
      <c:layout>
        <c:manualLayout>
          <c:xMode val="edge"/>
          <c:yMode val="edge"/>
          <c:x val="0.3729234470691163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[1]EX11!$I$4</c:f>
              <c:numCache>
                <c:formatCode>General</c:formatCode>
                <c:ptCount val="1"/>
                <c:pt idx="0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5-4F90-83EB-0896F9EC010E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[1]EX11!$I$5</c:f>
              <c:numCache>
                <c:formatCode>General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5-4F90-83EB-0896F9EC010E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[1]EX11!$I$6</c:f>
              <c:numCache>
                <c:formatCode>General</c:formatCode>
                <c:ptCount val="1"/>
                <c:pt idx="0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5-4F90-83EB-0896F9EC010E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[1]EX11!$I$7</c:f>
              <c:numCache>
                <c:formatCode>General</c:formatCode>
                <c:ptCount val="1"/>
                <c:pt idx="0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5-4F90-83EB-0896F9EC010E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[1]EX11!$I$8</c:f>
              <c:numCache>
                <c:formatCode>General</c:formatCode>
                <c:ptCount val="1"/>
                <c:pt idx="0">
                  <c:v>747.5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A5-4F90-83EB-0896F9EC010E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[1]EX11!$I$9</c:f>
              <c:numCache>
                <c:formatCode>General</c:formatCode>
                <c:ptCount val="1"/>
                <c:pt idx="0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A5-4F90-83EB-0896F9EC010E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[1]EX11!$I$10</c:f>
              <c:numCache>
                <c:formatCode>General</c:formatCode>
                <c:ptCount val="1"/>
                <c:pt idx="0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A5-4F90-83EB-0896F9EC010E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[1]EX11!$I$11</c:f>
              <c:numCache>
                <c:formatCode>General</c:formatCode>
                <c:ptCount val="1"/>
                <c:pt idx="0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A5-4F90-83EB-0896F9EC010E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[1]EX11!$I$12</c:f>
              <c:numCache>
                <c:formatCode>General</c:formatCode>
                <c:ptCount val="1"/>
                <c:pt idx="0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A5-4F90-83EB-0896F9EC010E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[1]EX11!$I$13</c:f>
              <c:numCache>
                <c:formatCode>General</c:formatCode>
                <c:ptCount val="1"/>
                <c:pt idx="0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A5-4F90-83EB-0896F9EC010E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[1]EX11!$I$14</c:f>
              <c:numCache>
                <c:formatCode>General</c:formatCode>
                <c:ptCount val="1"/>
                <c:pt idx="0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A5-4F90-83EB-0896F9EC010E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[1]EX11!$I$15</c:f>
              <c:numCache>
                <c:formatCode>General</c:formatCode>
                <c:ptCount val="1"/>
                <c:pt idx="0">
                  <c:v>7286.5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A5-4F90-83EB-0896F9EC010E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[1]EX11!$I$16</c:f>
              <c:numCache>
                <c:formatCode>General</c:formatCode>
                <c:ptCount val="1"/>
                <c:pt idx="0">
                  <c:v>7286.5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A5-4F90-83EB-0896F9EC010E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[1]EX11!$I$3</c:f>
              <c:strCache>
                <c:ptCount val="1"/>
                <c:pt idx="0">
                  <c:v>Vencimento  Total</c:v>
                </c:pt>
              </c:strCache>
            </c:strRef>
          </c:cat>
          <c:val>
            <c:numRef>
              <c:f>[1]EX11!$I$17</c:f>
              <c:numCache>
                <c:formatCode>General</c:formatCode>
                <c:ptCount val="1"/>
                <c:pt idx="0">
                  <c:v>662.40909090909088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A5-4F90-83EB-0896F9EC0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1994208"/>
        <c:axId val="451993816"/>
        <c:extLst>
          <c:ext xmlns:c15="http://schemas.microsoft.com/office/drawing/2012/chart" uri="{02D57815-91ED-43cb-92C2-25804820EDAC}">
            <c15:filteredBarSeries>
              <c15:ser>
                <c:idx val="14"/>
                <c:order val="14"/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[1]EX11!$I$3</c15:sqref>
                        </c15:formulaRef>
                      </c:ext>
                    </c:extLst>
                    <c:strCache>
                      <c:ptCount val="1"/>
                      <c:pt idx="0">
                        <c:v>Vencimento 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[1]EX11!$I$18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0FA5-4F90-83EB-0896F9EC010E}"/>
                  </c:ext>
                </c:extLst>
              </c15:ser>
            </c15:filteredBarSeries>
          </c:ext>
        </c:extLst>
      </c:barChart>
      <c:catAx>
        <c:axId val="4519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993816"/>
        <c:crosses val="autoZero"/>
        <c:auto val="1"/>
        <c:lblAlgn val="ctr"/>
        <c:lblOffset val="100"/>
        <c:noMultiLvlLbl val="0"/>
      </c:catAx>
      <c:valAx>
        <c:axId val="45199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9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737648196668667E-2"/>
          <c:y val="0.56279998265435538"/>
          <c:w val="0.89052470360666269"/>
          <c:h val="0.37922904695572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90844357183851"/>
          <c:y val="5.0862196298087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[1]EX11!$F$3</c:f>
              <c:strCache>
                <c:ptCount val="1"/>
                <c:pt idx="0">
                  <c:v> Total Horas Extras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96-44FE-A9D4-F2E09A7E8CD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96-44FE-A9D4-F2E09A7E8CD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96-44FE-A9D4-F2E09A7E8CD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96-44FE-A9D4-F2E09A7E8CD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96-44FE-A9D4-F2E09A7E8CD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96-44FE-A9D4-F2E09A7E8CD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96-44FE-A9D4-F2E09A7E8CD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96-44FE-A9D4-F2E09A7E8CD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96-44FE-A9D4-F2E09A7E8CD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96-44FE-A9D4-F2E09A7E8CD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96-44FE-A9D4-F2E09A7E8CD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96-44FE-A9D4-F2E09A7E8CD5}"/>
              </c:ext>
            </c:extLst>
          </c:dPt>
          <c:val>
            <c:numRef>
              <c:f>[1]EX11!$F$4:$F$15</c:f>
              <c:numCache>
                <c:formatCode>General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7</c:v>
                </c:pt>
                <c:pt idx="3">
                  <c:v>16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6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96-44FE-A9D4-F2E09A7E8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98425</xdr:colOff>
      <xdr:row>2</xdr:row>
      <xdr:rowOff>63500</xdr:rowOff>
    </xdr:from>
    <xdr:to>
      <xdr:col>15</xdr:col>
      <xdr:colOff>298450</xdr:colOff>
      <xdr:row>6</xdr:row>
      <xdr:rowOff>102656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116416</xdr:colOff>
      <xdr:row>7</xdr:row>
      <xdr:rowOff>31749</xdr:rowOff>
    </xdr:from>
    <xdr:to>
      <xdr:col>15</xdr:col>
      <xdr:colOff>287866</xdr:colOff>
      <xdr:row>14</xdr:row>
      <xdr:rowOff>12701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14</xdr:row>
      <xdr:rowOff>58210</xdr:rowOff>
    </xdr:from>
    <xdr:to>
      <xdr:col>15</xdr:col>
      <xdr:colOff>266700</xdr:colOff>
      <xdr:row>21</xdr:row>
      <xdr:rowOff>105833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1</xdr:col>
      <xdr:colOff>9526</xdr:colOff>
      <xdr:row>2</xdr:row>
      <xdr:rowOff>609600</xdr:rowOff>
    </xdr:to>
    <xdr:sp macro="" textlink="">
      <xdr:nvSpPr>
        <xdr:cNvPr id="5" name="Elipse 4"/>
        <xdr:cNvSpPr/>
      </xdr:nvSpPr>
      <xdr:spPr>
        <a:xfrm>
          <a:off x="0" y="381000"/>
          <a:ext cx="619126" cy="609600"/>
        </a:xfrm>
        <a:prstGeom prst="ellipse">
          <a:avLst/>
        </a:prstGeom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400" b="1">
              <a:latin typeface="Bernard MT Condensed" panose="02050806060905020404" pitchFamily="18" charset="0"/>
            </a:rPr>
            <a:t>11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erc&#237;cio%20comp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1"/>
      <sheetName val="EX2"/>
      <sheetName val="EX3"/>
      <sheetName val="EX4"/>
      <sheetName val="EX5"/>
      <sheetName val="EX6"/>
      <sheetName val="EX7"/>
      <sheetName val="EX8"/>
      <sheetName val="EX9"/>
      <sheetName val="EX10"/>
      <sheetName val="EX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F3" t="str">
            <v xml:space="preserve"> Total Horas Extras</v>
          </cell>
          <cell r="G3" t="str">
            <v>Vencimento  Base</v>
          </cell>
          <cell r="I3" t="str">
            <v>Vencimento  Total</v>
          </cell>
        </row>
        <row r="4">
          <cell r="F4">
            <v>10</v>
          </cell>
          <cell r="G4">
            <v>500</v>
          </cell>
          <cell r="I4">
            <v>550</v>
          </cell>
        </row>
        <row r="5">
          <cell r="F5">
            <v>5</v>
          </cell>
          <cell r="G5">
            <v>600</v>
          </cell>
          <cell r="I5">
            <v>690</v>
          </cell>
        </row>
        <row r="6">
          <cell r="F6">
            <v>7</v>
          </cell>
          <cell r="G6">
            <v>400</v>
          </cell>
          <cell r="I6">
            <v>440</v>
          </cell>
        </row>
        <row r="7">
          <cell r="F7">
            <v>16</v>
          </cell>
          <cell r="G7">
            <v>380</v>
          </cell>
          <cell r="I7">
            <v>418</v>
          </cell>
        </row>
        <row r="8">
          <cell r="F8">
            <v>8</v>
          </cell>
          <cell r="G8">
            <v>650</v>
          </cell>
          <cell r="I8">
            <v>747.5</v>
          </cell>
        </row>
        <row r="9">
          <cell r="F9">
            <v>6</v>
          </cell>
          <cell r="G9">
            <v>700</v>
          </cell>
          <cell r="I9">
            <v>805</v>
          </cell>
        </row>
        <row r="10">
          <cell r="F10">
            <v>10</v>
          </cell>
          <cell r="G10">
            <v>800</v>
          </cell>
          <cell r="I10">
            <v>920</v>
          </cell>
        </row>
        <row r="11">
          <cell r="F11">
            <v>7</v>
          </cell>
          <cell r="G11">
            <v>620</v>
          </cell>
          <cell r="I11">
            <v>713</v>
          </cell>
        </row>
        <row r="12">
          <cell r="F12">
            <v>5</v>
          </cell>
          <cell r="G12">
            <v>390</v>
          </cell>
          <cell r="I12">
            <v>429</v>
          </cell>
        </row>
        <row r="13">
          <cell r="F13">
            <v>10</v>
          </cell>
          <cell r="G13">
            <v>490</v>
          </cell>
          <cell r="I13">
            <v>539</v>
          </cell>
        </row>
        <row r="14">
          <cell r="F14">
            <v>6</v>
          </cell>
          <cell r="G14">
            <v>900</v>
          </cell>
          <cell r="I14">
            <v>1035</v>
          </cell>
        </row>
        <row r="15">
          <cell r="F15">
            <v>90</v>
          </cell>
          <cell r="G15">
            <v>6430</v>
          </cell>
          <cell r="I15">
            <v>7286.5</v>
          </cell>
        </row>
        <row r="16">
          <cell r="G16">
            <v>6430</v>
          </cell>
          <cell r="I16">
            <v>7286.5</v>
          </cell>
        </row>
        <row r="17">
          <cell r="G17">
            <v>584.5454545454545</v>
          </cell>
          <cell r="I17">
            <v>662.40909090909088</v>
          </cell>
        </row>
        <row r="18">
          <cell r="G18"/>
          <cell r="I18"/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2"/>
  <sheetViews>
    <sheetView tabSelected="1" topLeftCell="A7" workbookViewId="0">
      <selection activeCell="K25" sqref="K25"/>
    </sheetView>
  </sheetViews>
  <sheetFormatPr defaultRowHeight="15" x14ac:dyDescent="0.25"/>
  <cols>
    <col min="1" max="1" width="9.42578125" customWidth="1"/>
    <col min="2" max="2" width="27.5703125" customWidth="1"/>
    <col min="6" max="6" width="16" customWidth="1"/>
    <col min="7" max="7" width="13" customWidth="1"/>
    <col min="8" max="8" width="25.42578125" customWidth="1"/>
    <col min="9" max="9" width="14.42578125" customWidth="1"/>
  </cols>
  <sheetData>
    <row r="2" spans="1:19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75" x14ac:dyDescent="0.25">
      <c r="A3" s="15"/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16" t="s">
        <v>5</v>
      </c>
      <c r="H3" s="3" t="s">
        <v>6</v>
      </c>
      <c r="I3" s="16" t="s">
        <v>7</v>
      </c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15.75" x14ac:dyDescent="0.25">
      <c r="A4" s="15"/>
      <c r="B4" s="4" t="s">
        <v>8</v>
      </c>
      <c r="C4" s="4">
        <v>5</v>
      </c>
      <c r="D4" s="4">
        <v>2</v>
      </c>
      <c r="E4" s="4">
        <v>3</v>
      </c>
      <c r="F4" s="4">
        <f>SUM(C4:E4)</f>
        <v>10</v>
      </c>
      <c r="G4" s="4">
        <v>500</v>
      </c>
      <c r="H4" s="5" t="str">
        <f>IF(G4&lt;=500,10,15)&amp;"%"</f>
        <v>10%</v>
      </c>
      <c r="I4" s="6">
        <f>(G4*H4+G4)</f>
        <v>550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ht="15.75" x14ac:dyDescent="0.25">
      <c r="A5" s="15"/>
      <c r="B5" s="7" t="s">
        <v>9</v>
      </c>
      <c r="C5" s="7">
        <v>2</v>
      </c>
      <c r="D5" s="7">
        <v>3</v>
      </c>
      <c r="E5" s="7">
        <v>0</v>
      </c>
      <c r="F5" s="7">
        <f t="shared" ref="F5:F14" si="0">SUM(C5:E5)</f>
        <v>5</v>
      </c>
      <c r="G5" s="7">
        <v>600</v>
      </c>
      <c r="H5" s="8" t="str">
        <f t="shared" ref="H5:H14" si="1">IF(G5&lt;=500,10,15)&amp;"%"</f>
        <v>15%</v>
      </c>
      <c r="I5" s="9">
        <f t="shared" ref="I5:I14" si="2">(G5*H5+G5)</f>
        <v>690</v>
      </c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15.75" x14ac:dyDescent="0.25">
      <c r="A6" s="15"/>
      <c r="B6" s="4" t="s">
        <v>10</v>
      </c>
      <c r="C6" s="4">
        <v>0</v>
      </c>
      <c r="D6" s="4">
        <v>1</v>
      </c>
      <c r="E6" s="4">
        <v>6</v>
      </c>
      <c r="F6" s="4">
        <f t="shared" si="0"/>
        <v>7</v>
      </c>
      <c r="G6" s="4">
        <v>400</v>
      </c>
      <c r="H6" s="5" t="str">
        <f t="shared" si="1"/>
        <v>10%</v>
      </c>
      <c r="I6" s="6">
        <f t="shared" si="2"/>
        <v>440</v>
      </c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15.75" x14ac:dyDescent="0.25">
      <c r="A7" s="15"/>
      <c r="B7" s="7" t="s">
        <v>11</v>
      </c>
      <c r="C7" s="7">
        <v>8</v>
      </c>
      <c r="D7" s="7">
        <v>5</v>
      </c>
      <c r="E7" s="7">
        <v>3</v>
      </c>
      <c r="F7" s="7">
        <f t="shared" si="0"/>
        <v>16</v>
      </c>
      <c r="G7" s="7">
        <v>380</v>
      </c>
      <c r="H7" s="8" t="str">
        <f t="shared" si="1"/>
        <v>10%</v>
      </c>
      <c r="I7" s="9">
        <f t="shared" si="2"/>
        <v>418</v>
      </c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15.75" x14ac:dyDescent="0.25">
      <c r="A8" s="15"/>
      <c r="B8" s="4" t="s">
        <v>12</v>
      </c>
      <c r="C8" s="4">
        <v>5</v>
      </c>
      <c r="D8" s="4">
        <v>2</v>
      </c>
      <c r="E8" s="4">
        <v>1</v>
      </c>
      <c r="F8" s="4">
        <f t="shared" si="0"/>
        <v>8</v>
      </c>
      <c r="G8" s="4">
        <v>650</v>
      </c>
      <c r="H8" s="5" t="str">
        <f t="shared" si="1"/>
        <v>15%</v>
      </c>
      <c r="I8" s="6">
        <f t="shared" si="2"/>
        <v>747.5</v>
      </c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15.75" x14ac:dyDescent="0.25">
      <c r="A9" s="15"/>
      <c r="B9" s="7" t="s">
        <v>13</v>
      </c>
      <c r="C9" s="7">
        <v>4</v>
      </c>
      <c r="D9" s="7">
        <v>0</v>
      </c>
      <c r="E9" s="7">
        <v>2</v>
      </c>
      <c r="F9" s="7">
        <f t="shared" si="0"/>
        <v>6</v>
      </c>
      <c r="G9" s="7">
        <v>700</v>
      </c>
      <c r="H9" s="8" t="str">
        <f t="shared" si="1"/>
        <v>15%</v>
      </c>
      <c r="I9" s="9">
        <f t="shared" si="2"/>
        <v>805</v>
      </c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15.75" x14ac:dyDescent="0.25">
      <c r="A10" s="15"/>
      <c r="B10" s="4" t="s">
        <v>14</v>
      </c>
      <c r="C10" s="4">
        <v>6</v>
      </c>
      <c r="D10" s="4">
        <v>1</v>
      </c>
      <c r="E10" s="4">
        <v>3</v>
      </c>
      <c r="F10" s="4">
        <f t="shared" si="0"/>
        <v>10</v>
      </c>
      <c r="G10" s="4">
        <v>800</v>
      </c>
      <c r="H10" s="5" t="str">
        <f t="shared" si="1"/>
        <v>15%</v>
      </c>
      <c r="I10" s="6">
        <f t="shared" si="2"/>
        <v>920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15.75" x14ac:dyDescent="0.25">
      <c r="A11" s="15"/>
      <c r="B11" s="7" t="s">
        <v>15</v>
      </c>
      <c r="C11" s="7">
        <v>2</v>
      </c>
      <c r="D11" s="7">
        <v>3</v>
      </c>
      <c r="E11" s="7">
        <v>2</v>
      </c>
      <c r="F11" s="7">
        <f t="shared" si="0"/>
        <v>7</v>
      </c>
      <c r="G11" s="7">
        <v>620</v>
      </c>
      <c r="H11" s="8" t="str">
        <f t="shared" si="1"/>
        <v>15%</v>
      </c>
      <c r="I11" s="9">
        <f t="shared" si="2"/>
        <v>713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15.75" x14ac:dyDescent="0.25">
      <c r="A12" s="15"/>
      <c r="B12" s="4" t="s">
        <v>16</v>
      </c>
      <c r="C12" s="4">
        <v>3</v>
      </c>
      <c r="D12" s="4">
        <v>2</v>
      </c>
      <c r="E12" s="4">
        <v>0</v>
      </c>
      <c r="F12" s="4">
        <f t="shared" si="0"/>
        <v>5</v>
      </c>
      <c r="G12" s="4">
        <v>390</v>
      </c>
      <c r="H12" s="5" t="str">
        <f t="shared" si="1"/>
        <v>10%</v>
      </c>
      <c r="I12" s="6">
        <f t="shared" si="2"/>
        <v>429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15.75" x14ac:dyDescent="0.25">
      <c r="A13" s="15"/>
      <c r="B13" s="7" t="s">
        <v>17</v>
      </c>
      <c r="C13" s="7">
        <v>1</v>
      </c>
      <c r="D13" s="7">
        <v>5</v>
      </c>
      <c r="E13" s="7">
        <v>4</v>
      </c>
      <c r="F13" s="7">
        <f t="shared" si="0"/>
        <v>10</v>
      </c>
      <c r="G13" s="9">
        <v>490</v>
      </c>
      <c r="H13" s="8" t="str">
        <f t="shared" si="1"/>
        <v>10%</v>
      </c>
      <c r="I13" s="9">
        <f t="shared" si="2"/>
        <v>539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ht="15.75" x14ac:dyDescent="0.25">
      <c r="A14" s="15"/>
      <c r="B14" s="4" t="s">
        <v>18</v>
      </c>
      <c r="C14" s="4">
        <v>0</v>
      </c>
      <c r="D14" s="4">
        <v>2</v>
      </c>
      <c r="E14" s="4">
        <v>4</v>
      </c>
      <c r="F14" s="4">
        <f t="shared" si="0"/>
        <v>6</v>
      </c>
      <c r="G14" s="6">
        <v>900</v>
      </c>
      <c r="H14" s="5" t="str">
        <f t="shared" si="1"/>
        <v>15%</v>
      </c>
      <c r="I14" s="6">
        <f t="shared" si="2"/>
        <v>1035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ht="15.75" x14ac:dyDescent="0.25">
      <c r="A15" s="15"/>
      <c r="B15" s="7" t="s">
        <v>19</v>
      </c>
      <c r="C15" s="9">
        <f>SUM(C4:C14)</f>
        <v>36</v>
      </c>
      <c r="D15" s="9">
        <f>SUM(D4:D14)</f>
        <v>26</v>
      </c>
      <c r="E15" s="9">
        <f>SUM(E4:E14)</f>
        <v>28</v>
      </c>
      <c r="F15" s="9">
        <f>SUM(F4:F14)</f>
        <v>90</v>
      </c>
      <c r="G15" s="9">
        <f>SUM(G4:G14)</f>
        <v>6430</v>
      </c>
      <c r="H15" s="10"/>
      <c r="I15" s="9">
        <f>SUM(I4:I14)</f>
        <v>7286.5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ht="15.75" x14ac:dyDescent="0.25">
      <c r="A16" s="15"/>
      <c r="B16" s="11" t="s">
        <v>20</v>
      </c>
      <c r="C16" s="11"/>
      <c r="D16" s="11"/>
      <c r="E16" s="11"/>
      <c r="F16" s="11"/>
      <c r="G16" s="12">
        <f>MAX(G4:G15)</f>
        <v>6430</v>
      </c>
      <c r="H16" s="11"/>
      <c r="I16" s="12">
        <f>MAX(I4:I15)</f>
        <v>7286.5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ht="15.75" x14ac:dyDescent="0.25">
      <c r="A17" s="15"/>
      <c r="B17" s="13" t="s">
        <v>21</v>
      </c>
      <c r="C17" s="13"/>
      <c r="D17" s="13"/>
      <c r="E17" s="13"/>
      <c r="F17" s="13"/>
      <c r="G17" s="14">
        <f>AVERAGE(G4:G14)</f>
        <v>584.5454545454545</v>
      </c>
      <c r="H17" s="13"/>
      <c r="I17" s="14">
        <f>AVERAGE(I4:I14)</f>
        <v>662.40909090909088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ht="15.75" x14ac:dyDescent="0.25">
      <c r="A18" s="15"/>
      <c r="B18" s="11" t="s">
        <v>22</v>
      </c>
      <c r="C18" s="11">
        <f>MIN(C4:C14)</f>
        <v>0</v>
      </c>
      <c r="D18" s="11">
        <f>MIN(D4:D14)</f>
        <v>0</v>
      </c>
      <c r="E18" s="11">
        <f>MIN(E4:E14)</f>
        <v>0</v>
      </c>
      <c r="F18" s="11"/>
      <c r="G18" s="11"/>
      <c r="H18" s="11"/>
      <c r="I18" s="11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15.75" x14ac:dyDescent="0.25">
      <c r="A19" s="15"/>
      <c r="B19" s="20" t="s">
        <v>23</v>
      </c>
      <c r="C19" s="21"/>
      <c r="D19" s="21"/>
      <c r="E19" s="21"/>
      <c r="F19" s="21"/>
      <c r="G19" s="21"/>
      <c r="H19" s="21"/>
      <c r="I19" s="22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ht="15.75" x14ac:dyDescent="0.25">
      <c r="A20" s="15"/>
      <c r="B20" s="17"/>
      <c r="C20" s="17"/>
      <c r="D20" s="17"/>
      <c r="E20" s="17"/>
      <c r="F20" s="23" t="s">
        <v>24</v>
      </c>
      <c r="G20" s="24"/>
      <c r="H20" s="24"/>
      <c r="I20" s="2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ht="15.75" x14ac:dyDescent="0.25">
      <c r="A21" s="15"/>
      <c r="B21" s="18"/>
      <c r="C21" s="18"/>
      <c r="D21" s="18"/>
      <c r="E21" s="18"/>
      <c r="F21" s="19" t="s">
        <v>25</v>
      </c>
      <c r="G21" s="18"/>
      <c r="H21" s="19" t="s">
        <v>26</v>
      </c>
      <c r="I21" s="19" t="s">
        <v>27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</sheetData>
  <mergeCells count="2">
    <mergeCell ref="B19:I19"/>
    <mergeCell ref="F20:I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Other</cp:lastModifiedBy>
  <dcterms:created xsi:type="dcterms:W3CDTF">2017-07-05T23:37:26Z</dcterms:created>
  <dcterms:modified xsi:type="dcterms:W3CDTF">2025-10-19T19:38:56Z</dcterms:modified>
</cp:coreProperties>
</file>