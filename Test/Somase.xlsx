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M7" i="1"/>
  <c r="M5" i="1"/>
  <c r="J11" i="1"/>
  <c r="J12" i="1"/>
  <c r="J13" i="1"/>
  <c r="J14" i="1"/>
  <c r="J15" i="1"/>
  <c r="J16" i="1"/>
  <c r="J10" i="1"/>
  <c r="J6" i="1"/>
  <c r="J7" i="1"/>
  <c r="J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<sst xmlns="http://schemas.openxmlformats.org/spreadsheetml/2006/main" count="40" uniqueCount="18">
  <si>
    <t>SOMASE e Relatorios Dinâmicos</t>
  </si>
  <si>
    <t>ID</t>
  </si>
  <si>
    <t>Unidade</t>
  </si>
  <si>
    <t>Valor</t>
  </si>
  <si>
    <t>Data</t>
  </si>
  <si>
    <t>Dia da Semana</t>
  </si>
  <si>
    <t>MG</t>
  </si>
  <si>
    <t>RJ</t>
  </si>
  <si>
    <t>MT</t>
  </si>
  <si>
    <t>Total</t>
  </si>
  <si>
    <t>RELATÓRIOS DE VENDAS</t>
  </si>
  <si>
    <t>Seg</t>
  </si>
  <si>
    <t>Ter</t>
  </si>
  <si>
    <t>Qua</t>
  </si>
  <si>
    <t>Qui</t>
  </si>
  <si>
    <t>Sex</t>
  </si>
  <si>
    <t>Sáb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</si>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</sst>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7" formatCode="_-[$AOA]\ * #,##0.00_-;\-[$AOA]\ * #,##0.00_-;_-[$AO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4" borderId="0" xfId="0" applyFill="1"/>
    <xf numFmtId="0" fontId="4" fillId="3" borderId="0" xfId="0" applyFont="1" applyFill="1"/>
    <xf numFmtId="14" fontId="0" fillId="0" borderId="0" xfId="0" applyNumberForma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3" fillId="4" borderId="0" xfId="0" applyFont="1" applyFill="1"/>
    <xf numFmtId="0" fontId="0" fillId="2" borderId="0" xfId="0" applyFill="1"/>
    <xf numFmtId="167" fontId="0" fillId="0" borderId="0" xfId="0" applyNumberFormat="1"/>
    <xf numFmtId="167" fontId="0" fillId="0" borderId="0" xfId="1" applyNumberFormat="1" applyFont="1"/>
    <xf numFmtId="0" fontId="0" fillId="7" borderId="0" xfId="0" applyFont="1" applyFill="1"/>
  </cellXfs>
  <cellStyles count="2">
    <cellStyle name="Moeda" xfId="1" builtinId="4"/>
    <cellStyle name="Normal" xfId="0" builtinId="0"/>
  </cellStyles>
  <dxfs count="3">
    <dxf>
      <numFmt numFmtId="167" formatCode="_-[$AOA]\ * #,##0.00_-;\-[$AOA]\ * #,##0.00_-;_-[$AOA]\ * &quot;-&quot;??_-;_-@_-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Controle de faturamento por Unidade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88888888888889E-2"/>
          <c:y val="0.18097222222222226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Planilha1!$J$4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Planilha1!$I$5:$I$7</c:f>
              <c:strCache>
                <c:ptCount val="3"/>
                <c:pt idx="0">
                  <c:v>MG</c:v>
                </c:pt>
                <c:pt idx="1">
                  <c:v>RJ</c:v>
                </c:pt>
                <c:pt idx="2">
                  <c:v>MT</c:v>
                </c:pt>
              </c:strCache>
            </c:strRef>
          </c:cat>
          <c:val>
            <c:numRef>
              <c:f>Planilha1!$J$5:$J$7</c:f>
              <c:numCache>
                <c:formatCode>General</c:formatCode>
                <c:ptCount val="3"/>
                <c:pt idx="0">
                  <c:v>50946</c:v>
                </c:pt>
                <c:pt idx="1">
                  <c:v>12220</c:v>
                </c:pt>
                <c:pt idx="2">
                  <c:v>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5-4CFF-A36A-F602D5D8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101648"/>
        <c:axId val="1209104144"/>
      </c:barChart>
      <c:catAx>
        <c:axId val="12091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9104144"/>
        <c:crosses val="autoZero"/>
        <c:auto val="1"/>
        <c:lblAlgn val="ctr"/>
        <c:lblOffset val="100"/>
        <c:noMultiLvlLbl val="0"/>
      </c:catAx>
      <c:valAx>
        <c:axId val="1209104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101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faturamanto diario</a:t>
            </a:r>
          </a:p>
        </c:rich>
      </c:tx>
      <c:layout>
        <c:manualLayout>
          <c:xMode val="edge"/>
          <c:yMode val="edge"/>
          <c:x val="0.27647222222222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Planilha1!$I$10:$I$16</c:f>
              <c:numCache>
                <c:formatCode>m/d/yyyy</c:formatCode>
                <c:ptCount val="7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</c:numCache>
            </c:numRef>
          </c:cat>
          <c:val>
            <c:numRef>
              <c:f>Planilha1!$J$10:$J$16</c:f>
              <c:numCache>
                <c:formatCode>_-[$AOA]\ * #,##0.00_-;\-[$AOA]\ * #,##0.00_-;_-[$AOA]\ * "-"??_-;_-@_-</c:formatCode>
                <c:ptCount val="7"/>
                <c:pt idx="0">
                  <c:v>4546</c:v>
                </c:pt>
                <c:pt idx="1">
                  <c:v>36768</c:v>
                </c:pt>
                <c:pt idx="2">
                  <c:v>45</c:v>
                </c:pt>
                <c:pt idx="3">
                  <c:v>767</c:v>
                </c:pt>
                <c:pt idx="4">
                  <c:v>343</c:v>
                </c:pt>
                <c:pt idx="5">
                  <c:v>3445</c:v>
                </c:pt>
                <c:pt idx="6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E-43DE-BC9F-B6B15368CE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8825312"/>
        <c:axId val="1148826560"/>
      </c:lineChart>
      <c:dateAx>
        <c:axId val="114882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826560"/>
        <c:crosses val="autoZero"/>
        <c:auto val="1"/>
        <c:lblOffset val="100"/>
        <c:baseTimeUnit val="days"/>
      </c:dateAx>
      <c:valAx>
        <c:axId val="1148826560"/>
        <c:scaling>
          <c:orientation val="minMax"/>
        </c:scaling>
        <c:delete val="1"/>
        <c:axPos val="l"/>
        <c:numFmt formatCode="_-[$AOA]\ * #,##0.00_-;\-[$AOA]\ * #,##0.00_-;_-[$AOA]\ * &quot;-&quot;??_-;_-@_-" sourceLinked="1"/>
        <c:majorTickMark val="none"/>
        <c:minorTickMark val="none"/>
        <c:tickLblPos val="nextTo"/>
        <c:crossAx val="114882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 faturamento</a:t>
            </a:r>
            <a:r>
              <a:rPr lang="pt-BR" baseline="0"/>
              <a:t> e dia da semana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Planilha1!$L$5:$L$7</c:f>
              <c:strCache>
                <c:ptCount val="3"/>
                <c:pt idx="0">
                  <c:v>MG</c:v>
                </c:pt>
                <c:pt idx="1">
                  <c:v>RJ</c:v>
                </c:pt>
                <c:pt idx="2">
                  <c:v>MT</c:v>
                </c:pt>
              </c:strCache>
            </c:strRef>
          </c:cat>
          <c:val>
            <c:numRef>
              <c:f>Planilha1!$M$5:$M$7</c:f>
              <c:numCache>
                <c:formatCode>_-[$AOA]\ * #,##0.00_-;\-[$AOA]\ * #,##0.00_-;_-[$AOA]\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11C-8CDD-BAB6C48A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133904"/>
        <c:axId val="1207128912"/>
      </c:barChart>
      <c:catAx>
        <c:axId val="120713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128912"/>
        <c:crosses val="autoZero"/>
        <c:auto val="1"/>
        <c:lblAlgn val="ctr"/>
        <c:lblOffset val="100"/>
        <c:noMultiLvlLbl val="0"/>
      </c:catAx>
      <c:valAx>
        <c:axId val="1207128912"/>
        <c:scaling>
          <c:orientation val="minMax"/>
        </c:scaling>
        <c:delete val="1"/>
        <c:axPos val="l"/>
        <c:numFmt formatCode="_-[$AOA]\ * #,##0.00_-;\-[$AOA]\ * #,##0.00_-;_-[$AOA]\ * &quot;-&quot;??_-;_-@_-" sourceLinked="1"/>
        <c:majorTickMark val="none"/>
        <c:minorTickMark val="none"/>
        <c:tickLblPos val="nextTo"/>
        <c:crossAx val="120713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Planilha1!$M$4" fmlaRange="Planilha1!$M$9:$M$15" noThreeD="1" sel="6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171451</xdr:rowOff>
    </xdr:from>
    <xdr:to>
      <xdr:col>7</xdr:col>
      <xdr:colOff>161925</xdr:colOff>
      <xdr:row>12</xdr:row>
      <xdr:rowOff>38101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2</xdr:row>
      <xdr:rowOff>180975</xdr:rowOff>
    </xdr:from>
    <xdr:to>
      <xdr:col>14</xdr:col>
      <xdr:colOff>600075</xdr:colOff>
      <xdr:row>12</xdr:row>
      <xdr:rowOff>57150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12</xdr:row>
      <xdr:rowOff>161925</xdr:rowOff>
    </xdr:from>
    <xdr:to>
      <xdr:col>7</xdr:col>
      <xdr:colOff>171450</xdr:colOff>
      <xdr:row>22</xdr:row>
      <xdr:rowOff>76200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390525</xdr:colOff>
          <xdr:row>13</xdr:row>
          <xdr:rowOff>114300</xdr:rowOff>
        </xdr:from>
        <xdr:to>
          <xdr:col>9</xdr:col>
          <xdr:colOff>200025</xdr:colOff>
          <xdr:row>14</xdr:row>
          <xdr:rowOff>133350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ela1" displayName="Tabela1" ref="B4:F19" totalsRowShown="0">
  <autoFilter ref="B4:F19"/>
  <tableColumns count="5">
    <tableColumn id="1" name="ID">
      <calculatedColumnFormula>B4+1</calculatedColumnFormula>
    </tableColumn>
    <tableColumn id="2" name="Unidade"/>
    <tableColumn id="3" name="Valor" dataDxfId="0"/>
    <tableColumn id="4" name="Data" dataDxfId="1"/>
    <tableColumn id="5" name="Dia da Semana" dataDxfId="2">
      <calculatedColumnFormula>TEXT(Tabela1[[#This Row],[Data]],"ddd")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tabSelected="1" topLeftCell="C1" workbookViewId="0">
      <selection activeCell="G8" sqref="G8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16.28515625" bestFit="1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13" s="2" customFormat="1" ht="26.25" x14ac:dyDescent="0.4">
      <c r="B1" s="2" t="s">
        <v>0</v>
      </c>
    </row>
    <row r="2" spans="2:13" s="1" customFormat="1" ht="9.75" customHeight="1" x14ac:dyDescent="0.25"/>
    <row r="4" spans="2:13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I4" s="4" t="s">
        <v>2</v>
      </c>
      <c r="J4" t="s">
        <v>3</v>
      </c>
      <c r="L4" t="s">
        <v>2</v>
      </c>
      <c r="M4">
        <v>6</v>
      </c>
    </row>
    <row r="5" spans="2:13" x14ac:dyDescent="0.25">
      <c r="B5">
        <v>1</v>
      </c>
      <c r="C5" t="s">
        <v>6</v>
      </c>
      <c r="D5" s="9">
        <v>4546</v>
      </c>
      <c r="E5" s="3">
        <v>45444</v>
      </c>
      <c r="F5" t="str">
        <f>TEXT(Tabela1[[#This Row],[Data]],"ddd")</f>
        <v>sáb</v>
      </c>
      <c r="I5" s="5" t="s">
        <v>6</v>
      </c>
      <c r="J5">
        <f>SUMIF(Tabela1[Unidade],I5,Tabela1[Valor])</f>
        <v>50946</v>
      </c>
      <c r="L5" t="s">
        <v>6</v>
      </c>
      <c r="M5" s="9">
        <f>SUMIFS(Tabela1[Valor],Tabela1[Unidade],L5,Tabela1[Dia da Semana],$M$4)</f>
        <v>0</v>
      </c>
    </row>
    <row r="6" spans="2:13" x14ac:dyDescent="0.25">
      <c r="B6">
        <f>B5+1</f>
        <v>2</v>
      </c>
      <c r="C6" t="s">
        <v>6</v>
      </c>
      <c r="D6" s="9">
        <v>36768</v>
      </c>
      <c r="E6" s="3">
        <v>45445</v>
      </c>
      <c r="F6" t="str">
        <f>TEXT(Tabela1[[#This Row],[Data]],"ddd")</f>
        <v>dom</v>
      </c>
      <c r="I6" s="5" t="s">
        <v>7</v>
      </c>
      <c r="J6">
        <f>SUMIF(Tabela1[Unidade],I6,Tabela1[Valor])</f>
        <v>12220</v>
      </c>
      <c r="L6" t="s">
        <v>7</v>
      </c>
      <c r="M6" s="9">
        <f>SUMIFS(Tabela1[Valor],Tabela1[Unidade],L6,Tabela1[Dia da Semana],$M$4)</f>
        <v>0</v>
      </c>
    </row>
    <row r="7" spans="2:13" x14ac:dyDescent="0.25">
      <c r="B7">
        <f t="shared" ref="B7:B16" si="0">B6+1</f>
        <v>3</v>
      </c>
      <c r="C7" t="s">
        <v>7</v>
      </c>
      <c r="D7" s="9">
        <v>45</v>
      </c>
      <c r="E7" s="3">
        <v>45446</v>
      </c>
      <c r="F7" t="str">
        <f>TEXT(Tabela1[[#This Row],[Data]],"ddd")</f>
        <v>seg</v>
      </c>
      <c r="I7" s="5" t="s">
        <v>8</v>
      </c>
      <c r="J7">
        <f>SUMIF(Tabela1[Unidade],I7,Tabela1[Valor])</f>
        <v>1593</v>
      </c>
      <c r="L7" t="s">
        <v>8</v>
      </c>
      <c r="M7" s="9">
        <f>SUMIFS(Tabela1[Valor],Tabela1[Unidade],L7,Tabela1[Dia da Semana],$M$4)</f>
        <v>0</v>
      </c>
    </row>
    <row r="8" spans="2:13" x14ac:dyDescent="0.25">
      <c r="B8">
        <f t="shared" si="0"/>
        <v>4</v>
      </c>
      <c r="C8" t="s">
        <v>6</v>
      </c>
      <c r="D8" s="9">
        <v>767</v>
      </c>
      <c r="E8" s="3">
        <v>45447</v>
      </c>
      <c r="F8" t="str">
        <f>TEXT(Tabela1[[#This Row],[Data]],"ddd")</f>
        <v>ter</v>
      </c>
    </row>
    <row r="9" spans="2:13" x14ac:dyDescent="0.25">
      <c r="B9">
        <f t="shared" si="0"/>
        <v>5</v>
      </c>
      <c r="C9" t="s">
        <v>8</v>
      </c>
      <c r="D9" s="9">
        <v>343</v>
      </c>
      <c r="E9" s="3">
        <v>45448</v>
      </c>
      <c r="F9" t="str">
        <f>TEXT(Tabela1[[#This Row],[Data]],"ddd")</f>
        <v>qua</v>
      </c>
      <c r="I9" s="5" t="s">
        <v>4</v>
      </c>
      <c r="J9" t="s">
        <v>9</v>
      </c>
      <c r="M9" t="s">
        <v>11</v>
      </c>
    </row>
    <row r="10" spans="2:13" x14ac:dyDescent="0.25">
      <c r="B10">
        <f t="shared" si="0"/>
        <v>6</v>
      </c>
      <c r="C10" t="s">
        <v>7</v>
      </c>
      <c r="D10" s="9">
        <v>3445</v>
      </c>
      <c r="E10" s="3">
        <v>45449</v>
      </c>
      <c r="F10" t="str">
        <f>TEXT(Tabela1[[#This Row],[Data]],"ddd")</f>
        <v>qui</v>
      </c>
      <c r="I10" s="3">
        <v>45444</v>
      </c>
      <c r="J10" s="10">
        <f>SUMIF(Tabela1[Data],I10,Tabela1[Valor])</f>
        <v>4546</v>
      </c>
      <c r="M10" t="s">
        <v>12</v>
      </c>
    </row>
    <row r="11" spans="2:13" x14ac:dyDescent="0.25">
      <c r="B11">
        <f t="shared" si="0"/>
        <v>7</v>
      </c>
      <c r="C11" t="s">
        <v>8</v>
      </c>
      <c r="D11" s="9">
        <v>234</v>
      </c>
      <c r="E11" s="3">
        <v>45450</v>
      </c>
      <c r="F11" t="str">
        <f>TEXT(Tabela1[[#This Row],[Data]],"ddd")</f>
        <v>sex</v>
      </c>
      <c r="I11" s="3">
        <v>45445</v>
      </c>
      <c r="J11" s="10">
        <f>SUMIF(Tabela1[Data],I11,Tabela1[Valor])</f>
        <v>36768</v>
      </c>
      <c r="M11" t="s">
        <v>13</v>
      </c>
    </row>
    <row r="12" spans="2:13" x14ac:dyDescent="0.25">
      <c r="B12">
        <f t="shared" si="0"/>
        <v>8</v>
      </c>
      <c r="C12" t="s">
        <v>6</v>
      </c>
      <c r="D12" s="9">
        <v>6856</v>
      </c>
      <c r="E12" s="3">
        <v>45451</v>
      </c>
      <c r="F12" t="str">
        <f>TEXT(Tabela1[[#This Row],[Data]],"ddd")</f>
        <v>sáb</v>
      </c>
      <c r="I12" s="3">
        <v>45446</v>
      </c>
      <c r="J12" s="10">
        <f>SUMIF(Tabela1[Data],I12,Tabela1[Valor])</f>
        <v>45</v>
      </c>
      <c r="M12" t="s">
        <v>14</v>
      </c>
    </row>
    <row r="13" spans="2:13" x14ac:dyDescent="0.25">
      <c r="B13">
        <f t="shared" si="0"/>
        <v>9</v>
      </c>
      <c r="C13" t="s">
        <v>7</v>
      </c>
      <c r="D13" s="9">
        <v>7343</v>
      </c>
      <c r="E13" s="3">
        <v>45452</v>
      </c>
      <c r="F13" t="str">
        <f>TEXT(Tabela1[[#This Row],[Data]],"ddd")</f>
        <v>dom</v>
      </c>
      <c r="I13" s="3">
        <v>45447</v>
      </c>
      <c r="J13" s="10">
        <f>SUMIF(Tabela1[Data],I13,Tabela1[Valor])</f>
        <v>767</v>
      </c>
      <c r="M13" t="s">
        <v>15</v>
      </c>
    </row>
    <row r="14" spans="2:13" x14ac:dyDescent="0.25">
      <c r="B14">
        <f t="shared" si="0"/>
        <v>10</v>
      </c>
      <c r="C14" t="s">
        <v>8</v>
      </c>
      <c r="D14" s="9">
        <v>973</v>
      </c>
      <c r="E14" s="3">
        <v>45453</v>
      </c>
      <c r="F14" t="str">
        <f>TEXT(Tabela1[[#This Row],[Data]],"ddd")</f>
        <v>seg</v>
      </c>
      <c r="I14" s="3">
        <v>45448</v>
      </c>
      <c r="J14" s="10">
        <f>SUMIF(Tabela1[Data],I14,Tabela1[Valor])</f>
        <v>343</v>
      </c>
      <c r="M14" t="s">
        <v>16</v>
      </c>
    </row>
    <row r="15" spans="2:13" x14ac:dyDescent="0.25">
      <c r="B15">
        <f t="shared" si="0"/>
        <v>11</v>
      </c>
      <c r="C15" t="s">
        <v>6</v>
      </c>
      <c r="D15" s="9">
        <v>123</v>
      </c>
      <c r="E15" s="3">
        <v>45454</v>
      </c>
      <c r="F15" t="str">
        <f>TEXT(Tabela1[[#This Row],[Data]],"ddd")</f>
        <v>ter</v>
      </c>
      <c r="I15" s="3">
        <v>45449</v>
      </c>
      <c r="J15" s="10">
        <f>SUMIF(Tabela1[Data],I15,Tabela1[Valor])</f>
        <v>3445</v>
      </c>
      <c r="M15" t="s">
        <v>17</v>
      </c>
    </row>
    <row r="16" spans="2:13" x14ac:dyDescent="0.25">
      <c r="B16">
        <f t="shared" si="0"/>
        <v>12</v>
      </c>
      <c r="C16" t="s">
        <v>7</v>
      </c>
      <c r="D16" s="9">
        <v>632</v>
      </c>
      <c r="E16" s="3">
        <v>45455</v>
      </c>
      <c r="F16" t="str">
        <f>TEXT(Tabela1[[#This Row],[Data]],"ddd")</f>
        <v>qua</v>
      </c>
      <c r="I16" s="3">
        <v>45450</v>
      </c>
      <c r="J16" s="10">
        <f>SUMIF(Tabela1[Data],I16,Tabela1[Valor])</f>
        <v>234</v>
      </c>
    </row>
    <row r="17" spans="2:6" x14ac:dyDescent="0.25">
      <c r="B17">
        <f>B16+1</f>
        <v>13</v>
      </c>
      <c r="C17" t="s">
        <v>7</v>
      </c>
      <c r="D17" s="9">
        <v>755</v>
      </c>
      <c r="E17" s="3">
        <v>45456</v>
      </c>
      <c r="F17" t="str">
        <f>TEXT(Tabela1[[#This Row],[Data]],"ddd")</f>
        <v>qui</v>
      </c>
    </row>
    <row r="18" spans="2:6" x14ac:dyDescent="0.25">
      <c r="B18">
        <f>B17+1</f>
        <v>14</v>
      </c>
      <c r="C18" t="s">
        <v>6</v>
      </c>
      <c r="D18" s="9">
        <v>1886</v>
      </c>
      <c r="E18" s="3">
        <v>45457</v>
      </c>
      <c r="F18" t="str">
        <f>TEXT(Tabela1[[#This Row],[Data]],"ddd")</f>
        <v>sex</v>
      </c>
    </row>
    <row r="19" spans="2:6" x14ac:dyDescent="0.25">
      <c r="B19">
        <f>B18+1</f>
        <v>15</v>
      </c>
      <c r="C19" t="s">
        <v>8</v>
      </c>
      <c r="D19" s="9">
        <v>43</v>
      </c>
      <c r="E19" s="3">
        <v>45458</v>
      </c>
      <c r="F19" t="str">
        <f>TEXT(Tabela1[[#This Row],[Data]],"ddd")</f>
        <v>sáb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5"/>
  <sheetViews>
    <sheetView topLeftCell="A4" workbookViewId="0">
      <selection activeCell="L15" sqref="L15"/>
    </sheetView>
  </sheetViews>
  <sheetFormatPr defaultRowHeight="15" x14ac:dyDescent="0.25"/>
  <sheetData>
    <row r="1" spans="1:21" s="7" customFormat="1" ht="23.25" x14ac:dyDescent="0.35">
      <c r="B1" s="7" t="s">
        <v>10</v>
      </c>
    </row>
    <row r="2" spans="1:21" s="8" customFormat="1" ht="9" customHeight="1" x14ac:dyDescent="0.25"/>
    <row r="3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7</xdr:col>
                    <xdr:colOff>390525</xdr:colOff>
                    <xdr:row>13</xdr:row>
                    <xdr:rowOff>114300</xdr:rowOff>
                  </from>
                  <to>
                    <xdr:col>9</xdr:col>
                    <xdr:colOff>200025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2025-09-09T08:26:56Z</dcterms:created>
  <dcterms:modified xsi:type="dcterms:W3CDTF">2025-09-09T11:06:18Z</dcterms:modified>
</cp:coreProperties>
</file>