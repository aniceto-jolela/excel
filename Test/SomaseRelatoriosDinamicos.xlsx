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Test\"/>
    </mc:Choice>
  </mc:AlternateContent>
  <bookViews>
    <workbookView xWindow="0" yWindow="0" windowWidth="20490" windowHeight="7620" activeTab="2"/>
  </bookViews>
  <sheets>
    <sheet name="0-0" sheetId="1" r:id="rId1"/>
    <sheet name="0-1" sheetId="2" r:id="rId2"/>
    <sheet name="1-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2" l="1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10" i="2"/>
  <c r="J6" i="2"/>
  <c r="J7" i="2"/>
  <c r="J5" i="2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6" i="2"/>
  <c r="B7" i="2" l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N4" i="2"/>
  <c r="M6" i="2" l="1"/>
  <c r="M7" i="2"/>
  <c r="M5" i="2"/>
</calcChain>
</file>

<file path=xl/sharedStrings.xml><?xml version="1.0" encoding="utf-8"?>
<sst xmlns="http://schemas.openxmlformats.org/spreadsheetml/2006/main" count="94" uniqueCount="17">
  <si>
    <t>ID</t>
  </si>
  <si>
    <t>Unidade</t>
  </si>
  <si>
    <t>Valor</t>
  </si>
  <si>
    <t>Data</t>
  </si>
  <si>
    <t>Dia da Semana</t>
  </si>
  <si>
    <t>LA</t>
  </si>
  <si>
    <t>BE</t>
  </si>
  <si>
    <t>MA</t>
  </si>
  <si>
    <t>somase e relatórios dinâmicos</t>
  </si>
  <si>
    <t>sáb</t>
  </si>
  <si>
    <t>dom</t>
  </si>
  <si>
    <t>seg</t>
  </si>
  <si>
    <t>ter</t>
  </si>
  <si>
    <t>qua</t>
  </si>
  <si>
    <t>qui</t>
  </si>
  <si>
    <t>sex</t>
  </si>
  <si>
    <t>Relatorios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</si>
</sst>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3" fillId="4" borderId="0" xfId="0" applyFont="1" applyFill="1"/>
    <xf numFmtId="0" fontId="2" fillId="4" borderId="0" xfId="0" applyFont="1" applyFill="1"/>
    <xf numFmtId="0" fontId="0" fillId="5" borderId="0" xfId="0" applyFill="1"/>
    <xf numFmtId="0" fontId="0" fillId="4" borderId="0" xfId="0" applyFill="1"/>
    <xf numFmtId="0" fontId="4" fillId="4" borderId="0" xfId="0" applyFont="1" applyFill="1"/>
    <xf numFmtId="0" fontId="1" fillId="2" borderId="3" xfId="0" applyFont="1" applyFill="1" applyBorder="1"/>
    <xf numFmtId="0" fontId="0" fillId="6" borderId="0" xfId="0" applyFill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Controle</a:t>
            </a:r>
            <a:r>
              <a:rPr lang="pt-BR" baseline="0"/>
              <a:t> de faturamento por unidade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'0-1'!$J$4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'0-1'!$I$5:$I$7</c:f>
              <c:strCache>
                <c:ptCount val="3"/>
                <c:pt idx="0">
                  <c:v>LA</c:v>
                </c:pt>
                <c:pt idx="1">
                  <c:v>BE</c:v>
                </c:pt>
                <c:pt idx="2">
                  <c:v>MA</c:v>
                </c:pt>
              </c:strCache>
            </c:strRef>
          </c:cat>
          <c:val>
            <c:numRef>
              <c:f>'0-1'!$J$5:$J$7</c:f>
              <c:numCache>
                <c:formatCode>General</c:formatCode>
                <c:ptCount val="3"/>
                <c:pt idx="0">
                  <c:v>50946</c:v>
                </c:pt>
                <c:pt idx="1">
                  <c:v>12220</c:v>
                </c:pt>
                <c:pt idx="2">
                  <c:v>1593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C-414C-9CF3-B020ADFA6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31855"/>
        <c:axId val="119444671"/>
      </c:barChart>
      <c:catAx>
        <c:axId val="12103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444671"/>
        <c:crosses val="autoZero"/>
        <c:auto val="1"/>
        <c:lblAlgn val="ctr"/>
        <c:lblOffset val="100"/>
        <c:noMultiLvlLbl val="0"/>
      </c:catAx>
      <c:valAx>
        <c:axId val="11944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103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Total de faturamento</a:t>
            </a:r>
            <a:r>
              <a:rPr lang="pt-BR" baseline="0"/>
              <a:t> diário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'0-1'!$J$9</c:f>
              <c:strCache>
                <c:ptCount val="1"/>
                <c:pt idx="0">
                  <c:v>Valor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'0-1'!$I$10:$I$24</c:f>
              <c:numCache>
                <c:formatCode>m/d/yyyy</c:formatCode>
                <c:ptCount val="15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</c:numCache>
            </c:numRef>
          </c:cat>
          <c:val>
            <c:numRef>
              <c:f>'0-1'!$J$10:$J$24</c:f>
              <c:numCache>
                <c:formatCode>General</c:formatCode>
                <c:ptCount val="15"/>
                <c:pt idx="0">
                  <c:v>4546</c:v>
                </c:pt>
                <c:pt idx="1">
                  <c:v>36768</c:v>
                </c:pt>
                <c:pt idx="2">
                  <c:v>45</c:v>
                </c:pt>
                <c:pt idx="3">
                  <c:v>767</c:v>
                </c:pt>
                <c:pt idx="4">
                  <c:v>343</c:v>
                </c:pt>
                <c:pt idx="5">
                  <c:v>3445</c:v>
                </c:pt>
                <c:pt idx="6">
                  <c:v>234</c:v>
                </c:pt>
                <c:pt idx="7">
                  <c:v>6856</c:v>
                </c:pt>
                <c:pt idx="8">
                  <c:v>7343</c:v>
                </c:pt>
                <c:pt idx="9">
                  <c:v>973</c:v>
                </c:pt>
                <c:pt idx="10">
                  <c:v>123</c:v>
                </c:pt>
                <c:pt idx="11">
                  <c:v>632</c:v>
                </c:pt>
                <c:pt idx="12">
                  <c:v>755</c:v>
                </c:pt>
                <c:pt idx="13">
                  <c:v>1886</c:v>
                </c:pt>
                <c:pt idx="1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B-4A15-B372-32BDADA31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500463"/>
        <c:axId val="188501295"/>
      </c:lineChart>
      <c:dateAx>
        <c:axId val="18850046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01295"/>
        <c:crosses val="autoZero"/>
        <c:auto val="1"/>
        <c:lblOffset val="100"/>
        <c:baseTimeUnit val="days"/>
      </c:dateAx>
      <c:valAx>
        <c:axId val="18850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00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de faturamento e dia da semana</a:t>
            </a:r>
          </a:p>
        </c:rich>
      </c:tx>
      <c:layout>
        <c:manualLayout>
          <c:xMode val="edge"/>
          <c:yMode val="edge"/>
          <c:x val="0.17884995816570962"/>
          <c:y val="4.210528642369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'0-1'!$M$4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'0-1'!$L$5:$L$7</c:f>
              <c:strCache>
                <c:ptCount val="3"/>
                <c:pt idx="0">
                  <c:v>LA</c:v>
                </c:pt>
                <c:pt idx="1">
                  <c:v>BE</c:v>
                </c:pt>
                <c:pt idx="2">
                  <c:v>MA</c:v>
                </c:pt>
              </c:strCache>
            </c:strRef>
          </c:cat>
          <c:val>
            <c:numRef>
              <c:f>'0-1'!$M$5:$M$7</c:f>
              <c:numCache>
                <c:formatCode>General</c:formatCode>
                <c:ptCount val="3"/>
                <c:pt idx="0">
                  <c:v>0</c:v>
                </c:pt>
                <c:pt idx="1">
                  <c:v>45</c:v>
                </c:pt>
                <c:pt idx="2">
                  <c:v>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8-43C4-8A7B-7287380E0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440799"/>
        <c:axId val="185454943"/>
      </c:barChart>
      <c:catAx>
        <c:axId val="1854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454943"/>
        <c:crosses val="autoZero"/>
        <c:auto val="1"/>
        <c:lblAlgn val="ctr"/>
        <c:lblOffset val="100"/>
        <c:noMultiLvlLbl val="0"/>
      </c:catAx>
      <c:valAx>
        <c:axId val="18545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44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'0-1'!$M$16" fmlaRange="'0-1'!$O$5:$O$11" noThreeD="1" sel="3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123822</xdr:colOff>
      <xdr:row>2</xdr:row>
      <xdr:rowOff>171449</xdr:rowOff>
    </xdr:from>
    <xdr:to>
      <xdr:col>7</xdr:col>
      <xdr:colOff>323849</xdr:colOff>
      <xdr:row>13</xdr:row>
      <xdr:rowOff>85725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3</xdr:row>
      <xdr:rowOff>0</xdr:rowOff>
    </xdr:from>
    <xdr:to>
      <xdr:col>15</xdr:col>
      <xdr:colOff>295275</xdr:colOff>
      <xdr:row>13</xdr:row>
      <xdr:rowOff>142875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123825</xdr:colOff>
      <xdr:row>14</xdr:row>
      <xdr:rowOff>123826</xdr:rowOff>
    </xdr:from>
    <xdr:to>
      <xdr:col>7</xdr:col>
      <xdr:colOff>352425</xdr:colOff>
      <xdr:row>24</xdr:row>
      <xdr:rowOff>57150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14</xdr:row>
          <xdr:rowOff>171450</xdr:rowOff>
        </xdr:from>
        <xdr:to>
          <xdr:col>10</xdr:col>
          <xdr:colOff>200025</xdr:colOff>
          <xdr:row>16</xdr:row>
          <xdr:rowOff>9525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5" name="Tabela5" displayName="Tabela5" ref="B4:F19" totalsRowShown="0">
  <autoFilter ref="B4:F19"/>
  <tableColumns count="5">
    <tableColumn id="1" name="ID"/>
    <tableColumn id="2" name="Unidade"/>
    <tableColumn id="3" name="Valor"/>
    <tableColumn id="4" name="Data" dataDxfId="6"/>
    <tableColumn id="5" name="Dia da Sema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O4:O11" totalsRowShown="0" headerRowDxfId="5" dataDxfId="3" headerRowBorderDxfId="4" tableBorderDxfId="2" totalsRowBorderDxfId="1">
  <tableColumns count="1">
    <tableColumn id="1" name="Dia da Sema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"/>
  <sheetViews>
    <sheetView workbookViewId="0">
      <selection activeCell="I6" sqref="I6"/>
    </sheetView>
  </sheetViews>
  <sheetFormatPr defaultRowHeight="15" x14ac:dyDescent="0.25"/>
  <sheetData>
    <row r="1" spans="2:6" x14ac:dyDescent="0.25">
      <c r="B1" t="s">
        <v>8</v>
      </c>
    </row>
    <row r="4" spans="2:6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2:6" x14ac:dyDescent="0.25">
      <c r="B5">
        <v>1</v>
      </c>
      <c r="C5" t="s">
        <v>5</v>
      </c>
      <c r="D5">
        <v>4546</v>
      </c>
      <c r="E5" s="1">
        <v>45444</v>
      </c>
      <c r="F5" t="s">
        <v>9</v>
      </c>
    </row>
    <row r="6" spans="2:6" x14ac:dyDescent="0.25">
      <c r="B6">
        <f>B5+1</f>
        <v>2</v>
      </c>
      <c r="C6" t="s">
        <v>5</v>
      </c>
      <c r="D6">
        <v>36768</v>
      </c>
      <c r="E6" s="1">
        <v>45445</v>
      </c>
      <c r="F6" t="s">
        <v>10</v>
      </c>
    </row>
    <row r="7" spans="2:6" x14ac:dyDescent="0.25">
      <c r="B7">
        <f t="shared" ref="B7:B16" si="0">B6+1</f>
        <v>3</v>
      </c>
      <c r="C7" t="s">
        <v>6</v>
      </c>
      <c r="D7">
        <v>45</v>
      </c>
      <c r="E7" s="1">
        <v>45446</v>
      </c>
      <c r="F7" t="s">
        <v>11</v>
      </c>
    </row>
    <row r="8" spans="2:6" x14ac:dyDescent="0.25">
      <c r="B8">
        <f t="shared" si="0"/>
        <v>4</v>
      </c>
      <c r="C8" t="s">
        <v>5</v>
      </c>
      <c r="D8">
        <v>767</v>
      </c>
      <c r="E8" s="1">
        <v>45447</v>
      </c>
      <c r="F8" t="s">
        <v>12</v>
      </c>
    </row>
    <row r="9" spans="2:6" x14ac:dyDescent="0.25">
      <c r="B9">
        <f t="shared" si="0"/>
        <v>5</v>
      </c>
      <c r="C9" t="s">
        <v>7</v>
      </c>
      <c r="D9">
        <v>343</v>
      </c>
      <c r="E9" s="1">
        <v>45448</v>
      </c>
      <c r="F9" t="s">
        <v>13</v>
      </c>
    </row>
    <row r="10" spans="2:6" x14ac:dyDescent="0.25">
      <c r="B10">
        <f t="shared" si="0"/>
        <v>6</v>
      </c>
      <c r="C10" t="s">
        <v>6</v>
      </c>
      <c r="D10">
        <v>3445</v>
      </c>
      <c r="E10" s="1">
        <v>45449</v>
      </c>
      <c r="F10" t="s">
        <v>14</v>
      </c>
    </row>
    <row r="11" spans="2:6" x14ac:dyDescent="0.25">
      <c r="B11">
        <f t="shared" si="0"/>
        <v>7</v>
      </c>
      <c r="C11" t="s">
        <v>7</v>
      </c>
      <c r="D11">
        <v>234</v>
      </c>
      <c r="E11" s="1">
        <v>45450</v>
      </c>
      <c r="F11" t="s">
        <v>15</v>
      </c>
    </row>
    <row r="12" spans="2:6" x14ac:dyDescent="0.25">
      <c r="B12">
        <f t="shared" si="0"/>
        <v>8</v>
      </c>
      <c r="C12" t="s">
        <v>5</v>
      </c>
      <c r="D12">
        <v>6856</v>
      </c>
      <c r="E12" s="1">
        <v>45451</v>
      </c>
      <c r="F12" t="s">
        <v>9</v>
      </c>
    </row>
    <row r="13" spans="2:6" x14ac:dyDescent="0.25">
      <c r="B13">
        <f t="shared" si="0"/>
        <v>9</v>
      </c>
      <c r="C13" t="s">
        <v>6</v>
      </c>
      <c r="D13">
        <v>7343</v>
      </c>
      <c r="E13" s="1">
        <v>45452</v>
      </c>
      <c r="F13" t="s">
        <v>10</v>
      </c>
    </row>
    <row r="14" spans="2:6" x14ac:dyDescent="0.25">
      <c r="B14">
        <f t="shared" si="0"/>
        <v>10</v>
      </c>
      <c r="C14" t="s">
        <v>7</v>
      </c>
      <c r="D14">
        <v>973</v>
      </c>
      <c r="E14" s="1">
        <v>45453</v>
      </c>
      <c r="F14" t="s">
        <v>11</v>
      </c>
    </row>
    <row r="15" spans="2:6" x14ac:dyDescent="0.25">
      <c r="B15">
        <f t="shared" si="0"/>
        <v>11</v>
      </c>
      <c r="C15" t="s">
        <v>5</v>
      </c>
      <c r="D15">
        <v>123</v>
      </c>
      <c r="E15" s="1">
        <v>45454</v>
      </c>
      <c r="F15" t="s">
        <v>12</v>
      </c>
    </row>
    <row r="16" spans="2:6" x14ac:dyDescent="0.25">
      <c r="B16">
        <f t="shared" si="0"/>
        <v>12</v>
      </c>
      <c r="C16" t="s">
        <v>6</v>
      </c>
      <c r="D16">
        <v>632</v>
      </c>
      <c r="E16" s="1">
        <v>45455</v>
      </c>
      <c r="F16" t="s">
        <v>13</v>
      </c>
    </row>
    <row r="17" spans="2:6" x14ac:dyDescent="0.25">
      <c r="B17">
        <f>B16+1</f>
        <v>13</v>
      </c>
      <c r="C17" t="s">
        <v>6</v>
      </c>
      <c r="D17">
        <v>755</v>
      </c>
      <c r="E17" s="1">
        <v>45456</v>
      </c>
      <c r="F17" t="s">
        <v>14</v>
      </c>
    </row>
    <row r="18" spans="2:6" x14ac:dyDescent="0.25">
      <c r="B18">
        <f>B17+1</f>
        <v>14</v>
      </c>
      <c r="C18" t="s">
        <v>5</v>
      </c>
      <c r="D18">
        <v>1886</v>
      </c>
      <c r="E18" s="1">
        <v>45457</v>
      </c>
      <c r="F18" t="s">
        <v>15</v>
      </c>
    </row>
    <row r="19" spans="2:6" x14ac:dyDescent="0.25">
      <c r="B19">
        <v>15</v>
      </c>
      <c r="C19" t="s">
        <v>7</v>
      </c>
      <c r="D19">
        <v>43</v>
      </c>
      <c r="E19" s="1">
        <v>45458</v>
      </c>
      <c r="F19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4"/>
  <sheetViews>
    <sheetView workbookViewId="0">
      <selection activeCell="N23" sqref="N23"/>
    </sheetView>
  </sheetViews>
  <sheetFormatPr defaultRowHeight="15" x14ac:dyDescent="0.25"/>
  <cols>
    <col min="3" max="3" width="10.7109375" customWidth="1"/>
    <col min="5" max="5" width="10.7109375" bestFit="1" customWidth="1"/>
    <col min="6" max="6" width="16" customWidth="1"/>
    <col min="9" max="9" width="10.7109375" bestFit="1" customWidth="1"/>
    <col min="13" max="13" width="11.85546875" customWidth="1"/>
    <col min="15" max="15" width="16" customWidth="1"/>
  </cols>
  <sheetData>
    <row r="1" spans="2:15" s="8" customFormat="1" ht="39" x14ac:dyDescent="0.6">
      <c r="B1" s="7" t="s">
        <v>8</v>
      </c>
    </row>
    <row r="2" spans="2:15" s="9" customFormat="1" x14ac:dyDescent="0.25"/>
    <row r="4" spans="2:15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I4" s="2" t="s">
        <v>1</v>
      </c>
      <c r="J4" s="2" t="s">
        <v>2</v>
      </c>
      <c r="L4" s="2" t="s">
        <v>1</v>
      </c>
      <c r="M4" s="3" t="s">
        <v>2</v>
      </c>
      <c r="N4" s="3" t="str">
        <f>VLOOKUP(M16,B4:F20,5,FALSE)</f>
        <v>seg</v>
      </c>
      <c r="O4" s="12" t="s">
        <v>4</v>
      </c>
    </row>
    <row r="5" spans="2:15" x14ac:dyDescent="0.25">
      <c r="B5">
        <v>1</v>
      </c>
      <c r="C5" t="s">
        <v>5</v>
      </c>
      <c r="D5">
        <v>4546</v>
      </c>
      <c r="E5" s="1">
        <v>45444</v>
      </c>
      <c r="F5" t="s">
        <v>9</v>
      </c>
      <c r="I5" s="4" t="s">
        <v>5</v>
      </c>
      <c r="J5">
        <f>SUMIF(Tabela5[Unidade],I5,Tabela5[Valor])</f>
        <v>50946</v>
      </c>
      <c r="L5" s="4" t="s">
        <v>5</v>
      </c>
      <c r="M5">
        <f>SUMIFS(Tabela5[Valor],Tabela5[Unidade],L5,Tabela5[Dia da Semana],$N$4)</f>
        <v>0</v>
      </c>
      <c r="O5" s="4" t="s">
        <v>9</v>
      </c>
    </row>
    <row r="6" spans="2:15" x14ac:dyDescent="0.25">
      <c r="B6">
        <f>B5+1</f>
        <v>2</v>
      </c>
      <c r="C6" t="s">
        <v>5</v>
      </c>
      <c r="D6">
        <v>36768</v>
      </c>
      <c r="E6" s="1">
        <v>45445</v>
      </c>
      <c r="F6" t="s">
        <v>10</v>
      </c>
      <c r="I6" s="4" t="s">
        <v>6</v>
      </c>
      <c r="J6">
        <f>SUMIF(Tabela5[Unidade],I6,Tabela5[Valor])</f>
        <v>12220</v>
      </c>
      <c r="L6" s="4" t="s">
        <v>6</v>
      </c>
      <c r="M6">
        <f>SUMIFS(Tabela5[Valor],Tabela5[Unidade],L6,Tabela5[Dia da Semana],$N$4)</f>
        <v>45</v>
      </c>
      <c r="O6" s="4" t="s">
        <v>10</v>
      </c>
    </row>
    <row r="7" spans="2:15" x14ac:dyDescent="0.25">
      <c r="B7">
        <f t="shared" ref="B7:B16" si="0">B6+1</f>
        <v>3</v>
      </c>
      <c r="C7" t="s">
        <v>6</v>
      </c>
      <c r="D7">
        <v>45</v>
      </c>
      <c r="E7" s="1">
        <v>45446</v>
      </c>
      <c r="F7" t="s">
        <v>11</v>
      </c>
      <c r="I7" s="4" t="s">
        <v>7</v>
      </c>
      <c r="J7">
        <f>SUMIF(Tabela5[Unidade],I7,Tabela5[Valor])</f>
        <v>1593</v>
      </c>
      <c r="L7" s="4" t="s">
        <v>7</v>
      </c>
      <c r="M7">
        <f>SUMIFS(Tabela5[Valor],Tabela5[Unidade],L7,Tabela5[Dia da Semana],$N$4)</f>
        <v>973</v>
      </c>
      <c r="O7" s="4" t="s">
        <v>11</v>
      </c>
    </row>
    <row r="8" spans="2:15" x14ac:dyDescent="0.25">
      <c r="B8">
        <f t="shared" si="0"/>
        <v>4</v>
      </c>
      <c r="C8" t="s">
        <v>5</v>
      </c>
      <c r="D8">
        <v>767</v>
      </c>
      <c r="E8" s="1">
        <v>45447</v>
      </c>
      <c r="F8" t="s">
        <v>12</v>
      </c>
      <c r="O8" s="4" t="s">
        <v>12</v>
      </c>
    </row>
    <row r="9" spans="2:15" x14ac:dyDescent="0.25">
      <c r="B9">
        <f t="shared" si="0"/>
        <v>5</v>
      </c>
      <c r="C9" t="s">
        <v>7</v>
      </c>
      <c r="D9">
        <v>343</v>
      </c>
      <c r="E9" s="1">
        <v>45448</v>
      </c>
      <c r="F9" t="s">
        <v>13</v>
      </c>
      <c r="I9" s="2" t="s">
        <v>3</v>
      </c>
      <c r="J9" s="2" t="s">
        <v>2</v>
      </c>
      <c r="O9" s="4" t="s">
        <v>13</v>
      </c>
    </row>
    <row r="10" spans="2:15" x14ac:dyDescent="0.25">
      <c r="B10">
        <f t="shared" si="0"/>
        <v>6</v>
      </c>
      <c r="C10" t="s">
        <v>6</v>
      </c>
      <c r="D10">
        <v>3445</v>
      </c>
      <c r="E10" s="1">
        <v>45449</v>
      </c>
      <c r="F10" t="s">
        <v>14</v>
      </c>
      <c r="I10" s="5">
        <v>45444</v>
      </c>
      <c r="J10">
        <f>SUMIF(Tabela5[Data],I10,Tabela5[Valor])</f>
        <v>4546</v>
      </c>
      <c r="O10" s="4" t="s">
        <v>14</v>
      </c>
    </row>
    <row r="11" spans="2:15" x14ac:dyDescent="0.25">
      <c r="B11">
        <f t="shared" si="0"/>
        <v>7</v>
      </c>
      <c r="C11" t="s">
        <v>7</v>
      </c>
      <c r="D11">
        <v>234</v>
      </c>
      <c r="E11" s="1">
        <v>45450</v>
      </c>
      <c r="F11" t="s">
        <v>15</v>
      </c>
      <c r="I11" s="6">
        <v>45445</v>
      </c>
      <c r="J11">
        <f>SUMIF(Tabela5[Data],I11,Tabela5[Valor])</f>
        <v>36768</v>
      </c>
      <c r="O11" s="4" t="s">
        <v>15</v>
      </c>
    </row>
    <row r="12" spans="2:15" x14ac:dyDescent="0.25">
      <c r="B12">
        <f t="shared" si="0"/>
        <v>8</v>
      </c>
      <c r="C12" t="s">
        <v>5</v>
      </c>
      <c r="D12">
        <v>6856</v>
      </c>
      <c r="E12" s="1">
        <v>45451</v>
      </c>
      <c r="F12" t="s">
        <v>9</v>
      </c>
      <c r="I12" s="5">
        <v>45446</v>
      </c>
      <c r="J12">
        <f>SUMIF(Tabela5[Data],I12,Tabela5[Valor])</f>
        <v>45</v>
      </c>
    </row>
    <row r="13" spans="2:15" x14ac:dyDescent="0.25">
      <c r="B13">
        <f t="shared" si="0"/>
        <v>9</v>
      </c>
      <c r="C13" t="s">
        <v>6</v>
      </c>
      <c r="D13">
        <v>7343</v>
      </c>
      <c r="E13" s="1">
        <v>45452</v>
      </c>
      <c r="F13" t="s">
        <v>10</v>
      </c>
      <c r="I13" s="6">
        <v>45447</v>
      </c>
      <c r="J13">
        <f>SUMIF(Tabela5[Data],I13,Tabela5[Valor])</f>
        <v>767</v>
      </c>
    </row>
    <row r="14" spans="2:15" x14ac:dyDescent="0.25">
      <c r="B14">
        <f t="shared" si="0"/>
        <v>10</v>
      </c>
      <c r="C14" t="s">
        <v>7</v>
      </c>
      <c r="D14">
        <v>973</v>
      </c>
      <c r="E14" s="1">
        <v>45453</v>
      </c>
      <c r="F14" t="s">
        <v>11</v>
      </c>
      <c r="I14" s="5">
        <v>45448</v>
      </c>
      <c r="J14">
        <f>SUMIF(Tabela5[Data],I14,Tabela5[Valor])</f>
        <v>343</v>
      </c>
    </row>
    <row r="15" spans="2:15" x14ac:dyDescent="0.25">
      <c r="B15">
        <f t="shared" si="0"/>
        <v>11</v>
      </c>
      <c r="C15" t="s">
        <v>5</v>
      </c>
      <c r="D15">
        <v>123</v>
      </c>
      <c r="E15" s="1">
        <v>45454</v>
      </c>
      <c r="F15" t="s">
        <v>12</v>
      </c>
      <c r="I15" s="6">
        <v>45449</v>
      </c>
      <c r="J15">
        <f>SUMIF(Tabela5[Data],I15,Tabela5[Valor])</f>
        <v>3445</v>
      </c>
      <c r="M15" s="13" t="s">
        <v>0</v>
      </c>
    </row>
    <row r="16" spans="2:15" x14ac:dyDescent="0.25">
      <c r="B16">
        <f t="shared" si="0"/>
        <v>12</v>
      </c>
      <c r="C16" t="s">
        <v>6</v>
      </c>
      <c r="D16">
        <v>632</v>
      </c>
      <c r="E16" s="1">
        <v>45455</v>
      </c>
      <c r="F16" t="s">
        <v>13</v>
      </c>
      <c r="I16" s="5">
        <v>45450</v>
      </c>
      <c r="J16">
        <f>SUMIF(Tabela5[Data],I16,Tabela5[Valor])</f>
        <v>234</v>
      </c>
      <c r="M16">
        <v>3</v>
      </c>
    </row>
    <row r="17" spans="2:10" x14ac:dyDescent="0.25">
      <c r="B17">
        <f>B16+1</f>
        <v>13</v>
      </c>
      <c r="C17" t="s">
        <v>6</v>
      </c>
      <c r="D17">
        <v>755</v>
      </c>
      <c r="E17" s="1">
        <v>45456</v>
      </c>
      <c r="F17" t="s">
        <v>14</v>
      </c>
      <c r="I17" s="6">
        <v>45451</v>
      </c>
      <c r="J17">
        <f>SUMIF(Tabela5[Data],I17,Tabela5[Valor])</f>
        <v>6856</v>
      </c>
    </row>
    <row r="18" spans="2:10" x14ac:dyDescent="0.25">
      <c r="B18">
        <f>B17+1</f>
        <v>14</v>
      </c>
      <c r="C18" t="s">
        <v>5</v>
      </c>
      <c r="D18">
        <v>1886</v>
      </c>
      <c r="E18" s="1">
        <v>45457</v>
      </c>
      <c r="F18" t="s">
        <v>15</v>
      </c>
      <c r="I18" s="5">
        <v>45452</v>
      </c>
      <c r="J18">
        <f>SUMIF(Tabela5[Data],I18,Tabela5[Valor])</f>
        <v>7343</v>
      </c>
    </row>
    <row r="19" spans="2:10" x14ac:dyDescent="0.25">
      <c r="B19">
        <v>15</v>
      </c>
      <c r="C19" t="s">
        <v>7</v>
      </c>
      <c r="D19">
        <v>43</v>
      </c>
      <c r="E19" s="1">
        <v>45458</v>
      </c>
      <c r="F19" t="s">
        <v>9</v>
      </c>
      <c r="I19" s="6">
        <v>45453</v>
      </c>
      <c r="J19">
        <f>SUMIF(Tabela5[Data],I19,Tabela5[Valor])</f>
        <v>973</v>
      </c>
    </row>
    <row r="20" spans="2:10" x14ac:dyDescent="0.25">
      <c r="I20" s="5">
        <v>45454</v>
      </c>
      <c r="J20">
        <f>SUMIF(Tabela5[Data],I20,Tabela5[Valor])</f>
        <v>123</v>
      </c>
    </row>
    <row r="21" spans="2:10" x14ac:dyDescent="0.25">
      <c r="I21" s="6">
        <v>45455</v>
      </c>
      <c r="J21">
        <f>SUMIF(Tabela5[Data],I21,Tabela5[Valor])</f>
        <v>632</v>
      </c>
    </row>
    <row r="22" spans="2:10" x14ac:dyDescent="0.25">
      <c r="I22" s="5">
        <v>45456</v>
      </c>
      <c r="J22">
        <f>SUMIF(Tabela5[Data],I22,Tabela5[Valor])</f>
        <v>755</v>
      </c>
    </row>
    <row r="23" spans="2:10" x14ac:dyDescent="0.25">
      <c r="I23" s="6">
        <v>45457</v>
      </c>
      <c r="J23">
        <f>SUMIF(Tabela5[Data],I23,Tabela5[Valor])</f>
        <v>1886</v>
      </c>
    </row>
    <row r="24" spans="2:10" x14ac:dyDescent="0.25">
      <c r="I24" s="5">
        <v>45458</v>
      </c>
      <c r="J24">
        <f>SUMIF(Tabela5[Data],I24,Tabela5[Valor])</f>
        <v>43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2"/>
  <sheetViews>
    <sheetView showGridLines="0" showRowColHeaders="0" tabSelected="1" workbookViewId="0">
      <selection activeCell="M23" sqref="M23"/>
    </sheetView>
  </sheetViews>
  <sheetFormatPr defaultRowHeight="15" x14ac:dyDescent="0.25"/>
  <sheetData>
    <row r="1" spans="2:2" s="10" customFormat="1" ht="28.5" x14ac:dyDescent="0.45">
      <c r="B1" s="11" t="s">
        <v>16</v>
      </c>
    </row>
    <row r="2" spans="2:2" s="9" customFormat="1" x14ac:dyDescent="0.25"/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3" name="Drop Down 4">
              <controlPr defaultSize="0" autoLine="0" autoPict="0">
                <anchor moveWithCells="1">
                  <from>
                    <xdr:col>8</xdr:col>
                    <xdr:colOff>9525</xdr:colOff>
                    <xdr:row>14</xdr:row>
                    <xdr:rowOff>171450</xdr:rowOff>
                  </from>
                  <to>
                    <xdr:col>10</xdr:col>
                    <xdr:colOff>200025</xdr:colOff>
                    <xdr:row>16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0-0</vt:lpstr>
      <vt:lpstr>0-1</vt:lpstr>
      <vt:lpstr>1-0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2025-10-17T08:37:40Z</dcterms:created>
  <dcterms:modified xsi:type="dcterms:W3CDTF">2025-10-19T19:20:34Z</dcterms:modified>
</cp:coreProperties>
</file>