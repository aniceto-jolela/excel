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ther\Documents\Teach\Excel\Test\"/>
    </mc:Choice>
  </mc:AlternateContent>
  <bookViews>
    <workbookView xWindow="0" yWindow="0" windowWidth="20490" windowHeight="7620" activeTab="2"/>
  </bookViews>
  <sheets>
    <sheet name="Planilha1" sheetId="2" r:id="rId1"/>
    <sheet name="Planilha2" sheetId="3" r:id="rId2"/>
    <sheet name="Candando" sheetId="1" r:id="rId3"/>
    <sheet name="Graficos" sheetId="4" r:id="rId4"/>
  </sheets>
  <calcPr calcId="162913"/>
  <pivotCaches>
    <pivotCache cacheId="2" r:id="rId5"/>
    <pivotCache cacheId="5" r:id="rId6"/>
  </pivotCaches>
</workbook>
</file>

<file path=xl/calcChain.xml><?xml version="1.0" encoding="utf-8"?>
<calcChain xmlns="http://schemas.openxmlformats.org/spreadsheetml/2006/main">
  <c r="O10" i="1" l="1"/>
  <c r="F81" i="3"/>
  <c r="F82" i="3"/>
  <c r="F83" i="3"/>
  <c r="F84" i="3"/>
  <c r="F85" i="3"/>
  <c r="F86" i="3"/>
  <c r="F87" i="3"/>
  <c r="F88" i="3"/>
  <c r="F89" i="3"/>
  <c r="F90" i="3"/>
  <c r="F91" i="3"/>
  <c r="F92" i="3"/>
  <c r="F72" i="3"/>
  <c r="F73" i="3"/>
  <c r="F74" i="3"/>
  <c r="F75" i="3"/>
  <c r="F76" i="3"/>
  <c r="F77" i="3"/>
  <c r="F78" i="3"/>
  <c r="F79" i="3"/>
  <c r="F80" i="3"/>
  <c r="F69" i="3"/>
  <c r="F70" i="3"/>
  <c r="F71" i="3"/>
  <c r="F67" i="3"/>
  <c r="F68" i="3"/>
  <c r="F66" i="3"/>
  <c r="F65" i="3"/>
  <c r="N10" i="1"/>
  <c r="E14" i="2"/>
  <c r="E15" i="2"/>
  <c r="E16" i="2"/>
  <c r="E17" i="2"/>
  <c r="L10" i="1"/>
  <c r="E13" i="2"/>
  <c r="Q7" i="1" l="1"/>
  <c r="P7" i="1"/>
  <c r="O7" i="1"/>
  <c r="N7" i="1"/>
  <c r="M7" i="1"/>
  <c r="L7" i="1"/>
  <c r="K7" i="1"/>
  <c r="M13" i="1"/>
  <c r="P10" i="1"/>
  <c r="Q10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</calcChain>
</file>

<file path=xl/sharedStrings.xml><?xml version="1.0" encoding="utf-8"?>
<sst xmlns="http://schemas.openxmlformats.org/spreadsheetml/2006/main" count="2632" uniqueCount="58">
  <si>
    <t>Data</t>
  </si>
  <si>
    <t>Categoria</t>
  </si>
  <si>
    <t>Produto</t>
  </si>
  <si>
    <t>Quantidade</t>
  </si>
  <si>
    <t>Preço Unitário (Kz)</t>
  </si>
  <si>
    <t>Total (Kz)</t>
  </si>
  <si>
    <t>Alimentos</t>
  </si>
  <si>
    <t>Bebidas</t>
  </si>
  <si>
    <t>Roupas</t>
  </si>
  <si>
    <t>Higiene</t>
  </si>
  <si>
    <t>Eletrônicos</t>
  </si>
  <si>
    <t>Leite em pó</t>
  </si>
  <si>
    <t>Água mineral</t>
  </si>
  <si>
    <t>Cerveja</t>
  </si>
  <si>
    <t>Refrigerante</t>
  </si>
  <si>
    <t>Sumo</t>
  </si>
  <si>
    <t>Vestido</t>
  </si>
  <si>
    <t>Sabão</t>
  </si>
  <si>
    <t>Calça</t>
  </si>
  <si>
    <t>Vinho</t>
  </si>
  <si>
    <t>Boné</t>
  </si>
  <si>
    <t>Farinha de trigo</t>
  </si>
  <si>
    <t>Óleo de cozinha</t>
  </si>
  <si>
    <t>Pasta de dente</t>
  </si>
  <si>
    <t>Telemóvel</t>
  </si>
  <si>
    <t>Shampoo</t>
  </si>
  <si>
    <t>Televisor</t>
  </si>
  <si>
    <t>Rádio</t>
  </si>
  <si>
    <t>Sapato</t>
  </si>
  <si>
    <t>Camiseta</t>
  </si>
  <si>
    <t>Arroz</t>
  </si>
  <si>
    <t>Ventoinha</t>
  </si>
  <si>
    <t>Detergente</t>
  </si>
  <si>
    <t>Desinfetante</t>
  </si>
  <si>
    <t>Computador</t>
  </si>
  <si>
    <t>Milho</t>
  </si>
  <si>
    <t>Açúcar</t>
  </si>
  <si>
    <t>Feijão</t>
  </si>
  <si>
    <t>ANÁLISE DE VENDAS</t>
  </si>
  <si>
    <t>Nº</t>
  </si>
  <si>
    <t>CARRINHO</t>
  </si>
  <si>
    <t>TOTAL</t>
  </si>
  <si>
    <t>PRODUTO</t>
  </si>
  <si>
    <t>CATEGORIA</t>
  </si>
  <si>
    <t>QTD</t>
  </si>
  <si>
    <t>PREÇO</t>
  </si>
  <si>
    <t>DATA</t>
  </si>
  <si>
    <t>Linhas</t>
  </si>
  <si>
    <t>Linhas preenchidas</t>
  </si>
  <si>
    <t>Média do preço unitário/categoria</t>
  </si>
  <si>
    <t>Rótulos de Linha</t>
  </si>
  <si>
    <t>Total Geral</t>
  </si>
  <si>
    <t>Contagem de Produto</t>
  </si>
  <si>
    <t>Total de produto por categoria para comparar desempenho</t>
  </si>
  <si>
    <t>QUANTIDADE</t>
  </si>
  <si>
    <t>Soma de Quantidade</t>
  </si>
  <si>
    <t>Produtos mais vendidos por quantidade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</si>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</sst>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[$AOA]\ #,##0.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48"/>
      <name val="Calibri"/>
      <family val="2"/>
      <scheme val="minor"/>
    </font>
    <font>
      <b/>
      <sz val="40"/>
      <name val="Sugoe ui"/>
    </font>
    <font>
      <b/>
      <sz val="14"/>
      <color theme="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sz val="12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0" fillId="3" borderId="0" xfId="0" applyFill="1"/>
    <xf numFmtId="0" fontId="0" fillId="0" borderId="5" xfId="0" applyBorder="1"/>
    <xf numFmtId="164" fontId="0" fillId="0" borderId="1" xfId="0" applyNumberFormat="1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164" fontId="0" fillId="0" borderId="8" xfId="0" applyNumberFormat="1" applyBorder="1"/>
    <xf numFmtId="0" fontId="0" fillId="0" borderId="8" xfId="0" applyBorder="1"/>
    <xf numFmtId="0" fontId="0" fillId="0" borderId="9" xfId="0" applyBorder="1"/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5" fillId="2" borderId="0" xfId="0" applyFont="1" applyFill="1"/>
    <xf numFmtId="165" fontId="0" fillId="0" borderId="1" xfId="0" applyNumberFormat="1" applyBorder="1"/>
    <xf numFmtId="165" fontId="0" fillId="0" borderId="8" xfId="0" applyNumberFormat="1" applyBorder="1"/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7" fillId="0" borderId="6" xfId="0" applyFont="1" applyFill="1" applyBorder="1" applyAlignment="1">
      <alignment horizontal="right"/>
    </xf>
    <xf numFmtId="0" fontId="7" fillId="0" borderId="10" xfId="0" applyFont="1" applyFill="1" applyBorder="1" applyAlignment="1">
      <alignment horizontal="right"/>
    </xf>
    <xf numFmtId="0" fontId="7" fillId="0" borderId="5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5" borderId="5" xfId="0" applyFont="1" applyFill="1" applyBorder="1"/>
    <xf numFmtId="0" fontId="0" fillId="5" borderId="1" xfId="0" applyFont="1" applyFill="1" applyBorder="1"/>
    <xf numFmtId="0" fontId="0" fillId="5" borderId="6" xfId="0" applyFont="1" applyFill="1" applyBorder="1"/>
    <xf numFmtId="0" fontId="0" fillId="6" borderId="5" xfId="0" applyFont="1" applyFill="1" applyBorder="1"/>
    <xf numFmtId="0" fontId="0" fillId="6" borderId="1" xfId="0" applyFont="1" applyFill="1" applyBorder="1"/>
    <xf numFmtId="0" fontId="0" fillId="6" borderId="6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8" fillId="0" borderId="0" xfId="0" applyFont="1" applyAlignment="1">
      <alignment horizontal="left" vertical="center" indent="2"/>
    </xf>
    <xf numFmtId="0" fontId="0" fillId="5" borderId="2" xfId="0" applyFont="1" applyFill="1" applyBorder="1"/>
    <xf numFmtId="0" fontId="0" fillId="5" borderId="4" xfId="0" applyFont="1" applyFill="1" applyBorder="1"/>
    <xf numFmtId="0" fontId="0" fillId="6" borderId="7" xfId="0" applyFont="1" applyFill="1" applyBorder="1"/>
    <xf numFmtId="0" fontId="0" fillId="6" borderId="9" xfId="0" applyFont="1" applyFill="1" applyBorder="1"/>
    <xf numFmtId="0" fontId="0" fillId="7" borderId="0" xfId="0" applyFill="1"/>
  </cellXfs>
  <cellStyles count="1">
    <cellStyle name="Normal" xfId="0" builtinId="0"/>
  </cellStyles>
  <dxfs count="51"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[$AOA]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yyyy\-mm\-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Total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Candando!$K$6</c:f>
              <c:strCache>
                <c:ptCount val="1"/>
                <c:pt idx="0">
                  <c:v>Nº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Candando!$K$7</c:f>
              <c:numCache>
                <c:formatCode>General</c:formatCode>
                <c:ptCount val="1"/>
                <c:pt idx="0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1E-4002-8011-6ECAFD0228A4}"/>
            </c:ext>
          </c:extLst>
        </c:ser>
        <c:ser>
          <c:idx val="1"/>
          <c:order val="1"/>
          <c:tx>
            <c:strRef>
              <c:f>Candando!$L$6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Candando!$L$7</c:f>
              <c:numCache>
                <c:formatCode>General</c:formatCode>
                <c:ptCount val="1"/>
                <c:pt idx="0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1E-4002-8011-6ECAFD0228A4}"/>
            </c:ext>
          </c:extLst>
        </c:ser>
        <c:ser>
          <c:idx val="2"/>
          <c:order val="2"/>
          <c:tx>
            <c:strRef>
              <c:f>Candando!$M$6</c:f>
              <c:strCache>
                <c:ptCount val="1"/>
                <c:pt idx="0">
                  <c:v>CATEGORIA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Candando!$M$7</c:f>
              <c:numCache>
                <c:formatCode>General</c:formatCode>
                <c:ptCount val="1"/>
                <c:pt idx="0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1E-4002-8011-6ECAFD0228A4}"/>
            </c:ext>
          </c:extLst>
        </c:ser>
        <c:ser>
          <c:idx val="3"/>
          <c:order val="3"/>
          <c:tx>
            <c:strRef>
              <c:f>Candando!$N$6</c:f>
              <c:strCache>
                <c:ptCount val="1"/>
                <c:pt idx="0">
                  <c:v>PRODUTO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Candando!$N$7</c:f>
              <c:numCache>
                <c:formatCode>General</c:formatCode>
                <c:ptCount val="1"/>
                <c:pt idx="0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1E-4002-8011-6ECAFD0228A4}"/>
            </c:ext>
          </c:extLst>
        </c:ser>
        <c:ser>
          <c:idx val="4"/>
          <c:order val="4"/>
          <c:tx>
            <c:strRef>
              <c:f>Candando!$O$6</c:f>
              <c:strCache>
                <c:ptCount val="1"/>
                <c:pt idx="0">
                  <c:v>QTD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Candando!$O$7</c:f>
              <c:numCache>
                <c:formatCode>General</c:formatCode>
                <c:ptCount val="1"/>
                <c:pt idx="0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1E-4002-8011-6ECAFD0228A4}"/>
            </c:ext>
          </c:extLst>
        </c:ser>
        <c:ser>
          <c:idx val="5"/>
          <c:order val="5"/>
          <c:tx>
            <c:strRef>
              <c:f>Candando!$P$6</c:f>
              <c:strCache>
                <c:ptCount val="1"/>
                <c:pt idx="0">
                  <c:v>PREÇO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Candando!$P$7</c:f>
              <c:numCache>
                <c:formatCode>General</c:formatCode>
                <c:ptCount val="1"/>
                <c:pt idx="0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C1E-4002-8011-6ECAFD0228A4}"/>
            </c:ext>
          </c:extLst>
        </c:ser>
        <c:ser>
          <c:idx val="6"/>
          <c:order val="6"/>
          <c:tx>
            <c:strRef>
              <c:f>Candando!$Q$6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Candando!$Q$7</c:f>
              <c:numCache>
                <c:formatCode>General</c:formatCode>
                <c:ptCount val="1"/>
                <c:pt idx="0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1E-4002-8011-6ECAFD022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6128496"/>
        <c:axId val="456124752"/>
      </c:barChart>
      <c:catAx>
        <c:axId val="45612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6124752"/>
        <c:crosses val="autoZero"/>
        <c:auto val="1"/>
        <c:lblAlgn val="ctr"/>
        <c:lblOffset val="100"/>
        <c:noMultiLvlLbl val="0"/>
      </c:catAx>
      <c:valAx>
        <c:axId val="45612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612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523875</xdr:colOff>
      <xdr:row>0</xdr:row>
      <xdr:rowOff>28575</xdr:rowOff>
    </xdr:from>
    <xdr:to>
      <xdr:col>2</xdr:col>
      <xdr:colOff>28575</xdr:colOff>
      <xdr:row>1</xdr:row>
      <xdr:rowOff>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" y="28575"/>
          <a:ext cx="723900" cy="723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</xdr:row>
      <xdr:rowOff>95250</xdr:rowOff>
    </xdr:from>
    <xdr:to>
      <xdr:col>7</xdr:col>
      <xdr:colOff>466725</xdr:colOff>
      <xdr:row>15</xdr:row>
      <xdr:rowOff>171450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Other" refreshedDate="45915.560849768517" createdVersion="6" refreshedVersion="6" minRefreshableVersion="3" recordCount="500">
  <cacheSource type="worksheet">
    <worksheetSource name="Tabela1[[Categoria]:[Produto]]"/>
  </cacheSource>
  <cacheFields count="2">
    <cacheField name="Categoria" numFmtId="0">
      <sharedItems count="5">
        <s v="Alimentos"/>
        <s v="Bebidas"/>
        <s v="Roupas"/>
        <s v="Higiene"/>
        <s v="Eletrônicos"/>
      </sharedItems>
    </cacheField>
    <cacheField name="Prod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Other" refreshedDate="45915.594836574077" createdVersion="6" refreshedVersion="6" minRefreshableVersion="3" recordCount="500">
  <cacheSource type="worksheet">
    <worksheetSource name="Tabela1"/>
  </cacheSource>
  <cacheFields count="7">
    <cacheField name="Nº" numFmtId="0">
      <sharedItems containsSemiMixedTypes="0" containsString="0" containsNumber="1" containsInteger="1" minValue="1" maxValue="500"/>
    </cacheField>
    <cacheField name="Data" numFmtId="164">
      <sharedItems containsSemiMixedTypes="0" containsNonDate="0" containsDate="1" containsString="0" minDate="2025-01-01T00:00:00" maxDate="2025-09-29T00:00:00"/>
    </cacheField>
    <cacheField name="Categoria" numFmtId="0">
      <sharedItems/>
    </cacheField>
    <cacheField name="Produto" numFmtId="0">
      <sharedItems count="27">
        <s v="Leite em pó"/>
        <s v="Água mineral"/>
        <s v="Cerveja"/>
        <s v="Refrigerante"/>
        <s v="Sumo"/>
        <s v="Vestido"/>
        <s v="Sabão"/>
        <s v="Calça"/>
        <s v="Vinho"/>
        <s v="Boné"/>
        <s v="Farinha de trigo"/>
        <s v="Óleo de cozinha"/>
        <s v="Pasta de dente"/>
        <s v="Telemóvel"/>
        <s v="Shampoo"/>
        <s v="Televisor"/>
        <s v="Rádio"/>
        <s v="Sapato"/>
        <s v="Camiseta"/>
        <s v="Arroz"/>
        <s v="Ventoinha"/>
        <s v="Detergente"/>
        <s v="Desinfetante"/>
        <s v="Computador"/>
        <s v="Milho"/>
        <s v="Açúcar"/>
        <s v="Feijão"/>
      </sharedItems>
    </cacheField>
    <cacheField name="Quantidade" numFmtId="0">
      <sharedItems containsSemiMixedTypes="0" containsString="0" containsNumber="1" containsInteger="1" minValue="1" maxValue="20"/>
    </cacheField>
    <cacheField name="Preço Unitário (Kz)" numFmtId="165">
      <sharedItems containsSemiMixedTypes="0" containsString="0" containsNumber="1" minValue="520.23" maxValue="99935.32"/>
    </cacheField>
    <cacheField name="Total (Kz)" numFmtId="0">
      <sharedItems containsSemiMixedTypes="0" containsString="0" containsNumber="1" minValue="1375.89" maxValue="1974399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x v="0"/>
    <s v="Leite em pó"/>
  </r>
  <r>
    <x v="1"/>
    <s v="Água mineral"/>
  </r>
  <r>
    <x v="1"/>
    <s v="Cerveja"/>
  </r>
  <r>
    <x v="1"/>
    <s v="Refrigerante"/>
  </r>
  <r>
    <x v="1"/>
    <s v="Sumo"/>
  </r>
  <r>
    <x v="2"/>
    <s v="Vestido"/>
  </r>
  <r>
    <x v="3"/>
    <s v="Sabão"/>
  </r>
  <r>
    <x v="1"/>
    <s v="Refrigerante"/>
  </r>
  <r>
    <x v="3"/>
    <s v="Sabão"/>
  </r>
  <r>
    <x v="3"/>
    <s v="Sabão"/>
  </r>
  <r>
    <x v="2"/>
    <s v="Calça"/>
  </r>
  <r>
    <x v="1"/>
    <s v="Vinho"/>
  </r>
  <r>
    <x v="2"/>
    <s v="Boné"/>
  </r>
  <r>
    <x v="0"/>
    <s v="Farinha de trigo"/>
  </r>
  <r>
    <x v="0"/>
    <s v="Óleo de cozinha"/>
  </r>
  <r>
    <x v="2"/>
    <s v="Vestido"/>
  </r>
  <r>
    <x v="3"/>
    <s v="Pasta de dente"/>
  </r>
  <r>
    <x v="1"/>
    <s v="Sumo"/>
  </r>
  <r>
    <x v="4"/>
    <s v="Telemóvel"/>
  </r>
  <r>
    <x v="3"/>
    <s v="Shampoo"/>
  </r>
  <r>
    <x v="4"/>
    <s v="Televisor"/>
  </r>
  <r>
    <x v="2"/>
    <s v="Calça"/>
  </r>
  <r>
    <x v="2"/>
    <s v="Boné"/>
  </r>
  <r>
    <x v="4"/>
    <s v="Rádio"/>
  </r>
  <r>
    <x v="3"/>
    <s v="Sabão"/>
  </r>
  <r>
    <x v="2"/>
    <s v="Sapato"/>
  </r>
  <r>
    <x v="3"/>
    <s v="Shampoo"/>
  </r>
  <r>
    <x v="0"/>
    <s v="Farinha de trigo"/>
  </r>
  <r>
    <x v="4"/>
    <s v="Televisor"/>
  </r>
  <r>
    <x v="2"/>
    <s v="Camiseta"/>
  </r>
  <r>
    <x v="2"/>
    <s v="Boné"/>
  </r>
  <r>
    <x v="0"/>
    <s v="Arroz"/>
  </r>
  <r>
    <x v="1"/>
    <s v="Cerveja"/>
  </r>
  <r>
    <x v="2"/>
    <s v="Boné"/>
  </r>
  <r>
    <x v="2"/>
    <s v="Sapato"/>
  </r>
  <r>
    <x v="1"/>
    <s v="Água mineral"/>
  </r>
  <r>
    <x v="3"/>
    <s v="Sabão"/>
  </r>
  <r>
    <x v="1"/>
    <s v="Refrigerante"/>
  </r>
  <r>
    <x v="4"/>
    <s v="Ventoinha"/>
  </r>
  <r>
    <x v="1"/>
    <s v="Água mineral"/>
  </r>
  <r>
    <x v="2"/>
    <s v="Vestido"/>
  </r>
  <r>
    <x v="1"/>
    <s v="Água mineral"/>
  </r>
  <r>
    <x v="3"/>
    <s v="Shampoo"/>
  </r>
  <r>
    <x v="4"/>
    <s v="Televisor"/>
  </r>
  <r>
    <x v="3"/>
    <s v="Detergente"/>
  </r>
  <r>
    <x v="0"/>
    <s v="Farinha de trigo"/>
  </r>
  <r>
    <x v="4"/>
    <s v="Televisor"/>
  </r>
  <r>
    <x v="3"/>
    <s v="Desinfetante"/>
  </r>
  <r>
    <x v="3"/>
    <s v="Pasta de dente"/>
  </r>
  <r>
    <x v="3"/>
    <s v="Pasta de dente"/>
  </r>
  <r>
    <x v="3"/>
    <s v="Detergente"/>
  </r>
  <r>
    <x v="4"/>
    <s v="Televisor"/>
  </r>
  <r>
    <x v="0"/>
    <s v="Leite em pó"/>
  </r>
  <r>
    <x v="4"/>
    <s v="Ventoinha"/>
  </r>
  <r>
    <x v="4"/>
    <s v="Computador"/>
  </r>
  <r>
    <x v="0"/>
    <s v="Milho"/>
  </r>
  <r>
    <x v="2"/>
    <s v="Calça"/>
  </r>
  <r>
    <x v="1"/>
    <s v="Refrigerante"/>
  </r>
  <r>
    <x v="1"/>
    <s v="Refrigerante"/>
  </r>
  <r>
    <x v="0"/>
    <s v="Milho"/>
  </r>
  <r>
    <x v="0"/>
    <s v="Açúcar"/>
  </r>
  <r>
    <x v="4"/>
    <s v="Computador"/>
  </r>
  <r>
    <x v="2"/>
    <s v="Boné"/>
  </r>
  <r>
    <x v="0"/>
    <s v="Óleo de cozinha"/>
  </r>
  <r>
    <x v="0"/>
    <s v="Óleo de cozinha"/>
  </r>
  <r>
    <x v="1"/>
    <s v="Sumo"/>
  </r>
  <r>
    <x v="3"/>
    <s v="Shampoo"/>
  </r>
  <r>
    <x v="2"/>
    <s v="Calça"/>
  </r>
  <r>
    <x v="4"/>
    <s v="Ventoinha"/>
  </r>
  <r>
    <x v="2"/>
    <s v="Vestido"/>
  </r>
  <r>
    <x v="0"/>
    <s v="Açúcar"/>
  </r>
  <r>
    <x v="3"/>
    <s v="Shampoo"/>
  </r>
  <r>
    <x v="0"/>
    <s v="Milho"/>
  </r>
  <r>
    <x v="1"/>
    <s v="Refrigerante"/>
  </r>
  <r>
    <x v="2"/>
    <s v="Calça"/>
  </r>
  <r>
    <x v="2"/>
    <s v="Calça"/>
  </r>
  <r>
    <x v="0"/>
    <s v="Milho"/>
  </r>
  <r>
    <x v="3"/>
    <s v="Desinfetante"/>
  </r>
  <r>
    <x v="1"/>
    <s v="Vinho"/>
  </r>
  <r>
    <x v="1"/>
    <s v="Refrigerante"/>
  </r>
  <r>
    <x v="1"/>
    <s v="Sumo"/>
  </r>
  <r>
    <x v="0"/>
    <s v="Açúcar"/>
  </r>
  <r>
    <x v="2"/>
    <s v="Calça"/>
  </r>
  <r>
    <x v="2"/>
    <s v="Camiseta"/>
  </r>
  <r>
    <x v="0"/>
    <s v="Milho"/>
  </r>
  <r>
    <x v="0"/>
    <s v="Óleo de cozinha"/>
  </r>
  <r>
    <x v="0"/>
    <s v="Feijão"/>
  </r>
  <r>
    <x v="0"/>
    <s v="Óleo de cozinha"/>
  </r>
  <r>
    <x v="3"/>
    <s v="Detergente"/>
  </r>
  <r>
    <x v="2"/>
    <s v="Camiseta"/>
  </r>
  <r>
    <x v="2"/>
    <s v="Boné"/>
  </r>
  <r>
    <x v="0"/>
    <s v="Arroz"/>
  </r>
  <r>
    <x v="1"/>
    <s v="Vinho"/>
  </r>
  <r>
    <x v="1"/>
    <s v="Vinho"/>
  </r>
  <r>
    <x v="1"/>
    <s v="Vinho"/>
  </r>
  <r>
    <x v="4"/>
    <s v="Ventoinha"/>
  </r>
  <r>
    <x v="4"/>
    <s v="Ventoinha"/>
  </r>
  <r>
    <x v="3"/>
    <s v="Detergente"/>
  </r>
  <r>
    <x v="2"/>
    <s v="Boné"/>
  </r>
  <r>
    <x v="1"/>
    <s v="Refrigerante"/>
  </r>
  <r>
    <x v="4"/>
    <s v="Computador"/>
  </r>
  <r>
    <x v="4"/>
    <s v="Ventoinha"/>
  </r>
  <r>
    <x v="3"/>
    <s v="Sabão"/>
  </r>
  <r>
    <x v="1"/>
    <s v="Sumo"/>
  </r>
  <r>
    <x v="3"/>
    <s v="Shampoo"/>
  </r>
  <r>
    <x v="4"/>
    <s v="Televisor"/>
  </r>
  <r>
    <x v="2"/>
    <s v="Vestido"/>
  </r>
  <r>
    <x v="3"/>
    <s v="Sabão"/>
  </r>
  <r>
    <x v="1"/>
    <s v="Água mineral"/>
  </r>
  <r>
    <x v="4"/>
    <s v="Computador"/>
  </r>
  <r>
    <x v="2"/>
    <s v="Camiseta"/>
  </r>
  <r>
    <x v="0"/>
    <s v="Leite em pó"/>
  </r>
  <r>
    <x v="4"/>
    <s v="Televisor"/>
  </r>
  <r>
    <x v="3"/>
    <s v="Pasta de dente"/>
  </r>
  <r>
    <x v="0"/>
    <s v="Arroz"/>
  </r>
  <r>
    <x v="1"/>
    <s v="Refrigerante"/>
  </r>
  <r>
    <x v="1"/>
    <s v="Refrigerante"/>
  </r>
  <r>
    <x v="0"/>
    <s v="Leite em pó"/>
  </r>
  <r>
    <x v="3"/>
    <s v="Shampoo"/>
  </r>
  <r>
    <x v="1"/>
    <s v="Água mineral"/>
  </r>
  <r>
    <x v="1"/>
    <s v="Sumo"/>
  </r>
  <r>
    <x v="3"/>
    <s v="Pasta de dente"/>
  </r>
  <r>
    <x v="3"/>
    <s v="Desinfetante"/>
  </r>
  <r>
    <x v="2"/>
    <s v="Vestido"/>
  </r>
  <r>
    <x v="3"/>
    <s v="Sabão"/>
  </r>
  <r>
    <x v="2"/>
    <s v="Boné"/>
  </r>
  <r>
    <x v="0"/>
    <s v="Leite em pó"/>
  </r>
  <r>
    <x v="2"/>
    <s v="Vestido"/>
  </r>
  <r>
    <x v="2"/>
    <s v="Vestido"/>
  </r>
  <r>
    <x v="4"/>
    <s v="Televisor"/>
  </r>
  <r>
    <x v="2"/>
    <s v="Boné"/>
  </r>
  <r>
    <x v="0"/>
    <s v="Milho"/>
  </r>
  <r>
    <x v="0"/>
    <s v="Milho"/>
  </r>
  <r>
    <x v="1"/>
    <s v="Sumo"/>
  </r>
  <r>
    <x v="3"/>
    <s v="Sabão"/>
  </r>
  <r>
    <x v="4"/>
    <s v="Rádio"/>
  </r>
  <r>
    <x v="0"/>
    <s v="Milho"/>
  </r>
  <r>
    <x v="0"/>
    <s v="Milho"/>
  </r>
  <r>
    <x v="1"/>
    <s v="Refrigerante"/>
  </r>
  <r>
    <x v="2"/>
    <s v="Calça"/>
  </r>
  <r>
    <x v="3"/>
    <s v="Pasta de dente"/>
  </r>
  <r>
    <x v="2"/>
    <s v="Camiseta"/>
  </r>
  <r>
    <x v="3"/>
    <s v="Desinfetante"/>
  </r>
  <r>
    <x v="1"/>
    <s v="Vinho"/>
  </r>
  <r>
    <x v="4"/>
    <s v="Ventoinha"/>
  </r>
  <r>
    <x v="3"/>
    <s v="Sabão"/>
  </r>
  <r>
    <x v="1"/>
    <s v="Refrigerante"/>
  </r>
  <r>
    <x v="2"/>
    <s v="Calça"/>
  </r>
  <r>
    <x v="3"/>
    <s v="Pasta de dente"/>
  </r>
  <r>
    <x v="2"/>
    <s v="Boné"/>
  </r>
  <r>
    <x v="4"/>
    <s v="Rádio"/>
  </r>
  <r>
    <x v="0"/>
    <s v="Arroz"/>
  </r>
  <r>
    <x v="4"/>
    <s v="Televisor"/>
  </r>
  <r>
    <x v="1"/>
    <s v="Cerveja"/>
  </r>
  <r>
    <x v="0"/>
    <s v="Leite em pó"/>
  </r>
  <r>
    <x v="2"/>
    <s v="Camiseta"/>
  </r>
  <r>
    <x v="0"/>
    <s v="Arroz"/>
  </r>
  <r>
    <x v="3"/>
    <s v="Sabão"/>
  </r>
  <r>
    <x v="4"/>
    <s v="Computador"/>
  </r>
  <r>
    <x v="1"/>
    <s v="Água mineral"/>
  </r>
  <r>
    <x v="4"/>
    <s v="Computador"/>
  </r>
  <r>
    <x v="1"/>
    <s v="Água mineral"/>
  </r>
  <r>
    <x v="4"/>
    <s v="Televisor"/>
  </r>
  <r>
    <x v="1"/>
    <s v="Cerveja"/>
  </r>
  <r>
    <x v="2"/>
    <s v="Camiseta"/>
  </r>
  <r>
    <x v="1"/>
    <s v="Vinho"/>
  </r>
  <r>
    <x v="3"/>
    <s v="Detergente"/>
  </r>
  <r>
    <x v="3"/>
    <s v="Pasta de dente"/>
  </r>
  <r>
    <x v="2"/>
    <s v="Vestido"/>
  </r>
  <r>
    <x v="0"/>
    <s v="Farinha de trigo"/>
  </r>
  <r>
    <x v="1"/>
    <s v="Água mineral"/>
  </r>
  <r>
    <x v="0"/>
    <s v="Leite em pó"/>
  </r>
  <r>
    <x v="0"/>
    <s v="Feijão"/>
  </r>
  <r>
    <x v="2"/>
    <s v="Sapato"/>
  </r>
  <r>
    <x v="0"/>
    <s v="Óleo de cozinha"/>
  </r>
  <r>
    <x v="2"/>
    <s v="Calça"/>
  </r>
  <r>
    <x v="4"/>
    <s v="Computador"/>
  </r>
  <r>
    <x v="4"/>
    <s v="Telemóvel"/>
  </r>
  <r>
    <x v="0"/>
    <s v="Leite em pó"/>
  </r>
  <r>
    <x v="1"/>
    <s v="Vinho"/>
  </r>
  <r>
    <x v="2"/>
    <s v="Sapato"/>
  </r>
  <r>
    <x v="0"/>
    <s v="Óleo de cozinha"/>
  </r>
  <r>
    <x v="1"/>
    <s v="Sumo"/>
  </r>
  <r>
    <x v="0"/>
    <s v="Feijão"/>
  </r>
  <r>
    <x v="1"/>
    <s v="Cerveja"/>
  </r>
  <r>
    <x v="1"/>
    <s v="Vinho"/>
  </r>
  <r>
    <x v="4"/>
    <s v="Telemóvel"/>
  </r>
  <r>
    <x v="0"/>
    <s v="Açúcar"/>
  </r>
  <r>
    <x v="3"/>
    <s v="Pasta de dente"/>
  </r>
  <r>
    <x v="0"/>
    <s v="Óleo de cozinha"/>
  </r>
  <r>
    <x v="0"/>
    <s v="Feijão"/>
  </r>
  <r>
    <x v="2"/>
    <s v="Sapato"/>
  </r>
  <r>
    <x v="4"/>
    <s v="Rádio"/>
  </r>
  <r>
    <x v="0"/>
    <s v="Açúcar"/>
  </r>
  <r>
    <x v="2"/>
    <s v="Calça"/>
  </r>
  <r>
    <x v="0"/>
    <s v="Milho"/>
  </r>
  <r>
    <x v="1"/>
    <s v="Água mineral"/>
  </r>
  <r>
    <x v="2"/>
    <s v="Calça"/>
  </r>
  <r>
    <x v="3"/>
    <s v="Pasta de dente"/>
  </r>
  <r>
    <x v="4"/>
    <s v="Ventoinha"/>
  </r>
  <r>
    <x v="3"/>
    <s v="Detergente"/>
  </r>
  <r>
    <x v="1"/>
    <s v="Cerveja"/>
  </r>
  <r>
    <x v="3"/>
    <s v="Sabão"/>
  </r>
  <r>
    <x v="3"/>
    <s v="Sabão"/>
  </r>
  <r>
    <x v="4"/>
    <s v="Telemóvel"/>
  </r>
  <r>
    <x v="0"/>
    <s v="Arroz"/>
  </r>
  <r>
    <x v="1"/>
    <s v="Refrigerante"/>
  </r>
  <r>
    <x v="3"/>
    <s v="Sabão"/>
  </r>
  <r>
    <x v="4"/>
    <s v="Telemóvel"/>
  </r>
  <r>
    <x v="0"/>
    <s v="Óleo de cozinha"/>
  </r>
  <r>
    <x v="2"/>
    <s v="Sapato"/>
  </r>
  <r>
    <x v="3"/>
    <s v="Desinfetante"/>
  </r>
  <r>
    <x v="3"/>
    <s v="Detergente"/>
  </r>
  <r>
    <x v="1"/>
    <s v="Refrigerante"/>
  </r>
  <r>
    <x v="0"/>
    <s v="Leite em pó"/>
  </r>
  <r>
    <x v="0"/>
    <s v="Feijão"/>
  </r>
  <r>
    <x v="1"/>
    <s v="Refrigerante"/>
  </r>
  <r>
    <x v="4"/>
    <s v="Ventoinha"/>
  </r>
  <r>
    <x v="4"/>
    <s v="Rádio"/>
  </r>
  <r>
    <x v="4"/>
    <s v="Computador"/>
  </r>
  <r>
    <x v="2"/>
    <s v="Sapato"/>
  </r>
  <r>
    <x v="0"/>
    <s v="Milho"/>
  </r>
  <r>
    <x v="4"/>
    <s v="Rádio"/>
  </r>
  <r>
    <x v="4"/>
    <s v="Ventoinha"/>
  </r>
  <r>
    <x v="4"/>
    <s v="Televisor"/>
  </r>
  <r>
    <x v="2"/>
    <s v="Sapato"/>
  </r>
  <r>
    <x v="1"/>
    <s v="Cerveja"/>
  </r>
  <r>
    <x v="2"/>
    <s v="Vestido"/>
  </r>
  <r>
    <x v="2"/>
    <s v="Calça"/>
  </r>
  <r>
    <x v="1"/>
    <s v="Água mineral"/>
  </r>
  <r>
    <x v="1"/>
    <s v="Refrigerante"/>
  </r>
  <r>
    <x v="3"/>
    <s v="Desinfetante"/>
  </r>
  <r>
    <x v="1"/>
    <s v="Sumo"/>
  </r>
  <r>
    <x v="1"/>
    <s v="Sumo"/>
  </r>
  <r>
    <x v="2"/>
    <s v="Sapato"/>
  </r>
  <r>
    <x v="3"/>
    <s v="Shampoo"/>
  </r>
  <r>
    <x v="1"/>
    <s v="Água mineral"/>
  </r>
  <r>
    <x v="2"/>
    <s v="Calça"/>
  </r>
  <r>
    <x v="1"/>
    <s v="Vinho"/>
  </r>
  <r>
    <x v="3"/>
    <s v="Detergente"/>
  </r>
  <r>
    <x v="2"/>
    <s v="Sapato"/>
  </r>
  <r>
    <x v="3"/>
    <s v="Pasta de dente"/>
  </r>
  <r>
    <x v="3"/>
    <s v="Desinfetante"/>
  </r>
  <r>
    <x v="0"/>
    <s v="Óleo de cozinha"/>
  </r>
  <r>
    <x v="3"/>
    <s v="Pasta de dente"/>
  </r>
  <r>
    <x v="0"/>
    <s v="Milho"/>
  </r>
  <r>
    <x v="4"/>
    <s v="Televisor"/>
  </r>
  <r>
    <x v="3"/>
    <s v="Shampoo"/>
  </r>
  <r>
    <x v="2"/>
    <s v="Camiseta"/>
  </r>
  <r>
    <x v="4"/>
    <s v="Televisor"/>
  </r>
  <r>
    <x v="1"/>
    <s v="Refrigerante"/>
  </r>
  <r>
    <x v="3"/>
    <s v="Desinfetante"/>
  </r>
  <r>
    <x v="4"/>
    <s v="Ventoinha"/>
  </r>
  <r>
    <x v="1"/>
    <s v="Água mineral"/>
  </r>
  <r>
    <x v="3"/>
    <s v="Desinfetante"/>
  </r>
  <r>
    <x v="1"/>
    <s v="Água mineral"/>
  </r>
  <r>
    <x v="1"/>
    <s v="Vinho"/>
  </r>
  <r>
    <x v="1"/>
    <s v="Sumo"/>
  </r>
  <r>
    <x v="3"/>
    <s v="Sabão"/>
  </r>
  <r>
    <x v="1"/>
    <s v="Água mineral"/>
  </r>
  <r>
    <x v="4"/>
    <s v="Ventoinha"/>
  </r>
  <r>
    <x v="1"/>
    <s v="Refrigerante"/>
  </r>
  <r>
    <x v="2"/>
    <s v="Vestido"/>
  </r>
  <r>
    <x v="3"/>
    <s v="Pasta de dente"/>
  </r>
  <r>
    <x v="3"/>
    <s v="Detergente"/>
  </r>
  <r>
    <x v="2"/>
    <s v="Boné"/>
  </r>
  <r>
    <x v="3"/>
    <s v="Shampoo"/>
  </r>
  <r>
    <x v="2"/>
    <s v="Sapato"/>
  </r>
  <r>
    <x v="0"/>
    <s v="Óleo de cozinha"/>
  </r>
  <r>
    <x v="4"/>
    <s v="Rádio"/>
  </r>
  <r>
    <x v="3"/>
    <s v="Shampoo"/>
  </r>
  <r>
    <x v="0"/>
    <s v="Milho"/>
  </r>
  <r>
    <x v="0"/>
    <s v="Leite em pó"/>
  </r>
  <r>
    <x v="4"/>
    <s v="Televisor"/>
  </r>
  <r>
    <x v="1"/>
    <s v="Refrigerante"/>
  </r>
  <r>
    <x v="2"/>
    <s v="Boné"/>
  </r>
  <r>
    <x v="4"/>
    <s v="Ventoinha"/>
  </r>
  <r>
    <x v="1"/>
    <s v="Cerveja"/>
  </r>
  <r>
    <x v="2"/>
    <s v="Vestido"/>
  </r>
  <r>
    <x v="3"/>
    <s v="Shampoo"/>
  </r>
  <r>
    <x v="1"/>
    <s v="Água mineral"/>
  </r>
  <r>
    <x v="2"/>
    <s v="Sapato"/>
  </r>
  <r>
    <x v="4"/>
    <s v="Televisor"/>
  </r>
  <r>
    <x v="4"/>
    <s v="Telemóvel"/>
  </r>
  <r>
    <x v="4"/>
    <s v="Televisor"/>
  </r>
  <r>
    <x v="4"/>
    <s v="Televisor"/>
  </r>
  <r>
    <x v="4"/>
    <s v="Computador"/>
  </r>
  <r>
    <x v="1"/>
    <s v="Refrigerante"/>
  </r>
  <r>
    <x v="2"/>
    <s v="Calça"/>
  </r>
  <r>
    <x v="2"/>
    <s v="Boné"/>
  </r>
  <r>
    <x v="1"/>
    <s v="Vinho"/>
  </r>
  <r>
    <x v="1"/>
    <s v="Cerveja"/>
  </r>
  <r>
    <x v="2"/>
    <s v="Sapato"/>
  </r>
  <r>
    <x v="2"/>
    <s v="Vestido"/>
  </r>
  <r>
    <x v="0"/>
    <s v="Farinha de trigo"/>
  </r>
  <r>
    <x v="3"/>
    <s v="Shampoo"/>
  </r>
  <r>
    <x v="0"/>
    <s v="Milho"/>
  </r>
  <r>
    <x v="2"/>
    <s v="Sapato"/>
  </r>
  <r>
    <x v="3"/>
    <s v="Desinfetante"/>
  </r>
  <r>
    <x v="0"/>
    <s v="Açúcar"/>
  </r>
  <r>
    <x v="0"/>
    <s v="Milho"/>
  </r>
  <r>
    <x v="3"/>
    <s v="Desinfetante"/>
  </r>
  <r>
    <x v="2"/>
    <s v="Calça"/>
  </r>
  <r>
    <x v="2"/>
    <s v="Camiseta"/>
  </r>
  <r>
    <x v="3"/>
    <s v="Shampoo"/>
  </r>
  <r>
    <x v="1"/>
    <s v="Água mineral"/>
  </r>
  <r>
    <x v="2"/>
    <s v="Camiseta"/>
  </r>
  <r>
    <x v="2"/>
    <s v="Sapato"/>
  </r>
  <r>
    <x v="1"/>
    <s v="Sumo"/>
  </r>
  <r>
    <x v="1"/>
    <s v="Vinho"/>
  </r>
  <r>
    <x v="4"/>
    <s v="Computador"/>
  </r>
  <r>
    <x v="3"/>
    <s v="Desinfetante"/>
  </r>
  <r>
    <x v="4"/>
    <s v="Telemóvel"/>
  </r>
  <r>
    <x v="3"/>
    <s v="Detergente"/>
  </r>
  <r>
    <x v="2"/>
    <s v="Calça"/>
  </r>
  <r>
    <x v="4"/>
    <s v="Computador"/>
  </r>
  <r>
    <x v="1"/>
    <s v="Água mineral"/>
  </r>
  <r>
    <x v="3"/>
    <s v="Pasta de dente"/>
  </r>
  <r>
    <x v="1"/>
    <s v="Água mineral"/>
  </r>
  <r>
    <x v="1"/>
    <s v="Sumo"/>
  </r>
  <r>
    <x v="0"/>
    <s v="Feijão"/>
  </r>
  <r>
    <x v="0"/>
    <s v="Milho"/>
  </r>
  <r>
    <x v="0"/>
    <s v="Arroz"/>
  </r>
  <r>
    <x v="4"/>
    <s v="Rádio"/>
  </r>
  <r>
    <x v="0"/>
    <s v="Leite em pó"/>
  </r>
  <r>
    <x v="1"/>
    <s v="Sumo"/>
  </r>
  <r>
    <x v="3"/>
    <s v="Desinfetante"/>
  </r>
  <r>
    <x v="2"/>
    <s v="Boné"/>
  </r>
  <r>
    <x v="3"/>
    <s v="Detergente"/>
  </r>
  <r>
    <x v="1"/>
    <s v="Cerveja"/>
  </r>
  <r>
    <x v="2"/>
    <s v="Vestido"/>
  </r>
  <r>
    <x v="1"/>
    <s v="Refrigerante"/>
  </r>
  <r>
    <x v="4"/>
    <s v="Televisor"/>
  </r>
  <r>
    <x v="4"/>
    <s v="Ventoinha"/>
  </r>
  <r>
    <x v="1"/>
    <s v="Cerveja"/>
  </r>
  <r>
    <x v="0"/>
    <s v="Açúcar"/>
  </r>
  <r>
    <x v="3"/>
    <s v="Shampoo"/>
  </r>
  <r>
    <x v="0"/>
    <s v="Farinha de trigo"/>
  </r>
  <r>
    <x v="4"/>
    <s v="Rádio"/>
  </r>
  <r>
    <x v="4"/>
    <s v="Computador"/>
  </r>
  <r>
    <x v="3"/>
    <s v="Pasta de dente"/>
  </r>
  <r>
    <x v="2"/>
    <s v="Calça"/>
  </r>
  <r>
    <x v="0"/>
    <s v="Óleo de cozinha"/>
  </r>
  <r>
    <x v="1"/>
    <s v="Água mineral"/>
  </r>
  <r>
    <x v="3"/>
    <s v="Sabão"/>
  </r>
  <r>
    <x v="0"/>
    <s v="Açúcar"/>
  </r>
  <r>
    <x v="2"/>
    <s v="Vestido"/>
  </r>
  <r>
    <x v="4"/>
    <s v="Telemóvel"/>
  </r>
  <r>
    <x v="1"/>
    <s v="Refrigerante"/>
  </r>
  <r>
    <x v="3"/>
    <s v="Detergente"/>
  </r>
  <r>
    <x v="4"/>
    <s v="Ventoinha"/>
  </r>
  <r>
    <x v="2"/>
    <s v="Vestido"/>
  </r>
  <r>
    <x v="2"/>
    <s v="Calça"/>
  </r>
  <r>
    <x v="3"/>
    <s v="Pasta de dente"/>
  </r>
  <r>
    <x v="3"/>
    <s v="Shampoo"/>
  </r>
  <r>
    <x v="1"/>
    <s v="Cerveja"/>
  </r>
  <r>
    <x v="1"/>
    <s v="Água mineral"/>
  </r>
  <r>
    <x v="2"/>
    <s v="Vestido"/>
  </r>
  <r>
    <x v="1"/>
    <s v="Vinho"/>
  </r>
  <r>
    <x v="1"/>
    <s v="Vinho"/>
  </r>
  <r>
    <x v="2"/>
    <s v="Vestido"/>
  </r>
  <r>
    <x v="4"/>
    <s v="Computador"/>
  </r>
  <r>
    <x v="1"/>
    <s v="Água mineral"/>
  </r>
  <r>
    <x v="2"/>
    <s v="Vestido"/>
  </r>
  <r>
    <x v="0"/>
    <s v="Arroz"/>
  </r>
  <r>
    <x v="0"/>
    <s v="Leite em pó"/>
  </r>
  <r>
    <x v="0"/>
    <s v="Açúcar"/>
  </r>
  <r>
    <x v="2"/>
    <s v="Boné"/>
  </r>
  <r>
    <x v="4"/>
    <s v="Ventoinha"/>
  </r>
  <r>
    <x v="1"/>
    <s v="Refrigerante"/>
  </r>
  <r>
    <x v="3"/>
    <s v="Shampoo"/>
  </r>
  <r>
    <x v="2"/>
    <s v="Calça"/>
  </r>
  <r>
    <x v="4"/>
    <s v="Ventoinha"/>
  </r>
  <r>
    <x v="1"/>
    <s v="Vinho"/>
  </r>
  <r>
    <x v="4"/>
    <s v="Rádio"/>
  </r>
  <r>
    <x v="3"/>
    <s v="Sabão"/>
  </r>
  <r>
    <x v="2"/>
    <s v="Boné"/>
  </r>
  <r>
    <x v="3"/>
    <s v="Sabão"/>
  </r>
  <r>
    <x v="3"/>
    <s v="Desinfetante"/>
  </r>
  <r>
    <x v="4"/>
    <s v="Telemóvel"/>
  </r>
  <r>
    <x v="1"/>
    <s v="Cerveja"/>
  </r>
  <r>
    <x v="0"/>
    <s v="Óleo de cozinha"/>
  </r>
  <r>
    <x v="4"/>
    <s v="Televisor"/>
  </r>
  <r>
    <x v="3"/>
    <s v="Shampoo"/>
  </r>
  <r>
    <x v="4"/>
    <s v="Televisor"/>
  </r>
  <r>
    <x v="3"/>
    <s v="Pasta de dente"/>
  </r>
  <r>
    <x v="1"/>
    <s v="Cerveja"/>
  </r>
  <r>
    <x v="4"/>
    <s v="Rádio"/>
  </r>
  <r>
    <x v="4"/>
    <s v="Rádio"/>
  </r>
  <r>
    <x v="3"/>
    <s v="Sabão"/>
  </r>
  <r>
    <x v="0"/>
    <s v="Farinha de trigo"/>
  </r>
  <r>
    <x v="2"/>
    <s v="Vestido"/>
  </r>
  <r>
    <x v="3"/>
    <s v="Desinfetante"/>
  </r>
  <r>
    <x v="4"/>
    <s v="Televisor"/>
  </r>
  <r>
    <x v="0"/>
    <s v="Óleo de cozinha"/>
  </r>
  <r>
    <x v="2"/>
    <s v="Camiseta"/>
  </r>
  <r>
    <x v="3"/>
    <s v="Sabão"/>
  </r>
  <r>
    <x v="2"/>
    <s v="Calça"/>
  </r>
  <r>
    <x v="0"/>
    <s v="Farinha de trigo"/>
  </r>
  <r>
    <x v="1"/>
    <s v="Vinho"/>
  </r>
  <r>
    <x v="3"/>
    <s v="Sabão"/>
  </r>
  <r>
    <x v="0"/>
    <s v="Milho"/>
  </r>
  <r>
    <x v="4"/>
    <s v="Computador"/>
  </r>
  <r>
    <x v="0"/>
    <s v="Feijão"/>
  </r>
  <r>
    <x v="2"/>
    <s v="Boné"/>
  </r>
  <r>
    <x v="1"/>
    <s v="Água mineral"/>
  </r>
  <r>
    <x v="2"/>
    <s v="Camiseta"/>
  </r>
  <r>
    <x v="4"/>
    <s v="Telemóvel"/>
  </r>
  <r>
    <x v="3"/>
    <s v="Pasta de dente"/>
  </r>
  <r>
    <x v="3"/>
    <s v="Detergente"/>
  </r>
  <r>
    <x v="0"/>
    <s v="Feijão"/>
  </r>
  <r>
    <x v="3"/>
    <s v="Detergente"/>
  </r>
  <r>
    <x v="2"/>
    <s v="Vestido"/>
  </r>
  <r>
    <x v="3"/>
    <s v="Pasta de dente"/>
  </r>
  <r>
    <x v="0"/>
    <s v="Farinha de trigo"/>
  </r>
  <r>
    <x v="2"/>
    <s v="Camiseta"/>
  </r>
  <r>
    <x v="3"/>
    <s v="Sabão"/>
  </r>
  <r>
    <x v="0"/>
    <s v="Arroz"/>
  </r>
  <r>
    <x v="0"/>
    <s v="Feijão"/>
  </r>
  <r>
    <x v="4"/>
    <s v="Computador"/>
  </r>
  <r>
    <x v="3"/>
    <s v="Pasta de dente"/>
  </r>
  <r>
    <x v="3"/>
    <s v="Detergente"/>
  </r>
  <r>
    <x v="0"/>
    <s v="Feijão"/>
  </r>
  <r>
    <x v="4"/>
    <s v="Televisor"/>
  </r>
  <r>
    <x v="2"/>
    <s v="Vestido"/>
  </r>
  <r>
    <x v="0"/>
    <s v="Óleo de cozinha"/>
  </r>
  <r>
    <x v="1"/>
    <s v="Cerveja"/>
  </r>
  <r>
    <x v="3"/>
    <s v="Pasta de dente"/>
  </r>
  <r>
    <x v="2"/>
    <s v="Boné"/>
  </r>
  <r>
    <x v="3"/>
    <s v="Desinfetante"/>
  </r>
  <r>
    <x v="1"/>
    <s v="Vinho"/>
  </r>
  <r>
    <x v="1"/>
    <s v="Cerveja"/>
  </r>
  <r>
    <x v="1"/>
    <s v="Cerveja"/>
  </r>
  <r>
    <x v="4"/>
    <s v="Rádio"/>
  </r>
  <r>
    <x v="1"/>
    <s v="Refrigerante"/>
  </r>
  <r>
    <x v="3"/>
    <s v="Sabão"/>
  </r>
  <r>
    <x v="1"/>
    <s v="Refrigerante"/>
  </r>
  <r>
    <x v="1"/>
    <s v="Cerveja"/>
  </r>
  <r>
    <x v="0"/>
    <s v="Açúcar"/>
  </r>
  <r>
    <x v="2"/>
    <s v="Camiseta"/>
  </r>
  <r>
    <x v="1"/>
    <s v="Refrigerante"/>
  </r>
  <r>
    <x v="1"/>
    <s v="Refrigerante"/>
  </r>
  <r>
    <x v="2"/>
    <s v="Vestido"/>
  </r>
  <r>
    <x v="2"/>
    <s v="Calça"/>
  </r>
  <r>
    <x v="2"/>
    <s v="Boné"/>
  </r>
  <r>
    <x v="3"/>
    <s v="Shampoo"/>
  </r>
  <r>
    <x v="0"/>
    <s v="Óleo de cozinha"/>
  </r>
  <r>
    <x v="2"/>
    <s v="Camiseta"/>
  </r>
  <r>
    <x v="1"/>
    <s v="Cerveja"/>
  </r>
  <r>
    <x v="3"/>
    <s v="Shampoo"/>
  </r>
  <r>
    <x v="2"/>
    <s v="Boné"/>
  </r>
  <r>
    <x v="0"/>
    <s v="Leite em pó"/>
  </r>
  <r>
    <x v="3"/>
    <s v="Sabão"/>
  </r>
  <r>
    <x v="1"/>
    <s v="Vinho"/>
  </r>
  <r>
    <x v="2"/>
    <s v="Boné"/>
  </r>
  <r>
    <x v="1"/>
    <s v="Vinho"/>
  </r>
  <r>
    <x v="3"/>
    <s v="Pasta de dente"/>
  </r>
  <r>
    <x v="4"/>
    <s v="Rádio"/>
  </r>
  <r>
    <x v="3"/>
    <s v="Desinfetante"/>
  </r>
  <r>
    <x v="2"/>
    <s v="Boné"/>
  </r>
  <r>
    <x v="4"/>
    <s v="Rádio"/>
  </r>
  <r>
    <x v="4"/>
    <s v="Rádio"/>
  </r>
  <r>
    <x v="3"/>
    <s v="Detergente"/>
  </r>
  <r>
    <x v="4"/>
    <s v="Computador"/>
  </r>
  <r>
    <x v="3"/>
    <s v="Detergente"/>
  </r>
  <r>
    <x v="3"/>
    <s v="Detergente"/>
  </r>
  <r>
    <x v="1"/>
    <s v="Vinho"/>
  </r>
  <r>
    <x v="2"/>
    <s v="Calça"/>
  </r>
  <r>
    <x v="4"/>
    <s v="Rádio"/>
  </r>
  <r>
    <x v="1"/>
    <s v="Sumo"/>
  </r>
  <r>
    <x v="4"/>
    <s v="Ventoinha"/>
  </r>
  <r>
    <x v="3"/>
    <s v="Detergente"/>
  </r>
  <r>
    <x v="0"/>
    <s v="Farinha de trigo"/>
  </r>
  <r>
    <x v="4"/>
    <s v="Computador"/>
  </r>
  <r>
    <x v="0"/>
    <s v="Milho"/>
  </r>
  <r>
    <x v="2"/>
    <s v="Camiseta"/>
  </r>
  <r>
    <x v="0"/>
    <s v="Feijão"/>
  </r>
  <r>
    <x v="0"/>
    <s v="Feijão"/>
  </r>
  <r>
    <x v="1"/>
    <s v="Cerveja"/>
  </r>
  <r>
    <x v="4"/>
    <s v="Ventoinha"/>
  </r>
  <r>
    <x v="1"/>
    <s v="Refrigerante"/>
  </r>
  <r>
    <x v="3"/>
    <s v="Pasta de dente"/>
  </r>
  <r>
    <x v="0"/>
    <s v="Óleo de cozinha"/>
  </r>
  <r>
    <x v="3"/>
    <s v="Shampoo"/>
  </r>
  <r>
    <x v="3"/>
    <s v="Pasta de dente"/>
  </r>
  <r>
    <x v="1"/>
    <s v="Cerveja"/>
  </r>
  <r>
    <x v="1"/>
    <s v="Água mineral"/>
  </r>
  <r>
    <x v="4"/>
    <s v="Telemóvel"/>
  </r>
  <r>
    <x v="0"/>
    <s v="Milho"/>
  </r>
  <r>
    <x v="2"/>
    <s v="Vestido"/>
  </r>
  <r>
    <x v="3"/>
    <s v="Desinfetante"/>
  </r>
  <r>
    <x v="2"/>
    <s v="Sapato"/>
  </r>
  <r>
    <x v="4"/>
    <s v="Televisor"/>
  </r>
  <r>
    <x v="2"/>
    <s v="Camiseta"/>
  </r>
  <r>
    <x v="3"/>
    <s v="Pasta de dente"/>
  </r>
  <r>
    <x v="2"/>
    <s v="Boné"/>
  </r>
  <r>
    <x v="3"/>
    <s v="Desinfetante"/>
  </r>
  <r>
    <x v="3"/>
    <s v="Detergente"/>
  </r>
  <r>
    <x v="1"/>
    <s v="Vinho"/>
  </r>
  <r>
    <x v="4"/>
    <s v="Telemóve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0">
  <r>
    <n v="1"/>
    <d v="2025-03-12T00:00:00"/>
    <s v="Alimentos"/>
    <x v="0"/>
    <n v="6"/>
    <n v="29689.61"/>
    <n v="178137.66"/>
  </r>
  <r>
    <n v="2"/>
    <d v="2025-04-16T00:00:00"/>
    <s v="Bebidas"/>
    <x v="1"/>
    <n v="7"/>
    <n v="35702.03"/>
    <n v="249914.21"/>
  </r>
  <r>
    <n v="3"/>
    <d v="2025-05-20T00:00:00"/>
    <s v="Bebidas"/>
    <x v="2"/>
    <n v="11"/>
    <n v="85378.08"/>
    <n v="939158.88"/>
  </r>
  <r>
    <n v="4"/>
    <d v="2025-01-20T00:00:00"/>
    <s v="Bebidas"/>
    <x v="3"/>
    <n v="7"/>
    <n v="10038.19"/>
    <n v="70267.33"/>
  </r>
  <r>
    <n v="5"/>
    <d v="2025-04-10T00:00:00"/>
    <s v="Bebidas"/>
    <x v="4"/>
    <n v="3"/>
    <n v="26277.17"/>
    <n v="78831.509999999995"/>
  </r>
  <r>
    <n v="6"/>
    <d v="2025-06-05T00:00:00"/>
    <s v="Roupas"/>
    <x v="5"/>
    <n v="15"/>
    <n v="61383.27"/>
    <n v="920749.05"/>
  </r>
  <r>
    <n v="7"/>
    <d v="2025-08-06T00:00:00"/>
    <s v="Higiene"/>
    <x v="6"/>
    <n v="6"/>
    <n v="44794.48"/>
    <n v="268766.88"/>
  </r>
  <r>
    <n v="8"/>
    <d v="2025-09-02T00:00:00"/>
    <s v="Bebidas"/>
    <x v="3"/>
    <n v="3"/>
    <n v="53933.99"/>
    <n v="161801.97"/>
  </r>
  <r>
    <n v="9"/>
    <d v="2025-05-19T00:00:00"/>
    <s v="Higiene"/>
    <x v="6"/>
    <n v="14"/>
    <n v="82261.83"/>
    <n v="1151665.6200000001"/>
  </r>
  <r>
    <n v="10"/>
    <d v="2025-08-14T00:00:00"/>
    <s v="Higiene"/>
    <x v="6"/>
    <n v="4"/>
    <n v="17881.580000000002"/>
    <n v="71526.320000000007"/>
  </r>
  <r>
    <n v="11"/>
    <d v="2025-09-26T00:00:00"/>
    <s v="Roupas"/>
    <x v="7"/>
    <n v="1"/>
    <n v="50501.21"/>
    <n v="50501.21"/>
  </r>
  <r>
    <n v="12"/>
    <d v="2025-02-27T00:00:00"/>
    <s v="Bebidas"/>
    <x v="8"/>
    <n v="13"/>
    <n v="44230.48"/>
    <n v="574996.24"/>
  </r>
  <r>
    <n v="13"/>
    <d v="2025-07-24T00:00:00"/>
    <s v="Roupas"/>
    <x v="9"/>
    <n v="8"/>
    <n v="40719.01"/>
    <n v="325752.08"/>
  </r>
  <r>
    <n v="14"/>
    <d v="2025-09-18T00:00:00"/>
    <s v="Alimentos"/>
    <x v="10"/>
    <n v="2"/>
    <n v="29699.46"/>
    <n v="59398.92"/>
  </r>
  <r>
    <n v="15"/>
    <d v="2025-07-14T00:00:00"/>
    <s v="Alimentos"/>
    <x v="11"/>
    <n v="9"/>
    <n v="60042.11"/>
    <n v="540378.99"/>
  </r>
  <r>
    <n v="16"/>
    <d v="2025-08-15T00:00:00"/>
    <s v="Roupas"/>
    <x v="5"/>
    <n v="19"/>
    <n v="4526.41"/>
    <n v="86001.79"/>
  </r>
  <r>
    <n v="17"/>
    <d v="2025-09-05T00:00:00"/>
    <s v="Higiene"/>
    <x v="12"/>
    <n v="6"/>
    <n v="6573.74"/>
    <n v="39442.44"/>
  </r>
  <r>
    <n v="18"/>
    <d v="2025-08-26T00:00:00"/>
    <s v="Bebidas"/>
    <x v="4"/>
    <n v="12"/>
    <n v="35713.1"/>
    <n v="428557.2"/>
  </r>
  <r>
    <n v="19"/>
    <d v="2025-07-08T00:00:00"/>
    <s v="Eletrônicos"/>
    <x v="13"/>
    <n v="16"/>
    <n v="3864.85"/>
    <n v="61837.599999999999"/>
  </r>
  <r>
    <n v="20"/>
    <d v="2025-05-04T00:00:00"/>
    <s v="Higiene"/>
    <x v="14"/>
    <n v="7"/>
    <n v="58810.42"/>
    <n v="411672.94"/>
  </r>
  <r>
    <n v="21"/>
    <d v="2025-06-26T00:00:00"/>
    <s v="Eletrônicos"/>
    <x v="15"/>
    <n v="8"/>
    <n v="41766.120000000003"/>
    <n v="334128.96000000002"/>
  </r>
  <r>
    <n v="22"/>
    <d v="2025-02-22T00:00:00"/>
    <s v="Roupas"/>
    <x v="7"/>
    <n v="8"/>
    <n v="76804.039999999994"/>
    <n v="614432.31999999995"/>
  </r>
  <r>
    <n v="23"/>
    <d v="2025-03-20T00:00:00"/>
    <s v="Roupas"/>
    <x v="9"/>
    <n v="20"/>
    <n v="5201.99"/>
    <n v="104039.8"/>
  </r>
  <r>
    <n v="24"/>
    <d v="2025-08-19T00:00:00"/>
    <s v="Eletrônicos"/>
    <x v="16"/>
    <n v="4"/>
    <n v="86681.03"/>
    <n v="346724.12"/>
  </r>
  <r>
    <n v="25"/>
    <d v="2025-04-21T00:00:00"/>
    <s v="Higiene"/>
    <x v="6"/>
    <n v="17"/>
    <n v="25605.9"/>
    <n v="435300.3"/>
  </r>
  <r>
    <n v="26"/>
    <d v="2025-06-15T00:00:00"/>
    <s v="Roupas"/>
    <x v="17"/>
    <n v="1"/>
    <n v="48783.45"/>
    <n v="48783.45"/>
  </r>
  <r>
    <n v="27"/>
    <d v="2025-01-01T00:00:00"/>
    <s v="Higiene"/>
    <x v="14"/>
    <n v="11"/>
    <n v="64956.17"/>
    <n v="714517.87"/>
  </r>
  <r>
    <n v="28"/>
    <d v="2025-08-11T00:00:00"/>
    <s v="Alimentos"/>
    <x v="10"/>
    <n v="9"/>
    <n v="35636.18"/>
    <n v="320725.62"/>
  </r>
  <r>
    <n v="29"/>
    <d v="2025-05-09T00:00:00"/>
    <s v="Eletrônicos"/>
    <x v="15"/>
    <n v="11"/>
    <n v="27121.66"/>
    <n v="298338.26"/>
  </r>
  <r>
    <n v="30"/>
    <d v="2025-08-08T00:00:00"/>
    <s v="Roupas"/>
    <x v="18"/>
    <n v="14"/>
    <n v="10476.33"/>
    <n v="146668.62"/>
  </r>
  <r>
    <n v="31"/>
    <d v="2025-09-01T00:00:00"/>
    <s v="Roupas"/>
    <x v="9"/>
    <n v="4"/>
    <n v="94766.36"/>
    <n v="379065.44"/>
  </r>
  <r>
    <n v="32"/>
    <d v="2025-08-11T00:00:00"/>
    <s v="Alimentos"/>
    <x v="19"/>
    <n v="8"/>
    <n v="27085.58"/>
    <n v="216684.64"/>
  </r>
  <r>
    <n v="33"/>
    <d v="2025-09-26T00:00:00"/>
    <s v="Bebidas"/>
    <x v="2"/>
    <n v="2"/>
    <n v="6433.34"/>
    <n v="12866.68"/>
  </r>
  <r>
    <n v="34"/>
    <d v="2025-09-09T00:00:00"/>
    <s v="Roupas"/>
    <x v="9"/>
    <n v="4"/>
    <n v="76311.67"/>
    <n v="305246.68"/>
  </r>
  <r>
    <n v="35"/>
    <d v="2025-03-18T00:00:00"/>
    <s v="Roupas"/>
    <x v="17"/>
    <n v="8"/>
    <n v="17245.72"/>
    <n v="137965.76000000001"/>
  </r>
  <r>
    <n v="36"/>
    <d v="2025-04-08T00:00:00"/>
    <s v="Bebidas"/>
    <x v="1"/>
    <n v="5"/>
    <n v="51295.79"/>
    <n v="256478.95"/>
  </r>
  <r>
    <n v="37"/>
    <d v="2025-09-05T00:00:00"/>
    <s v="Higiene"/>
    <x v="6"/>
    <n v="14"/>
    <n v="68896.39"/>
    <n v="964549.46"/>
  </r>
  <r>
    <n v="38"/>
    <d v="2025-02-05T00:00:00"/>
    <s v="Bebidas"/>
    <x v="3"/>
    <n v="20"/>
    <n v="5817.14"/>
    <n v="116342.8"/>
  </r>
  <r>
    <n v="39"/>
    <d v="2025-01-27T00:00:00"/>
    <s v="Eletrônicos"/>
    <x v="20"/>
    <n v="13"/>
    <n v="75139.72"/>
    <n v="976816.36"/>
  </r>
  <r>
    <n v="40"/>
    <d v="2025-09-11T00:00:00"/>
    <s v="Bebidas"/>
    <x v="1"/>
    <n v="1"/>
    <n v="23603.74"/>
    <n v="23603.74"/>
  </r>
  <r>
    <n v="41"/>
    <d v="2025-09-05T00:00:00"/>
    <s v="Roupas"/>
    <x v="5"/>
    <n v="12"/>
    <n v="18793.52"/>
    <n v="225522.24"/>
  </r>
  <r>
    <n v="42"/>
    <d v="2025-08-01T00:00:00"/>
    <s v="Bebidas"/>
    <x v="1"/>
    <n v="14"/>
    <n v="75278.39"/>
    <n v="1053897.46"/>
  </r>
  <r>
    <n v="43"/>
    <d v="2025-04-16T00:00:00"/>
    <s v="Higiene"/>
    <x v="14"/>
    <n v="1"/>
    <n v="29179.73"/>
    <n v="29179.73"/>
  </r>
  <r>
    <n v="44"/>
    <d v="2025-05-05T00:00:00"/>
    <s v="Eletrônicos"/>
    <x v="15"/>
    <n v="17"/>
    <n v="71538.47"/>
    <n v="1216153.99"/>
  </r>
  <r>
    <n v="45"/>
    <d v="2025-03-18T00:00:00"/>
    <s v="Higiene"/>
    <x v="21"/>
    <n v="15"/>
    <n v="78654.009999999995"/>
    <n v="1179810.1499999999"/>
  </r>
  <r>
    <n v="46"/>
    <d v="2025-08-11T00:00:00"/>
    <s v="Alimentos"/>
    <x v="10"/>
    <n v="10"/>
    <n v="49866.239999999998"/>
    <n v="498662.40000000002"/>
  </r>
  <r>
    <n v="47"/>
    <d v="2025-06-12T00:00:00"/>
    <s v="Eletrônicos"/>
    <x v="15"/>
    <n v="7"/>
    <n v="96503.360000000001"/>
    <n v="675523.52"/>
  </r>
  <r>
    <n v="48"/>
    <d v="2025-04-15T00:00:00"/>
    <s v="Higiene"/>
    <x v="22"/>
    <n v="3"/>
    <n v="6441.9"/>
    <n v="19325.7"/>
  </r>
  <r>
    <n v="49"/>
    <d v="2025-01-28T00:00:00"/>
    <s v="Higiene"/>
    <x v="12"/>
    <n v="2"/>
    <n v="33623.22"/>
    <n v="67246.44"/>
  </r>
  <r>
    <n v="50"/>
    <d v="2025-06-06T00:00:00"/>
    <s v="Higiene"/>
    <x v="12"/>
    <n v="9"/>
    <n v="48427.37"/>
    <n v="435846.33"/>
  </r>
  <r>
    <n v="51"/>
    <d v="2025-09-25T00:00:00"/>
    <s v="Higiene"/>
    <x v="21"/>
    <n v="10"/>
    <n v="45105.04"/>
    <n v="451050.4"/>
  </r>
  <r>
    <n v="52"/>
    <d v="2025-06-19T00:00:00"/>
    <s v="Eletrônicos"/>
    <x v="15"/>
    <n v="16"/>
    <n v="46383.58"/>
    <n v="742137.28"/>
  </r>
  <r>
    <n v="53"/>
    <d v="2025-06-09T00:00:00"/>
    <s v="Alimentos"/>
    <x v="0"/>
    <n v="9"/>
    <n v="98782.03"/>
    <n v="889038.27"/>
  </r>
  <r>
    <n v="54"/>
    <d v="2025-02-26T00:00:00"/>
    <s v="Eletrônicos"/>
    <x v="20"/>
    <n v="11"/>
    <n v="33367.89"/>
    <n v="367046.79"/>
  </r>
  <r>
    <n v="55"/>
    <d v="2025-04-14T00:00:00"/>
    <s v="Eletrônicos"/>
    <x v="23"/>
    <n v="18"/>
    <n v="25695.47"/>
    <n v="462518.46"/>
  </r>
  <r>
    <n v="56"/>
    <d v="2025-06-12T00:00:00"/>
    <s v="Alimentos"/>
    <x v="24"/>
    <n v="18"/>
    <n v="87747.24"/>
    <n v="1579450.32"/>
  </r>
  <r>
    <n v="57"/>
    <d v="2025-01-06T00:00:00"/>
    <s v="Roupas"/>
    <x v="7"/>
    <n v="3"/>
    <n v="16125.72"/>
    <n v="48377.16"/>
  </r>
  <r>
    <n v="58"/>
    <d v="2025-08-13T00:00:00"/>
    <s v="Bebidas"/>
    <x v="3"/>
    <n v="8"/>
    <n v="7988.54"/>
    <n v="63908.32"/>
  </r>
  <r>
    <n v="59"/>
    <d v="2025-06-20T00:00:00"/>
    <s v="Bebidas"/>
    <x v="3"/>
    <n v="5"/>
    <n v="47202.49"/>
    <n v="236012.45"/>
  </r>
  <r>
    <n v="60"/>
    <d v="2025-01-03T00:00:00"/>
    <s v="Alimentos"/>
    <x v="24"/>
    <n v="7"/>
    <n v="37081.370000000003"/>
    <n v="259569.59"/>
  </r>
  <r>
    <n v="61"/>
    <d v="2025-06-07T00:00:00"/>
    <s v="Alimentos"/>
    <x v="25"/>
    <n v="15"/>
    <n v="41339.919999999998"/>
    <n v="620098.80000000005"/>
  </r>
  <r>
    <n v="62"/>
    <d v="2025-08-01T00:00:00"/>
    <s v="Eletrônicos"/>
    <x v="23"/>
    <n v="1"/>
    <n v="91457.18"/>
    <n v="91457.18"/>
  </r>
  <r>
    <n v="63"/>
    <d v="2025-08-17T00:00:00"/>
    <s v="Roupas"/>
    <x v="9"/>
    <n v="13"/>
    <n v="64443.49"/>
    <n v="837765.37"/>
  </r>
  <r>
    <n v="64"/>
    <d v="2025-04-01T00:00:00"/>
    <s v="Alimentos"/>
    <x v="11"/>
    <n v="10"/>
    <n v="8697.2000000000007"/>
    <n v="86972"/>
  </r>
  <r>
    <n v="65"/>
    <d v="2025-08-06T00:00:00"/>
    <s v="Alimentos"/>
    <x v="11"/>
    <n v="1"/>
    <n v="80101.36"/>
    <n v="80101.36"/>
  </r>
  <r>
    <n v="66"/>
    <d v="2025-01-17T00:00:00"/>
    <s v="Bebidas"/>
    <x v="4"/>
    <n v="6"/>
    <n v="40326.980000000003"/>
    <n v="241961.88"/>
  </r>
  <r>
    <n v="67"/>
    <d v="2025-08-12T00:00:00"/>
    <s v="Higiene"/>
    <x v="14"/>
    <n v="10"/>
    <n v="39724.410000000003"/>
    <n v="397244.1"/>
  </r>
  <r>
    <n v="68"/>
    <d v="2025-05-26T00:00:00"/>
    <s v="Roupas"/>
    <x v="7"/>
    <n v="20"/>
    <n v="98719.97"/>
    <n v="1974399.4"/>
  </r>
  <r>
    <n v="69"/>
    <d v="2025-03-28T00:00:00"/>
    <s v="Eletrônicos"/>
    <x v="20"/>
    <n v="20"/>
    <n v="44372.22"/>
    <n v="887444.4"/>
  </r>
  <r>
    <n v="70"/>
    <d v="2025-05-19T00:00:00"/>
    <s v="Roupas"/>
    <x v="5"/>
    <n v="15"/>
    <n v="42092.54"/>
    <n v="631388.1"/>
  </r>
  <r>
    <n v="71"/>
    <d v="2025-08-14T00:00:00"/>
    <s v="Alimentos"/>
    <x v="25"/>
    <n v="5"/>
    <n v="65355.69"/>
    <n v="326778.45"/>
  </r>
  <r>
    <n v="72"/>
    <d v="2025-04-07T00:00:00"/>
    <s v="Higiene"/>
    <x v="14"/>
    <n v="6"/>
    <n v="31871"/>
    <n v="191226"/>
  </r>
  <r>
    <n v="73"/>
    <d v="2025-04-23T00:00:00"/>
    <s v="Alimentos"/>
    <x v="24"/>
    <n v="8"/>
    <n v="73195.22"/>
    <n v="585561.76"/>
  </r>
  <r>
    <n v="74"/>
    <d v="2025-01-17T00:00:00"/>
    <s v="Bebidas"/>
    <x v="3"/>
    <n v="1"/>
    <n v="42476.65"/>
    <n v="42476.65"/>
  </r>
  <r>
    <n v="75"/>
    <d v="2025-05-10T00:00:00"/>
    <s v="Roupas"/>
    <x v="7"/>
    <n v="2"/>
    <n v="50201.69"/>
    <n v="100403.38"/>
  </r>
  <r>
    <n v="76"/>
    <d v="2025-01-12T00:00:00"/>
    <s v="Roupas"/>
    <x v="7"/>
    <n v="16"/>
    <n v="48771"/>
    <n v="780336"/>
  </r>
  <r>
    <n v="77"/>
    <d v="2025-06-21T00:00:00"/>
    <s v="Alimentos"/>
    <x v="24"/>
    <n v="19"/>
    <n v="75350.929999999993"/>
    <n v="1431667.67"/>
  </r>
  <r>
    <n v="78"/>
    <d v="2025-01-04T00:00:00"/>
    <s v="Higiene"/>
    <x v="22"/>
    <n v="1"/>
    <n v="34537.449999999997"/>
    <n v="34537.449999999997"/>
  </r>
  <r>
    <n v="79"/>
    <d v="2025-07-14T00:00:00"/>
    <s v="Bebidas"/>
    <x v="8"/>
    <n v="9"/>
    <n v="46439.68"/>
    <n v="417957.12"/>
  </r>
  <r>
    <n v="80"/>
    <d v="2025-09-26T00:00:00"/>
    <s v="Bebidas"/>
    <x v="3"/>
    <n v="14"/>
    <n v="20863.310000000001"/>
    <n v="292086.34000000003"/>
  </r>
  <r>
    <n v="81"/>
    <d v="2025-09-02T00:00:00"/>
    <s v="Bebidas"/>
    <x v="4"/>
    <n v="15"/>
    <n v="25131.55"/>
    <n v="376973.25"/>
  </r>
  <r>
    <n v="82"/>
    <d v="2025-06-14T00:00:00"/>
    <s v="Alimentos"/>
    <x v="25"/>
    <n v="14"/>
    <n v="30522.240000000002"/>
    <n v="427311.35999999999"/>
  </r>
  <r>
    <n v="83"/>
    <d v="2025-08-10T00:00:00"/>
    <s v="Roupas"/>
    <x v="7"/>
    <n v="2"/>
    <n v="1156.44"/>
    <n v="2312.88"/>
  </r>
  <r>
    <n v="84"/>
    <d v="2025-03-18T00:00:00"/>
    <s v="Roupas"/>
    <x v="18"/>
    <n v="18"/>
    <n v="91683.82"/>
    <n v="1650308.76"/>
  </r>
  <r>
    <n v="85"/>
    <d v="2025-08-02T00:00:00"/>
    <s v="Alimentos"/>
    <x v="24"/>
    <n v="10"/>
    <n v="23760.69"/>
    <n v="237606.9"/>
  </r>
  <r>
    <n v="86"/>
    <d v="2025-02-03T00:00:00"/>
    <s v="Alimentos"/>
    <x v="11"/>
    <n v="17"/>
    <n v="55833.75"/>
    <n v="949173.75"/>
  </r>
  <r>
    <n v="87"/>
    <d v="2025-09-15T00:00:00"/>
    <s v="Alimentos"/>
    <x v="26"/>
    <n v="8"/>
    <n v="12733.39"/>
    <n v="101867.12"/>
  </r>
  <r>
    <n v="88"/>
    <d v="2025-08-26T00:00:00"/>
    <s v="Alimentos"/>
    <x v="11"/>
    <n v="12"/>
    <n v="70684.179999999993"/>
    <n v="848210.16"/>
  </r>
  <r>
    <n v="89"/>
    <d v="2025-02-09T00:00:00"/>
    <s v="Higiene"/>
    <x v="21"/>
    <n v="12"/>
    <n v="82552.570000000007"/>
    <n v="990630.84"/>
  </r>
  <r>
    <n v="90"/>
    <d v="2025-08-11T00:00:00"/>
    <s v="Roupas"/>
    <x v="18"/>
    <n v="10"/>
    <n v="33635"/>
    <n v="336350"/>
  </r>
  <r>
    <n v="91"/>
    <d v="2025-04-26T00:00:00"/>
    <s v="Roupas"/>
    <x v="9"/>
    <n v="17"/>
    <n v="45099.78"/>
    <n v="766696.26"/>
  </r>
  <r>
    <n v="92"/>
    <d v="2025-07-19T00:00:00"/>
    <s v="Alimentos"/>
    <x v="19"/>
    <n v="12"/>
    <n v="70555.53"/>
    <n v="846666.36"/>
  </r>
  <r>
    <n v="93"/>
    <d v="2025-08-08T00:00:00"/>
    <s v="Bebidas"/>
    <x v="8"/>
    <n v="11"/>
    <n v="35096.160000000003"/>
    <n v="386057.76"/>
  </r>
  <r>
    <n v="94"/>
    <d v="2025-04-03T00:00:00"/>
    <s v="Bebidas"/>
    <x v="8"/>
    <n v="10"/>
    <n v="5028.37"/>
    <n v="50283.7"/>
  </r>
  <r>
    <n v="95"/>
    <d v="2025-08-13T00:00:00"/>
    <s v="Bebidas"/>
    <x v="8"/>
    <n v="4"/>
    <n v="87571.54"/>
    <n v="350286.16"/>
  </r>
  <r>
    <n v="96"/>
    <d v="2025-06-26T00:00:00"/>
    <s v="Eletrônicos"/>
    <x v="20"/>
    <n v="8"/>
    <n v="97511.58"/>
    <n v="780092.64"/>
  </r>
  <r>
    <n v="97"/>
    <d v="2025-03-11T00:00:00"/>
    <s v="Eletrônicos"/>
    <x v="20"/>
    <n v="2"/>
    <n v="99893.3"/>
    <n v="199786.6"/>
  </r>
  <r>
    <n v="98"/>
    <d v="2025-08-17T00:00:00"/>
    <s v="Higiene"/>
    <x v="21"/>
    <n v="17"/>
    <n v="51303.43"/>
    <n v="872158.31"/>
  </r>
  <r>
    <n v="99"/>
    <d v="2025-04-02T00:00:00"/>
    <s v="Roupas"/>
    <x v="9"/>
    <n v="17"/>
    <n v="34975.620000000003"/>
    <n v="594585.54"/>
  </r>
  <r>
    <n v="100"/>
    <d v="2025-01-19T00:00:00"/>
    <s v="Bebidas"/>
    <x v="3"/>
    <n v="9"/>
    <n v="83916.34"/>
    <n v="755247.06"/>
  </r>
  <r>
    <n v="101"/>
    <d v="2025-05-04T00:00:00"/>
    <s v="Eletrônicos"/>
    <x v="23"/>
    <n v="1"/>
    <n v="1375.89"/>
    <n v="1375.89"/>
  </r>
  <r>
    <n v="102"/>
    <d v="2025-02-22T00:00:00"/>
    <s v="Eletrônicos"/>
    <x v="20"/>
    <n v="9"/>
    <n v="86266.62"/>
    <n v="776399.58"/>
  </r>
  <r>
    <n v="103"/>
    <d v="2025-05-25T00:00:00"/>
    <s v="Higiene"/>
    <x v="6"/>
    <n v="17"/>
    <n v="18588.89"/>
    <n v="316011.13"/>
  </r>
  <r>
    <n v="104"/>
    <d v="2025-03-14T00:00:00"/>
    <s v="Bebidas"/>
    <x v="4"/>
    <n v="3"/>
    <n v="69998.039999999994"/>
    <n v="209994.12"/>
  </r>
  <r>
    <n v="105"/>
    <d v="2025-09-03T00:00:00"/>
    <s v="Higiene"/>
    <x v="14"/>
    <n v="7"/>
    <n v="18738.5"/>
    <n v="131169.5"/>
  </r>
  <r>
    <n v="106"/>
    <d v="2025-03-22T00:00:00"/>
    <s v="Eletrônicos"/>
    <x v="15"/>
    <n v="17"/>
    <n v="31564.86"/>
    <n v="536602.62"/>
  </r>
  <r>
    <n v="107"/>
    <d v="2025-08-08T00:00:00"/>
    <s v="Roupas"/>
    <x v="5"/>
    <n v="7"/>
    <n v="20611.64"/>
    <n v="144281.48000000001"/>
  </r>
  <r>
    <n v="108"/>
    <d v="2025-08-24T00:00:00"/>
    <s v="Higiene"/>
    <x v="6"/>
    <n v="18"/>
    <n v="43003.38"/>
    <n v="774060.84"/>
  </r>
  <r>
    <n v="109"/>
    <d v="2025-04-18T00:00:00"/>
    <s v="Bebidas"/>
    <x v="1"/>
    <n v="11"/>
    <n v="93410.16"/>
    <n v="1027511.76"/>
  </r>
  <r>
    <n v="110"/>
    <d v="2025-07-05T00:00:00"/>
    <s v="Eletrônicos"/>
    <x v="23"/>
    <n v="3"/>
    <n v="26350.31"/>
    <n v="79050.929999999993"/>
  </r>
  <r>
    <n v="111"/>
    <d v="2025-09-02T00:00:00"/>
    <s v="Roupas"/>
    <x v="18"/>
    <n v="15"/>
    <n v="42036"/>
    <n v="630540"/>
  </r>
  <r>
    <n v="112"/>
    <d v="2025-06-19T00:00:00"/>
    <s v="Alimentos"/>
    <x v="0"/>
    <n v="9"/>
    <n v="12155.31"/>
    <n v="109397.79"/>
  </r>
  <r>
    <n v="113"/>
    <d v="2025-09-15T00:00:00"/>
    <s v="Eletrônicos"/>
    <x v="15"/>
    <n v="1"/>
    <n v="73545.3"/>
    <n v="73545.3"/>
  </r>
  <r>
    <n v="114"/>
    <d v="2025-09-27T00:00:00"/>
    <s v="Higiene"/>
    <x v="12"/>
    <n v="2"/>
    <n v="65437.34"/>
    <n v="130874.68"/>
  </r>
  <r>
    <n v="115"/>
    <d v="2025-05-09T00:00:00"/>
    <s v="Alimentos"/>
    <x v="19"/>
    <n v="11"/>
    <n v="29236.11"/>
    <n v="321597.21000000002"/>
  </r>
  <r>
    <n v="116"/>
    <d v="2025-04-04T00:00:00"/>
    <s v="Bebidas"/>
    <x v="3"/>
    <n v="16"/>
    <n v="77717.03"/>
    <n v="1243472.48"/>
  </r>
  <r>
    <n v="117"/>
    <d v="2025-09-28T00:00:00"/>
    <s v="Bebidas"/>
    <x v="3"/>
    <n v="19"/>
    <n v="98993.44"/>
    <n v="1880875.36"/>
  </r>
  <r>
    <n v="118"/>
    <d v="2025-08-23T00:00:00"/>
    <s v="Alimentos"/>
    <x v="0"/>
    <n v="5"/>
    <n v="60451.15"/>
    <n v="302255.75"/>
  </r>
  <r>
    <n v="119"/>
    <d v="2025-02-19T00:00:00"/>
    <s v="Higiene"/>
    <x v="14"/>
    <n v="6"/>
    <n v="70122.73"/>
    <n v="420736.38"/>
  </r>
  <r>
    <n v="120"/>
    <d v="2025-08-08T00:00:00"/>
    <s v="Bebidas"/>
    <x v="1"/>
    <n v="10"/>
    <n v="47501.81"/>
    <n v="475018.1"/>
  </r>
  <r>
    <n v="121"/>
    <d v="2025-07-21T00:00:00"/>
    <s v="Bebidas"/>
    <x v="4"/>
    <n v="6"/>
    <n v="35873.550000000003"/>
    <n v="215241.3"/>
  </r>
  <r>
    <n v="122"/>
    <d v="2025-01-16T00:00:00"/>
    <s v="Higiene"/>
    <x v="12"/>
    <n v="16"/>
    <n v="62912.28"/>
    <n v="1006596.48"/>
  </r>
  <r>
    <n v="123"/>
    <d v="2025-08-03T00:00:00"/>
    <s v="Higiene"/>
    <x v="22"/>
    <n v="8"/>
    <n v="20243.98"/>
    <n v="161951.84"/>
  </r>
  <r>
    <n v="124"/>
    <d v="2025-03-23T00:00:00"/>
    <s v="Roupas"/>
    <x v="5"/>
    <n v="14"/>
    <n v="58486.25"/>
    <n v="818807.5"/>
  </r>
  <r>
    <n v="125"/>
    <d v="2025-05-03T00:00:00"/>
    <s v="Higiene"/>
    <x v="6"/>
    <n v="11"/>
    <n v="5649.77"/>
    <n v="62147.47"/>
  </r>
  <r>
    <n v="126"/>
    <d v="2025-08-22T00:00:00"/>
    <s v="Roupas"/>
    <x v="9"/>
    <n v="18"/>
    <n v="38550.15"/>
    <n v="693902.7"/>
  </r>
  <r>
    <n v="127"/>
    <d v="2025-03-16T00:00:00"/>
    <s v="Alimentos"/>
    <x v="0"/>
    <n v="12"/>
    <n v="38396.300000000003"/>
    <n v="460755.6"/>
  </r>
  <r>
    <n v="128"/>
    <d v="2025-07-11T00:00:00"/>
    <s v="Roupas"/>
    <x v="5"/>
    <n v="14"/>
    <n v="96426.95"/>
    <n v="1349977.3"/>
  </r>
  <r>
    <n v="129"/>
    <d v="2025-07-04T00:00:00"/>
    <s v="Roupas"/>
    <x v="5"/>
    <n v="5"/>
    <n v="83716.06"/>
    <n v="418580.3"/>
  </r>
  <r>
    <n v="130"/>
    <d v="2025-08-08T00:00:00"/>
    <s v="Eletrônicos"/>
    <x v="15"/>
    <n v="18"/>
    <n v="69065.240000000005"/>
    <n v="1243174.32"/>
  </r>
  <r>
    <n v="131"/>
    <d v="2025-06-26T00:00:00"/>
    <s v="Roupas"/>
    <x v="9"/>
    <n v="7"/>
    <n v="2576.31"/>
    <n v="18034.169999999998"/>
  </r>
  <r>
    <n v="132"/>
    <d v="2025-09-16T00:00:00"/>
    <s v="Alimentos"/>
    <x v="24"/>
    <n v="4"/>
    <n v="36686.379999999997"/>
    <n v="146745.51999999999"/>
  </r>
  <r>
    <n v="133"/>
    <d v="2025-03-13T00:00:00"/>
    <s v="Alimentos"/>
    <x v="24"/>
    <n v="5"/>
    <n v="7147.92"/>
    <n v="35739.599999999999"/>
  </r>
  <r>
    <n v="134"/>
    <d v="2025-03-16T00:00:00"/>
    <s v="Bebidas"/>
    <x v="4"/>
    <n v="14"/>
    <n v="32250.27"/>
    <n v="451503.78"/>
  </r>
  <r>
    <n v="135"/>
    <d v="2025-05-01T00:00:00"/>
    <s v="Higiene"/>
    <x v="6"/>
    <n v="12"/>
    <n v="5947.92"/>
    <n v="71375.039999999994"/>
  </r>
  <r>
    <n v="136"/>
    <d v="2025-07-21T00:00:00"/>
    <s v="Eletrônicos"/>
    <x v="16"/>
    <n v="2"/>
    <n v="86539.04"/>
    <n v="173078.08"/>
  </r>
  <r>
    <n v="137"/>
    <d v="2025-04-02T00:00:00"/>
    <s v="Alimentos"/>
    <x v="24"/>
    <n v="16"/>
    <n v="28552.93"/>
    <n v="456846.88"/>
  </r>
  <r>
    <n v="138"/>
    <d v="2025-09-09T00:00:00"/>
    <s v="Alimentos"/>
    <x v="24"/>
    <n v="19"/>
    <n v="49708.38"/>
    <n v="944459.22"/>
  </r>
  <r>
    <n v="139"/>
    <d v="2025-08-06T00:00:00"/>
    <s v="Bebidas"/>
    <x v="3"/>
    <n v="17"/>
    <n v="43988.54"/>
    <n v="747805.18"/>
  </r>
  <r>
    <n v="140"/>
    <d v="2025-01-12T00:00:00"/>
    <s v="Roupas"/>
    <x v="7"/>
    <n v="10"/>
    <n v="19795.46"/>
    <n v="197954.6"/>
  </r>
  <r>
    <n v="141"/>
    <d v="2025-02-17T00:00:00"/>
    <s v="Higiene"/>
    <x v="12"/>
    <n v="9"/>
    <n v="35832.959999999999"/>
    <n v="322496.64000000001"/>
  </r>
  <r>
    <n v="142"/>
    <d v="2025-06-02T00:00:00"/>
    <s v="Roupas"/>
    <x v="18"/>
    <n v="12"/>
    <n v="29118.2"/>
    <n v="349418.4"/>
  </r>
  <r>
    <n v="143"/>
    <d v="2025-04-17T00:00:00"/>
    <s v="Higiene"/>
    <x v="22"/>
    <n v="3"/>
    <n v="63433.36"/>
    <n v="190300.08"/>
  </r>
  <r>
    <n v="144"/>
    <d v="2025-05-21T00:00:00"/>
    <s v="Bebidas"/>
    <x v="8"/>
    <n v="16"/>
    <n v="83793.710000000006"/>
    <n v="1340699.3600000001"/>
  </r>
  <r>
    <n v="145"/>
    <d v="2025-08-09T00:00:00"/>
    <s v="Eletrônicos"/>
    <x v="20"/>
    <n v="3"/>
    <n v="70205.5"/>
    <n v="210616.5"/>
  </r>
  <r>
    <n v="146"/>
    <d v="2025-01-10T00:00:00"/>
    <s v="Higiene"/>
    <x v="6"/>
    <n v="18"/>
    <n v="75990.23"/>
    <n v="1367824.14"/>
  </r>
  <r>
    <n v="147"/>
    <d v="2025-08-14T00:00:00"/>
    <s v="Bebidas"/>
    <x v="3"/>
    <n v="14"/>
    <n v="17749.11"/>
    <n v="248487.54"/>
  </r>
  <r>
    <n v="148"/>
    <d v="2025-03-25T00:00:00"/>
    <s v="Roupas"/>
    <x v="7"/>
    <n v="9"/>
    <n v="86841.67"/>
    <n v="781575.03"/>
  </r>
  <r>
    <n v="149"/>
    <d v="2025-08-11T00:00:00"/>
    <s v="Higiene"/>
    <x v="12"/>
    <n v="5"/>
    <n v="1223.68"/>
    <n v="6118.4"/>
  </r>
  <r>
    <n v="150"/>
    <d v="2025-06-24T00:00:00"/>
    <s v="Roupas"/>
    <x v="9"/>
    <n v="3"/>
    <n v="31587.77"/>
    <n v="94763.31"/>
  </r>
  <r>
    <n v="151"/>
    <d v="2025-01-17T00:00:00"/>
    <s v="Eletrônicos"/>
    <x v="16"/>
    <n v="19"/>
    <n v="41181.82"/>
    <n v="782454.58"/>
  </r>
  <r>
    <n v="152"/>
    <d v="2025-06-19T00:00:00"/>
    <s v="Alimentos"/>
    <x v="19"/>
    <n v="7"/>
    <n v="81570.649999999994"/>
    <n v="570994.55000000005"/>
  </r>
  <r>
    <n v="153"/>
    <d v="2025-02-18T00:00:00"/>
    <s v="Eletrônicos"/>
    <x v="15"/>
    <n v="12"/>
    <n v="55960.73"/>
    <n v="671528.76"/>
  </r>
  <r>
    <n v="154"/>
    <d v="2025-07-09T00:00:00"/>
    <s v="Bebidas"/>
    <x v="2"/>
    <n v="12"/>
    <n v="64714.74"/>
    <n v="776576.88"/>
  </r>
  <r>
    <n v="155"/>
    <d v="2025-06-10T00:00:00"/>
    <s v="Alimentos"/>
    <x v="0"/>
    <n v="6"/>
    <n v="76113.98"/>
    <n v="456683.88"/>
  </r>
  <r>
    <n v="156"/>
    <d v="2025-01-05T00:00:00"/>
    <s v="Roupas"/>
    <x v="18"/>
    <n v="13"/>
    <n v="58780.23"/>
    <n v="764142.99"/>
  </r>
  <r>
    <n v="157"/>
    <d v="2025-09-26T00:00:00"/>
    <s v="Alimentos"/>
    <x v="19"/>
    <n v="12"/>
    <n v="48853.95"/>
    <n v="586247.4"/>
  </r>
  <r>
    <n v="158"/>
    <d v="2025-05-21T00:00:00"/>
    <s v="Higiene"/>
    <x v="6"/>
    <n v="8"/>
    <n v="6023.73"/>
    <n v="48189.84"/>
  </r>
  <r>
    <n v="159"/>
    <d v="2025-06-02T00:00:00"/>
    <s v="Eletrônicos"/>
    <x v="23"/>
    <n v="17"/>
    <n v="71424.679999999993"/>
    <n v="1214219.56"/>
  </r>
  <r>
    <n v="160"/>
    <d v="2025-05-11T00:00:00"/>
    <s v="Bebidas"/>
    <x v="1"/>
    <n v="12"/>
    <n v="2211.31"/>
    <n v="26535.72"/>
  </r>
  <r>
    <n v="161"/>
    <d v="2025-03-12T00:00:00"/>
    <s v="Eletrônicos"/>
    <x v="23"/>
    <n v="18"/>
    <n v="99450.41"/>
    <n v="1790107.38"/>
  </r>
  <r>
    <n v="162"/>
    <d v="2025-06-06T00:00:00"/>
    <s v="Bebidas"/>
    <x v="1"/>
    <n v="15"/>
    <n v="20777.57"/>
    <n v="311663.55"/>
  </r>
  <r>
    <n v="163"/>
    <d v="2025-01-27T00:00:00"/>
    <s v="Eletrônicos"/>
    <x v="15"/>
    <n v="8"/>
    <n v="44130.63"/>
    <n v="353045.04"/>
  </r>
  <r>
    <n v="164"/>
    <d v="2025-01-13T00:00:00"/>
    <s v="Bebidas"/>
    <x v="2"/>
    <n v="6"/>
    <n v="42668.69"/>
    <n v="256012.14"/>
  </r>
  <r>
    <n v="165"/>
    <d v="2025-04-06T00:00:00"/>
    <s v="Roupas"/>
    <x v="18"/>
    <n v="3"/>
    <n v="98866.78"/>
    <n v="296600.34000000003"/>
  </r>
  <r>
    <n v="166"/>
    <d v="2025-05-16T00:00:00"/>
    <s v="Bebidas"/>
    <x v="8"/>
    <n v="18"/>
    <n v="80608.509999999995"/>
    <n v="1450953.18"/>
  </r>
  <r>
    <n v="167"/>
    <d v="2025-03-19T00:00:00"/>
    <s v="Higiene"/>
    <x v="21"/>
    <n v="13"/>
    <n v="85795.08"/>
    <n v="1115336.04"/>
  </r>
  <r>
    <n v="168"/>
    <d v="2025-06-13T00:00:00"/>
    <s v="Higiene"/>
    <x v="12"/>
    <n v="17"/>
    <n v="84263.51"/>
    <n v="1432479.67"/>
  </r>
  <r>
    <n v="169"/>
    <d v="2025-01-07T00:00:00"/>
    <s v="Roupas"/>
    <x v="5"/>
    <n v="13"/>
    <n v="54761.3"/>
    <n v="711896.9"/>
  </r>
  <r>
    <n v="170"/>
    <d v="2025-02-22T00:00:00"/>
    <s v="Alimentos"/>
    <x v="10"/>
    <n v="1"/>
    <n v="83119.149999999994"/>
    <n v="83119.149999999994"/>
  </r>
  <r>
    <n v="171"/>
    <d v="2025-09-06T00:00:00"/>
    <s v="Bebidas"/>
    <x v="1"/>
    <n v="15"/>
    <n v="58925.93"/>
    <n v="883888.95"/>
  </r>
  <r>
    <n v="172"/>
    <d v="2025-08-02T00:00:00"/>
    <s v="Alimentos"/>
    <x v="0"/>
    <n v="18"/>
    <n v="76046.34"/>
    <n v="1368834.12"/>
  </r>
  <r>
    <n v="173"/>
    <d v="2025-09-23T00:00:00"/>
    <s v="Alimentos"/>
    <x v="26"/>
    <n v="1"/>
    <n v="81566.53"/>
    <n v="81566.53"/>
  </r>
  <r>
    <n v="174"/>
    <d v="2025-07-22T00:00:00"/>
    <s v="Roupas"/>
    <x v="17"/>
    <n v="14"/>
    <n v="61718.81"/>
    <n v="864063.34"/>
  </r>
  <r>
    <n v="175"/>
    <d v="2025-02-11T00:00:00"/>
    <s v="Alimentos"/>
    <x v="11"/>
    <n v="3"/>
    <n v="41773.29"/>
    <n v="125319.87"/>
  </r>
  <r>
    <n v="176"/>
    <d v="2025-05-12T00:00:00"/>
    <s v="Roupas"/>
    <x v="7"/>
    <n v="1"/>
    <n v="2196.11"/>
    <n v="2196.11"/>
  </r>
  <r>
    <n v="177"/>
    <d v="2025-05-20T00:00:00"/>
    <s v="Eletrônicos"/>
    <x v="23"/>
    <n v="10"/>
    <n v="85941.28"/>
    <n v="859412.8"/>
  </r>
  <r>
    <n v="178"/>
    <d v="2025-09-14T00:00:00"/>
    <s v="Eletrônicos"/>
    <x v="13"/>
    <n v="11"/>
    <n v="69295.34"/>
    <n v="762248.74"/>
  </r>
  <r>
    <n v="179"/>
    <d v="2025-05-16T00:00:00"/>
    <s v="Alimentos"/>
    <x v="0"/>
    <n v="18"/>
    <n v="93929.27"/>
    <n v="1690726.86"/>
  </r>
  <r>
    <n v="180"/>
    <d v="2025-01-23T00:00:00"/>
    <s v="Bebidas"/>
    <x v="8"/>
    <n v="17"/>
    <n v="41616.97"/>
    <n v="707488.49"/>
  </r>
  <r>
    <n v="181"/>
    <d v="2025-02-16T00:00:00"/>
    <s v="Roupas"/>
    <x v="17"/>
    <n v="18"/>
    <n v="50177.37"/>
    <n v="903192.66"/>
  </r>
  <r>
    <n v="182"/>
    <d v="2025-08-08T00:00:00"/>
    <s v="Alimentos"/>
    <x v="11"/>
    <n v="9"/>
    <n v="95143.23"/>
    <n v="856289.07"/>
  </r>
  <r>
    <n v="183"/>
    <d v="2025-02-26T00:00:00"/>
    <s v="Bebidas"/>
    <x v="4"/>
    <n v="18"/>
    <n v="6252.24"/>
    <n v="112540.32"/>
  </r>
  <r>
    <n v="184"/>
    <d v="2025-06-16T00:00:00"/>
    <s v="Alimentos"/>
    <x v="26"/>
    <n v="12"/>
    <n v="63431.29"/>
    <n v="761175.48"/>
  </r>
  <r>
    <n v="185"/>
    <d v="2025-05-16T00:00:00"/>
    <s v="Bebidas"/>
    <x v="2"/>
    <n v="18"/>
    <n v="62758.45"/>
    <n v="1129652.1000000001"/>
  </r>
  <r>
    <n v="186"/>
    <d v="2025-02-02T00:00:00"/>
    <s v="Bebidas"/>
    <x v="8"/>
    <n v="15"/>
    <n v="4619.1499999999996"/>
    <n v="69287.25"/>
  </r>
  <r>
    <n v="187"/>
    <d v="2025-02-26T00:00:00"/>
    <s v="Eletrônicos"/>
    <x v="13"/>
    <n v="17"/>
    <n v="83093.38"/>
    <n v="1412587.46"/>
  </r>
  <r>
    <n v="188"/>
    <d v="2025-01-10T00:00:00"/>
    <s v="Alimentos"/>
    <x v="25"/>
    <n v="9"/>
    <n v="98266.57"/>
    <n v="884399.13"/>
  </r>
  <r>
    <n v="189"/>
    <d v="2025-09-15T00:00:00"/>
    <s v="Higiene"/>
    <x v="12"/>
    <n v="16"/>
    <n v="86799.42"/>
    <n v="1388790.72"/>
  </r>
  <r>
    <n v="190"/>
    <d v="2025-06-03T00:00:00"/>
    <s v="Alimentos"/>
    <x v="11"/>
    <n v="5"/>
    <n v="73037.03"/>
    <n v="365185.15"/>
  </r>
  <r>
    <n v="191"/>
    <d v="2025-06-10T00:00:00"/>
    <s v="Alimentos"/>
    <x v="26"/>
    <n v="2"/>
    <n v="67588.86"/>
    <n v="135177.72"/>
  </r>
  <r>
    <n v="192"/>
    <d v="2025-01-15T00:00:00"/>
    <s v="Roupas"/>
    <x v="17"/>
    <n v="8"/>
    <n v="3249.6"/>
    <n v="25996.799999999999"/>
  </r>
  <r>
    <n v="193"/>
    <d v="2025-07-20T00:00:00"/>
    <s v="Eletrônicos"/>
    <x v="16"/>
    <n v="6"/>
    <n v="11717.99"/>
    <n v="70307.94"/>
  </r>
  <r>
    <n v="194"/>
    <d v="2025-09-11T00:00:00"/>
    <s v="Alimentos"/>
    <x v="25"/>
    <n v="17"/>
    <n v="60021.8"/>
    <n v="1020370.6"/>
  </r>
  <r>
    <n v="195"/>
    <d v="2025-02-25T00:00:00"/>
    <s v="Roupas"/>
    <x v="7"/>
    <n v="18"/>
    <n v="18422.02"/>
    <n v="331596.36"/>
  </r>
  <r>
    <n v="196"/>
    <d v="2025-08-05T00:00:00"/>
    <s v="Alimentos"/>
    <x v="24"/>
    <n v="3"/>
    <n v="50347.01"/>
    <n v="151041.03"/>
  </r>
  <r>
    <n v="197"/>
    <d v="2025-06-19T00:00:00"/>
    <s v="Bebidas"/>
    <x v="1"/>
    <n v="15"/>
    <n v="44372.59"/>
    <n v="665588.85"/>
  </r>
  <r>
    <n v="198"/>
    <d v="2025-04-08T00:00:00"/>
    <s v="Roupas"/>
    <x v="7"/>
    <n v="15"/>
    <n v="6174.78"/>
    <n v="92621.7"/>
  </r>
  <r>
    <n v="199"/>
    <d v="2025-07-26T00:00:00"/>
    <s v="Higiene"/>
    <x v="12"/>
    <n v="20"/>
    <n v="25246.85"/>
    <n v="504937"/>
  </r>
  <r>
    <n v="200"/>
    <d v="2025-09-02T00:00:00"/>
    <s v="Eletrônicos"/>
    <x v="20"/>
    <n v="2"/>
    <n v="51570.91"/>
    <n v="103141.82"/>
  </r>
  <r>
    <n v="201"/>
    <d v="2025-03-18T00:00:00"/>
    <s v="Higiene"/>
    <x v="21"/>
    <n v="14"/>
    <n v="33830.57"/>
    <n v="473627.98"/>
  </r>
  <r>
    <n v="202"/>
    <d v="2025-01-09T00:00:00"/>
    <s v="Bebidas"/>
    <x v="2"/>
    <n v="4"/>
    <n v="51463.1"/>
    <n v="205852.4"/>
  </r>
  <r>
    <n v="203"/>
    <d v="2025-08-25T00:00:00"/>
    <s v="Higiene"/>
    <x v="6"/>
    <n v="9"/>
    <n v="64978.239999999998"/>
    <n v="584804.16"/>
  </r>
  <r>
    <n v="204"/>
    <d v="2025-06-14T00:00:00"/>
    <s v="Higiene"/>
    <x v="6"/>
    <n v="13"/>
    <n v="31815.8"/>
    <n v="413605.4"/>
  </r>
  <r>
    <n v="205"/>
    <d v="2025-04-17T00:00:00"/>
    <s v="Eletrônicos"/>
    <x v="13"/>
    <n v="9"/>
    <n v="53494.34"/>
    <n v="481449.06"/>
  </r>
  <r>
    <n v="206"/>
    <d v="2025-09-10T00:00:00"/>
    <s v="Alimentos"/>
    <x v="19"/>
    <n v="13"/>
    <n v="77260"/>
    <n v="1004380"/>
  </r>
  <r>
    <n v="207"/>
    <d v="2025-01-08T00:00:00"/>
    <s v="Bebidas"/>
    <x v="3"/>
    <n v="3"/>
    <n v="65584.52"/>
    <n v="196753.56"/>
  </r>
  <r>
    <n v="208"/>
    <d v="2025-05-19T00:00:00"/>
    <s v="Higiene"/>
    <x v="6"/>
    <n v="14"/>
    <n v="12066.19"/>
    <n v="168926.66"/>
  </r>
  <r>
    <n v="209"/>
    <d v="2025-03-05T00:00:00"/>
    <s v="Eletrônicos"/>
    <x v="13"/>
    <n v="20"/>
    <n v="43189.42"/>
    <n v="863788.4"/>
  </r>
  <r>
    <n v="210"/>
    <d v="2025-08-18T00:00:00"/>
    <s v="Alimentos"/>
    <x v="11"/>
    <n v="14"/>
    <n v="24670.61"/>
    <n v="345388.54"/>
  </r>
  <r>
    <n v="211"/>
    <d v="2025-09-24T00:00:00"/>
    <s v="Roupas"/>
    <x v="17"/>
    <n v="2"/>
    <n v="33430.080000000002"/>
    <n v="66860.160000000003"/>
  </r>
  <r>
    <n v="212"/>
    <d v="2025-05-17T00:00:00"/>
    <s v="Higiene"/>
    <x v="22"/>
    <n v="20"/>
    <n v="22190.37"/>
    <n v="443807.4"/>
  </r>
  <r>
    <n v="213"/>
    <d v="2025-01-19T00:00:00"/>
    <s v="Higiene"/>
    <x v="21"/>
    <n v="15"/>
    <n v="95894.35"/>
    <n v="1438415.25"/>
  </r>
  <r>
    <n v="214"/>
    <d v="2025-03-15T00:00:00"/>
    <s v="Bebidas"/>
    <x v="3"/>
    <n v="6"/>
    <n v="1747.96"/>
    <n v="10487.76"/>
  </r>
  <r>
    <n v="215"/>
    <d v="2025-05-10T00:00:00"/>
    <s v="Alimentos"/>
    <x v="0"/>
    <n v="4"/>
    <n v="12285.73"/>
    <n v="49142.92"/>
  </r>
  <r>
    <n v="216"/>
    <d v="2025-09-03T00:00:00"/>
    <s v="Alimentos"/>
    <x v="26"/>
    <n v="17"/>
    <n v="83640.100000000006"/>
    <n v="1421881.7"/>
  </r>
  <r>
    <n v="217"/>
    <d v="2025-03-04T00:00:00"/>
    <s v="Bebidas"/>
    <x v="3"/>
    <n v="4"/>
    <n v="60962.07"/>
    <n v="243848.28"/>
  </r>
  <r>
    <n v="218"/>
    <d v="2025-03-01T00:00:00"/>
    <s v="Eletrônicos"/>
    <x v="20"/>
    <n v="18"/>
    <n v="52758.66"/>
    <n v="949655.88"/>
  </r>
  <r>
    <n v="219"/>
    <d v="2025-04-26T00:00:00"/>
    <s v="Eletrônicos"/>
    <x v="16"/>
    <n v="3"/>
    <n v="85497.39"/>
    <n v="256492.17"/>
  </r>
  <r>
    <n v="220"/>
    <d v="2025-04-17T00:00:00"/>
    <s v="Eletrônicos"/>
    <x v="23"/>
    <n v="1"/>
    <n v="2441.7199999999998"/>
    <n v="2441.7199999999998"/>
  </r>
  <r>
    <n v="221"/>
    <d v="2025-06-01T00:00:00"/>
    <s v="Roupas"/>
    <x v="17"/>
    <n v="13"/>
    <n v="67317.539999999994"/>
    <n v="875128.02"/>
  </r>
  <r>
    <n v="222"/>
    <d v="2025-01-07T00:00:00"/>
    <s v="Alimentos"/>
    <x v="24"/>
    <n v="13"/>
    <n v="83671.75"/>
    <n v="1087732.75"/>
  </r>
  <r>
    <n v="223"/>
    <d v="2025-02-26T00:00:00"/>
    <s v="Eletrônicos"/>
    <x v="16"/>
    <n v="19"/>
    <n v="76211.48"/>
    <n v="1448018.12"/>
  </r>
  <r>
    <n v="224"/>
    <d v="2025-06-28T00:00:00"/>
    <s v="Eletrônicos"/>
    <x v="20"/>
    <n v="16"/>
    <n v="99704.47"/>
    <n v="1595271.52"/>
  </r>
  <r>
    <n v="225"/>
    <d v="2025-07-03T00:00:00"/>
    <s v="Eletrônicos"/>
    <x v="15"/>
    <n v="12"/>
    <n v="49562.27"/>
    <n v="594747.24"/>
  </r>
  <r>
    <n v="226"/>
    <d v="2025-06-07T00:00:00"/>
    <s v="Roupas"/>
    <x v="17"/>
    <n v="10"/>
    <n v="11953.93"/>
    <n v="119539.3"/>
  </r>
  <r>
    <n v="227"/>
    <d v="2025-08-13T00:00:00"/>
    <s v="Bebidas"/>
    <x v="2"/>
    <n v="14"/>
    <n v="84160.62"/>
    <n v="1178248.68"/>
  </r>
  <r>
    <n v="228"/>
    <d v="2025-09-02T00:00:00"/>
    <s v="Roupas"/>
    <x v="5"/>
    <n v="13"/>
    <n v="99205.45"/>
    <n v="1289670.8500000001"/>
  </r>
  <r>
    <n v="229"/>
    <d v="2025-02-06T00:00:00"/>
    <s v="Roupas"/>
    <x v="7"/>
    <n v="14"/>
    <n v="15538.23"/>
    <n v="217535.22"/>
  </r>
  <r>
    <n v="230"/>
    <d v="2025-02-01T00:00:00"/>
    <s v="Bebidas"/>
    <x v="1"/>
    <n v="19"/>
    <n v="82512.77"/>
    <n v="1567742.63"/>
  </r>
  <r>
    <n v="231"/>
    <d v="2025-02-03T00:00:00"/>
    <s v="Bebidas"/>
    <x v="3"/>
    <n v="7"/>
    <n v="13694.54"/>
    <n v="95861.78"/>
  </r>
  <r>
    <n v="232"/>
    <d v="2025-07-16T00:00:00"/>
    <s v="Higiene"/>
    <x v="22"/>
    <n v="15"/>
    <n v="17995.05"/>
    <n v="269925.75"/>
  </r>
  <r>
    <n v="233"/>
    <d v="2025-05-22T00:00:00"/>
    <s v="Bebidas"/>
    <x v="4"/>
    <n v="14"/>
    <n v="6064"/>
    <n v="84896"/>
  </r>
  <r>
    <n v="234"/>
    <d v="2025-01-10T00:00:00"/>
    <s v="Bebidas"/>
    <x v="4"/>
    <n v="10"/>
    <n v="81154.33"/>
    <n v="811543.3"/>
  </r>
  <r>
    <n v="235"/>
    <d v="2025-08-18T00:00:00"/>
    <s v="Roupas"/>
    <x v="17"/>
    <n v="18"/>
    <n v="21601.06"/>
    <n v="388819.08"/>
  </r>
  <r>
    <n v="236"/>
    <d v="2025-06-10T00:00:00"/>
    <s v="Higiene"/>
    <x v="14"/>
    <n v="7"/>
    <n v="95365.64"/>
    <n v="667559.48"/>
  </r>
  <r>
    <n v="237"/>
    <d v="2025-01-28T00:00:00"/>
    <s v="Bebidas"/>
    <x v="1"/>
    <n v="9"/>
    <n v="94534.95"/>
    <n v="850814.55"/>
  </r>
  <r>
    <n v="238"/>
    <d v="2025-03-09T00:00:00"/>
    <s v="Roupas"/>
    <x v="7"/>
    <n v="2"/>
    <n v="44356.44"/>
    <n v="88712.88"/>
  </r>
  <r>
    <n v="239"/>
    <d v="2025-05-19T00:00:00"/>
    <s v="Bebidas"/>
    <x v="8"/>
    <n v="2"/>
    <n v="47787.61"/>
    <n v="95575.22"/>
  </r>
  <r>
    <n v="240"/>
    <d v="2025-08-01T00:00:00"/>
    <s v="Higiene"/>
    <x v="21"/>
    <n v="8"/>
    <n v="53397.22"/>
    <n v="427177.76"/>
  </r>
  <r>
    <n v="241"/>
    <d v="2025-06-21T00:00:00"/>
    <s v="Roupas"/>
    <x v="17"/>
    <n v="3"/>
    <n v="56879.26"/>
    <n v="170637.78"/>
  </r>
  <r>
    <n v="242"/>
    <d v="2025-08-05T00:00:00"/>
    <s v="Higiene"/>
    <x v="12"/>
    <n v="6"/>
    <n v="85583.03"/>
    <n v="513498.18"/>
  </r>
  <r>
    <n v="243"/>
    <d v="2025-06-19T00:00:00"/>
    <s v="Higiene"/>
    <x v="22"/>
    <n v="8"/>
    <n v="44980.24"/>
    <n v="359841.92"/>
  </r>
  <r>
    <n v="244"/>
    <d v="2025-05-01T00:00:00"/>
    <s v="Alimentos"/>
    <x v="11"/>
    <n v="15"/>
    <n v="67270.820000000007"/>
    <n v="1009062.3"/>
  </r>
  <r>
    <n v="245"/>
    <d v="2025-07-27T00:00:00"/>
    <s v="Higiene"/>
    <x v="12"/>
    <n v="2"/>
    <n v="57081.77"/>
    <n v="114163.54"/>
  </r>
  <r>
    <n v="246"/>
    <d v="2025-06-09T00:00:00"/>
    <s v="Alimentos"/>
    <x v="24"/>
    <n v="4"/>
    <n v="6622.95"/>
    <n v="26491.8"/>
  </r>
  <r>
    <n v="247"/>
    <d v="2025-01-06T00:00:00"/>
    <s v="Eletrônicos"/>
    <x v="15"/>
    <n v="10"/>
    <n v="8590.4"/>
    <n v="85904"/>
  </r>
  <r>
    <n v="248"/>
    <d v="2025-06-23T00:00:00"/>
    <s v="Higiene"/>
    <x v="14"/>
    <n v="17"/>
    <n v="63577.2"/>
    <n v="1080812.3999999999"/>
  </r>
  <r>
    <n v="249"/>
    <d v="2025-04-02T00:00:00"/>
    <s v="Roupas"/>
    <x v="18"/>
    <n v="2"/>
    <n v="22629.02"/>
    <n v="45258.04"/>
  </r>
  <r>
    <n v="250"/>
    <d v="2025-06-13T00:00:00"/>
    <s v="Eletrônicos"/>
    <x v="15"/>
    <n v="1"/>
    <n v="50450.68"/>
    <n v="50450.68"/>
  </r>
  <r>
    <n v="251"/>
    <d v="2025-04-15T00:00:00"/>
    <s v="Bebidas"/>
    <x v="3"/>
    <n v="19"/>
    <n v="34372.160000000003"/>
    <n v="653071.04"/>
  </r>
  <r>
    <n v="252"/>
    <d v="2025-09-27T00:00:00"/>
    <s v="Higiene"/>
    <x v="22"/>
    <n v="7"/>
    <n v="88404.51"/>
    <n v="618831.56999999995"/>
  </r>
  <r>
    <n v="253"/>
    <d v="2025-03-23T00:00:00"/>
    <s v="Eletrônicos"/>
    <x v="20"/>
    <n v="14"/>
    <n v="95276.99"/>
    <n v="1333877.8600000001"/>
  </r>
  <r>
    <n v="254"/>
    <d v="2025-03-21T00:00:00"/>
    <s v="Bebidas"/>
    <x v="1"/>
    <n v="1"/>
    <n v="63408.26"/>
    <n v="63408.26"/>
  </r>
  <r>
    <n v="255"/>
    <d v="2025-09-23T00:00:00"/>
    <s v="Higiene"/>
    <x v="22"/>
    <n v="17"/>
    <n v="10866.12"/>
    <n v="184724.04"/>
  </r>
  <r>
    <n v="256"/>
    <d v="2025-08-22T00:00:00"/>
    <s v="Bebidas"/>
    <x v="1"/>
    <n v="4"/>
    <n v="68120.75"/>
    <n v="272483"/>
  </r>
  <r>
    <n v="257"/>
    <d v="2025-05-02T00:00:00"/>
    <s v="Bebidas"/>
    <x v="8"/>
    <n v="2"/>
    <n v="32685.53"/>
    <n v="65371.06"/>
  </r>
  <r>
    <n v="258"/>
    <d v="2025-01-23T00:00:00"/>
    <s v="Bebidas"/>
    <x v="4"/>
    <n v="2"/>
    <n v="35577.46"/>
    <n v="71154.92"/>
  </r>
  <r>
    <n v="259"/>
    <d v="2025-03-23T00:00:00"/>
    <s v="Higiene"/>
    <x v="6"/>
    <n v="10"/>
    <n v="40468.589999999997"/>
    <n v="404685.9"/>
  </r>
  <r>
    <n v="260"/>
    <d v="2025-04-20T00:00:00"/>
    <s v="Bebidas"/>
    <x v="1"/>
    <n v="20"/>
    <n v="23762.33"/>
    <n v="475246.6"/>
  </r>
  <r>
    <n v="261"/>
    <d v="2025-09-20T00:00:00"/>
    <s v="Eletrônicos"/>
    <x v="20"/>
    <n v="7"/>
    <n v="42441.45"/>
    <n v="297090.15000000002"/>
  </r>
  <r>
    <n v="262"/>
    <d v="2025-08-02T00:00:00"/>
    <s v="Bebidas"/>
    <x v="3"/>
    <n v="16"/>
    <n v="17307.89"/>
    <n v="276926.24"/>
  </r>
  <r>
    <n v="263"/>
    <d v="2025-06-15T00:00:00"/>
    <s v="Roupas"/>
    <x v="5"/>
    <n v="20"/>
    <n v="72460.899999999994"/>
    <n v="1449218"/>
  </r>
  <r>
    <n v="264"/>
    <d v="2025-03-10T00:00:00"/>
    <s v="Higiene"/>
    <x v="12"/>
    <n v="15"/>
    <n v="89092.92"/>
    <n v="1336393.8"/>
  </r>
  <r>
    <n v="265"/>
    <d v="2025-07-25T00:00:00"/>
    <s v="Higiene"/>
    <x v="21"/>
    <n v="14"/>
    <n v="79789.7"/>
    <n v="1117055.8"/>
  </r>
  <r>
    <n v="266"/>
    <d v="2025-05-09T00:00:00"/>
    <s v="Roupas"/>
    <x v="9"/>
    <n v="15"/>
    <n v="58652.27"/>
    <n v="879784.05"/>
  </r>
  <r>
    <n v="267"/>
    <d v="2025-08-26T00:00:00"/>
    <s v="Higiene"/>
    <x v="14"/>
    <n v="17"/>
    <n v="94901.13"/>
    <n v="1613319.21"/>
  </r>
  <r>
    <n v="268"/>
    <d v="2025-07-11T00:00:00"/>
    <s v="Roupas"/>
    <x v="17"/>
    <n v="17"/>
    <n v="97570.14"/>
    <n v="1658692.38"/>
  </r>
  <r>
    <n v="269"/>
    <d v="2025-03-16T00:00:00"/>
    <s v="Alimentos"/>
    <x v="11"/>
    <n v="5"/>
    <n v="18932.439999999999"/>
    <n v="94662.2"/>
  </r>
  <r>
    <n v="270"/>
    <d v="2025-01-08T00:00:00"/>
    <s v="Eletrônicos"/>
    <x v="16"/>
    <n v="14"/>
    <n v="3856.16"/>
    <n v="53986.239999999998"/>
  </r>
  <r>
    <n v="271"/>
    <d v="2025-06-13T00:00:00"/>
    <s v="Higiene"/>
    <x v="14"/>
    <n v="15"/>
    <n v="79288.100000000006"/>
    <n v="1189321.5"/>
  </r>
  <r>
    <n v="272"/>
    <d v="2025-01-26T00:00:00"/>
    <s v="Alimentos"/>
    <x v="24"/>
    <n v="4"/>
    <n v="32175.64"/>
    <n v="128702.56"/>
  </r>
  <r>
    <n v="273"/>
    <d v="2025-05-18T00:00:00"/>
    <s v="Alimentos"/>
    <x v="0"/>
    <n v="15"/>
    <n v="93873.69"/>
    <n v="1408105.35"/>
  </r>
  <r>
    <n v="274"/>
    <d v="2025-03-10T00:00:00"/>
    <s v="Eletrônicos"/>
    <x v="15"/>
    <n v="17"/>
    <n v="66850.89"/>
    <n v="1136465.1299999999"/>
  </r>
  <r>
    <n v="275"/>
    <d v="2025-03-15T00:00:00"/>
    <s v="Bebidas"/>
    <x v="3"/>
    <n v="4"/>
    <n v="76491.179999999993"/>
    <n v="305964.71999999997"/>
  </r>
  <r>
    <n v="276"/>
    <d v="2025-09-15T00:00:00"/>
    <s v="Roupas"/>
    <x v="9"/>
    <n v="7"/>
    <n v="14691.87"/>
    <n v="102843.09"/>
  </r>
  <r>
    <n v="277"/>
    <d v="2025-09-15T00:00:00"/>
    <s v="Eletrônicos"/>
    <x v="20"/>
    <n v="1"/>
    <n v="85723.19"/>
    <n v="85723.19"/>
  </r>
  <r>
    <n v="278"/>
    <d v="2025-05-28T00:00:00"/>
    <s v="Bebidas"/>
    <x v="2"/>
    <n v="4"/>
    <n v="43007.61"/>
    <n v="172030.44"/>
  </r>
  <r>
    <n v="279"/>
    <d v="2025-06-03T00:00:00"/>
    <s v="Roupas"/>
    <x v="5"/>
    <n v="13"/>
    <n v="76730.080000000002"/>
    <n v="997491.04"/>
  </r>
  <r>
    <n v="280"/>
    <d v="2025-02-04T00:00:00"/>
    <s v="Higiene"/>
    <x v="14"/>
    <n v="1"/>
    <n v="39122.269999999997"/>
    <n v="39122.269999999997"/>
  </r>
  <r>
    <n v="281"/>
    <d v="2025-05-13T00:00:00"/>
    <s v="Bebidas"/>
    <x v="1"/>
    <n v="3"/>
    <n v="69239.59"/>
    <n v="207718.77"/>
  </r>
  <r>
    <n v="282"/>
    <d v="2025-01-14T00:00:00"/>
    <s v="Roupas"/>
    <x v="17"/>
    <n v="18"/>
    <n v="70874.83"/>
    <n v="1275746.94"/>
  </r>
  <r>
    <n v="283"/>
    <d v="2025-07-06T00:00:00"/>
    <s v="Eletrônicos"/>
    <x v="15"/>
    <n v="13"/>
    <n v="86817.64"/>
    <n v="1128629.32"/>
  </r>
  <r>
    <n v="284"/>
    <d v="2025-03-18T00:00:00"/>
    <s v="Eletrônicos"/>
    <x v="13"/>
    <n v="15"/>
    <n v="17486.98"/>
    <n v="262304.7"/>
  </r>
  <r>
    <n v="285"/>
    <d v="2025-07-07T00:00:00"/>
    <s v="Eletrônicos"/>
    <x v="15"/>
    <n v="14"/>
    <n v="92313.07"/>
    <n v="1292382.98"/>
  </r>
  <r>
    <n v="286"/>
    <d v="2025-09-01T00:00:00"/>
    <s v="Eletrônicos"/>
    <x v="15"/>
    <n v="20"/>
    <n v="39609.85"/>
    <n v="792197"/>
  </r>
  <r>
    <n v="287"/>
    <d v="2025-02-23T00:00:00"/>
    <s v="Eletrônicos"/>
    <x v="23"/>
    <n v="5"/>
    <n v="25582.27"/>
    <n v="127911.35"/>
  </r>
  <r>
    <n v="288"/>
    <d v="2025-06-02T00:00:00"/>
    <s v="Bebidas"/>
    <x v="3"/>
    <n v="3"/>
    <n v="31601.48"/>
    <n v="94804.44"/>
  </r>
  <r>
    <n v="289"/>
    <d v="2025-05-12T00:00:00"/>
    <s v="Roupas"/>
    <x v="7"/>
    <n v="20"/>
    <n v="90238.64"/>
    <n v="1804772.8"/>
  </r>
  <r>
    <n v="290"/>
    <d v="2025-01-12T00:00:00"/>
    <s v="Roupas"/>
    <x v="9"/>
    <n v="9"/>
    <n v="86278.94"/>
    <n v="776510.46"/>
  </r>
  <r>
    <n v="291"/>
    <d v="2025-06-23T00:00:00"/>
    <s v="Bebidas"/>
    <x v="8"/>
    <n v="5"/>
    <n v="67458.12"/>
    <n v="337290.6"/>
  </r>
  <r>
    <n v="292"/>
    <d v="2025-03-23T00:00:00"/>
    <s v="Bebidas"/>
    <x v="2"/>
    <n v="15"/>
    <n v="48741.22"/>
    <n v="731118.3"/>
  </r>
  <r>
    <n v="293"/>
    <d v="2025-05-10T00:00:00"/>
    <s v="Roupas"/>
    <x v="17"/>
    <n v="20"/>
    <n v="97104.01"/>
    <n v="1942080.2"/>
  </r>
  <r>
    <n v="294"/>
    <d v="2025-07-08T00:00:00"/>
    <s v="Roupas"/>
    <x v="5"/>
    <n v="19"/>
    <n v="3293.87"/>
    <n v="62583.53"/>
  </r>
  <r>
    <n v="295"/>
    <d v="2025-03-26T00:00:00"/>
    <s v="Alimentos"/>
    <x v="10"/>
    <n v="11"/>
    <n v="25077.73"/>
    <n v="275855.03000000003"/>
  </r>
  <r>
    <n v="296"/>
    <d v="2025-04-13T00:00:00"/>
    <s v="Higiene"/>
    <x v="14"/>
    <n v="4"/>
    <n v="78293.83"/>
    <n v="313175.32"/>
  </r>
  <r>
    <n v="297"/>
    <d v="2025-06-16T00:00:00"/>
    <s v="Alimentos"/>
    <x v="24"/>
    <n v="14"/>
    <n v="41896.629999999997"/>
    <n v="586552.81999999995"/>
  </r>
  <r>
    <n v="298"/>
    <d v="2025-08-06T00:00:00"/>
    <s v="Roupas"/>
    <x v="17"/>
    <n v="16"/>
    <n v="87230.14"/>
    <n v="1395682.24"/>
  </r>
  <r>
    <n v="299"/>
    <d v="2025-05-12T00:00:00"/>
    <s v="Higiene"/>
    <x v="22"/>
    <n v="12"/>
    <n v="64689.39"/>
    <n v="776272.68"/>
  </r>
  <r>
    <n v="300"/>
    <d v="2025-06-12T00:00:00"/>
    <s v="Alimentos"/>
    <x v="25"/>
    <n v="9"/>
    <n v="98487.53"/>
    <n v="886387.77"/>
  </r>
  <r>
    <n v="301"/>
    <d v="2025-06-28T00:00:00"/>
    <s v="Alimentos"/>
    <x v="24"/>
    <n v="1"/>
    <n v="41498.67"/>
    <n v="41498.67"/>
  </r>
  <r>
    <n v="302"/>
    <d v="2025-01-27T00:00:00"/>
    <s v="Higiene"/>
    <x v="22"/>
    <n v="14"/>
    <n v="25275.81"/>
    <n v="353861.34"/>
  </r>
  <r>
    <n v="303"/>
    <d v="2025-08-10T00:00:00"/>
    <s v="Roupas"/>
    <x v="7"/>
    <n v="11"/>
    <n v="26382.62"/>
    <n v="290208.82"/>
  </r>
  <r>
    <n v="304"/>
    <d v="2025-08-23T00:00:00"/>
    <s v="Roupas"/>
    <x v="18"/>
    <n v="7"/>
    <n v="77070.070000000007"/>
    <n v="539490.49"/>
  </r>
  <r>
    <n v="305"/>
    <d v="2025-03-05T00:00:00"/>
    <s v="Higiene"/>
    <x v="14"/>
    <n v="16"/>
    <n v="21496.12"/>
    <n v="343937.92"/>
  </r>
  <r>
    <n v="306"/>
    <d v="2025-08-06T00:00:00"/>
    <s v="Bebidas"/>
    <x v="1"/>
    <n v="1"/>
    <n v="20243.84"/>
    <n v="20243.84"/>
  </r>
  <r>
    <n v="307"/>
    <d v="2025-06-17T00:00:00"/>
    <s v="Roupas"/>
    <x v="18"/>
    <n v="10"/>
    <n v="40672.79"/>
    <n v="406727.9"/>
  </r>
  <r>
    <n v="308"/>
    <d v="2025-07-10T00:00:00"/>
    <s v="Roupas"/>
    <x v="17"/>
    <n v="7"/>
    <n v="27777.13"/>
    <n v="194439.91"/>
  </r>
  <r>
    <n v="309"/>
    <d v="2025-07-06T00:00:00"/>
    <s v="Bebidas"/>
    <x v="4"/>
    <n v="14"/>
    <n v="71729.679999999993"/>
    <n v="1004215.52"/>
  </r>
  <r>
    <n v="310"/>
    <d v="2025-01-02T00:00:00"/>
    <s v="Bebidas"/>
    <x v="8"/>
    <n v="3"/>
    <n v="66090.8"/>
    <n v="198272.4"/>
  </r>
  <r>
    <n v="311"/>
    <d v="2025-09-11T00:00:00"/>
    <s v="Eletrônicos"/>
    <x v="23"/>
    <n v="20"/>
    <n v="32747.759999999998"/>
    <n v="654955.19999999995"/>
  </r>
  <r>
    <n v="312"/>
    <d v="2025-05-17T00:00:00"/>
    <s v="Higiene"/>
    <x v="22"/>
    <n v="10"/>
    <n v="63256.54"/>
    <n v="632565.4"/>
  </r>
  <r>
    <n v="313"/>
    <d v="2025-01-25T00:00:00"/>
    <s v="Eletrônicos"/>
    <x v="13"/>
    <n v="11"/>
    <n v="70563.47"/>
    <n v="776198.17"/>
  </r>
  <r>
    <n v="314"/>
    <d v="2025-09-27T00:00:00"/>
    <s v="Higiene"/>
    <x v="21"/>
    <n v="15"/>
    <n v="43197.51"/>
    <n v="647962.65"/>
  </r>
  <r>
    <n v="315"/>
    <d v="2025-07-06T00:00:00"/>
    <s v="Roupas"/>
    <x v="7"/>
    <n v="13"/>
    <n v="47998.97"/>
    <n v="623986.61"/>
  </r>
  <r>
    <n v="316"/>
    <d v="2025-07-14T00:00:00"/>
    <s v="Eletrônicos"/>
    <x v="23"/>
    <n v="9"/>
    <n v="1911.64"/>
    <n v="17204.759999999998"/>
  </r>
  <r>
    <n v="317"/>
    <d v="2025-06-21T00:00:00"/>
    <s v="Bebidas"/>
    <x v="1"/>
    <n v="11"/>
    <n v="9937.65"/>
    <n v="109314.15"/>
  </r>
  <r>
    <n v="318"/>
    <d v="2025-02-01T00:00:00"/>
    <s v="Higiene"/>
    <x v="12"/>
    <n v="6"/>
    <n v="51187.23"/>
    <n v="307123.38"/>
  </r>
  <r>
    <n v="319"/>
    <d v="2025-01-19T00:00:00"/>
    <s v="Bebidas"/>
    <x v="1"/>
    <n v="3"/>
    <n v="40604.07"/>
    <n v="121812.21"/>
  </r>
  <r>
    <n v="320"/>
    <d v="2025-05-05T00:00:00"/>
    <s v="Bebidas"/>
    <x v="4"/>
    <n v="4"/>
    <n v="90229.69"/>
    <n v="360918.76"/>
  </r>
  <r>
    <n v="321"/>
    <d v="2025-03-10T00:00:00"/>
    <s v="Alimentos"/>
    <x v="26"/>
    <n v="9"/>
    <n v="90976.02"/>
    <n v="818784.18"/>
  </r>
  <r>
    <n v="322"/>
    <d v="2025-03-10T00:00:00"/>
    <s v="Alimentos"/>
    <x v="24"/>
    <n v="13"/>
    <n v="71739.39"/>
    <n v="932612.07"/>
  </r>
  <r>
    <n v="323"/>
    <d v="2025-03-08T00:00:00"/>
    <s v="Alimentos"/>
    <x v="19"/>
    <n v="15"/>
    <n v="30384.52"/>
    <n v="455767.8"/>
  </r>
  <r>
    <n v="324"/>
    <d v="2025-06-19T00:00:00"/>
    <s v="Eletrônicos"/>
    <x v="16"/>
    <n v="13"/>
    <n v="85435.18"/>
    <n v="1110657.3400000001"/>
  </r>
  <r>
    <n v="325"/>
    <d v="2025-05-11T00:00:00"/>
    <s v="Alimentos"/>
    <x v="0"/>
    <n v="4"/>
    <n v="24800.68"/>
    <n v="99202.72"/>
  </r>
  <r>
    <n v="326"/>
    <d v="2025-03-04T00:00:00"/>
    <s v="Bebidas"/>
    <x v="4"/>
    <n v="6"/>
    <n v="47952.32"/>
    <n v="287713.91999999998"/>
  </r>
  <r>
    <n v="327"/>
    <d v="2025-07-15T00:00:00"/>
    <s v="Higiene"/>
    <x v="22"/>
    <n v="18"/>
    <n v="14865.57"/>
    <n v="267580.26"/>
  </r>
  <r>
    <n v="328"/>
    <d v="2025-07-22T00:00:00"/>
    <s v="Roupas"/>
    <x v="9"/>
    <n v="15"/>
    <n v="99907.5"/>
    <n v="1498612.5"/>
  </r>
  <r>
    <n v="329"/>
    <d v="2025-07-11T00:00:00"/>
    <s v="Higiene"/>
    <x v="21"/>
    <n v="14"/>
    <n v="79911.63"/>
    <n v="1118762.82"/>
  </r>
  <r>
    <n v="330"/>
    <d v="2025-06-12T00:00:00"/>
    <s v="Bebidas"/>
    <x v="2"/>
    <n v="10"/>
    <n v="86422.42"/>
    <n v="864224.2"/>
  </r>
  <r>
    <n v="331"/>
    <d v="2025-01-03T00:00:00"/>
    <s v="Roupas"/>
    <x v="5"/>
    <n v="19"/>
    <n v="36128.9"/>
    <n v="686449.1"/>
  </r>
  <r>
    <n v="332"/>
    <d v="2025-07-08T00:00:00"/>
    <s v="Bebidas"/>
    <x v="3"/>
    <n v="6"/>
    <n v="41238.639999999999"/>
    <n v="247431.84"/>
  </r>
  <r>
    <n v="333"/>
    <d v="2025-04-24T00:00:00"/>
    <s v="Eletrônicos"/>
    <x v="15"/>
    <n v="2"/>
    <n v="10092.200000000001"/>
    <n v="20184.400000000001"/>
  </r>
  <r>
    <n v="334"/>
    <d v="2025-03-27T00:00:00"/>
    <s v="Eletrônicos"/>
    <x v="20"/>
    <n v="7"/>
    <n v="6558.21"/>
    <n v="45907.47"/>
  </r>
  <r>
    <n v="335"/>
    <d v="2025-05-19T00:00:00"/>
    <s v="Bebidas"/>
    <x v="2"/>
    <n v="6"/>
    <n v="67880.52"/>
    <n v="407283.12"/>
  </r>
  <r>
    <n v="336"/>
    <d v="2025-08-05T00:00:00"/>
    <s v="Alimentos"/>
    <x v="25"/>
    <n v="6"/>
    <n v="5698.73"/>
    <n v="34192.379999999997"/>
  </r>
  <r>
    <n v="337"/>
    <d v="2025-07-19T00:00:00"/>
    <s v="Higiene"/>
    <x v="14"/>
    <n v="15"/>
    <n v="24247.35"/>
    <n v="363710.25"/>
  </r>
  <r>
    <n v="338"/>
    <d v="2025-07-19T00:00:00"/>
    <s v="Alimentos"/>
    <x v="10"/>
    <n v="16"/>
    <n v="26002.35"/>
    <n v="416037.6"/>
  </r>
  <r>
    <n v="339"/>
    <d v="2025-05-20T00:00:00"/>
    <s v="Eletrônicos"/>
    <x v="16"/>
    <n v="20"/>
    <n v="64444.5"/>
    <n v="1288890"/>
  </r>
  <r>
    <n v="340"/>
    <d v="2025-07-28T00:00:00"/>
    <s v="Eletrônicos"/>
    <x v="23"/>
    <n v="14"/>
    <n v="98846.2"/>
    <n v="1383846.8"/>
  </r>
  <r>
    <n v="341"/>
    <d v="2025-09-02T00:00:00"/>
    <s v="Higiene"/>
    <x v="12"/>
    <n v="19"/>
    <n v="72708.92"/>
    <n v="1381469.48"/>
  </r>
  <r>
    <n v="342"/>
    <d v="2025-06-06T00:00:00"/>
    <s v="Roupas"/>
    <x v="7"/>
    <n v="8"/>
    <n v="92494.42"/>
    <n v="739955.36"/>
  </r>
  <r>
    <n v="343"/>
    <d v="2025-02-23T00:00:00"/>
    <s v="Alimentos"/>
    <x v="11"/>
    <n v="19"/>
    <n v="36930.43"/>
    <n v="701678.17"/>
  </r>
  <r>
    <n v="344"/>
    <d v="2025-03-27T00:00:00"/>
    <s v="Bebidas"/>
    <x v="1"/>
    <n v="20"/>
    <n v="98514.18"/>
    <n v="1970283.6"/>
  </r>
  <r>
    <n v="345"/>
    <d v="2025-05-06T00:00:00"/>
    <s v="Higiene"/>
    <x v="6"/>
    <n v="6"/>
    <n v="37290.629999999997"/>
    <n v="223743.78"/>
  </r>
  <r>
    <n v="346"/>
    <d v="2025-04-23T00:00:00"/>
    <s v="Alimentos"/>
    <x v="25"/>
    <n v="17"/>
    <n v="30065.3"/>
    <n v="511110.1"/>
  </r>
  <r>
    <n v="347"/>
    <d v="2025-07-13T00:00:00"/>
    <s v="Roupas"/>
    <x v="5"/>
    <n v="5"/>
    <n v="78002.45"/>
    <n v="390012.25"/>
  </r>
  <r>
    <n v="348"/>
    <d v="2025-03-05T00:00:00"/>
    <s v="Eletrônicos"/>
    <x v="13"/>
    <n v="4"/>
    <n v="97826.17"/>
    <n v="391304.68"/>
  </r>
  <r>
    <n v="349"/>
    <d v="2025-02-02T00:00:00"/>
    <s v="Bebidas"/>
    <x v="3"/>
    <n v="17"/>
    <n v="10083.709999999999"/>
    <n v="171423.07"/>
  </r>
  <r>
    <n v="350"/>
    <d v="2025-03-14T00:00:00"/>
    <s v="Higiene"/>
    <x v="21"/>
    <n v="3"/>
    <n v="64529.62"/>
    <n v="193588.86"/>
  </r>
  <r>
    <n v="351"/>
    <d v="2025-01-02T00:00:00"/>
    <s v="Eletrônicos"/>
    <x v="20"/>
    <n v="20"/>
    <n v="44269.279999999999"/>
    <n v="885385.6"/>
  </r>
  <r>
    <n v="352"/>
    <d v="2025-02-12T00:00:00"/>
    <s v="Roupas"/>
    <x v="5"/>
    <n v="13"/>
    <n v="46866.99"/>
    <n v="609270.87"/>
  </r>
  <r>
    <n v="353"/>
    <d v="2025-04-11T00:00:00"/>
    <s v="Roupas"/>
    <x v="7"/>
    <n v="4"/>
    <n v="73572.429999999993"/>
    <n v="294289.71999999997"/>
  </r>
  <r>
    <n v="354"/>
    <d v="2025-04-07T00:00:00"/>
    <s v="Higiene"/>
    <x v="12"/>
    <n v="5"/>
    <n v="46079.199999999997"/>
    <n v="230396"/>
  </r>
  <r>
    <n v="355"/>
    <d v="2025-08-12T00:00:00"/>
    <s v="Higiene"/>
    <x v="14"/>
    <n v="4"/>
    <n v="42861.7"/>
    <n v="171446.8"/>
  </r>
  <r>
    <n v="356"/>
    <d v="2025-06-02T00:00:00"/>
    <s v="Bebidas"/>
    <x v="2"/>
    <n v="3"/>
    <n v="34373.360000000001"/>
    <n v="103120.08"/>
  </r>
  <r>
    <n v="357"/>
    <d v="2025-04-07T00:00:00"/>
    <s v="Bebidas"/>
    <x v="1"/>
    <n v="9"/>
    <n v="45886.46"/>
    <n v="412978.14"/>
  </r>
  <r>
    <n v="358"/>
    <d v="2025-09-28T00:00:00"/>
    <s v="Roupas"/>
    <x v="5"/>
    <n v="18"/>
    <n v="13450.03"/>
    <n v="242100.54"/>
  </r>
  <r>
    <n v="359"/>
    <d v="2025-09-01T00:00:00"/>
    <s v="Bebidas"/>
    <x v="8"/>
    <n v="14"/>
    <n v="30861.06"/>
    <n v="432054.84"/>
  </r>
  <r>
    <n v="360"/>
    <d v="2025-09-16T00:00:00"/>
    <s v="Bebidas"/>
    <x v="8"/>
    <n v="9"/>
    <n v="83502.78"/>
    <n v="751525.02"/>
  </r>
  <r>
    <n v="361"/>
    <d v="2025-08-19T00:00:00"/>
    <s v="Roupas"/>
    <x v="5"/>
    <n v="4"/>
    <n v="21861.64"/>
    <n v="87446.56"/>
  </r>
  <r>
    <n v="362"/>
    <d v="2025-08-15T00:00:00"/>
    <s v="Eletrônicos"/>
    <x v="23"/>
    <n v="12"/>
    <n v="23678.7"/>
    <n v="284144.40000000002"/>
  </r>
  <r>
    <n v="363"/>
    <d v="2025-08-27T00:00:00"/>
    <s v="Bebidas"/>
    <x v="1"/>
    <n v="7"/>
    <n v="8788.0499999999993"/>
    <n v="61516.35"/>
  </r>
  <r>
    <n v="364"/>
    <d v="2025-01-23T00:00:00"/>
    <s v="Roupas"/>
    <x v="5"/>
    <n v="2"/>
    <n v="91443.76"/>
    <n v="182887.52"/>
  </r>
  <r>
    <n v="365"/>
    <d v="2025-09-12T00:00:00"/>
    <s v="Alimentos"/>
    <x v="19"/>
    <n v="11"/>
    <n v="53364.79"/>
    <n v="587012.68999999994"/>
  </r>
  <r>
    <n v="366"/>
    <d v="2025-06-22T00:00:00"/>
    <s v="Alimentos"/>
    <x v="0"/>
    <n v="5"/>
    <n v="36676.53"/>
    <n v="183382.65"/>
  </r>
  <r>
    <n v="367"/>
    <d v="2025-05-14T00:00:00"/>
    <s v="Alimentos"/>
    <x v="25"/>
    <n v="14"/>
    <n v="2361.75"/>
    <n v="33064.5"/>
  </r>
  <r>
    <n v="368"/>
    <d v="2025-04-16T00:00:00"/>
    <s v="Roupas"/>
    <x v="9"/>
    <n v="13"/>
    <n v="58227.42"/>
    <n v="756956.46"/>
  </r>
  <r>
    <n v="369"/>
    <d v="2025-05-04T00:00:00"/>
    <s v="Eletrônicos"/>
    <x v="20"/>
    <n v="11"/>
    <n v="58921.62"/>
    <n v="648137.81999999995"/>
  </r>
  <r>
    <n v="370"/>
    <d v="2025-08-08T00:00:00"/>
    <s v="Bebidas"/>
    <x v="3"/>
    <n v="5"/>
    <n v="26453.29"/>
    <n v="132266.45000000001"/>
  </r>
  <r>
    <n v="371"/>
    <d v="2025-06-01T00:00:00"/>
    <s v="Higiene"/>
    <x v="14"/>
    <n v="17"/>
    <n v="45814.080000000002"/>
    <n v="778839.36"/>
  </r>
  <r>
    <n v="372"/>
    <d v="2025-02-22T00:00:00"/>
    <s v="Roupas"/>
    <x v="7"/>
    <n v="14"/>
    <n v="58846.95"/>
    <n v="823857.3"/>
  </r>
  <r>
    <n v="373"/>
    <d v="2025-08-13T00:00:00"/>
    <s v="Eletrônicos"/>
    <x v="20"/>
    <n v="13"/>
    <n v="64491.34"/>
    <n v="838387.42"/>
  </r>
  <r>
    <n v="374"/>
    <d v="2025-04-12T00:00:00"/>
    <s v="Bebidas"/>
    <x v="8"/>
    <n v="14"/>
    <n v="11767.74"/>
    <n v="164748.35999999999"/>
  </r>
  <r>
    <n v="375"/>
    <d v="2025-02-23T00:00:00"/>
    <s v="Eletrônicos"/>
    <x v="16"/>
    <n v="8"/>
    <n v="91367.8"/>
    <n v="730942.4"/>
  </r>
  <r>
    <n v="376"/>
    <d v="2025-03-17T00:00:00"/>
    <s v="Higiene"/>
    <x v="6"/>
    <n v="15"/>
    <n v="18506.5"/>
    <n v="277597.5"/>
  </r>
  <r>
    <n v="377"/>
    <d v="2025-08-23T00:00:00"/>
    <s v="Roupas"/>
    <x v="9"/>
    <n v="3"/>
    <n v="6257.03"/>
    <n v="18771.09"/>
  </r>
  <r>
    <n v="378"/>
    <d v="2025-06-25T00:00:00"/>
    <s v="Higiene"/>
    <x v="6"/>
    <n v="12"/>
    <n v="95791.54"/>
    <n v="1149498.48"/>
  </r>
  <r>
    <n v="379"/>
    <d v="2025-08-25T00:00:00"/>
    <s v="Higiene"/>
    <x v="22"/>
    <n v="1"/>
    <n v="89167.039999999994"/>
    <n v="89167.039999999994"/>
  </r>
  <r>
    <n v="380"/>
    <d v="2025-01-12T00:00:00"/>
    <s v="Eletrônicos"/>
    <x v="13"/>
    <n v="16"/>
    <n v="53682.83"/>
    <n v="858925.28"/>
  </r>
  <r>
    <n v="381"/>
    <d v="2025-09-15T00:00:00"/>
    <s v="Bebidas"/>
    <x v="2"/>
    <n v="18"/>
    <n v="72631.570000000007"/>
    <n v="1307368.26"/>
  </r>
  <r>
    <n v="382"/>
    <d v="2025-09-17T00:00:00"/>
    <s v="Alimentos"/>
    <x v="11"/>
    <n v="3"/>
    <n v="61074.03"/>
    <n v="183222.09"/>
  </r>
  <r>
    <n v="383"/>
    <d v="2025-08-03T00:00:00"/>
    <s v="Eletrônicos"/>
    <x v="15"/>
    <n v="11"/>
    <n v="99195.47"/>
    <n v="1091150.17"/>
  </r>
  <r>
    <n v="384"/>
    <d v="2025-05-14T00:00:00"/>
    <s v="Higiene"/>
    <x v="14"/>
    <n v="7"/>
    <n v="69736.23"/>
    <n v="488153.61"/>
  </r>
  <r>
    <n v="385"/>
    <d v="2025-05-17T00:00:00"/>
    <s v="Eletrônicos"/>
    <x v="15"/>
    <n v="15"/>
    <n v="91298.91"/>
    <n v="1369483.65"/>
  </r>
  <r>
    <n v="386"/>
    <d v="2025-08-14T00:00:00"/>
    <s v="Higiene"/>
    <x v="12"/>
    <n v="13"/>
    <n v="35553.699999999997"/>
    <n v="462198.1"/>
  </r>
  <r>
    <n v="387"/>
    <d v="2025-09-27T00:00:00"/>
    <s v="Bebidas"/>
    <x v="2"/>
    <n v="1"/>
    <n v="94504.62"/>
    <n v="94504.62"/>
  </r>
  <r>
    <n v="388"/>
    <d v="2025-08-20T00:00:00"/>
    <s v="Eletrônicos"/>
    <x v="16"/>
    <n v="11"/>
    <n v="55660.86"/>
    <n v="612269.46"/>
  </r>
  <r>
    <n v="389"/>
    <d v="2025-09-27T00:00:00"/>
    <s v="Eletrônicos"/>
    <x v="16"/>
    <n v="11"/>
    <n v="82559.05"/>
    <n v="908149.55"/>
  </r>
  <r>
    <n v="390"/>
    <d v="2025-05-03T00:00:00"/>
    <s v="Higiene"/>
    <x v="6"/>
    <n v="15"/>
    <n v="88919.46"/>
    <n v="1333791.8999999999"/>
  </r>
  <r>
    <n v="391"/>
    <d v="2025-07-25T00:00:00"/>
    <s v="Alimentos"/>
    <x v="10"/>
    <n v="9"/>
    <n v="27563.73"/>
    <n v="248073.57"/>
  </r>
  <r>
    <n v="392"/>
    <d v="2025-08-23T00:00:00"/>
    <s v="Roupas"/>
    <x v="5"/>
    <n v="1"/>
    <n v="54422.36"/>
    <n v="54422.36"/>
  </r>
  <r>
    <n v="393"/>
    <d v="2025-01-14T00:00:00"/>
    <s v="Higiene"/>
    <x v="22"/>
    <n v="1"/>
    <n v="95937.55"/>
    <n v="95937.55"/>
  </r>
  <r>
    <n v="394"/>
    <d v="2025-02-14T00:00:00"/>
    <s v="Eletrônicos"/>
    <x v="15"/>
    <n v="9"/>
    <n v="47159.839999999997"/>
    <n v="424438.56"/>
  </r>
  <r>
    <n v="395"/>
    <d v="2025-06-02T00:00:00"/>
    <s v="Alimentos"/>
    <x v="11"/>
    <n v="15"/>
    <n v="79974.39"/>
    <n v="1199615.8500000001"/>
  </r>
  <r>
    <n v="396"/>
    <d v="2025-03-21T00:00:00"/>
    <s v="Roupas"/>
    <x v="18"/>
    <n v="8"/>
    <n v="43843.92"/>
    <n v="350751.36"/>
  </r>
  <r>
    <n v="397"/>
    <d v="2025-07-17T00:00:00"/>
    <s v="Higiene"/>
    <x v="6"/>
    <n v="14"/>
    <n v="3314.61"/>
    <n v="46404.54"/>
  </r>
  <r>
    <n v="398"/>
    <d v="2025-08-15T00:00:00"/>
    <s v="Roupas"/>
    <x v="7"/>
    <n v="17"/>
    <n v="54590.69"/>
    <n v="928041.73"/>
  </r>
  <r>
    <n v="399"/>
    <d v="2025-08-20T00:00:00"/>
    <s v="Alimentos"/>
    <x v="10"/>
    <n v="14"/>
    <n v="48175.71"/>
    <n v="674459.94"/>
  </r>
  <r>
    <n v="400"/>
    <d v="2025-02-12T00:00:00"/>
    <s v="Bebidas"/>
    <x v="8"/>
    <n v="5"/>
    <n v="68486.539999999994"/>
    <n v="342432.7"/>
  </r>
  <r>
    <n v="401"/>
    <d v="2025-05-05T00:00:00"/>
    <s v="Higiene"/>
    <x v="6"/>
    <n v="10"/>
    <n v="51956.77"/>
    <n v="519567.7"/>
  </r>
  <r>
    <n v="402"/>
    <d v="2025-03-07T00:00:00"/>
    <s v="Alimentos"/>
    <x v="24"/>
    <n v="6"/>
    <n v="98001.88"/>
    <n v="588011.28"/>
  </r>
  <r>
    <n v="403"/>
    <d v="2025-07-03T00:00:00"/>
    <s v="Eletrônicos"/>
    <x v="23"/>
    <n v="3"/>
    <n v="16428.95"/>
    <n v="49286.85"/>
  </r>
  <r>
    <n v="404"/>
    <d v="2025-06-26T00:00:00"/>
    <s v="Alimentos"/>
    <x v="26"/>
    <n v="8"/>
    <n v="69834.070000000007"/>
    <n v="558672.56000000006"/>
  </r>
  <r>
    <n v="405"/>
    <d v="2025-07-10T00:00:00"/>
    <s v="Roupas"/>
    <x v="9"/>
    <n v="16"/>
    <n v="92575.32"/>
    <n v="1481205.12"/>
  </r>
  <r>
    <n v="406"/>
    <d v="2025-02-06T00:00:00"/>
    <s v="Bebidas"/>
    <x v="1"/>
    <n v="18"/>
    <n v="20222.38"/>
    <n v="364002.84"/>
  </r>
  <r>
    <n v="407"/>
    <d v="2025-07-10T00:00:00"/>
    <s v="Roupas"/>
    <x v="18"/>
    <n v="20"/>
    <n v="31048.82"/>
    <n v="620976.4"/>
  </r>
  <r>
    <n v="408"/>
    <d v="2025-05-21T00:00:00"/>
    <s v="Eletrônicos"/>
    <x v="13"/>
    <n v="19"/>
    <n v="5384.49"/>
    <n v="102305.31"/>
  </r>
  <r>
    <n v="409"/>
    <d v="2025-09-03T00:00:00"/>
    <s v="Higiene"/>
    <x v="12"/>
    <n v="5"/>
    <n v="1118.26"/>
    <n v="5591.3"/>
  </r>
  <r>
    <n v="410"/>
    <d v="2025-02-23T00:00:00"/>
    <s v="Higiene"/>
    <x v="21"/>
    <n v="16"/>
    <n v="520.23"/>
    <n v="8323.68"/>
  </r>
  <r>
    <n v="411"/>
    <d v="2025-07-26T00:00:00"/>
    <s v="Alimentos"/>
    <x v="26"/>
    <n v="16"/>
    <n v="8984.66"/>
    <n v="143754.56"/>
  </r>
  <r>
    <n v="412"/>
    <d v="2025-07-12T00:00:00"/>
    <s v="Higiene"/>
    <x v="21"/>
    <n v="5"/>
    <n v="51345.87"/>
    <n v="256729.35"/>
  </r>
  <r>
    <n v="413"/>
    <d v="2025-03-06T00:00:00"/>
    <s v="Roupas"/>
    <x v="5"/>
    <n v="16"/>
    <n v="8339.0300000000007"/>
    <n v="133424.48000000001"/>
  </r>
  <r>
    <n v="414"/>
    <d v="2025-08-26T00:00:00"/>
    <s v="Higiene"/>
    <x v="12"/>
    <n v="12"/>
    <n v="49298.42"/>
    <n v="591581.04"/>
  </r>
  <r>
    <n v="415"/>
    <d v="2025-03-13T00:00:00"/>
    <s v="Alimentos"/>
    <x v="10"/>
    <n v="9"/>
    <n v="28828.080000000002"/>
    <n v="259452.72"/>
  </r>
  <r>
    <n v="416"/>
    <d v="2025-06-06T00:00:00"/>
    <s v="Roupas"/>
    <x v="18"/>
    <n v="3"/>
    <n v="15352.34"/>
    <n v="46057.02"/>
  </r>
  <r>
    <n v="417"/>
    <d v="2025-02-10T00:00:00"/>
    <s v="Higiene"/>
    <x v="6"/>
    <n v="14"/>
    <n v="53960.71"/>
    <n v="755449.94"/>
  </r>
  <r>
    <n v="418"/>
    <d v="2025-06-07T00:00:00"/>
    <s v="Alimentos"/>
    <x v="19"/>
    <n v="16"/>
    <n v="56024.19"/>
    <n v="896387.04"/>
  </r>
  <r>
    <n v="419"/>
    <d v="2025-01-03T00:00:00"/>
    <s v="Alimentos"/>
    <x v="26"/>
    <n v="19"/>
    <n v="48199.94"/>
    <n v="915798.86"/>
  </r>
  <r>
    <n v="420"/>
    <d v="2025-03-19T00:00:00"/>
    <s v="Eletrônicos"/>
    <x v="23"/>
    <n v="12"/>
    <n v="2239.63"/>
    <n v="26875.56"/>
  </r>
  <r>
    <n v="421"/>
    <d v="2025-09-28T00:00:00"/>
    <s v="Higiene"/>
    <x v="12"/>
    <n v="4"/>
    <n v="92300.44"/>
    <n v="369201.76"/>
  </r>
  <r>
    <n v="422"/>
    <d v="2025-02-15T00:00:00"/>
    <s v="Higiene"/>
    <x v="21"/>
    <n v="6"/>
    <n v="40152.93"/>
    <n v="240917.58"/>
  </r>
  <r>
    <n v="423"/>
    <d v="2025-04-15T00:00:00"/>
    <s v="Alimentos"/>
    <x v="26"/>
    <n v="15"/>
    <n v="92522.240000000005"/>
    <n v="1387833.6"/>
  </r>
  <r>
    <n v="424"/>
    <d v="2025-04-19T00:00:00"/>
    <s v="Eletrônicos"/>
    <x v="15"/>
    <n v="16"/>
    <n v="76156.23"/>
    <n v="1218499.68"/>
  </r>
  <r>
    <n v="425"/>
    <d v="2025-06-21T00:00:00"/>
    <s v="Roupas"/>
    <x v="5"/>
    <n v="5"/>
    <n v="82529.3"/>
    <n v="412646.5"/>
  </r>
  <r>
    <n v="426"/>
    <d v="2025-06-25T00:00:00"/>
    <s v="Alimentos"/>
    <x v="11"/>
    <n v="11"/>
    <n v="33170.559999999998"/>
    <n v="364876.16"/>
  </r>
  <r>
    <n v="427"/>
    <d v="2025-05-17T00:00:00"/>
    <s v="Bebidas"/>
    <x v="2"/>
    <n v="9"/>
    <n v="22777.03"/>
    <n v="204993.27"/>
  </r>
  <r>
    <n v="428"/>
    <d v="2025-01-02T00:00:00"/>
    <s v="Higiene"/>
    <x v="12"/>
    <n v="2"/>
    <n v="99935.32"/>
    <n v="199870.64"/>
  </r>
  <r>
    <n v="429"/>
    <d v="2025-03-13T00:00:00"/>
    <s v="Roupas"/>
    <x v="9"/>
    <n v="5"/>
    <n v="99141.37"/>
    <n v="495706.85"/>
  </r>
  <r>
    <n v="430"/>
    <d v="2025-04-25T00:00:00"/>
    <s v="Higiene"/>
    <x v="22"/>
    <n v="15"/>
    <n v="31010.86"/>
    <n v="465162.9"/>
  </r>
  <r>
    <n v="431"/>
    <d v="2025-08-15T00:00:00"/>
    <s v="Bebidas"/>
    <x v="8"/>
    <n v="19"/>
    <n v="83606.77"/>
    <n v="1588528.63"/>
  </r>
  <r>
    <n v="432"/>
    <d v="2025-04-21T00:00:00"/>
    <s v="Bebidas"/>
    <x v="2"/>
    <n v="14"/>
    <n v="98917.58"/>
    <n v="1384846.12"/>
  </r>
  <r>
    <n v="433"/>
    <d v="2025-01-17T00:00:00"/>
    <s v="Bebidas"/>
    <x v="2"/>
    <n v="3"/>
    <n v="58882.52"/>
    <n v="176647.56"/>
  </r>
  <r>
    <n v="434"/>
    <d v="2025-02-05T00:00:00"/>
    <s v="Eletrônicos"/>
    <x v="16"/>
    <n v="7"/>
    <n v="20367.349999999999"/>
    <n v="142571.45000000001"/>
  </r>
  <r>
    <n v="435"/>
    <d v="2025-07-16T00:00:00"/>
    <s v="Bebidas"/>
    <x v="3"/>
    <n v="4"/>
    <n v="59684.959999999999"/>
    <n v="238739.84"/>
  </r>
  <r>
    <n v="436"/>
    <d v="2025-01-04T00:00:00"/>
    <s v="Higiene"/>
    <x v="6"/>
    <n v="8"/>
    <n v="98640.41"/>
    <n v="789123.28"/>
  </r>
  <r>
    <n v="437"/>
    <d v="2025-05-06T00:00:00"/>
    <s v="Bebidas"/>
    <x v="3"/>
    <n v="4"/>
    <n v="88927.24"/>
    <n v="355708.96"/>
  </r>
  <r>
    <n v="438"/>
    <d v="2025-06-04T00:00:00"/>
    <s v="Bebidas"/>
    <x v="2"/>
    <n v="18"/>
    <n v="31756.19"/>
    <n v="571611.42000000004"/>
  </r>
  <r>
    <n v="439"/>
    <d v="2025-06-24T00:00:00"/>
    <s v="Alimentos"/>
    <x v="25"/>
    <n v="6"/>
    <n v="20128.14"/>
    <n v="120768.84"/>
  </r>
  <r>
    <n v="440"/>
    <d v="2025-02-15T00:00:00"/>
    <s v="Roupas"/>
    <x v="18"/>
    <n v="5"/>
    <n v="61653.599999999999"/>
    <n v="308268"/>
  </r>
  <r>
    <n v="441"/>
    <d v="2025-08-19T00:00:00"/>
    <s v="Bebidas"/>
    <x v="3"/>
    <n v="19"/>
    <n v="47737.34"/>
    <n v="907009.46"/>
  </r>
  <r>
    <n v="442"/>
    <d v="2025-03-02T00:00:00"/>
    <s v="Bebidas"/>
    <x v="3"/>
    <n v="10"/>
    <n v="22991.37"/>
    <n v="229913.7"/>
  </r>
  <r>
    <n v="443"/>
    <d v="2025-06-01T00:00:00"/>
    <s v="Roupas"/>
    <x v="5"/>
    <n v="15"/>
    <n v="57697.03"/>
    <n v="865455.45"/>
  </r>
  <r>
    <n v="444"/>
    <d v="2025-09-28T00:00:00"/>
    <s v="Roupas"/>
    <x v="7"/>
    <n v="7"/>
    <n v="6205.59"/>
    <n v="43439.13"/>
  </r>
  <r>
    <n v="445"/>
    <d v="2025-01-14T00:00:00"/>
    <s v="Roupas"/>
    <x v="9"/>
    <n v="2"/>
    <n v="10842.65"/>
    <n v="21685.3"/>
  </r>
  <r>
    <n v="446"/>
    <d v="2025-01-09T00:00:00"/>
    <s v="Higiene"/>
    <x v="14"/>
    <n v="15"/>
    <n v="45894.73"/>
    <n v="688420.95"/>
  </r>
  <r>
    <n v="447"/>
    <d v="2025-04-02T00:00:00"/>
    <s v="Alimentos"/>
    <x v="11"/>
    <n v="1"/>
    <n v="7436.74"/>
    <n v="7436.74"/>
  </r>
  <r>
    <n v="448"/>
    <d v="2025-01-21T00:00:00"/>
    <s v="Roupas"/>
    <x v="18"/>
    <n v="7"/>
    <n v="53321.07"/>
    <n v="373247.49"/>
  </r>
  <r>
    <n v="449"/>
    <d v="2025-04-09T00:00:00"/>
    <s v="Bebidas"/>
    <x v="2"/>
    <n v="11"/>
    <n v="49677.79"/>
    <n v="546455.68999999994"/>
  </r>
  <r>
    <n v="450"/>
    <d v="2025-06-03T00:00:00"/>
    <s v="Higiene"/>
    <x v="14"/>
    <n v="7"/>
    <n v="1285.6600000000001"/>
    <n v="8999.6200000000008"/>
  </r>
  <r>
    <n v="451"/>
    <d v="2025-05-08T00:00:00"/>
    <s v="Roupas"/>
    <x v="9"/>
    <n v="14"/>
    <n v="73065.039999999994"/>
    <n v="1022910.56"/>
  </r>
  <r>
    <n v="452"/>
    <d v="2025-09-04T00:00:00"/>
    <s v="Alimentos"/>
    <x v="0"/>
    <n v="3"/>
    <n v="99459.67"/>
    <n v="298379.01"/>
  </r>
  <r>
    <n v="453"/>
    <d v="2025-06-18T00:00:00"/>
    <s v="Higiene"/>
    <x v="6"/>
    <n v="17"/>
    <n v="42245.43"/>
    <n v="718172.31"/>
  </r>
  <r>
    <n v="454"/>
    <d v="2025-04-17T00:00:00"/>
    <s v="Bebidas"/>
    <x v="8"/>
    <n v="10"/>
    <n v="65630"/>
    <n v="656300"/>
  </r>
  <r>
    <n v="455"/>
    <d v="2025-07-18T00:00:00"/>
    <s v="Roupas"/>
    <x v="9"/>
    <n v="3"/>
    <n v="74341.52"/>
    <n v="223024.56"/>
  </r>
  <r>
    <n v="456"/>
    <d v="2025-08-09T00:00:00"/>
    <s v="Bebidas"/>
    <x v="8"/>
    <n v="3"/>
    <n v="85519.05"/>
    <n v="256557.15"/>
  </r>
  <r>
    <n v="457"/>
    <d v="2025-09-11T00:00:00"/>
    <s v="Higiene"/>
    <x v="12"/>
    <n v="14"/>
    <n v="25130.26"/>
    <n v="351823.64"/>
  </r>
  <r>
    <n v="458"/>
    <d v="2025-03-26T00:00:00"/>
    <s v="Eletrônicos"/>
    <x v="16"/>
    <n v="15"/>
    <n v="43217.73"/>
    <n v="648265.94999999995"/>
  </r>
  <r>
    <n v="459"/>
    <d v="2025-09-11T00:00:00"/>
    <s v="Higiene"/>
    <x v="22"/>
    <n v="19"/>
    <n v="11627.17"/>
    <n v="220916.23"/>
  </r>
  <r>
    <n v="460"/>
    <d v="2025-04-10T00:00:00"/>
    <s v="Roupas"/>
    <x v="9"/>
    <n v="2"/>
    <n v="46438.34"/>
    <n v="92876.68"/>
  </r>
  <r>
    <n v="461"/>
    <d v="2025-06-12T00:00:00"/>
    <s v="Eletrônicos"/>
    <x v="16"/>
    <n v="1"/>
    <n v="57263.38"/>
    <n v="57263.38"/>
  </r>
  <r>
    <n v="462"/>
    <d v="2025-05-20T00:00:00"/>
    <s v="Eletrônicos"/>
    <x v="16"/>
    <n v="8"/>
    <n v="36407.06"/>
    <n v="291256.48"/>
  </r>
  <r>
    <n v="463"/>
    <d v="2025-05-18T00:00:00"/>
    <s v="Higiene"/>
    <x v="21"/>
    <n v="20"/>
    <n v="39734.92"/>
    <n v="794698.4"/>
  </r>
  <r>
    <n v="464"/>
    <d v="2025-04-23T00:00:00"/>
    <s v="Eletrônicos"/>
    <x v="23"/>
    <n v="18"/>
    <n v="18203.919999999998"/>
    <n v="327670.56"/>
  </r>
  <r>
    <n v="465"/>
    <d v="2025-07-16T00:00:00"/>
    <s v="Higiene"/>
    <x v="21"/>
    <n v="15"/>
    <n v="31006.47"/>
    <n v="465097.05"/>
  </r>
  <r>
    <n v="466"/>
    <d v="2025-08-11T00:00:00"/>
    <s v="Higiene"/>
    <x v="21"/>
    <n v="8"/>
    <n v="2167.21"/>
    <n v="17337.68"/>
  </r>
  <r>
    <n v="467"/>
    <d v="2025-06-19T00:00:00"/>
    <s v="Bebidas"/>
    <x v="8"/>
    <n v="1"/>
    <n v="59536.13"/>
    <n v="59536.13"/>
  </r>
  <r>
    <n v="468"/>
    <d v="2025-03-18T00:00:00"/>
    <s v="Roupas"/>
    <x v="7"/>
    <n v="18"/>
    <n v="18657.21"/>
    <n v="335829.78"/>
  </r>
  <r>
    <n v="469"/>
    <d v="2025-06-03T00:00:00"/>
    <s v="Eletrônicos"/>
    <x v="16"/>
    <n v="19"/>
    <n v="54156.83"/>
    <n v="1028979.77"/>
  </r>
  <r>
    <n v="470"/>
    <d v="2025-01-23T00:00:00"/>
    <s v="Bebidas"/>
    <x v="4"/>
    <n v="5"/>
    <n v="70084.240000000005"/>
    <n v="350421.2"/>
  </r>
  <r>
    <n v="471"/>
    <d v="2025-03-14T00:00:00"/>
    <s v="Eletrônicos"/>
    <x v="20"/>
    <n v="17"/>
    <n v="83664.56"/>
    <n v="1422297.52"/>
  </r>
  <r>
    <n v="472"/>
    <d v="2025-08-10T00:00:00"/>
    <s v="Higiene"/>
    <x v="21"/>
    <n v="3"/>
    <n v="68634.39"/>
    <n v="205903.17"/>
  </r>
  <r>
    <n v="473"/>
    <d v="2025-07-14T00:00:00"/>
    <s v="Alimentos"/>
    <x v="10"/>
    <n v="2"/>
    <n v="34872.959999999999"/>
    <n v="69745.919999999998"/>
  </r>
  <r>
    <n v="474"/>
    <d v="2025-06-01T00:00:00"/>
    <s v="Eletrônicos"/>
    <x v="23"/>
    <n v="14"/>
    <n v="4323.46"/>
    <n v="60528.44"/>
  </r>
  <r>
    <n v="475"/>
    <d v="2025-02-21T00:00:00"/>
    <s v="Alimentos"/>
    <x v="24"/>
    <n v="10"/>
    <n v="80735.88"/>
    <n v="807358.8"/>
  </r>
  <r>
    <n v="476"/>
    <d v="2025-02-25T00:00:00"/>
    <s v="Roupas"/>
    <x v="18"/>
    <n v="20"/>
    <n v="61525.65"/>
    <n v="1230513"/>
  </r>
  <r>
    <n v="477"/>
    <d v="2025-01-18T00:00:00"/>
    <s v="Alimentos"/>
    <x v="26"/>
    <n v="20"/>
    <n v="865.91"/>
    <n v="17318.2"/>
  </r>
  <r>
    <n v="478"/>
    <d v="2025-06-12T00:00:00"/>
    <s v="Alimentos"/>
    <x v="26"/>
    <n v="7"/>
    <n v="64806.67"/>
    <n v="453646.69"/>
  </r>
  <r>
    <n v="479"/>
    <d v="2025-08-26T00:00:00"/>
    <s v="Bebidas"/>
    <x v="2"/>
    <n v="7"/>
    <n v="63884.29"/>
    <n v="447190.03"/>
  </r>
  <r>
    <n v="480"/>
    <d v="2025-02-04T00:00:00"/>
    <s v="Eletrônicos"/>
    <x v="20"/>
    <n v="11"/>
    <n v="41403.54"/>
    <n v="455438.94"/>
  </r>
  <r>
    <n v="481"/>
    <d v="2025-09-20T00:00:00"/>
    <s v="Bebidas"/>
    <x v="3"/>
    <n v="6"/>
    <n v="88530.25"/>
    <n v="531181.5"/>
  </r>
  <r>
    <n v="482"/>
    <d v="2025-02-07T00:00:00"/>
    <s v="Higiene"/>
    <x v="12"/>
    <n v="17"/>
    <n v="26687.75"/>
    <n v="453691.75"/>
  </r>
  <r>
    <n v="483"/>
    <d v="2025-05-05T00:00:00"/>
    <s v="Alimentos"/>
    <x v="11"/>
    <n v="19"/>
    <n v="41596.51"/>
    <n v="790333.69"/>
  </r>
  <r>
    <n v="484"/>
    <d v="2025-07-25T00:00:00"/>
    <s v="Higiene"/>
    <x v="14"/>
    <n v="19"/>
    <n v="78045.08"/>
    <n v="1482856.52"/>
  </r>
  <r>
    <n v="485"/>
    <d v="2025-03-13T00:00:00"/>
    <s v="Higiene"/>
    <x v="12"/>
    <n v="1"/>
    <n v="96338.22"/>
    <n v="96338.22"/>
  </r>
  <r>
    <n v="486"/>
    <d v="2025-06-27T00:00:00"/>
    <s v="Bebidas"/>
    <x v="2"/>
    <n v="5"/>
    <n v="78001.97"/>
    <n v="390009.85"/>
  </r>
  <r>
    <n v="487"/>
    <d v="2025-01-03T00:00:00"/>
    <s v="Bebidas"/>
    <x v="1"/>
    <n v="4"/>
    <n v="84659.08"/>
    <n v="338636.32"/>
  </r>
  <r>
    <n v="488"/>
    <d v="2025-04-27T00:00:00"/>
    <s v="Eletrônicos"/>
    <x v="13"/>
    <n v="16"/>
    <n v="11721.33"/>
    <n v="187541.28"/>
  </r>
  <r>
    <n v="489"/>
    <d v="2025-07-14T00:00:00"/>
    <s v="Alimentos"/>
    <x v="24"/>
    <n v="10"/>
    <n v="75383.33"/>
    <n v="753833.3"/>
  </r>
  <r>
    <n v="490"/>
    <d v="2025-05-13T00:00:00"/>
    <s v="Roupas"/>
    <x v="5"/>
    <n v="7"/>
    <n v="60128.83"/>
    <n v="420901.81"/>
  </r>
  <r>
    <n v="491"/>
    <d v="2025-09-08T00:00:00"/>
    <s v="Higiene"/>
    <x v="22"/>
    <n v="16"/>
    <n v="59759.11"/>
    <n v="956145.76"/>
  </r>
  <r>
    <n v="492"/>
    <d v="2025-07-16T00:00:00"/>
    <s v="Roupas"/>
    <x v="17"/>
    <n v="13"/>
    <n v="21423.599999999999"/>
    <n v="278506.8"/>
  </r>
  <r>
    <n v="493"/>
    <d v="2025-03-10T00:00:00"/>
    <s v="Eletrônicos"/>
    <x v="15"/>
    <n v="17"/>
    <n v="87251.95"/>
    <n v="1483283.15"/>
  </r>
  <r>
    <n v="494"/>
    <d v="2025-03-08T00:00:00"/>
    <s v="Roupas"/>
    <x v="18"/>
    <n v="16"/>
    <n v="73298.210000000006"/>
    <n v="1172771.3600000001"/>
  </r>
  <r>
    <n v="495"/>
    <d v="2025-02-22T00:00:00"/>
    <s v="Higiene"/>
    <x v="12"/>
    <n v="14"/>
    <n v="85881.279999999999"/>
    <n v="1202337.92"/>
  </r>
  <r>
    <n v="496"/>
    <d v="2025-03-28T00:00:00"/>
    <s v="Roupas"/>
    <x v="9"/>
    <n v="1"/>
    <n v="47912.160000000003"/>
    <n v="47912.160000000003"/>
  </r>
  <r>
    <n v="497"/>
    <d v="2025-04-16T00:00:00"/>
    <s v="Higiene"/>
    <x v="22"/>
    <n v="8"/>
    <n v="13492.99"/>
    <n v="107943.92"/>
  </r>
  <r>
    <n v="498"/>
    <d v="2025-06-01T00:00:00"/>
    <s v="Higiene"/>
    <x v="21"/>
    <n v="14"/>
    <n v="24175.279999999999"/>
    <n v="338453.92"/>
  </r>
  <r>
    <n v="499"/>
    <d v="2025-07-18T00:00:00"/>
    <s v="Bebidas"/>
    <x v="8"/>
    <n v="5"/>
    <n v="27961.55"/>
    <n v="139807.75"/>
  </r>
  <r>
    <n v="500"/>
    <d v="2025-05-15T00:00:00"/>
    <s v="Eletrônicos"/>
    <x v="13"/>
    <n v="9"/>
    <n v="18936.38"/>
    <n v="170427.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dinâmica1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Categoria">
  <location ref="A4:B10" firstHeaderRow="1" firstDataRow="1" firstDataCol="1"/>
  <pivotFields count="2">
    <pivotField axis="axisRow" showAll="0">
      <items count="6">
        <item x="0"/>
        <item x="1"/>
        <item x="4"/>
        <item x="3"/>
        <item x="2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agem de Produto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2" cacheId="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31" firstHeaderRow="1" firstDataRow="1" firstDataCol="1"/>
  <pivotFields count="7">
    <pivotField showAll="0"/>
    <pivotField numFmtId="164" showAll="0"/>
    <pivotField showAll="0"/>
    <pivotField axis="axisRow" showAll="0" sortType="descending">
      <items count="28">
        <item x="25"/>
        <item x="1"/>
        <item x="19"/>
        <item x="9"/>
        <item x="7"/>
        <item x="18"/>
        <item x="2"/>
        <item x="23"/>
        <item x="22"/>
        <item x="21"/>
        <item x="10"/>
        <item x="26"/>
        <item x="0"/>
        <item x="24"/>
        <item x="11"/>
        <item x="12"/>
        <item x="16"/>
        <item x="3"/>
        <item x="6"/>
        <item x="17"/>
        <item x="14"/>
        <item x="4"/>
        <item x="13"/>
        <item x="15"/>
        <item x="20"/>
        <item x="5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numFmtId="165" showAll="0"/>
    <pivotField showAll="0"/>
  </pivotFields>
  <rowFields count="1">
    <field x="3"/>
  </rowFields>
  <rowItems count="28">
    <i>
      <x v="18"/>
    </i>
    <i>
      <x v="25"/>
    </i>
    <i>
      <x v="23"/>
    </i>
    <i>
      <x v="17"/>
    </i>
    <i>
      <x v="9"/>
    </i>
    <i>
      <x v="15"/>
    </i>
    <i>
      <x v="1"/>
    </i>
    <i>
      <x v="4"/>
    </i>
    <i>
      <x v="3"/>
    </i>
    <i>
      <x v="20"/>
    </i>
    <i>
      <x v="26"/>
    </i>
    <i>
      <x v="24"/>
    </i>
    <i>
      <x v="8"/>
    </i>
    <i>
      <x v="6"/>
    </i>
    <i>
      <x v="19"/>
    </i>
    <i>
      <x v="13"/>
    </i>
    <i>
      <x v="5"/>
    </i>
    <i>
      <x v="16"/>
    </i>
    <i>
      <x v="7"/>
    </i>
    <i>
      <x v="14"/>
    </i>
    <i>
      <x v="22"/>
    </i>
    <i>
      <x v="11"/>
    </i>
    <i>
      <x v="21"/>
    </i>
    <i>
      <x v="12"/>
    </i>
    <i>
      <x/>
    </i>
    <i>
      <x v="2"/>
    </i>
    <i>
      <x v="10"/>
    </i>
    <i t="grand">
      <x/>
    </i>
  </rowItems>
  <colItems count="1">
    <i/>
  </colItems>
  <dataFields count="1">
    <dataField name="Soma de Quantidad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ela2" displayName="Tabela2" ref="A12:B511" totalsRowShown="0" headerRowDxfId="34" headerRowBorderDxfId="38" tableBorderDxfId="39" totalsRowBorderDxfId="37">
  <autoFilter ref="A12:B511"/>
  <tableColumns count="2">
    <tableColumn id="1" name="Categoria" dataDxfId="36"/>
    <tableColumn id="2" name="Produto" dataDxfId="3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Tabela3" displayName="Tabela3" ref="B64:C563" totalsRowShown="0" headerRowDxfId="28" headerRowBorderDxfId="32" tableBorderDxfId="33" totalsRowBorderDxfId="31">
  <autoFilter ref="B64:C563"/>
  <tableColumns count="2">
    <tableColumn id="1" name="Leite em pó" dataDxfId="30"/>
    <tableColumn id="2" name="6" dataDxfId="2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1" name="Tabela1" displayName="Tabela1" ref="B4:H504" totalsRowShown="0" headerRowDxfId="50" headerRowBorderDxfId="49" tableBorderDxfId="48" totalsRowBorderDxfId="47">
  <autoFilter ref="B4:H504"/>
  <tableColumns count="7">
    <tableColumn id="1" name="Nº" dataDxfId="46">
      <calculatedColumnFormula>B4+1</calculatedColumnFormula>
    </tableColumn>
    <tableColumn id="2" name="Data" dataDxfId="45"/>
    <tableColumn id="3" name="Categoria" dataDxfId="44"/>
    <tableColumn id="4" name="Produto" dataDxfId="43"/>
    <tableColumn id="5" name="Quantidade" dataDxfId="42"/>
    <tableColumn id="6" name="Preço Unitário (Kz)" dataDxfId="41"/>
    <tableColumn id="7" name="Total (Kz)" dataDxfId="4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11"/>
  <sheetViews>
    <sheetView topLeftCell="A2" workbookViewId="0">
      <selection activeCell="H18" sqref="H18"/>
    </sheetView>
  </sheetViews>
  <sheetFormatPr defaultRowHeight="15"/>
  <cols>
    <col min="1" max="1" width="12.28515625" customWidth="1"/>
    <col min="2" max="2" width="20.5703125" bestFit="1" customWidth="1"/>
    <col min="4" max="4" width="10.85546875" bestFit="1" customWidth="1"/>
  </cols>
  <sheetData>
    <row r="2" spans="1:5">
      <c r="A2" s="42">
        <v>1</v>
      </c>
    </row>
    <row r="3" spans="1:5" ht="17.25">
      <c r="A3" s="37" t="s">
        <v>53</v>
      </c>
    </row>
    <row r="4" spans="1:5">
      <c r="A4" s="34" t="s">
        <v>1</v>
      </c>
      <c r="B4" t="s">
        <v>52</v>
      </c>
    </row>
    <row r="5" spans="1:5">
      <c r="A5" s="35" t="s">
        <v>6</v>
      </c>
      <c r="B5" s="36">
        <v>90</v>
      </c>
    </row>
    <row r="6" spans="1:5">
      <c r="A6" s="35" t="s">
        <v>7</v>
      </c>
      <c r="B6" s="36">
        <v>110</v>
      </c>
    </row>
    <row r="7" spans="1:5">
      <c r="A7" s="35" t="s">
        <v>10</v>
      </c>
      <c r="B7" s="36">
        <v>88</v>
      </c>
    </row>
    <row r="8" spans="1:5">
      <c r="A8" s="35" t="s">
        <v>9</v>
      </c>
      <c r="B8" s="36">
        <v>109</v>
      </c>
    </row>
    <row r="9" spans="1:5">
      <c r="A9" s="35" t="s">
        <v>8</v>
      </c>
      <c r="B9" s="36">
        <v>103</v>
      </c>
    </row>
    <row r="10" spans="1:5">
      <c r="A10" s="35" t="s">
        <v>51</v>
      </c>
      <c r="B10" s="36">
        <v>500</v>
      </c>
    </row>
    <row r="11" spans="1:5">
      <c r="A11" s="42">
        <v>2</v>
      </c>
    </row>
    <row r="12" spans="1:5">
      <c r="A12" s="38" t="s">
        <v>1</v>
      </c>
      <c r="B12" s="39" t="s">
        <v>2</v>
      </c>
    </row>
    <row r="13" spans="1:5">
      <c r="A13" s="31" t="s">
        <v>7</v>
      </c>
      <c r="B13" s="33" t="s">
        <v>12</v>
      </c>
      <c r="D13" s="29" t="s">
        <v>7</v>
      </c>
      <c r="E13">
        <f>COUNTIF(Tabela2[],D13:D18)</f>
        <v>110</v>
      </c>
    </row>
    <row r="14" spans="1:5">
      <c r="A14" s="28" t="s">
        <v>7</v>
      </c>
      <c r="B14" s="30" t="s">
        <v>13</v>
      </c>
      <c r="D14" s="32" t="s">
        <v>8</v>
      </c>
      <c r="E14">
        <f>COUNTIF(Tabela2[],D14:D19)</f>
        <v>103</v>
      </c>
    </row>
    <row r="15" spans="1:5">
      <c r="A15" s="31" t="s">
        <v>7</v>
      </c>
      <c r="B15" s="33" t="s">
        <v>14</v>
      </c>
      <c r="D15" s="29" t="s">
        <v>9</v>
      </c>
      <c r="E15">
        <f>COUNTIF(Tabela2[],D15:D20)</f>
        <v>109</v>
      </c>
    </row>
    <row r="16" spans="1:5">
      <c r="A16" s="28" t="s">
        <v>7</v>
      </c>
      <c r="B16" s="30" t="s">
        <v>15</v>
      </c>
      <c r="D16" s="32" t="s">
        <v>6</v>
      </c>
      <c r="E16">
        <f>COUNTIF(Tabela2[],D16:D21)</f>
        <v>89</v>
      </c>
    </row>
    <row r="17" spans="1:5">
      <c r="A17" s="31" t="s">
        <v>8</v>
      </c>
      <c r="B17" s="33" t="s">
        <v>16</v>
      </c>
      <c r="D17" s="29" t="s">
        <v>10</v>
      </c>
      <c r="E17">
        <f>COUNTIF(Tabela2[],D17:D22)</f>
        <v>88</v>
      </c>
    </row>
    <row r="18" spans="1:5">
      <c r="A18" s="28" t="s">
        <v>9</v>
      </c>
      <c r="B18" s="30" t="s">
        <v>17</v>
      </c>
    </row>
    <row r="19" spans="1:5">
      <c r="A19" s="31" t="s">
        <v>7</v>
      </c>
      <c r="B19" s="33" t="s">
        <v>14</v>
      </c>
    </row>
    <row r="20" spans="1:5">
      <c r="A20" s="28" t="s">
        <v>9</v>
      </c>
      <c r="B20" s="30" t="s">
        <v>17</v>
      </c>
    </row>
    <row r="21" spans="1:5">
      <c r="A21" s="31" t="s">
        <v>9</v>
      </c>
      <c r="B21" s="33" t="s">
        <v>17</v>
      </c>
    </row>
    <row r="22" spans="1:5">
      <c r="A22" s="28" t="s">
        <v>8</v>
      </c>
      <c r="B22" s="30" t="s">
        <v>18</v>
      </c>
    </row>
    <row r="23" spans="1:5">
      <c r="A23" s="31" t="s">
        <v>7</v>
      </c>
      <c r="B23" s="33" t="s">
        <v>19</v>
      </c>
    </row>
    <row r="24" spans="1:5">
      <c r="A24" s="28" t="s">
        <v>8</v>
      </c>
      <c r="B24" s="30" t="s">
        <v>20</v>
      </c>
    </row>
    <row r="25" spans="1:5">
      <c r="A25" s="31" t="s">
        <v>6</v>
      </c>
      <c r="B25" s="33" t="s">
        <v>21</v>
      </c>
    </row>
    <row r="26" spans="1:5">
      <c r="A26" s="28" t="s">
        <v>6</v>
      </c>
      <c r="B26" s="30" t="s">
        <v>22</v>
      </c>
    </row>
    <row r="27" spans="1:5">
      <c r="A27" s="31" t="s">
        <v>8</v>
      </c>
      <c r="B27" s="33" t="s">
        <v>16</v>
      </c>
    </row>
    <row r="28" spans="1:5">
      <c r="A28" s="28" t="s">
        <v>9</v>
      </c>
      <c r="B28" s="30" t="s">
        <v>23</v>
      </c>
    </row>
    <row r="29" spans="1:5">
      <c r="A29" s="31" t="s">
        <v>7</v>
      </c>
      <c r="B29" s="33" t="s">
        <v>15</v>
      </c>
    </row>
    <row r="30" spans="1:5">
      <c r="A30" s="28" t="s">
        <v>10</v>
      </c>
      <c r="B30" s="30" t="s">
        <v>24</v>
      </c>
    </row>
    <row r="31" spans="1:5">
      <c r="A31" s="31" t="s">
        <v>9</v>
      </c>
      <c r="B31" s="33" t="s">
        <v>25</v>
      </c>
    </row>
    <row r="32" spans="1:5">
      <c r="A32" s="28" t="s">
        <v>10</v>
      </c>
      <c r="B32" s="30" t="s">
        <v>26</v>
      </c>
    </row>
    <row r="33" spans="1:2">
      <c r="A33" s="31" t="s">
        <v>8</v>
      </c>
      <c r="B33" s="33" t="s">
        <v>18</v>
      </c>
    </row>
    <row r="34" spans="1:2">
      <c r="A34" s="28" t="s">
        <v>8</v>
      </c>
      <c r="B34" s="30" t="s">
        <v>20</v>
      </c>
    </row>
    <row r="35" spans="1:2">
      <c r="A35" s="31" t="s">
        <v>10</v>
      </c>
      <c r="B35" s="33" t="s">
        <v>27</v>
      </c>
    </row>
    <row r="36" spans="1:2">
      <c r="A36" s="28" t="s">
        <v>9</v>
      </c>
      <c r="B36" s="30" t="s">
        <v>17</v>
      </c>
    </row>
    <row r="37" spans="1:2">
      <c r="A37" s="31" t="s">
        <v>8</v>
      </c>
      <c r="B37" s="33" t="s">
        <v>28</v>
      </c>
    </row>
    <row r="38" spans="1:2">
      <c r="A38" s="28" t="s">
        <v>9</v>
      </c>
      <c r="B38" s="30" t="s">
        <v>25</v>
      </c>
    </row>
    <row r="39" spans="1:2">
      <c r="A39" s="31" t="s">
        <v>6</v>
      </c>
      <c r="B39" s="33" t="s">
        <v>21</v>
      </c>
    </row>
    <row r="40" spans="1:2">
      <c r="A40" s="28" t="s">
        <v>10</v>
      </c>
      <c r="B40" s="30" t="s">
        <v>26</v>
      </c>
    </row>
    <row r="41" spans="1:2">
      <c r="A41" s="31" t="s">
        <v>8</v>
      </c>
      <c r="B41" s="33" t="s">
        <v>29</v>
      </c>
    </row>
    <row r="42" spans="1:2">
      <c r="A42" s="28" t="s">
        <v>8</v>
      </c>
      <c r="B42" s="30" t="s">
        <v>20</v>
      </c>
    </row>
    <row r="43" spans="1:2">
      <c r="A43" s="31" t="s">
        <v>6</v>
      </c>
      <c r="B43" s="33" t="s">
        <v>30</v>
      </c>
    </row>
    <row r="44" spans="1:2">
      <c r="A44" s="28" t="s">
        <v>7</v>
      </c>
      <c r="B44" s="30" t="s">
        <v>13</v>
      </c>
    </row>
    <row r="45" spans="1:2">
      <c r="A45" s="31" t="s">
        <v>8</v>
      </c>
      <c r="B45" s="33" t="s">
        <v>20</v>
      </c>
    </row>
    <row r="46" spans="1:2">
      <c r="A46" s="28" t="s">
        <v>8</v>
      </c>
      <c r="B46" s="30" t="s">
        <v>28</v>
      </c>
    </row>
    <row r="47" spans="1:2">
      <c r="A47" s="31" t="s">
        <v>7</v>
      </c>
      <c r="B47" s="33" t="s">
        <v>12</v>
      </c>
    </row>
    <row r="48" spans="1:2">
      <c r="A48" s="28" t="s">
        <v>9</v>
      </c>
      <c r="B48" s="30" t="s">
        <v>17</v>
      </c>
    </row>
    <row r="49" spans="1:2">
      <c r="A49" s="31" t="s">
        <v>7</v>
      </c>
      <c r="B49" s="33" t="s">
        <v>14</v>
      </c>
    </row>
    <row r="50" spans="1:2">
      <c r="A50" s="28" t="s">
        <v>10</v>
      </c>
      <c r="B50" s="30" t="s">
        <v>31</v>
      </c>
    </row>
    <row r="51" spans="1:2">
      <c r="A51" s="31" t="s">
        <v>7</v>
      </c>
      <c r="B51" s="33" t="s">
        <v>12</v>
      </c>
    </row>
    <row r="52" spans="1:2">
      <c r="A52" s="28" t="s">
        <v>8</v>
      </c>
      <c r="B52" s="30" t="s">
        <v>16</v>
      </c>
    </row>
    <row r="53" spans="1:2">
      <c r="A53" s="31" t="s">
        <v>7</v>
      </c>
      <c r="B53" s="33" t="s">
        <v>12</v>
      </c>
    </row>
    <row r="54" spans="1:2">
      <c r="A54" s="28" t="s">
        <v>9</v>
      </c>
      <c r="B54" s="30" t="s">
        <v>25</v>
      </c>
    </row>
    <row r="55" spans="1:2">
      <c r="A55" s="31" t="s">
        <v>10</v>
      </c>
      <c r="B55" s="33" t="s">
        <v>26</v>
      </c>
    </row>
    <row r="56" spans="1:2">
      <c r="A56" s="28" t="s">
        <v>9</v>
      </c>
      <c r="B56" s="30" t="s">
        <v>32</v>
      </c>
    </row>
    <row r="57" spans="1:2">
      <c r="A57" s="31" t="s">
        <v>6</v>
      </c>
      <c r="B57" s="33" t="s">
        <v>21</v>
      </c>
    </row>
    <row r="58" spans="1:2">
      <c r="A58" s="28" t="s">
        <v>10</v>
      </c>
      <c r="B58" s="30" t="s">
        <v>26</v>
      </c>
    </row>
    <row r="59" spans="1:2">
      <c r="A59" s="31" t="s">
        <v>9</v>
      </c>
      <c r="B59" s="33" t="s">
        <v>33</v>
      </c>
    </row>
    <row r="60" spans="1:2">
      <c r="A60" s="28" t="s">
        <v>9</v>
      </c>
      <c r="B60" s="30" t="s">
        <v>23</v>
      </c>
    </row>
    <row r="61" spans="1:2">
      <c r="A61" s="31" t="s">
        <v>9</v>
      </c>
      <c r="B61" s="33" t="s">
        <v>23</v>
      </c>
    </row>
    <row r="62" spans="1:2">
      <c r="A62" s="28" t="s">
        <v>9</v>
      </c>
      <c r="B62" s="30" t="s">
        <v>32</v>
      </c>
    </row>
    <row r="63" spans="1:2">
      <c r="A63" s="31" t="s">
        <v>10</v>
      </c>
      <c r="B63" s="33" t="s">
        <v>26</v>
      </c>
    </row>
    <row r="64" spans="1:2">
      <c r="A64" s="28" t="s">
        <v>6</v>
      </c>
      <c r="B64" s="30" t="s">
        <v>11</v>
      </c>
    </row>
    <row r="65" spans="1:2">
      <c r="A65" s="31" t="s">
        <v>10</v>
      </c>
      <c r="B65" s="33" t="s">
        <v>31</v>
      </c>
    </row>
    <row r="66" spans="1:2">
      <c r="A66" s="28" t="s">
        <v>10</v>
      </c>
      <c r="B66" s="30" t="s">
        <v>34</v>
      </c>
    </row>
    <row r="67" spans="1:2">
      <c r="A67" s="31" t="s">
        <v>6</v>
      </c>
      <c r="B67" s="33" t="s">
        <v>35</v>
      </c>
    </row>
    <row r="68" spans="1:2">
      <c r="A68" s="28" t="s">
        <v>8</v>
      </c>
      <c r="B68" s="30" t="s">
        <v>18</v>
      </c>
    </row>
    <row r="69" spans="1:2">
      <c r="A69" s="31" t="s">
        <v>7</v>
      </c>
      <c r="B69" s="33" t="s">
        <v>14</v>
      </c>
    </row>
    <row r="70" spans="1:2">
      <c r="A70" s="28" t="s">
        <v>7</v>
      </c>
      <c r="B70" s="30" t="s">
        <v>14</v>
      </c>
    </row>
    <row r="71" spans="1:2">
      <c r="A71" s="31" t="s">
        <v>6</v>
      </c>
      <c r="B71" s="33" t="s">
        <v>35</v>
      </c>
    </row>
    <row r="72" spans="1:2">
      <c r="A72" s="28" t="s">
        <v>6</v>
      </c>
      <c r="B72" s="30" t="s">
        <v>36</v>
      </c>
    </row>
    <row r="73" spans="1:2">
      <c r="A73" s="31" t="s">
        <v>10</v>
      </c>
      <c r="B73" s="33" t="s">
        <v>34</v>
      </c>
    </row>
    <row r="74" spans="1:2">
      <c r="A74" s="28" t="s">
        <v>8</v>
      </c>
      <c r="B74" s="30" t="s">
        <v>20</v>
      </c>
    </row>
    <row r="75" spans="1:2">
      <c r="A75" s="31" t="s">
        <v>6</v>
      </c>
      <c r="B75" s="33" t="s">
        <v>22</v>
      </c>
    </row>
    <row r="76" spans="1:2">
      <c r="A76" s="28" t="s">
        <v>6</v>
      </c>
      <c r="B76" s="30" t="s">
        <v>22</v>
      </c>
    </row>
    <row r="77" spans="1:2">
      <c r="A77" s="31" t="s">
        <v>7</v>
      </c>
      <c r="B77" s="33" t="s">
        <v>15</v>
      </c>
    </row>
    <row r="78" spans="1:2">
      <c r="A78" s="28" t="s">
        <v>9</v>
      </c>
      <c r="B78" s="30" t="s">
        <v>25</v>
      </c>
    </row>
    <row r="79" spans="1:2">
      <c r="A79" s="31" t="s">
        <v>8</v>
      </c>
      <c r="B79" s="33" t="s">
        <v>18</v>
      </c>
    </row>
    <row r="80" spans="1:2">
      <c r="A80" s="28" t="s">
        <v>10</v>
      </c>
      <c r="B80" s="30" t="s">
        <v>31</v>
      </c>
    </row>
    <row r="81" spans="1:2">
      <c r="A81" s="31" t="s">
        <v>8</v>
      </c>
      <c r="B81" s="33" t="s">
        <v>16</v>
      </c>
    </row>
    <row r="82" spans="1:2">
      <c r="A82" s="28" t="s">
        <v>6</v>
      </c>
      <c r="B82" s="30" t="s">
        <v>36</v>
      </c>
    </row>
    <row r="83" spans="1:2">
      <c r="A83" s="31" t="s">
        <v>9</v>
      </c>
      <c r="B83" s="33" t="s">
        <v>25</v>
      </c>
    </row>
    <row r="84" spans="1:2">
      <c r="A84" s="28" t="s">
        <v>6</v>
      </c>
      <c r="B84" s="30" t="s">
        <v>35</v>
      </c>
    </row>
    <row r="85" spans="1:2">
      <c r="A85" s="31" t="s">
        <v>7</v>
      </c>
      <c r="B85" s="33" t="s">
        <v>14</v>
      </c>
    </row>
    <row r="86" spans="1:2">
      <c r="A86" s="28" t="s">
        <v>8</v>
      </c>
      <c r="B86" s="30" t="s">
        <v>18</v>
      </c>
    </row>
    <row r="87" spans="1:2">
      <c r="A87" s="31" t="s">
        <v>8</v>
      </c>
      <c r="B87" s="33" t="s">
        <v>18</v>
      </c>
    </row>
    <row r="88" spans="1:2">
      <c r="A88" s="28" t="s">
        <v>6</v>
      </c>
      <c r="B88" s="30" t="s">
        <v>35</v>
      </c>
    </row>
    <row r="89" spans="1:2">
      <c r="A89" s="31" t="s">
        <v>9</v>
      </c>
      <c r="B89" s="33" t="s">
        <v>33</v>
      </c>
    </row>
    <row r="90" spans="1:2">
      <c r="A90" s="28" t="s">
        <v>7</v>
      </c>
      <c r="B90" s="30" t="s">
        <v>19</v>
      </c>
    </row>
    <row r="91" spans="1:2">
      <c r="A91" s="31" t="s">
        <v>7</v>
      </c>
      <c r="B91" s="33" t="s">
        <v>14</v>
      </c>
    </row>
    <row r="92" spans="1:2">
      <c r="A92" s="28" t="s">
        <v>7</v>
      </c>
      <c r="B92" s="30" t="s">
        <v>15</v>
      </c>
    </row>
    <row r="93" spans="1:2">
      <c r="A93" s="31" t="s">
        <v>6</v>
      </c>
      <c r="B93" s="33" t="s">
        <v>36</v>
      </c>
    </row>
    <row r="94" spans="1:2">
      <c r="A94" s="28" t="s">
        <v>8</v>
      </c>
      <c r="B94" s="30" t="s">
        <v>18</v>
      </c>
    </row>
    <row r="95" spans="1:2">
      <c r="A95" s="31" t="s">
        <v>8</v>
      </c>
      <c r="B95" s="33" t="s">
        <v>29</v>
      </c>
    </row>
    <row r="96" spans="1:2">
      <c r="A96" s="28" t="s">
        <v>6</v>
      </c>
      <c r="B96" s="30" t="s">
        <v>35</v>
      </c>
    </row>
    <row r="97" spans="1:2">
      <c r="A97" s="31" t="s">
        <v>6</v>
      </c>
      <c r="B97" s="33" t="s">
        <v>22</v>
      </c>
    </row>
    <row r="98" spans="1:2">
      <c r="A98" s="28" t="s">
        <v>6</v>
      </c>
      <c r="B98" s="30" t="s">
        <v>37</v>
      </c>
    </row>
    <row r="99" spans="1:2">
      <c r="A99" s="31" t="s">
        <v>6</v>
      </c>
      <c r="B99" s="33" t="s">
        <v>22</v>
      </c>
    </row>
    <row r="100" spans="1:2">
      <c r="A100" s="28" t="s">
        <v>9</v>
      </c>
      <c r="B100" s="30" t="s">
        <v>32</v>
      </c>
    </row>
    <row r="101" spans="1:2">
      <c r="A101" s="31" t="s">
        <v>8</v>
      </c>
      <c r="B101" s="33" t="s">
        <v>29</v>
      </c>
    </row>
    <row r="102" spans="1:2">
      <c r="A102" s="28" t="s">
        <v>8</v>
      </c>
      <c r="B102" s="30" t="s">
        <v>20</v>
      </c>
    </row>
    <row r="103" spans="1:2">
      <c r="A103" s="31" t="s">
        <v>6</v>
      </c>
      <c r="B103" s="33" t="s">
        <v>30</v>
      </c>
    </row>
    <row r="104" spans="1:2">
      <c r="A104" s="28" t="s">
        <v>7</v>
      </c>
      <c r="B104" s="30" t="s">
        <v>19</v>
      </c>
    </row>
    <row r="105" spans="1:2">
      <c r="A105" s="31" t="s">
        <v>7</v>
      </c>
      <c r="B105" s="33" t="s">
        <v>19</v>
      </c>
    </row>
    <row r="106" spans="1:2">
      <c r="A106" s="28" t="s">
        <v>7</v>
      </c>
      <c r="B106" s="30" t="s">
        <v>19</v>
      </c>
    </row>
    <row r="107" spans="1:2">
      <c r="A107" s="31" t="s">
        <v>10</v>
      </c>
      <c r="B107" s="33" t="s">
        <v>31</v>
      </c>
    </row>
    <row r="108" spans="1:2">
      <c r="A108" s="28" t="s">
        <v>10</v>
      </c>
      <c r="B108" s="30" t="s">
        <v>31</v>
      </c>
    </row>
    <row r="109" spans="1:2">
      <c r="A109" s="31" t="s">
        <v>9</v>
      </c>
      <c r="B109" s="33" t="s">
        <v>32</v>
      </c>
    </row>
    <row r="110" spans="1:2">
      <c r="A110" s="28" t="s">
        <v>8</v>
      </c>
      <c r="B110" s="30" t="s">
        <v>20</v>
      </c>
    </row>
    <row r="111" spans="1:2">
      <c r="A111" s="31" t="s">
        <v>7</v>
      </c>
      <c r="B111" s="33" t="s">
        <v>14</v>
      </c>
    </row>
    <row r="112" spans="1:2">
      <c r="A112" s="28" t="s">
        <v>10</v>
      </c>
      <c r="B112" s="30" t="s">
        <v>34</v>
      </c>
    </row>
    <row r="113" spans="1:2">
      <c r="A113" s="31" t="s">
        <v>10</v>
      </c>
      <c r="B113" s="33" t="s">
        <v>31</v>
      </c>
    </row>
    <row r="114" spans="1:2">
      <c r="A114" s="28" t="s">
        <v>9</v>
      </c>
      <c r="B114" s="30" t="s">
        <v>17</v>
      </c>
    </row>
    <row r="115" spans="1:2">
      <c r="A115" s="31" t="s">
        <v>7</v>
      </c>
      <c r="B115" s="33" t="s">
        <v>15</v>
      </c>
    </row>
    <row r="116" spans="1:2">
      <c r="A116" s="28" t="s">
        <v>9</v>
      </c>
      <c r="B116" s="30" t="s">
        <v>25</v>
      </c>
    </row>
    <row r="117" spans="1:2">
      <c r="A117" s="31" t="s">
        <v>10</v>
      </c>
      <c r="B117" s="33" t="s">
        <v>26</v>
      </c>
    </row>
    <row r="118" spans="1:2">
      <c r="A118" s="28" t="s">
        <v>8</v>
      </c>
      <c r="B118" s="30" t="s">
        <v>16</v>
      </c>
    </row>
    <row r="119" spans="1:2">
      <c r="A119" s="31" t="s">
        <v>9</v>
      </c>
      <c r="B119" s="33" t="s">
        <v>17</v>
      </c>
    </row>
    <row r="120" spans="1:2">
      <c r="A120" s="28" t="s">
        <v>7</v>
      </c>
      <c r="B120" s="30" t="s">
        <v>12</v>
      </c>
    </row>
    <row r="121" spans="1:2">
      <c r="A121" s="31" t="s">
        <v>10</v>
      </c>
      <c r="B121" s="33" t="s">
        <v>34</v>
      </c>
    </row>
    <row r="122" spans="1:2">
      <c r="A122" s="28" t="s">
        <v>8</v>
      </c>
      <c r="B122" s="30" t="s">
        <v>29</v>
      </c>
    </row>
    <row r="123" spans="1:2">
      <c r="A123" s="31" t="s">
        <v>6</v>
      </c>
      <c r="B123" s="33" t="s">
        <v>11</v>
      </c>
    </row>
    <row r="124" spans="1:2">
      <c r="A124" s="28" t="s">
        <v>10</v>
      </c>
      <c r="B124" s="30" t="s">
        <v>26</v>
      </c>
    </row>
    <row r="125" spans="1:2">
      <c r="A125" s="31" t="s">
        <v>9</v>
      </c>
      <c r="B125" s="33" t="s">
        <v>23</v>
      </c>
    </row>
    <row r="126" spans="1:2">
      <c r="A126" s="28" t="s">
        <v>6</v>
      </c>
      <c r="B126" s="30" t="s">
        <v>30</v>
      </c>
    </row>
    <row r="127" spans="1:2">
      <c r="A127" s="31" t="s">
        <v>7</v>
      </c>
      <c r="B127" s="33" t="s">
        <v>14</v>
      </c>
    </row>
    <row r="128" spans="1:2">
      <c r="A128" s="28" t="s">
        <v>7</v>
      </c>
      <c r="B128" s="30" t="s">
        <v>14</v>
      </c>
    </row>
    <row r="129" spans="1:2">
      <c r="A129" s="31" t="s">
        <v>6</v>
      </c>
      <c r="B129" s="33" t="s">
        <v>11</v>
      </c>
    </row>
    <row r="130" spans="1:2">
      <c r="A130" s="28" t="s">
        <v>9</v>
      </c>
      <c r="B130" s="30" t="s">
        <v>25</v>
      </c>
    </row>
    <row r="131" spans="1:2">
      <c r="A131" s="31" t="s">
        <v>7</v>
      </c>
      <c r="B131" s="33" t="s">
        <v>12</v>
      </c>
    </row>
    <row r="132" spans="1:2">
      <c r="A132" s="28" t="s">
        <v>7</v>
      </c>
      <c r="B132" s="30" t="s">
        <v>15</v>
      </c>
    </row>
    <row r="133" spans="1:2">
      <c r="A133" s="31" t="s">
        <v>9</v>
      </c>
      <c r="B133" s="33" t="s">
        <v>23</v>
      </c>
    </row>
    <row r="134" spans="1:2">
      <c r="A134" s="28" t="s">
        <v>9</v>
      </c>
      <c r="B134" s="30" t="s">
        <v>33</v>
      </c>
    </row>
    <row r="135" spans="1:2">
      <c r="A135" s="31" t="s">
        <v>8</v>
      </c>
      <c r="B135" s="33" t="s">
        <v>16</v>
      </c>
    </row>
    <row r="136" spans="1:2">
      <c r="A136" s="28" t="s">
        <v>9</v>
      </c>
      <c r="B136" s="30" t="s">
        <v>17</v>
      </c>
    </row>
    <row r="137" spans="1:2">
      <c r="A137" s="31" t="s">
        <v>8</v>
      </c>
      <c r="B137" s="33" t="s">
        <v>20</v>
      </c>
    </row>
    <row r="138" spans="1:2">
      <c r="A138" s="28" t="s">
        <v>6</v>
      </c>
      <c r="B138" s="30" t="s">
        <v>11</v>
      </c>
    </row>
    <row r="139" spans="1:2">
      <c r="A139" s="31" t="s">
        <v>8</v>
      </c>
      <c r="B139" s="33" t="s">
        <v>16</v>
      </c>
    </row>
    <row r="140" spans="1:2">
      <c r="A140" s="28" t="s">
        <v>8</v>
      </c>
      <c r="B140" s="30" t="s">
        <v>16</v>
      </c>
    </row>
    <row r="141" spans="1:2">
      <c r="A141" s="31" t="s">
        <v>10</v>
      </c>
      <c r="B141" s="33" t="s">
        <v>26</v>
      </c>
    </row>
    <row r="142" spans="1:2">
      <c r="A142" s="28" t="s">
        <v>8</v>
      </c>
      <c r="B142" s="30" t="s">
        <v>20</v>
      </c>
    </row>
    <row r="143" spans="1:2">
      <c r="A143" s="31" t="s">
        <v>6</v>
      </c>
      <c r="B143" s="33" t="s">
        <v>35</v>
      </c>
    </row>
    <row r="144" spans="1:2">
      <c r="A144" s="28" t="s">
        <v>6</v>
      </c>
      <c r="B144" s="30" t="s">
        <v>35</v>
      </c>
    </row>
    <row r="145" spans="1:2">
      <c r="A145" s="31" t="s">
        <v>7</v>
      </c>
      <c r="B145" s="33" t="s">
        <v>15</v>
      </c>
    </row>
    <row r="146" spans="1:2">
      <c r="A146" s="28" t="s">
        <v>9</v>
      </c>
      <c r="B146" s="30" t="s">
        <v>17</v>
      </c>
    </row>
    <row r="147" spans="1:2">
      <c r="A147" s="31" t="s">
        <v>10</v>
      </c>
      <c r="B147" s="33" t="s">
        <v>27</v>
      </c>
    </row>
    <row r="148" spans="1:2">
      <c r="A148" s="28" t="s">
        <v>6</v>
      </c>
      <c r="B148" s="30" t="s">
        <v>35</v>
      </c>
    </row>
    <row r="149" spans="1:2">
      <c r="A149" s="31" t="s">
        <v>6</v>
      </c>
      <c r="B149" s="33" t="s">
        <v>35</v>
      </c>
    </row>
    <row r="150" spans="1:2">
      <c r="A150" s="28" t="s">
        <v>7</v>
      </c>
      <c r="B150" s="30" t="s">
        <v>14</v>
      </c>
    </row>
    <row r="151" spans="1:2">
      <c r="A151" s="31" t="s">
        <v>8</v>
      </c>
      <c r="B151" s="33" t="s">
        <v>18</v>
      </c>
    </row>
    <row r="152" spans="1:2">
      <c r="A152" s="28" t="s">
        <v>9</v>
      </c>
      <c r="B152" s="30" t="s">
        <v>23</v>
      </c>
    </row>
    <row r="153" spans="1:2">
      <c r="A153" s="31" t="s">
        <v>8</v>
      </c>
      <c r="B153" s="33" t="s">
        <v>29</v>
      </c>
    </row>
    <row r="154" spans="1:2">
      <c r="A154" s="28" t="s">
        <v>9</v>
      </c>
      <c r="B154" s="30" t="s">
        <v>33</v>
      </c>
    </row>
    <row r="155" spans="1:2">
      <c r="A155" s="31" t="s">
        <v>7</v>
      </c>
      <c r="B155" s="33" t="s">
        <v>19</v>
      </c>
    </row>
    <row r="156" spans="1:2">
      <c r="A156" s="28" t="s">
        <v>10</v>
      </c>
      <c r="B156" s="30" t="s">
        <v>31</v>
      </c>
    </row>
    <row r="157" spans="1:2">
      <c r="A157" s="31" t="s">
        <v>9</v>
      </c>
      <c r="B157" s="33" t="s">
        <v>17</v>
      </c>
    </row>
    <row r="158" spans="1:2">
      <c r="A158" s="28" t="s">
        <v>7</v>
      </c>
      <c r="B158" s="30" t="s">
        <v>14</v>
      </c>
    </row>
    <row r="159" spans="1:2">
      <c r="A159" s="31" t="s">
        <v>8</v>
      </c>
      <c r="B159" s="33" t="s">
        <v>18</v>
      </c>
    </row>
    <row r="160" spans="1:2">
      <c r="A160" s="28" t="s">
        <v>9</v>
      </c>
      <c r="B160" s="30" t="s">
        <v>23</v>
      </c>
    </row>
    <row r="161" spans="1:2">
      <c r="A161" s="31" t="s">
        <v>8</v>
      </c>
      <c r="B161" s="33" t="s">
        <v>20</v>
      </c>
    </row>
    <row r="162" spans="1:2">
      <c r="A162" s="28" t="s">
        <v>10</v>
      </c>
      <c r="B162" s="30" t="s">
        <v>27</v>
      </c>
    </row>
    <row r="163" spans="1:2">
      <c r="A163" s="31" t="s">
        <v>6</v>
      </c>
      <c r="B163" s="33" t="s">
        <v>30</v>
      </c>
    </row>
    <row r="164" spans="1:2">
      <c r="A164" s="28" t="s">
        <v>10</v>
      </c>
      <c r="B164" s="30" t="s">
        <v>26</v>
      </c>
    </row>
    <row r="165" spans="1:2">
      <c r="A165" s="31" t="s">
        <v>7</v>
      </c>
      <c r="B165" s="33" t="s">
        <v>13</v>
      </c>
    </row>
    <row r="166" spans="1:2">
      <c r="A166" s="28" t="s">
        <v>6</v>
      </c>
      <c r="B166" s="30" t="s">
        <v>11</v>
      </c>
    </row>
    <row r="167" spans="1:2">
      <c r="A167" s="31" t="s">
        <v>8</v>
      </c>
      <c r="B167" s="33" t="s">
        <v>29</v>
      </c>
    </row>
    <row r="168" spans="1:2">
      <c r="A168" s="28" t="s">
        <v>6</v>
      </c>
      <c r="B168" s="30" t="s">
        <v>30</v>
      </c>
    </row>
    <row r="169" spans="1:2">
      <c r="A169" s="31" t="s">
        <v>9</v>
      </c>
      <c r="B169" s="33" t="s">
        <v>17</v>
      </c>
    </row>
    <row r="170" spans="1:2">
      <c r="A170" s="28" t="s">
        <v>10</v>
      </c>
      <c r="B170" s="30" t="s">
        <v>34</v>
      </c>
    </row>
    <row r="171" spans="1:2">
      <c r="A171" s="31" t="s">
        <v>7</v>
      </c>
      <c r="B171" s="33" t="s">
        <v>12</v>
      </c>
    </row>
    <row r="172" spans="1:2">
      <c r="A172" s="28" t="s">
        <v>10</v>
      </c>
      <c r="B172" s="30" t="s">
        <v>34</v>
      </c>
    </row>
    <row r="173" spans="1:2">
      <c r="A173" s="31" t="s">
        <v>7</v>
      </c>
      <c r="B173" s="33" t="s">
        <v>12</v>
      </c>
    </row>
    <row r="174" spans="1:2">
      <c r="A174" s="28" t="s">
        <v>10</v>
      </c>
      <c r="B174" s="30" t="s">
        <v>26</v>
      </c>
    </row>
    <row r="175" spans="1:2">
      <c r="A175" s="31" t="s">
        <v>7</v>
      </c>
      <c r="B175" s="33" t="s">
        <v>13</v>
      </c>
    </row>
    <row r="176" spans="1:2">
      <c r="A176" s="28" t="s">
        <v>8</v>
      </c>
      <c r="B176" s="30" t="s">
        <v>29</v>
      </c>
    </row>
    <row r="177" spans="1:2">
      <c r="A177" s="31" t="s">
        <v>7</v>
      </c>
      <c r="B177" s="33" t="s">
        <v>19</v>
      </c>
    </row>
    <row r="178" spans="1:2">
      <c r="A178" s="28" t="s">
        <v>9</v>
      </c>
      <c r="B178" s="30" t="s">
        <v>32</v>
      </c>
    </row>
    <row r="179" spans="1:2">
      <c r="A179" s="31" t="s">
        <v>9</v>
      </c>
      <c r="B179" s="33" t="s">
        <v>23</v>
      </c>
    </row>
    <row r="180" spans="1:2">
      <c r="A180" s="28" t="s">
        <v>8</v>
      </c>
      <c r="B180" s="30" t="s">
        <v>16</v>
      </c>
    </row>
    <row r="181" spans="1:2">
      <c r="A181" s="31" t="s">
        <v>6</v>
      </c>
      <c r="B181" s="33" t="s">
        <v>21</v>
      </c>
    </row>
    <row r="182" spans="1:2">
      <c r="A182" s="28" t="s">
        <v>7</v>
      </c>
      <c r="B182" s="30" t="s">
        <v>12</v>
      </c>
    </row>
    <row r="183" spans="1:2">
      <c r="A183" s="31" t="s">
        <v>6</v>
      </c>
      <c r="B183" s="33" t="s">
        <v>11</v>
      </c>
    </row>
    <row r="184" spans="1:2">
      <c r="A184" s="28" t="s">
        <v>6</v>
      </c>
      <c r="B184" s="30" t="s">
        <v>37</v>
      </c>
    </row>
    <row r="185" spans="1:2">
      <c r="A185" s="31" t="s">
        <v>8</v>
      </c>
      <c r="B185" s="33" t="s">
        <v>28</v>
      </c>
    </row>
    <row r="186" spans="1:2">
      <c r="A186" s="28" t="s">
        <v>6</v>
      </c>
      <c r="B186" s="30" t="s">
        <v>22</v>
      </c>
    </row>
    <row r="187" spans="1:2">
      <c r="A187" s="31" t="s">
        <v>8</v>
      </c>
      <c r="B187" s="33" t="s">
        <v>18</v>
      </c>
    </row>
    <row r="188" spans="1:2">
      <c r="A188" s="28" t="s">
        <v>10</v>
      </c>
      <c r="B188" s="30" t="s">
        <v>34</v>
      </c>
    </row>
    <row r="189" spans="1:2">
      <c r="A189" s="31" t="s">
        <v>10</v>
      </c>
      <c r="B189" s="33" t="s">
        <v>24</v>
      </c>
    </row>
    <row r="190" spans="1:2">
      <c r="A190" s="28" t="s">
        <v>6</v>
      </c>
      <c r="B190" s="30" t="s">
        <v>11</v>
      </c>
    </row>
    <row r="191" spans="1:2">
      <c r="A191" s="31" t="s">
        <v>7</v>
      </c>
      <c r="B191" s="33" t="s">
        <v>19</v>
      </c>
    </row>
    <row r="192" spans="1:2">
      <c r="A192" s="28" t="s">
        <v>8</v>
      </c>
      <c r="B192" s="30" t="s">
        <v>28</v>
      </c>
    </row>
    <row r="193" spans="1:2">
      <c r="A193" s="31" t="s">
        <v>6</v>
      </c>
      <c r="B193" s="33" t="s">
        <v>22</v>
      </c>
    </row>
    <row r="194" spans="1:2">
      <c r="A194" s="28" t="s">
        <v>7</v>
      </c>
      <c r="B194" s="30" t="s">
        <v>15</v>
      </c>
    </row>
    <row r="195" spans="1:2">
      <c r="A195" s="31" t="s">
        <v>6</v>
      </c>
      <c r="B195" s="33" t="s">
        <v>37</v>
      </c>
    </row>
    <row r="196" spans="1:2">
      <c r="A196" s="28" t="s">
        <v>7</v>
      </c>
      <c r="B196" s="30" t="s">
        <v>13</v>
      </c>
    </row>
    <row r="197" spans="1:2">
      <c r="A197" s="31" t="s">
        <v>7</v>
      </c>
      <c r="B197" s="33" t="s">
        <v>19</v>
      </c>
    </row>
    <row r="198" spans="1:2">
      <c r="A198" s="28" t="s">
        <v>10</v>
      </c>
      <c r="B198" s="30" t="s">
        <v>24</v>
      </c>
    </row>
    <row r="199" spans="1:2">
      <c r="A199" s="31" t="s">
        <v>6</v>
      </c>
      <c r="B199" s="33" t="s">
        <v>36</v>
      </c>
    </row>
    <row r="200" spans="1:2">
      <c r="A200" s="28" t="s">
        <v>9</v>
      </c>
      <c r="B200" s="30" t="s">
        <v>23</v>
      </c>
    </row>
    <row r="201" spans="1:2">
      <c r="A201" s="31" t="s">
        <v>6</v>
      </c>
      <c r="B201" s="33" t="s">
        <v>22</v>
      </c>
    </row>
    <row r="202" spans="1:2">
      <c r="A202" s="28" t="s">
        <v>6</v>
      </c>
      <c r="B202" s="30" t="s">
        <v>37</v>
      </c>
    </row>
    <row r="203" spans="1:2">
      <c r="A203" s="31" t="s">
        <v>8</v>
      </c>
      <c r="B203" s="33" t="s">
        <v>28</v>
      </c>
    </row>
    <row r="204" spans="1:2">
      <c r="A204" s="28" t="s">
        <v>10</v>
      </c>
      <c r="B204" s="30" t="s">
        <v>27</v>
      </c>
    </row>
    <row r="205" spans="1:2">
      <c r="A205" s="31" t="s">
        <v>6</v>
      </c>
      <c r="B205" s="33" t="s">
        <v>36</v>
      </c>
    </row>
    <row r="206" spans="1:2">
      <c r="A206" s="28" t="s">
        <v>8</v>
      </c>
      <c r="B206" s="30" t="s">
        <v>18</v>
      </c>
    </row>
    <row r="207" spans="1:2">
      <c r="A207" s="31" t="s">
        <v>6</v>
      </c>
      <c r="B207" s="33" t="s">
        <v>35</v>
      </c>
    </row>
    <row r="208" spans="1:2">
      <c r="A208" s="28" t="s">
        <v>7</v>
      </c>
      <c r="B208" s="30" t="s">
        <v>12</v>
      </c>
    </row>
    <row r="209" spans="1:2">
      <c r="A209" s="31" t="s">
        <v>8</v>
      </c>
      <c r="B209" s="33" t="s">
        <v>18</v>
      </c>
    </row>
    <row r="210" spans="1:2">
      <c r="A210" s="28" t="s">
        <v>9</v>
      </c>
      <c r="B210" s="30" t="s">
        <v>23</v>
      </c>
    </row>
    <row r="211" spans="1:2">
      <c r="A211" s="31" t="s">
        <v>10</v>
      </c>
      <c r="B211" s="33" t="s">
        <v>31</v>
      </c>
    </row>
    <row r="212" spans="1:2">
      <c r="A212" s="28" t="s">
        <v>9</v>
      </c>
      <c r="B212" s="30" t="s">
        <v>32</v>
      </c>
    </row>
    <row r="213" spans="1:2">
      <c r="A213" s="31" t="s">
        <v>7</v>
      </c>
      <c r="B213" s="33" t="s">
        <v>13</v>
      </c>
    </row>
    <row r="214" spans="1:2">
      <c r="A214" s="28" t="s">
        <v>9</v>
      </c>
      <c r="B214" s="30" t="s">
        <v>17</v>
      </c>
    </row>
    <row r="215" spans="1:2">
      <c r="A215" s="31" t="s">
        <v>9</v>
      </c>
      <c r="B215" s="33" t="s">
        <v>17</v>
      </c>
    </row>
    <row r="216" spans="1:2">
      <c r="A216" s="28" t="s">
        <v>10</v>
      </c>
      <c r="B216" s="30" t="s">
        <v>24</v>
      </c>
    </row>
    <row r="217" spans="1:2">
      <c r="A217" s="31" t="s">
        <v>6</v>
      </c>
      <c r="B217" s="33" t="s">
        <v>30</v>
      </c>
    </row>
    <row r="218" spans="1:2">
      <c r="A218" s="28" t="s">
        <v>7</v>
      </c>
      <c r="B218" s="30" t="s">
        <v>14</v>
      </c>
    </row>
    <row r="219" spans="1:2">
      <c r="A219" s="31" t="s">
        <v>9</v>
      </c>
      <c r="B219" s="33" t="s">
        <v>17</v>
      </c>
    </row>
    <row r="220" spans="1:2">
      <c r="A220" s="28" t="s">
        <v>10</v>
      </c>
      <c r="B220" s="30" t="s">
        <v>24</v>
      </c>
    </row>
    <row r="221" spans="1:2">
      <c r="A221" s="31" t="s">
        <v>6</v>
      </c>
      <c r="B221" s="33" t="s">
        <v>22</v>
      </c>
    </row>
    <row r="222" spans="1:2">
      <c r="A222" s="28" t="s">
        <v>8</v>
      </c>
      <c r="B222" s="30" t="s">
        <v>28</v>
      </c>
    </row>
    <row r="223" spans="1:2">
      <c r="A223" s="31" t="s">
        <v>9</v>
      </c>
      <c r="B223" s="33" t="s">
        <v>33</v>
      </c>
    </row>
    <row r="224" spans="1:2">
      <c r="A224" s="28" t="s">
        <v>9</v>
      </c>
      <c r="B224" s="30" t="s">
        <v>32</v>
      </c>
    </row>
    <row r="225" spans="1:2">
      <c r="A225" s="31" t="s">
        <v>7</v>
      </c>
      <c r="B225" s="33" t="s">
        <v>14</v>
      </c>
    </row>
    <row r="226" spans="1:2">
      <c r="A226" s="28" t="s">
        <v>6</v>
      </c>
      <c r="B226" s="30" t="s">
        <v>11</v>
      </c>
    </row>
    <row r="227" spans="1:2">
      <c r="A227" s="31" t="s">
        <v>6</v>
      </c>
      <c r="B227" s="33" t="s">
        <v>37</v>
      </c>
    </row>
    <row r="228" spans="1:2">
      <c r="A228" s="28" t="s">
        <v>7</v>
      </c>
      <c r="B228" s="30" t="s">
        <v>14</v>
      </c>
    </row>
    <row r="229" spans="1:2">
      <c r="A229" s="31" t="s">
        <v>10</v>
      </c>
      <c r="B229" s="33" t="s">
        <v>31</v>
      </c>
    </row>
    <row r="230" spans="1:2">
      <c r="A230" s="28" t="s">
        <v>10</v>
      </c>
      <c r="B230" s="30" t="s">
        <v>27</v>
      </c>
    </row>
    <row r="231" spans="1:2">
      <c r="A231" s="31" t="s">
        <v>10</v>
      </c>
      <c r="B231" s="33" t="s">
        <v>34</v>
      </c>
    </row>
    <row r="232" spans="1:2">
      <c r="A232" s="28" t="s">
        <v>8</v>
      </c>
      <c r="B232" s="30" t="s">
        <v>28</v>
      </c>
    </row>
    <row r="233" spans="1:2">
      <c r="A233" s="31" t="s">
        <v>6</v>
      </c>
      <c r="B233" s="33" t="s">
        <v>35</v>
      </c>
    </row>
    <row r="234" spans="1:2">
      <c r="A234" s="28" t="s">
        <v>10</v>
      </c>
      <c r="B234" s="30" t="s">
        <v>27</v>
      </c>
    </row>
    <row r="235" spans="1:2">
      <c r="A235" s="31" t="s">
        <v>10</v>
      </c>
      <c r="B235" s="33" t="s">
        <v>31</v>
      </c>
    </row>
    <row r="236" spans="1:2">
      <c r="A236" s="28" t="s">
        <v>10</v>
      </c>
      <c r="B236" s="30" t="s">
        <v>26</v>
      </c>
    </row>
    <row r="237" spans="1:2">
      <c r="A237" s="31" t="s">
        <v>8</v>
      </c>
      <c r="B237" s="33" t="s">
        <v>28</v>
      </c>
    </row>
    <row r="238" spans="1:2">
      <c r="A238" s="28" t="s">
        <v>7</v>
      </c>
      <c r="B238" s="30" t="s">
        <v>13</v>
      </c>
    </row>
    <row r="239" spans="1:2">
      <c r="A239" s="31" t="s">
        <v>8</v>
      </c>
      <c r="B239" s="33" t="s">
        <v>16</v>
      </c>
    </row>
    <row r="240" spans="1:2">
      <c r="A240" s="28" t="s">
        <v>8</v>
      </c>
      <c r="B240" s="30" t="s">
        <v>18</v>
      </c>
    </row>
    <row r="241" spans="1:2">
      <c r="A241" s="31" t="s">
        <v>7</v>
      </c>
      <c r="B241" s="33" t="s">
        <v>12</v>
      </c>
    </row>
    <row r="242" spans="1:2">
      <c r="A242" s="28" t="s">
        <v>7</v>
      </c>
      <c r="B242" s="30" t="s">
        <v>14</v>
      </c>
    </row>
    <row r="243" spans="1:2">
      <c r="A243" s="31" t="s">
        <v>9</v>
      </c>
      <c r="B243" s="33" t="s">
        <v>33</v>
      </c>
    </row>
    <row r="244" spans="1:2">
      <c r="A244" s="28" t="s">
        <v>7</v>
      </c>
      <c r="B244" s="30" t="s">
        <v>15</v>
      </c>
    </row>
    <row r="245" spans="1:2">
      <c r="A245" s="31" t="s">
        <v>7</v>
      </c>
      <c r="B245" s="33" t="s">
        <v>15</v>
      </c>
    </row>
    <row r="246" spans="1:2">
      <c r="A246" s="28" t="s">
        <v>8</v>
      </c>
      <c r="B246" s="30" t="s">
        <v>28</v>
      </c>
    </row>
    <row r="247" spans="1:2">
      <c r="A247" s="31" t="s">
        <v>9</v>
      </c>
      <c r="B247" s="33" t="s">
        <v>25</v>
      </c>
    </row>
    <row r="248" spans="1:2">
      <c r="A248" s="28" t="s">
        <v>7</v>
      </c>
      <c r="B248" s="30" t="s">
        <v>12</v>
      </c>
    </row>
    <row r="249" spans="1:2">
      <c r="A249" s="31" t="s">
        <v>8</v>
      </c>
      <c r="B249" s="33" t="s">
        <v>18</v>
      </c>
    </row>
    <row r="250" spans="1:2">
      <c r="A250" s="28" t="s">
        <v>7</v>
      </c>
      <c r="B250" s="30" t="s">
        <v>19</v>
      </c>
    </row>
    <row r="251" spans="1:2">
      <c r="A251" s="31" t="s">
        <v>9</v>
      </c>
      <c r="B251" s="33" t="s">
        <v>32</v>
      </c>
    </row>
    <row r="252" spans="1:2">
      <c r="A252" s="28" t="s">
        <v>8</v>
      </c>
      <c r="B252" s="30" t="s">
        <v>28</v>
      </c>
    </row>
    <row r="253" spans="1:2">
      <c r="A253" s="31" t="s">
        <v>9</v>
      </c>
      <c r="B253" s="33" t="s">
        <v>23</v>
      </c>
    </row>
    <row r="254" spans="1:2">
      <c r="A254" s="28" t="s">
        <v>9</v>
      </c>
      <c r="B254" s="30" t="s">
        <v>33</v>
      </c>
    </row>
    <row r="255" spans="1:2">
      <c r="A255" s="31" t="s">
        <v>6</v>
      </c>
      <c r="B255" s="33" t="s">
        <v>22</v>
      </c>
    </row>
    <row r="256" spans="1:2">
      <c r="A256" s="28" t="s">
        <v>9</v>
      </c>
      <c r="B256" s="30" t="s">
        <v>23</v>
      </c>
    </row>
    <row r="257" spans="1:2">
      <c r="A257" s="31" t="s">
        <v>6</v>
      </c>
      <c r="B257" s="33" t="s">
        <v>35</v>
      </c>
    </row>
    <row r="258" spans="1:2">
      <c r="A258" s="28" t="s">
        <v>10</v>
      </c>
      <c r="B258" s="30" t="s">
        <v>26</v>
      </c>
    </row>
    <row r="259" spans="1:2">
      <c r="A259" s="31" t="s">
        <v>9</v>
      </c>
      <c r="B259" s="33" t="s">
        <v>25</v>
      </c>
    </row>
    <row r="260" spans="1:2">
      <c r="A260" s="28" t="s">
        <v>8</v>
      </c>
      <c r="B260" s="30" t="s">
        <v>29</v>
      </c>
    </row>
    <row r="261" spans="1:2">
      <c r="A261" s="31" t="s">
        <v>10</v>
      </c>
      <c r="B261" s="33" t="s">
        <v>26</v>
      </c>
    </row>
    <row r="262" spans="1:2">
      <c r="A262" s="28" t="s">
        <v>7</v>
      </c>
      <c r="B262" s="30" t="s">
        <v>14</v>
      </c>
    </row>
    <row r="263" spans="1:2">
      <c r="A263" s="31" t="s">
        <v>9</v>
      </c>
      <c r="B263" s="33" t="s">
        <v>33</v>
      </c>
    </row>
    <row r="264" spans="1:2">
      <c r="A264" s="28" t="s">
        <v>10</v>
      </c>
      <c r="B264" s="30" t="s">
        <v>31</v>
      </c>
    </row>
    <row r="265" spans="1:2">
      <c r="A265" s="31" t="s">
        <v>7</v>
      </c>
      <c r="B265" s="33" t="s">
        <v>12</v>
      </c>
    </row>
    <row r="266" spans="1:2">
      <c r="A266" s="28" t="s">
        <v>9</v>
      </c>
      <c r="B266" s="30" t="s">
        <v>33</v>
      </c>
    </row>
    <row r="267" spans="1:2">
      <c r="A267" s="31" t="s">
        <v>7</v>
      </c>
      <c r="B267" s="33" t="s">
        <v>12</v>
      </c>
    </row>
    <row r="268" spans="1:2">
      <c r="A268" s="28" t="s">
        <v>7</v>
      </c>
      <c r="B268" s="30" t="s">
        <v>19</v>
      </c>
    </row>
    <row r="269" spans="1:2">
      <c r="A269" s="31" t="s">
        <v>7</v>
      </c>
      <c r="B269" s="33" t="s">
        <v>15</v>
      </c>
    </row>
    <row r="270" spans="1:2">
      <c r="A270" s="28" t="s">
        <v>9</v>
      </c>
      <c r="B270" s="30" t="s">
        <v>17</v>
      </c>
    </row>
    <row r="271" spans="1:2">
      <c r="A271" s="31" t="s">
        <v>7</v>
      </c>
      <c r="B271" s="33" t="s">
        <v>12</v>
      </c>
    </row>
    <row r="272" spans="1:2">
      <c r="A272" s="28" t="s">
        <v>10</v>
      </c>
      <c r="B272" s="30" t="s">
        <v>31</v>
      </c>
    </row>
    <row r="273" spans="1:2">
      <c r="A273" s="31" t="s">
        <v>7</v>
      </c>
      <c r="B273" s="33" t="s">
        <v>14</v>
      </c>
    </row>
    <row r="274" spans="1:2">
      <c r="A274" s="28" t="s">
        <v>8</v>
      </c>
      <c r="B274" s="30" t="s">
        <v>16</v>
      </c>
    </row>
    <row r="275" spans="1:2">
      <c r="A275" s="31" t="s">
        <v>9</v>
      </c>
      <c r="B275" s="33" t="s">
        <v>23</v>
      </c>
    </row>
    <row r="276" spans="1:2">
      <c r="A276" s="28" t="s">
        <v>9</v>
      </c>
      <c r="B276" s="30" t="s">
        <v>32</v>
      </c>
    </row>
    <row r="277" spans="1:2">
      <c r="A277" s="31" t="s">
        <v>8</v>
      </c>
      <c r="B277" s="33" t="s">
        <v>20</v>
      </c>
    </row>
    <row r="278" spans="1:2">
      <c r="A278" s="28" t="s">
        <v>9</v>
      </c>
      <c r="B278" s="30" t="s">
        <v>25</v>
      </c>
    </row>
    <row r="279" spans="1:2">
      <c r="A279" s="31" t="s">
        <v>8</v>
      </c>
      <c r="B279" s="33" t="s">
        <v>28</v>
      </c>
    </row>
    <row r="280" spans="1:2">
      <c r="A280" s="28" t="s">
        <v>6</v>
      </c>
      <c r="B280" s="30" t="s">
        <v>22</v>
      </c>
    </row>
    <row r="281" spans="1:2">
      <c r="A281" s="31" t="s">
        <v>10</v>
      </c>
      <c r="B281" s="33" t="s">
        <v>27</v>
      </c>
    </row>
    <row r="282" spans="1:2">
      <c r="A282" s="28" t="s">
        <v>9</v>
      </c>
      <c r="B282" s="30" t="s">
        <v>25</v>
      </c>
    </row>
    <row r="283" spans="1:2">
      <c r="A283" s="31" t="s">
        <v>6</v>
      </c>
      <c r="B283" s="33" t="s">
        <v>35</v>
      </c>
    </row>
    <row r="284" spans="1:2">
      <c r="A284" s="28" t="s">
        <v>6</v>
      </c>
      <c r="B284" s="30" t="s">
        <v>11</v>
      </c>
    </row>
    <row r="285" spans="1:2">
      <c r="A285" s="31" t="s">
        <v>10</v>
      </c>
      <c r="B285" s="33" t="s">
        <v>26</v>
      </c>
    </row>
    <row r="286" spans="1:2">
      <c r="A286" s="28" t="s">
        <v>7</v>
      </c>
      <c r="B286" s="30" t="s">
        <v>14</v>
      </c>
    </row>
    <row r="287" spans="1:2">
      <c r="A287" s="31" t="s">
        <v>8</v>
      </c>
      <c r="B287" s="33" t="s">
        <v>20</v>
      </c>
    </row>
    <row r="288" spans="1:2">
      <c r="A288" s="28" t="s">
        <v>10</v>
      </c>
      <c r="B288" s="30" t="s">
        <v>31</v>
      </c>
    </row>
    <row r="289" spans="1:2">
      <c r="A289" s="31" t="s">
        <v>7</v>
      </c>
      <c r="B289" s="33" t="s">
        <v>13</v>
      </c>
    </row>
    <row r="290" spans="1:2">
      <c r="A290" s="28" t="s">
        <v>8</v>
      </c>
      <c r="B290" s="30" t="s">
        <v>16</v>
      </c>
    </row>
    <row r="291" spans="1:2">
      <c r="A291" s="31" t="s">
        <v>9</v>
      </c>
      <c r="B291" s="33" t="s">
        <v>25</v>
      </c>
    </row>
    <row r="292" spans="1:2">
      <c r="A292" s="28" t="s">
        <v>7</v>
      </c>
      <c r="B292" s="30" t="s">
        <v>12</v>
      </c>
    </row>
    <row r="293" spans="1:2">
      <c r="A293" s="31" t="s">
        <v>8</v>
      </c>
      <c r="B293" s="33" t="s">
        <v>28</v>
      </c>
    </row>
    <row r="294" spans="1:2">
      <c r="A294" s="28" t="s">
        <v>10</v>
      </c>
      <c r="B294" s="30" t="s">
        <v>26</v>
      </c>
    </row>
    <row r="295" spans="1:2">
      <c r="A295" s="31" t="s">
        <v>10</v>
      </c>
      <c r="B295" s="33" t="s">
        <v>24</v>
      </c>
    </row>
    <row r="296" spans="1:2">
      <c r="A296" s="28" t="s">
        <v>10</v>
      </c>
      <c r="B296" s="30" t="s">
        <v>26</v>
      </c>
    </row>
    <row r="297" spans="1:2">
      <c r="A297" s="31" t="s">
        <v>10</v>
      </c>
      <c r="B297" s="33" t="s">
        <v>26</v>
      </c>
    </row>
    <row r="298" spans="1:2">
      <c r="A298" s="28" t="s">
        <v>10</v>
      </c>
      <c r="B298" s="30" t="s">
        <v>34</v>
      </c>
    </row>
    <row r="299" spans="1:2">
      <c r="A299" s="31" t="s">
        <v>7</v>
      </c>
      <c r="B299" s="33" t="s">
        <v>14</v>
      </c>
    </row>
    <row r="300" spans="1:2">
      <c r="A300" s="28" t="s">
        <v>8</v>
      </c>
      <c r="B300" s="30" t="s">
        <v>18</v>
      </c>
    </row>
    <row r="301" spans="1:2">
      <c r="A301" s="31" t="s">
        <v>8</v>
      </c>
      <c r="B301" s="33" t="s">
        <v>20</v>
      </c>
    </row>
    <row r="302" spans="1:2">
      <c r="A302" s="28" t="s">
        <v>7</v>
      </c>
      <c r="B302" s="30" t="s">
        <v>19</v>
      </c>
    </row>
    <row r="303" spans="1:2">
      <c r="A303" s="31" t="s">
        <v>7</v>
      </c>
      <c r="B303" s="33" t="s">
        <v>13</v>
      </c>
    </row>
    <row r="304" spans="1:2">
      <c r="A304" s="28" t="s">
        <v>8</v>
      </c>
      <c r="B304" s="30" t="s">
        <v>28</v>
      </c>
    </row>
    <row r="305" spans="1:2">
      <c r="A305" s="31" t="s">
        <v>8</v>
      </c>
      <c r="B305" s="33" t="s">
        <v>16</v>
      </c>
    </row>
    <row r="306" spans="1:2">
      <c r="A306" s="28" t="s">
        <v>6</v>
      </c>
      <c r="B306" s="30" t="s">
        <v>21</v>
      </c>
    </row>
    <row r="307" spans="1:2">
      <c r="A307" s="31" t="s">
        <v>9</v>
      </c>
      <c r="B307" s="33" t="s">
        <v>25</v>
      </c>
    </row>
    <row r="308" spans="1:2">
      <c r="A308" s="28" t="s">
        <v>6</v>
      </c>
      <c r="B308" s="30" t="s">
        <v>35</v>
      </c>
    </row>
    <row r="309" spans="1:2">
      <c r="A309" s="31" t="s">
        <v>8</v>
      </c>
      <c r="B309" s="33" t="s">
        <v>28</v>
      </c>
    </row>
    <row r="310" spans="1:2">
      <c r="A310" s="28" t="s">
        <v>9</v>
      </c>
      <c r="B310" s="30" t="s">
        <v>33</v>
      </c>
    </row>
    <row r="311" spans="1:2">
      <c r="A311" s="31" t="s">
        <v>6</v>
      </c>
      <c r="B311" s="33" t="s">
        <v>36</v>
      </c>
    </row>
    <row r="312" spans="1:2">
      <c r="A312" s="28" t="s">
        <v>6</v>
      </c>
      <c r="B312" s="30" t="s">
        <v>35</v>
      </c>
    </row>
    <row r="313" spans="1:2">
      <c r="A313" s="31" t="s">
        <v>9</v>
      </c>
      <c r="B313" s="33" t="s">
        <v>33</v>
      </c>
    </row>
    <row r="314" spans="1:2">
      <c r="A314" s="28" t="s">
        <v>8</v>
      </c>
      <c r="B314" s="30" t="s">
        <v>18</v>
      </c>
    </row>
    <row r="315" spans="1:2">
      <c r="A315" s="31" t="s">
        <v>8</v>
      </c>
      <c r="B315" s="33" t="s">
        <v>29</v>
      </c>
    </row>
    <row r="316" spans="1:2">
      <c r="A316" s="28" t="s">
        <v>9</v>
      </c>
      <c r="B316" s="30" t="s">
        <v>25</v>
      </c>
    </row>
    <row r="317" spans="1:2">
      <c r="A317" s="31" t="s">
        <v>7</v>
      </c>
      <c r="B317" s="33" t="s">
        <v>12</v>
      </c>
    </row>
    <row r="318" spans="1:2">
      <c r="A318" s="28" t="s">
        <v>8</v>
      </c>
      <c r="B318" s="30" t="s">
        <v>29</v>
      </c>
    </row>
    <row r="319" spans="1:2">
      <c r="A319" s="31" t="s">
        <v>8</v>
      </c>
      <c r="B319" s="33" t="s">
        <v>28</v>
      </c>
    </row>
    <row r="320" spans="1:2">
      <c r="A320" s="28" t="s">
        <v>7</v>
      </c>
      <c r="B320" s="30" t="s">
        <v>15</v>
      </c>
    </row>
    <row r="321" spans="1:2">
      <c r="A321" s="31" t="s">
        <v>7</v>
      </c>
      <c r="B321" s="33" t="s">
        <v>19</v>
      </c>
    </row>
    <row r="322" spans="1:2">
      <c r="A322" s="28" t="s">
        <v>10</v>
      </c>
      <c r="B322" s="30" t="s">
        <v>34</v>
      </c>
    </row>
    <row r="323" spans="1:2">
      <c r="A323" s="31" t="s">
        <v>9</v>
      </c>
      <c r="B323" s="33" t="s">
        <v>33</v>
      </c>
    </row>
    <row r="324" spans="1:2">
      <c r="A324" s="28" t="s">
        <v>10</v>
      </c>
      <c r="B324" s="30" t="s">
        <v>24</v>
      </c>
    </row>
    <row r="325" spans="1:2">
      <c r="A325" s="31" t="s">
        <v>9</v>
      </c>
      <c r="B325" s="33" t="s">
        <v>32</v>
      </c>
    </row>
    <row r="326" spans="1:2">
      <c r="A326" s="28" t="s">
        <v>8</v>
      </c>
      <c r="B326" s="30" t="s">
        <v>18</v>
      </c>
    </row>
    <row r="327" spans="1:2">
      <c r="A327" s="31" t="s">
        <v>10</v>
      </c>
      <c r="B327" s="33" t="s">
        <v>34</v>
      </c>
    </row>
    <row r="328" spans="1:2">
      <c r="A328" s="28" t="s">
        <v>7</v>
      </c>
      <c r="B328" s="30" t="s">
        <v>12</v>
      </c>
    </row>
    <row r="329" spans="1:2">
      <c r="A329" s="31" t="s">
        <v>9</v>
      </c>
      <c r="B329" s="33" t="s">
        <v>23</v>
      </c>
    </row>
    <row r="330" spans="1:2">
      <c r="A330" s="28" t="s">
        <v>7</v>
      </c>
      <c r="B330" s="30" t="s">
        <v>12</v>
      </c>
    </row>
    <row r="331" spans="1:2">
      <c r="A331" s="31" t="s">
        <v>7</v>
      </c>
      <c r="B331" s="33" t="s">
        <v>15</v>
      </c>
    </row>
    <row r="332" spans="1:2">
      <c r="A332" s="28" t="s">
        <v>6</v>
      </c>
      <c r="B332" s="30" t="s">
        <v>37</v>
      </c>
    </row>
    <row r="333" spans="1:2">
      <c r="A333" s="31" t="s">
        <v>6</v>
      </c>
      <c r="B333" s="33" t="s">
        <v>35</v>
      </c>
    </row>
    <row r="334" spans="1:2">
      <c r="A334" s="28" t="s">
        <v>6</v>
      </c>
      <c r="B334" s="30" t="s">
        <v>30</v>
      </c>
    </row>
    <row r="335" spans="1:2">
      <c r="A335" s="31" t="s">
        <v>10</v>
      </c>
      <c r="B335" s="33" t="s">
        <v>27</v>
      </c>
    </row>
    <row r="336" spans="1:2">
      <c r="A336" s="28" t="s">
        <v>6</v>
      </c>
      <c r="B336" s="30" t="s">
        <v>11</v>
      </c>
    </row>
    <row r="337" spans="1:2">
      <c r="A337" s="31" t="s">
        <v>7</v>
      </c>
      <c r="B337" s="33" t="s">
        <v>15</v>
      </c>
    </row>
    <row r="338" spans="1:2">
      <c r="A338" s="28" t="s">
        <v>9</v>
      </c>
      <c r="B338" s="30" t="s">
        <v>33</v>
      </c>
    </row>
    <row r="339" spans="1:2">
      <c r="A339" s="31" t="s">
        <v>8</v>
      </c>
      <c r="B339" s="33" t="s">
        <v>20</v>
      </c>
    </row>
    <row r="340" spans="1:2">
      <c r="A340" s="28" t="s">
        <v>9</v>
      </c>
      <c r="B340" s="30" t="s">
        <v>32</v>
      </c>
    </row>
    <row r="341" spans="1:2">
      <c r="A341" s="31" t="s">
        <v>7</v>
      </c>
      <c r="B341" s="33" t="s">
        <v>13</v>
      </c>
    </row>
    <row r="342" spans="1:2">
      <c r="A342" s="28" t="s">
        <v>8</v>
      </c>
      <c r="B342" s="30" t="s">
        <v>16</v>
      </c>
    </row>
    <row r="343" spans="1:2">
      <c r="A343" s="31" t="s">
        <v>7</v>
      </c>
      <c r="B343" s="33" t="s">
        <v>14</v>
      </c>
    </row>
    <row r="344" spans="1:2">
      <c r="A344" s="28" t="s">
        <v>10</v>
      </c>
      <c r="B344" s="30" t="s">
        <v>26</v>
      </c>
    </row>
    <row r="345" spans="1:2">
      <c r="A345" s="31" t="s">
        <v>10</v>
      </c>
      <c r="B345" s="33" t="s">
        <v>31</v>
      </c>
    </row>
    <row r="346" spans="1:2">
      <c r="A346" s="28" t="s">
        <v>7</v>
      </c>
      <c r="B346" s="30" t="s">
        <v>13</v>
      </c>
    </row>
    <row r="347" spans="1:2">
      <c r="A347" s="31" t="s">
        <v>6</v>
      </c>
      <c r="B347" s="33" t="s">
        <v>36</v>
      </c>
    </row>
    <row r="348" spans="1:2">
      <c r="A348" s="28" t="s">
        <v>9</v>
      </c>
      <c r="B348" s="30" t="s">
        <v>25</v>
      </c>
    </row>
    <row r="349" spans="1:2">
      <c r="A349" s="31" t="s">
        <v>6</v>
      </c>
      <c r="B349" s="33" t="s">
        <v>21</v>
      </c>
    </row>
    <row r="350" spans="1:2">
      <c r="A350" s="28" t="s">
        <v>10</v>
      </c>
      <c r="B350" s="30" t="s">
        <v>27</v>
      </c>
    </row>
    <row r="351" spans="1:2">
      <c r="A351" s="31" t="s">
        <v>10</v>
      </c>
      <c r="B351" s="33" t="s">
        <v>34</v>
      </c>
    </row>
    <row r="352" spans="1:2">
      <c r="A352" s="28" t="s">
        <v>9</v>
      </c>
      <c r="B352" s="30" t="s">
        <v>23</v>
      </c>
    </row>
    <row r="353" spans="1:2">
      <c r="A353" s="31" t="s">
        <v>8</v>
      </c>
      <c r="B353" s="33" t="s">
        <v>18</v>
      </c>
    </row>
    <row r="354" spans="1:2">
      <c r="A354" s="28" t="s">
        <v>6</v>
      </c>
      <c r="B354" s="30" t="s">
        <v>22</v>
      </c>
    </row>
    <row r="355" spans="1:2">
      <c r="A355" s="31" t="s">
        <v>7</v>
      </c>
      <c r="B355" s="33" t="s">
        <v>12</v>
      </c>
    </row>
    <row r="356" spans="1:2">
      <c r="A356" s="28" t="s">
        <v>9</v>
      </c>
      <c r="B356" s="30" t="s">
        <v>17</v>
      </c>
    </row>
    <row r="357" spans="1:2">
      <c r="A357" s="31" t="s">
        <v>6</v>
      </c>
      <c r="B357" s="33" t="s">
        <v>36</v>
      </c>
    </row>
    <row r="358" spans="1:2">
      <c r="A358" s="28" t="s">
        <v>8</v>
      </c>
      <c r="B358" s="30" t="s">
        <v>16</v>
      </c>
    </row>
    <row r="359" spans="1:2">
      <c r="A359" s="31" t="s">
        <v>10</v>
      </c>
      <c r="B359" s="33" t="s">
        <v>24</v>
      </c>
    </row>
    <row r="360" spans="1:2">
      <c r="A360" s="28" t="s">
        <v>7</v>
      </c>
      <c r="B360" s="30" t="s">
        <v>14</v>
      </c>
    </row>
    <row r="361" spans="1:2">
      <c r="A361" s="31" t="s">
        <v>9</v>
      </c>
      <c r="B361" s="33" t="s">
        <v>32</v>
      </c>
    </row>
    <row r="362" spans="1:2">
      <c r="A362" s="28" t="s">
        <v>10</v>
      </c>
      <c r="B362" s="30" t="s">
        <v>31</v>
      </c>
    </row>
    <row r="363" spans="1:2">
      <c r="A363" s="31" t="s">
        <v>8</v>
      </c>
      <c r="B363" s="33" t="s">
        <v>16</v>
      </c>
    </row>
    <row r="364" spans="1:2">
      <c r="A364" s="28" t="s">
        <v>8</v>
      </c>
      <c r="B364" s="30" t="s">
        <v>18</v>
      </c>
    </row>
    <row r="365" spans="1:2">
      <c r="A365" s="31" t="s">
        <v>9</v>
      </c>
      <c r="B365" s="33" t="s">
        <v>23</v>
      </c>
    </row>
    <row r="366" spans="1:2">
      <c r="A366" s="28" t="s">
        <v>9</v>
      </c>
      <c r="B366" s="30" t="s">
        <v>25</v>
      </c>
    </row>
    <row r="367" spans="1:2">
      <c r="A367" s="31" t="s">
        <v>7</v>
      </c>
      <c r="B367" s="33" t="s">
        <v>13</v>
      </c>
    </row>
    <row r="368" spans="1:2">
      <c r="A368" s="28" t="s">
        <v>7</v>
      </c>
      <c r="B368" s="30" t="s">
        <v>12</v>
      </c>
    </row>
    <row r="369" spans="1:2">
      <c r="A369" s="31" t="s">
        <v>8</v>
      </c>
      <c r="B369" s="33" t="s">
        <v>16</v>
      </c>
    </row>
    <row r="370" spans="1:2">
      <c r="A370" s="28" t="s">
        <v>7</v>
      </c>
      <c r="B370" s="30" t="s">
        <v>19</v>
      </c>
    </row>
    <row r="371" spans="1:2">
      <c r="A371" s="31" t="s">
        <v>7</v>
      </c>
      <c r="B371" s="33" t="s">
        <v>19</v>
      </c>
    </row>
    <row r="372" spans="1:2">
      <c r="A372" s="28" t="s">
        <v>8</v>
      </c>
      <c r="B372" s="30" t="s">
        <v>16</v>
      </c>
    </row>
    <row r="373" spans="1:2">
      <c r="A373" s="31" t="s">
        <v>10</v>
      </c>
      <c r="B373" s="33" t="s">
        <v>34</v>
      </c>
    </row>
    <row r="374" spans="1:2">
      <c r="A374" s="28" t="s">
        <v>7</v>
      </c>
      <c r="B374" s="30" t="s">
        <v>12</v>
      </c>
    </row>
    <row r="375" spans="1:2">
      <c r="A375" s="31" t="s">
        <v>8</v>
      </c>
      <c r="B375" s="33" t="s">
        <v>16</v>
      </c>
    </row>
    <row r="376" spans="1:2">
      <c r="A376" s="28" t="s">
        <v>6</v>
      </c>
      <c r="B376" s="30" t="s">
        <v>30</v>
      </c>
    </row>
    <row r="377" spans="1:2">
      <c r="A377" s="31" t="s">
        <v>6</v>
      </c>
      <c r="B377" s="33" t="s">
        <v>11</v>
      </c>
    </row>
    <row r="378" spans="1:2">
      <c r="A378" s="28" t="s">
        <v>6</v>
      </c>
      <c r="B378" s="30" t="s">
        <v>36</v>
      </c>
    </row>
    <row r="379" spans="1:2">
      <c r="A379" s="31" t="s">
        <v>8</v>
      </c>
      <c r="B379" s="33" t="s">
        <v>20</v>
      </c>
    </row>
    <row r="380" spans="1:2">
      <c r="A380" s="28" t="s">
        <v>10</v>
      </c>
      <c r="B380" s="30" t="s">
        <v>31</v>
      </c>
    </row>
    <row r="381" spans="1:2">
      <c r="A381" s="31" t="s">
        <v>7</v>
      </c>
      <c r="B381" s="33" t="s">
        <v>14</v>
      </c>
    </row>
    <row r="382" spans="1:2">
      <c r="A382" s="28" t="s">
        <v>9</v>
      </c>
      <c r="B382" s="30" t="s">
        <v>25</v>
      </c>
    </row>
    <row r="383" spans="1:2">
      <c r="A383" s="31" t="s">
        <v>8</v>
      </c>
      <c r="B383" s="33" t="s">
        <v>18</v>
      </c>
    </row>
    <row r="384" spans="1:2">
      <c r="A384" s="28" t="s">
        <v>10</v>
      </c>
      <c r="B384" s="30" t="s">
        <v>31</v>
      </c>
    </row>
    <row r="385" spans="1:2">
      <c r="A385" s="31" t="s">
        <v>7</v>
      </c>
      <c r="B385" s="33" t="s">
        <v>19</v>
      </c>
    </row>
    <row r="386" spans="1:2">
      <c r="A386" s="28" t="s">
        <v>10</v>
      </c>
      <c r="B386" s="30" t="s">
        <v>27</v>
      </c>
    </row>
    <row r="387" spans="1:2">
      <c r="A387" s="31" t="s">
        <v>9</v>
      </c>
      <c r="B387" s="33" t="s">
        <v>17</v>
      </c>
    </row>
    <row r="388" spans="1:2">
      <c r="A388" s="28" t="s">
        <v>8</v>
      </c>
      <c r="B388" s="30" t="s">
        <v>20</v>
      </c>
    </row>
    <row r="389" spans="1:2">
      <c r="A389" s="31" t="s">
        <v>9</v>
      </c>
      <c r="B389" s="33" t="s">
        <v>17</v>
      </c>
    </row>
    <row r="390" spans="1:2">
      <c r="A390" s="28" t="s">
        <v>9</v>
      </c>
      <c r="B390" s="30" t="s">
        <v>33</v>
      </c>
    </row>
    <row r="391" spans="1:2">
      <c r="A391" s="31" t="s">
        <v>10</v>
      </c>
      <c r="B391" s="33" t="s">
        <v>24</v>
      </c>
    </row>
    <row r="392" spans="1:2">
      <c r="A392" s="28" t="s">
        <v>7</v>
      </c>
      <c r="B392" s="30" t="s">
        <v>13</v>
      </c>
    </row>
    <row r="393" spans="1:2">
      <c r="A393" s="31" t="s">
        <v>6</v>
      </c>
      <c r="B393" s="33" t="s">
        <v>22</v>
      </c>
    </row>
    <row r="394" spans="1:2">
      <c r="A394" s="28" t="s">
        <v>10</v>
      </c>
      <c r="B394" s="30" t="s">
        <v>26</v>
      </c>
    </row>
    <row r="395" spans="1:2">
      <c r="A395" s="31" t="s">
        <v>9</v>
      </c>
      <c r="B395" s="33" t="s">
        <v>25</v>
      </c>
    </row>
    <row r="396" spans="1:2">
      <c r="A396" s="28" t="s">
        <v>10</v>
      </c>
      <c r="B396" s="30" t="s">
        <v>26</v>
      </c>
    </row>
    <row r="397" spans="1:2">
      <c r="A397" s="31" t="s">
        <v>9</v>
      </c>
      <c r="B397" s="33" t="s">
        <v>23</v>
      </c>
    </row>
    <row r="398" spans="1:2">
      <c r="A398" s="28" t="s">
        <v>7</v>
      </c>
      <c r="B398" s="30" t="s">
        <v>13</v>
      </c>
    </row>
    <row r="399" spans="1:2">
      <c r="A399" s="31" t="s">
        <v>10</v>
      </c>
      <c r="B399" s="33" t="s">
        <v>27</v>
      </c>
    </row>
    <row r="400" spans="1:2">
      <c r="A400" s="28" t="s">
        <v>10</v>
      </c>
      <c r="B400" s="30" t="s">
        <v>27</v>
      </c>
    </row>
    <row r="401" spans="1:2">
      <c r="A401" s="31" t="s">
        <v>9</v>
      </c>
      <c r="B401" s="33" t="s">
        <v>17</v>
      </c>
    </row>
    <row r="402" spans="1:2">
      <c r="A402" s="28" t="s">
        <v>6</v>
      </c>
      <c r="B402" s="30" t="s">
        <v>21</v>
      </c>
    </row>
    <row r="403" spans="1:2">
      <c r="A403" s="31" t="s">
        <v>8</v>
      </c>
      <c r="B403" s="33" t="s">
        <v>16</v>
      </c>
    </row>
    <row r="404" spans="1:2">
      <c r="A404" s="28" t="s">
        <v>9</v>
      </c>
      <c r="B404" s="30" t="s">
        <v>33</v>
      </c>
    </row>
    <row r="405" spans="1:2">
      <c r="A405" s="31" t="s">
        <v>10</v>
      </c>
      <c r="B405" s="33" t="s">
        <v>26</v>
      </c>
    </row>
    <row r="406" spans="1:2">
      <c r="A406" s="28" t="s">
        <v>6</v>
      </c>
      <c r="B406" s="30" t="s">
        <v>22</v>
      </c>
    </row>
    <row r="407" spans="1:2">
      <c r="A407" s="31" t="s">
        <v>8</v>
      </c>
      <c r="B407" s="33" t="s">
        <v>29</v>
      </c>
    </row>
    <row r="408" spans="1:2">
      <c r="A408" s="28" t="s">
        <v>9</v>
      </c>
      <c r="B408" s="30" t="s">
        <v>17</v>
      </c>
    </row>
    <row r="409" spans="1:2">
      <c r="A409" s="31" t="s">
        <v>8</v>
      </c>
      <c r="B409" s="33" t="s">
        <v>18</v>
      </c>
    </row>
    <row r="410" spans="1:2">
      <c r="A410" s="28" t="s">
        <v>6</v>
      </c>
      <c r="B410" s="30" t="s">
        <v>21</v>
      </c>
    </row>
    <row r="411" spans="1:2">
      <c r="A411" s="31" t="s">
        <v>7</v>
      </c>
      <c r="B411" s="33" t="s">
        <v>19</v>
      </c>
    </row>
    <row r="412" spans="1:2">
      <c r="A412" s="28" t="s">
        <v>9</v>
      </c>
      <c r="B412" s="30" t="s">
        <v>17</v>
      </c>
    </row>
    <row r="413" spans="1:2">
      <c r="A413" s="31" t="s">
        <v>6</v>
      </c>
      <c r="B413" s="33" t="s">
        <v>35</v>
      </c>
    </row>
    <row r="414" spans="1:2">
      <c r="A414" s="28" t="s">
        <v>10</v>
      </c>
      <c r="B414" s="30" t="s">
        <v>34</v>
      </c>
    </row>
    <row r="415" spans="1:2">
      <c r="A415" s="31" t="s">
        <v>6</v>
      </c>
      <c r="B415" s="33" t="s">
        <v>37</v>
      </c>
    </row>
    <row r="416" spans="1:2">
      <c r="A416" s="28" t="s">
        <v>8</v>
      </c>
      <c r="B416" s="30" t="s">
        <v>20</v>
      </c>
    </row>
    <row r="417" spans="1:2">
      <c r="A417" s="31" t="s">
        <v>7</v>
      </c>
      <c r="B417" s="33" t="s">
        <v>12</v>
      </c>
    </row>
    <row r="418" spans="1:2">
      <c r="A418" s="28" t="s">
        <v>8</v>
      </c>
      <c r="B418" s="30" t="s">
        <v>29</v>
      </c>
    </row>
    <row r="419" spans="1:2">
      <c r="A419" s="31" t="s">
        <v>10</v>
      </c>
      <c r="B419" s="33" t="s">
        <v>24</v>
      </c>
    </row>
    <row r="420" spans="1:2">
      <c r="A420" s="28" t="s">
        <v>9</v>
      </c>
      <c r="B420" s="30" t="s">
        <v>23</v>
      </c>
    </row>
    <row r="421" spans="1:2">
      <c r="A421" s="31" t="s">
        <v>9</v>
      </c>
      <c r="B421" s="33" t="s">
        <v>32</v>
      </c>
    </row>
    <row r="422" spans="1:2">
      <c r="A422" s="28" t="s">
        <v>6</v>
      </c>
      <c r="B422" s="30" t="s">
        <v>37</v>
      </c>
    </row>
    <row r="423" spans="1:2">
      <c r="A423" s="31" t="s">
        <v>9</v>
      </c>
      <c r="B423" s="33" t="s">
        <v>32</v>
      </c>
    </row>
    <row r="424" spans="1:2">
      <c r="A424" s="28" t="s">
        <v>8</v>
      </c>
      <c r="B424" s="30" t="s">
        <v>16</v>
      </c>
    </row>
    <row r="425" spans="1:2">
      <c r="A425" s="31" t="s">
        <v>9</v>
      </c>
      <c r="B425" s="33" t="s">
        <v>23</v>
      </c>
    </row>
    <row r="426" spans="1:2">
      <c r="A426" s="28" t="s">
        <v>6</v>
      </c>
      <c r="B426" s="30" t="s">
        <v>21</v>
      </c>
    </row>
    <row r="427" spans="1:2">
      <c r="A427" s="31" t="s">
        <v>8</v>
      </c>
      <c r="B427" s="33" t="s">
        <v>29</v>
      </c>
    </row>
    <row r="428" spans="1:2">
      <c r="A428" s="28" t="s">
        <v>9</v>
      </c>
      <c r="B428" s="30" t="s">
        <v>17</v>
      </c>
    </row>
    <row r="429" spans="1:2">
      <c r="A429" s="31" t="s">
        <v>6</v>
      </c>
      <c r="B429" s="33" t="s">
        <v>30</v>
      </c>
    </row>
    <row r="430" spans="1:2">
      <c r="A430" s="28" t="s">
        <v>6</v>
      </c>
      <c r="B430" s="30" t="s">
        <v>37</v>
      </c>
    </row>
    <row r="431" spans="1:2">
      <c r="A431" s="31" t="s">
        <v>10</v>
      </c>
      <c r="B431" s="33" t="s">
        <v>34</v>
      </c>
    </row>
    <row r="432" spans="1:2">
      <c r="A432" s="28" t="s">
        <v>9</v>
      </c>
      <c r="B432" s="30" t="s">
        <v>23</v>
      </c>
    </row>
    <row r="433" spans="1:2">
      <c r="A433" s="31" t="s">
        <v>9</v>
      </c>
      <c r="B433" s="33" t="s">
        <v>32</v>
      </c>
    </row>
    <row r="434" spans="1:2">
      <c r="A434" s="28" t="s">
        <v>6</v>
      </c>
      <c r="B434" s="30" t="s">
        <v>37</v>
      </c>
    </row>
    <row r="435" spans="1:2">
      <c r="A435" s="31" t="s">
        <v>10</v>
      </c>
      <c r="B435" s="33" t="s">
        <v>26</v>
      </c>
    </row>
    <row r="436" spans="1:2">
      <c r="A436" s="28" t="s">
        <v>8</v>
      </c>
      <c r="B436" s="30" t="s">
        <v>16</v>
      </c>
    </row>
    <row r="437" spans="1:2">
      <c r="A437" s="31" t="s">
        <v>6</v>
      </c>
      <c r="B437" s="33" t="s">
        <v>22</v>
      </c>
    </row>
    <row r="438" spans="1:2">
      <c r="A438" s="28" t="s">
        <v>7</v>
      </c>
      <c r="B438" s="30" t="s">
        <v>13</v>
      </c>
    </row>
    <row r="439" spans="1:2">
      <c r="A439" s="31" t="s">
        <v>9</v>
      </c>
      <c r="B439" s="33" t="s">
        <v>23</v>
      </c>
    </row>
    <row r="440" spans="1:2">
      <c r="A440" s="28" t="s">
        <v>8</v>
      </c>
      <c r="B440" s="30" t="s">
        <v>20</v>
      </c>
    </row>
    <row r="441" spans="1:2">
      <c r="A441" s="31" t="s">
        <v>9</v>
      </c>
      <c r="B441" s="33" t="s">
        <v>33</v>
      </c>
    </row>
    <row r="442" spans="1:2">
      <c r="A442" s="28" t="s">
        <v>7</v>
      </c>
      <c r="B442" s="30" t="s">
        <v>19</v>
      </c>
    </row>
    <row r="443" spans="1:2">
      <c r="A443" s="31" t="s">
        <v>7</v>
      </c>
      <c r="B443" s="33" t="s">
        <v>13</v>
      </c>
    </row>
    <row r="444" spans="1:2">
      <c r="A444" s="28" t="s">
        <v>7</v>
      </c>
      <c r="B444" s="30" t="s">
        <v>13</v>
      </c>
    </row>
    <row r="445" spans="1:2">
      <c r="A445" s="31" t="s">
        <v>10</v>
      </c>
      <c r="B445" s="33" t="s">
        <v>27</v>
      </c>
    </row>
    <row r="446" spans="1:2">
      <c r="A446" s="28" t="s">
        <v>7</v>
      </c>
      <c r="B446" s="30" t="s">
        <v>14</v>
      </c>
    </row>
    <row r="447" spans="1:2">
      <c r="A447" s="31" t="s">
        <v>9</v>
      </c>
      <c r="B447" s="33" t="s">
        <v>17</v>
      </c>
    </row>
    <row r="448" spans="1:2">
      <c r="A448" s="28" t="s">
        <v>7</v>
      </c>
      <c r="B448" s="30" t="s">
        <v>14</v>
      </c>
    </row>
    <row r="449" spans="1:2">
      <c r="A449" s="31" t="s">
        <v>7</v>
      </c>
      <c r="B449" s="33" t="s">
        <v>13</v>
      </c>
    </row>
    <row r="450" spans="1:2">
      <c r="A450" s="28" t="s">
        <v>6</v>
      </c>
      <c r="B450" s="30" t="s">
        <v>36</v>
      </c>
    </row>
    <row r="451" spans="1:2">
      <c r="A451" s="31" t="s">
        <v>8</v>
      </c>
      <c r="B451" s="33" t="s">
        <v>29</v>
      </c>
    </row>
    <row r="452" spans="1:2">
      <c r="A452" s="28" t="s">
        <v>7</v>
      </c>
      <c r="B452" s="30" t="s">
        <v>14</v>
      </c>
    </row>
    <row r="453" spans="1:2">
      <c r="A453" s="31" t="s">
        <v>7</v>
      </c>
      <c r="B453" s="33" t="s">
        <v>14</v>
      </c>
    </row>
    <row r="454" spans="1:2">
      <c r="A454" s="28" t="s">
        <v>8</v>
      </c>
      <c r="B454" s="30" t="s">
        <v>16</v>
      </c>
    </row>
    <row r="455" spans="1:2">
      <c r="A455" s="31" t="s">
        <v>8</v>
      </c>
      <c r="B455" s="33" t="s">
        <v>18</v>
      </c>
    </row>
    <row r="456" spans="1:2">
      <c r="A456" s="28" t="s">
        <v>8</v>
      </c>
      <c r="B456" s="30" t="s">
        <v>20</v>
      </c>
    </row>
    <row r="457" spans="1:2">
      <c r="A457" s="31" t="s">
        <v>9</v>
      </c>
      <c r="B457" s="33" t="s">
        <v>25</v>
      </c>
    </row>
    <row r="458" spans="1:2">
      <c r="A458" s="28" t="s">
        <v>6</v>
      </c>
      <c r="B458" s="30" t="s">
        <v>22</v>
      </c>
    </row>
    <row r="459" spans="1:2">
      <c r="A459" s="31" t="s">
        <v>8</v>
      </c>
      <c r="B459" s="33" t="s">
        <v>29</v>
      </c>
    </row>
    <row r="460" spans="1:2">
      <c r="A460" s="28" t="s">
        <v>7</v>
      </c>
      <c r="B460" s="30" t="s">
        <v>13</v>
      </c>
    </row>
    <row r="461" spans="1:2">
      <c r="A461" s="31" t="s">
        <v>9</v>
      </c>
      <c r="B461" s="33" t="s">
        <v>25</v>
      </c>
    </row>
    <row r="462" spans="1:2">
      <c r="A462" s="28" t="s">
        <v>8</v>
      </c>
      <c r="B462" s="30" t="s">
        <v>20</v>
      </c>
    </row>
    <row r="463" spans="1:2">
      <c r="A463" s="31" t="s">
        <v>6</v>
      </c>
      <c r="B463" s="33" t="s">
        <v>11</v>
      </c>
    </row>
    <row r="464" spans="1:2">
      <c r="A464" s="28" t="s">
        <v>9</v>
      </c>
      <c r="B464" s="30" t="s">
        <v>17</v>
      </c>
    </row>
    <row r="465" spans="1:2">
      <c r="A465" s="31" t="s">
        <v>7</v>
      </c>
      <c r="B465" s="33" t="s">
        <v>19</v>
      </c>
    </row>
    <row r="466" spans="1:2">
      <c r="A466" s="28" t="s">
        <v>8</v>
      </c>
      <c r="B466" s="30" t="s">
        <v>20</v>
      </c>
    </row>
    <row r="467" spans="1:2">
      <c r="A467" s="31" t="s">
        <v>7</v>
      </c>
      <c r="B467" s="33" t="s">
        <v>19</v>
      </c>
    </row>
    <row r="468" spans="1:2">
      <c r="A468" s="28" t="s">
        <v>9</v>
      </c>
      <c r="B468" s="30" t="s">
        <v>23</v>
      </c>
    </row>
    <row r="469" spans="1:2">
      <c r="A469" s="31" t="s">
        <v>10</v>
      </c>
      <c r="B469" s="33" t="s">
        <v>27</v>
      </c>
    </row>
    <row r="470" spans="1:2">
      <c r="A470" s="28" t="s">
        <v>9</v>
      </c>
      <c r="B470" s="30" t="s">
        <v>33</v>
      </c>
    </row>
    <row r="471" spans="1:2">
      <c r="A471" s="31" t="s">
        <v>8</v>
      </c>
      <c r="B471" s="33" t="s">
        <v>20</v>
      </c>
    </row>
    <row r="472" spans="1:2">
      <c r="A472" s="28" t="s">
        <v>10</v>
      </c>
      <c r="B472" s="30" t="s">
        <v>27</v>
      </c>
    </row>
    <row r="473" spans="1:2">
      <c r="A473" s="31" t="s">
        <v>10</v>
      </c>
      <c r="B473" s="33" t="s">
        <v>27</v>
      </c>
    </row>
    <row r="474" spans="1:2">
      <c r="A474" s="28" t="s">
        <v>9</v>
      </c>
      <c r="B474" s="30" t="s">
        <v>32</v>
      </c>
    </row>
    <row r="475" spans="1:2">
      <c r="A475" s="31" t="s">
        <v>10</v>
      </c>
      <c r="B475" s="33" t="s">
        <v>34</v>
      </c>
    </row>
    <row r="476" spans="1:2">
      <c r="A476" s="28" t="s">
        <v>9</v>
      </c>
      <c r="B476" s="30" t="s">
        <v>32</v>
      </c>
    </row>
    <row r="477" spans="1:2">
      <c r="A477" s="31" t="s">
        <v>9</v>
      </c>
      <c r="B477" s="33" t="s">
        <v>32</v>
      </c>
    </row>
    <row r="478" spans="1:2">
      <c r="A478" s="28" t="s">
        <v>7</v>
      </c>
      <c r="B478" s="30" t="s">
        <v>19</v>
      </c>
    </row>
    <row r="479" spans="1:2">
      <c r="A479" s="31" t="s">
        <v>8</v>
      </c>
      <c r="B479" s="33" t="s">
        <v>18</v>
      </c>
    </row>
    <row r="480" spans="1:2">
      <c r="A480" s="28" t="s">
        <v>10</v>
      </c>
      <c r="B480" s="30" t="s">
        <v>27</v>
      </c>
    </row>
    <row r="481" spans="1:2">
      <c r="A481" s="31" t="s">
        <v>7</v>
      </c>
      <c r="B481" s="33" t="s">
        <v>15</v>
      </c>
    </row>
    <row r="482" spans="1:2">
      <c r="A482" s="28" t="s">
        <v>10</v>
      </c>
      <c r="B482" s="30" t="s">
        <v>31</v>
      </c>
    </row>
    <row r="483" spans="1:2">
      <c r="A483" s="31" t="s">
        <v>9</v>
      </c>
      <c r="B483" s="33" t="s">
        <v>32</v>
      </c>
    </row>
    <row r="484" spans="1:2">
      <c r="A484" s="28" t="s">
        <v>6</v>
      </c>
      <c r="B484" s="30" t="s">
        <v>21</v>
      </c>
    </row>
    <row r="485" spans="1:2">
      <c r="A485" s="31" t="s">
        <v>10</v>
      </c>
      <c r="B485" s="33" t="s">
        <v>34</v>
      </c>
    </row>
    <row r="486" spans="1:2">
      <c r="A486" s="28" t="s">
        <v>6</v>
      </c>
      <c r="B486" s="30" t="s">
        <v>35</v>
      </c>
    </row>
    <row r="487" spans="1:2">
      <c r="A487" s="31" t="s">
        <v>8</v>
      </c>
      <c r="B487" s="33" t="s">
        <v>29</v>
      </c>
    </row>
    <row r="488" spans="1:2">
      <c r="A488" s="28" t="s">
        <v>6</v>
      </c>
      <c r="B488" s="30" t="s">
        <v>37</v>
      </c>
    </row>
    <row r="489" spans="1:2">
      <c r="A489" s="31" t="s">
        <v>6</v>
      </c>
      <c r="B489" s="33" t="s">
        <v>37</v>
      </c>
    </row>
    <row r="490" spans="1:2">
      <c r="A490" s="28" t="s">
        <v>7</v>
      </c>
      <c r="B490" s="30" t="s">
        <v>13</v>
      </c>
    </row>
    <row r="491" spans="1:2">
      <c r="A491" s="31" t="s">
        <v>10</v>
      </c>
      <c r="B491" s="33" t="s">
        <v>31</v>
      </c>
    </row>
    <row r="492" spans="1:2">
      <c r="A492" s="28" t="s">
        <v>7</v>
      </c>
      <c r="B492" s="30" t="s">
        <v>14</v>
      </c>
    </row>
    <row r="493" spans="1:2">
      <c r="A493" s="31" t="s">
        <v>9</v>
      </c>
      <c r="B493" s="33" t="s">
        <v>23</v>
      </c>
    </row>
    <row r="494" spans="1:2">
      <c r="A494" s="28" t="s">
        <v>6</v>
      </c>
      <c r="B494" s="30" t="s">
        <v>22</v>
      </c>
    </row>
    <row r="495" spans="1:2">
      <c r="A495" s="31" t="s">
        <v>9</v>
      </c>
      <c r="B495" s="33" t="s">
        <v>25</v>
      </c>
    </row>
    <row r="496" spans="1:2">
      <c r="A496" s="28" t="s">
        <v>9</v>
      </c>
      <c r="B496" s="30" t="s">
        <v>23</v>
      </c>
    </row>
    <row r="497" spans="1:2">
      <c r="A497" s="31" t="s">
        <v>7</v>
      </c>
      <c r="B497" s="33" t="s">
        <v>13</v>
      </c>
    </row>
    <row r="498" spans="1:2">
      <c r="A498" s="28" t="s">
        <v>7</v>
      </c>
      <c r="B498" s="30" t="s">
        <v>12</v>
      </c>
    </row>
    <row r="499" spans="1:2">
      <c r="A499" s="31" t="s">
        <v>10</v>
      </c>
      <c r="B499" s="33" t="s">
        <v>24</v>
      </c>
    </row>
    <row r="500" spans="1:2">
      <c r="A500" s="28" t="s">
        <v>6</v>
      </c>
      <c r="B500" s="30" t="s">
        <v>35</v>
      </c>
    </row>
    <row r="501" spans="1:2">
      <c r="A501" s="31" t="s">
        <v>8</v>
      </c>
      <c r="B501" s="33" t="s">
        <v>16</v>
      </c>
    </row>
    <row r="502" spans="1:2">
      <c r="A502" s="28" t="s">
        <v>9</v>
      </c>
      <c r="B502" s="30" t="s">
        <v>33</v>
      </c>
    </row>
    <row r="503" spans="1:2">
      <c r="A503" s="31" t="s">
        <v>8</v>
      </c>
      <c r="B503" s="33" t="s">
        <v>28</v>
      </c>
    </row>
    <row r="504" spans="1:2">
      <c r="A504" s="28" t="s">
        <v>10</v>
      </c>
      <c r="B504" s="30" t="s">
        <v>26</v>
      </c>
    </row>
    <row r="505" spans="1:2">
      <c r="A505" s="31" t="s">
        <v>8</v>
      </c>
      <c r="B505" s="33" t="s">
        <v>29</v>
      </c>
    </row>
    <row r="506" spans="1:2">
      <c r="A506" s="28" t="s">
        <v>9</v>
      </c>
      <c r="B506" s="30" t="s">
        <v>23</v>
      </c>
    </row>
    <row r="507" spans="1:2">
      <c r="A507" s="31" t="s">
        <v>8</v>
      </c>
      <c r="B507" s="33" t="s">
        <v>20</v>
      </c>
    </row>
    <row r="508" spans="1:2">
      <c r="A508" s="28" t="s">
        <v>9</v>
      </c>
      <c r="B508" s="30" t="s">
        <v>33</v>
      </c>
    </row>
    <row r="509" spans="1:2">
      <c r="A509" s="31" t="s">
        <v>9</v>
      </c>
      <c r="B509" s="33" t="s">
        <v>32</v>
      </c>
    </row>
    <row r="510" spans="1:2">
      <c r="A510" s="28" t="s">
        <v>7</v>
      </c>
      <c r="B510" s="30" t="s">
        <v>19</v>
      </c>
    </row>
    <row r="511" spans="1:2">
      <c r="A511" s="40" t="s">
        <v>10</v>
      </c>
      <c r="B511" s="41" t="s">
        <v>24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3"/>
  <sheetViews>
    <sheetView topLeftCell="A60" workbookViewId="0">
      <selection activeCell="G89" sqref="G89"/>
    </sheetView>
  </sheetViews>
  <sheetFormatPr defaultRowHeight="15"/>
  <cols>
    <col min="1" max="1" width="18" bestFit="1" customWidth="1"/>
    <col min="2" max="2" width="19.7109375" bestFit="1" customWidth="1"/>
    <col min="5" max="5" width="15.28515625" bestFit="1" customWidth="1"/>
  </cols>
  <sheetData>
    <row r="1" spans="1:2">
      <c r="A1" s="42">
        <v>1</v>
      </c>
    </row>
    <row r="2" spans="1:2" ht="17.25">
      <c r="A2" s="37" t="s">
        <v>56</v>
      </c>
    </row>
    <row r="3" spans="1:2">
      <c r="A3" s="34" t="s">
        <v>50</v>
      </c>
      <c r="B3" t="s">
        <v>55</v>
      </c>
    </row>
    <row r="4" spans="1:2">
      <c r="A4" s="35" t="s">
        <v>17</v>
      </c>
      <c r="B4" s="36">
        <v>296</v>
      </c>
    </row>
    <row r="5" spans="1:2">
      <c r="A5" s="35" t="s">
        <v>16</v>
      </c>
      <c r="B5" s="36">
        <v>284</v>
      </c>
    </row>
    <row r="6" spans="1:2">
      <c r="A6" s="35" t="s">
        <v>26</v>
      </c>
      <c r="B6" s="36">
        <v>272</v>
      </c>
    </row>
    <row r="7" spans="1:2">
      <c r="A7" s="35" t="s">
        <v>14</v>
      </c>
      <c r="B7" s="36">
        <v>266</v>
      </c>
    </row>
    <row r="8" spans="1:2">
      <c r="A8" s="35" t="s">
        <v>32</v>
      </c>
      <c r="B8" s="36">
        <v>237</v>
      </c>
    </row>
    <row r="9" spans="1:2">
      <c r="A9" s="35" t="s">
        <v>23</v>
      </c>
      <c r="B9" s="36">
        <v>237</v>
      </c>
    </row>
    <row r="10" spans="1:2">
      <c r="A10" s="35" t="s">
        <v>12</v>
      </c>
      <c r="B10" s="36">
        <v>234</v>
      </c>
    </row>
    <row r="11" spans="1:2">
      <c r="A11" s="35" t="s">
        <v>18</v>
      </c>
      <c r="B11" s="36">
        <v>233</v>
      </c>
    </row>
    <row r="12" spans="1:2">
      <c r="A12" s="35" t="s">
        <v>20</v>
      </c>
      <c r="B12" s="36">
        <v>216</v>
      </c>
    </row>
    <row r="13" spans="1:2">
      <c r="A13" s="35" t="s">
        <v>25</v>
      </c>
      <c r="B13" s="36">
        <v>209</v>
      </c>
    </row>
    <row r="14" spans="1:2">
      <c r="A14" s="35" t="s">
        <v>19</v>
      </c>
      <c r="B14" s="36">
        <v>205</v>
      </c>
    </row>
    <row r="15" spans="1:2">
      <c r="A15" s="35" t="s">
        <v>31</v>
      </c>
      <c r="B15" s="36">
        <v>203</v>
      </c>
    </row>
    <row r="16" spans="1:2">
      <c r="A16" s="35" t="s">
        <v>33</v>
      </c>
      <c r="B16" s="36">
        <v>196</v>
      </c>
    </row>
    <row r="17" spans="1:2">
      <c r="A17" s="35" t="s">
        <v>13</v>
      </c>
      <c r="B17" s="36">
        <v>191</v>
      </c>
    </row>
    <row r="18" spans="1:2">
      <c r="A18" s="35" t="s">
        <v>28</v>
      </c>
      <c r="B18" s="36">
        <v>186</v>
      </c>
    </row>
    <row r="19" spans="1:2">
      <c r="A19" s="35" t="s">
        <v>35</v>
      </c>
      <c r="B19" s="36">
        <v>184</v>
      </c>
    </row>
    <row r="20" spans="1:2">
      <c r="A20" s="35" t="s">
        <v>29</v>
      </c>
      <c r="B20" s="36">
        <v>183</v>
      </c>
    </row>
    <row r="21" spans="1:2">
      <c r="A21" s="35" t="s">
        <v>27</v>
      </c>
      <c r="B21" s="36">
        <v>180</v>
      </c>
    </row>
    <row r="22" spans="1:2">
      <c r="A22" s="35" t="s">
        <v>34</v>
      </c>
      <c r="B22" s="36">
        <v>176</v>
      </c>
    </row>
    <row r="23" spans="1:2">
      <c r="A23" s="35" t="s">
        <v>22</v>
      </c>
      <c r="B23" s="36">
        <v>168</v>
      </c>
    </row>
    <row r="24" spans="1:2">
      <c r="A24" s="35" t="s">
        <v>24</v>
      </c>
      <c r="B24" s="36">
        <v>163</v>
      </c>
    </row>
    <row r="25" spans="1:2">
      <c r="A25" s="35" t="s">
        <v>37</v>
      </c>
      <c r="B25" s="36">
        <v>134</v>
      </c>
    </row>
    <row r="26" spans="1:2">
      <c r="A26" s="35" t="s">
        <v>15</v>
      </c>
      <c r="B26" s="36">
        <v>132</v>
      </c>
    </row>
    <row r="27" spans="1:2">
      <c r="A27" s="35" t="s">
        <v>11</v>
      </c>
      <c r="B27" s="36">
        <v>114</v>
      </c>
    </row>
    <row r="28" spans="1:2">
      <c r="A28" s="35" t="s">
        <v>36</v>
      </c>
      <c r="B28" s="36">
        <v>112</v>
      </c>
    </row>
    <row r="29" spans="1:2">
      <c r="A29" s="35" t="s">
        <v>30</v>
      </c>
      <c r="B29" s="36">
        <v>105</v>
      </c>
    </row>
    <row r="30" spans="1:2">
      <c r="A30" s="35" t="s">
        <v>21</v>
      </c>
      <c r="B30" s="36">
        <v>83</v>
      </c>
    </row>
    <row r="31" spans="1:2">
      <c r="A31" s="35" t="s">
        <v>51</v>
      </c>
      <c r="B31" s="36">
        <v>5199</v>
      </c>
    </row>
    <row r="33" spans="1:1">
      <c r="A33" s="42">
        <v>2</v>
      </c>
    </row>
    <row r="35" spans="1:1">
      <c r="A35" s="29" t="s">
        <v>11</v>
      </c>
    </row>
    <row r="36" spans="1:1">
      <c r="A36" s="32" t="s">
        <v>12</v>
      </c>
    </row>
    <row r="37" spans="1:1">
      <c r="A37" s="29" t="s">
        <v>13</v>
      </c>
    </row>
    <row r="38" spans="1:1">
      <c r="A38" s="32" t="s">
        <v>14</v>
      </c>
    </row>
    <row r="39" spans="1:1">
      <c r="A39" s="29" t="s">
        <v>15</v>
      </c>
    </row>
    <row r="40" spans="1:1">
      <c r="A40" s="32" t="s">
        <v>16</v>
      </c>
    </row>
    <row r="41" spans="1:1">
      <c r="A41" s="29" t="s">
        <v>17</v>
      </c>
    </row>
    <row r="42" spans="1:1">
      <c r="A42" s="29" t="s">
        <v>18</v>
      </c>
    </row>
    <row r="43" spans="1:1">
      <c r="A43" s="32" t="s">
        <v>19</v>
      </c>
    </row>
    <row r="44" spans="1:1">
      <c r="A44" s="29" t="s">
        <v>20</v>
      </c>
    </row>
    <row r="45" spans="1:1">
      <c r="A45" s="32" t="s">
        <v>21</v>
      </c>
    </row>
    <row r="46" spans="1:1">
      <c r="A46" s="29" t="s">
        <v>22</v>
      </c>
    </row>
    <row r="47" spans="1:1">
      <c r="A47" s="29" t="s">
        <v>23</v>
      </c>
    </row>
    <row r="48" spans="1:1">
      <c r="A48" s="29" t="s">
        <v>24</v>
      </c>
    </row>
    <row r="49" spans="1:3">
      <c r="A49" s="32" t="s">
        <v>25</v>
      </c>
    </row>
    <row r="50" spans="1:3">
      <c r="A50" s="29" t="s">
        <v>26</v>
      </c>
    </row>
    <row r="51" spans="1:3">
      <c r="A51" s="32" t="s">
        <v>27</v>
      </c>
    </row>
    <row r="52" spans="1:3">
      <c r="A52" s="32" t="s">
        <v>28</v>
      </c>
    </row>
    <row r="53" spans="1:3">
      <c r="A53" s="32" t="s">
        <v>29</v>
      </c>
    </row>
    <row r="54" spans="1:3">
      <c r="A54" s="32" t="s">
        <v>30</v>
      </c>
    </row>
    <row r="55" spans="1:3">
      <c r="A55" s="29" t="s">
        <v>31</v>
      </c>
    </row>
    <row r="56" spans="1:3">
      <c r="A56" s="29" t="s">
        <v>32</v>
      </c>
    </row>
    <row r="57" spans="1:3">
      <c r="A57" s="32" t="s">
        <v>33</v>
      </c>
    </row>
    <row r="58" spans="1:3">
      <c r="A58" s="29" t="s">
        <v>11</v>
      </c>
    </row>
    <row r="59" spans="1:3">
      <c r="A59" s="29" t="s">
        <v>34</v>
      </c>
    </row>
    <row r="60" spans="1:3">
      <c r="A60" s="32" t="s">
        <v>35</v>
      </c>
    </row>
    <row r="61" spans="1:3">
      <c r="A61" s="29" t="s">
        <v>36</v>
      </c>
    </row>
    <row r="62" spans="1:3">
      <c r="A62" s="29" t="s">
        <v>37</v>
      </c>
    </row>
    <row r="64" spans="1:3">
      <c r="B64" s="38" t="s">
        <v>11</v>
      </c>
      <c r="C64" s="39" t="s">
        <v>57</v>
      </c>
    </row>
    <row r="65" spans="2:6">
      <c r="B65" s="31" t="s">
        <v>12</v>
      </c>
      <c r="C65" s="33">
        <v>7</v>
      </c>
      <c r="E65" s="32" t="s">
        <v>12</v>
      </c>
      <c r="F65">
        <f>COUNTIF(Tabela3[],E65)</f>
        <v>24</v>
      </c>
    </row>
    <row r="66" spans="2:6">
      <c r="B66" s="28" t="s">
        <v>13</v>
      </c>
      <c r="C66" s="30">
        <v>11</v>
      </c>
      <c r="E66" s="29" t="s">
        <v>13</v>
      </c>
      <c r="F66">
        <f>COUNTIF(Tabela3[],E66)</f>
        <v>21</v>
      </c>
    </row>
    <row r="67" spans="2:6">
      <c r="B67" s="31" t="s">
        <v>14</v>
      </c>
      <c r="C67" s="33">
        <v>7</v>
      </c>
      <c r="E67" s="32" t="s">
        <v>14</v>
      </c>
      <c r="F67">
        <f>COUNTIF(Tabela3[],E67)</f>
        <v>28</v>
      </c>
    </row>
    <row r="68" spans="2:6">
      <c r="B68" s="28" t="s">
        <v>15</v>
      </c>
      <c r="C68" s="30">
        <v>3</v>
      </c>
      <c r="E68" s="29" t="s">
        <v>15</v>
      </c>
      <c r="F68">
        <f>COUNTIF(Tabela3[],E68)</f>
        <v>15</v>
      </c>
    </row>
    <row r="69" spans="2:6">
      <c r="B69" s="31" t="s">
        <v>16</v>
      </c>
      <c r="C69" s="33">
        <v>15</v>
      </c>
      <c r="E69" s="32" t="s">
        <v>16</v>
      </c>
      <c r="F69">
        <f>COUNTIF(Tabela3[],E69)</f>
        <v>24</v>
      </c>
    </row>
    <row r="70" spans="2:6">
      <c r="B70" s="28" t="s">
        <v>17</v>
      </c>
      <c r="C70" s="30">
        <v>6</v>
      </c>
      <c r="E70" s="29" t="s">
        <v>17</v>
      </c>
      <c r="F70">
        <f>COUNTIF(Tabela3[],E70)</f>
        <v>24</v>
      </c>
    </row>
    <row r="71" spans="2:6">
      <c r="B71" s="31" t="s">
        <v>14</v>
      </c>
      <c r="C71" s="33">
        <v>3</v>
      </c>
      <c r="E71" s="29" t="s">
        <v>18</v>
      </c>
      <c r="F71">
        <f>COUNTIF(Tabela3[],E71)</f>
        <v>23</v>
      </c>
    </row>
    <row r="72" spans="2:6">
      <c r="B72" s="28" t="s">
        <v>17</v>
      </c>
      <c r="C72" s="30">
        <v>14</v>
      </c>
      <c r="E72" s="32" t="s">
        <v>19</v>
      </c>
      <c r="F72">
        <f>COUNTIF(Tabela3[],E72)</f>
        <v>22</v>
      </c>
    </row>
    <row r="73" spans="2:6">
      <c r="B73" s="31" t="s">
        <v>17</v>
      </c>
      <c r="C73" s="33">
        <v>4</v>
      </c>
      <c r="E73" s="29" t="s">
        <v>20</v>
      </c>
      <c r="F73">
        <f>COUNTIF(Tabela3[],E73)</f>
        <v>23</v>
      </c>
    </row>
    <row r="74" spans="2:6">
      <c r="B74" s="28" t="s">
        <v>18</v>
      </c>
      <c r="C74" s="30">
        <v>1</v>
      </c>
      <c r="E74" s="32" t="s">
        <v>21</v>
      </c>
      <c r="F74">
        <f>COUNTIF(Tabela3[],E74)</f>
        <v>10</v>
      </c>
    </row>
    <row r="75" spans="2:6">
      <c r="B75" s="31" t="s">
        <v>19</v>
      </c>
      <c r="C75" s="33">
        <v>13</v>
      </c>
      <c r="E75" s="29" t="s">
        <v>22</v>
      </c>
      <c r="F75">
        <f>COUNTIF(Tabela3[],E75)</f>
        <v>17</v>
      </c>
    </row>
    <row r="76" spans="2:6">
      <c r="B76" s="28" t="s">
        <v>20</v>
      </c>
      <c r="C76" s="30">
        <v>8</v>
      </c>
      <c r="E76" s="29" t="s">
        <v>23</v>
      </c>
      <c r="F76">
        <f>COUNTIF(Tabela3[],E76)</f>
        <v>25</v>
      </c>
    </row>
    <row r="77" spans="2:6">
      <c r="B77" s="31" t="s">
        <v>21</v>
      </c>
      <c r="C77" s="33">
        <v>2</v>
      </c>
      <c r="E77" s="29" t="s">
        <v>24</v>
      </c>
      <c r="F77">
        <f>COUNTIF(Tabela3[],E77)</f>
        <v>12</v>
      </c>
    </row>
    <row r="78" spans="2:6">
      <c r="B78" s="28" t="s">
        <v>22</v>
      </c>
      <c r="C78" s="30">
        <v>9</v>
      </c>
      <c r="E78" s="32" t="s">
        <v>25</v>
      </c>
      <c r="F78">
        <f>COUNTIF(Tabela3[],E78)</f>
        <v>21</v>
      </c>
    </row>
    <row r="79" spans="2:6">
      <c r="B79" s="31" t="s">
        <v>16</v>
      </c>
      <c r="C79" s="33">
        <v>19</v>
      </c>
      <c r="E79" s="29" t="s">
        <v>26</v>
      </c>
      <c r="F79">
        <f>COUNTIF(Tabela3[],E79)</f>
        <v>23</v>
      </c>
    </row>
    <row r="80" spans="2:6">
      <c r="B80" s="28" t="s">
        <v>23</v>
      </c>
      <c r="C80" s="30">
        <v>6</v>
      </c>
      <c r="E80" s="32" t="s">
        <v>27</v>
      </c>
      <c r="F80">
        <f>COUNTIF(Tabela3[],E80)</f>
        <v>17</v>
      </c>
    </row>
    <row r="81" spans="2:6">
      <c r="B81" s="31" t="s">
        <v>15</v>
      </c>
      <c r="C81" s="33">
        <v>12</v>
      </c>
      <c r="E81" s="32" t="s">
        <v>28</v>
      </c>
      <c r="F81">
        <f>COUNTIF(Tabela3[],E81)</f>
        <v>16</v>
      </c>
    </row>
    <row r="82" spans="2:6">
      <c r="B82" s="28" t="s">
        <v>24</v>
      </c>
      <c r="C82" s="30">
        <v>16</v>
      </c>
      <c r="E82" s="32" t="s">
        <v>29</v>
      </c>
      <c r="F82">
        <f>COUNTIF(Tabela3[],E82)</f>
        <v>17</v>
      </c>
    </row>
    <row r="83" spans="2:6">
      <c r="B83" s="31" t="s">
        <v>25</v>
      </c>
      <c r="C83" s="33">
        <v>7</v>
      </c>
      <c r="E83" s="32" t="s">
        <v>30</v>
      </c>
      <c r="F83">
        <f>COUNTIF(Tabela3[],E83)</f>
        <v>9</v>
      </c>
    </row>
    <row r="84" spans="2:6">
      <c r="B84" s="28" t="s">
        <v>26</v>
      </c>
      <c r="C84" s="30">
        <v>8</v>
      </c>
      <c r="E84" s="32" t="s">
        <v>12</v>
      </c>
      <c r="F84">
        <f>COUNTIF(Tabela3[],E84)</f>
        <v>24</v>
      </c>
    </row>
    <row r="85" spans="2:6">
      <c r="B85" s="31" t="s">
        <v>18</v>
      </c>
      <c r="C85" s="33">
        <v>8</v>
      </c>
      <c r="E85" s="29" t="s">
        <v>31</v>
      </c>
      <c r="F85">
        <f>COUNTIF(Tabela3[],E85)</f>
        <v>19</v>
      </c>
    </row>
    <row r="86" spans="2:6">
      <c r="B86" s="28" t="s">
        <v>20</v>
      </c>
      <c r="C86" s="30">
        <v>20</v>
      </c>
      <c r="E86" s="29" t="s">
        <v>32</v>
      </c>
      <c r="F86">
        <f>COUNTIF(Tabela3[],E86)</f>
        <v>20</v>
      </c>
    </row>
    <row r="87" spans="2:6">
      <c r="B87" s="31" t="s">
        <v>27</v>
      </c>
      <c r="C87" s="33">
        <v>4</v>
      </c>
      <c r="E87" s="32" t="s">
        <v>33</v>
      </c>
      <c r="F87">
        <f>COUNTIF(Tabela3[],E87)</f>
        <v>19</v>
      </c>
    </row>
    <row r="88" spans="2:6">
      <c r="B88" s="28" t="s">
        <v>17</v>
      </c>
      <c r="C88" s="30">
        <v>17</v>
      </c>
      <c r="E88" s="29" t="s">
        <v>11</v>
      </c>
      <c r="F88">
        <f>COUNTIF(Tabela3[],E88)</f>
        <v>12</v>
      </c>
    </row>
    <row r="89" spans="2:6">
      <c r="B89" s="31" t="s">
        <v>28</v>
      </c>
      <c r="C89" s="33">
        <v>1</v>
      </c>
      <c r="E89" s="29" t="s">
        <v>34</v>
      </c>
      <c r="F89">
        <f>COUNTIF(Tabela3[],E89)</f>
        <v>17</v>
      </c>
    </row>
    <row r="90" spans="2:6">
      <c r="B90" s="28" t="s">
        <v>25</v>
      </c>
      <c r="C90" s="30">
        <v>11</v>
      </c>
      <c r="E90" s="32" t="s">
        <v>35</v>
      </c>
      <c r="F90">
        <f>COUNTIF(Tabela3[],E90)</f>
        <v>19</v>
      </c>
    </row>
    <row r="91" spans="2:6">
      <c r="B91" s="31" t="s">
        <v>21</v>
      </c>
      <c r="C91" s="33">
        <v>9</v>
      </c>
      <c r="E91" s="29" t="s">
        <v>36</v>
      </c>
      <c r="F91">
        <f>COUNTIF(Tabela3[],E91)</f>
        <v>10</v>
      </c>
    </row>
    <row r="92" spans="2:6">
      <c r="B92" s="28" t="s">
        <v>26</v>
      </c>
      <c r="C92" s="30">
        <v>11</v>
      </c>
      <c r="E92" s="29" t="s">
        <v>37</v>
      </c>
      <c r="F92">
        <f>COUNTIF(Tabela3[],E92)</f>
        <v>12</v>
      </c>
    </row>
    <row r="93" spans="2:6">
      <c r="B93" s="31" t="s">
        <v>29</v>
      </c>
      <c r="C93" s="33">
        <v>14</v>
      </c>
    </row>
    <row r="94" spans="2:6">
      <c r="B94" s="28" t="s">
        <v>20</v>
      </c>
      <c r="C94" s="30">
        <v>4</v>
      </c>
    </row>
    <row r="95" spans="2:6">
      <c r="B95" s="31" t="s">
        <v>30</v>
      </c>
      <c r="C95" s="33">
        <v>8</v>
      </c>
    </row>
    <row r="96" spans="2:6">
      <c r="B96" s="28" t="s">
        <v>13</v>
      </c>
      <c r="C96" s="30">
        <v>2</v>
      </c>
    </row>
    <row r="97" spans="2:3">
      <c r="B97" s="31" t="s">
        <v>20</v>
      </c>
      <c r="C97" s="33">
        <v>4</v>
      </c>
    </row>
    <row r="98" spans="2:3">
      <c r="B98" s="28" t="s">
        <v>28</v>
      </c>
      <c r="C98" s="30">
        <v>8</v>
      </c>
    </row>
    <row r="99" spans="2:3">
      <c r="B99" s="31" t="s">
        <v>12</v>
      </c>
      <c r="C99" s="33">
        <v>5</v>
      </c>
    </row>
    <row r="100" spans="2:3">
      <c r="B100" s="28" t="s">
        <v>17</v>
      </c>
      <c r="C100" s="30">
        <v>14</v>
      </c>
    </row>
    <row r="101" spans="2:3">
      <c r="B101" s="31" t="s">
        <v>14</v>
      </c>
      <c r="C101" s="33">
        <v>20</v>
      </c>
    </row>
    <row r="102" spans="2:3">
      <c r="B102" s="28" t="s">
        <v>31</v>
      </c>
      <c r="C102" s="30">
        <v>13</v>
      </c>
    </row>
    <row r="103" spans="2:3">
      <c r="B103" s="31" t="s">
        <v>12</v>
      </c>
      <c r="C103" s="33">
        <v>1</v>
      </c>
    </row>
    <row r="104" spans="2:3">
      <c r="B104" s="28" t="s">
        <v>16</v>
      </c>
      <c r="C104" s="30">
        <v>12</v>
      </c>
    </row>
    <row r="105" spans="2:3">
      <c r="B105" s="31" t="s">
        <v>12</v>
      </c>
      <c r="C105" s="33">
        <v>14</v>
      </c>
    </row>
    <row r="106" spans="2:3">
      <c r="B106" s="28" t="s">
        <v>25</v>
      </c>
      <c r="C106" s="30">
        <v>1</v>
      </c>
    </row>
    <row r="107" spans="2:3">
      <c r="B107" s="31" t="s">
        <v>26</v>
      </c>
      <c r="C107" s="33">
        <v>17</v>
      </c>
    </row>
    <row r="108" spans="2:3">
      <c r="B108" s="28" t="s">
        <v>32</v>
      </c>
      <c r="C108" s="30">
        <v>15</v>
      </c>
    </row>
    <row r="109" spans="2:3">
      <c r="B109" s="31" t="s">
        <v>21</v>
      </c>
      <c r="C109" s="33">
        <v>10</v>
      </c>
    </row>
    <row r="110" spans="2:3">
      <c r="B110" s="28" t="s">
        <v>26</v>
      </c>
      <c r="C110" s="30">
        <v>7</v>
      </c>
    </row>
    <row r="111" spans="2:3">
      <c r="B111" s="31" t="s">
        <v>33</v>
      </c>
      <c r="C111" s="33">
        <v>3</v>
      </c>
    </row>
    <row r="112" spans="2:3">
      <c r="B112" s="28" t="s">
        <v>23</v>
      </c>
      <c r="C112" s="30">
        <v>2</v>
      </c>
    </row>
    <row r="113" spans="2:3">
      <c r="B113" s="31" t="s">
        <v>23</v>
      </c>
      <c r="C113" s="33">
        <v>9</v>
      </c>
    </row>
    <row r="114" spans="2:3">
      <c r="B114" s="28" t="s">
        <v>32</v>
      </c>
      <c r="C114" s="30">
        <v>10</v>
      </c>
    </row>
    <row r="115" spans="2:3">
      <c r="B115" s="31" t="s">
        <v>26</v>
      </c>
      <c r="C115" s="33">
        <v>16</v>
      </c>
    </row>
    <row r="116" spans="2:3">
      <c r="B116" s="28" t="s">
        <v>11</v>
      </c>
      <c r="C116" s="30">
        <v>9</v>
      </c>
    </row>
    <row r="117" spans="2:3">
      <c r="B117" s="31" t="s">
        <v>31</v>
      </c>
      <c r="C117" s="33">
        <v>11</v>
      </c>
    </row>
    <row r="118" spans="2:3">
      <c r="B118" s="28" t="s">
        <v>34</v>
      </c>
      <c r="C118" s="30">
        <v>18</v>
      </c>
    </row>
    <row r="119" spans="2:3">
      <c r="B119" s="31" t="s">
        <v>35</v>
      </c>
      <c r="C119" s="33">
        <v>18</v>
      </c>
    </row>
    <row r="120" spans="2:3">
      <c r="B120" s="28" t="s">
        <v>18</v>
      </c>
      <c r="C120" s="30">
        <v>3</v>
      </c>
    </row>
    <row r="121" spans="2:3">
      <c r="B121" s="31" t="s">
        <v>14</v>
      </c>
      <c r="C121" s="33">
        <v>8</v>
      </c>
    </row>
    <row r="122" spans="2:3">
      <c r="B122" s="28" t="s">
        <v>14</v>
      </c>
      <c r="C122" s="30">
        <v>5</v>
      </c>
    </row>
    <row r="123" spans="2:3">
      <c r="B123" s="31" t="s">
        <v>35</v>
      </c>
      <c r="C123" s="33">
        <v>7</v>
      </c>
    </row>
    <row r="124" spans="2:3">
      <c r="B124" s="28" t="s">
        <v>36</v>
      </c>
      <c r="C124" s="30">
        <v>15</v>
      </c>
    </row>
    <row r="125" spans="2:3">
      <c r="B125" s="31" t="s">
        <v>34</v>
      </c>
      <c r="C125" s="33">
        <v>1</v>
      </c>
    </row>
    <row r="126" spans="2:3">
      <c r="B126" s="28" t="s">
        <v>20</v>
      </c>
      <c r="C126" s="30">
        <v>13</v>
      </c>
    </row>
    <row r="127" spans="2:3">
      <c r="B127" s="31" t="s">
        <v>22</v>
      </c>
      <c r="C127" s="33">
        <v>10</v>
      </c>
    </row>
    <row r="128" spans="2:3">
      <c r="B128" s="28" t="s">
        <v>22</v>
      </c>
      <c r="C128" s="30">
        <v>1</v>
      </c>
    </row>
    <row r="129" spans="2:3">
      <c r="B129" s="31" t="s">
        <v>15</v>
      </c>
      <c r="C129" s="33">
        <v>6</v>
      </c>
    </row>
    <row r="130" spans="2:3">
      <c r="B130" s="28" t="s">
        <v>25</v>
      </c>
      <c r="C130" s="30">
        <v>10</v>
      </c>
    </row>
    <row r="131" spans="2:3">
      <c r="B131" s="31" t="s">
        <v>18</v>
      </c>
      <c r="C131" s="33">
        <v>20</v>
      </c>
    </row>
    <row r="132" spans="2:3">
      <c r="B132" s="28" t="s">
        <v>31</v>
      </c>
      <c r="C132" s="30">
        <v>20</v>
      </c>
    </row>
    <row r="133" spans="2:3">
      <c r="B133" s="31" t="s">
        <v>16</v>
      </c>
      <c r="C133" s="33">
        <v>15</v>
      </c>
    </row>
    <row r="134" spans="2:3">
      <c r="B134" s="28" t="s">
        <v>36</v>
      </c>
      <c r="C134" s="30">
        <v>5</v>
      </c>
    </row>
    <row r="135" spans="2:3">
      <c r="B135" s="31" t="s">
        <v>25</v>
      </c>
      <c r="C135" s="33">
        <v>6</v>
      </c>
    </row>
    <row r="136" spans="2:3">
      <c r="B136" s="28" t="s">
        <v>35</v>
      </c>
      <c r="C136" s="30">
        <v>8</v>
      </c>
    </row>
    <row r="137" spans="2:3">
      <c r="B137" s="31" t="s">
        <v>14</v>
      </c>
      <c r="C137" s="33">
        <v>1</v>
      </c>
    </row>
    <row r="138" spans="2:3">
      <c r="B138" s="28" t="s">
        <v>18</v>
      </c>
      <c r="C138" s="30">
        <v>2</v>
      </c>
    </row>
    <row r="139" spans="2:3">
      <c r="B139" s="31" t="s">
        <v>18</v>
      </c>
      <c r="C139" s="33">
        <v>16</v>
      </c>
    </row>
    <row r="140" spans="2:3">
      <c r="B140" s="28" t="s">
        <v>35</v>
      </c>
      <c r="C140" s="30">
        <v>19</v>
      </c>
    </row>
    <row r="141" spans="2:3">
      <c r="B141" s="31" t="s">
        <v>33</v>
      </c>
      <c r="C141" s="33">
        <v>1</v>
      </c>
    </row>
    <row r="142" spans="2:3">
      <c r="B142" s="28" t="s">
        <v>19</v>
      </c>
      <c r="C142" s="30">
        <v>9</v>
      </c>
    </row>
    <row r="143" spans="2:3">
      <c r="B143" s="31" t="s">
        <v>14</v>
      </c>
      <c r="C143" s="33">
        <v>14</v>
      </c>
    </row>
    <row r="144" spans="2:3">
      <c r="B144" s="28" t="s">
        <v>15</v>
      </c>
      <c r="C144" s="30">
        <v>15</v>
      </c>
    </row>
    <row r="145" spans="2:3">
      <c r="B145" s="31" t="s">
        <v>36</v>
      </c>
      <c r="C145" s="33">
        <v>14</v>
      </c>
    </row>
    <row r="146" spans="2:3">
      <c r="B146" s="28" t="s">
        <v>18</v>
      </c>
      <c r="C146" s="30">
        <v>2</v>
      </c>
    </row>
    <row r="147" spans="2:3">
      <c r="B147" s="31" t="s">
        <v>29</v>
      </c>
      <c r="C147" s="33">
        <v>18</v>
      </c>
    </row>
    <row r="148" spans="2:3">
      <c r="B148" s="28" t="s">
        <v>35</v>
      </c>
      <c r="C148" s="30">
        <v>10</v>
      </c>
    </row>
    <row r="149" spans="2:3">
      <c r="B149" s="31" t="s">
        <v>22</v>
      </c>
      <c r="C149" s="33">
        <v>17</v>
      </c>
    </row>
    <row r="150" spans="2:3">
      <c r="B150" s="28" t="s">
        <v>37</v>
      </c>
      <c r="C150" s="30">
        <v>8</v>
      </c>
    </row>
    <row r="151" spans="2:3">
      <c r="B151" s="31" t="s">
        <v>22</v>
      </c>
      <c r="C151" s="33">
        <v>12</v>
      </c>
    </row>
    <row r="152" spans="2:3">
      <c r="B152" s="28" t="s">
        <v>32</v>
      </c>
      <c r="C152" s="30">
        <v>12</v>
      </c>
    </row>
    <row r="153" spans="2:3">
      <c r="B153" s="31" t="s">
        <v>29</v>
      </c>
      <c r="C153" s="33">
        <v>10</v>
      </c>
    </row>
    <row r="154" spans="2:3">
      <c r="B154" s="28" t="s">
        <v>20</v>
      </c>
      <c r="C154" s="30">
        <v>17</v>
      </c>
    </row>
    <row r="155" spans="2:3">
      <c r="B155" s="31" t="s">
        <v>30</v>
      </c>
      <c r="C155" s="33">
        <v>12</v>
      </c>
    </row>
    <row r="156" spans="2:3">
      <c r="B156" s="28" t="s">
        <v>19</v>
      </c>
      <c r="C156" s="30">
        <v>11</v>
      </c>
    </row>
    <row r="157" spans="2:3">
      <c r="B157" s="31" t="s">
        <v>19</v>
      </c>
      <c r="C157" s="33">
        <v>10</v>
      </c>
    </row>
    <row r="158" spans="2:3">
      <c r="B158" s="28" t="s">
        <v>19</v>
      </c>
      <c r="C158" s="30">
        <v>4</v>
      </c>
    </row>
    <row r="159" spans="2:3">
      <c r="B159" s="31" t="s">
        <v>31</v>
      </c>
      <c r="C159" s="33">
        <v>8</v>
      </c>
    </row>
    <row r="160" spans="2:3">
      <c r="B160" s="28" t="s">
        <v>31</v>
      </c>
      <c r="C160" s="30">
        <v>2</v>
      </c>
    </row>
    <row r="161" spans="2:3">
      <c r="B161" s="31" t="s">
        <v>32</v>
      </c>
      <c r="C161" s="33">
        <v>17</v>
      </c>
    </row>
    <row r="162" spans="2:3">
      <c r="B162" s="28" t="s">
        <v>20</v>
      </c>
      <c r="C162" s="30">
        <v>17</v>
      </c>
    </row>
    <row r="163" spans="2:3">
      <c r="B163" s="31" t="s">
        <v>14</v>
      </c>
      <c r="C163" s="33">
        <v>9</v>
      </c>
    </row>
    <row r="164" spans="2:3">
      <c r="B164" s="28" t="s">
        <v>34</v>
      </c>
      <c r="C164" s="30">
        <v>1</v>
      </c>
    </row>
    <row r="165" spans="2:3">
      <c r="B165" s="31" t="s">
        <v>31</v>
      </c>
      <c r="C165" s="33">
        <v>9</v>
      </c>
    </row>
    <row r="166" spans="2:3">
      <c r="B166" s="28" t="s">
        <v>17</v>
      </c>
      <c r="C166" s="30">
        <v>17</v>
      </c>
    </row>
    <row r="167" spans="2:3">
      <c r="B167" s="31" t="s">
        <v>15</v>
      </c>
      <c r="C167" s="33">
        <v>3</v>
      </c>
    </row>
    <row r="168" spans="2:3">
      <c r="B168" s="28" t="s">
        <v>25</v>
      </c>
      <c r="C168" s="30">
        <v>7</v>
      </c>
    </row>
    <row r="169" spans="2:3">
      <c r="B169" s="31" t="s">
        <v>26</v>
      </c>
      <c r="C169" s="33">
        <v>17</v>
      </c>
    </row>
    <row r="170" spans="2:3">
      <c r="B170" s="28" t="s">
        <v>16</v>
      </c>
      <c r="C170" s="30">
        <v>7</v>
      </c>
    </row>
    <row r="171" spans="2:3">
      <c r="B171" s="31" t="s">
        <v>17</v>
      </c>
      <c r="C171" s="33">
        <v>18</v>
      </c>
    </row>
    <row r="172" spans="2:3">
      <c r="B172" s="28" t="s">
        <v>12</v>
      </c>
      <c r="C172" s="30">
        <v>11</v>
      </c>
    </row>
    <row r="173" spans="2:3">
      <c r="B173" s="31" t="s">
        <v>34</v>
      </c>
      <c r="C173" s="33">
        <v>3</v>
      </c>
    </row>
    <row r="174" spans="2:3">
      <c r="B174" s="28" t="s">
        <v>29</v>
      </c>
      <c r="C174" s="30">
        <v>15</v>
      </c>
    </row>
    <row r="175" spans="2:3">
      <c r="B175" s="31" t="s">
        <v>11</v>
      </c>
      <c r="C175" s="33">
        <v>9</v>
      </c>
    </row>
    <row r="176" spans="2:3">
      <c r="B176" s="28" t="s">
        <v>26</v>
      </c>
      <c r="C176" s="30">
        <v>1</v>
      </c>
    </row>
    <row r="177" spans="2:3">
      <c r="B177" s="31" t="s">
        <v>23</v>
      </c>
      <c r="C177" s="33">
        <v>2</v>
      </c>
    </row>
    <row r="178" spans="2:3">
      <c r="B178" s="28" t="s">
        <v>30</v>
      </c>
      <c r="C178" s="30">
        <v>11</v>
      </c>
    </row>
    <row r="179" spans="2:3">
      <c r="B179" s="31" t="s">
        <v>14</v>
      </c>
      <c r="C179" s="33">
        <v>16</v>
      </c>
    </row>
    <row r="180" spans="2:3">
      <c r="B180" s="28" t="s">
        <v>14</v>
      </c>
      <c r="C180" s="30">
        <v>19</v>
      </c>
    </row>
    <row r="181" spans="2:3">
      <c r="B181" s="31" t="s">
        <v>11</v>
      </c>
      <c r="C181" s="33">
        <v>5</v>
      </c>
    </row>
    <row r="182" spans="2:3">
      <c r="B182" s="28" t="s">
        <v>25</v>
      </c>
      <c r="C182" s="30">
        <v>6</v>
      </c>
    </row>
    <row r="183" spans="2:3">
      <c r="B183" s="31" t="s">
        <v>12</v>
      </c>
      <c r="C183" s="33">
        <v>10</v>
      </c>
    </row>
    <row r="184" spans="2:3">
      <c r="B184" s="28" t="s">
        <v>15</v>
      </c>
      <c r="C184" s="30">
        <v>6</v>
      </c>
    </row>
    <row r="185" spans="2:3">
      <c r="B185" s="31" t="s">
        <v>23</v>
      </c>
      <c r="C185" s="33">
        <v>16</v>
      </c>
    </row>
    <row r="186" spans="2:3">
      <c r="B186" s="28" t="s">
        <v>33</v>
      </c>
      <c r="C186" s="30">
        <v>8</v>
      </c>
    </row>
    <row r="187" spans="2:3">
      <c r="B187" s="31" t="s">
        <v>16</v>
      </c>
      <c r="C187" s="33">
        <v>14</v>
      </c>
    </row>
    <row r="188" spans="2:3">
      <c r="B188" s="28" t="s">
        <v>17</v>
      </c>
      <c r="C188" s="30">
        <v>11</v>
      </c>
    </row>
    <row r="189" spans="2:3">
      <c r="B189" s="31" t="s">
        <v>20</v>
      </c>
      <c r="C189" s="33">
        <v>18</v>
      </c>
    </row>
    <row r="190" spans="2:3">
      <c r="B190" s="28" t="s">
        <v>11</v>
      </c>
      <c r="C190" s="30">
        <v>12</v>
      </c>
    </row>
    <row r="191" spans="2:3">
      <c r="B191" s="31" t="s">
        <v>16</v>
      </c>
      <c r="C191" s="33">
        <v>14</v>
      </c>
    </row>
    <row r="192" spans="2:3">
      <c r="B192" s="28" t="s">
        <v>16</v>
      </c>
      <c r="C192" s="30">
        <v>5</v>
      </c>
    </row>
    <row r="193" spans="2:3">
      <c r="B193" s="31" t="s">
        <v>26</v>
      </c>
      <c r="C193" s="33">
        <v>18</v>
      </c>
    </row>
    <row r="194" spans="2:3">
      <c r="B194" s="28" t="s">
        <v>20</v>
      </c>
      <c r="C194" s="30">
        <v>7</v>
      </c>
    </row>
    <row r="195" spans="2:3">
      <c r="B195" s="31" t="s">
        <v>35</v>
      </c>
      <c r="C195" s="33">
        <v>4</v>
      </c>
    </row>
    <row r="196" spans="2:3">
      <c r="B196" s="28" t="s">
        <v>35</v>
      </c>
      <c r="C196" s="30">
        <v>5</v>
      </c>
    </row>
    <row r="197" spans="2:3">
      <c r="B197" s="31" t="s">
        <v>15</v>
      </c>
      <c r="C197" s="33">
        <v>14</v>
      </c>
    </row>
    <row r="198" spans="2:3">
      <c r="B198" s="28" t="s">
        <v>17</v>
      </c>
      <c r="C198" s="30">
        <v>12</v>
      </c>
    </row>
    <row r="199" spans="2:3">
      <c r="B199" s="31" t="s">
        <v>27</v>
      </c>
      <c r="C199" s="33">
        <v>2</v>
      </c>
    </row>
    <row r="200" spans="2:3">
      <c r="B200" s="28" t="s">
        <v>35</v>
      </c>
      <c r="C200" s="30">
        <v>16</v>
      </c>
    </row>
    <row r="201" spans="2:3">
      <c r="B201" s="31" t="s">
        <v>35</v>
      </c>
      <c r="C201" s="33">
        <v>19</v>
      </c>
    </row>
    <row r="202" spans="2:3">
      <c r="B202" s="28" t="s">
        <v>14</v>
      </c>
      <c r="C202" s="30">
        <v>17</v>
      </c>
    </row>
    <row r="203" spans="2:3">
      <c r="B203" s="31" t="s">
        <v>18</v>
      </c>
      <c r="C203" s="33">
        <v>10</v>
      </c>
    </row>
    <row r="204" spans="2:3">
      <c r="B204" s="28" t="s">
        <v>23</v>
      </c>
      <c r="C204" s="30">
        <v>9</v>
      </c>
    </row>
    <row r="205" spans="2:3">
      <c r="B205" s="31" t="s">
        <v>29</v>
      </c>
      <c r="C205" s="33">
        <v>12</v>
      </c>
    </row>
    <row r="206" spans="2:3">
      <c r="B206" s="28" t="s">
        <v>33</v>
      </c>
      <c r="C206" s="30">
        <v>3</v>
      </c>
    </row>
    <row r="207" spans="2:3">
      <c r="B207" s="31" t="s">
        <v>19</v>
      </c>
      <c r="C207" s="33">
        <v>16</v>
      </c>
    </row>
    <row r="208" spans="2:3">
      <c r="B208" s="28" t="s">
        <v>31</v>
      </c>
      <c r="C208" s="30">
        <v>3</v>
      </c>
    </row>
    <row r="209" spans="2:3">
      <c r="B209" s="31" t="s">
        <v>17</v>
      </c>
      <c r="C209" s="33">
        <v>18</v>
      </c>
    </row>
    <row r="210" spans="2:3">
      <c r="B210" s="28" t="s">
        <v>14</v>
      </c>
      <c r="C210" s="30">
        <v>14</v>
      </c>
    </row>
    <row r="211" spans="2:3">
      <c r="B211" s="31" t="s">
        <v>18</v>
      </c>
      <c r="C211" s="33">
        <v>9</v>
      </c>
    </row>
    <row r="212" spans="2:3">
      <c r="B212" s="28" t="s">
        <v>23</v>
      </c>
      <c r="C212" s="30">
        <v>5</v>
      </c>
    </row>
    <row r="213" spans="2:3">
      <c r="B213" s="31" t="s">
        <v>20</v>
      </c>
      <c r="C213" s="33">
        <v>3</v>
      </c>
    </row>
    <row r="214" spans="2:3">
      <c r="B214" s="28" t="s">
        <v>27</v>
      </c>
      <c r="C214" s="30">
        <v>19</v>
      </c>
    </row>
    <row r="215" spans="2:3">
      <c r="B215" s="31" t="s">
        <v>30</v>
      </c>
      <c r="C215" s="33">
        <v>7</v>
      </c>
    </row>
    <row r="216" spans="2:3">
      <c r="B216" s="28" t="s">
        <v>26</v>
      </c>
      <c r="C216" s="30">
        <v>12</v>
      </c>
    </row>
    <row r="217" spans="2:3">
      <c r="B217" s="31" t="s">
        <v>13</v>
      </c>
      <c r="C217" s="33">
        <v>12</v>
      </c>
    </row>
    <row r="218" spans="2:3">
      <c r="B218" s="28" t="s">
        <v>11</v>
      </c>
      <c r="C218" s="30">
        <v>6</v>
      </c>
    </row>
    <row r="219" spans="2:3">
      <c r="B219" s="31" t="s">
        <v>29</v>
      </c>
      <c r="C219" s="33">
        <v>13</v>
      </c>
    </row>
    <row r="220" spans="2:3">
      <c r="B220" s="28" t="s">
        <v>30</v>
      </c>
      <c r="C220" s="30">
        <v>12</v>
      </c>
    </row>
    <row r="221" spans="2:3">
      <c r="B221" s="31" t="s">
        <v>17</v>
      </c>
      <c r="C221" s="33">
        <v>8</v>
      </c>
    </row>
    <row r="222" spans="2:3">
      <c r="B222" s="28" t="s">
        <v>34</v>
      </c>
      <c r="C222" s="30">
        <v>17</v>
      </c>
    </row>
    <row r="223" spans="2:3">
      <c r="B223" s="31" t="s">
        <v>12</v>
      </c>
      <c r="C223" s="33">
        <v>12</v>
      </c>
    </row>
    <row r="224" spans="2:3">
      <c r="B224" s="28" t="s">
        <v>34</v>
      </c>
      <c r="C224" s="30">
        <v>18</v>
      </c>
    </row>
    <row r="225" spans="2:3">
      <c r="B225" s="31" t="s">
        <v>12</v>
      </c>
      <c r="C225" s="33">
        <v>15</v>
      </c>
    </row>
    <row r="226" spans="2:3">
      <c r="B226" s="28" t="s">
        <v>26</v>
      </c>
      <c r="C226" s="30">
        <v>8</v>
      </c>
    </row>
    <row r="227" spans="2:3">
      <c r="B227" s="31" t="s">
        <v>13</v>
      </c>
      <c r="C227" s="33">
        <v>6</v>
      </c>
    </row>
    <row r="228" spans="2:3">
      <c r="B228" s="28" t="s">
        <v>29</v>
      </c>
      <c r="C228" s="30">
        <v>3</v>
      </c>
    </row>
    <row r="229" spans="2:3">
      <c r="B229" s="31" t="s">
        <v>19</v>
      </c>
      <c r="C229" s="33">
        <v>18</v>
      </c>
    </row>
    <row r="230" spans="2:3">
      <c r="B230" s="28" t="s">
        <v>32</v>
      </c>
      <c r="C230" s="30">
        <v>13</v>
      </c>
    </row>
    <row r="231" spans="2:3">
      <c r="B231" s="31" t="s">
        <v>23</v>
      </c>
      <c r="C231" s="33">
        <v>17</v>
      </c>
    </row>
    <row r="232" spans="2:3">
      <c r="B232" s="28" t="s">
        <v>16</v>
      </c>
      <c r="C232" s="30">
        <v>13</v>
      </c>
    </row>
    <row r="233" spans="2:3">
      <c r="B233" s="31" t="s">
        <v>21</v>
      </c>
      <c r="C233" s="33">
        <v>1</v>
      </c>
    </row>
    <row r="234" spans="2:3">
      <c r="B234" s="28" t="s">
        <v>12</v>
      </c>
      <c r="C234" s="30">
        <v>15</v>
      </c>
    </row>
    <row r="235" spans="2:3">
      <c r="B235" s="31" t="s">
        <v>11</v>
      </c>
      <c r="C235" s="33">
        <v>18</v>
      </c>
    </row>
    <row r="236" spans="2:3">
      <c r="B236" s="28" t="s">
        <v>37</v>
      </c>
      <c r="C236" s="30">
        <v>1</v>
      </c>
    </row>
    <row r="237" spans="2:3">
      <c r="B237" s="31" t="s">
        <v>28</v>
      </c>
      <c r="C237" s="33">
        <v>14</v>
      </c>
    </row>
    <row r="238" spans="2:3">
      <c r="B238" s="28" t="s">
        <v>22</v>
      </c>
      <c r="C238" s="30">
        <v>3</v>
      </c>
    </row>
    <row r="239" spans="2:3">
      <c r="B239" s="31" t="s">
        <v>18</v>
      </c>
      <c r="C239" s="33">
        <v>1</v>
      </c>
    </row>
    <row r="240" spans="2:3">
      <c r="B240" s="28" t="s">
        <v>34</v>
      </c>
      <c r="C240" s="30">
        <v>10</v>
      </c>
    </row>
    <row r="241" spans="2:3">
      <c r="B241" s="31" t="s">
        <v>24</v>
      </c>
      <c r="C241" s="33">
        <v>11</v>
      </c>
    </row>
    <row r="242" spans="2:3">
      <c r="B242" s="28" t="s">
        <v>11</v>
      </c>
      <c r="C242" s="30">
        <v>18</v>
      </c>
    </row>
    <row r="243" spans="2:3">
      <c r="B243" s="31" t="s">
        <v>19</v>
      </c>
      <c r="C243" s="33">
        <v>17</v>
      </c>
    </row>
    <row r="244" spans="2:3">
      <c r="B244" s="28" t="s">
        <v>28</v>
      </c>
      <c r="C244" s="30">
        <v>18</v>
      </c>
    </row>
    <row r="245" spans="2:3">
      <c r="B245" s="31" t="s">
        <v>22</v>
      </c>
      <c r="C245" s="33">
        <v>9</v>
      </c>
    </row>
    <row r="246" spans="2:3">
      <c r="B246" s="28" t="s">
        <v>15</v>
      </c>
      <c r="C246" s="30">
        <v>18</v>
      </c>
    </row>
    <row r="247" spans="2:3">
      <c r="B247" s="31" t="s">
        <v>37</v>
      </c>
      <c r="C247" s="33">
        <v>12</v>
      </c>
    </row>
    <row r="248" spans="2:3">
      <c r="B248" s="28" t="s">
        <v>13</v>
      </c>
      <c r="C248" s="30">
        <v>18</v>
      </c>
    </row>
    <row r="249" spans="2:3">
      <c r="B249" s="31" t="s">
        <v>19</v>
      </c>
      <c r="C249" s="33">
        <v>15</v>
      </c>
    </row>
    <row r="250" spans="2:3">
      <c r="B250" s="28" t="s">
        <v>24</v>
      </c>
      <c r="C250" s="30">
        <v>17</v>
      </c>
    </row>
    <row r="251" spans="2:3">
      <c r="B251" s="31" t="s">
        <v>36</v>
      </c>
      <c r="C251" s="33">
        <v>9</v>
      </c>
    </row>
    <row r="252" spans="2:3">
      <c r="B252" s="28" t="s">
        <v>23</v>
      </c>
      <c r="C252" s="30">
        <v>16</v>
      </c>
    </row>
    <row r="253" spans="2:3">
      <c r="B253" s="31" t="s">
        <v>22</v>
      </c>
      <c r="C253" s="33">
        <v>5</v>
      </c>
    </row>
    <row r="254" spans="2:3">
      <c r="B254" s="28" t="s">
        <v>37</v>
      </c>
      <c r="C254" s="30">
        <v>2</v>
      </c>
    </row>
    <row r="255" spans="2:3">
      <c r="B255" s="31" t="s">
        <v>28</v>
      </c>
      <c r="C255" s="33">
        <v>8</v>
      </c>
    </row>
    <row r="256" spans="2:3">
      <c r="B256" s="28" t="s">
        <v>27</v>
      </c>
      <c r="C256" s="30">
        <v>6</v>
      </c>
    </row>
    <row r="257" spans="2:3">
      <c r="B257" s="31" t="s">
        <v>36</v>
      </c>
      <c r="C257" s="33">
        <v>17</v>
      </c>
    </row>
    <row r="258" spans="2:3">
      <c r="B258" s="28" t="s">
        <v>18</v>
      </c>
      <c r="C258" s="30">
        <v>18</v>
      </c>
    </row>
    <row r="259" spans="2:3">
      <c r="B259" s="31" t="s">
        <v>35</v>
      </c>
      <c r="C259" s="33">
        <v>3</v>
      </c>
    </row>
    <row r="260" spans="2:3">
      <c r="B260" s="28" t="s">
        <v>12</v>
      </c>
      <c r="C260" s="30">
        <v>15</v>
      </c>
    </row>
    <row r="261" spans="2:3">
      <c r="B261" s="31" t="s">
        <v>18</v>
      </c>
      <c r="C261" s="33">
        <v>15</v>
      </c>
    </row>
    <row r="262" spans="2:3">
      <c r="B262" s="28" t="s">
        <v>23</v>
      </c>
      <c r="C262" s="30">
        <v>20</v>
      </c>
    </row>
    <row r="263" spans="2:3">
      <c r="B263" s="31" t="s">
        <v>31</v>
      </c>
      <c r="C263" s="33">
        <v>2</v>
      </c>
    </row>
    <row r="264" spans="2:3">
      <c r="B264" s="28" t="s">
        <v>32</v>
      </c>
      <c r="C264" s="30">
        <v>14</v>
      </c>
    </row>
    <row r="265" spans="2:3">
      <c r="B265" s="31" t="s">
        <v>13</v>
      </c>
      <c r="C265" s="33">
        <v>4</v>
      </c>
    </row>
    <row r="266" spans="2:3">
      <c r="B266" s="28" t="s">
        <v>17</v>
      </c>
      <c r="C266" s="30">
        <v>9</v>
      </c>
    </row>
    <row r="267" spans="2:3">
      <c r="B267" s="31" t="s">
        <v>17</v>
      </c>
      <c r="C267" s="33">
        <v>13</v>
      </c>
    </row>
    <row r="268" spans="2:3">
      <c r="B268" s="28" t="s">
        <v>24</v>
      </c>
      <c r="C268" s="30">
        <v>9</v>
      </c>
    </row>
    <row r="269" spans="2:3">
      <c r="B269" s="31" t="s">
        <v>30</v>
      </c>
      <c r="C269" s="33">
        <v>13</v>
      </c>
    </row>
    <row r="270" spans="2:3">
      <c r="B270" s="28" t="s">
        <v>14</v>
      </c>
      <c r="C270" s="30">
        <v>3</v>
      </c>
    </row>
    <row r="271" spans="2:3">
      <c r="B271" s="31" t="s">
        <v>17</v>
      </c>
      <c r="C271" s="33">
        <v>14</v>
      </c>
    </row>
    <row r="272" spans="2:3">
      <c r="B272" s="28" t="s">
        <v>24</v>
      </c>
      <c r="C272" s="30">
        <v>20</v>
      </c>
    </row>
    <row r="273" spans="2:3">
      <c r="B273" s="31" t="s">
        <v>22</v>
      </c>
      <c r="C273" s="33">
        <v>14</v>
      </c>
    </row>
    <row r="274" spans="2:3">
      <c r="B274" s="28" t="s">
        <v>28</v>
      </c>
      <c r="C274" s="30">
        <v>2</v>
      </c>
    </row>
    <row r="275" spans="2:3">
      <c r="B275" s="31" t="s">
        <v>33</v>
      </c>
      <c r="C275" s="33">
        <v>20</v>
      </c>
    </row>
    <row r="276" spans="2:3">
      <c r="B276" s="28" t="s">
        <v>32</v>
      </c>
      <c r="C276" s="30">
        <v>15</v>
      </c>
    </row>
    <row r="277" spans="2:3">
      <c r="B277" s="31" t="s">
        <v>14</v>
      </c>
      <c r="C277" s="33">
        <v>6</v>
      </c>
    </row>
    <row r="278" spans="2:3">
      <c r="B278" s="28" t="s">
        <v>11</v>
      </c>
      <c r="C278" s="30">
        <v>4</v>
      </c>
    </row>
    <row r="279" spans="2:3">
      <c r="B279" s="31" t="s">
        <v>37</v>
      </c>
      <c r="C279" s="33">
        <v>17</v>
      </c>
    </row>
    <row r="280" spans="2:3">
      <c r="B280" s="28" t="s">
        <v>14</v>
      </c>
      <c r="C280" s="30">
        <v>4</v>
      </c>
    </row>
    <row r="281" spans="2:3">
      <c r="B281" s="31" t="s">
        <v>31</v>
      </c>
      <c r="C281" s="33">
        <v>18</v>
      </c>
    </row>
    <row r="282" spans="2:3">
      <c r="B282" s="28" t="s">
        <v>27</v>
      </c>
      <c r="C282" s="30">
        <v>3</v>
      </c>
    </row>
    <row r="283" spans="2:3">
      <c r="B283" s="31" t="s">
        <v>34</v>
      </c>
      <c r="C283" s="33">
        <v>1</v>
      </c>
    </row>
    <row r="284" spans="2:3">
      <c r="B284" s="28" t="s">
        <v>28</v>
      </c>
      <c r="C284" s="30">
        <v>13</v>
      </c>
    </row>
    <row r="285" spans="2:3">
      <c r="B285" s="31" t="s">
        <v>35</v>
      </c>
      <c r="C285" s="33">
        <v>13</v>
      </c>
    </row>
    <row r="286" spans="2:3">
      <c r="B286" s="28" t="s">
        <v>27</v>
      </c>
      <c r="C286" s="30">
        <v>19</v>
      </c>
    </row>
    <row r="287" spans="2:3">
      <c r="B287" s="31" t="s">
        <v>31</v>
      </c>
      <c r="C287" s="33">
        <v>16</v>
      </c>
    </row>
    <row r="288" spans="2:3">
      <c r="B288" s="28" t="s">
        <v>26</v>
      </c>
      <c r="C288" s="30">
        <v>12</v>
      </c>
    </row>
    <row r="289" spans="2:3">
      <c r="B289" s="31" t="s">
        <v>28</v>
      </c>
      <c r="C289" s="33">
        <v>10</v>
      </c>
    </row>
    <row r="290" spans="2:3">
      <c r="B290" s="28" t="s">
        <v>13</v>
      </c>
      <c r="C290" s="30">
        <v>14</v>
      </c>
    </row>
    <row r="291" spans="2:3">
      <c r="B291" s="31" t="s">
        <v>16</v>
      </c>
      <c r="C291" s="33">
        <v>13</v>
      </c>
    </row>
    <row r="292" spans="2:3">
      <c r="B292" s="28" t="s">
        <v>18</v>
      </c>
      <c r="C292" s="30">
        <v>14</v>
      </c>
    </row>
    <row r="293" spans="2:3">
      <c r="B293" s="31" t="s">
        <v>12</v>
      </c>
      <c r="C293" s="33">
        <v>19</v>
      </c>
    </row>
    <row r="294" spans="2:3">
      <c r="B294" s="28" t="s">
        <v>14</v>
      </c>
      <c r="C294" s="30">
        <v>7</v>
      </c>
    </row>
    <row r="295" spans="2:3">
      <c r="B295" s="31" t="s">
        <v>33</v>
      </c>
      <c r="C295" s="33">
        <v>15</v>
      </c>
    </row>
    <row r="296" spans="2:3">
      <c r="B296" s="28" t="s">
        <v>15</v>
      </c>
      <c r="C296" s="30">
        <v>14</v>
      </c>
    </row>
    <row r="297" spans="2:3">
      <c r="B297" s="31" t="s">
        <v>15</v>
      </c>
      <c r="C297" s="33">
        <v>10</v>
      </c>
    </row>
    <row r="298" spans="2:3">
      <c r="B298" s="28" t="s">
        <v>28</v>
      </c>
      <c r="C298" s="30">
        <v>18</v>
      </c>
    </row>
    <row r="299" spans="2:3">
      <c r="B299" s="31" t="s">
        <v>25</v>
      </c>
      <c r="C299" s="33">
        <v>7</v>
      </c>
    </row>
    <row r="300" spans="2:3">
      <c r="B300" s="28" t="s">
        <v>12</v>
      </c>
      <c r="C300" s="30">
        <v>9</v>
      </c>
    </row>
    <row r="301" spans="2:3">
      <c r="B301" s="31" t="s">
        <v>18</v>
      </c>
      <c r="C301" s="33">
        <v>2</v>
      </c>
    </row>
    <row r="302" spans="2:3">
      <c r="B302" s="28" t="s">
        <v>19</v>
      </c>
      <c r="C302" s="30">
        <v>2</v>
      </c>
    </row>
    <row r="303" spans="2:3">
      <c r="B303" s="31" t="s">
        <v>32</v>
      </c>
      <c r="C303" s="33">
        <v>8</v>
      </c>
    </row>
    <row r="304" spans="2:3">
      <c r="B304" s="28" t="s">
        <v>28</v>
      </c>
      <c r="C304" s="30">
        <v>3</v>
      </c>
    </row>
    <row r="305" spans="2:3">
      <c r="B305" s="31" t="s">
        <v>23</v>
      </c>
      <c r="C305" s="33">
        <v>6</v>
      </c>
    </row>
    <row r="306" spans="2:3">
      <c r="B306" s="28" t="s">
        <v>33</v>
      </c>
      <c r="C306" s="30">
        <v>8</v>
      </c>
    </row>
    <row r="307" spans="2:3">
      <c r="B307" s="31" t="s">
        <v>22</v>
      </c>
      <c r="C307" s="33">
        <v>15</v>
      </c>
    </row>
    <row r="308" spans="2:3">
      <c r="B308" s="28" t="s">
        <v>23</v>
      </c>
      <c r="C308" s="30">
        <v>2</v>
      </c>
    </row>
    <row r="309" spans="2:3">
      <c r="B309" s="31" t="s">
        <v>35</v>
      </c>
      <c r="C309" s="33">
        <v>4</v>
      </c>
    </row>
    <row r="310" spans="2:3">
      <c r="B310" s="28" t="s">
        <v>26</v>
      </c>
      <c r="C310" s="30">
        <v>10</v>
      </c>
    </row>
    <row r="311" spans="2:3">
      <c r="B311" s="31" t="s">
        <v>25</v>
      </c>
      <c r="C311" s="33">
        <v>17</v>
      </c>
    </row>
    <row r="312" spans="2:3">
      <c r="B312" s="28" t="s">
        <v>29</v>
      </c>
      <c r="C312" s="30">
        <v>2</v>
      </c>
    </row>
    <row r="313" spans="2:3">
      <c r="B313" s="31" t="s">
        <v>26</v>
      </c>
      <c r="C313" s="33">
        <v>1</v>
      </c>
    </row>
    <row r="314" spans="2:3">
      <c r="B314" s="28" t="s">
        <v>14</v>
      </c>
      <c r="C314" s="30">
        <v>19</v>
      </c>
    </row>
    <row r="315" spans="2:3">
      <c r="B315" s="31" t="s">
        <v>33</v>
      </c>
      <c r="C315" s="33">
        <v>7</v>
      </c>
    </row>
    <row r="316" spans="2:3">
      <c r="B316" s="28" t="s">
        <v>31</v>
      </c>
      <c r="C316" s="30">
        <v>14</v>
      </c>
    </row>
    <row r="317" spans="2:3">
      <c r="B317" s="31" t="s">
        <v>12</v>
      </c>
      <c r="C317" s="33">
        <v>1</v>
      </c>
    </row>
    <row r="318" spans="2:3">
      <c r="B318" s="28" t="s">
        <v>33</v>
      </c>
      <c r="C318" s="30">
        <v>17</v>
      </c>
    </row>
    <row r="319" spans="2:3">
      <c r="B319" s="31" t="s">
        <v>12</v>
      </c>
      <c r="C319" s="33">
        <v>4</v>
      </c>
    </row>
    <row r="320" spans="2:3">
      <c r="B320" s="28" t="s">
        <v>19</v>
      </c>
      <c r="C320" s="30">
        <v>2</v>
      </c>
    </row>
    <row r="321" spans="2:3">
      <c r="B321" s="31" t="s">
        <v>15</v>
      </c>
      <c r="C321" s="33">
        <v>2</v>
      </c>
    </row>
    <row r="322" spans="2:3">
      <c r="B322" s="28" t="s">
        <v>17</v>
      </c>
      <c r="C322" s="30">
        <v>10</v>
      </c>
    </row>
    <row r="323" spans="2:3">
      <c r="B323" s="31" t="s">
        <v>12</v>
      </c>
      <c r="C323" s="33">
        <v>20</v>
      </c>
    </row>
    <row r="324" spans="2:3">
      <c r="B324" s="28" t="s">
        <v>31</v>
      </c>
      <c r="C324" s="30">
        <v>7</v>
      </c>
    </row>
    <row r="325" spans="2:3">
      <c r="B325" s="31" t="s">
        <v>14</v>
      </c>
      <c r="C325" s="33">
        <v>16</v>
      </c>
    </row>
    <row r="326" spans="2:3">
      <c r="B326" s="28" t="s">
        <v>16</v>
      </c>
      <c r="C326" s="30">
        <v>20</v>
      </c>
    </row>
    <row r="327" spans="2:3">
      <c r="B327" s="31" t="s">
        <v>23</v>
      </c>
      <c r="C327" s="33">
        <v>15</v>
      </c>
    </row>
    <row r="328" spans="2:3">
      <c r="B328" s="28" t="s">
        <v>32</v>
      </c>
      <c r="C328" s="30">
        <v>14</v>
      </c>
    </row>
    <row r="329" spans="2:3">
      <c r="B329" s="31" t="s">
        <v>20</v>
      </c>
      <c r="C329" s="33">
        <v>15</v>
      </c>
    </row>
    <row r="330" spans="2:3">
      <c r="B330" s="28" t="s">
        <v>25</v>
      </c>
      <c r="C330" s="30">
        <v>17</v>
      </c>
    </row>
    <row r="331" spans="2:3">
      <c r="B331" s="31" t="s">
        <v>28</v>
      </c>
      <c r="C331" s="33">
        <v>17</v>
      </c>
    </row>
    <row r="332" spans="2:3">
      <c r="B332" s="28" t="s">
        <v>22</v>
      </c>
      <c r="C332" s="30">
        <v>5</v>
      </c>
    </row>
    <row r="333" spans="2:3">
      <c r="B333" s="31" t="s">
        <v>27</v>
      </c>
      <c r="C333" s="33">
        <v>14</v>
      </c>
    </row>
    <row r="334" spans="2:3">
      <c r="B334" s="28" t="s">
        <v>25</v>
      </c>
      <c r="C334" s="30">
        <v>15</v>
      </c>
    </row>
    <row r="335" spans="2:3">
      <c r="B335" s="31" t="s">
        <v>35</v>
      </c>
      <c r="C335" s="33">
        <v>4</v>
      </c>
    </row>
    <row r="336" spans="2:3">
      <c r="B336" s="28" t="s">
        <v>11</v>
      </c>
      <c r="C336" s="30">
        <v>15</v>
      </c>
    </row>
    <row r="337" spans="2:3">
      <c r="B337" s="31" t="s">
        <v>26</v>
      </c>
      <c r="C337" s="33">
        <v>17</v>
      </c>
    </row>
    <row r="338" spans="2:3">
      <c r="B338" s="28" t="s">
        <v>14</v>
      </c>
      <c r="C338" s="30">
        <v>4</v>
      </c>
    </row>
    <row r="339" spans="2:3">
      <c r="B339" s="31" t="s">
        <v>20</v>
      </c>
      <c r="C339" s="33">
        <v>7</v>
      </c>
    </row>
    <row r="340" spans="2:3">
      <c r="B340" s="28" t="s">
        <v>31</v>
      </c>
      <c r="C340" s="30">
        <v>1</v>
      </c>
    </row>
    <row r="341" spans="2:3">
      <c r="B341" s="31" t="s">
        <v>13</v>
      </c>
      <c r="C341" s="33">
        <v>4</v>
      </c>
    </row>
    <row r="342" spans="2:3">
      <c r="B342" s="28" t="s">
        <v>16</v>
      </c>
      <c r="C342" s="30">
        <v>13</v>
      </c>
    </row>
    <row r="343" spans="2:3">
      <c r="B343" s="31" t="s">
        <v>25</v>
      </c>
      <c r="C343" s="33">
        <v>1</v>
      </c>
    </row>
    <row r="344" spans="2:3">
      <c r="B344" s="28" t="s">
        <v>12</v>
      </c>
      <c r="C344" s="30">
        <v>3</v>
      </c>
    </row>
    <row r="345" spans="2:3">
      <c r="B345" s="31" t="s">
        <v>28</v>
      </c>
      <c r="C345" s="33">
        <v>18</v>
      </c>
    </row>
    <row r="346" spans="2:3">
      <c r="B346" s="28" t="s">
        <v>26</v>
      </c>
      <c r="C346" s="30">
        <v>13</v>
      </c>
    </row>
    <row r="347" spans="2:3">
      <c r="B347" s="31" t="s">
        <v>24</v>
      </c>
      <c r="C347" s="33">
        <v>15</v>
      </c>
    </row>
    <row r="348" spans="2:3">
      <c r="B348" s="28" t="s">
        <v>26</v>
      </c>
      <c r="C348" s="30">
        <v>14</v>
      </c>
    </row>
    <row r="349" spans="2:3">
      <c r="B349" s="31" t="s">
        <v>26</v>
      </c>
      <c r="C349" s="33">
        <v>20</v>
      </c>
    </row>
    <row r="350" spans="2:3">
      <c r="B350" s="28" t="s">
        <v>34</v>
      </c>
      <c r="C350" s="30">
        <v>5</v>
      </c>
    </row>
    <row r="351" spans="2:3">
      <c r="B351" s="31" t="s">
        <v>14</v>
      </c>
      <c r="C351" s="33">
        <v>3</v>
      </c>
    </row>
    <row r="352" spans="2:3">
      <c r="B352" s="28" t="s">
        <v>18</v>
      </c>
      <c r="C352" s="30">
        <v>20</v>
      </c>
    </row>
    <row r="353" spans="2:3">
      <c r="B353" s="31" t="s">
        <v>20</v>
      </c>
      <c r="C353" s="33">
        <v>9</v>
      </c>
    </row>
    <row r="354" spans="2:3">
      <c r="B354" s="28" t="s">
        <v>19</v>
      </c>
      <c r="C354" s="30">
        <v>5</v>
      </c>
    </row>
    <row r="355" spans="2:3">
      <c r="B355" s="31" t="s">
        <v>13</v>
      </c>
      <c r="C355" s="33">
        <v>15</v>
      </c>
    </row>
    <row r="356" spans="2:3">
      <c r="B356" s="28" t="s">
        <v>28</v>
      </c>
      <c r="C356" s="30">
        <v>20</v>
      </c>
    </row>
    <row r="357" spans="2:3">
      <c r="B357" s="31" t="s">
        <v>16</v>
      </c>
      <c r="C357" s="33">
        <v>19</v>
      </c>
    </row>
    <row r="358" spans="2:3">
      <c r="B358" s="28" t="s">
        <v>21</v>
      </c>
      <c r="C358" s="30">
        <v>11</v>
      </c>
    </row>
    <row r="359" spans="2:3">
      <c r="B359" s="31" t="s">
        <v>25</v>
      </c>
      <c r="C359" s="33">
        <v>4</v>
      </c>
    </row>
    <row r="360" spans="2:3">
      <c r="B360" s="28" t="s">
        <v>35</v>
      </c>
      <c r="C360" s="30">
        <v>14</v>
      </c>
    </row>
    <row r="361" spans="2:3">
      <c r="B361" s="31" t="s">
        <v>28</v>
      </c>
      <c r="C361" s="33">
        <v>16</v>
      </c>
    </row>
    <row r="362" spans="2:3">
      <c r="B362" s="28" t="s">
        <v>33</v>
      </c>
      <c r="C362" s="30">
        <v>12</v>
      </c>
    </row>
    <row r="363" spans="2:3">
      <c r="B363" s="31" t="s">
        <v>36</v>
      </c>
      <c r="C363" s="33">
        <v>9</v>
      </c>
    </row>
    <row r="364" spans="2:3">
      <c r="B364" s="28" t="s">
        <v>35</v>
      </c>
      <c r="C364" s="30">
        <v>1</v>
      </c>
    </row>
    <row r="365" spans="2:3">
      <c r="B365" s="31" t="s">
        <v>33</v>
      </c>
      <c r="C365" s="33">
        <v>14</v>
      </c>
    </row>
    <row r="366" spans="2:3">
      <c r="B366" s="28" t="s">
        <v>18</v>
      </c>
      <c r="C366" s="30">
        <v>11</v>
      </c>
    </row>
    <row r="367" spans="2:3">
      <c r="B367" s="31" t="s">
        <v>29</v>
      </c>
      <c r="C367" s="33">
        <v>7</v>
      </c>
    </row>
    <row r="368" spans="2:3">
      <c r="B368" s="28" t="s">
        <v>25</v>
      </c>
      <c r="C368" s="30">
        <v>16</v>
      </c>
    </row>
    <row r="369" spans="2:3">
      <c r="B369" s="31" t="s">
        <v>12</v>
      </c>
      <c r="C369" s="33">
        <v>1</v>
      </c>
    </row>
    <row r="370" spans="2:3">
      <c r="B370" s="28" t="s">
        <v>29</v>
      </c>
      <c r="C370" s="30">
        <v>10</v>
      </c>
    </row>
    <row r="371" spans="2:3">
      <c r="B371" s="31" t="s">
        <v>28</v>
      </c>
      <c r="C371" s="33">
        <v>7</v>
      </c>
    </row>
    <row r="372" spans="2:3">
      <c r="B372" s="28" t="s">
        <v>15</v>
      </c>
      <c r="C372" s="30">
        <v>14</v>
      </c>
    </row>
    <row r="373" spans="2:3">
      <c r="B373" s="31" t="s">
        <v>19</v>
      </c>
      <c r="C373" s="33">
        <v>3</v>
      </c>
    </row>
    <row r="374" spans="2:3">
      <c r="B374" s="28" t="s">
        <v>34</v>
      </c>
      <c r="C374" s="30">
        <v>20</v>
      </c>
    </row>
    <row r="375" spans="2:3">
      <c r="B375" s="31" t="s">
        <v>33</v>
      </c>
      <c r="C375" s="33">
        <v>10</v>
      </c>
    </row>
    <row r="376" spans="2:3">
      <c r="B376" s="28" t="s">
        <v>24</v>
      </c>
      <c r="C376" s="30">
        <v>11</v>
      </c>
    </row>
    <row r="377" spans="2:3">
      <c r="B377" s="31" t="s">
        <v>32</v>
      </c>
      <c r="C377" s="33">
        <v>15</v>
      </c>
    </row>
    <row r="378" spans="2:3">
      <c r="B378" s="28" t="s">
        <v>18</v>
      </c>
      <c r="C378" s="30">
        <v>13</v>
      </c>
    </row>
    <row r="379" spans="2:3">
      <c r="B379" s="31" t="s">
        <v>34</v>
      </c>
      <c r="C379" s="33">
        <v>9</v>
      </c>
    </row>
    <row r="380" spans="2:3">
      <c r="B380" s="28" t="s">
        <v>12</v>
      </c>
      <c r="C380" s="30">
        <v>11</v>
      </c>
    </row>
    <row r="381" spans="2:3">
      <c r="B381" s="31" t="s">
        <v>23</v>
      </c>
      <c r="C381" s="33">
        <v>6</v>
      </c>
    </row>
    <row r="382" spans="2:3">
      <c r="B382" s="28" t="s">
        <v>12</v>
      </c>
      <c r="C382" s="30">
        <v>3</v>
      </c>
    </row>
    <row r="383" spans="2:3">
      <c r="B383" s="31" t="s">
        <v>15</v>
      </c>
      <c r="C383" s="33">
        <v>4</v>
      </c>
    </row>
    <row r="384" spans="2:3">
      <c r="B384" s="28" t="s">
        <v>37</v>
      </c>
      <c r="C384" s="30">
        <v>9</v>
      </c>
    </row>
    <row r="385" spans="2:3">
      <c r="B385" s="31" t="s">
        <v>35</v>
      </c>
      <c r="C385" s="33">
        <v>13</v>
      </c>
    </row>
    <row r="386" spans="2:3">
      <c r="B386" s="28" t="s">
        <v>30</v>
      </c>
      <c r="C386" s="30">
        <v>15</v>
      </c>
    </row>
    <row r="387" spans="2:3">
      <c r="B387" s="31" t="s">
        <v>27</v>
      </c>
      <c r="C387" s="33">
        <v>13</v>
      </c>
    </row>
    <row r="388" spans="2:3">
      <c r="B388" s="28" t="s">
        <v>11</v>
      </c>
      <c r="C388" s="30">
        <v>4</v>
      </c>
    </row>
    <row r="389" spans="2:3">
      <c r="B389" s="31" t="s">
        <v>15</v>
      </c>
      <c r="C389" s="33">
        <v>6</v>
      </c>
    </row>
    <row r="390" spans="2:3">
      <c r="B390" s="28" t="s">
        <v>33</v>
      </c>
      <c r="C390" s="30">
        <v>18</v>
      </c>
    </row>
    <row r="391" spans="2:3">
      <c r="B391" s="31" t="s">
        <v>20</v>
      </c>
      <c r="C391" s="33">
        <v>15</v>
      </c>
    </row>
    <row r="392" spans="2:3">
      <c r="B392" s="28" t="s">
        <v>32</v>
      </c>
      <c r="C392" s="30">
        <v>14</v>
      </c>
    </row>
    <row r="393" spans="2:3">
      <c r="B393" s="31" t="s">
        <v>13</v>
      </c>
      <c r="C393" s="33">
        <v>10</v>
      </c>
    </row>
    <row r="394" spans="2:3">
      <c r="B394" s="28" t="s">
        <v>16</v>
      </c>
      <c r="C394" s="30">
        <v>19</v>
      </c>
    </row>
    <row r="395" spans="2:3">
      <c r="B395" s="31" t="s">
        <v>14</v>
      </c>
      <c r="C395" s="33">
        <v>6</v>
      </c>
    </row>
    <row r="396" spans="2:3">
      <c r="B396" s="28" t="s">
        <v>26</v>
      </c>
      <c r="C396" s="30">
        <v>2</v>
      </c>
    </row>
    <row r="397" spans="2:3">
      <c r="B397" s="31" t="s">
        <v>31</v>
      </c>
      <c r="C397" s="33">
        <v>7</v>
      </c>
    </row>
    <row r="398" spans="2:3">
      <c r="B398" s="28" t="s">
        <v>13</v>
      </c>
      <c r="C398" s="30">
        <v>6</v>
      </c>
    </row>
    <row r="399" spans="2:3">
      <c r="B399" s="31" t="s">
        <v>36</v>
      </c>
      <c r="C399" s="33">
        <v>6</v>
      </c>
    </row>
    <row r="400" spans="2:3">
      <c r="B400" s="28" t="s">
        <v>25</v>
      </c>
      <c r="C400" s="30">
        <v>15</v>
      </c>
    </row>
    <row r="401" spans="2:3">
      <c r="B401" s="31" t="s">
        <v>21</v>
      </c>
      <c r="C401" s="33">
        <v>16</v>
      </c>
    </row>
    <row r="402" spans="2:3">
      <c r="B402" s="28" t="s">
        <v>27</v>
      </c>
      <c r="C402" s="30">
        <v>20</v>
      </c>
    </row>
    <row r="403" spans="2:3">
      <c r="B403" s="31" t="s">
        <v>34</v>
      </c>
      <c r="C403" s="33">
        <v>14</v>
      </c>
    </row>
    <row r="404" spans="2:3">
      <c r="B404" s="28" t="s">
        <v>23</v>
      </c>
      <c r="C404" s="30">
        <v>19</v>
      </c>
    </row>
    <row r="405" spans="2:3">
      <c r="B405" s="31" t="s">
        <v>18</v>
      </c>
      <c r="C405" s="33">
        <v>8</v>
      </c>
    </row>
    <row r="406" spans="2:3">
      <c r="B406" s="28" t="s">
        <v>22</v>
      </c>
      <c r="C406" s="30">
        <v>19</v>
      </c>
    </row>
    <row r="407" spans="2:3">
      <c r="B407" s="31" t="s">
        <v>12</v>
      </c>
      <c r="C407" s="33">
        <v>20</v>
      </c>
    </row>
    <row r="408" spans="2:3">
      <c r="B408" s="28" t="s">
        <v>17</v>
      </c>
      <c r="C408" s="30">
        <v>6</v>
      </c>
    </row>
    <row r="409" spans="2:3">
      <c r="B409" s="31" t="s">
        <v>36</v>
      </c>
      <c r="C409" s="33">
        <v>17</v>
      </c>
    </row>
    <row r="410" spans="2:3">
      <c r="B410" s="28" t="s">
        <v>16</v>
      </c>
      <c r="C410" s="30">
        <v>5</v>
      </c>
    </row>
    <row r="411" spans="2:3">
      <c r="B411" s="31" t="s">
        <v>24</v>
      </c>
      <c r="C411" s="33">
        <v>4</v>
      </c>
    </row>
    <row r="412" spans="2:3">
      <c r="B412" s="28" t="s">
        <v>14</v>
      </c>
      <c r="C412" s="30">
        <v>17</v>
      </c>
    </row>
    <row r="413" spans="2:3">
      <c r="B413" s="31" t="s">
        <v>32</v>
      </c>
      <c r="C413" s="33">
        <v>3</v>
      </c>
    </row>
    <row r="414" spans="2:3">
      <c r="B414" s="28" t="s">
        <v>31</v>
      </c>
      <c r="C414" s="30">
        <v>20</v>
      </c>
    </row>
    <row r="415" spans="2:3">
      <c r="B415" s="31" t="s">
        <v>16</v>
      </c>
      <c r="C415" s="33">
        <v>13</v>
      </c>
    </row>
    <row r="416" spans="2:3">
      <c r="B416" s="28" t="s">
        <v>18</v>
      </c>
      <c r="C416" s="30">
        <v>4</v>
      </c>
    </row>
    <row r="417" spans="2:3">
      <c r="B417" s="31" t="s">
        <v>23</v>
      </c>
      <c r="C417" s="33">
        <v>5</v>
      </c>
    </row>
    <row r="418" spans="2:3">
      <c r="B418" s="28" t="s">
        <v>25</v>
      </c>
      <c r="C418" s="30">
        <v>4</v>
      </c>
    </row>
    <row r="419" spans="2:3">
      <c r="B419" s="31" t="s">
        <v>13</v>
      </c>
      <c r="C419" s="33">
        <v>3</v>
      </c>
    </row>
    <row r="420" spans="2:3">
      <c r="B420" s="28" t="s">
        <v>12</v>
      </c>
      <c r="C420" s="30">
        <v>9</v>
      </c>
    </row>
    <row r="421" spans="2:3">
      <c r="B421" s="31" t="s">
        <v>16</v>
      </c>
      <c r="C421" s="33">
        <v>18</v>
      </c>
    </row>
    <row r="422" spans="2:3">
      <c r="B422" s="28" t="s">
        <v>19</v>
      </c>
      <c r="C422" s="30">
        <v>14</v>
      </c>
    </row>
    <row r="423" spans="2:3">
      <c r="B423" s="31" t="s">
        <v>19</v>
      </c>
      <c r="C423" s="33">
        <v>9</v>
      </c>
    </row>
    <row r="424" spans="2:3">
      <c r="B424" s="28" t="s">
        <v>16</v>
      </c>
      <c r="C424" s="30">
        <v>4</v>
      </c>
    </row>
    <row r="425" spans="2:3">
      <c r="B425" s="31" t="s">
        <v>34</v>
      </c>
      <c r="C425" s="33">
        <v>12</v>
      </c>
    </row>
    <row r="426" spans="2:3">
      <c r="B426" s="28" t="s">
        <v>12</v>
      </c>
      <c r="C426" s="30">
        <v>7</v>
      </c>
    </row>
    <row r="427" spans="2:3">
      <c r="B427" s="31" t="s">
        <v>16</v>
      </c>
      <c r="C427" s="33">
        <v>2</v>
      </c>
    </row>
    <row r="428" spans="2:3">
      <c r="B428" s="28" t="s">
        <v>30</v>
      </c>
      <c r="C428" s="30">
        <v>11</v>
      </c>
    </row>
    <row r="429" spans="2:3">
      <c r="B429" s="31" t="s">
        <v>11</v>
      </c>
      <c r="C429" s="33">
        <v>5</v>
      </c>
    </row>
    <row r="430" spans="2:3">
      <c r="B430" s="28" t="s">
        <v>36</v>
      </c>
      <c r="C430" s="30">
        <v>14</v>
      </c>
    </row>
    <row r="431" spans="2:3">
      <c r="B431" s="31" t="s">
        <v>20</v>
      </c>
      <c r="C431" s="33">
        <v>13</v>
      </c>
    </row>
    <row r="432" spans="2:3">
      <c r="B432" s="28" t="s">
        <v>31</v>
      </c>
      <c r="C432" s="30">
        <v>11</v>
      </c>
    </row>
    <row r="433" spans="2:3">
      <c r="B433" s="31" t="s">
        <v>14</v>
      </c>
      <c r="C433" s="33">
        <v>5</v>
      </c>
    </row>
    <row r="434" spans="2:3">
      <c r="B434" s="28" t="s">
        <v>25</v>
      </c>
      <c r="C434" s="30">
        <v>17</v>
      </c>
    </row>
    <row r="435" spans="2:3">
      <c r="B435" s="31" t="s">
        <v>18</v>
      </c>
      <c r="C435" s="33">
        <v>14</v>
      </c>
    </row>
    <row r="436" spans="2:3">
      <c r="B436" s="28" t="s">
        <v>31</v>
      </c>
      <c r="C436" s="30">
        <v>13</v>
      </c>
    </row>
    <row r="437" spans="2:3">
      <c r="B437" s="31" t="s">
        <v>19</v>
      </c>
      <c r="C437" s="33">
        <v>14</v>
      </c>
    </row>
    <row r="438" spans="2:3">
      <c r="B438" s="28" t="s">
        <v>27</v>
      </c>
      <c r="C438" s="30">
        <v>8</v>
      </c>
    </row>
    <row r="439" spans="2:3">
      <c r="B439" s="31" t="s">
        <v>17</v>
      </c>
      <c r="C439" s="33">
        <v>15</v>
      </c>
    </row>
    <row r="440" spans="2:3">
      <c r="B440" s="28" t="s">
        <v>20</v>
      </c>
      <c r="C440" s="30">
        <v>3</v>
      </c>
    </row>
    <row r="441" spans="2:3">
      <c r="B441" s="31" t="s">
        <v>17</v>
      </c>
      <c r="C441" s="33">
        <v>12</v>
      </c>
    </row>
    <row r="442" spans="2:3">
      <c r="B442" s="28" t="s">
        <v>33</v>
      </c>
      <c r="C442" s="30">
        <v>1</v>
      </c>
    </row>
    <row r="443" spans="2:3">
      <c r="B443" s="31" t="s">
        <v>24</v>
      </c>
      <c r="C443" s="33">
        <v>16</v>
      </c>
    </row>
    <row r="444" spans="2:3">
      <c r="B444" s="28" t="s">
        <v>13</v>
      </c>
      <c r="C444" s="30">
        <v>18</v>
      </c>
    </row>
    <row r="445" spans="2:3">
      <c r="B445" s="31" t="s">
        <v>22</v>
      </c>
      <c r="C445" s="33">
        <v>3</v>
      </c>
    </row>
    <row r="446" spans="2:3">
      <c r="B446" s="28" t="s">
        <v>26</v>
      </c>
      <c r="C446" s="30">
        <v>11</v>
      </c>
    </row>
    <row r="447" spans="2:3">
      <c r="B447" s="31" t="s">
        <v>25</v>
      </c>
      <c r="C447" s="33">
        <v>7</v>
      </c>
    </row>
    <row r="448" spans="2:3">
      <c r="B448" s="28" t="s">
        <v>26</v>
      </c>
      <c r="C448" s="30">
        <v>15</v>
      </c>
    </row>
    <row r="449" spans="2:3">
      <c r="B449" s="31" t="s">
        <v>23</v>
      </c>
      <c r="C449" s="33">
        <v>13</v>
      </c>
    </row>
    <row r="450" spans="2:3">
      <c r="B450" s="28" t="s">
        <v>13</v>
      </c>
      <c r="C450" s="30">
        <v>1</v>
      </c>
    </row>
    <row r="451" spans="2:3">
      <c r="B451" s="31" t="s">
        <v>27</v>
      </c>
      <c r="C451" s="33">
        <v>11</v>
      </c>
    </row>
    <row r="452" spans="2:3">
      <c r="B452" s="28" t="s">
        <v>27</v>
      </c>
      <c r="C452" s="30">
        <v>11</v>
      </c>
    </row>
    <row r="453" spans="2:3">
      <c r="B453" s="31" t="s">
        <v>17</v>
      </c>
      <c r="C453" s="33">
        <v>15</v>
      </c>
    </row>
    <row r="454" spans="2:3">
      <c r="B454" s="28" t="s">
        <v>21</v>
      </c>
      <c r="C454" s="30">
        <v>9</v>
      </c>
    </row>
    <row r="455" spans="2:3">
      <c r="B455" s="31" t="s">
        <v>16</v>
      </c>
      <c r="C455" s="33">
        <v>1</v>
      </c>
    </row>
    <row r="456" spans="2:3">
      <c r="B456" s="28" t="s">
        <v>33</v>
      </c>
      <c r="C456" s="30">
        <v>1</v>
      </c>
    </row>
    <row r="457" spans="2:3">
      <c r="B457" s="31" t="s">
        <v>26</v>
      </c>
      <c r="C457" s="33">
        <v>9</v>
      </c>
    </row>
    <row r="458" spans="2:3">
      <c r="B458" s="28" t="s">
        <v>22</v>
      </c>
      <c r="C458" s="30">
        <v>15</v>
      </c>
    </row>
    <row r="459" spans="2:3">
      <c r="B459" s="31" t="s">
        <v>29</v>
      </c>
      <c r="C459" s="33">
        <v>8</v>
      </c>
    </row>
    <row r="460" spans="2:3">
      <c r="B460" s="28" t="s">
        <v>17</v>
      </c>
      <c r="C460" s="30">
        <v>14</v>
      </c>
    </row>
    <row r="461" spans="2:3">
      <c r="B461" s="31" t="s">
        <v>18</v>
      </c>
      <c r="C461" s="33">
        <v>17</v>
      </c>
    </row>
    <row r="462" spans="2:3">
      <c r="B462" s="28" t="s">
        <v>21</v>
      </c>
      <c r="C462" s="30">
        <v>14</v>
      </c>
    </row>
    <row r="463" spans="2:3">
      <c r="B463" s="31" t="s">
        <v>19</v>
      </c>
      <c r="C463" s="33">
        <v>5</v>
      </c>
    </row>
    <row r="464" spans="2:3">
      <c r="B464" s="28" t="s">
        <v>17</v>
      </c>
      <c r="C464" s="30">
        <v>10</v>
      </c>
    </row>
    <row r="465" spans="2:3">
      <c r="B465" s="31" t="s">
        <v>35</v>
      </c>
      <c r="C465" s="33">
        <v>6</v>
      </c>
    </row>
    <row r="466" spans="2:3">
      <c r="B466" s="28" t="s">
        <v>34</v>
      </c>
      <c r="C466" s="30">
        <v>3</v>
      </c>
    </row>
    <row r="467" spans="2:3">
      <c r="B467" s="31" t="s">
        <v>37</v>
      </c>
      <c r="C467" s="33">
        <v>8</v>
      </c>
    </row>
    <row r="468" spans="2:3">
      <c r="B468" s="28" t="s">
        <v>20</v>
      </c>
      <c r="C468" s="30">
        <v>16</v>
      </c>
    </row>
    <row r="469" spans="2:3">
      <c r="B469" s="31" t="s">
        <v>12</v>
      </c>
      <c r="C469" s="33">
        <v>18</v>
      </c>
    </row>
    <row r="470" spans="2:3">
      <c r="B470" s="28" t="s">
        <v>29</v>
      </c>
      <c r="C470" s="30">
        <v>20</v>
      </c>
    </row>
    <row r="471" spans="2:3">
      <c r="B471" s="31" t="s">
        <v>24</v>
      </c>
      <c r="C471" s="33">
        <v>19</v>
      </c>
    </row>
    <row r="472" spans="2:3">
      <c r="B472" s="28" t="s">
        <v>23</v>
      </c>
      <c r="C472" s="30">
        <v>5</v>
      </c>
    </row>
    <row r="473" spans="2:3">
      <c r="B473" s="31" t="s">
        <v>32</v>
      </c>
      <c r="C473" s="33">
        <v>16</v>
      </c>
    </row>
    <row r="474" spans="2:3">
      <c r="B474" s="28" t="s">
        <v>37</v>
      </c>
      <c r="C474" s="30">
        <v>16</v>
      </c>
    </row>
    <row r="475" spans="2:3">
      <c r="B475" s="31" t="s">
        <v>32</v>
      </c>
      <c r="C475" s="33">
        <v>5</v>
      </c>
    </row>
    <row r="476" spans="2:3">
      <c r="B476" s="28" t="s">
        <v>16</v>
      </c>
      <c r="C476" s="30">
        <v>16</v>
      </c>
    </row>
    <row r="477" spans="2:3">
      <c r="B477" s="31" t="s">
        <v>23</v>
      </c>
      <c r="C477" s="33">
        <v>12</v>
      </c>
    </row>
    <row r="478" spans="2:3">
      <c r="B478" s="28" t="s">
        <v>21</v>
      </c>
      <c r="C478" s="30">
        <v>9</v>
      </c>
    </row>
    <row r="479" spans="2:3">
      <c r="B479" s="31" t="s">
        <v>29</v>
      </c>
      <c r="C479" s="33">
        <v>3</v>
      </c>
    </row>
    <row r="480" spans="2:3">
      <c r="B480" s="28" t="s">
        <v>17</v>
      </c>
      <c r="C480" s="30">
        <v>14</v>
      </c>
    </row>
    <row r="481" spans="2:3">
      <c r="B481" s="31" t="s">
        <v>30</v>
      </c>
      <c r="C481" s="33">
        <v>16</v>
      </c>
    </row>
    <row r="482" spans="2:3">
      <c r="B482" s="28" t="s">
        <v>37</v>
      </c>
      <c r="C482" s="30">
        <v>19</v>
      </c>
    </row>
    <row r="483" spans="2:3">
      <c r="B483" s="31" t="s">
        <v>34</v>
      </c>
      <c r="C483" s="33">
        <v>12</v>
      </c>
    </row>
    <row r="484" spans="2:3">
      <c r="B484" s="28" t="s">
        <v>23</v>
      </c>
      <c r="C484" s="30">
        <v>4</v>
      </c>
    </row>
    <row r="485" spans="2:3">
      <c r="B485" s="31" t="s">
        <v>32</v>
      </c>
      <c r="C485" s="33">
        <v>6</v>
      </c>
    </row>
    <row r="486" spans="2:3">
      <c r="B486" s="28" t="s">
        <v>37</v>
      </c>
      <c r="C486" s="30">
        <v>15</v>
      </c>
    </row>
    <row r="487" spans="2:3">
      <c r="B487" s="31" t="s">
        <v>26</v>
      </c>
      <c r="C487" s="33">
        <v>16</v>
      </c>
    </row>
    <row r="488" spans="2:3">
      <c r="B488" s="28" t="s">
        <v>16</v>
      </c>
      <c r="C488" s="30">
        <v>5</v>
      </c>
    </row>
    <row r="489" spans="2:3">
      <c r="B489" s="31" t="s">
        <v>22</v>
      </c>
      <c r="C489" s="33">
        <v>11</v>
      </c>
    </row>
    <row r="490" spans="2:3">
      <c r="B490" s="28" t="s">
        <v>13</v>
      </c>
      <c r="C490" s="30">
        <v>9</v>
      </c>
    </row>
    <row r="491" spans="2:3">
      <c r="B491" s="31" t="s">
        <v>23</v>
      </c>
      <c r="C491" s="33">
        <v>2</v>
      </c>
    </row>
    <row r="492" spans="2:3">
      <c r="B492" s="28" t="s">
        <v>20</v>
      </c>
      <c r="C492" s="30">
        <v>5</v>
      </c>
    </row>
    <row r="493" spans="2:3">
      <c r="B493" s="31" t="s">
        <v>33</v>
      </c>
      <c r="C493" s="33">
        <v>15</v>
      </c>
    </row>
    <row r="494" spans="2:3">
      <c r="B494" s="28" t="s">
        <v>19</v>
      </c>
      <c r="C494" s="30">
        <v>19</v>
      </c>
    </row>
    <row r="495" spans="2:3">
      <c r="B495" s="31" t="s">
        <v>13</v>
      </c>
      <c r="C495" s="33">
        <v>14</v>
      </c>
    </row>
    <row r="496" spans="2:3">
      <c r="B496" s="28" t="s">
        <v>13</v>
      </c>
      <c r="C496" s="30">
        <v>3</v>
      </c>
    </row>
    <row r="497" spans="2:3">
      <c r="B497" s="31" t="s">
        <v>27</v>
      </c>
      <c r="C497" s="33">
        <v>7</v>
      </c>
    </row>
    <row r="498" spans="2:3">
      <c r="B498" s="28" t="s">
        <v>14</v>
      </c>
      <c r="C498" s="30">
        <v>4</v>
      </c>
    </row>
    <row r="499" spans="2:3">
      <c r="B499" s="31" t="s">
        <v>17</v>
      </c>
      <c r="C499" s="33">
        <v>8</v>
      </c>
    </row>
    <row r="500" spans="2:3">
      <c r="B500" s="28" t="s">
        <v>14</v>
      </c>
      <c r="C500" s="30">
        <v>4</v>
      </c>
    </row>
    <row r="501" spans="2:3">
      <c r="B501" s="31" t="s">
        <v>13</v>
      </c>
      <c r="C501" s="33">
        <v>18</v>
      </c>
    </row>
    <row r="502" spans="2:3">
      <c r="B502" s="28" t="s">
        <v>36</v>
      </c>
      <c r="C502" s="30">
        <v>6</v>
      </c>
    </row>
    <row r="503" spans="2:3">
      <c r="B503" s="31" t="s">
        <v>29</v>
      </c>
      <c r="C503" s="33">
        <v>5</v>
      </c>
    </row>
    <row r="504" spans="2:3">
      <c r="B504" s="28" t="s">
        <v>14</v>
      </c>
      <c r="C504" s="30">
        <v>19</v>
      </c>
    </row>
    <row r="505" spans="2:3">
      <c r="B505" s="31" t="s">
        <v>14</v>
      </c>
      <c r="C505" s="33">
        <v>10</v>
      </c>
    </row>
    <row r="506" spans="2:3">
      <c r="B506" s="28" t="s">
        <v>16</v>
      </c>
      <c r="C506" s="30">
        <v>15</v>
      </c>
    </row>
    <row r="507" spans="2:3">
      <c r="B507" s="31" t="s">
        <v>18</v>
      </c>
      <c r="C507" s="33">
        <v>7</v>
      </c>
    </row>
    <row r="508" spans="2:3">
      <c r="B508" s="28" t="s">
        <v>20</v>
      </c>
      <c r="C508" s="30">
        <v>2</v>
      </c>
    </row>
    <row r="509" spans="2:3">
      <c r="B509" s="31" t="s">
        <v>25</v>
      </c>
      <c r="C509" s="33">
        <v>15</v>
      </c>
    </row>
    <row r="510" spans="2:3">
      <c r="B510" s="28" t="s">
        <v>22</v>
      </c>
      <c r="C510" s="30">
        <v>1</v>
      </c>
    </row>
    <row r="511" spans="2:3">
      <c r="B511" s="31" t="s">
        <v>29</v>
      </c>
      <c r="C511" s="33">
        <v>7</v>
      </c>
    </row>
    <row r="512" spans="2:3">
      <c r="B512" s="28" t="s">
        <v>13</v>
      </c>
      <c r="C512" s="30">
        <v>11</v>
      </c>
    </row>
    <row r="513" spans="2:3">
      <c r="B513" s="31" t="s">
        <v>25</v>
      </c>
      <c r="C513" s="33">
        <v>7</v>
      </c>
    </row>
    <row r="514" spans="2:3">
      <c r="B514" s="28" t="s">
        <v>20</v>
      </c>
      <c r="C514" s="30">
        <v>14</v>
      </c>
    </row>
    <row r="515" spans="2:3">
      <c r="B515" s="31" t="s">
        <v>11</v>
      </c>
      <c r="C515" s="33">
        <v>3</v>
      </c>
    </row>
    <row r="516" spans="2:3">
      <c r="B516" s="28" t="s">
        <v>17</v>
      </c>
      <c r="C516" s="30">
        <v>17</v>
      </c>
    </row>
    <row r="517" spans="2:3">
      <c r="B517" s="31" t="s">
        <v>19</v>
      </c>
      <c r="C517" s="33">
        <v>10</v>
      </c>
    </row>
    <row r="518" spans="2:3">
      <c r="B518" s="28" t="s">
        <v>20</v>
      </c>
      <c r="C518" s="30">
        <v>3</v>
      </c>
    </row>
    <row r="519" spans="2:3">
      <c r="B519" s="31" t="s">
        <v>19</v>
      </c>
      <c r="C519" s="33">
        <v>3</v>
      </c>
    </row>
    <row r="520" spans="2:3">
      <c r="B520" s="28" t="s">
        <v>23</v>
      </c>
      <c r="C520" s="30">
        <v>14</v>
      </c>
    </row>
    <row r="521" spans="2:3">
      <c r="B521" s="31" t="s">
        <v>27</v>
      </c>
      <c r="C521" s="33">
        <v>15</v>
      </c>
    </row>
    <row r="522" spans="2:3">
      <c r="B522" s="28" t="s">
        <v>33</v>
      </c>
      <c r="C522" s="30">
        <v>19</v>
      </c>
    </row>
    <row r="523" spans="2:3">
      <c r="B523" s="31" t="s">
        <v>20</v>
      </c>
      <c r="C523" s="33">
        <v>2</v>
      </c>
    </row>
    <row r="524" spans="2:3">
      <c r="B524" s="28" t="s">
        <v>27</v>
      </c>
      <c r="C524" s="30">
        <v>1</v>
      </c>
    </row>
    <row r="525" spans="2:3">
      <c r="B525" s="31" t="s">
        <v>27</v>
      </c>
      <c r="C525" s="33">
        <v>8</v>
      </c>
    </row>
    <row r="526" spans="2:3">
      <c r="B526" s="28" t="s">
        <v>32</v>
      </c>
      <c r="C526" s="30">
        <v>20</v>
      </c>
    </row>
    <row r="527" spans="2:3">
      <c r="B527" s="31" t="s">
        <v>34</v>
      </c>
      <c r="C527" s="33">
        <v>18</v>
      </c>
    </row>
    <row r="528" spans="2:3">
      <c r="B528" s="28" t="s">
        <v>32</v>
      </c>
      <c r="C528" s="30">
        <v>15</v>
      </c>
    </row>
    <row r="529" spans="2:3">
      <c r="B529" s="31" t="s">
        <v>32</v>
      </c>
      <c r="C529" s="33">
        <v>8</v>
      </c>
    </row>
    <row r="530" spans="2:3">
      <c r="B530" s="28" t="s">
        <v>19</v>
      </c>
      <c r="C530" s="30">
        <v>1</v>
      </c>
    </row>
    <row r="531" spans="2:3">
      <c r="B531" s="31" t="s">
        <v>18</v>
      </c>
      <c r="C531" s="33">
        <v>18</v>
      </c>
    </row>
    <row r="532" spans="2:3">
      <c r="B532" s="28" t="s">
        <v>27</v>
      </c>
      <c r="C532" s="30">
        <v>19</v>
      </c>
    </row>
    <row r="533" spans="2:3">
      <c r="B533" s="31" t="s">
        <v>15</v>
      </c>
      <c r="C533" s="33">
        <v>5</v>
      </c>
    </row>
    <row r="534" spans="2:3">
      <c r="B534" s="28" t="s">
        <v>31</v>
      </c>
      <c r="C534" s="30">
        <v>17</v>
      </c>
    </row>
    <row r="535" spans="2:3">
      <c r="B535" s="31" t="s">
        <v>32</v>
      </c>
      <c r="C535" s="33">
        <v>3</v>
      </c>
    </row>
    <row r="536" spans="2:3">
      <c r="B536" s="28" t="s">
        <v>21</v>
      </c>
      <c r="C536" s="30">
        <v>2</v>
      </c>
    </row>
    <row r="537" spans="2:3">
      <c r="B537" s="31" t="s">
        <v>34</v>
      </c>
      <c r="C537" s="33">
        <v>14</v>
      </c>
    </row>
    <row r="538" spans="2:3">
      <c r="B538" s="28" t="s">
        <v>35</v>
      </c>
      <c r="C538" s="30">
        <v>10</v>
      </c>
    </row>
    <row r="539" spans="2:3">
      <c r="B539" s="31" t="s">
        <v>29</v>
      </c>
      <c r="C539" s="33">
        <v>20</v>
      </c>
    </row>
    <row r="540" spans="2:3">
      <c r="B540" s="28" t="s">
        <v>37</v>
      </c>
      <c r="C540" s="30">
        <v>20</v>
      </c>
    </row>
    <row r="541" spans="2:3">
      <c r="B541" s="31" t="s">
        <v>37</v>
      </c>
      <c r="C541" s="33">
        <v>7</v>
      </c>
    </row>
    <row r="542" spans="2:3">
      <c r="B542" s="28" t="s">
        <v>13</v>
      </c>
      <c r="C542" s="30">
        <v>7</v>
      </c>
    </row>
    <row r="543" spans="2:3">
      <c r="B543" s="31" t="s">
        <v>31</v>
      </c>
      <c r="C543" s="33">
        <v>11</v>
      </c>
    </row>
    <row r="544" spans="2:3">
      <c r="B544" s="28" t="s">
        <v>14</v>
      </c>
      <c r="C544" s="30">
        <v>6</v>
      </c>
    </row>
    <row r="545" spans="2:3">
      <c r="B545" s="31" t="s">
        <v>23</v>
      </c>
      <c r="C545" s="33">
        <v>17</v>
      </c>
    </row>
    <row r="546" spans="2:3">
      <c r="B546" s="28" t="s">
        <v>22</v>
      </c>
      <c r="C546" s="30">
        <v>19</v>
      </c>
    </row>
    <row r="547" spans="2:3">
      <c r="B547" s="31" t="s">
        <v>25</v>
      </c>
      <c r="C547" s="33">
        <v>19</v>
      </c>
    </row>
    <row r="548" spans="2:3">
      <c r="B548" s="28" t="s">
        <v>23</v>
      </c>
      <c r="C548" s="30">
        <v>1</v>
      </c>
    </row>
    <row r="549" spans="2:3">
      <c r="B549" s="31" t="s">
        <v>13</v>
      </c>
      <c r="C549" s="33">
        <v>5</v>
      </c>
    </row>
    <row r="550" spans="2:3">
      <c r="B550" s="28" t="s">
        <v>12</v>
      </c>
      <c r="C550" s="30">
        <v>4</v>
      </c>
    </row>
    <row r="551" spans="2:3">
      <c r="B551" s="31" t="s">
        <v>24</v>
      </c>
      <c r="C551" s="33">
        <v>16</v>
      </c>
    </row>
    <row r="552" spans="2:3">
      <c r="B552" s="28" t="s">
        <v>35</v>
      </c>
      <c r="C552" s="30">
        <v>10</v>
      </c>
    </row>
    <row r="553" spans="2:3">
      <c r="B553" s="31" t="s">
        <v>16</v>
      </c>
      <c r="C553" s="33">
        <v>7</v>
      </c>
    </row>
    <row r="554" spans="2:3">
      <c r="B554" s="28" t="s">
        <v>33</v>
      </c>
      <c r="C554" s="30">
        <v>16</v>
      </c>
    </row>
    <row r="555" spans="2:3">
      <c r="B555" s="31" t="s">
        <v>28</v>
      </c>
      <c r="C555" s="33">
        <v>13</v>
      </c>
    </row>
    <row r="556" spans="2:3">
      <c r="B556" s="28" t="s">
        <v>26</v>
      </c>
      <c r="C556" s="30">
        <v>17</v>
      </c>
    </row>
    <row r="557" spans="2:3">
      <c r="B557" s="31" t="s">
        <v>29</v>
      </c>
      <c r="C557" s="33">
        <v>16</v>
      </c>
    </row>
    <row r="558" spans="2:3">
      <c r="B558" s="28" t="s">
        <v>23</v>
      </c>
      <c r="C558" s="30">
        <v>14</v>
      </c>
    </row>
    <row r="559" spans="2:3">
      <c r="B559" s="31" t="s">
        <v>20</v>
      </c>
      <c r="C559" s="33">
        <v>1</v>
      </c>
    </row>
    <row r="560" spans="2:3">
      <c r="B560" s="28" t="s">
        <v>33</v>
      </c>
      <c r="C560" s="30">
        <v>8</v>
      </c>
    </row>
    <row r="561" spans="2:3">
      <c r="B561" s="31" t="s">
        <v>32</v>
      </c>
      <c r="C561" s="33">
        <v>14</v>
      </c>
    </row>
    <row r="562" spans="2:3">
      <c r="B562" s="28" t="s">
        <v>19</v>
      </c>
      <c r="C562" s="30">
        <v>5</v>
      </c>
    </row>
    <row r="563" spans="2:3">
      <c r="B563" s="40" t="s">
        <v>24</v>
      </c>
      <c r="C563" s="41">
        <v>9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04"/>
  <sheetViews>
    <sheetView tabSelected="1" workbookViewId="0">
      <selection activeCell="K6" sqref="K6:Q7"/>
    </sheetView>
  </sheetViews>
  <sheetFormatPr defaultRowHeight="15"/>
  <cols>
    <col min="3" max="3" width="10.42578125" bestFit="1" customWidth="1"/>
    <col min="4" max="4" width="12.7109375" customWidth="1"/>
    <col min="5" max="5" width="15.28515625" bestFit="1" customWidth="1"/>
    <col min="6" max="6" width="14.7109375" customWidth="1"/>
    <col min="7" max="7" width="23" customWidth="1"/>
    <col min="8" max="8" width="11.85546875" customWidth="1"/>
    <col min="11" max="11" width="11.5703125" customWidth="1"/>
    <col min="12" max="12" width="11.140625" bestFit="1" customWidth="1"/>
    <col min="13" max="13" width="13.42578125" customWidth="1"/>
  </cols>
  <sheetData>
    <row r="1" spans="2:17" s="1" customFormat="1" ht="59.25" customHeight="1">
      <c r="C1" s="15" t="s">
        <v>38</v>
      </c>
      <c r="D1" s="2"/>
    </row>
    <row r="2" spans="2:17" s="3" customFormat="1" ht="8.25" customHeight="1"/>
    <row r="4" spans="2:17" ht="18.75">
      <c r="B4" s="12" t="s">
        <v>39</v>
      </c>
      <c r="C4" s="13" t="s">
        <v>0</v>
      </c>
      <c r="D4" s="13" t="s">
        <v>1</v>
      </c>
      <c r="E4" s="13" t="s">
        <v>2</v>
      </c>
      <c r="F4" s="13" t="s">
        <v>3</v>
      </c>
      <c r="G4" s="13" t="s">
        <v>4</v>
      </c>
      <c r="H4" s="14" t="s">
        <v>5</v>
      </c>
      <c r="J4" s="25" t="s">
        <v>40</v>
      </c>
      <c r="K4" s="25"/>
      <c r="L4" s="25"/>
      <c r="M4" s="25"/>
      <c r="N4" s="25"/>
      <c r="O4" s="25"/>
      <c r="P4" s="25"/>
      <c r="Q4" s="25"/>
    </row>
    <row r="5" spans="2:17" ht="15.75">
      <c r="B5" s="4">
        <v>1</v>
      </c>
      <c r="C5" s="5">
        <v>45728</v>
      </c>
      <c r="D5" s="6" t="s">
        <v>6</v>
      </c>
      <c r="E5" s="6" t="s">
        <v>11</v>
      </c>
      <c r="F5" s="6">
        <v>6</v>
      </c>
      <c r="G5" s="16">
        <v>29689.61</v>
      </c>
      <c r="H5" s="7">
        <v>178137.66</v>
      </c>
      <c r="J5" s="22" t="s">
        <v>48</v>
      </c>
      <c r="K5" s="23"/>
      <c r="L5" s="23"/>
      <c r="M5" s="23"/>
      <c r="N5" s="23"/>
      <c r="O5" s="23"/>
      <c r="P5" s="23"/>
      <c r="Q5" s="24"/>
    </row>
    <row r="6" spans="2:17">
      <c r="B6" s="4">
        <f>B5+1</f>
        <v>2</v>
      </c>
      <c r="C6" s="5">
        <v>45763</v>
      </c>
      <c r="D6" s="6" t="s">
        <v>7</v>
      </c>
      <c r="E6" s="6" t="s">
        <v>12</v>
      </c>
      <c r="F6" s="6">
        <v>7</v>
      </c>
      <c r="G6" s="16">
        <v>35702.03</v>
      </c>
      <c r="H6" s="7">
        <v>249914.21</v>
      </c>
      <c r="J6" s="21" t="s">
        <v>41</v>
      </c>
      <c r="K6" s="18" t="s">
        <v>39</v>
      </c>
      <c r="L6" s="18" t="s">
        <v>46</v>
      </c>
      <c r="M6" s="18" t="s">
        <v>43</v>
      </c>
      <c r="N6" s="18" t="s">
        <v>42</v>
      </c>
      <c r="O6" s="18" t="s">
        <v>44</v>
      </c>
      <c r="P6" s="18" t="s">
        <v>45</v>
      </c>
      <c r="Q6" s="18" t="s">
        <v>41</v>
      </c>
    </row>
    <row r="7" spans="2:17">
      <c r="B7" s="4">
        <f t="shared" ref="B7:B70" si="0">B6+1</f>
        <v>3</v>
      </c>
      <c r="C7" s="5">
        <v>45797</v>
      </c>
      <c r="D7" s="6" t="s">
        <v>7</v>
      </c>
      <c r="E7" s="6" t="s">
        <v>13</v>
      </c>
      <c r="F7" s="6">
        <v>11</v>
      </c>
      <c r="G7" s="16">
        <v>85378.08</v>
      </c>
      <c r="H7" s="7">
        <v>939158.88</v>
      </c>
      <c r="J7" s="21"/>
      <c r="K7" s="6">
        <f>COUNT(Tabela1[Nº])</f>
        <v>500</v>
      </c>
      <c r="L7" s="6">
        <f>COUNTA(Tabela1[Data])</f>
        <v>500</v>
      </c>
      <c r="M7" s="6">
        <f>COUNTA(Tabela1[Categoria])</f>
        <v>500</v>
      </c>
      <c r="N7" s="6">
        <f>COUNTA(Tabela1[Produto])</f>
        <v>500</v>
      </c>
      <c r="O7" s="6">
        <f>COUNTA(Tabela1[Quantidade])</f>
        <v>500</v>
      </c>
      <c r="P7" s="6">
        <f>COUNTA(Tabela1[Preço Unitário (Kz)])</f>
        <v>500</v>
      </c>
      <c r="Q7" s="6">
        <f>COUNTA(Tabela1[Total (Kz)])</f>
        <v>500</v>
      </c>
    </row>
    <row r="8" spans="2:17" ht="15.75">
      <c r="B8" s="4">
        <f t="shared" si="0"/>
        <v>4</v>
      </c>
      <c r="C8" s="5">
        <v>45677</v>
      </c>
      <c r="D8" s="6" t="s">
        <v>7</v>
      </c>
      <c r="E8" s="6" t="s">
        <v>14</v>
      </c>
      <c r="F8" s="6">
        <v>7</v>
      </c>
      <c r="G8" s="16">
        <v>10038.19</v>
      </c>
      <c r="H8" s="7">
        <v>70267.33</v>
      </c>
      <c r="J8" s="22" t="s">
        <v>48</v>
      </c>
      <c r="K8" s="23"/>
      <c r="L8" s="23"/>
      <c r="M8" s="23"/>
      <c r="N8" s="23"/>
      <c r="O8" s="23"/>
      <c r="P8" s="23"/>
      <c r="Q8" s="24"/>
    </row>
    <row r="9" spans="2:17">
      <c r="B9" s="4">
        <f t="shared" si="0"/>
        <v>5</v>
      </c>
      <c r="C9" s="5">
        <v>45757</v>
      </c>
      <c r="D9" s="6" t="s">
        <v>7</v>
      </c>
      <c r="E9" s="6" t="s">
        <v>15</v>
      </c>
      <c r="F9" s="6">
        <v>3</v>
      </c>
      <c r="G9" s="16">
        <v>26277.17</v>
      </c>
      <c r="H9" s="7">
        <v>78831.509999999995</v>
      </c>
      <c r="J9" s="21" t="s">
        <v>42</v>
      </c>
      <c r="K9" s="26" t="s">
        <v>43</v>
      </c>
      <c r="L9" s="27"/>
      <c r="M9" s="26" t="s">
        <v>54</v>
      </c>
      <c r="N9" s="27"/>
      <c r="O9" s="18">
        <v>1</v>
      </c>
      <c r="P9" s="18" t="s">
        <v>45</v>
      </c>
      <c r="Q9" s="18" t="s">
        <v>41</v>
      </c>
    </row>
    <row r="10" spans="2:17">
      <c r="B10" s="4">
        <f t="shared" si="0"/>
        <v>6</v>
      </c>
      <c r="C10" s="5">
        <v>45813</v>
      </c>
      <c r="D10" s="6" t="s">
        <v>8</v>
      </c>
      <c r="E10" s="6" t="s">
        <v>16</v>
      </c>
      <c r="F10" s="6">
        <v>15</v>
      </c>
      <c r="G10" s="16">
        <v>61383.27</v>
      </c>
      <c r="H10" s="7">
        <v>920749.05</v>
      </c>
      <c r="J10" s="21"/>
      <c r="K10" s="6" t="s">
        <v>10</v>
      </c>
      <c r="L10" s="6">
        <f>COUNTIF(Tabela1[[Categoria]:[Produto]],K10)</f>
        <v>88</v>
      </c>
      <c r="M10" s="6" t="s">
        <v>14</v>
      </c>
      <c r="N10" s="6">
        <f>COUNTIF(Tabela1[[Produto]:[Quantidade]],M10)</f>
        <v>28</v>
      </c>
      <c r="O10" s="6">
        <f>LARGE(Planilha2!F65:F92,Candando!O9)</f>
        <v>28</v>
      </c>
      <c r="P10" s="6">
        <f>COUNTA(Tabela1[Preço Unitário (Kz)])</f>
        <v>500</v>
      </c>
      <c r="Q10" s="6">
        <f>COUNTA(Tabela1[Total (Kz)])</f>
        <v>500</v>
      </c>
    </row>
    <row r="11" spans="2:17" ht="15.75">
      <c r="B11" s="4">
        <f t="shared" si="0"/>
        <v>7</v>
      </c>
      <c r="C11" s="5">
        <v>45875</v>
      </c>
      <c r="D11" s="6" t="s">
        <v>9</v>
      </c>
      <c r="E11" s="6" t="s">
        <v>17</v>
      </c>
      <c r="F11" s="6">
        <v>6</v>
      </c>
      <c r="G11" s="16">
        <v>44794.48</v>
      </c>
      <c r="H11" s="7">
        <v>268766.88</v>
      </c>
      <c r="J11" s="22" t="s">
        <v>47</v>
      </c>
      <c r="K11" s="23"/>
      <c r="L11" s="23"/>
      <c r="M11" s="23"/>
      <c r="N11" s="23"/>
      <c r="O11" s="23"/>
      <c r="P11" s="23"/>
      <c r="Q11" s="24"/>
    </row>
    <row r="12" spans="2:17">
      <c r="B12" s="4">
        <f t="shared" si="0"/>
        <v>8</v>
      </c>
      <c r="C12" s="5">
        <v>45902</v>
      </c>
      <c r="D12" s="6" t="s">
        <v>7</v>
      </c>
      <c r="E12" s="6" t="s">
        <v>14</v>
      </c>
      <c r="F12" s="6">
        <v>3</v>
      </c>
      <c r="G12" s="16">
        <v>53933.99</v>
      </c>
      <c r="H12" s="7">
        <v>161801.97</v>
      </c>
      <c r="J12" s="21" t="s">
        <v>41</v>
      </c>
      <c r="K12" s="19" t="s">
        <v>49</v>
      </c>
      <c r="L12" s="20"/>
      <c r="M12" s="18"/>
      <c r="N12" s="18"/>
      <c r="O12" s="18"/>
      <c r="P12" s="18"/>
      <c r="Q12" s="18"/>
    </row>
    <row r="13" spans="2:17">
      <c r="B13" s="4">
        <f t="shared" si="0"/>
        <v>9</v>
      </c>
      <c r="C13" s="5">
        <v>45796</v>
      </c>
      <c r="D13" s="6" t="s">
        <v>9</v>
      </c>
      <c r="E13" s="6" t="s">
        <v>17</v>
      </c>
      <c r="F13" s="6">
        <v>14</v>
      </c>
      <c r="G13" s="16">
        <v>82261.83</v>
      </c>
      <c r="H13" s="7">
        <v>1151665.6200000001</v>
      </c>
      <c r="J13" s="21"/>
      <c r="K13" s="6" t="s">
        <v>7</v>
      </c>
      <c r="L13" s="6"/>
      <c r="M13" s="6" t="e">
        <f>AVERAGEIF(Tabela1[Preço Unitário (Kz)],K13,Tabela1[Categoria])</f>
        <v>#DIV/0!</v>
      </c>
      <c r="N13" s="6"/>
      <c r="O13" s="6"/>
      <c r="P13" s="6"/>
      <c r="Q13" s="6"/>
    </row>
    <row r="14" spans="2:17">
      <c r="B14" s="4">
        <f t="shared" si="0"/>
        <v>10</v>
      </c>
      <c r="C14" s="5">
        <v>45883</v>
      </c>
      <c r="D14" s="6" t="s">
        <v>9</v>
      </c>
      <c r="E14" s="6" t="s">
        <v>17</v>
      </c>
      <c r="F14" s="6">
        <v>4</v>
      </c>
      <c r="G14" s="16">
        <v>17881.580000000002</v>
      </c>
      <c r="H14" s="7">
        <v>71526.320000000007</v>
      </c>
    </row>
    <row r="15" spans="2:17">
      <c r="B15" s="4">
        <f t="shared" si="0"/>
        <v>11</v>
      </c>
      <c r="C15" s="5">
        <v>45926</v>
      </c>
      <c r="D15" s="6" t="s">
        <v>8</v>
      </c>
      <c r="E15" s="6" t="s">
        <v>18</v>
      </c>
      <c r="F15" s="6">
        <v>1</v>
      </c>
      <c r="G15" s="16">
        <v>50501.21</v>
      </c>
      <c r="H15" s="7">
        <v>50501.21</v>
      </c>
    </row>
    <row r="16" spans="2:17">
      <c r="B16" s="4">
        <f t="shared" si="0"/>
        <v>12</v>
      </c>
      <c r="C16" s="5">
        <v>45715</v>
      </c>
      <c r="D16" s="6" t="s">
        <v>7</v>
      </c>
      <c r="E16" s="6" t="s">
        <v>19</v>
      </c>
      <c r="F16" s="6">
        <v>13</v>
      </c>
      <c r="G16" s="16">
        <v>44230.48</v>
      </c>
      <c r="H16" s="7">
        <v>574996.24</v>
      </c>
    </row>
    <row r="17" spans="2:8">
      <c r="B17" s="4">
        <f t="shared" si="0"/>
        <v>13</v>
      </c>
      <c r="C17" s="5">
        <v>45862</v>
      </c>
      <c r="D17" s="6" t="s">
        <v>8</v>
      </c>
      <c r="E17" s="6" t="s">
        <v>20</v>
      </c>
      <c r="F17" s="6">
        <v>8</v>
      </c>
      <c r="G17" s="16">
        <v>40719.01</v>
      </c>
      <c r="H17" s="7">
        <v>325752.08</v>
      </c>
    </row>
    <row r="18" spans="2:8">
      <c r="B18" s="4">
        <f t="shared" si="0"/>
        <v>14</v>
      </c>
      <c r="C18" s="5">
        <v>45918</v>
      </c>
      <c r="D18" s="6" t="s">
        <v>6</v>
      </c>
      <c r="E18" s="6" t="s">
        <v>21</v>
      </c>
      <c r="F18" s="6">
        <v>2</v>
      </c>
      <c r="G18" s="16">
        <v>29699.46</v>
      </c>
      <c r="H18" s="7">
        <v>59398.92</v>
      </c>
    </row>
    <row r="19" spans="2:8">
      <c r="B19" s="4">
        <f t="shared" si="0"/>
        <v>15</v>
      </c>
      <c r="C19" s="5">
        <v>45852</v>
      </c>
      <c r="D19" s="6" t="s">
        <v>6</v>
      </c>
      <c r="E19" s="6" t="s">
        <v>22</v>
      </c>
      <c r="F19" s="6">
        <v>9</v>
      </c>
      <c r="G19" s="16">
        <v>60042.11</v>
      </c>
      <c r="H19" s="7">
        <v>540378.99</v>
      </c>
    </row>
    <row r="20" spans="2:8">
      <c r="B20" s="4">
        <f t="shared" si="0"/>
        <v>16</v>
      </c>
      <c r="C20" s="5">
        <v>45884</v>
      </c>
      <c r="D20" s="6" t="s">
        <v>8</v>
      </c>
      <c r="E20" s="6" t="s">
        <v>16</v>
      </c>
      <c r="F20" s="6">
        <v>19</v>
      </c>
      <c r="G20" s="16">
        <v>4526.41</v>
      </c>
      <c r="H20" s="7">
        <v>86001.79</v>
      </c>
    </row>
    <row r="21" spans="2:8">
      <c r="B21" s="4">
        <f t="shared" si="0"/>
        <v>17</v>
      </c>
      <c r="C21" s="5">
        <v>45905</v>
      </c>
      <c r="D21" s="6" t="s">
        <v>9</v>
      </c>
      <c r="E21" s="6" t="s">
        <v>23</v>
      </c>
      <c r="F21" s="6">
        <v>6</v>
      </c>
      <c r="G21" s="16">
        <v>6573.74</v>
      </c>
      <c r="H21" s="7">
        <v>39442.44</v>
      </c>
    </row>
    <row r="22" spans="2:8">
      <c r="B22" s="4">
        <f t="shared" si="0"/>
        <v>18</v>
      </c>
      <c r="C22" s="5">
        <v>45895</v>
      </c>
      <c r="D22" s="6" t="s">
        <v>7</v>
      </c>
      <c r="E22" s="6" t="s">
        <v>15</v>
      </c>
      <c r="F22" s="6">
        <v>12</v>
      </c>
      <c r="G22" s="16">
        <v>35713.1</v>
      </c>
      <c r="H22" s="7">
        <v>428557.2</v>
      </c>
    </row>
    <row r="23" spans="2:8">
      <c r="B23" s="4">
        <f t="shared" si="0"/>
        <v>19</v>
      </c>
      <c r="C23" s="5">
        <v>45846</v>
      </c>
      <c r="D23" s="6" t="s">
        <v>10</v>
      </c>
      <c r="E23" s="6" t="s">
        <v>24</v>
      </c>
      <c r="F23" s="6">
        <v>16</v>
      </c>
      <c r="G23" s="16">
        <v>3864.85</v>
      </c>
      <c r="H23" s="7">
        <v>61837.599999999999</v>
      </c>
    </row>
    <row r="24" spans="2:8">
      <c r="B24" s="4">
        <f t="shared" si="0"/>
        <v>20</v>
      </c>
      <c r="C24" s="5">
        <v>45781</v>
      </c>
      <c r="D24" s="6" t="s">
        <v>9</v>
      </c>
      <c r="E24" s="6" t="s">
        <v>25</v>
      </c>
      <c r="F24" s="6">
        <v>7</v>
      </c>
      <c r="G24" s="16">
        <v>58810.42</v>
      </c>
      <c r="H24" s="7">
        <v>411672.94</v>
      </c>
    </row>
    <row r="25" spans="2:8">
      <c r="B25" s="4">
        <f t="shared" si="0"/>
        <v>21</v>
      </c>
      <c r="C25" s="5">
        <v>45834</v>
      </c>
      <c r="D25" s="6" t="s">
        <v>10</v>
      </c>
      <c r="E25" s="6" t="s">
        <v>26</v>
      </c>
      <c r="F25" s="6">
        <v>8</v>
      </c>
      <c r="G25" s="16">
        <v>41766.120000000003</v>
      </c>
      <c r="H25" s="7">
        <v>334128.96000000002</v>
      </c>
    </row>
    <row r="26" spans="2:8">
      <c r="B26" s="4">
        <f t="shared" si="0"/>
        <v>22</v>
      </c>
      <c r="C26" s="5">
        <v>45710</v>
      </c>
      <c r="D26" s="6" t="s">
        <v>8</v>
      </c>
      <c r="E26" s="6" t="s">
        <v>18</v>
      </c>
      <c r="F26" s="6">
        <v>8</v>
      </c>
      <c r="G26" s="16">
        <v>76804.039999999994</v>
      </c>
      <c r="H26" s="7">
        <v>614432.31999999995</v>
      </c>
    </row>
    <row r="27" spans="2:8">
      <c r="B27" s="4">
        <f t="shared" si="0"/>
        <v>23</v>
      </c>
      <c r="C27" s="5">
        <v>45736</v>
      </c>
      <c r="D27" s="6" t="s">
        <v>8</v>
      </c>
      <c r="E27" s="6" t="s">
        <v>20</v>
      </c>
      <c r="F27" s="6">
        <v>20</v>
      </c>
      <c r="G27" s="16">
        <v>5201.99</v>
      </c>
      <c r="H27" s="7">
        <v>104039.8</v>
      </c>
    </row>
    <row r="28" spans="2:8">
      <c r="B28" s="4">
        <f t="shared" si="0"/>
        <v>24</v>
      </c>
      <c r="C28" s="5">
        <v>45888</v>
      </c>
      <c r="D28" s="6" t="s">
        <v>10</v>
      </c>
      <c r="E28" s="6" t="s">
        <v>27</v>
      </c>
      <c r="F28" s="6">
        <v>4</v>
      </c>
      <c r="G28" s="16">
        <v>86681.03</v>
      </c>
      <c r="H28" s="7">
        <v>346724.12</v>
      </c>
    </row>
    <row r="29" spans="2:8">
      <c r="B29" s="4">
        <f t="shared" si="0"/>
        <v>25</v>
      </c>
      <c r="C29" s="5">
        <v>45768</v>
      </c>
      <c r="D29" s="6" t="s">
        <v>9</v>
      </c>
      <c r="E29" s="6" t="s">
        <v>17</v>
      </c>
      <c r="F29" s="6">
        <v>17</v>
      </c>
      <c r="G29" s="16">
        <v>25605.9</v>
      </c>
      <c r="H29" s="7">
        <v>435300.3</v>
      </c>
    </row>
    <row r="30" spans="2:8">
      <c r="B30" s="4">
        <f t="shared" si="0"/>
        <v>26</v>
      </c>
      <c r="C30" s="5">
        <v>45823</v>
      </c>
      <c r="D30" s="6" t="s">
        <v>8</v>
      </c>
      <c r="E30" s="6" t="s">
        <v>28</v>
      </c>
      <c r="F30" s="6">
        <v>1</v>
      </c>
      <c r="G30" s="16">
        <v>48783.45</v>
      </c>
      <c r="H30" s="7">
        <v>48783.45</v>
      </c>
    </row>
    <row r="31" spans="2:8">
      <c r="B31" s="4">
        <f t="shared" si="0"/>
        <v>27</v>
      </c>
      <c r="C31" s="5">
        <v>45658</v>
      </c>
      <c r="D31" s="6" t="s">
        <v>9</v>
      </c>
      <c r="E31" s="6" t="s">
        <v>25</v>
      </c>
      <c r="F31" s="6">
        <v>11</v>
      </c>
      <c r="G31" s="16">
        <v>64956.17</v>
      </c>
      <c r="H31" s="7">
        <v>714517.87</v>
      </c>
    </row>
    <row r="32" spans="2:8">
      <c r="B32" s="4">
        <f t="shared" si="0"/>
        <v>28</v>
      </c>
      <c r="C32" s="5">
        <v>45880</v>
      </c>
      <c r="D32" s="6" t="s">
        <v>6</v>
      </c>
      <c r="E32" s="6" t="s">
        <v>21</v>
      </c>
      <c r="F32" s="6">
        <v>9</v>
      </c>
      <c r="G32" s="16">
        <v>35636.18</v>
      </c>
      <c r="H32" s="7">
        <v>320725.62</v>
      </c>
    </row>
    <row r="33" spans="2:8">
      <c r="B33" s="4">
        <f t="shared" si="0"/>
        <v>29</v>
      </c>
      <c r="C33" s="5">
        <v>45786</v>
      </c>
      <c r="D33" s="6" t="s">
        <v>10</v>
      </c>
      <c r="E33" s="6" t="s">
        <v>26</v>
      </c>
      <c r="F33" s="6">
        <v>11</v>
      </c>
      <c r="G33" s="16">
        <v>27121.66</v>
      </c>
      <c r="H33" s="7">
        <v>298338.26</v>
      </c>
    </row>
    <row r="34" spans="2:8">
      <c r="B34" s="4">
        <f t="shared" si="0"/>
        <v>30</v>
      </c>
      <c r="C34" s="5">
        <v>45877</v>
      </c>
      <c r="D34" s="6" t="s">
        <v>8</v>
      </c>
      <c r="E34" s="6" t="s">
        <v>29</v>
      </c>
      <c r="F34" s="6">
        <v>14</v>
      </c>
      <c r="G34" s="16">
        <v>10476.33</v>
      </c>
      <c r="H34" s="7">
        <v>146668.62</v>
      </c>
    </row>
    <row r="35" spans="2:8">
      <c r="B35" s="4">
        <f t="shared" si="0"/>
        <v>31</v>
      </c>
      <c r="C35" s="5">
        <v>45901</v>
      </c>
      <c r="D35" s="6" t="s">
        <v>8</v>
      </c>
      <c r="E35" s="6" t="s">
        <v>20</v>
      </c>
      <c r="F35" s="6">
        <v>4</v>
      </c>
      <c r="G35" s="16">
        <v>94766.36</v>
      </c>
      <c r="H35" s="7">
        <v>379065.44</v>
      </c>
    </row>
    <row r="36" spans="2:8">
      <c r="B36" s="4">
        <f t="shared" si="0"/>
        <v>32</v>
      </c>
      <c r="C36" s="5">
        <v>45880</v>
      </c>
      <c r="D36" s="6" t="s">
        <v>6</v>
      </c>
      <c r="E36" s="6" t="s">
        <v>30</v>
      </c>
      <c r="F36" s="6">
        <v>8</v>
      </c>
      <c r="G36" s="16">
        <v>27085.58</v>
      </c>
      <c r="H36" s="7">
        <v>216684.64</v>
      </c>
    </row>
    <row r="37" spans="2:8">
      <c r="B37" s="4">
        <f t="shared" si="0"/>
        <v>33</v>
      </c>
      <c r="C37" s="5">
        <v>45926</v>
      </c>
      <c r="D37" s="6" t="s">
        <v>7</v>
      </c>
      <c r="E37" s="6" t="s">
        <v>13</v>
      </c>
      <c r="F37" s="6">
        <v>2</v>
      </c>
      <c r="G37" s="16">
        <v>6433.34</v>
      </c>
      <c r="H37" s="7">
        <v>12866.68</v>
      </c>
    </row>
    <row r="38" spans="2:8">
      <c r="B38" s="4">
        <f t="shared" si="0"/>
        <v>34</v>
      </c>
      <c r="C38" s="5">
        <v>45909</v>
      </c>
      <c r="D38" s="6" t="s">
        <v>8</v>
      </c>
      <c r="E38" s="6" t="s">
        <v>20</v>
      </c>
      <c r="F38" s="6">
        <v>4</v>
      </c>
      <c r="G38" s="16">
        <v>76311.67</v>
      </c>
      <c r="H38" s="7">
        <v>305246.68</v>
      </c>
    </row>
    <row r="39" spans="2:8">
      <c r="B39" s="4">
        <f t="shared" si="0"/>
        <v>35</v>
      </c>
      <c r="C39" s="5">
        <v>45734</v>
      </c>
      <c r="D39" s="6" t="s">
        <v>8</v>
      </c>
      <c r="E39" s="6" t="s">
        <v>28</v>
      </c>
      <c r="F39" s="6">
        <v>8</v>
      </c>
      <c r="G39" s="16">
        <v>17245.72</v>
      </c>
      <c r="H39" s="7">
        <v>137965.76000000001</v>
      </c>
    </row>
    <row r="40" spans="2:8">
      <c r="B40" s="4">
        <f t="shared" si="0"/>
        <v>36</v>
      </c>
      <c r="C40" s="5">
        <v>45755</v>
      </c>
      <c r="D40" s="6" t="s">
        <v>7</v>
      </c>
      <c r="E40" s="6" t="s">
        <v>12</v>
      </c>
      <c r="F40" s="6">
        <v>5</v>
      </c>
      <c r="G40" s="16">
        <v>51295.79</v>
      </c>
      <c r="H40" s="7">
        <v>256478.95</v>
      </c>
    </row>
    <row r="41" spans="2:8">
      <c r="B41" s="4">
        <f t="shared" si="0"/>
        <v>37</v>
      </c>
      <c r="C41" s="5">
        <v>45905</v>
      </c>
      <c r="D41" s="6" t="s">
        <v>9</v>
      </c>
      <c r="E41" s="6" t="s">
        <v>17</v>
      </c>
      <c r="F41" s="6">
        <v>14</v>
      </c>
      <c r="G41" s="16">
        <v>68896.39</v>
      </c>
      <c r="H41" s="7">
        <v>964549.46</v>
      </c>
    </row>
    <row r="42" spans="2:8">
      <c r="B42" s="4">
        <f t="shared" si="0"/>
        <v>38</v>
      </c>
      <c r="C42" s="5">
        <v>45693</v>
      </c>
      <c r="D42" s="6" t="s">
        <v>7</v>
      </c>
      <c r="E42" s="6" t="s">
        <v>14</v>
      </c>
      <c r="F42" s="6">
        <v>20</v>
      </c>
      <c r="G42" s="16">
        <v>5817.14</v>
      </c>
      <c r="H42" s="7">
        <v>116342.8</v>
      </c>
    </row>
    <row r="43" spans="2:8">
      <c r="B43" s="4">
        <f t="shared" si="0"/>
        <v>39</v>
      </c>
      <c r="C43" s="5">
        <v>45684</v>
      </c>
      <c r="D43" s="6" t="s">
        <v>10</v>
      </c>
      <c r="E43" s="6" t="s">
        <v>31</v>
      </c>
      <c r="F43" s="6">
        <v>13</v>
      </c>
      <c r="G43" s="16">
        <v>75139.72</v>
      </c>
      <c r="H43" s="7">
        <v>976816.36</v>
      </c>
    </row>
    <row r="44" spans="2:8">
      <c r="B44" s="4">
        <f t="shared" si="0"/>
        <v>40</v>
      </c>
      <c r="C44" s="5">
        <v>45911</v>
      </c>
      <c r="D44" s="6" t="s">
        <v>7</v>
      </c>
      <c r="E44" s="6" t="s">
        <v>12</v>
      </c>
      <c r="F44" s="6">
        <v>1</v>
      </c>
      <c r="G44" s="16">
        <v>23603.74</v>
      </c>
      <c r="H44" s="7">
        <v>23603.74</v>
      </c>
    </row>
    <row r="45" spans="2:8">
      <c r="B45" s="4">
        <f t="shared" si="0"/>
        <v>41</v>
      </c>
      <c r="C45" s="5">
        <v>45905</v>
      </c>
      <c r="D45" s="6" t="s">
        <v>8</v>
      </c>
      <c r="E45" s="6" t="s">
        <v>16</v>
      </c>
      <c r="F45" s="6">
        <v>12</v>
      </c>
      <c r="G45" s="16">
        <v>18793.52</v>
      </c>
      <c r="H45" s="7">
        <v>225522.24</v>
      </c>
    </row>
    <row r="46" spans="2:8">
      <c r="B46" s="4">
        <f t="shared" si="0"/>
        <v>42</v>
      </c>
      <c r="C46" s="5">
        <v>45870</v>
      </c>
      <c r="D46" s="6" t="s">
        <v>7</v>
      </c>
      <c r="E46" s="6" t="s">
        <v>12</v>
      </c>
      <c r="F46" s="6">
        <v>14</v>
      </c>
      <c r="G46" s="16">
        <v>75278.39</v>
      </c>
      <c r="H46" s="7">
        <v>1053897.46</v>
      </c>
    </row>
    <row r="47" spans="2:8">
      <c r="B47" s="4">
        <f t="shared" si="0"/>
        <v>43</v>
      </c>
      <c r="C47" s="5">
        <v>45763</v>
      </c>
      <c r="D47" s="6" t="s">
        <v>9</v>
      </c>
      <c r="E47" s="6" t="s">
        <v>25</v>
      </c>
      <c r="F47" s="6">
        <v>1</v>
      </c>
      <c r="G47" s="16">
        <v>29179.73</v>
      </c>
      <c r="H47" s="7">
        <v>29179.73</v>
      </c>
    </row>
    <row r="48" spans="2:8">
      <c r="B48" s="4">
        <f t="shared" si="0"/>
        <v>44</v>
      </c>
      <c r="C48" s="5">
        <v>45782</v>
      </c>
      <c r="D48" s="6" t="s">
        <v>10</v>
      </c>
      <c r="E48" s="6" t="s">
        <v>26</v>
      </c>
      <c r="F48" s="6">
        <v>17</v>
      </c>
      <c r="G48" s="16">
        <v>71538.47</v>
      </c>
      <c r="H48" s="7">
        <v>1216153.99</v>
      </c>
    </row>
    <row r="49" spans="2:8">
      <c r="B49" s="4">
        <f t="shared" si="0"/>
        <v>45</v>
      </c>
      <c r="C49" s="5">
        <v>45734</v>
      </c>
      <c r="D49" s="6" t="s">
        <v>9</v>
      </c>
      <c r="E49" s="6" t="s">
        <v>32</v>
      </c>
      <c r="F49" s="6">
        <v>15</v>
      </c>
      <c r="G49" s="16">
        <v>78654.009999999995</v>
      </c>
      <c r="H49" s="7">
        <v>1179810.1499999999</v>
      </c>
    </row>
    <row r="50" spans="2:8">
      <c r="B50" s="4">
        <f t="shared" si="0"/>
        <v>46</v>
      </c>
      <c r="C50" s="5">
        <v>45880</v>
      </c>
      <c r="D50" s="6" t="s">
        <v>6</v>
      </c>
      <c r="E50" s="6" t="s">
        <v>21</v>
      </c>
      <c r="F50" s="6">
        <v>10</v>
      </c>
      <c r="G50" s="16">
        <v>49866.239999999998</v>
      </c>
      <c r="H50" s="7">
        <v>498662.40000000002</v>
      </c>
    </row>
    <row r="51" spans="2:8">
      <c r="B51" s="4">
        <f t="shared" si="0"/>
        <v>47</v>
      </c>
      <c r="C51" s="5">
        <v>45820</v>
      </c>
      <c r="D51" s="6" t="s">
        <v>10</v>
      </c>
      <c r="E51" s="6" t="s">
        <v>26</v>
      </c>
      <c r="F51" s="6">
        <v>7</v>
      </c>
      <c r="G51" s="16">
        <v>96503.360000000001</v>
      </c>
      <c r="H51" s="7">
        <v>675523.52</v>
      </c>
    </row>
    <row r="52" spans="2:8">
      <c r="B52" s="4">
        <f t="shared" si="0"/>
        <v>48</v>
      </c>
      <c r="C52" s="5">
        <v>45762</v>
      </c>
      <c r="D52" s="6" t="s">
        <v>9</v>
      </c>
      <c r="E52" s="6" t="s">
        <v>33</v>
      </c>
      <c r="F52" s="6">
        <v>3</v>
      </c>
      <c r="G52" s="16">
        <v>6441.9</v>
      </c>
      <c r="H52" s="7">
        <v>19325.7</v>
      </c>
    </row>
    <row r="53" spans="2:8">
      <c r="B53" s="4">
        <f t="shared" si="0"/>
        <v>49</v>
      </c>
      <c r="C53" s="5">
        <v>45685</v>
      </c>
      <c r="D53" s="6" t="s">
        <v>9</v>
      </c>
      <c r="E53" s="6" t="s">
        <v>23</v>
      </c>
      <c r="F53" s="6">
        <v>2</v>
      </c>
      <c r="G53" s="16">
        <v>33623.22</v>
      </c>
      <c r="H53" s="7">
        <v>67246.44</v>
      </c>
    </row>
    <row r="54" spans="2:8">
      <c r="B54" s="4">
        <f t="shared" si="0"/>
        <v>50</v>
      </c>
      <c r="C54" s="5">
        <v>45814</v>
      </c>
      <c r="D54" s="6" t="s">
        <v>9</v>
      </c>
      <c r="E54" s="6" t="s">
        <v>23</v>
      </c>
      <c r="F54" s="6">
        <v>9</v>
      </c>
      <c r="G54" s="16">
        <v>48427.37</v>
      </c>
      <c r="H54" s="7">
        <v>435846.33</v>
      </c>
    </row>
    <row r="55" spans="2:8">
      <c r="B55" s="4">
        <f t="shared" si="0"/>
        <v>51</v>
      </c>
      <c r="C55" s="5">
        <v>45925</v>
      </c>
      <c r="D55" s="6" t="s">
        <v>9</v>
      </c>
      <c r="E55" s="6" t="s">
        <v>32</v>
      </c>
      <c r="F55" s="6">
        <v>10</v>
      </c>
      <c r="G55" s="16">
        <v>45105.04</v>
      </c>
      <c r="H55" s="7">
        <v>451050.4</v>
      </c>
    </row>
    <row r="56" spans="2:8">
      <c r="B56" s="4">
        <f t="shared" si="0"/>
        <v>52</v>
      </c>
      <c r="C56" s="5">
        <v>45827</v>
      </c>
      <c r="D56" s="6" t="s">
        <v>10</v>
      </c>
      <c r="E56" s="6" t="s">
        <v>26</v>
      </c>
      <c r="F56" s="6">
        <v>16</v>
      </c>
      <c r="G56" s="16">
        <v>46383.58</v>
      </c>
      <c r="H56" s="7">
        <v>742137.28</v>
      </c>
    </row>
    <row r="57" spans="2:8">
      <c r="B57" s="4">
        <f t="shared" si="0"/>
        <v>53</v>
      </c>
      <c r="C57" s="5">
        <v>45817</v>
      </c>
      <c r="D57" s="6" t="s">
        <v>6</v>
      </c>
      <c r="E57" s="6" t="s">
        <v>11</v>
      </c>
      <c r="F57" s="6">
        <v>9</v>
      </c>
      <c r="G57" s="16">
        <v>98782.03</v>
      </c>
      <c r="H57" s="7">
        <v>889038.27</v>
      </c>
    </row>
    <row r="58" spans="2:8">
      <c r="B58" s="4">
        <f t="shared" si="0"/>
        <v>54</v>
      </c>
      <c r="C58" s="5">
        <v>45714</v>
      </c>
      <c r="D58" s="6" t="s">
        <v>10</v>
      </c>
      <c r="E58" s="6" t="s">
        <v>31</v>
      </c>
      <c r="F58" s="6">
        <v>11</v>
      </c>
      <c r="G58" s="16">
        <v>33367.89</v>
      </c>
      <c r="H58" s="7">
        <v>367046.79</v>
      </c>
    </row>
    <row r="59" spans="2:8">
      <c r="B59" s="4">
        <f t="shared" si="0"/>
        <v>55</v>
      </c>
      <c r="C59" s="5">
        <v>45761</v>
      </c>
      <c r="D59" s="6" t="s">
        <v>10</v>
      </c>
      <c r="E59" s="6" t="s">
        <v>34</v>
      </c>
      <c r="F59" s="6">
        <v>18</v>
      </c>
      <c r="G59" s="16">
        <v>25695.47</v>
      </c>
      <c r="H59" s="7">
        <v>462518.46</v>
      </c>
    </row>
    <row r="60" spans="2:8">
      <c r="B60" s="4">
        <f t="shared" si="0"/>
        <v>56</v>
      </c>
      <c r="C60" s="5">
        <v>45820</v>
      </c>
      <c r="D60" s="6" t="s">
        <v>6</v>
      </c>
      <c r="E60" s="6" t="s">
        <v>35</v>
      </c>
      <c r="F60" s="6">
        <v>18</v>
      </c>
      <c r="G60" s="16">
        <v>87747.24</v>
      </c>
      <c r="H60" s="7">
        <v>1579450.32</v>
      </c>
    </row>
    <row r="61" spans="2:8">
      <c r="B61" s="4">
        <f t="shared" si="0"/>
        <v>57</v>
      </c>
      <c r="C61" s="5">
        <v>45663</v>
      </c>
      <c r="D61" s="6" t="s">
        <v>8</v>
      </c>
      <c r="E61" s="6" t="s">
        <v>18</v>
      </c>
      <c r="F61" s="6">
        <v>3</v>
      </c>
      <c r="G61" s="16">
        <v>16125.72</v>
      </c>
      <c r="H61" s="7">
        <v>48377.16</v>
      </c>
    </row>
    <row r="62" spans="2:8">
      <c r="B62" s="4">
        <f t="shared" si="0"/>
        <v>58</v>
      </c>
      <c r="C62" s="5">
        <v>45882</v>
      </c>
      <c r="D62" s="6" t="s">
        <v>7</v>
      </c>
      <c r="E62" s="6" t="s">
        <v>14</v>
      </c>
      <c r="F62" s="6">
        <v>8</v>
      </c>
      <c r="G62" s="16">
        <v>7988.54</v>
      </c>
      <c r="H62" s="7">
        <v>63908.32</v>
      </c>
    </row>
    <row r="63" spans="2:8">
      <c r="B63" s="4">
        <f t="shared" si="0"/>
        <v>59</v>
      </c>
      <c r="C63" s="5">
        <v>45828</v>
      </c>
      <c r="D63" s="6" t="s">
        <v>7</v>
      </c>
      <c r="E63" s="6" t="s">
        <v>14</v>
      </c>
      <c r="F63" s="6">
        <v>5</v>
      </c>
      <c r="G63" s="16">
        <v>47202.49</v>
      </c>
      <c r="H63" s="7">
        <v>236012.45</v>
      </c>
    </row>
    <row r="64" spans="2:8">
      <c r="B64" s="4">
        <f t="shared" si="0"/>
        <v>60</v>
      </c>
      <c r="C64" s="5">
        <v>45660</v>
      </c>
      <c r="D64" s="6" t="s">
        <v>6</v>
      </c>
      <c r="E64" s="6" t="s">
        <v>35</v>
      </c>
      <c r="F64" s="6">
        <v>7</v>
      </c>
      <c r="G64" s="16">
        <v>37081.370000000003</v>
      </c>
      <c r="H64" s="7">
        <v>259569.59</v>
      </c>
    </row>
    <row r="65" spans="2:8">
      <c r="B65" s="4">
        <f t="shared" si="0"/>
        <v>61</v>
      </c>
      <c r="C65" s="5">
        <v>45815</v>
      </c>
      <c r="D65" s="6" t="s">
        <v>6</v>
      </c>
      <c r="E65" s="6" t="s">
        <v>36</v>
      </c>
      <c r="F65" s="6">
        <v>15</v>
      </c>
      <c r="G65" s="16">
        <v>41339.919999999998</v>
      </c>
      <c r="H65" s="7">
        <v>620098.80000000005</v>
      </c>
    </row>
    <row r="66" spans="2:8">
      <c r="B66" s="4">
        <f t="shared" si="0"/>
        <v>62</v>
      </c>
      <c r="C66" s="5">
        <v>45870</v>
      </c>
      <c r="D66" s="6" t="s">
        <v>10</v>
      </c>
      <c r="E66" s="6" t="s">
        <v>34</v>
      </c>
      <c r="F66" s="6">
        <v>1</v>
      </c>
      <c r="G66" s="16">
        <v>91457.18</v>
      </c>
      <c r="H66" s="7">
        <v>91457.18</v>
      </c>
    </row>
    <row r="67" spans="2:8">
      <c r="B67" s="4">
        <f t="shared" si="0"/>
        <v>63</v>
      </c>
      <c r="C67" s="5">
        <v>45886</v>
      </c>
      <c r="D67" s="6" t="s">
        <v>8</v>
      </c>
      <c r="E67" s="6" t="s">
        <v>20</v>
      </c>
      <c r="F67" s="6">
        <v>13</v>
      </c>
      <c r="G67" s="16">
        <v>64443.49</v>
      </c>
      <c r="H67" s="7">
        <v>837765.37</v>
      </c>
    </row>
    <row r="68" spans="2:8">
      <c r="B68" s="4">
        <f t="shared" si="0"/>
        <v>64</v>
      </c>
      <c r="C68" s="5">
        <v>45748</v>
      </c>
      <c r="D68" s="6" t="s">
        <v>6</v>
      </c>
      <c r="E68" s="6" t="s">
        <v>22</v>
      </c>
      <c r="F68" s="6">
        <v>10</v>
      </c>
      <c r="G68" s="16">
        <v>8697.2000000000007</v>
      </c>
      <c r="H68" s="7">
        <v>86972</v>
      </c>
    </row>
    <row r="69" spans="2:8">
      <c r="B69" s="4">
        <f t="shared" si="0"/>
        <v>65</v>
      </c>
      <c r="C69" s="5">
        <v>45875</v>
      </c>
      <c r="D69" s="6" t="s">
        <v>6</v>
      </c>
      <c r="E69" s="6" t="s">
        <v>22</v>
      </c>
      <c r="F69" s="6">
        <v>1</v>
      </c>
      <c r="G69" s="16">
        <v>80101.36</v>
      </c>
      <c r="H69" s="7">
        <v>80101.36</v>
      </c>
    </row>
    <row r="70" spans="2:8">
      <c r="B70" s="4">
        <f t="shared" si="0"/>
        <v>66</v>
      </c>
      <c r="C70" s="5">
        <v>45674</v>
      </c>
      <c r="D70" s="6" t="s">
        <v>7</v>
      </c>
      <c r="E70" s="6" t="s">
        <v>15</v>
      </c>
      <c r="F70" s="6">
        <v>6</v>
      </c>
      <c r="G70" s="16">
        <v>40326.980000000003</v>
      </c>
      <c r="H70" s="7">
        <v>241961.88</v>
      </c>
    </row>
    <row r="71" spans="2:8">
      <c r="B71" s="4">
        <f t="shared" ref="B71:B134" si="1">B70+1</f>
        <v>67</v>
      </c>
      <c r="C71" s="5">
        <v>45881</v>
      </c>
      <c r="D71" s="6" t="s">
        <v>9</v>
      </c>
      <c r="E71" s="6" t="s">
        <v>25</v>
      </c>
      <c r="F71" s="6">
        <v>10</v>
      </c>
      <c r="G71" s="16">
        <v>39724.410000000003</v>
      </c>
      <c r="H71" s="7">
        <v>397244.1</v>
      </c>
    </row>
    <row r="72" spans="2:8">
      <c r="B72" s="4">
        <f t="shared" si="1"/>
        <v>68</v>
      </c>
      <c r="C72" s="5">
        <v>45803</v>
      </c>
      <c r="D72" s="6" t="s">
        <v>8</v>
      </c>
      <c r="E72" s="6" t="s">
        <v>18</v>
      </c>
      <c r="F72" s="6">
        <v>20</v>
      </c>
      <c r="G72" s="16">
        <v>98719.97</v>
      </c>
      <c r="H72" s="7">
        <v>1974399.4</v>
      </c>
    </row>
    <row r="73" spans="2:8">
      <c r="B73" s="4">
        <f t="shared" si="1"/>
        <v>69</v>
      </c>
      <c r="C73" s="5">
        <v>45744</v>
      </c>
      <c r="D73" s="6" t="s">
        <v>10</v>
      </c>
      <c r="E73" s="6" t="s">
        <v>31</v>
      </c>
      <c r="F73" s="6">
        <v>20</v>
      </c>
      <c r="G73" s="16">
        <v>44372.22</v>
      </c>
      <c r="H73" s="7">
        <v>887444.4</v>
      </c>
    </row>
    <row r="74" spans="2:8">
      <c r="B74" s="4">
        <f t="shared" si="1"/>
        <v>70</v>
      </c>
      <c r="C74" s="5">
        <v>45796</v>
      </c>
      <c r="D74" s="6" t="s">
        <v>8</v>
      </c>
      <c r="E74" s="6" t="s">
        <v>16</v>
      </c>
      <c r="F74" s="6">
        <v>15</v>
      </c>
      <c r="G74" s="16">
        <v>42092.54</v>
      </c>
      <c r="H74" s="7">
        <v>631388.1</v>
      </c>
    </row>
    <row r="75" spans="2:8">
      <c r="B75" s="4">
        <f t="shared" si="1"/>
        <v>71</v>
      </c>
      <c r="C75" s="5">
        <v>45883</v>
      </c>
      <c r="D75" s="6" t="s">
        <v>6</v>
      </c>
      <c r="E75" s="6" t="s">
        <v>36</v>
      </c>
      <c r="F75" s="6">
        <v>5</v>
      </c>
      <c r="G75" s="16">
        <v>65355.69</v>
      </c>
      <c r="H75" s="7">
        <v>326778.45</v>
      </c>
    </row>
    <row r="76" spans="2:8">
      <c r="B76" s="4">
        <f t="shared" si="1"/>
        <v>72</v>
      </c>
      <c r="C76" s="5">
        <v>45754</v>
      </c>
      <c r="D76" s="6" t="s">
        <v>9</v>
      </c>
      <c r="E76" s="6" t="s">
        <v>25</v>
      </c>
      <c r="F76" s="6">
        <v>6</v>
      </c>
      <c r="G76" s="16">
        <v>31871</v>
      </c>
      <c r="H76" s="7">
        <v>191226</v>
      </c>
    </row>
    <row r="77" spans="2:8">
      <c r="B77" s="4">
        <f t="shared" si="1"/>
        <v>73</v>
      </c>
      <c r="C77" s="5">
        <v>45770</v>
      </c>
      <c r="D77" s="6" t="s">
        <v>6</v>
      </c>
      <c r="E77" s="6" t="s">
        <v>35</v>
      </c>
      <c r="F77" s="6">
        <v>8</v>
      </c>
      <c r="G77" s="16">
        <v>73195.22</v>
      </c>
      <c r="H77" s="7">
        <v>585561.76</v>
      </c>
    </row>
    <row r="78" spans="2:8">
      <c r="B78" s="4">
        <f t="shared" si="1"/>
        <v>74</v>
      </c>
      <c r="C78" s="5">
        <v>45674</v>
      </c>
      <c r="D78" s="6" t="s">
        <v>7</v>
      </c>
      <c r="E78" s="6" t="s">
        <v>14</v>
      </c>
      <c r="F78" s="6">
        <v>1</v>
      </c>
      <c r="G78" s="16">
        <v>42476.65</v>
      </c>
      <c r="H78" s="7">
        <v>42476.65</v>
      </c>
    </row>
    <row r="79" spans="2:8">
      <c r="B79" s="4">
        <f t="shared" si="1"/>
        <v>75</v>
      </c>
      <c r="C79" s="5">
        <v>45787</v>
      </c>
      <c r="D79" s="6" t="s">
        <v>8</v>
      </c>
      <c r="E79" s="6" t="s">
        <v>18</v>
      </c>
      <c r="F79" s="6">
        <v>2</v>
      </c>
      <c r="G79" s="16">
        <v>50201.69</v>
      </c>
      <c r="H79" s="7">
        <v>100403.38</v>
      </c>
    </row>
    <row r="80" spans="2:8">
      <c r="B80" s="4">
        <f t="shared" si="1"/>
        <v>76</v>
      </c>
      <c r="C80" s="5">
        <v>45669</v>
      </c>
      <c r="D80" s="6" t="s">
        <v>8</v>
      </c>
      <c r="E80" s="6" t="s">
        <v>18</v>
      </c>
      <c r="F80" s="6">
        <v>16</v>
      </c>
      <c r="G80" s="16">
        <v>48771</v>
      </c>
      <c r="H80" s="7">
        <v>780336</v>
      </c>
    </row>
    <row r="81" spans="2:8">
      <c r="B81" s="4">
        <f t="shared" si="1"/>
        <v>77</v>
      </c>
      <c r="C81" s="5">
        <v>45829</v>
      </c>
      <c r="D81" s="6" t="s">
        <v>6</v>
      </c>
      <c r="E81" s="6" t="s">
        <v>35</v>
      </c>
      <c r="F81" s="6">
        <v>19</v>
      </c>
      <c r="G81" s="16">
        <v>75350.929999999993</v>
      </c>
      <c r="H81" s="7">
        <v>1431667.67</v>
      </c>
    </row>
    <row r="82" spans="2:8">
      <c r="B82" s="4">
        <f t="shared" si="1"/>
        <v>78</v>
      </c>
      <c r="C82" s="5">
        <v>45661</v>
      </c>
      <c r="D82" s="6" t="s">
        <v>9</v>
      </c>
      <c r="E82" s="6" t="s">
        <v>33</v>
      </c>
      <c r="F82" s="6">
        <v>1</v>
      </c>
      <c r="G82" s="16">
        <v>34537.449999999997</v>
      </c>
      <c r="H82" s="7">
        <v>34537.449999999997</v>
      </c>
    </row>
    <row r="83" spans="2:8">
      <c r="B83" s="4">
        <f t="shared" si="1"/>
        <v>79</v>
      </c>
      <c r="C83" s="5">
        <v>45852</v>
      </c>
      <c r="D83" s="6" t="s">
        <v>7</v>
      </c>
      <c r="E83" s="6" t="s">
        <v>19</v>
      </c>
      <c r="F83" s="6">
        <v>9</v>
      </c>
      <c r="G83" s="16">
        <v>46439.68</v>
      </c>
      <c r="H83" s="7">
        <v>417957.12</v>
      </c>
    </row>
    <row r="84" spans="2:8">
      <c r="B84" s="4">
        <f t="shared" si="1"/>
        <v>80</v>
      </c>
      <c r="C84" s="5">
        <v>45926</v>
      </c>
      <c r="D84" s="6" t="s">
        <v>7</v>
      </c>
      <c r="E84" s="6" t="s">
        <v>14</v>
      </c>
      <c r="F84" s="6">
        <v>14</v>
      </c>
      <c r="G84" s="16">
        <v>20863.310000000001</v>
      </c>
      <c r="H84" s="7">
        <v>292086.34000000003</v>
      </c>
    </row>
    <row r="85" spans="2:8">
      <c r="B85" s="4">
        <f t="shared" si="1"/>
        <v>81</v>
      </c>
      <c r="C85" s="5">
        <v>45902</v>
      </c>
      <c r="D85" s="6" t="s">
        <v>7</v>
      </c>
      <c r="E85" s="6" t="s">
        <v>15</v>
      </c>
      <c r="F85" s="6">
        <v>15</v>
      </c>
      <c r="G85" s="16">
        <v>25131.55</v>
      </c>
      <c r="H85" s="7">
        <v>376973.25</v>
      </c>
    </row>
    <row r="86" spans="2:8">
      <c r="B86" s="4">
        <f t="shared" si="1"/>
        <v>82</v>
      </c>
      <c r="C86" s="5">
        <v>45822</v>
      </c>
      <c r="D86" s="6" t="s">
        <v>6</v>
      </c>
      <c r="E86" s="6" t="s">
        <v>36</v>
      </c>
      <c r="F86" s="6">
        <v>14</v>
      </c>
      <c r="G86" s="16">
        <v>30522.240000000002</v>
      </c>
      <c r="H86" s="7">
        <v>427311.35999999999</v>
      </c>
    </row>
    <row r="87" spans="2:8">
      <c r="B87" s="4">
        <f t="shared" si="1"/>
        <v>83</v>
      </c>
      <c r="C87" s="5">
        <v>45879</v>
      </c>
      <c r="D87" s="6" t="s">
        <v>8</v>
      </c>
      <c r="E87" s="6" t="s">
        <v>18</v>
      </c>
      <c r="F87" s="6">
        <v>2</v>
      </c>
      <c r="G87" s="16">
        <v>1156.44</v>
      </c>
      <c r="H87" s="7">
        <v>2312.88</v>
      </c>
    </row>
    <row r="88" spans="2:8">
      <c r="B88" s="4">
        <f t="shared" si="1"/>
        <v>84</v>
      </c>
      <c r="C88" s="5">
        <v>45734</v>
      </c>
      <c r="D88" s="6" t="s">
        <v>8</v>
      </c>
      <c r="E88" s="6" t="s">
        <v>29</v>
      </c>
      <c r="F88" s="6">
        <v>18</v>
      </c>
      <c r="G88" s="16">
        <v>91683.82</v>
      </c>
      <c r="H88" s="7">
        <v>1650308.76</v>
      </c>
    </row>
    <row r="89" spans="2:8">
      <c r="B89" s="4">
        <f t="shared" si="1"/>
        <v>85</v>
      </c>
      <c r="C89" s="5">
        <v>45871</v>
      </c>
      <c r="D89" s="6" t="s">
        <v>6</v>
      </c>
      <c r="E89" s="6" t="s">
        <v>35</v>
      </c>
      <c r="F89" s="6">
        <v>10</v>
      </c>
      <c r="G89" s="16">
        <v>23760.69</v>
      </c>
      <c r="H89" s="7">
        <v>237606.9</v>
      </c>
    </row>
    <row r="90" spans="2:8">
      <c r="B90" s="4">
        <f t="shared" si="1"/>
        <v>86</v>
      </c>
      <c r="C90" s="5">
        <v>45691</v>
      </c>
      <c r="D90" s="6" t="s">
        <v>6</v>
      </c>
      <c r="E90" s="6" t="s">
        <v>22</v>
      </c>
      <c r="F90" s="6">
        <v>17</v>
      </c>
      <c r="G90" s="16">
        <v>55833.75</v>
      </c>
      <c r="H90" s="7">
        <v>949173.75</v>
      </c>
    </row>
    <row r="91" spans="2:8">
      <c r="B91" s="4">
        <f t="shared" si="1"/>
        <v>87</v>
      </c>
      <c r="C91" s="5">
        <v>45915</v>
      </c>
      <c r="D91" s="6" t="s">
        <v>6</v>
      </c>
      <c r="E91" s="6" t="s">
        <v>37</v>
      </c>
      <c r="F91" s="6">
        <v>8</v>
      </c>
      <c r="G91" s="16">
        <v>12733.39</v>
      </c>
      <c r="H91" s="7">
        <v>101867.12</v>
      </c>
    </row>
    <row r="92" spans="2:8">
      <c r="B92" s="4">
        <f t="shared" si="1"/>
        <v>88</v>
      </c>
      <c r="C92" s="5">
        <v>45895</v>
      </c>
      <c r="D92" s="6" t="s">
        <v>6</v>
      </c>
      <c r="E92" s="6" t="s">
        <v>22</v>
      </c>
      <c r="F92" s="6">
        <v>12</v>
      </c>
      <c r="G92" s="16">
        <v>70684.179999999993</v>
      </c>
      <c r="H92" s="7">
        <v>848210.16</v>
      </c>
    </row>
    <row r="93" spans="2:8">
      <c r="B93" s="4">
        <f t="shared" si="1"/>
        <v>89</v>
      </c>
      <c r="C93" s="5">
        <v>45697</v>
      </c>
      <c r="D93" s="6" t="s">
        <v>9</v>
      </c>
      <c r="E93" s="6" t="s">
        <v>32</v>
      </c>
      <c r="F93" s="6">
        <v>12</v>
      </c>
      <c r="G93" s="16">
        <v>82552.570000000007</v>
      </c>
      <c r="H93" s="7">
        <v>990630.84</v>
      </c>
    </row>
    <row r="94" spans="2:8">
      <c r="B94" s="4">
        <f t="shared" si="1"/>
        <v>90</v>
      </c>
      <c r="C94" s="5">
        <v>45880</v>
      </c>
      <c r="D94" s="6" t="s">
        <v>8</v>
      </c>
      <c r="E94" s="6" t="s">
        <v>29</v>
      </c>
      <c r="F94" s="6">
        <v>10</v>
      </c>
      <c r="G94" s="16">
        <v>33635</v>
      </c>
      <c r="H94" s="7">
        <v>336350</v>
      </c>
    </row>
    <row r="95" spans="2:8">
      <c r="B95" s="4">
        <f t="shared" si="1"/>
        <v>91</v>
      </c>
      <c r="C95" s="5">
        <v>45773</v>
      </c>
      <c r="D95" s="6" t="s">
        <v>8</v>
      </c>
      <c r="E95" s="6" t="s">
        <v>20</v>
      </c>
      <c r="F95" s="6">
        <v>17</v>
      </c>
      <c r="G95" s="16">
        <v>45099.78</v>
      </c>
      <c r="H95" s="7">
        <v>766696.26</v>
      </c>
    </row>
    <row r="96" spans="2:8">
      <c r="B96" s="4">
        <f t="shared" si="1"/>
        <v>92</v>
      </c>
      <c r="C96" s="5">
        <v>45857</v>
      </c>
      <c r="D96" s="6" t="s">
        <v>6</v>
      </c>
      <c r="E96" s="6" t="s">
        <v>30</v>
      </c>
      <c r="F96" s="6">
        <v>12</v>
      </c>
      <c r="G96" s="16">
        <v>70555.53</v>
      </c>
      <c r="H96" s="7">
        <v>846666.36</v>
      </c>
    </row>
    <row r="97" spans="2:8">
      <c r="B97" s="4">
        <f t="shared" si="1"/>
        <v>93</v>
      </c>
      <c r="C97" s="5">
        <v>45877</v>
      </c>
      <c r="D97" s="6" t="s">
        <v>7</v>
      </c>
      <c r="E97" s="6" t="s">
        <v>19</v>
      </c>
      <c r="F97" s="6">
        <v>11</v>
      </c>
      <c r="G97" s="16">
        <v>35096.160000000003</v>
      </c>
      <c r="H97" s="7">
        <v>386057.76</v>
      </c>
    </row>
    <row r="98" spans="2:8">
      <c r="B98" s="4">
        <f t="shared" si="1"/>
        <v>94</v>
      </c>
      <c r="C98" s="5">
        <v>45750</v>
      </c>
      <c r="D98" s="6" t="s">
        <v>7</v>
      </c>
      <c r="E98" s="6" t="s">
        <v>19</v>
      </c>
      <c r="F98" s="6">
        <v>10</v>
      </c>
      <c r="G98" s="16">
        <v>5028.37</v>
      </c>
      <c r="H98" s="7">
        <v>50283.7</v>
      </c>
    </row>
    <row r="99" spans="2:8">
      <c r="B99" s="4">
        <f t="shared" si="1"/>
        <v>95</v>
      </c>
      <c r="C99" s="5">
        <v>45882</v>
      </c>
      <c r="D99" s="6" t="s">
        <v>7</v>
      </c>
      <c r="E99" s="6" t="s">
        <v>19</v>
      </c>
      <c r="F99" s="6">
        <v>4</v>
      </c>
      <c r="G99" s="16">
        <v>87571.54</v>
      </c>
      <c r="H99" s="7">
        <v>350286.16</v>
      </c>
    </row>
    <row r="100" spans="2:8">
      <c r="B100" s="4">
        <f t="shared" si="1"/>
        <v>96</v>
      </c>
      <c r="C100" s="5">
        <v>45834</v>
      </c>
      <c r="D100" s="6" t="s">
        <v>10</v>
      </c>
      <c r="E100" s="6" t="s">
        <v>31</v>
      </c>
      <c r="F100" s="6">
        <v>8</v>
      </c>
      <c r="G100" s="16">
        <v>97511.58</v>
      </c>
      <c r="H100" s="7">
        <v>780092.64</v>
      </c>
    </row>
    <row r="101" spans="2:8">
      <c r="B101" s="4">
        <f t="shared" si="1"/>
        <v>97</v>
      </c>
      <c r="C101" s="5">
        <v>45727</v>
      </c>
      <c r="D101" s="6" t="s">
        <v>10</v>
      </c>
      <c r="E101" s="6" t="s">
        <v>31</v>
      </c>
      <c r="F101" s="6">
        <v>2</v>
      </c>
      <c r="G101" s="16">
        <v>99893.3</v>
      </c>
      <c r="H101" s="7">
        <v>199786.6</v>
      </c>
    </row>
    <row r="102" spans="2:8">
      <c r="B102" s="4">
        <f t="shared" si="1"/>
        <v>98</v>
      </c>
      <c r="C102" s="5">
        <v>45886</v>
      </c>
      <c r="D102" s="6" t="s">
        <v>9</v>
      </c>
      <c r="E102" s="6" t="s">
        <v>32</v>
      </c>
      <c r="F102" s="6">
        <v>17</v>
      </c>
      <c r="G102" s="16">
        <v>51303.43</v>
      </c>
      <c r="H102" s="7">
        <v>872158.31</v>
      </c>
    </row>
    <row r="103" spans="2:8">
      <c r="B103" s="4">
        <f t="shared" si="1"/>
        <v>99</v>
      </c>
      <c r="C103" s="5">
        <v>45749</v>
      </c>
      <c r="D103" s="6" t="s">
        <v>8</v>
      </c>
      <c r="E103" s="6" t="s">
        <v>20</v>
      </c>
      <c r="F103" s="6">
        <v>17</v>
      </c>
      <c r="G103" s="16">
        <v>34975.620000000003</v>
      </c>
      <c r="H103" s="7">
        <v>594585.54</v>
      </c>
    </row>
    <row r="104" spans="2:8">
      <c r="B104" s="4">
        <f t="shared" si="1"/>
        <v>100</v>
      </c>
      <c r="C104" s="5">
        <v>45676</v>
      </c>
      <c r="D104" s="6" t="s">
        <v>7</v>
      </c>
      <c r="E104" s="6" t="s">
        <v>14</v>
      </c>
      <c r="F104" s="6">
        <v>9</v>
      </c>
      <c r="G104" s="16">
        <v>83916.34</v>
      </c>
      <c r="H104" s="7">
        <v>755247.06</v>
      </c>
    </row>
    <row r="105" spans="2:8">
      <c r="B105" s="4">
        <f t="shared" si="1"/>
        <v>101</v>
      </c>
      <c r="C105" s="5">
        <v>45781</v>
      </c>
      <c r="D105" s="6" t="s">
        <v>10</v>
      </c>
      <c r="E105" s="6" t="s">
        <v>34</v>
      </c>
      <c r="F105" s="6">
        <v>1</v>
      </c>
      <c r="G105" s="16">
        <v>1375.89</v>
      </c>
      <c r="H105" s="7">
        <v>1375.89</v>
      </c>
    </row>
    <row r="106" spans="2:8">
      <c r="B106" s="4">
        <f t="shared" si="1"/>
        <v>102</v>
      </c>
      <c r="C106" s="5">
        <v>45710</v>
      </c>
      <c r="D106" s="6" t="s">
        <v>10</v>
      </c>
      <c r="E106" s="6" t="s">
        <v>31</v>
      </c>
      <c r="F106" s="6">
        <v>9</v>
      </c>
      <c r="G106" s="16">
        <v>86266.62</v>
      </c>
      <c r="H106" s="7">
        <v>776399.58</v>
      </c>
    </row>
    <row r="107" spans="2:8">
      <c r="B107" s="4">
        <f t="shared" si="1"/>
        <v>103</v>
      </c>
      <c r="C107" s="5">
        <v>45802</v>
      </c>
      <c r="D107" s="6" t="s">
        <v>9</v>
      </c>
      <c r="E107" s="6" t="s">
        <v>17</v>
      </c>
      <c r="F107" s="6">
        <v>17</v>
      </c>
      <c r="G107" s="16">
        <v>18588.89</v>
      </c>
      <c r="H107" s="7">
        <v>316011.13</v>
      </c>
    </row>
    <row r="108" spans="2:8">
      <c r="B108" s="4">
        <f t="shared" si="1"/>
        <v>104</v>
      </c>
      <c r="C108" s="5">
        <v>45730</v>
      </c>
      <c r="D108" s="6" t="s">
        <v>7</v>
      </c>
      <c r="E108" s="6" t="s">
        <v>15</v>
      </c>
      <c r="F108" s="6">
        <v>3</v>
      </c>
      <c r="G108" s="16">
        <v>69998.039999999994</v>
      </c>
      <c r="H108" s="7">
        <v>209994.12</v>
      </c>
    </row>
    <row r="109" spans="2:8">
      <c r="B109" s="4">
        <f t="shared" si="1"/>
        <v>105</v>
      </c>
      <c r="C109" s="5">
        <v>45903</v>
      </c>
      <c r="D109" s="6" t="s">
        <v>9</v>
      </c>
      <c r="E109" s="6" t="s">
        <v>25</v>
      </c>
      <c r="F109" s="6">
        <v>7</v>
      </c>
      <c r="G109" s="16">
        <v>18738.5</v>
      </c>
      <c r="H109" s="7">
        <v>131169.5</v>
      </c>
    </row>
    <row r="110" spans="2:8">
      <c r="B110" s="4">
        <f t="shared" si="1"/>
        <v>106</v>
      </c>
      <c r="C110" s="5">
        <v>45738</v>
      </c>
      <c r="D110" s="6" t="s">
        <v>10</v>
      </c>
      <c r="E110" s="6" t="s">
        <v>26</v>
      </c>
      <c r="F110" s="6">
        <v>17</v>
      </c>
      <c r="G110" s="16">
        <v>31564.86</v>
      </c>
      <c r="H110" s="7">
        <v>536602.62</v>
      </c>
    </row>
    <row r="111" spans="2:8">
      <c r="B111" s="4">
        <f t="shared" si="1"/>
        <v>107</v>
      </c>
      <c r="C111" s="5">
        <v>45877</v>
      </c>
      <c r="D111" s="6" t="s">
        <v>8</v>
      </c>
      <c r="E111" s="6" t="s">
        <v>16</v>
      </c>
      <c r="F111" s="6">
        <v>7</v>
      </c>
      <c r="G111" s="16">
        <v>20611.64</v>
      </c>
      <c r="H111" s="7">
        <v>144281.48000000001</v>
      </c>
    </row>
    <row r="112" spans="2:8">
      <c r="B112" s="4">
        <f t="shared" si="1"/>
        <v>108</v>
      </c>
      <c r="C112" s="5">
        <v>45893</v>
      </c>
      <c r="D112" s="6" t="s">
        <v>9</v>
      </c>
      <c r="E112" s="6" t="s">
        <v>17</v>
      </c>
      <c r="F112" s="6">
        <v>18</v>
      </c>
      <c r="G112" s="16">
        <v>43003.38</v>
      </c>
      <c r="H112" s="7">
        <v>774060.84</v>
      </c>
    </row>
    <row r="113" spans="2:8">
      <c r="B113" s="4">
        <f t="shared" si="1"/>
        <v>109</v>
      </c>
      <c r="C113" s="5">
        <v>45765</v>
      </c>
      <c r="D113" s="6" t="s">
        <v>7</v>
      </c>
      <c r="E113" s="6" t="s">
        <v>12</v>
      </c>
      <c r="F113" s="6">
        <v>11</v>
      </c>
      <c r="G113" s="16">
        <v>93410.16</v>
      </c>
      <c r="H113" s="7">
        <v>1027511.76</v>
      </c>
    </row>
    <row r="114" spans="2:8">
      <c r="B114" s="4">
        <f t="shared" si="1"/>
        <v>110</v>
      </c>
      <c r="C114" s="5">
        <v>45843</v>
      </c>
      <c r="D114" s="6" t="s">
        <v>10</v>
      </c>
      <c r="E114" s="6" t="s">
        <v>34</v>
      </c>
      <c r="F114" s="6">
        <v>3</v>
      </c>
      <c r="G114" s="16">
        <v>26350.31</v>
      </c>
      <c r="H114" s="7">
        <v>79050.929999999993</v>
      </c>
    </row>
    <row r="115" spans="2:8">
      <c r="B115" s="4">
        <f t="shared" si="1"/>
        <v>111</v>
      </c>
      <c r="C115" s="5">
        <v>45902</v>
      </c>
      <c r="D115" s="6" t="s">
        <v>8</v>
      </c>
      <c r="E115" s="6" t="s">
        <v>29</v>
      </c>
      <c r="F115" s="6">
        <v>15</v>
      </c>
      <c r="G115" s="16">
        <v>42036</v>
      </c>
      <c r="H115" s="7">
        <v>630540</v>
      </c>
    </row>
    <row r="116" spans="2:8">
      <c r="B116" s="4">
        <f t="shared" si="1"/>
        <v>112</v>
      </c>
      <c r="C116" s="5">
        <v>45827</v>
      </c>
      <c r="D116" s="6" t="s">
        <v>6</v>
      </c>
      <c r="E116" s="6" t="s">
        <v>11</v>
      </c>
      <c r="F116" s="6">
        <v>9</v>
      </c>
      <c r="G116" s="16">
        <v>12155.31</v>
      </c>
      <c r="H116" s="7">
        <v>109397.79</v>
      </c>
    </row>
    <row r="117" spans="2:8">
      <c r="B117" s="4">
        <f t="shared" si="1"/>
        <v>113</v>
      </c>
      <c r="C117" s="5">
        <v>45915</v>
      </c>
      <c r="D117" s="6" t="s">
        <v>10</v>
      </c>
      <c r="E117" s="6" t="s">
        <v>26</v>
      </c>
      <c r="F117" s="6">
        <v>1</v>
      </c>
      <c r="G117" s="16">
        <v>73545.3</v>
      </c>
      <c r="H117" s="7">
        <v>73545.3</v>
      </c>
    </row>
    <row r="118" spans="2:8">
      <c r="B118" s="4">
        <f t="shared" si="1"/>
        <v>114</v>
      </c>
      <c r="C118" s="5">
        <v>45927</v>
      </c>
      <c r="D118" s="6" t="s">
        <v>9</v>
      </c>
      <c r="E118" s="6" t="s">
        <v>23</v>
      </c>
      <c r="F118" s="6">
        <v>2</v>
      </c>
      <c r="G118" s="16">
        <v>65437.34</v>
      </c>
      <c r="H118" s="7">
        <v>130874.68</v>
      </c>
    </row>
    <row r="119" spans="2:8">
      <c r="B119" s="4">
        <f t="shared" si="1"/>
        <v>115</v>
      </c>
      <c r="C119" s="5">
        <v>45786</v>
      </c>
      <c r="D119" s="6" t="s">
        <v>6</v>
      </c>
      <c r="E119" s="6" t="s">
        <v>30</v>
      </c>
      <c r="F119" s="6">
        <v>11</v>
      </c>
      <c r="G119" s="16">
        <v>29236.11</v>
      </c>
      <c r="H119" s="7">
        <v>321597.21000000002</v>
      </c>
    </row>
    <row r="120" spans="2:8">
      <c r="B120" s="4">
        <f t="shared" si="1"/>
        <v>116</v>
      </c>
      <c r="C120" s="5">
        <v>45751</v>
      </c>
      <c r="D120" s="6" t="s">
        <v>7</v>
      </c>
      <c r="E120" s="6" t="s">
        <v>14</v>
      </c>
      <c r="F120" s="6">
        <v>16</v>
      </c>
      <c r="G120" s="16">
        <v>77717.03</v>
      </c>
      <c r="H120" s="7">
        <v>1243472.48</v>
      </c>
    </row>
    <row r="121" spans="2:8">
      <c r="B121" s="4">
        <f t="shared" si="1"/>
        <v>117</v>
      </c>
      <c r="C121" s="5">
        <v>45928</v>
      </c>
      <c r="D121" s="6" t="s">
        <v>7</v>
      </c>
      <c r="E121" s="6" t="s">
        <v>14</v>
      </c>
      <c r="F121" s="6">
        <v>19</v>
      </c>
      <c r="G121" s="16">
        <v>98993.44</v>
      </c>
      <c r="H121" s="7">
        <v>1880875.36</v>
      </c>
    </row>
    <row r="122" spans="2:8">
      <c r="B122" s="4">
        <f t="shared" si="1"/>
        <v>118</v>
      </c>
      <c r="C122" s="5">
        <v>45892</v>
      </c>
      <c r="D122" s="6" t="s">
        <v>6</v>
      </c>
      <c r="E122" s="6" t="s">
        <v>11</v>
      </c>
      <c r="F122" s="6">
        <v>5</v>
      </c>
      <c r="G122" s="16">
        <v>60451.15</v>
      </c>
      <c r="H122" s="7">
        <v>302255.75</v>
      </c>
    </row>
    <row r="123" spans="2:8">
      <c r="B123" s="4">
        <f t="shared" si="1"/>
        <v>119</v>
      </c>
      <c r="C123" s="5">
        <v>45707</v>
      </c>
      <c r="D123" s="6" t="s">
        <v>9</v>
      </c>
      <c r="E123" s="6" t="s">
        <v>25</v>
      </c>
      <c r="F123" s="6">
        <v>6</v>
      </c>
      <c r="G123" s="16">
        <v>70122.73</v>
      </c>
      <c r="H123" s="7">
        <v>420736.38</v>
      </c>
    </row>
    <row r="124" spans="2:8">
      <c r="B124" s="4">
        <f t="shared" si="1"/>
        <v>120</v>
      </c>
      <c r="C124" s="5">
        <v>45877</v>
      </c>
      <c r="D124" s="6" t="s">
        <v>7</v>
      </c>
      <c r="E124" s="6" t="s">
        <v>12</v>
      </c>
      <c r="F124" s="6">
        <v>10</v>
      </c>
      <c r="G124" s="16">
        <v>47501.81</v>
      </c>
      <c r="H124" s="7">
        <v>475018.1</v>
      </c>
    </row>
    <row r="125" spans="2:8">
      <c r="B125" s="4">
        <f t="shared" si="1"/>
        <v>121</v>
      </c>
      <c r="C125" s="5">
        <v>45859</v>
      </c>
      <c r="D125" s="6" t="s">
        <v>7</v>
      </c>
      <c r="E125" s="6" t="s">
        <v>15</v>
      </c>
      <c r="F125" s="6">
        <v>6</v>
      </c>
      <c r="G125" s="16">
        <v>35873.550000000003</v>
      </c>
      <c r="H125" s="7">
        <v>215241.3</v>
      </c>
    </row>
    <row r="126" spans="2:8">
      <c r="B126" s="4">
        <f t="shared" si="1"/>
        <v>122</v>
      </c>
      <c r="C126" s="5">
        <v>45673</v>
      </c>
      <c r="D126" s="6" t="s">
        <v>9</v>
      </c>
      <c r="E126" s="6" t="s">
        <v>23</v>
      </c>
      <c r="F126" s="6">
        <v>16</v>
      </c>
      <c r="G126" s="16">
        <v>62912.28</v>
      </c>
      <c r="H126" s="7">
        <v>1006596.48</v>
      </c>
    </row>
    <row r="127" spans="2:8">
      <c r="B127" s="4">
        <f t="shared" si="1"/>
        <v>123</v>
      </c>
      <c r="C127" s="5">
        <v>45872</v>
      </c>
      <c r="D127" s="6" t="s">
        <v>9</v>
      </c>
      <c r="E127" s="6" t="s">
        <v>33</v>
      </c>
      <c r="F127" s="6">
        <v>8</v>
      </c>
      <c r="G127" s="16">
        <v>20243.98</v>
      </c>
      <c r="H127" s="7">
        <v>161951.84</v>
      </c>
    </row>
    <row r="128" spans="2:8">
      <c r="B128" s="4">
        <f t="shared" si="1"/>
        <v>124</v>
      </c>
      <c r="C128" s="5">
        <v>45739</v>
      </c>
      <c r="D128" s="6" t="s">
        <v>8</v>
      </c>
      <c r="E128" s="6" t="s">
        <v>16</v>
      </c>
      <c r="F128" s="6">
        <v>14</v>
      </c>
      <c r="G128" s="16">
        <v>58486.25</v>
      </c>
      <c r="H128" s="7">
        <v>818807.5</v>
      </c>
    </row>
    <row r="129" spans="2:8">
      <c r="B129" s="4">
        <f t="shared" si="1"/>
        <v>125</v>
      </c>
      <c r="C129" s="5">
        <v>45780</v>
      </c>
      <c r="D129" s="6" t="s">
        <v>9</v>
      </c>
      <c r="E129" s="6" t="s">
        <v>17</v>
      </c>
      <c r="F129" s="6">
        <v>11</v>
      </c>
      <c r="G129" s="16">
        <v>5649.77</v>
      </c>
      <c r="H129" s="7">
        <v>62147.47</v>
      </c>
    </row>
    <row r="130" spans="2:8">
      <c r="B130" s="4">
        <f t="shared" si="1"/>
        <v>126</v>
      </c>
      <c r="C130" s="5">
        <v>45891</v>
      </c>
      <c r="D130" s="6" t="s">
        <v>8</v>
      </c>
      <c r="E130" s="6" t="s">
        <v>20</v>
      </c>
      <c r="F130" s="6">
        <v>18</v>
      </c>
      <c r="G130" s="16">
        <v>38550.15</v>
      </c>
      <c r="H130" s="7">
        <v>693902.7</v>
      </c>
    </row>
    <row r="131" spans="2:8">
      <c r="B131" s="4">
        <f t="shared" si="1"/>
        <v>127</v>
      </c>
      <c r="C131" s="5">
        <v>45732</v>
      </c>
      <c r="D131" s="6" t="s">
        <v>6</v>
      </c>
      <c r="E131" s="6" t="s">
        <v>11</v>
      </c>
      <c r="F131" s="6">
        <v>12</v>
      </c>
      <c r="G131" s="16">
        <v>38396.300000000003</v>
      </c>
      <c r="H131" s="7">
        <v>460755.6</v>
      </c>
    </row>
    <row r="132" spans="2:8">
      <c r="B132" s="4">
        <f t="shared" si="1"/>
        <v>128</v>
      </c>
      <c r="C132" s="5">
        <v>45849</v>
      </c>
      <c r="D132" s="6" t="s">
        <v>8</v>
      </c>
      <c r="E132" s="6" t="s">
        <v>16</v>
      </c>
      <c r="F132" s="6">
        <v>14</v>
      </c>
      <c r="G132" s="16">
        <v>96426.95</v>
      </c>
      <c r="H132" s="7">
        <v>1349977.3</v>
      </c>
    </row>
    <row r="133" spans="2:8">
      <c r="B133" s="4">
        <f t="shared" si="1"/>
        <v>129</v>
      </c>
      <c r="C133" s="5">
        <v>45842</v>
      </c>
      <c r="D133" s="6" t="s">
        <v>8</v>
      </c>
      <c r="E133" s="6" t="s">
        <v>16</v>
      </c>
      <c r="F133" s="6">
        <v>5</v>
      </c>
      <c r="G133" s="16">
        <v>83716.06</v>
      </c>
      <c r="H133" s="7">
        <v>418580.3</v>
      </c>
    </row>
    <row r="134" spans="2:8">
      <c r="B134" s="4">
        <f t="shared" si="1"/>
        <v>130</v>
      </c>
      <c r="C134" s="5">
        <v>45877</v>
      </c>
      <c r="D134" s="6" t="s">
        <v>10</v>
      </c>
      <c r="E134" s="6" t="s">
        <v>26</v>
      </c>
      <c r="F134" s="6">
        <v>18</v>
      </c>
      <c r="G134" s="16">
        <v>69065.240000000005</v>
      </c>
      <c r="H134" s="7">
        <v>1243174.32</v>
      </c>
    </row>
    <row r="135" spans="2:8">
      <c r="B135" s="4">
        <f t="shared" ref="B135:B198" si="2">B134+1</f>
        <v>131</v>
      </c>
      <c r="C135" s="5">
        <v>45834</v>
      </c>
      <c r="D135" s="6" t="s">
        <v>8</v>
      </c>
      <c r="E135" s="6" t="s">
        <v>20</v>
      </c>
      <c r="F135" s="6">
        <v>7</v>
      </c>
      <c r="G135" s="16">
        <v>2576.31</v>
      </c>
      <c r="H135" s="7">
        <v>18034.169999999998</v>
      </c>
    </row>
    <row r="136" spans="2:8">
      <c r="B136" s="4">
        <f t="shared" si="2"/>
        <v>132</v>
      </c>
      <c r="C136" s="5">
        <v>45916</v>
      </c>
      <c r="D136" s="6" t="s">
        <v>6</v>
      </c>
      <c r="E136" s="6" t="s">
        <v>35</v>
      </c>
      <c r="F136" s="6">
        <v>4</v>
      </c>
      <c r="G136" s="16">
        <v>36686.379999999997</v>
      </c>
      <c r="H136" s="7">
        <v>146745.51999999999</v>
      </c>
    </row>
    <row r="137" spans="2:8">
      <c r="B137" s="4">
        <f t="shared" si="2"/>
        <v>133</v>
      </c>
      <c r="C137" s="5">
        <v>45729</v>
      </c>
      <c r="D137" s="6" t="s">
        <v>6</v>
      </c>
      <c r="E137" s="6" t="s">
        <v>35</v>
      </c>
      <c r="F137" s="6">
        <v>5</v>
      </c>
      <c r="G137" s="16">
        <v>7147.92</v>
      </c>
      <c r="H137" s="7">
        <v>35739.599999999999</v>
      </c>
    </row>
    <row r="138" spans="2:8">
      <c r="B138" s="4">
        <f t="shared" si="2"/>
        <v>134</v>
      </c>
      <c r="C138" s="5">
        <v>45732</v>
      </c>
      <c r="D138" s="6" t="s">
        <v>7</v>
      </c>
      <c r="E138" s="6" t="s">
        <v>15</v>
      </c>
      <c r="F138" s="6">
        <v>14</v>
      </c>
      <c r="G138" s="16">
        <v>32250.27</v>
      </c>
      <c r="H138" s="7">
        <v>451503.78</v>
      </c>
    </row>
    <row r="139" spans="2:8">
      <c r="B139" s="4">
        <f t="shared" si="2"/>
        <v>135</v>
      </c>
      <c r="C139" s="5">
        <v>45778</v>
      </c>
      <c r="D139" s="6" t="s">
        <v>9</v>
      </c>
      <c r="E139" s="6" t="s">
        <v>17</v>
      </c>
      <c r="F139" s="6">
        <v>12</v>
      </c>
      <c r="G139" s="16">
        <v>5947.92</v>
      </c>
      <c r="H139" s="7">
        <v>71375.039999999994</v>
      </c>
    </row>
    <row r="140" spans="2:8">
      <c r="B140" s="4">
        <f t="shared" si="2"/>
        <v>136</v>
      </c>
      <c r="C140" s="5">
        <v>45859</v>
      </c>
      <c r="D140" s="6" t="s">
        <v>10</v>
      </c>
      <c r="E140" s="6" t="s">
        <v>27</v>
      </c>
      <c r="F140" s="6">
        <v>2</v>
      </c>
      <c r="G140" s="16">
        <v>86539.04</v>
      </c>
      <c r="H140" s="7">
        <v>173078.08</v>
      </c>
    </row>
    <row r="141" spans="2:8">
      <c r="B141" s="4">
        <f t="shared" si="2"/>
        <v>137</v>
      </c>
      <c r="C141" s="5">
        <v>45749</v>
      </c>
      <c r="D141" s="6" t="s">
        <v>6</v>
      </c>
      <c r="E141" s="6" t="s">
        <v>35</v>
      </c>
      <c r="F141" s="6">
        <v>16</v>
      </c>
      <c r="G141" s="16">
        <v>28552.93</v>
      </c>
      <c r="H141" s="7">
        <v>456846.88</v>
      </c>
    </row>
    <row r="142" spans="2:8">
      <c r="B142" s="4">
        <f t="shared" si="2"/>
        <v>138</v>
      </c>
      <c r="C142" s="5">
        <v>45909</v>
      </c>
      <c r="D142" s="6" t="s">
        <v>6</v>
      </c>
      <c r="E142" s="6" t="s">
        <v>35</v>
      </c>
      <c r="F142" s="6">
        <v>19</v>
      </c>
      <c r="G142" s="16">
        <v>49708.38</v>
      </c>
      <c r="H142" s="7">
        <v>944459.22</v>
      </c>
    </row>
    <row r="143" spans="2:8">
      <c r="B143" s="4">
        <f t="shared" si="2"/>
        <v>139</v>
      </c>
      <c r="C143" s="5">
        <v>45875</v>
      </c>
      <c r="D143" s="6" t="s">
        <v>7</v>
      </c>
      <c r="E143" s="6" t="s">
        <v>14</v>
      </c>
      <c r="F143" s="6">
        <v>17</v>
      </c>
      <c r="G143" s="16">
        <v>43988.54</v>
      </c>
      <c r="H143" s="7">
        <v>747805.18</v>
      </c>
    </row>
    <row r="144" spans="2:8">
      <c r="B144" s="4">
        <f t="shared" si="2"/>
        <v>140</v>
      </c>
      <c r="C144" s="5">
        <v>45669</v>
      </c>
      <c r="D144" s="6" t="s">
        <v>8</v>
      </c>
      <c r="E144" s="6" t="s">
        <v>18</v>
      </c>
      <c r="F144" s="6">
        <v>10</v>
      </c>
      <c r="G144" s="16">
        <v>19795.46</v>
      </c>
      <c r="H144" s="7">
        <v>197954.6</v>
      </c>
    </row>
    <row r="145" spans="2:8">
      <c r="B145" s="4">
        <f t="shared" si="2"/>
        <v>141</v>
      </c>
      <c r="C145" s="5">
        <v>45705</v>
      </c>
      <c r="D145" s="6" t="s">
        <v>9</v>
      </c>
      <c r="E145" s="6" t="s">
        <v>23</v>
      </c>
      <c r="F145" s="6">
        <v>9</v>
      </c>
      <c r="G145" s="16">
        <v>35832.959999999999</v>
      </c>
      <c r="H145" s="7">
        <v>322496.64000000001</v>
      </c>
    </row>
    <row r="146" spans="2:8">
      <c r="B146" s="4">
        <f t="shared" si="2"/>
        <v>142</v>
      </c>
      <c r="C146" s="5">
        <v>45810</v>
      </c>
      <c r="D146" s="6" t="s">
        <v>8</v>
      </c>
      <c r="E146" s="6" t="s">
        <v>29</v>
      </c>
      <c r="F146" s="6">
        <v>12</v>
      </c>
      <c r="G146" s="16">
        <v>29118.2</v>
      </c>
      <c r="H146" s="7">
        <v>349418.4</v>
      </c>
    </row>
    <row r="147" spans="2:8">
      <c r="B147" s="4">
        <f t="shared" si="2"/>
        <v>143</v>
      </c>
      <c r="C147" s="5">
        <v>45764</v>
      </c>
      <c r="D147" s="6" t="s">
        <v>9</v>
      </c>
      <c r="E147" s="6" t="s">
        <v>33</v>
      </c>
      <c r="F147" s="6">
        <v>3</v>
      </c>
      <c r="G147" s="16">
        <v>63433.36</v>
      </c>
      <c r="H147" s="7">
        <v>190300.08</v>
      </c>
    </row>
    <row r="148" spans="2:8">
      <c r="B148" s="4">
        <f t="shared" si="2"/>
        <v>144</v>
      </c>
      <c r="C148" s="5">
        <v>45798</v>
      </c>
      <c r="D148" s="6" t="s">
        <v>7</v>
      </c>
      <c r="E148" s="6" t="s">
        <v>19</v>
      </c>
      <c r="F148" s="6">
        <v>16</v>
      </c>
      <c r="G148" s="16">
        <v>83793.710000000006</v>
      </c>
      <c r="H148" s="7">
        <v>1340699.3600000001</v>
      </c>
    </row>
    <row r="149" spans="2:8">
      <c r="B149" s="4">
        <f t="shared" si="2"/>
        <v>145</v>
      </c>
      <c r="C149" s="5">
        <v>45878</v>
      </c>
      <c r="D149" s="6" t="s">
        <v>10</v>
      </c>
      <c r="E149" s="6" t="s">
        <v>31</v>
      </c>
      <c r="F149" s="6">
        <v>3</v>
      </c>
      <c r="G149" s="16">
        <v>70205.5</v>
      </c>
      <c r="H149" s="7">
        <v>210616.5</v>
      </c>
    </row>
    <row r="150" spans="2:8">
      <c r="B150" s="4">
        <f t="shared" si="2"/>
        <v>146</v>
      </c>
      <c r="C150" s="5">
        <v>45667</v>
      </c>
      <c r="D150" s="6" t="s">
        <v>9</v>
      </c>
      <c r="E150" s="6" t="s">
        <v>17</v>
      </c>
      <c r="F150" s="6">
        <v>18</v>
      </c>
      <c r="G150" s="16">
        <v>75990.23</v>
      </c>
      <c r="H150" s="7">
        <v>1367824.14</v>
      </c>
    </row>
    <row r="151" spans="2:8">
      <c r="B151" s="4">
        <f t="shared" si="2"/>
        <v>147</v>
      </c>
      <c r="C151" s="5">
        <v>45883</v>
      </c>
      <c r="D151" s="6" t="s">
        <v>7</v>
      </c>
      <c r="E151" s="6" t="s">
        <v>14</v>
      </c>
      <c r="F151" s="6">
        <v>14</v>
      </c>
      <c r="G151" s="16">
        <v>17749.11</v>
      </c>
      <c r="H151" s="7">
        <v>248487.54</v>
      </c>
    </row>
    <row r="152" spans="2:8">
      <c r="B152" s="4">
        <f t="shared" si="2"/>
        <v>148</v>
      </c>
      <c r="C152" s="5">
        <v>45741</v>
      </c>
      <c r="D152" s="6" t="s">
        <v>8</v>
      </c>
      <c r="E152" s="6" t="s">
        <v>18</v>
      </c>
      <c r="F152" s="6">
        <v>9</v>
      </c>
      <c r="G152" s="16">
        <v>86841.67</v>
      </c>
      <c r="H152" s="7">
        <v>781575.03</v>
      </c>
    </row>
    <row r="153" spans="2:8">
      <c r="B153" s="4">
        <f t="shared" si="2"/>
        <v>149</v>
      </c>
      <c r="C153" s="5">
        <v>45880</v>
      </c>
      <c r="D153" s="6" t="s">
        <v>9</v>
      </c>
      <c r="E153" s="6" t="s">
        <v>23</v>
      </c>
      <c r="F153" s="6">
        <v>5</v>
      </c>
      <c r="G153" s="16">
        <v>1223.68</v>
      </c>
      <c r="H153" s="7">
        <v>6118.4</v>
      </c>
    </row>
    <row r="154" spans="2:8">
      <c r="B154" s="4">
        <f t="shared" si="2"/>
        <v>150</v>
      </c>
      <c r="C154" s="5">
        <v>45832</v>
      </c>
      <c r="D154" s="6" t="s">
        <v>8</v>
      </c>
      <c r="E154" s="6" t="s">
        <v>20</v>
      </c>
      <c r="F154" s="6">
        <v>3</v>
      </c>
      <c r="G154" s="16">
        <v>31587.77</v>
      </c>
      <c r="H154" s="7">
        <v>94763.31</v>
      </c>
    </row>
    <row r="155" spans="2:8">
      <c r="B155" s="4">
        <f t="shared" si="2"/>
        <v>151</v>
      </c>
      <c r="C155" s="5">
        <v>45674</v>
      </c>
      <c r="D155" s="6" t="s">
        <v>10</v>
      </c>
      <c r="E155" s="6" t="s">
        <v>27</v>
      </c>
      <c r="F155" s="6">
        <v>19</v>
      </c>
      <c r="G155" s="16">
        <v>41181.82</v>
      </c>
      <c r="H155" s="7">
        <v>782454.58</v>
      </c>
    </row>
    <row r="156" spans="2:8">
      <c r="B156" s="4">
        <f t="shared" si="2"/>
        <v>152</v>
      </c>
      <c r="C156" s="5">
        <v>45827</v>
      </c>
      <c r="D156" s="6" t="s">
        <v>6</v>
      </c>
      <c r="E156" s="6" t="s">
        <v>30</v>
      </c>
      <c r="F156" s="6">
        <v>7</v>
      </c>
      <c r="G156" s="16">
        <v>81570.649999999994</v>
      </c>
      <c r="H156" s="7">
        <v>570994.55000000005</v>
      </c>
    </row>
    <row r="157" spans="2:8">
      <c r="B157" s="4">
        <f t="shared" si="2"/>
        <v>153</v>
      </c>
      <c r="C157" s="5">
        <v>45706</v>
      </c>
      <c r="D157" s="6" t="s">
        <v>10</v>
      </c>
      <c r="E157" s="6" t="s">
        <v>26</v>
      </c>
      <c r="F157" s="6">
        <v>12</v>
      </c>
      <c r="G157" s="16">
        <v>55960.73</v>
      </c>
      <c r="H157" s="7">
        <v>671528.76</v>
      </c>
    </row>
    <row r="158" spans="2:8">
      <c r="B158" s="4">
        <f t="shared" si="2"/>
        <v>154</v>
      </c>
      <c r="C158" s="5">
        <v>45847</v>
      </c>
      <c r="D158" s="6" t="s">
        <v>7</v>
      </c>
      <c r="E158" s="6" t="s">
        <v>13</v>
      </c>
      <c r="F158" s="6">
        <v>12</v>
      </c>
      <c r="G158" s="16">
        <v>64714.74</v>
      </c>
      <c r="H158" s="7">
        <v>776576.88</v>
      </c>
    </row>
    <row r="159" spans="2:8">
      <c r="B159" s="4">
        <f t="shared" si="2"/>
        <v>155</v>
      </c>
      <c r="C159" s="5">
        <v>45818</v>
      </c>
      <c r="D159" s="6" t="s">
        <v>6</v>
      </c>
      <c r="E159" s="6" t="s">
        <v>11</v>
      </c>
      <c r="F159" s="6">
        <v>6</v>
      </c>
      <c r="G159" s="16">
        <v>76113.98</v>
      </c>
      <c r="H159" s="7">
        <v>456683.88</v>
      </c>
    </row>
    <row r="160" spans="2:8">
      <c r="B160" s="4">
        <f t="shared" si="2"/>
        <v>156</v>
      </c>
      <c r="C160" s="5">
        <v>45662</v>
      </c>
      <c r="D160" s="6" t="s">
        <v>8</v>
      </c>
      <c r="E160" s="6" t="s">
        <v>29</v>
      </c>
      <c r="F160" s="6">
        <v>13</v>
      </c>
      <c r="G160" s="16">
        <v>58780.23</v>
      </c>
      <c r="H160" s="7">
        <v>764142.99</v>
      </c>
    </row>
    <row r="161" spans="2:8">
      <c r="B161" s="4">
        <f t="shared" si="2"/>
        <v>157</v>
      </c>
      <c r="C161" s="5">
        <v>45926</v>
      </c>
      <c r="D161" s="6" t="s">
        <v>6</v>
      </c>
      <c r="E161" s="6" t="s">
        <v>30</v>
      </c>
      <c r="F161" s="6">
        <v>12</v>
      </c>
      <c r="G161" s="16">
        <v>48853.95</v>
      </c>
      <c r="H161" s="7">
        <v>586247.4</v>
      </c>
    </row>
    <row r="162" spans="2:8">
      <c r="B162" s="4">
        <f t="shared" si="2"/>
        <v>158</v>
      </c>
      <c r="C162" s="5">
        <v>45798</v>
      </c>
      <c r="D162" s="6" t="s">
        <v>9</v>
      </c>
      <c r="E162" s="6" t="s">
        <v>17</v>
      </c>
      <c r="F162" s="6">
        <v>8</v>
      </c>
      <c r="G162" s="16">
        <v>6023.73</v>
      </c>
      <c r="H162" s="7">
        <v>48189.84</v>
      </c>
    </row>
    <row r="163" spans="2:8">
      <c r="B163" s="4">
        <f t="shared" si="2"/>
        <v>159</v>
      </c>
      <c r="C163" s="5">
        <v>45810</v>
      </c>
      <c r="D163" s="6" t="s">
        <v>10</v>
      </c>
      <c r="E163" s="6" t="s">
        <v>34</v>
      </c>
      <c r="F163" s="6">
        <v>17</v>
      </c>
      <c r="G163" s="16">
        <v>71424.679999999993</v>
      </c>
      <c r="H163" s="7">
        <v>1214219.56</v>
      </c>
    </row>
    <row r="164" spans="2:8">
      <c r="B164" s="4">
        <f t="shared" si="2"/>
        <v>160</v>
      </c>
      <c r="C164" s="5">
        <v>45788</v>
      </c>
      <c r="D164" s="6" t="s">
        <v>7</v>
      </c>
      <c r="E164" s="6" t="s">
        <v>12</v>
      </c>
      <c r="F164" s="6">
        <v>12</v>
      </c>
      <c r="G164" s="16">
        <v>2211.31</v>
      </c>
      <c r="H164" s="7">
        <v>26535.72</v>
      </c>
    </row>
    <row r="165" spans="2:8">
      <c r="B165" s="4">
        <f t="shared" si="2"/>
        <v>161</v>
      </c>
      <c r="C165" s="5">
        <v>45728</v>
      </c>
      <c r="D165" s="6" t="s">
        <v>10</v>
      </c>
      <c r="E165" s="6" t="s">
        <v>34</v>
      </c>
      <c r="F165" s="6">
        <v>18</v>
      </c>
      <c r="G165" s="16">
        <v>99450.41</v>
      </c>
      <c r="H165" s="7">
        <v>1790107.38</v>
      </c>
    </row>
    <row r="166" spans="2:8">
      <c r="B166" s="4">
        <f t="shared" si="2"/>
        <v>162</v>
      </c>
      <c r="C166" s="5">
        <v>45814</v>
      </c>
      <c r="D166" s="6" t="s">
        <v>7</v>
      </c>
      <c r="E166" s="6" t="s">
        <v>12</v>
      </c>
      <c r="F166" s="6">
        <v>15</v>
      </c>
      <c r="G166" s="16">
        <v>20777.57</v>
      </c>
      <c r="H166" s="7">
        <v>311663.55</v>
      </c>
    </row>
    <row r="167" spans="2:8">
      <c r="B167" s="4">
        <f t="shared" si="2"/>
        <v>163</v>
      </c>
      <c r="C167" s="5">
        <v>45684</v>
      </c>
      <c r="D167" s="6" t="s">
        <v>10</v>
      </c>
      <c r="E167" s="6" t="s">
        <v>26</v>
      </c>
      <c r="F167" s="6">
        <v>8</v>
      </c>
      <c r="G167" s="16">
        <v>44130.63</v>
      </c>
      <c r="H167" s="7">
        <v>353045.04</v>
      </c>
    </row>
    <row r="168" spans="2:8">
      <c r="B168" s="4">
        <f t="shared" si="2"/>
        <v>164</v>
      </c>
      <c r="C168" s="5">
        <v>45670</v>
      </c>
      <c r="D168" s="6" t="s">
        <v>7</v>
      </c>
      <c r="E168" s="6" t="s">
        <v>13</v>
      </c>
      <c r="F168" s="6">
        <v>6</v>
      </c>
      <c r="G168" s="16">
        <v>42668.69</v>
      </c>
      <c r="H168" s="7">
        <v>256012.14</v>
      </c>
    </row>
    <row r="169" spans="2:8">
      <c r="B169" s="4">
        <f t="shared" si="2"/>
        <v>165</v>
      </c>
      <c r="C169" s="5">
        <v>45753</v>
      </c>
      <c r="D169" s="6" t="s">
        <v>8</v>
      </c>
      <c r="E169" s="6" t="s">
        <v>29</v>
      </c>
      <c r="F169" s="6">
        <v>3</v>
      </c>
      <c r="G169" s="16">
        <v>98866.78</v>
      </c>
      <c r="H169" s="7">
        <v>296600.34000000003</v>
      </c>
    </row>
    <row r="170" spans="2:8">
      <c r="B170" s="4">
        <f t="shared" si="2"/>
        <v>166</v>
      </c>
      <c r="C170" s="5">
        <v>45793</v>
      </c>
      <c r="D170" s="6" t="s">
        <v>7</v>
      </c>
      <c r="E170" s="6" t="s">
        <v>19</v>
      </c>
      <c r="F170" s="6">
        <v>18</v>
      </c>
      <c r="G170" s="16">
        <v>80608.509999999995</v>
      </c>
      <c r="H170" s="7">
        <v>1450953.18</v>
      </c>
    </row>
    <row r="171" spans="2:8">
      <c r="B171" s="4">
        <f t="shared" si="2"/>
        <v>167</v>
      </c>
      <c r="C171" s="5">
        <v>45735</v>
      </c>
      <c r="D171" s="6" t="s">
        <v>9</v>
      </c>
      <c r="E171" s="6" t="s">
        <v>32</v>
      </c>
      <c r="F171" s="6">
        <v>13</v>
      </c>
      <c r="G171" s="16">
        <v>85795.08</v>
      </c>
      <c r="H171" s="7">
        <v>1115336.04</v>
      </c>
    </row>
    <row r="172" spans="2:8">
      <c r="B172" s="4">
        <f t="shared" si="2"/>
        <v>168</v>
      </c>
      <c r="C172" s="5">
        <v>45821</v>
      </c>
      <c r="D172" s="6" t="s">
        <v>9</v>
      </c>
      <c r="E172" s="6" t="s">
        <v>23</v>
      </c>
      <c r="F172" s="6">
        <v>17</v>
      </c>
      <c r="G172" s="16">
        <v>84263.51</v>
      </c>
      <c r="H172" s="7">
        <v>1432479.67</v>
      </c>
    </row>
    <row r="173" spans="2:8">
      <c r="B173" s="4">
        <f t="shared" si="2"/>
        <v>169</v>
      </c>
      <c r="C173" s="5">
        <v>45664</v>
      </c>
      <c r="D173" s="6" t="s">
        <v>8</v>
      </c>
      <c r="E173" s="6" t="s">
        <v>16</v>
      </c>
      <c r="F173" s="6">
        <v>13</v>
      </c>
      <c r="G173" s="16">
        <v>54761.3</v>
      </c>
      <c r="H173" s="7">
        <v>711896.9</v>
      </c>
    </row>
    <row r="174" spans="2:8">
      <c r="B174" s="4">
        <f t="shared" si="2"/>
        <v>170</v>
      </c>
      <c r="C174" s="5">
        <v>45710</v>
      </c>
      <c r="D174" s="6" t="s">
        <v>6</v>
      </c>
      <c r="E174" s="6" t="s">
        <v>21</v>
      </c>
      <c r="F174" s="6">
        <v>1</v>
      </c>
      <c r="G174" s="16">
        <v>83119.149999999994</v>
      </c>
      <c r="H174" s="7">
        <v>83119.149999999994</v>
      </c>
    </row>
    <row r="175" spans="2:8">
      <c r="B175" s="4">
        <f t="shared" si="2"/>
        <v>171</v>
      </c>
      <c r="C175" s="5">
        <v>45906</v>
      </c>
      <c r="D175" s="6" t="s">
        <v>7</v>
      </c>
      <c r="E175" s="6" t="s">
        <v>12</v>
      </c>
      <c r="F175" s="6">
        <v>15</v>
      </c>
      <c r="G175" s="16">
        <v>58925.93</v>
      </c>
      <c r="H175" s="7">
        <v>883888.95</v>
      </c>
    </row>
    <row r="176" spans="2:8">
      <c r="B176" s="4">
        <f t="shared" si="2"/>
        <v>172</v>
      </c>
      <c r="C176" s="5">
        <v>45871</v>
      </c>
      <c r="D176" s="6" t="s">
        <v>6</v>
      </c>
      <c r="E176" s="6" t="s">
        <v>11</v>
      </c>
      <c r="F176" s="6">
        <v>18</v>
      </c>
      <c r="G176" s="16">
        <v>76046.34</v>
      </c>
      <c r="H176" s="7">
        <v>1368834.12</v>
      </c>
    </row>
    <row r="177" spans="2:8">
      <c r="B177" s="4">
        <f t="shared" si="2"/>
        <v>173</v>
      </c>
      <c r="C177" s="5">
        <v>45923</v>
      </c>
      <c r="D177" s="6" t="s">
        <v>6</v>
      </c>
      <c r="E177" s="6" t="s">
        <v>37</v>
      </c>
      <c r="F177" s="6">
        <v>1</v>
      </c>
      <c r="G177" s="16">
        <v>81566.53</v>
      </c>
      <c r="H177" s="7">
        <v>81566.53</v>
      </c>
    </row>
    <row r="178" spans="2:8">
      <c r="B178" s="4">
        <f t="shared" si="2"/>
        <v>174</v>
      </c>
      <c r="C178" s="5">
        <v>45860</v>
      </c>
      <c r="D178" s="6" t="s">
        <v>8</v>
      </c>
      <c r="E178" s="6" t="s">
        <v>28</v>
      </c>
      <c r="F178" s="6">
        <v>14</v>
      </c>
      <c r="G178" s="16">
        <v>61718.81</v>
      </c>
      <c r="H178" s="7">
        <v>864063.34</v>
      </c>
    </row>
    <row r="179" spans="2:8">
      <c r="B179" s="4">
        <f t="shared" si="2"/>
        <v>175</v>
      </c>
      <c r="C179" s="5">
        <v>45699</v>
      </c>
      <c r="D179" s="6" t="s">
        <v>6</v>
      </c>
      <c r="E179" s="6" t="s">
        <v>22</v>
      </c>
      <c r="F179" s="6">
        <v>3</v>
      </c>
      <c r="G179" s="16">
        <v>41773.29</v>
      </c>
      <c r="H179" s="7">
        <v>125319.87</v>
      </c>
    </row>
    <row r="180" spans="2:8">
      <c r="B180" s="4">
        <f t="shared" si="2"/>
        <v>176</v>
      </c>
      <c r="C180" s="5">
        <v>45789</v>
      </c>
      <c r="D180" s="6" t="s">
        <v>8</v>
      </c>
      <c r="E180" s="6" t="s">
        <v>18</v>
      </c>
      <c r="F180" s="6">
        <v>1</v>
      </c>
      <c r="G180" s="16">
        <v>2196.11</v>
      </c>
      <c r="H180" s="7">
        <v>2196.11</v>
      </c>
    </row>
    <row r="181" spans="2:8">
      <c r="B181" s="4">
        <f t="shared" si="2"/>
        <v>177</v>
      </c>
      <c r="C181" s="5">
        <v>45797</v>
      </c>
      <c r="D181" s="6" t="s">
        <v>10</v>
      </c>
      <c r="E181" s="6" t="s">
        <v>34</v>
      </c>
      <c r="F181" s="6">
        <v>10</v>
      </c>
      <c r="G181" s="16">
        <v>85941.28</v>
      </c>
      <c r="H181" s="7">
        <v>859412.8</v>
      </c>
    </row>
    <row r="182" spans="2:8">
      <c r="B182" s="4">
        <f t="shared" si="2"/>
        <v>178</v>
      </c>
      <c r="C182" s="5">
        <v>45914</v>
      </c>
      <c r="D182" s="6" t="s">
        <v>10</v>
      </c>
      <c r="E182" s="6" t="s">
        <v>24</v>
      </c>
      <c r="F182" s="6">
        <v>11</v>
      </c>
      <c r="G182" s="16">
        <v>69295.34</v>
      </c>
      <c r="H182" s="7">
        <v>762248.74</v>
      </c>
    </row>
    <row r="183" spans="2:8">
      <c r="B183" s="4">
        <f t="shared" si="2"/>
        <v>179</v>
      </c>
      <c r="C183" s="5">
        <v>45793</v>
      </c>
      <c r="D183" s="6" t="s">
        <v>6</v>
      </c>
      <c r="E183" s="6" t="s">
        <v>11</v>
      </c>
      <c r="F183" s="6">
        <v>18</v>
      </c>
      <c r="G183" s="16">
        <v>93929.27</v>
      </c>
      <c r="H183" s="7">
        <v>1690726.86</v>
      </c>
    </row>
    <row r="184" spans="2:8">
      <c r="B184" s="4">
        <f t="shared" si="2"/>
        <v>180</v>
      </c>
      <c r="C184" s="5">
        <v>45680</v>
      </c>
      <c r="D184" s="6" t="s">
        <v>7</v>
      </c>
      <c r="E184" s="6" t="s">
        <v>19</v>
      </c>
      <c r="F184" s="6">
        <v>17</v>
      </c>
      <c r="G184" s="16">
        <v>41616.97</v>
      </c>
      <c r="H184" s="7">
        <v>707488.49</v>
      </c>
    </row>
    <row r="185" spans="2:8">
      <c r="B185" s="4">
        <f t="shared" si="2"/>
        <v>181</v>
      </c>
      <c r="C185" s="5">
        <v>45704</v>
      </c>
      <c r="D185" s="6" t="s">
        <v>8</v>
      </c>
      <c r="E185" s="6" t="s">
        <v>28</v>
      </c>
      <c r="F185" s="6">
        <v>18</v>
      </c>
      <c r="G185" s="16">
        <v>50177.37</v>
      </c>
      <c r="H185" s="7">
        <v>903192.66</v>
      </c>
    </row>
    <row r="186" spans="2:8">
      <c r="B186" s="4">
        <f t="shared" si="2"/>
        <v>182</v>
      </c>
      <c r="C186" s="5">
        <v>45877</v>
      </c>
      <c r="D186" s="6" t="s">
        <v>6</v>
      </c>
      <c r="E186" s="6" t="s">
        <v>22</v>
      </c>
      <c r="F186" s="6">
        <v>9</v>
      </c>
      <c r="G186" s="16">
        <v>95143.23</v>
      </c>
      <c r="H186" s="7">
        <v>856289.07</v>
      </c>
    </row>
    <row r="187" spans="2:8">
      <c r="B187" s="4">
        <f t="shared" si="2"/>
        <v>183</v>
      </c>
      <c r="C187" s="5">
        <v>45714</v>
      </c>
      <c r="D187" s="6" t="s">
        <v>7</v>
      </c>
      <c r="E187" s="6" t="s">
        <v>15</v>
      </c>
      <c r="F187" s="6">
        <v>18</v>
      </c>
      <c r="G187" s="16">
        <v>6252.24</v>
      </c>
      <c r="H187" s="7">
        <v>112540.32</v>
      </c>
    </row>
    <row r="188" spans="2:8">
      <c r="B188" s="4">
        <f t="shared" si="2"/>
        <v>184</v>
      </c>
      <c r="C188" s="5">
        <v>45824</v>
      </c>
      <c r="D188" s="6" t="s">
        <v>6</v>
      </c>
      <c r="E188" s="6" t="s">
        <v>37</v>
      </c>
      <c r="F188" s="6">
        <v>12</v>
      </c>
      <c r="G188" s="16">
        <v>63431.29</v>
      </c>
      <c r="H188" s="7">
        <v>761175.48</v>
      </c>
    </row>
    <row r="189" spans="2:8">
      <c r="B189" s="4">
        <f t="shared" si="2"/>
        <v>185</v>
      </c>
      <c r="C189" s="5">
        <v>45793</v>
      </c>
      <c r="D189" s="6" t="s">
        <v>7</v>
      </c>
      <c r="E189" s="6" t="s">
        <v>13</v>
      </c>
      <c r="F189" s="6">
        <v>18</v>
      </c>
      <c r="G189" s="16">
        <v>62758.45</v>
      </c>
      <c r="H189" s="7">
        <v>1129652.1000000001</v>
      </c>
    </row>
    <row r="190" spans="2:8">
      <c r="B190" s="4">
        <f t="shared" si="2"/>
        <v>186</v>
      </c>
      <c r="C190" s="5">
        <v>45690</v>
      </c>
      <c r="D190" s="6" t="s">
        <v>7</v>
      </c>
      <c r="E190" s="6" t="s">
        <v>19</v>
      </c>
      <c r="F190" s="6">
        <v>15</v>
      </c>
      <c r="G190" s="16">
        <v>4619.1499999999996</v>
      </c>
      <c r="H190" s="7">
        <v>69287.25</v>
      </c>
    </row>
    <row r="191" spans="2:8">
      <c r="B191" s="4">
        <f t="shared" si="2"/>
        <v>187</v>
      </c>
      <c r="C191" s="5">
        <v>45714</v>
      </c>
      <c r="D191" s="6" t="s">
        <v>10</v>
      </c>
      <c r="E191" s="6" t="s">
        <v>24</v>
      </c>
      <c r="F191" s="6">
        <v>17</v>
      </c>
      <c r="G191" s="16">
        <v>83093.38</v>
      </c>
      <c r="H191" s="7">
        <v>1412587.46</v>
      </c>
    </row>
    <row r="192" spans="2:8">
      <c r="B192" s="4">
        <f t="shared" si="2"/>
        <v>188</v>
      </c>
      <c r="C192" s="5">
        <v>45667</v>
      </c>
      <c r="D192" s="6" t="s">
        <v>6</v>
      </c>
      <c r="E192" s="6" t="s">
        <v>36</v>
      </c>
      <c r="F192" s="6">
        <v>9</v>
      </c>
      <c r="G192" s="16">
        <v>98266.57</v>
      </c>
      <c r="H192" s="7">
        <v>884399.13</v>
      </c>
    </row>
    <row r="193" spans="2:8">
      <c r="B193" s="4">
        <f t="shared" si="2"/>
        <v>189</v>
      </c>
      <c r="C193" s="5">
        <v>45915</v>
      </c>
      <c r="D193" s="6" t="s">
        <v>9</v>
      </c>
      <c r="E193" s="6" t="s">
        <v>23</v>
      </c>
      <c r="F193" s="6">
        <v>16</v>
      </c>
      <c r="G193" s="16">
        <v>86799.42</v>
      </c>
      <c r="H193" s="7">
        <v>1388790.72</v>
      </c>
    </row>
    <row r="194" spans="2:8">
      <c r="B194" s="4">
        <f t="shared" si="2"/>
        <v>190</v>
      </c>
      <c r="C194" s="5">
        <v>45811</v>
      </c>
      <c r="D194" s="6" t="s">
        <v>6</v>
      </c>
      <c r="E194" s="6" t="s">
        <v>22</v>
      </c>
      <c r="F194" s="6">
        <v>5</v>
      </c>
      <c r="G194" s="16">
        <v>73037.03</v>
      </c>
      <c r="H194" s="7">
        <v>365185.15</v>
      </c>
    </row>
    <row r="195" spans="2:8">
      <c r="B195" s="4">
        <f t="shared" si="2"/>
        <v>191</v>
      </c>
      <c r="C195" s="5">
        <v>45818</v>
      </c>
      <c r="D195" s="6" t="s">
        <v>6</v>
      </c>
      <c r="E195" s="6" t="s">
        <v>37</v>
      </c>
      <c r="F195" s="6">
        <v>2</v>
      </c>
      <c r="G195" s="16">
        <v>67588.86</v>
      </c>
      <c r="H195" s="7">
        <v>135177.72</v>
      </c>
    </row>
    <row r="196" spans="2:8">
      <c r="B196" s="4">
        <f t="shared" si="2"/>
        <v>192</v>
      </c>
      <c r="C196" s="5">
        <v>45672</v>
      </c>
      <c r="D196" s="6" t="s">
        <v>8</v>
      </c>
      <c r="E196" s="6" t="s">
        <v>28</v>
      </c>
      <c r="F196" s="6">
        <v>8</v>
      </c>
      <c r="G196" s="16">
        <v>3249.6</v>
      </c>
      <c r="H196" s="7">
        <v>25996.799999999999</v>
      </c>
    </row>
    <row r="197" spans="2:8">
      <c r="B197" s="4">
        <f t="shared" si="2"/>
        <v>193</v>
      </c>
      <c r="C197" s="5">
        <v>45858</v>
      </c>
      <c r="D197" s="6" t="s">
        <v>10</v>
      </c>
      <c r="E197" s="6" t="s">
        <v>27</v>
      </c>
      <c r="F197" s="6">
        <v>6</v>
      </c>
      <c r="G197" s="16">
        <v>11717.99</v>
      </c>
      <c r="H197" s="7">
        <v>70307.94</v>
      </c>
    </row>
    <row r="198" spans="2:8">
      <c r="B198" s="4">
        <f t="shared" si="2"/>
        <v>194</v>
      </c>
      <c r="C198" s="5">
        <v>45911</v>
      </c>
      <c r="D198" s="6" t="s">
        <v>6</v>
      </c>
      <c r="E198" s="6" t="s">
        <v>36</v>
      </c>
      <c r="F198" s="6">
        <v>17</v>
      </c>
      <c r="G198" s="16">
        <v>60021.8</v>
      </c>
      <c r="H198" s="7">
        <v>1020370.6</v>
      </c>
    </row>
    <row r="199" spans="2:8">
      <c r="B199" s="4">
        <f t="shared" ref="B199:B262" si="3">B198+1</f>
        <v>195</v>
      </c>
      <c r="C199" s="5">
        <v>45713</v>
      </c>
      <c r="D199" s="6" t="s">
        <v>8</v>
      </c>
      <c r="E199" s="6" t="s">
        <v>18</v>
      </c>
      <c r="F199" s="6">
        <v>18</v>
      </c>
      <c r="G199" s="16">
        <v>18422.02</v>
      </c>
      <c r="H199" s="7">
        <v>331596.36</v>
      </c>
    </row>
    <row r="200" spans="2:8">
      <c r="B200" s="4">
        <f t="shared" si="3"/>
        <v>196</v>
      </c>
      <c r="C200" s="5">
        <v>45874</v>
      </c>
      <c r="D200" s="6" t="s">
        <v>6</v>
      </c>
      <c r="E200" s="6" t="s">
        <v>35</v>
      </c>
      <c r="F200" s="6">
        <v>3</v>
      </c>
      <c r="G200" s="16">
        <v>50347.01</v>
      </c>
      <c r="H200" s="7">
        <v>151041.03</v>
      </c>
    </row>
    <row r="201" spans="2:8">
      <c r="B201" s="4">
        <f t="shared" si="3"/>
        <v>197</v>
      </c>
      <c r="C201" s="5">
        <v>45827</v>
      </c>
      <c r="D201" s="6" t="s">
        <v>7</v>
      </c>
      <c r="E201" s="6" t="s">
        <v>12</v>
      </c>
      <c r="F201" s="6">
        <v>15</v>
      </c>
      <c r="G201" s="16">
        <v>44372.59</v>
      </c>
      <c r="H201" s="7">
        <v>665588.85</v>
      </c>
    </row>
    <row r="202" spans="2:8">
      <c r="B202" s="4">
        <f t="shared" si="3"/>
        <v>198</v>
      </c>
      <c r="C202" s="5">
        <v>45755</v>
      </c>
      <c r="D202" s="6" t="s">
        <v>8</v>
      </c>
      <c r="E202" s="6" t="s">
        <v>18</v>
      </c>
      <c r="F202" s="6">
        <v>15</v>
      </c>
      <c r="G202" s="16">
        <v>6174.78</v>
      </c>
      <c r="H202" s="7">
        <v>92621.7</v>
      </c>
    </row>
    <row r="203" spans="2:8">
      <c r="B203" s="4">
        <f t="shared" si="3"/>
        <v>199</v>
      </c>
      <c r="C203" s="5">
        <v>45864</v>
      </c>
      <c r="D203" s="6" t="s">
        <v>9</v>
      </c>
      <c r="E203" s="6" t="s">
        <v>23</v>
      </c>
      <c r="F203" s="6">
        <v>20</v>
      </c>
      <c r="G203" s="16">
        <v>25246.85</v>
      </c>
      <c r="H203" s="7">
        <v>504937</v>
      </c>
    </row>
    <row r="204" spans="2:8">
      <c r="B204" s="4">
        <f t="shared" si="3"/>
        <v>200</v>
      </c>
      <c r="C204" s="5">
        <v>45902</v>
      </c>
      <c r="D204" s="6" t="s">
        <v>10</v>
      </c>
      <c r="E204" s="6" t="s">
        <v>31</v>
      </c>
      <c r="F204" s="6">
        <v>2</v>
      </c>
      <c r="G204" s="16">
        <v>51570.91</v>
      </c>
      <c r="H204" s="7">
        <v>103141.82</v>
      </c>
    </row>
    <row r="205" spans="2:8">
      <c r="B205" s="4">
        <f t="shared" si="3"/>
        <v>201</v>
      </c>
      <c r="C205" s="5">
        <v>45734</v>
      </c>
      <c r="D205" s="6" t="s">
        <v>9</v>
      </c>
      <c r="E205" s="6" t="s">
        <v>32</v>
      </c>
      <c r="F205" s="6">
        <v>14</v>
      </c>
      <c r="G205" s="16">
        <v>33830.57</v>
      </c>
      <c r="H205" s="7">
        <v>473627.98</v>
      </c>
    </row>
    <row r="206" spans="2:8">
      <c r="B206" s="4">
        <f t="shared" si="3"/>
        <v>202</v>
      </c>
      <c r="C206" s="5">
        <v>45666</v>
      </c>
      <c r="D206" s="6" t="s">
        <v>7</v>
      </c>
      <c r="E206" s="6" t="s">
        <v>13</v>
      </c>
      <c r="F206" s="6">
        <v>4</v>
      </c>
      <c r="G206" s="16">
        <v>51463.1</v>
      </c>
      <c r="H206" s="7">
        <v>205852.4</v>
      </c>
    </row>
    <row r="207" spans="2:8">
      <c r="B207" s="4">
        <f t="shared" si="3"/>
        <v>203</v>
      </c>
      <c r="C207" s="5">
        <v>45894</v>
      </c>
      <c r="D207" s="6" t="s">
        <v>9</v>
      </c>
      <c r="E207" s="6" t="s">
        <v>17</v>
      </c>
      <c r="F207" s="6">
        <v>9</v>
      </c>
      <c r="G207" s="16">
        <v>64978.239999999998</v>
      </c>
      <c r="H207" s="7">
        <v>584804.16</v>
      </c>
    </row>
    <row r="208" spans="2:8">
      <c r="B208" s="4">
        <f t="shared" si="3"/>
        <v>204</v>
      </c>
      <c r="C208" s="5">
        <v>45822</v>
      </c>
      <c r="D208" s="6" t="s">
        <v>9</v>
      </c>
      <c r="E208" s="6" t="s">
        <v>17</v>
      </c>
      <c r="F208" s="6">
        <v>13</v>
      </c>
      <c r="G208" s="16">
        <v>31815.8</v>
      </c>
      <c r="H208" s="7">
        <v>413605.4</v>
      </c>
    </row>
    <row r="209" spans="2:8">
      <c r="B209" s="4">
        <f t="shared" si="3"/>
        <v>205</v>
      </c>
      <c r="C209" s="5">
        <v>45764</v>
      </c>
      <c r="D209" s="6" t="s">
        <v>10</v>
      </c>
      <c r="E209" s="6" t="s">
        <v>24</v>
      </c>
      <c r="F209" s="6">
        <v>9</v>
      </c>
      <c r="G209" s="16">
        <v>53494.34</v>
      </c>
      <c r="H209" s="7">
        <v>481449.06</v>
      </c>
    </row>
    <row r="210" spans="2:8">
      <c r="B210" s="4">
        <f t="shared" si="3"/>
        <v>206</v>
      </c>
      <c r="C210" s="5">
        <v>45910</v>
      </c>
      <c r="D210" s="6" t="s">
        <v>6</v>
      </c>
      <c r="E210" s="6" t="s">
        <v>30</v>
      </c>
      <c r="F210" s="6">
        <v>13</v>
      </c>
      <c r="G210" s="16">
        <v>77260</v>
      </c>
      <c r="H210" s="7">
        <v>1004380</v>
      </c>
    </row>
    <row r="211" spans="2:8">
      <c r="B211" s="4">
        <f t="shared" si="3"/>
        <v>207</v>
      </c>
      <c r="C211" s="5">
        <v>45665</v>
      </c>
      <c r="D211" s="6" t="s">
        <v>7</v>
      </c>
      <c r="E211" s="6" t="s">
        <v>14</v>
      </c>
      <c r="F211" s="6">
        <v>3</v>
      </c>
      <c r="G211" s="16">
        <v>65584.52</v>
      </c>
      <c r="H211" s="7">
        <v>196753.56</v>
      </c>
    </row>
    <row r="212" spans="2:8">
      <c r="B212" s="4">
        <f t="shared" si="3"/>
        <v>208</v>
      </c>
      <c r="C212" s="5">
        <v>45796</v>
      </c>
      <c r="D212" s="6" t="s">
        <v>9</v>
      </c>
      <c r="E212" s="6" t="s">
        <v>17</v>
      </c>
      <c r="F212" s="6">
        <v>14</v>
      </c>
      <c r="G212" s="16">
        <v>12066.19</v>
      </c>
      <c r="H212" s="7">
        <v>168926.66</v>
      </c>
    </row>
    <row r="213" spans="2:8">
      <c r="B213" s="4">
        <f t="shared" si="3"/>
        <v>209</v>
      </c>
      <c r="C213" s="5">
        <v>45721</v>
      </c>
      <c r="D213" s="6" t="s">
        <v>10</v>
      </c>
      <c r="E213" s="6" t="s">
        <v>24</v>
      </c>
      <c r="F213" s="6">
        <v>20</v>
      </c>
      <c r="G213" s="16">
        <v>43189.42</v>
      </c>
      <c r="H213" s="7">
        <v>863788.4</v>
      </c>
    </row>
    <row r="214" spans="2:8">
      <c r="B214" s="4">
        <f t="shared" si="3"/>
        <v>210</v>
      </c>
      <c r="C214" s="5">
        <v>45887</v>
      </c>
      <c r="D214" s="6" t="s">
        <v>6</v>
      </c>
      <c r="E214" s="6" t="s">
        <v>22</v>
      </c>
      <c r="F214" s="6">
        <v>14</v>
      </c>
      <c r="G214" s="16">
        <v>24670.61</v>
      </c>
      <c r="H214" s="7">
        <v>345388.54</v>
      </c>
    </row>
    <row r="215" spans="2:8">
      <c r="B215" s="4">
        <f t="shared" si="3"/>
        <v>211</v>
      </c>
      <c r="C215" s="5">
        <v>45924</v>
      </c>
      <c r="D215" s="6" t="s">
        <v>8</v>
      </c>
      <c r="E215" s="6" t="s">
        <v>28</v>
      </c>
      <c r="F215" s="6">
        <v>2</v>
      </c>
      <c r="G215" s="16">
        <v>33430.080000000002</v>
      </c>
      <c r="H215" s="7">
        <v>66860.160000000003</v>
      </c>
    </row>
    <row r="216" spans="2:8">
      <c r="B216" s="4">
        <f t="shared" si="3"/>
        <v>212</v>
      </c>
      <c r="C216" s="5">
        <v>45794</v>
      </c>
      <c r="D216" s="6" t="s">
        <v>9</v>
      </c>
      <c r="E216" s="6" t="s">
        <v>33</v>
      </c>
      <c r="F216" s="6">
        <v>20</v>
      </c>
      <c r="G216" s="16">
        <v>22190.37</v>
      </c>
      <c r="H216" s="7">
        <v>443807.4</v>
      </c>
    </row>
    <row r="217" spans="2:8">
      <c r="B217" s="4">
        <f t="shared" si="3"/>
        <v>213</v>
      </c>
      <c r="C217" s="5">
        <v>45676</v>
      </c>
      <c r="D217" s="6" t="s">
        <v>9</v>
      </c>
      <c r="E217" s="6" t="s">
        <v>32</v>
      </c>
      <c r="F217" s="6">
        <v>15</v>
      </c>
      <c r="G217" s="16">
        <v>95894.35</v>
      </c>
      <c r="H217" s="7">
        <v>1438415.25</v>
      </c>
    </row>
    <row r="218" spans="2:8">
      <c r="B218" s="4">
        <f t="shared" si="3"/>
        <v>214</v>
      </c>
      <c r="C218" s="5">
        <v>45731</v>
      </c>
      <c r="D218" s="6" t="s">
        <v>7</v>
      </c>
      <c r="E218" s="6" t="s">
        <v>14</v>
      </c>
      <c r="F218" s="6">
        <v>6</v>
      </c>
      <c r="G218" s="16">
        <v>1747.96</v>
      </c>
      <c r="H218" s="7">
        <v>10487.76</v>
      </c>
    </row>
    <row r="219" spans="2:8">
      <c r="B219" s="4">
        <f t="shared" si="3"/>
        <v>215</v>
      </c>
      <c r="C219" s="5">
        <v>45787</v>
      </c>
      <c r="D219" s="6" t="s">
        <v>6</v>
      </c>
      <c r="E219" s="6" t="s">
        <v>11</v>
      </c>
      <c r="F219" s="6">
        <v>4</v>
      </c>
      <c r="G219" s="16">
        <v>12285.73</v>
      </c>
      <c r="H219" s="7">
        <v>49142.92</v>
      </c>
    </row>
    <row r="220" spans="2:8">
      <c r="B220" s="4">
        <f t="shared" si="3"/>
        <v>216</v>
      </c>
      <c r="C220" s="5">
        <v>45903</v>
      </c>
      <c r="D220" s="6" t="s">
        <v>6</v>
      </c>
      <c r="E220" s="6" t="s">
        <v>37</v>
      </c>
      <c r="F220" s="6">
        <v>17</v>
      </c>
      <c r="G220" s="16">
        <v>83640.100000000006</v>
      </c>
      <c r="H220" s="7">
        <v>1421881.7</v>
      </c>
    </row>
    <row r="221" spans="2:8">
      <c r="B221" s="4">
        <f t="shared" si="3"/>
        <v>217</v>
      </c>
      <c r="C221" s="5">
        <v>45720</v>
      </c>
      <c r="D221" s="6" t="s">
        <v>7</v>
      </c>
      <c r="E221" s="6" t="s">
        <v>14</v>
      </c>
      <c r="F221" s="6">
        <v>4</v>
      </c>
      <c r="G221" s="16">
        <v>60962.07</v>
      </c>
      <c r="H221" s="7">
        <v>243848.28</v>
      </c>
    </row>
    <row r="222" spans="2:8">
      <c r="B222" s="4">
        <f t="shared" si="3"/>
        <v>218</v>
      </c>
      <c r="C222" s="5">
        <v>45717</v>
      </c>
      <c r="D222" s="6" t="s">
        <v>10</v>
      </c>
      <c r="E222" s="6" t="s">
        <v>31</v>
      </c>
      <c r="F222" s="6">
        <v>18</v>
      </c>
      <c r="G222" s="16">
        <v>52758.66</v>
      </c>
      <c r="H222" s="7">
        <v>949655.88</v>
      </c>
    </row>
    <row r="223" spans="2:8">
      <c r="B223" s="4">
        <f t="shared" si="3"/>
        <v>219</v>
      </c>
      <c r="C223" s="5">
        <v>45773</v>
      </c>
      <c r="D223" s="6" t="s">
        <v>10</v>
      </c>
      <c r="E223" s="6" t="s">
        <v>27</v>
      </c>
      <c r="F223" s="6">
        <v>3</v>
      </c>
      <c r="G223" s="16">
        <v>85497.39</v>
      </c>
      <c r="H223" s="7">
        <v>256492.17</v>
      </c>
    </row>
    <row r="224" spans="2:8">
      <c r="B224" s="4">
        <f t="shared" si="3"/>
        <v>220</v>
      </c>
      <c r="C224" s="5">
        <v>45764</v>
      </c>
      <c r="D224" s="6" t="s">
        <v>10</v>
      </c>
      <c r="E224" s="6" t="s">
        <v>34</v>
      </c>
      <c r="F224" s="6">
        <v>1</v>
      </c>
      <c r="G224" s="16">
        <v>2441.7199999999998</v>
      </c>
      <c r="H224" s="7">
        <v>2441.7199999999998</v>
      </c>
    </row>
    <row r="225" spans="2:8">
      <c r="B225" s="4">
        <f t="shared" si="3"/>
        <v>221</v>
      </c>
      <c r="C225" s="5">
        <v>45809</v>
      </c>
      <c r="D225" s="6" t="s">
        <v>8</v>
      </c>
      <c r="E225" s="6" t="s">
        <v>28</v>
      </c>
      <c r="F225" s="6">
        <v>13</v>
      </c>
      <c r="G225" s="16">
        <v>67317.539999999994</v>
      </c>
      <c r="H225" s="7">
        <v>875128.02</v>
      </c>
    </row>
    <row r="226" spans="2:8">
      <c r="B226" s="4">
        <f t="shared" si="3"/>
        <v>222</v>
      </c>
      <c r="C226" s="5">
        <v>45664</v>
      </c>
      <c r="D226" s="6" t="s">
        <v>6</v>
      </c>
      <c r="E226" s="6" t="s">
        <v>35</v>
      </c>
      <c r="F226" s="6">
        <v>13</v>
      </c>
      <c r="G226" s="16">
        <v>83671.75</v>
      </c>
      <c r="H226" s="7">
        <v>1087732.75</v>
      </c>
    </row>
    <row r="227" spans="2:8">
      <c r="B227" s="4">
        <f t="shared" si="3"/>
        <v>223</v>
      </c>
      <c r="C227" s="5">
        <v>45714</v>
      </c>
      <c r="D227" s="6" t="s">
        <v>10</v>
      </c>
      <c r="E227" s="6" t="s">
        <v>27</v>
      </c>
      <c r="F227" s="6">
        <v>19</v>
      </c>
      <c r="G227" s="16">
        <v>76211.48</v>
      </c>
      <c r="H227" s="7">
        <v>1448018.12</v>
      </c>
    </row>
    <row r="228" spans="2:8">
      <c r="B228" s="4">
        <f t="shared" si="3"/>
        <v>224</v>
      </c>
      <c r="C228" s="5">
        <v>45836</v>
      </c>
      <c r="D228" s="6" t="s">
        <v>10</v>
      </c>
      <c r="E228" s="6" t="s">
        <v>31</v>
      </c>
      <c r="F228" s="6">
        <v>16</v>
      </c>
      <c r="G228" s="16">
        <v>99704.47</v>
      </c>
      <c r="H228" s="7">
        <v>1595271.52</v>
      </c>
    </row>
    <row r="229" spans="2:8">
      <c r="B229" s="4">
        <f t="shared" si="3"/>
        <v>225</v>
      </c>
      <c r="C229" s="5">
        <v>45841</v>
      </c>
      <c r="D229" s="6" t="s">
        <v>10</v>
      </c>
      <c r="E229" s="6" t="s">
        <v>26</v>
      </c>
      <c r="F229" s="6">
        <v>12</v>
      </c>
      <c r="G229" s="16">
        <v>49562.27</v>
      </c>
      <c r="H229" s="7">
        <v>594747.24</v>
      </c>
    </row>
    <row r="230" spans="2:8">
      <c r="B230" s="4">
        <f t="shared" si="3"/>
        <v>226</v>
      </c>
      <c r="C230" s="5">
        <v>45815</v>
      </c>
      <c r="D230" s="6" t="s">
        <v>8</v>
      </c>
      <c r="E230" s="6" t="s">
        <v>28</v>
      </c>
      <c r="F230" s="6">
        <v>10</v>
      </c>
      <c r="G230" s="16">
        <v>11953.93</v>
      </c>
      <c r="H230" s="7">
        <v>119539.3</v>
      </c>
    </row>
    <row r="231" spans="2:8">
      <c r="B231" s="4">
        <f t="shared" si="3"/>
        <v>227</v>
      </c>
      <c r="C231" s="5">
        <v>45882</v>
      </c>
      <c r="D231" s="6" t="s">
        <v>7</v>
      </c>
      <c r="E231" s="6" t="s">
        <v>13</v>
      </c>
      <c r="F231" s="6">
        <v>14</v>
      </c>
      <c r="G231" s="16">
        <v>84160.62</v>
      </c>
      <c r="H231" s="7">
        <v>1178248.68</v>
      </c>
    </row>
    <row r="232" spans="2:8">
      <c r="B232" s="4">
        <f t="shared" si="3"/>
        <v>228</v>
      </c>
      <c r="C232" s="5">
        <v>45902</v>
      </c>
      <c r="D232" s="6" t="s">
        <v>8</v>
      </c>
      <c r="E232" s="6" t="s">
        <v>16</v>
      </c>
      <c r="F232" s="6">
        <v>13</v>
      </c>
      <c r="G232" s="16">
        <v>99205.45</v>
      </c>
      <c r="H232" s="7">
        <v>1289670.8500000001</v>
      </c>
    </row>
    <row r="233" spans="2:8">
      <c r="B233" s="4">
        <f t="shared" si="3"/>
        <v>229</v>
      </c>
      <c r="C233" s="5">
        <v>45694</v>
      </c>
      <c r="D233" s="6" t="s">
        <v>8</v>
      </c>
      <c r="E233" s="6" t="s">
        <v>18</v>
      </c>
      <c r="F233" s="6">
        <v>14</v>
      </c>
      <c r="G233" s="16">
        <v>15538.23</v>
      </c>
      <c r="H233" s="7">
        <v>217535.22</v>
      </c>
    </row>
    <row r="234" spans="2:8">
      <c r="B234" s="4">
        <f t="shared" si="3"/>
        <v>230</v>
      </c>
      <c r="C234" s="5">
        <v>45689</v>
      </c>
      <c r="D234" s="6" t="s">
        <v>7</v>
      </c>
      <c r="E234" s="6" t="s">
        <v>12</v>
      </c>
      <c r="F234" s="6">
        <v>19</v>
      </c>
      <c r="G234" s="16">
        <v>82512.77</v>
      </c>
      <c r="H234" s="7">
        <v>1567742.63</v>
      </c>
    </row>
    <row r="235" spans="2:8">
      <c r="B235" s="4">
        <f t="shared" si="3"/>
        <v>231</v>
      </c>
      <c r="C235" s="5">
        <v>45691</v>
      </c>
      <c r="D235" s="6" t="s">
        <v>7</v>
      </c>
      <c r="E235" s="6" t="s">
        <v>14</v>
      </c>
      <c r="F235" s="6">
        <v>7</v>
      </c>
      <c r="G235" s="16">
        <v>13694.54</v>
      </c>
      <c r="H235" s="7">
        <v>95861.78</v>
      </c>
    </row>
    <row r="236" spans="2:8">
      <c r="B236" s="4">
        <f t="shared" si="3"/>
        <v>232</v>
      </c>
      <c r="C236" s="5">
        <v>45854</v>
      </c>
      <c r="D236" s="6" t="s">
        <v>9</v>
      </c>
      <c r="E236" s="6" t="s">
        <v>33</v>
      </c>
      <c r="F236" s="6">
        <v>15</v>
      </c>
      <c r="G236" s="16">
        <v>17995.05</v>
      </c>
      <c r="H236" s="7">
        <v>269925.75</v>
      </c>
    </row>
    <row r="237" spans="2:8">
      <c r="B237" s="4">
        <f t="shared" si="3"/>
        <v>233</v>
      </c>
      <c r="C237" s="5">
        <v>45799</v>
      </c>
      <c r="D237" s="6" t="s">
        <v>7</v>
      </c>
      <c r="E237" s="6" t="s">
        <v>15</v>
      </c>
      <c r="F237" s="6">
        <v>14</v>
      </c>
      <c r="G237" s="16">
        <v>6064</v>
      </c>
      <c r="H237" s="7">
        <v>84896</v>
      </c>
    </row>
    <row r="238" spans="2:8">
      <c r="B238" s="4">
        <f t="shared" si="3"/>
        <v>234</v>
      </c>
      <c r="C238" s="5">
        <v>45667</v>
      </c>
      <c r="D238" s="6" t="s">
        <v>7</v>
      </c>
      <c r="E238" s="6" t="s">
        <v>15</v>
      </c>
      <c r="F238" s="6">
        <v>10</v>
      </c>
      <c r="G238" s="16">
        <v>81154.33</v>
      </c>
      <c r="H238" s="7">
        <v>811543.3</v>
      </c>
    </row>
    <row r="239" spans="2:8">
      <c r="B239" s="4">
        <f t="shared" si="3"/>
        <v>235</v>
      </c>
      <c r="C239" s="5">
        <v>45887</v>
      </c>
      <c r="D239" s="6" t="s">
        <v>8</v>
      </c>
      <c r="E239" s="6" t="s">
        <v>28</v>
      </c>
      <c r="F239" s="6">
        <v>18</v>
      </c>
      <c r="G239" s="16">
        <v>21601.06</v>
      </c>
      <c r="H239" s="7">
        <v>388819.08</v>
      </c>
    </row>
    <row r="240" spans="2:8">
      <c r="B240" s="4">
        <f t="shared" si="3"/>
        <v>236</v>
      </c>
      <c r="C240" s="5">
        <v>45818</v>
      </c>
      <c r="D240" s="6" t="s">
        <v>9</v>
      </c>
      <c r="E240" s="6" t="s">
        <v>25</v>
      </c>
      <c r="F240" s="6">
        <v>7</v>
      </c>
      <c r="G240" s="16">
        <v>95365.64</v>
      </c>
      <c r="H240" s="7">
        <v>667559.48</v>
      </c>
    </row>
    <row r="241" spans="2:8">
      <c r="B241" s="4">
        <f t="shared" si="3"/>
        <v>237</v>
      </c>
      <c r="C241" s="5">
        <v>45685</v>
      </c>
      <c r="D241" s="6" t="s">
        <v>7</v>
      </c>
      <c r="E241" s="6" t="s">
        <v>12</v>
      </c>
      <c r="F241" s="6">
        <v>9</v>
      </c>
      <c r="G241" s="16">
        <v>94534.95</v>
      </c>
      <c r="H241" s="7">
        <v>850814.55</v>
      </c>
    </row>
    <row r="242" spans="2:8">
      <c r="B242" s="4">
        <f t="shared" si="3"/>
        <v>238</v>
      </c>
      <c r="C242" s="5">
        <v>45725</v>
      </c>
      <c r="D242" s="6" t="s">
        <v>8</v>
      </c>
      <c r="E242" s="6" t="s">
        <v>18</v>
      </c>
      <c r="F242" s="6">
        <v>2</v>
      </c>
      <c r="G242" s="16">
        <v>44356.44</v>
      </c>
      <c r="H242" s="7">
        <v>88712.88</v>
      </c>
    </row>
    <row r="243" spans="2:8">
      <c r="B243" s="4">
        <f t="shared" si="3"/>
        <v>239</v>
      </c>
      <c r="C243" s="5">
        <v>45796</v>
      </c>
      <c r="D243" s="6" t="s">
        <v>7</v>
      </c>
      <c r="E243" s="6" t="s">
        <v>19</v>
      </c>
      <c r="F243" s="6">
        <v>2</v>
      </c>
      <c r="G243" s="16">
        <v>47787.61</v>
      </c>
      <c r="H243" s="7">
        <v>95575.22</v>
      </c>
    </row>
    <row r="244" spans="2:8">
      <c r="B244" s="4">
        <f t="shared" si="3"/>
        <v>240</v>
      </c>
      <c r="C244" s="5">
        <v>45870</v>
      </c>
      <c r="D244" s="6" t="s">
        <v>9</v>
      </c>
      <c r="E244" s="6" t="s">
        <v>32</v>
      </c>
      <c r="F244" s="6">
        <v>8</v>
      </c>
      <c r="G244" s="16">
        <v>53397.22</v>
      </c>
      <c r="H244" s="7">
        <v>427177.76</v>
      </c>
    </row>
    <row r="245" spans="2:8">
      <c r="B245" s="4">
        <f t="shared" si="3"/>
        <v>241</v>
      </c>
      <c r="C245" s="5">
        <v>45829</v>
      </c>
      <c r="D245" s="6" t="s">
        <v>8</v>
      </c>
      <c r="E245" s="6" t="s">
        <v>28</v>
      </c>
      <c r="F245" s="6">
        <v>3</v>
      </c>
      <c r="G245" s="16">
        <v>56879.26</v>
      </c>
      <c r="H245" s="7">
        <v>170637.78</v>
      </c>
    </row>
    <row r="246" spans="2:8">
      <c r="B246" s="4">
        <f t="shared" si="3"/>
        <v>242</v>
      </c>
      <c r="C246" s="5">
        <v>45874</v>
      </c>
      <c r="D246" s="6" t="s">
        <v>9</v>
      </c>
      <c r="E246" s="6" t="s">
        <v>23</v>
      </c>
      <c r="F246" s="6">
        <v>6</v>
      </c>
      <c r="G246" s="16">
        <v>85583.03</v>
      </c>
      <c r="H246" s="7">
        <v>513498.18</v>
      </c>
    </row>
    <row r="247" spans="2:8">
      <c r="B247" s="4">
        <f t="shared" si="3"/>
        <v>243</v>
      </c>
      <c r="C247" s="5">
        <v>45827</v>
      </c>
      <c r="D247" s="6" t="s">
        <v>9</v>
      </c>
      <c r="E247" s="6" t="s">
        <v>33</v>
      </c>
      <c r="F247" s="6">
        <v>8</v>
      </c>
      <c r="G247" s="16">
        <v>44980.24</v>
      </c>
      <c r="H247" s="7">
        <v>359841.92</v>
      </c>
    </row>
    <row r="248" spans="2:8">
      <c r="B248" s="4">
        <f t="shared" si="3"/>
        <v>244</v>
      </c>
      <c r="C248" s="5">
        <v>45778</v>
      </c>
      <c r="D248" s="6" t="s">
        <v>6</v>
      </c>
      <c r="E248" s="6" t="s">
        <v>22</v>
      </c>
      <c r="F248" s="6">
        <v>15</v>
      </c>
      <c r="G248" s="16">
        <v>67270.820000000007</v>
      </c>
      <c r="H248" s="7">
        <v>1009062.3</v>
      </c>
    </row>
    <row r="249" spans="2:8">
      <c r="B249" s="4">
        <f t="shared" si="3"/>
        <v>245</v>
      </c>
      <c r="C249" s="5">
        <v>45865</v>
      </c>
      <c r="D249" s="6" t="s">
        <v>9</v>
      </c>
      <c r="E249" s="6" t="s">
        <v>23</v>
      </c>
      <c r="F249" s="6">
        <v>2</v>
      </c>
      <c r="G249" s="16">
        <v>57081.77</v>
      </c>
      <c r="H249" s="7">
        <v>114163.54</v>
      </c>
    </row>
    <row r="250" spans="2:8">
      <c r="B250" s="4">
        <f t="shared" si="3"/>
        <v>246</v>
      </c>
      <c r="C250" s="5">
        <v>45817</v>
      </c>
      <c r="D250" s="6" t="s">
        <v>6</v>
      </c>
      <c r="E250" s="6" t="s">
        <v>35</v>
      </c>
      <c r="F250" s="6">
        <v>4</v>
      </c>
      <c r="G250" s="16">
        <v>6622.95</v>
      </c>
      <c r="H250" s="7">
        <v>26491.8</v>
      </c>
    </row>
    <row r="251" spans="2:8">
      <c r="B251" s="4">
        <f t="shared" si="3"/>
        <v>247</v>
      </c>
      <c r="C251" s="5">
        <v>45663</v>
      </c>
      <c r="D251" s="6" t="s">
        <v>10</v>
      </c>
      <c r="E251" s="6" t="s">
        <v>26</v>
      </c>
      <c r="F251" s="6">
        <v>10</v>
      </c>
      <c r="G251" s="16">
        <v>8590.4</v>
      </c>
      <c r="H251" s="7">
        <v>85904</v>
      </c>
    </row>
    <row r="252" spans="2:8">
      <c r="B252" s="4">
        <f t="shared" si="3"/>
        <v>248</v>
      </c>
      <c r="C252" s="5">
        <v>45831</v>
      </c>
      <c r="D252" s="6" t="s">
        <v>9</v>
      </c>
      <c r="E252" s="6" t="s">
        <v>25</v>
      </c>
      <c r="F252" s="6">
        <v>17</v>
      </c>
      <c r="G252" s="16">
        <v>63577.2</v>
      </c>
      <c r="H252" s="7">
        <v>1080812.3999999999</v>
      </c>
    </row>
    <row r="253" spans="2:8">
      <c r="B253" s="4">
        <f t="shared" si="3"/>
        <v>249</v>
      </c>
      <c r="C253" s="5">
        <v>45749</v>
      </c>
      <c r="D253" s="6" t="s">
        <v>8</v>
      </c>
      <c r="E253" s="6" t="s">
        <v>29</v>
      </c>
      <c r="F253" s="6">
        <v>2</v>
      </c>
      <c r="G253" s="16">
        <v>22629.02</v>
      </c>
      <c r="H253" s="7">
        <v>45258.04</v>
      </c>
    </row>
    <row r="254" spans="2:8">
      <c r="B254" s="4">
        <f t="shared" si="3"/>
        <v>250</v>
      </c>
      <c r="C254" s="5">
        <v>45821</v>
      </c>
      <c r="D254" s="6" t="s">
        <v>10</v>
      </c>
      <c r="E254" s="6" t="s">
        <v>26</v>
      </c>
      <c r="F254" s="6">
        <v>1</v>
      </c>
      <c r="G254" s="16">
        <v>50450.68</v>
      </c>
      <c r="H254" s="7">
        <v>50450.68</v>
      </c>
    </row>
    <row r="255" spans="2:8">
      <c r="B255" s="4">
        <f t="shared" si="3"/>
        <v>251</v>
      </c>
      <c r="C255" s="5">
        <v>45762</v>
      </c>
      <c r="D255" s="6" t="s">
        <v>7</v>
      </c>
      <c r="E255" s="6" t="s">
        <v>14</v>
      </c>
      <c r="F255" s="6">
        <v>19</v>
      </c>
      <c r="G255" s="16">
        <v>34372.160000000003</v>
      </c>
      <c r="H255" s="7">
        <v>653071.04</v>
      </c>
    </row>
    <row r="256" spans="2:8">
      <c r="B256" s="4">
        <f t="shared" si="3"/>
        <v>252</v>
      </c>
      <c r="C256" s="5">
        <v>45927</v>
      </c>
      <c r="D256" s="6" t="s">
        <v>9</v>
      </c>
      <c r="E256" s="6" t="s">
        <v>33</v>
      </c>
      <c r="F256" s="6">
        <v>7</v>
      </c>
      <c r="G256" s="16">
        <v>88404.51</v>
      </c>
      <c r="H256" s="7">
        <v>618831.56999999995</v>
      </c>
    </row>
    <row r="257" spans="2:8">
      <c r="B257" s="4">
        <f t="shared" si="3"/>
        <v>253</v>
      </c>
      <c r="C257" s="5">
        <v>45739</v>
      </c>
      <c r="D257" s="6" t="s">
        <v>10</v>
      </c>
      <c r="E257" s="6" t="s">
        <v>31</v>
      </c>
      <c r="F257" s="6">
        <v>14</v>
      </c>
      <c r="G257" s="16">
        <v>95276.99</v>
      </c>
      <c r="H257" s="7">
        <v>1333877.8600000001</v>
      </c>
    </row>
    <row r="258" spans="2:8">
      <c r="B258" s="4">
        <f t="shared" si="3"/>
        <v>254</v>
      </c>
      <c r="C258" s="5">
        <v>45737</v>
      </c>
      <c r="D258" s="6" t="s">
        <v>7</v>
      </c>
      <c r="E258" s="6" t="s">
        <v>12</v>
      </c>
      <c r="F258" s="6">
        <v>1</v>
      </c>
      <c r="G258" s="16">
        <v>63408.26</v>
      </c>
      <c r="H258" s="7">
        <v>63408.26</v>
      </c>
    </row>
    <row r="259" spans="2:8">
      <c r="B259" s="4">
        <f t="shared" si="3"/>
        <v>255</v>
      </c>
      <c r="C259" s="5">
        <v>45923</v>
      </c>
      <c r="D259" s="6" t="s">
        <v>9</v>
      </c>
      <c r="E259" s="6" t="s">
        <v>33</v>
      </c>
      <c r="F259" s="6">
        <v>17</v>
      </c>
      <c r="G259" s="16">
        <v>10866.12</v>
      </c>
      <c r="H259" s="7">
        <v>184724.04</v>
      </c>
    </row>
    <row r="260" spans="2:8">
      <c r="B260" s="4">
        <f t="shared" si="3"/>
        <v>256</v>
      </c>
      <c r="C260" s="5">
        <v>45891</v>
      </c>
      <c r="D260" s="6" t="s">
        <v>7</v>
      </c>
      <c r="E260" s="6" t="s">
        <v>12</v>
      </c>
      <c r="F260" s="6">
        <v>4</v>
      </c>
      <c r="G260" s="16">
        <v>68120.75</v>
      </c>
      <c r="H260" s="7">
        <v>272483</v>
      </c>
    </row>
    <row r="261" spans="2:8">
      <c r="B261" s="4">
        <f t="shared" si="3"/>
        <v>257</v>
      </c>
      <c r="C261" s="5">
        <v>45779</v>
      </c>
      <c r="D261" s="6" t="s">
        <v>7</v>
      </c>
      <c r="E261" s="6" t="s">
        <v>19</v>
      </c>
      <c r="F261" s="6">
        <v>2</v>
      </c>
      <c r="G261" s="16">
        <v>32685.53</v>
      </c>
      <c r="H261" s="7">
        <v>65371.06</v>
      </c>
    </row>
    <row r="262" spans="2:8">
      <c r="B262" s="4">
        <f t="shared" si="3"/>
        <v>258</v>
      </c>
      <c r="C262" s="5">
        <v>45680</v>
      </c>
      <c r="D262" s="6" t="s">
        <v>7</v>
      </c>
      <c r="E262" s="6" t="s">
        <v>15</v>
      </c>
      <c r="F262" s="6">
        <v>2</v>
      </c>
      <c r="G262" s="16">
        <v>35577.46</v>
      </c>
      <c r="H262" s="7">
        <v>71154.92</v>
      </c>
    </row>
    <row r="263" spans="2:8">
      <c r="B263" s="4">
        <f t="shared" ref="B263:B326" si="4">B262+1</f>
        <v>259</v>
      </c>
      <c r="C263" s="5">
        <v>45739</v>
      </c>
      <c r="D263" s="6" t="s">
        <v>9</v>
      </c>
      <c r="E263" s="6" t="s">
        <v>17</v>
      </c>
      <c r="F263" s="6">
        <v>10</v>
      </c>
      <c r="G263" s="16">
        <v>40468.589999999997</v>
      </c>
      <c r="H263" s="7">
        <v>404685.9</v>
      </c>
    </row>
    <row r="264" spans="2:8">
      <c r="B264" s="4">
        <f t="shared" si="4"/>
        <v>260</v>
      </c>
      <c r="C264" s="5">
        <v>45767</v>
      </c>
      <c r="D264" s="6" t="s">
        <v>7</v>
      </c>
      <c r="E264" s="6" t="s">
        <v>12</v>
      </c>
      <c r="F264" s="6">
        <v>20</v>
      </c>
      <c r="G264" s="16">
        <v>23762.33</v>
      </c>
      <c r="H264" s="7">
        <v>475246.6</v>
      </c>
    </row>
    <row r="265" spans="2:8">
      <c r="B265" s="4">
        <f t="shared" si="4"/>
        <v>261</v>
      </c>
      <c r="C265" s="5">
        <v>45920</v>
      </c>
      <c r="D265" s="6" t="s">
        <v>10</v>
      </c>
      <c r="E265" s="6" t="s">
        <v>31</v>
      </c>
      <c r="F265" s="6">
        <v>7</v>
      </c>
      <c r="G265" s="16">
        <v>42441.45</v>
      </c>
      <c r="H265" s="7">
        <v>297090.15000000002</v>
      </c>
    </row>
    <row r="266" spans="2:8">
      <c r="B266" s="4">
        <f t="shared" si="4"/>
        <v>262</v>
      </c>
      <c r="C266" s="5">
        <v>45871</v>
      </c>
      <c r="D266" s="6" t="s">
        <v>7</v>
      </c>
      <c r="E266" s="6" t="s">
        <v>14</v>
      </c>
      <c r="F266" s="6">
        <v>16</v>
      </c>
      <c r="G266" s="16">
        <v>17307.89</v>
      </c>
      <c r="H266" s="7">
        <v>276926.24</v>
      </c>
    </row>
    <row r="267" spans="2:8">
      <c r="B267" s="4">
        <f t="shared" si="4"/>
        <v>263</v>
      </c>
      <c r="C267" s="5">
        <v>45823</v>
      </c>
      <c r="D267" s="6" t="s">
        <v>8</v>
      </c>
      <c r="E267" s="6" t="s">
        <v>16</v>
      </c>
      <c r="F267" s="6">
        <v>20</v>
      </c>
      <c r="G267" s="16">
        <v>72460.899999999994</v>
      </c>
      <c r="H267" s="7">
        <v>1449218</v>
      </c>
    </row>
    <row r="268" spans="2:8">
      <c r="B268" s="4">
        <f t="shared" si="4"/>
        <v>264</v>
      </c>
      <c r="C268" s="5">
        <v>45726</v>
      </c>
      <c r="D268" s="6" t="s">
        <v>9</v>
      </c>
      <c r="E268" s="6" t="s">
        <v>23</v>
      </c>
      <c r="F268" s="6">
        <v>15</v>
      </c>
      <c r="G268" s="16">
        <v>89092.92</v>
      </c>
      <c r="H268" s="7">
        <v>1336393.8</v>
      </c>
    </row>
    <row r="269" spans="2:8">
      <c r="B269" s="4">
        <f t="shared" si="4"/>
        <v>265</v>
      </c>
      <c r="C269" s="5">
        <v>45863</v>
      </c>
      <c r="D269" s="6" t="s">
        <v>9</v>
      </c>
      <c r="E269" s="6" t="s">
        <v>32</v>
      </c>
      <c r="F269" s="6">
        <v>14</v>
      </c>
      <c r="G269" s="16">
        <v>79789.7</v>
      </c>
      <c r="H269" s="7">
        <v>1117055.8</v>
      </c>
    </row>
    <row r="270" spans="2:8">
      <c r="B270" s="4">
        <f t="shared" si="4"/>
        <v>266</v>
      </c>
      <c r="C270" s="5">
        <v>45786</v>
      </c>
      <c r="D270" s="6" t="s">
        <v>8</v>
      </c>
      <c r="E270" s="6" t="s">
        <v>20</v>
      </c>
      <c r="F270" s="6">
        <v>15</v>
      </c>
      <c r="G270" s="16">
        <v>58652.27</v>
      </c>
      <c r="H270" s="7">
        <v>879784.05</v>
      </c>
    </row>
    <row r="271" spans="2:8">
      <c r="B271" s="4">
        <f t="shared" si="4"/>
        <v>267</v>
      </c>
      <c r="C271" s="5">
        <v>45895</v>
      </c>
      <c r="D271" s="6" t="s">
        <v>9</v>
      </c>
      <c r="E271" s="6" t="s">
        <v>25</v>
      </c>
      <c r="F271" s="6">
        <v>17</v>
      </c>
      <c r="G271" s="16">
        <v>94901.13</v>
      </c>
      <c r="H271" s="7">
        <v>1613319.21</v>
      </c>
    </row>
    <row r="272" spans="2:8">
      <c r="B272" s="4">
        <f t="shared" si="4"/>
        <v>268</v>
      </c>
      <c r="C272" s="5">
        <v>45849</v>
      </c>
      <c r="D272" s="6" t="s">
        <v>8</v>
      </c>
      <c r="E272" s="6" t="s">
        <v>28</v>
      </c>
      <c r="F272" s="6">
        <v>17</v>
      </c>
      <c r="G272" s="16">
        <v>97570.14</v>
      </c>
      <c r="H272" s="7">
        <v>1658692.38</v>
      </c>
    </row>
    <row r="273" spans="2:8">
      <c r="B273" s="4">
        <f t="shared" si="4"/>
        <v>269</v>
      </c>
      <c r="C273" s="5">
        <v>45732</v>
      </c>
      <c r="D273" s="6" t="s">
        <v>6</v>
      </c>
      <c r="E273" s="6" t="s">
        <v>22</v>
      </c>
      <c r="F273" s="6">
        <v>5</v>
      </c>
      <c r="G273" s="16">
        <v>18932.439999999999</v>
      </c>
      <c r="H273" s="7">
        <v>94662.2</v>
      </c>
    </row>
    <row r="274" spans="2:8">
      <c r="B274" s="4">
        <f t="shared" si="4"/>
        <v>270</v>
      </c>
      <c r="C274" s="5">
        <v>45665</v>
      </c>
      <c r="D274" s="6" t="s">
        <v>10</v>
      </c>
      <c r="E274" s="6" t="s">
        <v>27</v>
      </c>
      <c r="F274" s="6">
        <v>14</v>
      </c>
      <c r="G274" s="16">
        <v>3856.16</v>
      </c>
      <c r="H274" s="7">
        <v>53986.239999999998</v>
      </c>
    </row>
    <row r="275" spans="2:8">
      <c r="B275" s="4">
        <f t="shared" si="4"/>
        <v>271</v>
      </c>
      <c r="C275" s="5">
        <v>45821</v>
      </c>
      <c r="D275" s="6" t="s">
        <v>9</v>
      </c>
      <c r="E275" s="6" t="s">
        <v>25</v>
      </c>
      <c r="F275" s="6">
        <v>15</v>
      </c>
      <c r="G275" s="16">
        <v>79288.100000000006</v>
      </c>
      <c r="H275" s="7">
        <v>1189321.5</v>
      </c>
    </row>
    <row r="276" spans="2:8">
      <c r="B276" s="4">
        <f t="shared" si="4"/>
        <v>272</v>
      </c>
      <c r="C276" s="5">
        <v>45683</v>
      </c>
      <c r="D276" s="6" t="s">
        <v>6</v>
      </c>
      <c r="E276" s="6" t="s">
        <v>35</v>
      </c>
      <c r="F276" s="6">
        <v>4</v>
      </c>
      <c r="G276" s="16">
        <v>32175.64</v>
      </c>
      <c r="H276" s="7">
        <v>128702.56</v>
      </c>
    </row>
    <row r="277" spans="2:8">
      <c r="B277" s="4">
        <f t="shared" si="4"/>
        <v>273</v>
      </c>
      <c r="C277" s="5">
        <v>45795</v>
      </c>
      <c r="D277" s="6" t="s">
        <v>6</v>
      </c>
      <c r="E277" s="6" t="s">
        <v>11</v>
      </c>
      <c r="F277" s="6">
        <v>15</v>
      </c>
      <c r="G277" s="16">
        <v>93873.69</v>
      </c>
      <c r="H277" s="7">
        <v>1408105.35</v>
      </c>
    </row>
    <row r="278" spans="2:8">
      <c r="B278" s="4">
        <f t="shared" si="4"/>
        <v>274</v>
      </c>
      <c r="C278" s="5">
        <v>45726</v>
      </c>
      <c r="D278" s="6" t="s">
        <v>10</v>
      </c>
      <c r="E278" s="6" t="s">
        <v>26</v>
      </c>
      <c r="F278" s="6">
        <v>17</v>
      </c>
      <c r="G278" s="16">
        <v>66850.89</v>
      </c>
      <c r="H278" s="7">
        <v>1136465.1299999999</v>
      </c>
    </row>
    <row r="279" spans="2:8">
      <c r="B279" s="4">
        <f t="shared" si="4"/>
        <v>275</v>
      </c>
      <c r="C279" s="5">
        <v>45731</v>
      </c>
      <c r="D279" s="6" t="s">
        <v>7</v>
      </c>
      <c r="E279" s="6" t="s">
        <v>14</v>
      </c>
      <c r="F279" s="6">
        <v>4</v>
      </c>
      <c r="G279" s="16">
        <v>76491.179999999993</v>
      </c>
      <c r="H279" s="7">
        <v>305964.71999999997</v>
      </c>
    </row>
    <row r="280" spans="2:8">
      <c r="B280" s="4">
        <f t="shared" si="4"/>
        <v>276</v>
      </c>
      <c r="C280" s="5">
        <v>45915</v>
      </c>
      <c r="D280" s="6" t="s">
        <v>8</v>
      </c>
      <c r="E280" s="6" t="s">
        <v>20</v>
      </c>
      <c r="F280" s="6">
        <v>7</v>
      </c>
      <c r="G280" s="16">
        <v>14691.87</v>
      </c>
      <c r="H280" s="7">
        <v>102843.09</v>
      </c>
    </row>
    <row r="281" spans="2:8">
      <c r="B281" s="4">
        <f t="shared" si="4"/>
        <v>277</v>
      </c>
      <c r="C281" s="5">
        <v>45915</v>
      </c>
      <c r="D281" s="6" t="s">
        <v>10</v>
      </c>
      <c r="E281" s="6" t="s">
        <v>31</v>
      </c>
      <c r="F281" s="6">
        <v>1</v>
      </c>
      <c r="G281" s="16">
        <v>85723.19</v>
      </c>
      <c r="H281" s="7">
        <v>85723.19</v>
      </c>
    </row>
    <row r="282" spans="2:8">
      <c r="B282" s="4">
        <f t="shared" si="4"/>
        <v>278</v>
      </c>
      <c r="C282" s="5">
        <v>45805</v>
      </c>
      <c r="D282" s="6" t="s">
        <v>7</v>
      </c>
      <c r="E282" s="6" t="s">
        <v>13</v>
      </c>
      <c r="F282" s="6">
        <v>4</v>
      </c>
      <c r="G282" s="16">
        <v>43007.61</v>
      </c>
      <c r="H282" s="7">
        <v>172030.44</v>
      </c>
    </row>
    <row r="283" spans="2:8">
      <c r="B283" s="4">
        <f t="shared" si="4"/>
        <v>279</v>
      </c>
      <c r="C283" s="5">
        <v>45811</v>
      </c>
      <c r="D283" s="6" t="s">
        <v>8</v>
      </c>
      <c r="E283" s="6" t="s">
        <v>16</v>
      </c>
      <c r="F283" s="6">
        <v>13</v>
      </c>
      <c r="G283" s="16">
        <v>76730.080000000002</v>
      </c>
      <c r="H283" s="7">
        <v>997491.04</v>
      </c>
    </row>
    <row r="284" spans="2:8">
      <c r="B284" s="4">
        <f t="shared" si="4"/>
        <v>280</v>
      </c>
      <c r="C284" s="5">
        <v>45692</v>
      </c>
      <c r="D284" s="6" t="s">
        <v>9</v>
      </c>
      <c r="E284" s="6" t="s">
        <v>25</v>
      </c>
      <c r="F284" s="6">
        <v>1</v>
      </c>
      <c r="G284" s="16">
        <v>39122.269999999997</v>
      </c>
      <c r="H284" s="7">
        <v>39122.269999999997</v>
      </c>
    </row>
    <row r="285" spans="2:8">
      <c r="B285" s="4">
        <f t="shared" si="4"/>
        <v>281</v>
      </c>
      <c r="C285" s="5">
        <v>45790</v>
      </c>
      <c r="D285" s="6" t="s">
        <v>7</v>
      </c>
      <c r="E285" s="6" t="s">
        <v>12</v>
      </c>
      <c r="F285" s="6">
        <v>3</v>
      </c>
      <c r="G285" s="16">
        <v>69239.59</v>
      </c>
      <c r="H285" s="7">
        <v>207718.77</v>
      </c>
    </row>
    <row r="286" spans="2:8">
      <c r="B286" s="4">
        <f t="shared" si="4"/>
        <v>282</v>
      </c>
      <c r="C286" s="5">
        <v>45671</v>
      </c>
      <c r="D286" s="6" t="s">
        <v>8</v>
      </c>
      <c r="E286" s="6" t="s">
        <v>28</v>
      </c>
      <c r="F286" s="6">
        <v>18</v>
      </c>
      <c r="G286" s="16">
        <v>70874.83</v>
      </c>
      <c r="H286" s="7">
        <v>1275746.94</v>
      </c>
    </row>
    <row r="287" spans="2:8">
      <c r="B287" s="4">
        <f t="shared" si="4"/>
        <v>283</v>
      </c>
      <c r="C287" s="5">
        <v>45844</v>
      </c>
      <c r="D287" s="6" t="s">
        <v>10</v>
      </c>
      <c r="E287" s="6" t="s">
        <v>26</v>
      </c>
      <c r="F287" s="6">
        <v>13</v>
      </c>
      <c r="G287" s="16">
        <v>86817.64</v>
      </c>
      <c r="H287" s="7">
        <v>1128629.32</v>
      </c>
    </row>
    <row r="288" spans="2:8">
      <c r="B288" s="4">
        <f t="shared" si="4"/>
        <v>284</v>
      </c>
      <c r="C288" s="5">
        <v>45734</v>
      </c>
      <c r="D288" s="6" t="s">
        <v>10</v>
      </c>
      <c r="E288" s="6" t="s">
        <v>24</v>
      </c>
      <c r="F288" s="6">
        <v>15</v>
      </c>
      <c r="G288" s="16">
        <v>17486.98</v>
      </c>
      <c r="H288" s="7">
        <v>262304.7</v>
      </c>
    </row>
    <row r="289" spans="2:8">
      <c r="B289" s="4">
        <f t="shared" si="4"/>
        <v>285</v>
      </c>
      <c r="C289" s="5">
        <v>45845</v>
      </c>
      <c r="D289" s="6" t="s">
        <v>10</v>
      </c>
      <c r="E289" s="6" t="s">
        <v>26</v>
      </c>
      <c r="F289" s="6">
        <v>14</v>
      </c>
      <c r="G289" s="16">
        <v>92313.07</v>
      </c>
      <c r="H289" s="7">
        <v>1292382.98</v>
      </c>
    </row>
    <row r="290" spans="2:8">
      <c r="B290" s="4">
        <f t="shared" si="4"/>
        <v>286</v>
      </c>
      <c r="C290" s="5">
        <v>45901</v>
      </c>
      <c r="D290" s="6" t="s">
        <v>10</v>
      </c>
      <c r="E290" s="6" t="s">
        <v>26</v>
      </c>
      <c r="F290" s="6">
        <v>20</v>
      </c>
      <c r="G290" s="16">
        <v>39609.85</v>
      </c>
      <c r="H290" s="7">
        <v>792197</v>
      </c>
    </row>
    <row r="291" spans="2:8">
      <c r="B291" s="4">
        <f t="shared" si="4"/>
        <v>287</v>
      </c>
      <c r="C291" s="5">
        <v>45711</v>
      </c>
      <c r="D291" s="6" t="s">
        <v>10</v>
      </c>
      <c r="E291" s="6" t="s">
        <v>34</v>
      </c>
      <c r="F291" s="6">
        <v>5</v>
      </c>
      <c r="G291" s="16">
        <v>25582.27</v>
      </c>
      <c r="H291" s="7">
        <v>127911.35</v>
      </c>
    </row>
    <row r="292" spans="2:8">
      <c r="B292" s="4">
        <f t="shared" si="4"/>
        <v>288</v>
      </c>
      <c r="C292" s="5">
        <v>45810</v>
      </c>
      <c r="D292" s="6" t="s">
        <v>7</v>
      </c>
      <c r="E292" s="6" t="s">
        <v>14</v>
      </c>
      <c r="F292" s="6">
        <v>3</v>
      </c>
      <c r="G292" s="16">
        <v>31601.48</v>
      </c>
      <c r="H292" s="7">
        <v>94804.44</v>
      </c>
    </row>
    <row r="293" spans="2:8">
      <c r="B293" s="4">
        <f t="shared" si="4"/>
        <v>289</v>
      </c>
      <c r="C293" s="5">
        <v>45789</v>
      </c>
      <c r="D293" s="6" t="s">
        <v>8</v>
      </c>
      <c r="E293" s="6" t="s">
        <v>18</v>
      </c>
      <c r="F293" s="6">
        <v>20</v>
      </c>
      <c r="G293" s="16">
        <v>90238.64</v>
      </c>
      <c r="H293" s="7">
        <v>1804772.8</v>
      </c>
    </row>
    <row r="294" spans="2:8">
      <c r="B294" s="4">
        <f t="shared" si="4"/>
        <v>290</v>
      </c>
      <c r="C294" s="5">
        <v>45669</v>
      </c>
      <c r="D294" s="6" t="s">
        <v>8</v>
      </c>
      <c r="E294" s="6" t="s">
        <v>20</v>
      </c>
      <c r="F294" s="6">
        <v>9</v>
      </c>
      <c r="G294" s="16">
        <v>86278.94</v>
      </c>
      <c r="H294" s="7">
        <v>776510.46</v>
      </c>
    </row>
    <row r="295" spans="2:8">
      <c r="B295" s="4">
        <f t="shared" si="4"/>
        <v>291</v>
      </c>
      <c r="C295" s="5">
        <v>45831</v>
      </c>
      <c r="D295" s="6" t="s">
        <v>7</v>
      </c>
      <c r="E295" s="6" t="s">
        <v>19</v>
      </c>
      <c r="F295" s="6">
        <v>5</v>
      </c>
      <c r="G295" s="16">
        <v>67458.12</v>
      </c>
      <c r="H295" s="7">
        <v>337290.6</v>
      </c>
    </row>
    <row r="296" spans="2:8">
      <c r="B296" s="4">
        <f t="shared" si="4"/>
        <v>292</v>
      </c>
      <c r="C296" s="5">
        <v>45739</v>
      </c>
      <c r="D296" s="6" t="s">
        <v>7</v>
      </c>
      <c r="E296" s="6" t="s">
        <v>13</v>
      </c>
      <c r="F296" s="6">
        <v>15</v>
      </c>
      <c r="G296" s="16">
        <v>48741.22</v>
      </c>
      <c r="H296" s="7">
        <v>731118.3</v>
      </c>
    </row>
    <row r="297" spans="2:8">
      <c r="B297" s="4">
        <f t="shared" si="4"/>
        <v>293</v>
      </c>
      <c r="C297" s="5">
        <v>45787</v>
      </c>
      <c r="D297" s="6" t="s">
        <v>8</v>
      </c>
      <c r="E297" s="6" t="s">
        <v>28</v>
      </c>
      <c r="F297" s="6">
        <v>20</v>
      </c>
      <c r="G297" s="16">
        <v>97104.01</v>
      </c>
      <c r="H297" s="7">
        <v>1942080.2</v>
      </c>
    </row>
    <row r="298" spans="2:8">
      <c r="B298" s="4">
        <f t="shared" si="4"/>
        <v>294</v>
      </c>
      <c r="C298" s="5">
        <v>45846</v>
      </c>
      <c r="D298" s="6" t="s">
        <v>8</v>
      </c>
      <c r="E298" s="6" t="s">
        <v>16</v>
      </c>
      <c r="F298" s="6">
        <v>19</v>
      </c>
      <c r="G298" s="16">
        <v>3293.87</v>
      </c>
      <c r="H298" s="7">
        <v>62583.53</v>
      </c>
    </row>
    <row r="299" spans="2:8">
      <c r="B299" s="4">
        <f t="shared" si="4"/>
        <v>295</v>
      </c>
      <c r="C299" s="5">
        <v>45742</v>
      </c>
      <c r="D299" s="6" t="s">
        <v>6</v>
      </c>
      <c r="E299" s="6" t="s">
        <v>21</v>
      </c>
      <c r="F299" s="6">
        <v>11</v>
      </c>
      <c r="G299" s="16">
        <v>25077.73</v>
      </c>
      <c r="H299" s="7">
        <v>275855.03000000003</v>
      </c>
    </row>
    <row r="300" spans="2:8">
      <c r="B300" s="4">
        <f t="shared" si="4"/>
        <v>296</v>
      </c>
      <c r="C300" s="5">
        <v>45760</v>
      </c>
      <c r="D300" s="6" t="s">
        <v>9</v>
      </c>
      <c r="E300" s="6" t="s">
        <v>25</v>
      </c>
      <c r="F300" s="6">
        <v>4</v>
      </c>
      <c r="G300" s="16">
        <v>78293.83</v>
      </c>
      <c r="H300" s="7">
        <v>313175.32</v>
      </c>
    </row>
    <row r="301" spans="2:8">
      <c r="B301" s="4">
        <f t="shared" si="4"/>
        <v>297</v>
      </c>
      <c r="C301" s="5">
        <v>45824</v>
      </c>
      <c r="D301" s="6" t="s">
        <v>6</v>
      </c>
      <c r="E301" s="6" t="s">
        <v>35</v>
      </c>
      <c r="F301" s="6">
        <v>14</v>
      </c>
      <c r="G301" s="16">
        <v>41896.629999999997</v>
      </c>
      <c r="H301" s="7">
        <v>586552.81999999995</v>
      </c>
    </row>
    <row r="302" spans="2:8">
      <c r="B302" s="4">
        <f t="shared" si="4"/>
        <v>298</v>
      </c>
      <c r="C302" s="5">
        <v>45875</v>
      </c>
      <c r="D302" s="6" t="s">
        <v>8</v>
      </c>
      <c r="E302" s="6" t="s">
        <v>28</v>
      </c>
      <c r="F302" s="6">
        <v>16</v>
      </c>
      <c r="G302" s="16">
        <v>87230.14</v>
      </c>
      <c r="H302" s="7">
        <v>1395682.24</v>
      </c>
    </row>
    <row r="303" spans="2:8">
      <c r="B303" s="4">
        <f t="shared" si="4"/>
        <v>299</v>
      </c>
      <c r="C303" s="5">
        <v>45789</v>
      </c>
      <c r="D303" s="6" t="s">
        <v>9</v>
      </c>
      <c r="E303" s="6" t="s">
        <v>33</v>
      </c>
      <c r="F303" s="6">
        <v>12</v>
      </c>
      <c r="G303" s="16">
        <v>64689.39</v>
      </c>
      <c r="H303" s="7">
        <v>776272.68</v>
      </c>
    </row>
    <row r="304" spans="2:8">
      <c r="B304" s="4">
        <f t="shared" si="4"/>
        <v>300</v>
      </c>
      <c r="C304" s="5">
        <v>45820</v>
      </c>
      <c r="D304" s="6" t="s">
        <v>6</v>
      </c>
      <c r="E304" s="6" t="s">
        <v>36</v>
      </c>
      <c r="F304" s="6">
        <v>9</v>
      </c>
      <c r="G304" s="16">
        <v>98487.53</v>
      </c>
      <c r="H304" s="7">
        <v>886387.77</v>
      </c>
    </row>
    <row r="305" spans="2:8">
      <c r="B305" s="4">
        <f t="shared" si="4"/>
        <v>301</v>
      </c>
      <c r="C305" s="5">
        <v>45836</v>
      </c>
      <c r="D305" s="6" t="s">
        <v>6</v>
      </c>
      <c r="E305" s="6" t="s">
        <v>35</v>
      </c>
      <c r="F305" s="6">
        <v>1</v>
      </c>
      <c r="G305" s="16">
        <v>41498.67</v>
      </c>
      <c r="H305" s="7">
        <v>41498.67</v>
      </c>
    </row>
    <row r="306" spans="2:8">
      <c r="B306" s="4">
        <f t="shared" si="4"/>
        <v>302</v>
      </c>
      <c r="C306" s="5">
        <v>45684</v>
      </c>
      <c r="D306" s="6" t="s">
        <v>9</v>
      </c>
      <c r="E306" s="6" t="s">
        <v>33</v>
      </c>
      <c r="F306" s="6">
        <v>14</v>
      </c>
      <c r="G306" s="16">
        <v>25275.81</v>
      </c>
      <c r="H306" s="7">
        <v>353861.34</v>
      </c>
    </row>
    <row r="307" spans="2:8">
      <c r="B307" s="4">
        <f t="shared" si="4"/>
        <v>303</v>
      </c>
      <c r="C307" s="5">
        <v>45879</v>
      </c>
      <c r="D307" s="6" t="s">
        <v>8</v>
      </c>
      <c r="E307" s="6" t="s">
        <v>18</v>
      </c>
      <c r="F307" s="6">
        <v>11</v>
      </c>
      <c r="G307" s="16">
        <v>26382.62</v>
      </c>
      <c r="H307" s="7">
        <v>290208.82</v>
      </c>
    </row>
    <row r="308" spans="2:8">
      <c r="B308" s="4">
        <f t="shared" si="4"/>
        <v>304</v>
      </c>
      <c r="C308" s="5">
        <v>45892</v>
      </c>
      <c r="D308" s="6" t="s">
        <v>8</v>
      </c>
      <c r="E308" s="6" t="s">
        <v>29</v>
      </c>
      <c r="F308" s="6">
        <v>7</v>
      </c>
      <c r="G308" s="16">
        <v>77070.070000000007</v>
      </c>
      <c r="H308" s="7">
        <v>539490.49</v>
      </c>
    </row>
    <row r="309" spans="2:8">
      <c r="B309" s="4">
        <f t="shared" si="4"/>
        <v>305</v>
      </c>
      <c r="C309" s="5">
        <v>45721</v>
      </c>
      <c r="D309" s="6" t="s">
        <v>9</v>
      </c>
      <c r="E309" s="6" t="s">
        <v>25</v>
      </c>
      <c r="F309" s="6">
        <v>16</v>
      </c>
      <c r="G309" s="16">
        <v>21496.12</v>
      </c>
      <c r="H309" s="7">
        <v>343937.92</v>
      </c>
    </row>
    <row r="310" spans="2:8">
      <c r="B310" s="4">
        <f t="shared" si="4"/>
        <v>306</v>
      </c>
      <c r="C310" s="5">
        <v>45875</v>
      </c>
      <c r="D310" s="6" t="s">
        <v>7</v>
      </c>
      <c r="E310" s="6" t="s">
        <v>12</v>
      </c>
      <c r="F310" s="6">
        <v>1</v>
      </c>
      <c r="G310" s="16">
        <v>20243.84</v>
      </c>
      <c r="H310" s="7">
        <v>20243.84</v>
      </c>
    </row>
    <row r="311" spans="2:8">
      <c r="B311" s="4">
        <f t="shared" si="4"/>
        <v>307</v>
      </c>
      <c r="C311" s="5">
        <v>45825</v>
      </c>
      <c r="D311" s="6" t="s">
        <v>8</v>
      </c>
      <c r="E311" s="6" t="s">
        <v>29</v>
      </c>
      <c r="F311" s="6">
        <v>10</v>
      </c>
      <c r="G311" s="16">
        <v>40672.79</v>
      </c>
      <c r="H311" s="7">
        <v>406727.9</v>
      </c>
    </row>
    <row r="312" spans="2:8">
      <c r="B312" s="4">
        <f t="shared" si="4"/>
        <v>308</v>
      </c>
      <c r="C312" s="5">
        <v>45848</v>
      </c>
      <c r="D312" s="6" t="s">
        <v>8</v>
      </c>
      <c r="E312" s="6" t="s">
        <v>28</v>
      </c>
      <c r="F312" s="6">
        <v>7</v>
      </c>
      <c r="G312" s="16">
        <v>27777.13</v>
      </c>
      <c r="H312" s="7">
        <v>194439.91</v>
      </c>
    </row>
    <row r="313" spans="2:8">
      <c r="B313" s="4">
        <f t="shared" si="4"/>
        <v>309</v>
      </c>
      <c r="C313" s="5">
        <v>45844</v>
      </c>
      <c r="D313" s="6" t="s">
        <v>7</v>
      </c>
      <c r="E313" s="6" t="s">
        <v>15</v>
      </c>
      <c r="F313" s="6">
        <v>14</v>
      </c>
      <c r="G313" s="16">
        <v>71729.679999999993</v>
      </c>
      <c r="H313" s="7">
        <v>1004215.52</v>
      </c>
    </row>
    <row r="314" spans="2:8">
      <c r="B314" s="4">
        <f t="shared" si="4"/>
        <v>310</v>
      </c>
      <c r="C314" s="5">
        <v>45659</v>
      </c>
      <c r="D314" s="6" t="s">
        <v>7</v>
      </c>
      <c r="E314" s="6" t="s">
        <v>19</v>
      </c>
      <c r="F314" s="6">
        <v>3</v>
      </c>
      <c r="G314" s="16">
        <v>66090.8</v>
      </c>
      <c r="H314" s="7">
        <v>198272.4</v>
      </c>
    </row>
    <row r="315" spans="2:8">
      <c r="B315" s="4">
        <f t="shared" si="4"/>
        <v>311</v>
      </c>
      <c r="C315" s="5">
        <v>45911</v>
      </c>
      <c r="D315" s="6" t="s">
        <v>10</v>
      </c>
      <c r="E315" s="6" t="s">
        <v>34</v>
      </c>
      <c r="F315" s="6">
        <v>20</v>
      </c>
      <c r="G315" s="16">
        <v>32747.759999999998</v>
      </c>
      <c r="H315" s="7">
        <v>654955.19999999995</v>
      </c>
    </row>
    <row r="316" spans="2:8">
      <c r="B316" s="4">
        <f t="shared" si="4"/>
        <v>312</v>
      </c>
      <c r="C316" s="5">
        <v>45794</v>
      </c>
      <c r="D316" s="6" t="s">
        <v>9</v>
      </c>
      <c r="E316" s="6" t="s">
        <v>33</v>
      </c>
      <c r="F316" s="6">
        <v>10</v>
      </c>
      <c r="G316" s="16">
        <v>63256.54</v>
      </c>
      <c r="H316" s="7">
        <v>632565.4</v>
      </c>
    </row>
    <row r="317" spans="2:8">
      <c r="B317" s="4">
        <f t="shared" si="4"/>
        <v>313</v>
      </c>
      <c r="C317" s="5">
        <v>45682</v>
      </c>
      <c r="D317" s="6" t="s">
        <v>10</v>
      </c>
      <c r="E317" s="6" t="s">
        <v>24</v>
      </c>
      <c r="F317" s="6">
        <v>11</v>
      </c>
      <c r="G317" s="16">
        <v>70563.47</v>
      </c>
      <c r="H317" s="7">
        <v>776198.17</v>
      </c>
    </row>
    <row r="318" spans="2:8">
      <c r="B318" s="4">
        <f t="shared" si="4"/>
        <v>314</v>
      </c>
      <c r="C318" s="5">
        <v>45927</v>
      </c>
      <c r="D318" s="6" t="s">
        <v>9</v>
      </c>
      <c r="E318" s="6" t="s">
        <v>32</v>
      </c>
      <c r="F318" s="6">
        <v>15</v>
      </c>
      <c r="G318" s="16">
        <v>43197.51</v>
      </c>
      <c r="H318" s="7">
        <v>647962.65</v>
      </c>
    </row>
    <row r="319" spans="2:8">
      <c r="B319" s="4">
        <f t="shared" si="4"/>
        <v>315</v>
      </c>
      <c r="C319" s="5">
        <v>45844</v>
      </c>
      <c r="D319" s="6" t="s">
        <v>8</v>
      </c>
      <c r="E319" s="6" t="s">
        <v>18</v>
      </c>
      <c r="F319" s="6">
        <v>13</v>
      </c>
      <c r="G319" s="16">
        <v>47998.97</v>
      </c>
      <c r="H319" s="7">
        <v>623986.61</v>
      </c>
    </row>
    <row r="320" spans="2:8">
      <c r="B320" s="4">
        <f t="shared" si="4"/>
        <v>316</v>
      </c>
      <c r="C320" s="5">
        <v>45852</v>
      </c>
      <c r="D320" s="6" t="s">
        <v>10</v>
      </c>
      <c r="E320" s="6" t="s">
        <v>34</v>
      </c>
      <c r="F320" s="6">
        <v>9</v>
      </c>
      <c r="G320" s="16">
        <v>1911.64</v>
      </c>
      <c r="H320" s="7">
        <v>17204.759999999998</v>
      </c>
    </row>
    <row r="321" spans="2:8">
      <c r="B321" s="4">
        <f t="shared" si="4"/>
        <v>317</v>
      </c>
      <c r="C321" s="5">
        <v>45829</v>
      </c>
      <c r="D321" s="6" t="s">
        <v>7</v>
      </c>
      <c r="E321" s="6" t="s">
        <v>12</v>
      </c>
      <c r="F321" s="6">
        <v>11</v>
      </c>
      <c r="G321" s="16">
        <v>9937.65</v>
      </c>
      <c r="H321" s="7">
        <v>109314.15</v>
      </c>
    </row>
    <row r="322" spans="2:8">
      <c r="B322" s="4">
        <f t="shared" si="4"/>
        <v>318</v>
      </c>
      <c r="C322" s="5">
        <v>45689</v>
      </c>
      <c r="D322" s="6" t="s">
        <v>9</v>
      </c>
      <c r="E322" s="6" t="s">
        <v>23</v>
      </c>
      <c r="F322" s="6">
        <v>6</v>
      </c>
      <c r="G322" s="16">
        <v>51187.23</v>
      </c>
      <c r="H322" s="7">
        <v>307123.38</v>
      </c>
    </row>
    <row r="323" spans="2:8">
      <c r="B323" s="4">
        <f t="shared" si="4"/>
        <v>319</v>
      </c>
      <c r="C323" s="5">
        <v>45676</v>
      </c>
      <c r="D323" s="6" t="s">
        <v>7</v>
      </c>
      <c r="E323" s="6" t="s">
        <v>12</v>
      </c>
      <c r="F323" s="6">
        <v>3</v>
      </c>
      <c r="G323" s="16">
        <v>40604.07</v>
      </c>
      <c r="H323" s="7">
        <v>121812.21</v>
      </c>
    </row>
    <row r="324" spans="2:8">
      <c r="B324" s="4">
        <f t="shared" si="4"/>
        <v>320</v>
      </c>
      <c r="C324" s="5">
        <v>45782</v>
      </c>
      <c r="D324" s="6" t="s">
        <v>7</v>
      </c>
      <c r="E324" s="6" t="s">
        <v>15</v>
      </c>
      <c r="F324" s="6">
        <v>4</v>
      </c>
      <c r="G324" s="16">
        <v>90229.69</v>
      </c>
      <c r="H324" s="7">
        <v>360918.76</v>
      </c>
    </row>
    <row r="325" spans="2:8">
      <c r="B325" s="4">
        <f t="shared" si="4"/>
        <v>321</v>
      </c>
      <c r="C325" s="5">
        <v>45726</v>
      </c>
      <c r="D325" s="6" t="s">
        <v>6</v>
      </c>
      <c r="E325" s="6" t="s">
        <v>37</v>
      </c>
      <c r="F325" s="6">
        <v>9</v>
      </c>
      <c r="G325" s="16">
        <v>90976.02</v>
      </c>
      <c r="H325" s="7">
        <v>818784.18</v>
      </c>
    </row>
    <row r="326" spans="2:8">
      <c r="B326" s="4">
        <f t="shared" si="4"/>
        <v>322</v>
      </c>
      <c r="C326" s="5">
        <v>45726</v>
      </c>
      <c r="D326" s="6" t="s">
        <v>6</v>
      </c>
      <c r="E326" s="6" t="s">
        <v>35</v>
      </c>
      <c r="F326" s="6">
        <v>13</v>
      </c>
      <c r="G326" s="16">
        <v>71739.39</v>
      </c>
      <c r="H326" s="7">
        <v>932612.07</v>
      </c>
    </row>
    <row r="327" spans="2:8">
      <c r="B327" s="4">
        <f t="shared" ref="B327:B390" si="5">B326+1</f>
        <v>323</v>
      </c>
      <c r="C327" s="5">
        <v>45724</v>
      </c>
      <c r="D327" s="6" t="s">
        <v>6</v>
      </c>
      <c r="E327" s="6" t="s">
        <v>30</v>
      </c>
      <c r="F327" s="6">
        <v>15</v>
      </c>
      <c r="G327" s="16">
        <v>30384.52</v>
      </c>
      <c r="H327" s="7">
        <v>455767.8</v>
      </c>
    </row>
    <row r="328" spans="2:8">
      <c r="B328" s="4">
        <f t="shared" si="5"/>
        <v>324</v>
      </c>
      <c r="C328" s="5">
        <v>45827</v>
      </c>
      <c r="D328" s="6" t="s">
        <v>10</v>
      </c>
      <c r="E328" s="6" t="s">
        <v>27</v>
      </c>
      <c r="F328" s="6">
        <v>13</v>
      </c>
      <c r="G328" s="16">
        <v>85435.18</v>
      </c>
      <c r="H328" s="7">
        <v>1110657.3400000001</v>
      </c>
    </row>
    <row r="329" spans="2:8">
      <c r="B329" s="4">
        <f t="shared" si="5"/>
        <v>325</v>
      </c>
      <c r="C329" s="5">
        <v>45788</v>
      </c>
      <c r="D329" s="6" t="s">
        <v>6</v>
      </c>
      <c r="E329" s="6" t="s">
        <v>11</v>
      </c>
      <c r="F329" s="6">
        <v>4</v>
      </c>
      <c r="G329" s="16">
        <v>24800.68</v>
      </c>
      <c r="H329" s="7">
        <v>99202.72</v>
      </c>
    </row>
    <row r="330" spans="2:8">
      <c r="B330" s="4">
        <f t="shared" si="5"/>
        <v>326</v>
      </c>
      <c r="C330" s="5">
        <v>45720</v>
      </c>
      <c r="D330" s="6" t="s">
        <v>7</v>
      </c>
      <c r="E330" s="6" t="s">
        <v>15</v>
      </c>
      <c r="F330" s="6">
        <v>6</v>
      </c>
      <c r="G330" s="16">
        <v>47952.32</v>
      </c>
      <c r="H330" s="7">
        <v>287713.91999999998</v>
      </c>
    </row>
    <row r="331" spans="2:8">
      <c r="B331" s="4">
        <f t="shared" si="5"/>
        <v>327</v>
      </c>
      <c r="C331" s="5">
        <v>45853</v>
      </c>
      <c r="D331" s="6" t="s">
        <v>9</v>
      </c>
      <c r="E331" s="6" t="s">
        <v>33</v>
      </c>
      <c r="F331" s="6">
        <v>18</v>
      </c>
      <c r="G331" s="16">
        <v>14865.57</v>
      </c>
      <c r="H331" s="7">
        <v>267580.26</v>
      </c>
    </row>
    <row r="332" spans="2:8">
      <c r="B332" s="4">
        <f t="shared" si="5"/>
        <v>328</v>
      </c>
      <c r="C332" s="5">
        <v>45860</v>
      </c>
      <c r="D332" s="6" t="s">
        <v>8</v>
      </c>
      <c r="E332" s="6" t="s">
        <v>20</v>
      </c>
      <c r="F332" s="6">
        <v>15</v>
      </c>
      <c r="G332" s="16">
        <v>99907.5</v>
      </c>
      <c r="H332" s="7">
        <v>1498612.5</v>
      </c>
    </row>
    <row r="333" spans="2:8">
      <c r="B333" s="4">
        <f t="shared" si="5"/>
        <v>329</v>
      </c>
      <c r="C333" s="5">
        <v>45849</v>
      </c>
      <c r="D333" s="6" t="s">
        <v>9</v>
      </c>
      <c r="E333" s="6" t="s">
        <v>32</v>
      </c>
      <c r="F333" s="6">
        <v>14</v>
      </c>
      <c r="G333" s="16">
        <v>79911.63</v>
      </c>
      <c r="H333" s="7">
        <v>1118762.82</v>
      </c>
    </row>
    <row r="334" spans="2:8">
      <c r="B334" s="4">
        <f t="shared" si="5"/>
        <v>330</v>
      </c>
      <c r="C334" s="5">
        <v>45820</v>
      </c>
      <c r="D334" s="6" t="s">
        <v>7</v>
      </c>
      <c r="E334" s="6" t="s">
        <v>13</v>
      </c>
      <c r="F334" s="6">
        <v>10</v>
      </c>
      <c r="G334" s="16">
        <v>86422.42</v>
      </c>
      <c r="H334" s="7">
        <v>864224.2</v>
      </c>
    </row>
    <row r="335" spans="2:8">
      <c r="B335" s="4">
        <f t="shared" si="5"/>
        <v>331</v>
      </c>
      <c r="C335" s="5">
        <v>45660</v>
      </c>
      <c r="D335" s="6" t="s">
        <v>8</v>
      </c>
      <c r="E335" s="6" t="s">
        <v>16</v>
      </c>
      <c r="F335" s="6">
        <v>19</v>
      </c>
      <c r="G335" s="16">
        <v>36128.9</v>
      </c>
      <c r="H335" s="7">
        <v>686449.1</v>
      </c>
    </row>
    <row r="336" spans="2:8">
      <c r="B336" s="4">
        <f t="shared" si="5"/>
        <v>332</v>
      </c>
      <c r="C336" s="5">
        <v>45846</v>
      </c>
      <c r="D336" s="6" t="s">
        <v>7</v>
      </c>
      <c r="E336" s="6" t="s">
        <v>14</v>
      </c>
      <c r="F336" s="6">
        <v>6</v>
      </c>
      <c r="G336" s="16">
        <v>41238.639999999999</v>
      </c>
      <c r="H336" s="7">
        <v>247431.84</v>
      </c>
    </row>
    <row r="337" spans="2:8">
      <c r="B337" s="4">
        <f t="shared" si="5"/>
        <v>333</v>
      </c>
      <c r="C337" s="5">
        <v>45771</v>
      </c>
      <c r="D337" s="6" t="s">
        <v>10</v>
      </c>
      <c r="E337" s="6" t="s">
        <v>26</v>
      </c>
      <c r="F337" s="6">
        <v>2</v>
      </c>
      <c r="G337" s="16">
        <v>10092.200000000001</v>
      </c>
      <c r="H337" s="7">
        <v>20184.400000000001</v>
      </c>
    </row>
    <row r="338" spans="2:8">
      <c r="B338" s="4">
        <f t="shared" si="5"/>
        <v>334</v>
      </c>
      <c r="C338" s="5">
        <v>45743</v>
      </c>
      <c r="D338" s="6" t="s">
        <v>10</v>
      </c>
      <c r="E338" s="6" t="s">
        <v>31</v>
      </c>
      <c r="F338" s="6">
        <v>7</v>
      </c>
      <c r="G338" s="16">
        <v>6558.21</v>
      </c>
      <c r="H338" s="7">
        <v>45907.47</v>
      </c>
    </row>
    <row r="339" spans="2:8">
      <c r="B339" s="4">
        <f t="shared" si="5"/>
        <v>335</v>
      </c>
      <c r="C339" s="5">
        <v>45796</v>
      </c>
      <c r="D339" s="6" t="s">
        <v>7</v>
      </c>
      <c r="E339" s="6" t="s">
        <v>13</v>
      </c>
      <c r="F339" s="6">
        <v>6</v>
      </c>
      <c r="G339" s="16">
        <v>67880.52</v>
      </c>
      <c r="H339" s="7">
        <v>407283.12</v>
      </c>
    </row>
    <row r="340" spans="2:8">
      <c r="B340" s="4">
        <f t="shared" si="5"/>
        <v>336</v>
      </c>
      <c r="C340" s="5">
        <v>45874</v>
      </c>
      <c r="D340" s="6" t="s">
        <v>6</v>
      </c>
      <c r="E340" s="6" t="s">
        <v>36</v>
      </c>
      <c r="F340" s="6">
        <v>6</v>
      </c>
      <c r="G340" s="16">
        <v>5698.73</v>
      </c>
      <c r="H340" s="7">
        <v>34192.379999999997</v>
      </c>
    </row>
    <row r="341" spans="2:8">
      <c r="B341" s="4">
        <f t="shared" si="5"/>
        <v>337</v>
      </c>
      <c r="C341" s="5">
        <v>45857</v>
      </c>
      <c r="D341" s="6" t="s">
        <v>9</v>
      </c>
      <c r="E341" s="6" t="s">
        <v>25</v>
      </c>
      <c r="F341" s="6">
        <v>15</v>
      </c>
      <c r="G341" s="16">
        <v>24247.35</v>
      </c>
      <c r="H341" s="7">
        <v>363710.25</v>
      </c>
    </row>
    <row r="342" spans="2:8">
      <c r="B342" s="4">
        <f t="shared" si="5"/>
        <v>338</v>
      </c>
      <c r="C342" s="5">
        <v>45857</v>
      </c>
      <c r="D342" s="6" t="s">
        <v>6</v>
      </c>
      <c r="E342" s="6" t="s">
        <v>21</v>
      </c>
      <c r="F342" s="6">
        <v>16</v>
      </c>
      <c r="G342" s="16">
        <v>26002.35</v>
      </c>
      <c r="H342" s="7">
        <v>416037.6</v>
      </c>
    </row>
    <row r="343" spans="2:8">
      <c r="B343" s="4">
        <f t="shared" si="5"/>
        <v>339</v>
      </c>
      <c r="C343" s="5">
        <v>45797</v>
      </c>
      <c r="D343" s="6" t="s">
        <v>10</v>
      </c>
      <c r="E343" s="6" t="s">
        <v>27</v>
      </c>
      <c r="F343" s="6">
        <v>20</v>
      </c>
      <c r="G343" s="16">
        <v>64444.5</v>
      </c>
      <c r="H343" s="7">
        <v>1288890</v>
      </c>
    </row>
    <row r="344" spans="2:8">
      <c r="B344" s="4">
        <f t="shared" si="5"/>
        <v>340</v>
      </c>
      <c r="C344" s="5">
        <v>45866</v>
      </c>
      <c r="D344" s="6" t="s">
        <v>10</v>
      </c>
      <c r="E344" s="6" t="s">
        <v>34</v>
      </c>
      <c r="F344" s="6">
        <v>14</v>
      </c>
      <c r="G344" s="16">
        <v>98846.2</v>
      </c>
      <c r="H344" s="7">
        <v>1383846.8</v>
      </c>
    </row>
    <row r="345" spans="2:8">
      <c r="B345" s="4">
        <f t="shared" si="5"/>
        <v>341</v>
      </c>
      <c r="C345" s="5">
        <v>45902</v>
      </c>
      <c r="D345" s="6" t="s">
        <v>9</v>
      </c>
      <c r="E345" s="6" t="s">
        <v>23</v>
      </c>
      <c r="F345" s="6">
        <v>19</v>
      </c>
      <c r="G345" s="16">
        <v>72708.92</v>
      </c>
      <c r="H345" s="7">
        <v>1381469.48</v>
      </c>
    </row>
    <row r="346" spans="2:8">
      <c r="B346" s="4">
        <f t="shared" si="5"/>
        <v>342</v>
      </c>
      <c r="C346" s="5">
        <v>45814</v>
      </c>
      <c r="D346" s="6" t="s">
        <v>8</v>
      </c>
      <c r="E346" s="6" t="s">
        <v>18</v>
      </c>
      <c r="F346" s="6">
        <v>8</v>
      </c>
      <c r="G346" s="16">
        <v>92494.42</v>
      </c>
      <c r="H346" s="7">
        <v>739955.36</v>
      </c>
    </row>
    <row r="347" spans="2:8">
      <c r="B347" s="4">
        <f t="shared" si="5"/>
        <v>343</v>
      </c>
      <c r="C347" s="5">
        <v>45711</v>
      </c>
      <c r="D347" s="6" t="s">
        <v>6</v>
      </c>
      <c r="E347" s="6" t="s">
        <v>22</v>
      </c>
      <c r="F347" s="6">
        <v>19</v>
      </c>
      <c r="G347" s="16">
        <v>36930.43</v>
      </c>
      <c r="H347" s="7">
        <v>701678.17</v>
      </c>
    </row>
    <row r="348" spans="2:8">
      <c r="B348" s="4">
        <f t="shared" si="5"/>
        <v>344</v>
      </c>
      <c r="C348" s="5">
        <v>45743</v>
      </c>
      <c r="D348" s="6" t="s">
        <v>7</v>
      </c>
      <c r="E348" s="6" t="s">
        <v>12</v>
      </c>
      <c r="F348" s="6">
        <v>20</v>
      </c>
      <c r="G348" s="16">
        <v>98514.18</v>
      </c>
      <c r="H348" s="7">
        <v>1970283.6</v>
      </c>
    </row>
    <row r="349" spans="2:8">
      <c r="B349" s="4">
        <f t="shared" si="5"/>
        <v>345</v>
      </c>
      <c r="C349" s="5">
        <v>45783</v>
      </c>
      <c r="D349" s="6" t="s">
        <v>9</v>
      </c>
      <c r="E349" s="6" t="s">
        <v>17</v>
      </c>
      <c r="F349" s="6">
        <v>6</v>
      </c>
      <c r="G349" s="16">
        <v>37290.629999999997</v>
      </c>
      <c r="H349" s="7">
        <v>223743.78</v>
      </c>
    </row>
    <row r="350" spans="2:8">
      <c r="B350" s="4">
        <f t="shared" si="5"/>
        <v>346</v>
      </c>
      <c r="C350" s="5">
        <v>45770</v>
      </c>
      <c r="D350" s="6" t="s">
        <v>6</v>
      </c>
      <c r="E350" s="6" t="s">
        <v>36</v>
      </c>
      <c r="F350" s="6">
        <v>17</v>
      </c>
      <c r="G350" s="16">
        <v>30065.3</v>
      </c>
      <c r="H350" s="7">
        <v>511110.1</v>
      </c>
    </row>
    <row r="351" spans="2:8">
      <c r="B351" s="4">
        <f t="shared" si="5"/>
        <v>347</v>
      </c>
      <c r="C351" s="5">
        <v>45851</v>
      </c>
      <c r="D351" s="6" t="s">
        <v>8</v>
      </c>
      <c r="E351" s="6" t="s">
        <v>16</v>
      </c>
      <c r="F351" s="6">
        <v>5</v>
      </c>
      <c r="G351" s="16">
        <v>78002.45</v>
      </c>
      <c r="H351" s="7">
        <v>390012.25</v>
      </c>
    </row>
    <row r="352" spans="2:8">
      <c r="B352" s="4">
        <f t="shared" si="5"/>
        <v>348</v>
      </c>
      <c r="C352" s="5">
        <v>45721</v>
      </c>
      <c r="D352" s="6" t="s">
        <v>10</v>
      </c>
      <c r="E352" s="6" t="s">
        <v>24</v>
      </c>
      <c r="F352" s="6">
        <v>4</v>
      </c>
      <c r="G352" s="16">
        <v>97826.17</v>
      </c>
      <c r="H352" s="7">
        <v>391304.68</v>
      </c>
    </row>
    <row r="353" spans="2:8">
      <c r="B353" s="4">
        <f t="shared" si="5"/>
        <v>349</v>
      </c>
      <c r="C353" s="5">
        <v>45690</v>
      </c>
      <c r="D353" s="6" t="s">
        <v>7</v>
      </c>
      <c r="E353" s="6" t="s">
        <v>14</v>
      </c>
      <c r="F353" s="6">
        <v>17</v>
      </c>
      <c r="G353" s="16">
        <v>10083.709999999999</v>
      </c>
      <c r="H353" s="7">
        <v>171423.07</v>
      </c>
    </row>
    <row r="354" spans="2:8">
      <c r="B354" s="4">
        <f t="shared" si="5"/>
        <v>350</v>
      </c>
      <c r="C354" s="5">
        <v>45730</v>
      </c>
      <c r="D354" s="6" t="s">
        <v>9</v>
      </c>
      <c r="E354" s="6" t="s">
        <v>32</v>
      </c>
      <c r="F354" s="6">
        <v>3</v>
      </c>
      <c r="G354" s="16">
        <v>64529.62</v>
      </c>
      <c r="H354" s="7">
        <v>193588.86</v>
      </c>
    </row>
    <row r="355" spans="2:8">
      <c r="B355" s="4">
        <f t="shared" si="5"/>
        <v>351</v>
      </c>
      <c r="C355" s="5">
        <v>45659</v>
      </c>
      <c r="D355" s="6" t="s">
        <v>10</v>
      </c>
      <c r="E355" s="6" t="s">
        <v>31</v>
      </c>
      <c r="F355" s="6">
        <v>20</v>
      </c>
      <c r="G355" s="16">
        <v>44269.279999999999</v>
      </c>
      <c r="H355" s="7">
        <v>885385.6</v>
      </c>
    </row>
    <row r="356" spans="2:8">
      <c r="B356" s="4">
        <f t="shared" si="5"/>
        <v>352</v>
      </c>
      <c r="C356" s="5">
        <v>45700</v>
      </c>
      <c r="D356" s="6" t="s">
        <v>8</v>
      </c>
      <c r="E356" s="6" t="s">
        <v>16</v>
      </c>
      <c r="F356" s="6">
        <v>13</v>
      </c>
      <c r="G356" s="16">
        <v>46866.99</v>
      </c>
      <c r="H356" s="7">
        <v>609270.87</v>
      </c>
    </row>
    <row r="357" spans="2:8">
      <c r="B357" s="4">
        <f t="shared" si="5"/>
        <v>353</v>
      </c>
      <c r="C357" s="5">
        <v>45758</v>
      </c>
      <c r="D357" s="6" t="s">
        <v>8</v>
      </c>
      <c r="E357" s="6" t="s">
        <v>18</v>
      </c>
      <c r="F357" s="6">
        <v>4</v>
      </c>
      <c r="G357" s="16">
        <v>73572.429999999993</v>
      </c>
      <c r="H357" s="7">
        <v>294289.71999999997</v>
      </c>
    </row>
    <row r="358" spans="2:8">
      <c r="B358" s="4">
        <f t="shared" si="5"/>
        <v>354</v>
      </c>
      <c r="C358" s="5">
        <v>45754</v>
      </c>
      <c r="D358" s="6" t="s">
        <v>9</v>
      </c>
      <c r="E358" s="6" t="s">
        <v>23</v>
      </c>
      <c r="F358" s="6">
        <v>5</v>
      </c>
      <c r="G358" s="16">
        <v>46079.199999999997</v>
      </c>
      <c r="H358" s="7">
        <v>230396</v>
      </c>
    </row>
    <row r="359" spans="2:8">
      <c r="B359" s="4">
        <f t="shared" si="5"/>
        <v>355</v>
      </c>
      <c r="C359" s="5">
        <v>45881</v>
      </c>
      <c r="D359" s="6" t="s">
        <v>9</v>
      </c>
      <c r="E359" s="6" t="s">
        <v>25</v>
      </c>
      <c r="F359" s="6">
        <v>4</v>
      </c>
      <c r="G359" s="16">
        <v>42861.7</v>
      </c>
      <c r="H359" s="7">
        <v>171446.8</v>
      </c>
    </row>
    <row r="360" spans="2:8">
      <c r="B360" s="4">
        <f t="shared" si="5"/>
        <v>356</v>
      </c>
      <c r="C360" s="5">
        <v>45810</v>
      </c>
      <c r="D360" s="6" t="s">
        <v>7</v>
      </c>
      <c r="E360" s="6" t="s">
        <v>13</v>
      </c>
      <c r="F360" s="6">
        <v>3</v>
      </c>
      <c r="G360" s="16">
        <v>34373.360000000001</v>
      </c>
      <c r="H360" s="7">
        <v>103120.08</v>
      </c>
    </row>
    <row r="361" spans="2:8">
      <c r="B361" s="4">
        <f t="shared" si="5"/>
        <v>357</v>
      </c>
      <c r="C361" s="5">
        <v>45754</v>
      </c>
      <c r="D361" s="6" t="s">
        <v>7</v>
      </c>
      <c r="E361" s="6" t="s">
        <v>12</v>
      </c>
      <c r="F361" s="6">
        <v>9</v>
      </c>
      <c r="G361" s="16">
        <v>45886.46</v>
      </c>
      <c r="H361" s="7">
        <v>412978.14</v>
      </c>
    </row>
    <row r="362" spans="2:8">
      <c r="B362" s="4">
        <f t="shared" si="5"/>
        <v>358</v>
      </c>
      <c r="C362" s="5">
        <v>45928</v>
      </c>
      <c r="D362" s="6" t="s">
        <v>8</v>
      </c>
      <c r="E362" s="6" t="s">
        <v>16</v>
      </c>
      <c r="F362" s="6">
        <v>18</v>
      </c>
      <c r="G362" s="16">
        <v>13450.03</v>
      </c>
      <c r="H362" s="7">
        <v>242100.54</v>
      </c>
    </row>
    <row r="363" spans="2:8">
      <c r="B363" s="4">
        <f t="shared" si="5"/>
        <v>359</v>
      </c>
      <c r="C363" s="5">
        <v>45901</v>
      </c>
      <c r="D363" s="6" t="s">
        <v>7</v>
      </c>
      <c r="E363" s="6" t="s">
        <v>19</v>
      </c>
      <c r="F363" s="6">
        <v>14</v>
      </c>
      <c r="G363" s="16">
        <v>30861.06</v>
      </c>
      <c r="H363" s="7">
        <v>432054.84</v>
      </c>
    </row>
    <row r="364" spans="2:8">
      <c r="B364" s="4">
        <f t="shared" si="5"/>
        <v>360</v>
      </c>
      <c r="C364" s="5">
        <v>45916</v>
      </c>
      <c r="D364" s="6" t="s">
        <v>7</v>
      </c>
      <c r="E364" s="6" t="s">
        <v>19</v>
      </c>
      <c r="F364" s="6">
        <v>9</v>
      </c>
      <c r="G364" s="16">
        <v>83502.78</v>
      </c>
      <c r="H364" s="7">
        <v>751525.02</v>
      </c>
    </row>
    <row r="365" spans="2:8">
      <c r="B365" s="4">
        <f t="shared" si="5"/>
        <v>361</v>
      </c>
      <c r="C365" s="5">
        <v>45888</v>
      </c>
      <c r="D365" s="6" t="s">
        <v>8</v>
      </c>
      <c r="E365" s="6" t="s">
        <v>16</v>
      </c>
      <c r="F365" s="6">
        <v>4</v>
      </c>
      <c r="G365" s="16">
        <v>21861.64</v>
      </c>
      <c r="H365" s="7">
        <v>87446.56</v>
      </c>
    </row>
    <row r="366" spans="2:8">
      <c r="B366" s="4">
        <f t="shared" si="5"/>
        <v>362</v>
      </c>
      <c r="C366" s="5">
        <v>45884</v>
      </c>
      <c r="D366" s="6" t="s">
        <v>10</v>
      </c>
      <c r="E366" s="6" t="s">
        <v>34</v>
      </c>
      <c r="F366" s="6">
        <v>12</v>
      </c>
      <c r="G366" s="16">
        <v>23678.7</v>
      </c>
      <c r="H366" s="7">
        <v>284144.40000000002</v>
      </c>
    </row>
    <row r="367" spans="2:8">
      <c r="B367" s="4">
        <f t="shared" si="5"/>
        <v>363</v>
      </c>
      <c r="C367" s="5">
        <v>45896</v>
      </c>
      <c r="D367" s="6" t="s">
        <v>7</v>
      </c>
      <c r="E367" s="6" t="s">
        <v>12</v>
      </c>
      <c r="F367" s="6">
        <v>7</v>
      </c>
      <c r="G367" s="16">
        <v>8788.0499999999993</v>
      </c>
      <c r="H367" s="7">
        <v>61516.35</v>
      </c>
    </row>
    <row r="368" spans="2:8">
      <c r="B368" s="4">
        <f t="shared" si="5"/>
        <v>364</v>
      </c>
      <c r="C368" s="5">
        <v>45680</v>
      </c>
      <c r="D368" s="6" t="s">
        <v>8</v>
      </c>
      <c r="E368" s="6" t="s">
        <v>16</v>
      </c>
      <c r="F368" s="6">
        <v>2</v>
      </c>
      <c r="G368" s="16">
        <v>91443.76</v>
      </c>
      <c r="H368" s="7">
        <v>182887.52</v>
      </c>
    </row>
    <row r="369" spans="2:8">
      <c r="B369" s="4">
        <f t="shared" si="5"/>
        <v>365</v>
      </c>
      <c r="C369" s="5">
        <v>45912</v>
      </c>
      <c r="D369" s="6" t="s">
        <v>6</v>
      </c>
      <c r="E369" s="6" t="s">
        <v>30</v>
      </c>
      <c r="F369" s="6">
        <v>11</v>
      </c>
      <c r="G369" s="16">
        <v>53364.79</v>
      </c>
      <c r="H369" s="7">
        <v>587012.68999999994</v>
      </c>
    </row>
    <row r="370" spans="2:8">
      <c r="B370" s="4">
        <f t="shared" si="5"/>
        <v>366</v>
      </c>
      <c r="C370" s="5">
        <v>45830</v>
      </c>
      <c r="D370" s="6" t="s">
        <v>6</v>
      </c>
      <c r="E370" s="6" t="s">
        <v>11</v>
      </c>
      <c r="F370" s="6">
        <v>5</v>
      </c>
      <c r="G370" s="16">
        <v>36676.53</v>
      </c>
      <c r="H370" s="7">
        <v>183382.65</v>
      </c>
    </row>
    <row r="371" spans="2:8">
      <c r="B371" s="4">
        <f t="shared" si="5"/>
        <v>367</v>
      </c>
      <c r="C371" s="5">
        <v>45791</v>
      </c>
      <c r="D371" s="6" t="s">
        <v>6</v>
      </c>
      <c r="E371" s="6" t="s">
        <v>36</v>
      </c>
      <c r="F371" s="6">
        <v>14</v>
      </c>
      <c r="G371" s="16">
        <v>2361.75</v>
      </c>
      <c r="H371" s="7">
        <v>33064.5</v>
      </c>
    </row>
    <row r="372" spans="2:8">
      <c r="B372" s="4">
        <f t="shared" si="5"/>
        <v>368</v>
      </c>
      <c r="C372" s="5">
        <v>45763</v>
      </c>
      <c r="D372" s="6" t="s">
        <v>8</v>
      </c>
      <c r="E372" s="6" t="s">
        <v>20</v>
      </c>
      <c r="F372" s="6">
        <v>13</v>
      </c>
      <c r="G372" s="16">
        <v>58227.42</v>
      </c>
      <c r="H372" s="7">
        <v>756956.46</v>
      </c>
    </row>
    <row r="373" spans="2:8">
      <c r="B373" s="4">
        <f t="shared" si="5"/>
        <v>369</v>
      </c>
      <c r="C373" s="5">
        <v>45781</v>
      </c>
      <c r="D373" s="6" t="s">
        <v>10</v>
      </c>
      <c r="E373" s="6" t="s">
        <v>31</v>
      </c>
      <c r="F373" s="6">
        <v>11</v>
      </c>
      <c r="G373" s="16">
        <v>58921.62</v>
      </c>
      <c r="H373" s="7">
        <v>648137.81999999995</v>
      </c>
    </row>
    <row r="374" spans="2:8">
      <c r="B374" s="4">
        <f t="shared" si="5"/>
        <v>370</v>
      </c>
      <c r="C374" s="5">
        <v>45877</v>
      </c>
      <c r="D374" s="6" t="s">
        <v>7</v>
      </c>
      <c r="E374" s="6" t="s">
        <v>14</v>
      </c>
      <c r="F374" s="6">
        <v>5</v>
      </c>
      <c r="G374" s="16">
        <v>26453.29</v>
      </c>
      <c r="H374" s="7">
        <v>132266.45000000001</v>
      </c>
    </row>
    <row r="375" spans="2:8">
      <c r="B375" s="4">
        <f t="shared" si="5"/>
        <v>371</v>
      </c>
      <c r="C375" s="5">
        <v>45809</v>
      </c>
      <c r="D375" s="6" t="s">
        <v>9</v>
      </c>
      <c r="E375" s="6" t="s">
        <v>25</v>
      </c>
      <c r="F375" s="6">
        <v>17</v>
      </c>
      <c r="G375" s="16">
        <v>45814.080000000002</v>
      </c>
      <c r="H375" s="7">
        <v>778839.36</v>
      </c>
    </row>
    <row r="376" spans="2:8">
      <c r="B376" s="4">
        <f t="shared" si="5"/>
        <v>372</v>
      </c>
      <c r="C376" s="5">
        <v>45710</v>
      </c>
      <c r="D376" s="6" t="s">
        <v>8</v>
      </c>
      <c r="E376" s="6" t="s">
        <v>18</v>
      </c>
      <c r="F376" s="6">
        <v>14</v>
      </c>
      <c r="G376" s="16">
        <v>58846.95</v>
      </c>
      <c r="H376" s="7">
        <v>823857.3</v>
      </c>
    </row>
    <row r="377" spans="2:8">
      <c r="B377" s="4">
        <f t="shared" si="5"/>
        <v>373</v>
      </c>
      <c r="C377" s="5">
        <v>45882</v>
      </c>
      <c r="D377" s="6" t="s">
        <v>10</v>
      </c>
      <c r="E377" s="6" t="s">
        <v>31</v>
      </c>
      <c r="F377" s="6">
        <v>13</v>
      </c>
      <c r="G377" s="16">
        <v>64491.34</v>
      </c>
      <c r="H377" s="7">
        <v>838387.42</v>
      </c>
    </row>
    <row r="378" spans="2:8">
      <c r="B378" s="4">
        <f t="shared" si="5"/>
        <v>374</v>
      </c>
      <c r="C378" s="5">
        <v>45759</v>
      </c>
      <c r="D378" s="6" t="s">
        <v>7</v>
      </c>
      <c r="E378" s="6" t="s">
        <v>19</v>
      </c>
      <c r="F378" s="6">
        <v>14</v>
      </c>
      <c r="G378" s="16">
        <v>11767.74</v>
      </c>
      <c r="H378" s="7">
        <v>164748.35999999999</v>
      </c>
    </row>
    <row r="379" spans="2:8">
      <c r="B379" s="4">
        <f t="shared" si="5"/>
        <v>375</v>
      </c>
      <c r="C379" s="5">
        <v>45711</v>
      </c>
      <c r="D379" s="6" t="s">
        <v>10</v>
      </c>
      <c r="E379" s="6" t="s">
        <v>27</v>
      </c>
      <c r="F379" s="6">
        <v>8</v>
      </c>
      <c r="G379" s="16">
        <v>91367.8</v>
      </c>
      <c r="H379" s="7">
        <v>730942.4</v>
      </c>
    </row>
    <row r="380" spans="2:8">
      <c r="B380" s="4">
        <f t="shared" si="5"/>
        <v>376</v>
      </c>
      <c r="C380" s="5">
        <v>45733</v>
      </c>
      <c r="D380" s="6" t="s">
        <v>9</v>
      </c>
      <c r="E380" s="6" t="s">
        <v>17</v>
      </c>
      <c r="F380" s="6">
        <v>15</v>
      </c>
      <c r="G380" s="16">
        <v>18506.5</v>
      </c>
      <c r="H380" s="7">
        <v>277597.5</v>
      </c>
    </row>
    <row r="381" spans="2:8">
      <c r="B381" s="4">
        <f t="shared" si="5"/>
        <v>377</v>
      </c>
      <c r="C381" s="5">
        <v>45892</v>
      </c>
      <c r="D381" s="6" t="s">
        <v>8</v>
      </c>
      <c r="E381" s="6" t="s">
        <v>20</v>
      </c>
      <c r="F381" s="6">
        <v>3</v>
      </c>
      <c r="G381" s="16">
        <v>6257.03</v>
      </c>
      <c r="H381" s="7">
        <v>18771.09</v>
      </c>
    </row>
    <row r="382" spans="2:8">
      <c r="B382" s="4">
        <f t="shared" si="5"/>
        <v>378</v>
      </c>
      <c r="C382" s="5">
        <v>45833</v>
      </c>
      <c r="D382" s="6" t="s">
        <v>9</v>
      </c>
      <c r="E382" s="6" t="s">
        <v>17</v>
      </c>
      <c r="F382" s="6">
        <v>12</v>
      </c>
      <c r="G382" s="16">
        <v>95791.54</v>
      </c>
      <c r="H382" s="7">
        <v>1149498.48</v>
      </c>
    </row>
    <row r="383" spans="2:8">
      <c r="B383" s="4">
        <f t="shared" si="5"/>
        <v>379</v>
      </c>
      <c r="C383" s="5">
        <v>45894</v>
      </c>
      <c r="D383" s="6" t="s">
        <v>9</v>
      </c>
      <c r="E383" s="6" t="s">
        <v>33</v>
      </c>
      <c r="F383" s="6">
        <v>1</v>
      </c>
      <c r="G383" s="16">
        <v>89167.039999999994</v>
      </c>
      <c r="H383" s="7">
        <v>89167.039999999994</v>
      </c>
    </row>
    <row r="384" spans="2:8">
      <c r="B384" s="4">
        <f t="shared" si="5"/>
        <v>380</v>
      </c>
      <c r="C384" s="5">
        <v>45669</v>
      </c>
      <c r="D384" s="6" t="s">
        <v>10</v>
      </c>
      <c r="E384" s="6" t="s">
        <v>24</v>
      </c>
      <c r="F384" s="6">
        <v>16</v>
      </c>
      <c r="G384" s="16">
        <v>53682.83</v>
      </c>
      <c r="H384" s="7">
        <v>858925.28</v>
      </c>
    </row>
    <row r="385" spans="2:8">
      <c r="B385" s="4">
        <f t="shared" si="5"/>
        <v>381</v>
      </c>
      <c r="C385" s="5">
        <v>45915</v>
      </c>
      <c r="D385" s="6" t="s">
        <v>7</v>
      </c>
      <c r="E385" s="6" t="s">
        <v>13</v>
      </c>
      <c r="F385" s="6">
        <v>18</v>
      </c>
      <c r="G385" s="16">
        <v>72631.570000000007</v>
      </c>
      <c r="H385" s="7">
        <v>1307368.26</v>
      </c>
    </row>
    <row r="386" spans="2:8">
      <c r="B386" s="4">
        <f t="shared" si="5"/>
        <v>382</v>
      </c>
      <c r="C386" s="5">
        <v>45917</v>
      </c>
      <c r="D386" s="6" t="s">
        <v>6</v>
      </c>
      <c r="E386" s="6" t="s">
        <v>22</v>
      </c>
      <c r="F386" s="6">
        <v>3</v>
      </c>
      <c r="G386" s="16">
        <v>61074.03</v>
      </c>
      <c r="H386" s="7">
        <v>183222.09</v>
      </c>
    </row>
    <row r="387" spans="2:8">
      <c r="B387" s="4">
        <f t="shared" si="5"/>
        <v>383</v>
      </c>
      <c r="C387" s="5">
        <v>45872</v>
      </c>
      <c r="D387" s="6" t="s">
        <v>10</v>
      </c>
      <c r="E387" s="6" t="s">
        <v>26</v>
      </c>
      <c r="F387" s="6">
        <v>11</v>
      </c>
      <c r="G387" s="16">
        <v>99195.47</v>
      </c>
      <c r="H387" s="7">
        <v>1091150.17</v>
      </c>
    </row>
    <row r="388" spans="2:8">
      <c r="B388" s="4">
        <f t="shared" si="5"/>
        <v>384</v>
      </c>
      <c r="C388" s="5">
        <v>45791</v>
      </c>
      <c r="D388" s="6" t="s">
        <v>9</v>
      </c>
      <c r="E388" s="6" t="s">
        <v>25</v>
      </c>
      <c r="F388" s="6">
        <v>7</v>
      </c>
      <c r="G388" s="16">
        <v>69736.23</v>
      </c>
      <c r="H388" s="7">
        <v>488153.61</v>
      </c>
    </row>
    <row r="389" spans="2:8">
      <c r="B389" s="4">
        <f t="shared" si="5"/>
        <v>385</v>
      </c>
      <c r="C389" s="5">
        <v>45794</v>
      </c>
      <c r="D389" s="6" t="s">
        <v>10</v>
      </c>
      <c r="E389" s="6" t="s">
        <v>26</v>
      </c>
      <c r="F389" s="6">
        <v>15</v>
      </c>
      <c r="G389" s="16">
        <v>91298.91</v>
      </c>
      <c r="H389" s="7">
        <v>1369483.65</v>
      </c>
    </row>
    <row r="390" spans="2:8">
      <c r="B390" s="4">
        <f t="shared" si="5"/>
        <v>386</v>
      </c>
      <c r="C390" s="5">
        <v>45883</v>
      </c>
      <c r="D390" s="6" t="s">
        <v>9</v>
      </c>
      <c r="E390" s="6" t="s">
        <v>23</v>
      </c>
      <c r="F390" s="6">
        <v>13</v>
      </c>
      <c r="G390" s="16">
        <v>35553.699999999997</v>
      </c>
      <c r="H390" s="7">
        <v>462198.1</v>
      </c>
    </row>
    <row r="391" spans="2:8">
      <c r="B391" s="4">
        <f t="shared" ref="B391:B454" si="6">B390+1</f>
        <v>387</v>
      </c>
      <c r="C391" s="5">
        <v>45927</v>
      </c>
      <c r="D391" s="6" t="s">
        <v>7</v>
      </c>
      <c r="E391" s="6" t="s">
        <v>13</v>
      </c>
      <c r="F391" s="6">
        <v>1</v>
      </c>
      <c r="G391" s="16">
        <v>94504.62</v>
      </c>
      <c r="H391" s="7">
        <v>94504.62</v>
      </c>
    </row>
    <row r="392" spans="2:8">
      <c r="B392" s="4">
        <f t="shared" si="6"/>
        <v>388</v>
      </c>
      <c r="C392" s="5">
        <v>45889</v>
      </c>
      <c r="D392" s="6" t="s">
        <v>10</v>
      </c>
      <c r="E392" s="6" t="s">
        <v>27</v>
      </c>
      <c r="F392" s="6">
        <v>11</v>
      </c>
      <c r="G392" s="16">
        <v>55660.86</v>
      </c>
      <c r="H392" s="7">
        <v>612269.46</v>
      </c>
    </row>
    <row r="393" spans="2:8">
      <c r="B393" s="4">
        <f t="shared" si="6"/>
        <v>389</v>
      </c>
      <c r="C393" s="5">
        <v>45927</v>
      </c>
      <c r="D393" s="6" t="s">
        <v>10</v>
      </c>
      <c r="E393" s="6" t="s">
        <v>27</v>
      </c>
      <c r="F393" s="6">
        <v>11</v>
      </c>
      <c r="G393" s="16">
        <v>82559.05</v>
      </c>
      <c r="H393" s="7">
        <v>908149.55</v>
      </c>
    </row>
    <row r="394" spans="2:8">
      <c r="B394" s="4">
        <f t="shared" si="6"/>
        <v>390</v>
      </c>
      <c r="C394" s="5">
        <v>45780</v>
      </c>
      <c r="D394" s="6" t="s">
        <v>9</v>
      </c>
      <c r="E394" s="6" t="s">
        <v>17</v>
      </c>
      <c r="F394" s="6">
        <v>15</v>
      </c>
      <c r="G394" s="16">
        <v>88919.46</v>
      </c>
      <c r="H394" s="7">
        <v>1333791.8999999999</v>
      </c>
    </row>
    <row r="395" spans="2:8">
      <c r="B395" s="4">
        <f t="shared" si="6"/>
        <v>391</v>
      </c>
      <c r="C395" s="5">
        <v>45863</v>
      </c>
      <c r="D395" s="6" t="s">
        <v>6</v>
      </c>
      <c r="E395" s="6" t="s">
        <v>21</v>
      </c>
      <c r="F395" s="6">
        <v>9</v>
      </c>
      <c r="G395" s="16">
        <v>27563.73</v>
      </c>
      <c r="H395" s="7">
        <v>248073.57</v>
      </c>
    </row>
    <row r="396" spans="2:8">
      <c r="B396" s="4">
        <f t="shared" si="6"/>
        <v>392</v>
      </c>
      <c r="C396" s="5">
        <v>45892</v>
      </c>
      <c r="D396" s="6" t="s">
        <v>8</v>
      </c>
      <c r="E396" s="6" t="s">
        <v>16</v>
      </c>
      <c r="F396" s="6">
        <v>1</v>
      </c>
      <c r="G396" s="16">
        <v>54422.36</v>
      </c>
      <c r="H396" s="7">
        <v>54422.36</v>
      </c>
    </row>
    <row r="397" spans="2:8">
      <c r="B397" s="4">
        <f t="shared" si="6"/>
        <v>393</v>
      </c>
      <c r="C397" s="5">
        <v>45671</v>
      </c>
      <c r="D397" s="6" t="s">
        <v>9</v>
      </c>
      <c r="E397" s="6" t="s">
        <v>33</v>
      </c>
      <c r="F397" s="6">
        <v>1</v>
      </c>
      <c r="G397" s="16">
        <v>95937.55</v>
      </c>
      <c r="H397" s="7">
        <v>95937.55</v>
      </c>
    </row>
    <row r="398" spans="2:8">
      <c r="B398" s="4">
        <f t="shared" si="6"/>
        <v>394</v>
      </c>
      <c r="C398" s="5">
        <v>45702</v>
      </c>
      <c r="D398" s="6" t="s">
        <v>10</v>
      </c>
      <c r="E398" s="6" t="s">
        <v>26</v>
      </c>
      <c r="F398" s="6">
        <v>9</v>
      </c>
      <c r="G398" s="16">
        <v>47159.839999999997</v>
      </c>
      <c r="H398" s="7">
        <v>424438.56</v>
      </c>
    </row>
    <row r="399" spans="2:8">
      <c r="B399" s="4">
        <f t="shared" si="6"/>
        <v>395</v>
      </c>
      <c r="C399" s="5">
        <v>45810</v>
      </c>
      <c r="D399" s="6" t="s">
        <v>6</v>
      </c>
      <c r="E399" s="6" t="s">
        <v>22</v>
      </c>
      <c r="F399" s="6">
        <v>15</v>
      </c>
      <c r="G399" s="16">
        <v>79974.39</v>
      </c>
      <c r="H399" s="7">
        <v>1199615.8500000001</v>
      </c>
    </row>
    <row r="400" spans="2:8">
      <c r="B400" s="4">
        <f t="shared" si="6"/>
        <v>396</v>
      </c>
      <c r="C400" s="5">
        <v>45737</v>
      </c>
      <c r="D400" s="6" t="s">
        <v>8</v>
      </c>
      <c r="E400" s="6" t="s">
        <v>29</v>
      </c>
      <c r="F400" s="6">
        <v>8</v>
      </c>
      <c r="G400" s="16">
        <v>43843.92</v>
      </c>
      <c r="H400" s="7">
        <v>350751.36</v>
      </c>
    </row>
    <row r="401" spans="2:8">
      <c r="B401" s="4">
        <f t="shared" si="6"/>
        <v>397</v>
      </c>
      <c r="C401" s="5">
        <v>45855</v>
      </c>
      <c r="D401" s="6" t="s">
        <v>9</v>
      </c>
      <c r="E401" s="6" t="s">
        <v>17</v>
      </c>
      <c r="F401" s="6">
        <v>14</v>
      </c>
      <c r="G401" s="16">
        <v>3314.61</v>
      </c>
      <c r="H401" s="7">
        <v>46404.54</v>
      </c>
    </row>
    <row r="402" spans="2:8">
      <c r="B402" s="4">
        <f t="shared" si="6"/>
        <v>398</v>
      </c>
      <c r="C402" s="5">
        <v>45884</v>
      </c>
      <c r="D402" s="6" t="s">
        <v>8</v>
      </c>
      <c r="E402" s="6" t="s">
        <v>18</v>
      </c>
      <c r="F402" s="6">
        <v>17</v>
      </c>
      <c r="G402" s="16">
        <v>54590.69</v>
      </c>
      <c r="H402" s="7">
        <v>928041.73</v>
      </c>
    </row>
    <row r="403" spans="2:8">
      <c r="B403" s="4">
        <f t="shared" si="6"/>
        <v>399</v>
      </c>
      <c r="C403" s="5">
        <v>45889</v>
      </c>
      <c r="D403" s="6" t="s">
        <v>6</v>
      </c>
      <c r="E403" s="6" t="s">
        <v>21</v>
      </c>
      <c r="F403" s="6">
        <v>14</v>
      </c>
      <c r="G403" s="16">
        <v>48175.71</v>
      </c>
      <c r="H403" s="7">
        <v>674459.94</v>
      </c>
    </row>
    <row r="404" spans="2:8">
      <c r="B404" s="4">
        <f t="shared" si="6"/>
        <v>400</v>
      </c>
      <c r="C404" s="5">
        <v>45700</v>
      </c>
      <c r="D404" s="6" t="s">
        <v>7</v>
      </c>
      <c r="E404" s="6" t="s">
        <v>19</v>
      </c>
      <c r="F404" s="6">
        <v>5</v>
      </c>
      <c r="G404" s="16">
        <v>68486.539999999994</v>
      </c>
      <c r="H404" s="7">
        <v>342432.7</v>
      </c>
    </row>
    <row r="405" spans="2:8">
      <c r="B405" s="4">
        <f t="shared" si="6"/>
        <v>401</v>
      </c>
      <c r="C405" s="5">
        <v>45782</v>
      </c>
      <c r="D405" s="6" t="s">
        <v>9</v>
      </c>
      <c r="E405" s="6" t="s">
        <v>17</v>
      </c>
      <c r="F405" s="6">
        <v>10</v>
      </c>
      <c r="G405" s="16">
        <v>51956.77</v>
      </c>
      <c r="H405" s="7">
        <v>519567.7</v>
      </c>
    </row>
    <row r="406" spans="2:8">
      <c r="B406" s="4">
        <f t="shared" si="6"/>
        <v>402</v>
      </c>
      <c r="C406" s="5">
        <v>45723</v>
      </c>
      <c r="D406" s="6" t="s">
        <v>6</v>
      </c>
      <c r="E406" s="6" t="s">
        <v>35</v>
      </c>
      <c r="F406" s="6">
        <v>6</v>
      </c>
      <c r="G406" s="16">
        <v>98001.88</v>
      </c>
      <c r="H406" s="7">
        <v>588011.28</v>
      </c>
    </row>
    <row r="407" spans="2:8">
      <c r="B407" s="4">
        <f t="shared" si="6"/>
        <v>403</v>
      </c>
      <c r="C407" s="5">
        <v>45841</v>
      </c>
      <c r="D407" s="6" t="s">
        <v>10</v>
      </c>
      <c r="E407" s="6" t="s">
        <v>34</v>
      </c>
      <c r="F407" s="6">
        <v>3</v>
      </c>
      <c r="G407" s="16">
        <v>16428.95</v>
      </c>
      <c r="H407" s="7">
        <v>49286.85</v>
      </c>
    </row>
    <row r="408" spans="2:8">
      <c r="B408" s="4">
        <f t="shared" si="6"/>
        <v>404</v>
      </c>
      <c r="C408" s="5">
        <v>45834</v>
      </c>
      <c r="D408" s="6" t="s">
        <v>6</v>
      </c>
      <c r="E408" s="6" t="s">
        <v>37</v>
      </c>
      <c r="F408" s="6">
        <v>8</v>
      </c>
      <c r="G408" s="16">
        <v>69834.070000000007</v>
      </c>
      <c r="H408" s="7">
        <v>558672.56000000006</v>
      </c>
    </row>
    <row r="409" spans="2:8">
      <c r="B409" s="4">
        <f t="shared" si="6"/>
        <v>405</v>
      </c>
      <c r="C409" s="5">
        <v>45848</v>
      </c>
      <c r="D409" s="6" t="s">
        <v>8</v>
      </c>
      <c r="E409" s="6" t="s">
        <v>20</v>
      </c>
      <c r="F409" s="6">
        <v>16</v>
      </c>
      <c r="G409" s="16">
        <v>92575.32</v>
      </c>
      <c r="H409" s="7">
        <v>1481205.12</v>
      </c>
    </row>
    <row r="410" spans="2:8">
      <c r="B410" s="4">
        <f t="shared" si="6"/>
        <v>406</v>
      </c>
      <c r="C410" s="5">
        <v>45694</v>
      </c>
      <c r="D410" s="6" t="s">
        <v>7</v>
      </c>
      <c r="E410" s="6" t="s">
        <v>12</v>
      </c>
      <c r="F410" s="6">
        <v>18</v>
      </c>
      <c r="G410" s="16">
        <v>20222.38</v>
      </c>
      <c r="H410" s="7">
        <v>364002.84</v>
      </c>
    </row>
    <row r="411" spans="2:8">
      <c r="B411" s="4">
        <f t="shared" si="6"/>
        <v>407</v>
      </c>
      <c r="C411" s="5">
        <v>45848</v>
      </c>
      <c r="D411" s="6" t="s">
        <v>8</v>
      </c>
      <c r="E411" s="6" t="s">
        <v>29</v>
      </c>
      <c r="F411" s="6">
        <v>20</v>
      </c>
      <c r="G411" s="16">
        <v>31048.82</v>
      </c>
      <c r="H411" s="7">
        <v>620976.4</v>
      </c>
    </row>
    <row r="412" spans="2:8">
      <c r="B412" s="4">
        <f t="shared" si="6"/>
        <v>408</v>
      </c>
      <c r="C412" s="5">
        <v>45798</v>
      </c>
      <c r="D412" s="6" t="s">
        <v>10</v>
      </c>
      <c r="E412" s="6" t="s">
        <v>24</v>
      </c>
      <c r="F412" s="6">
        <v>19</v>
      </c>
      <c r="G412" s="16">
        <v>5384.49</v>
      </c>
      <c r="H412" s="7">
        <v>102305.31</v>
      </c>
    </row>
    <row r="413" spans="2:8">
      <c r="B413" s="4">
        <f t="shared" si="6"/>
        <v>409</v>
      </c>
      <c r="C413" s="5">
        <v>45903</v>
      </c>
      <c r="D413" s="6" t="s">
        <v>9</v>
      </c>
      <c r="E413" s="6" t="s">
        <v>23</v>
      </c>
      <c r="F413" s="6">
        <v>5</v>
      </c>
      <c r="G413" s="16">
        <v>1118.26</v>
      </c>
      <c r="H413" s="7">
        <v>5591.3</v>
      </c>
    </row>
    <row r="414" spans="2:8">
      <c r="B414" s="4">
        <f t="shared" si="6"/>
        <v>410</v>
      </c>
      <c r="C414" s="5">
        <v>45711</v>
      </c>
      <c r="D414" s="6" t="s">
        <v>9</v>
      </c>
      <c r="E414" s="6" t="s">
        <v>32</v>
      </c>
      <c r="F414" s="6">
        <v>16</v>
      </c>
      <c r="G414" s="16">
        <v>520.23</v>
      </c>
      <c r="H414" s="7">
        <v>8323.68</v>
      </c>
    </row>
    <row r="415" spans="2:8">
      <c r="B415" s="4">
        <f t="shared" si="6"/>
        <v>411</v>
      </c>
      <c r="C415" s="5">
        <v>45864</v>
      </c>
      <c r="D415" s="6" t="s">
        <v>6</v>
      </c>
      <c r="E415" s="6" t="s">
        <v>37</v>
      </c>
      <c r="F415" s="6">
        <v>16</v>
      </c>
      <c r="G415" s="16">
        <v>8984.66</v>
      </c>
      <c r="H415" s="7">
        <v>143754.56</v>
      </c>
    </row>
    <row r="416" spans="2:8">
      <c r="B416" s="4">
        <f t="shared" si="6"/>
        <v>412</v>
      </c>
      <c r="C416" s="5">
        <v>45850</v>
      </c>
      <c r="D416" s="6" t="s">
        <v>9</v>
      </c>
      <c r="E416" s="6" t="s">
        <v>32</v>
      </c>
      <c r="F416" s="6">
        <v>5</v>
      </c>
      <c r="G416" s="16">
        <v>51345.87</v>
      </c>
      <c r="H416" s="7">
        <v>256729.35</v>
      </c>
    </row>
    <row r="417" spans="2:8">
      <c r="B417" s="4">
        <f t="shared" si="6"/>
        <v>413</v>
      </c>
      <c r="C417" s="5">
        <v>45722</v>
      </c>
      <c r="D417" s="6" t="s">
        <v>8</v>
      </c>
      <c r="E417" s="6" t="s">
        <v>16</v>
      </c>
      <c r="F417" s="6">
        <v>16</v>
      </c>
      <c r="G417" s="16">
        <v>8339.0300000000007</v>
      </c>
      <c r="H417" s="7">
        <v>133424.48000000001</v>
      </c>
    </row>
    <row r="418" spans="2:8">
      <c r="B418" s="4">
        <f t="shared" si="6"/>
        <v>414</v>
      </c>
      <c r="C418" s="5">
        <v>45895</v>
      </c>
      <c r="D418" s="6" t="s">
        <v>9</v>
      </c>
      <c r="E418" s="6" t="s">
        <v>23</v>
      </c>
      <c r="F418" s="6">
        <v>12</v>
      </c>
      <c r="G418" s="16">
        <v>49298.42</v>
      </c>
      <c r="H418" s="7">
        <v>591581.04</v>
      </c>
    </row>
    <row r="419" spans="2:8">
      <c r="B419" s="4">
        <f t="shared" si="6"/>
        <v>415</v>
      </c>
      <c r="C419" s="5">
        <v>45729</v>
      </c>
      <c r="D419" s="6" t="s">
        <v>6</v>
      </c>
      <c r="E419" s="6" t="s">
        <v>21</v>
      </c>
      <c r="F419" s="6">
        <v>9</v>
      </c>
      <c r="G419" s="16">
        <v>28828.080000000002</v>
      </c>
      <c r="H419" s="7">
        <v>259452.72</v>
      </c>
    </row>
    <row r="420" spans="2:8">
      <c r="B420" s="4">
        <f t="shared" si="6"/>
        <v>416</v>
      </c>
      <c r="C420" s="5">
        <v>45814</v>
      </c>
      <c r="D420" s="6" t="s">
        <v>8</v>
      </c>
      <c r="E420" s="6" t="s">
        <v>29</v>
      </c>
      <c r="F420" s="6">
        <v>3</v>
      </c>
      <c r="G420" s="16">
        <v>15352.34</v>
      </c>
      <c r="H420" s="7">
        <v>46057.02</v>
      </c>
    </row>
    <row r="421" spans="2:8">
      <c r="B421" s="4">
        <f t="shared" si="6"/>
        <v>417</v>
      </c>
      <c r="C421" s="5">
        <v>45698</v>
      </c>
      <c r="D421" s="6" t="s">
        <v>9</v>
      </c>
      <c r="E421" s="6" t="s">
        <v>17</v>
      </c>
      <c r="F421" s="6">
        <v>14</v>
      </c>
      <c r="G421" s="16">
        <v>53960.71</v>
      </c>
      <c r="H421" s="7">
        <v>755449.94</v>
      </c>
    </row>
    <row r="422" spans="2:8">
      <c r="B422" s="4">
        <f t="shared" si="6"/>
        <v>418</v>
      </c>
      <c r="C422" s="5">
        <v>45815</v>
      </c>
      <c r="D422" s="6" t="s">
        <v>6</v>
      </c>
      <c r="E422" s="6" t="s">
        <v>30</v>
      </c>
      <c r="F422" s="6">
        <v>16</v>
      </c>
      <c r="G422" s="16">
        <v>56024.19</v>
      </c>
      <c r="H422" s="7">
        <v>896387.04</v>
      </c>
    </row>
    <row r="423" spans="2:8">
      <c r="B423" s="4">
        <f t="shared" si="6"/>
        <v>419</v>
      </c>
      <c r="C423" s="5">
        <v>45660</v>
      </c>
      <c r="D423" s="6" t="s">
        <v>6</v>
      </c>
      <c r="E423" s="6" t="s">
        <v>37</v>
      </c>
      <c r="F423" s="6">
        <v>19</v>
      </c>
      <c r="G423" s="16">
        <v>48199.94</v>
      </c>
      <c r="H423" s="7">
        <v>915798.86</v>
      </c>
    </row>
    <row r="424" spans="2:8">
      <c r="B424" s="4">
        <f t="shared" si="6"/>
        <v>420</v>
      </c>
      <c r="C424" s="5">
        <v>45735</v>
      </c>
      <c r="D424" s="6" t="s">
        <v>10</v>
      </c>
      <c r="E424" s="6" t="s">
        <v>34</v>
      </c>
      <c r="F424" s="6">
        <v>12</v>
      </c>
      <c r="G424" s="16">
        <v>2239.63</v>
      </c>
      <c r="H424" s="7">
        <v>26875.56</v>
      </c>
    </row>
    <row r="425" spans="2:8">
      <c r="B425" s="4">
        <f t="shared" si="6"/>
        <v>421</v>
      </c>
      <c r="C425" s="5">
        <v>45928</v>
      </c>
      <c r="D425" s="6" t="s">
        <v>9</v>
      </c>
      <c r="E425" s="6" t="s">
        <v>23</v>
      </c>
      <c r="F425" s="6">
        <v>4</v>
      </c>
      <c r="G425" s="16">
        <v>92300.44</v>
      </c>
      <c r="H425" s="7">
        <v>369201.76</v>
      </c>
    </row>
    <row r="426" spans="2:8">
      <c r="B426" s="4">
        <f t="shared" si="6"/>
        <v>422</v>
      </c>
      <c r="C426" s="5">
        <v>45703</v>
      </c>
      <c r="D426" s="6" t="s">
        <v>9</v>
      </c>
      <c r="E426" s="6" t="s">
        <v>32</v>
      </c>
      <c r="F426" s="6">
        <v>6</v>
      </c>
      <c r="G426" s="16">
        <v>40152.93</v>
      </c>
      <c r="H426" s="7">
        <v>240917.58</v>
      </c>
    </row>
    <row r="427" spans="2:8">
      <c r="B427" s="4">
        <f t="shared" si="6"/>
        <v>423</v>
      </c>
      <c r="C427" s="5">
        <v>45762</v>
      </c>
      <c r="D427" s="6" t="s">
        <v>6</v>
      </c>
      <c r="E427" s="6" t="s">
        <v>37</v>
      </c>
      <c r="F427" s="6">
        <v>15</v>
      </c>
      <c r="G427" s="16">
        <v>92522.240000000005</v>
      </c>
      <c r="H427" s="7">
        <v>1387833.6</v>
      </c>
    </row>
    <row r="428" spans="2:8">
      <c r="B428" s="4">
        <f t="shared" si="6"/>
        <v>424</v>
      </c>
      <c r="C428" s="5">
        <v>45766</v>
      </c>
      <c r="D428" s="6" t="s">
        <v>10</v>
      </c>
      <c r="E428" s="6" t="s">
        <v>26</v>
      </c>
      <c r="F428" s="6">
        <v>16</v>
      </c>
      <c r="G428" s="16">
        <v>76156.23</v>
      </c>
      <c r="H428" s="7">
        <v>1218499.68</v>
      </c>
    </row>
    <row r="429" spans="2:8">
      <c r="B429" s="4">
        <f t="shared" si="6"/>
        <v>425</v>
      </c>
      <c r="C429" s="5">
        <v>45829</v>
      </c>
      <c r="D429" s="6" t="s">
        <v>8</v>
      </c>
      <c r="E429" s="6" t="s">
        <v>16</v>
      </c>
      <c r="F429" s="6">
        <v>5</v>
      </c>
      <c r="G429" s="16">
        <v>82529.3</v>
      </c>
      <c r="H429" s="7">
        <v>412646.5</v>
      </c>
    </row>
    <row r="430" spans="2:8">
      <c r="B430" s="4">
        <f t="shared" si="6"/>
        <v>426</v>
      </c>
      <c r="C430" s="5">
        <v>45833</v>
      </c>
      <c r="D430" s="6" t="s">
        <v>6</v>
      </c>
      <c r="E430" s="6" t="s">
        <v>22</v>
      </c>
      <c r="F430" s="6">
        <v>11</v>
      </c>
      <c r="G430" s="16">
        <v>33170.559999999998</v>
      </c>
      <c r="H430" s="7">
        <v>364876.16</v>
      </c>
    </row>
    <row r="431" spans="2:8">
      <c r="B431" s="4">
        <f t="shared" si="6"/>
        <v>427</v>
      </c>
      <c r="C431" s="5">
        <v>45794</v>
      </c>
      <c r="D431" s="6" t="s">
        <v>7</v>
      </c>
      <c r="E431" s="6" t="s">
        <v>13</v>
      </c>
      <c r="F431" s="6">
        <v>9</v>
      </c>
      <c r="G431" s="16">
        <v>22777.03</v>
      </c>
      <c r="H431" s="7">
        <v>204993.27</v>
      </c>
    </row>
    <row r="432" spans="2:8">
      <c r="B432" s="4">
        <f t="shared" si="6"/>
        <v>428</v>
      </c>
      <c r="C432" s="5">
        <v>45659</v>
      </c>
      <c r="D432" s="6" t="s">
        <v>9</v>
      </c>
      <c r="E432" s="6" t="s">
        <v>23</v>
      </c>
      <c r="F432" s="6">
        <v>2</v>
      </c>
      <c r="G432" s="16">
        <v>99935.32</v>
      </c>
      <c r="H432" s="7">
        <v>199870.64</v>
      </c>
    </row>
    <row r="433" spans="2:8">
      <c r="B433" s="4">
        <f t="shared" si="6"/>
        <v>429</v>
      </c>
      <c r="C433" s="5">
        <v>45729</v>
      </c>
      <c r="D433" s="6" t="s">
        <v>8</v>
      </c>
      <c r="E433" s="6" t="s">
        <v>20</v>
      </c>
      <c r="F433" s="6">
        <v>5</v>
      </c>
      <c r="G433" s="16">
        <v>99141.37</v>
      </c>
      <c r="H433" s="7">
        <v>495706.85</v>
      </c>
    </row>
    <row r="434" spans="2:8">
      <c r="B434" s="4">
        <f t="shared" si="6"/>
        <v>430</v>
      </c>
      <c r="C434" s="5">
        <v>45772</v>
      </c>
      <c r="D434" s="6" t="s">
        <v>9</v>
      </c>
      <c r="E434" s="6" t="s">
        <v>33</v>
      </c>
      <c r="F434" s="6">
        <v>15</v>
      </c>
      <c r="G434" s="16">
        <v>31010.86</v>
      </c>
      <c r="H434" s="7">
        <v>465162.9</v>
      </c>
    </row>
    <row r="435" spans="2:8">
      <c r="B435" s="4">
        <f t="shared" si="6"/>
        <v>431</v>
      </c>
      <c r="C435" s="5">
        <v>45884</v>
      </c>
      <c r="D435" s="6" t="s">
        <v>7</v>
      </c>
      <c r="E435" s="6" t="s">
        <v>19</v>
      </c>
      <c r="F435" s="6">
        <v>19</v>
      </c>
      <c r="G435" s="16">
        <v>83606.77</v>
      </c>
      <c r="H435" s="7">
        <v>1588528.63</v>
      </c>
    </row>
    <row r="436" spans="2:8">
      <c r="B436" s="4">
        <f t="shared" si="6"/>
        <v>432</v>
      </c>
      <c r="C436" s="5">
        <v>45768</v>
      </c>
      <c r="D436" s="6" t="s">
        <v>7</v>
      </c>
      <c r="E436" s="6" t="s">
        <v>13</v>
      </c>
      <c r="F436" s="6">
        <v>14</v>
      </c>
      <c r="G436" s="16">
        <v>98917.58</v>
      </c>
      <c r="H436" s="7">
        <v>1384846.12</v>
      </c>
    </row>
    <row r="437" spans="2:8">
      <c r="B437" s="4">
        <f t="shared" si="6"/>
        <v>433</v>
      </c>
      <c r="C437" s="5">
        <v>45674</v>
      </c>
      <c r="D437" s="6" t="s">
        <v>7</v>
      </c>
      <c r="E437" s="6" t="s">
        <v>13</v>
      </c>
      <c r="F437" s="6">
        <v>3</v>
      </c>
      <c r="G437" s="16">
        <v>58882.52</v>
      </c>
      <c r="H437" s="7">
        <v>176647.56</v>
      </c>
    </row>
    <row r="438" spans="2:8">
      <c r="B438" s="4">
        <f t="shared" si="6"/>
        <v>434</v>
      </c>
      <c r="C438" s="5">
        <v>45693</v>
      </c>
      <c r="D438" s="6" t="s">
        <v>10</v>
      </c>
      <c r="E438" s="6" t="s">
        <v>27</v>
      </c>
      <c r="F438" s="6">
        <v>7</v>
      </c>
      <c r="G438" s="16">
        <v>20367.349999999999</v>
      </c>
      <c r="H438" s="7">
        <v>142571.45000000001</v>
      </c>
    </row>
    <row r="439" spans="2:8">
      <c r="B439" s="4">
        <f t="shared" si="6"/>
        <v>435</v>
      </c>
      <c r="C439" s="5">
        <v>45854</v>
      </c>
      <c r="D439" s="6" t="s">
        <v>7</v>
      </c>
      <c r="E439" s="6" t="s">
        <v>14</v>
      </c>
      <c r="F439" s="6">
        <v>4</v>
      </c>
      <c r="G439" s="16">
        <v>59684.959999999999</v>
      </c>
      <c r="H439" s="7">
        <v>238739.84</v>
      </c>
    </row>
    <row r="440" spans="2:8">
      <c r="B440" s="4">
        <f t="shared" si="6"/>
        <v>436</v>
      </c>
      <c r="C440" s="5">
        <v>45661</v>
      </c>
      <c r="D440" s="6" t="s">
        <v>9</v>
      </c>
      <c r="E440" s="6" t="s">
        <v>17</v>
      </c>
      <c r="F440" s="6">
        <v>8</v>
      </c>
      <c r="G440" s="16">
        <v>98640.41</v>
      </c>
      <c r="H440" s="7">
        <v>789123.28</v>
      </c>
    </row>
    <row r="441" spans="2:8">
      <c r="B441" s="4">
        <f t="shared" si="6"/>
        <v>437</v>
      </c>
      <c r="C441" s="5">
        <v>45783</v>
      </c>
      <c r="D441" s="6" t="s">
        <v>7</v>
      </c>
      <c r="E441" s="6" t="s">
        <v>14</v>
      </c>
      <c r="F441" s="6">
        <v>4</v>
      </c>
      <c r="G441" s="16">
        <v>88927.24</v>
      </c>
      <c r="H441" s="7">
        <v>355708.96</v>
      </c>
    </row>
    <row r="442" spans="2:8">
      <c r="B442" s="4">
        <f t="shared" si="6"/>
        <v>438</v>
      </c>
      <c r="C442" s="5">
        <v>45812</v>
      </c>
      <c r="D442" s="6" t="s">
        <v>7</v>
      </c>
      <c r="E442" s="6" t="s">
        <v>13</v>
      </c>
      <c r="F442" s="6">
        <v>18</v>
      </c>
      <c r="G442" s="16">
        <v>31756.19</v>
      </c>
      <c r="H442" s="7">
        <v>571611.42000000004</v>
      </c>
    </row>
    <row r="443" spans="2:8">
      <c r="B443" s="4">
        <f t="shared" si="6"/>
        <v>439</v>
      </c>
      <c r="C443" s="5">
        <v>45832</v>
      </c>
      <c r="D443" s="6" t="s">
        <v>6</v>
      </c>
      <c r="E443" s="6" t="s">
        <v>36</v>
      </c>
      <c r="F443" s="6">
        <v>6</v>
      </c>
      <c r="G443" s="16">
        <v>20128.14</v>
      </c>
      <c r="H443" s="7">
        <v>120768.84</v>
      </c>
    </row>
    <row r="444" spans="2:8">
      <c r="B444" s="4">
        <f t="shared" si="6"/>
        <v>440</v>
      </c>
      <c r="C444" s="5">
        <v>45703</v>
      </c>
      <c r="D444" s="6" t="s">
        <v>8</v>
      </c>
      <c r="E444" s="6" t="s">
        <v>29</v>
      </c>
      <c r="F444" s="6">
        <v>5</v>
      </c>
      <c r="G444" s="16">
        <v>61653.599999999999</v>
      </c>
      <c r="H444" s="7">
        <v>308268</v>
      </c>
    </row>
    <row r="445" spans="2:8">
      <c r="B445" s="4">
        <f t="shared" si="6"/>
        <v>441</v>
      </c>
      <c r="C445" s="5">
        <v>45888</v>
      </c>
      <c r="D445" s="6" t="s">
        <v>7</v>
      </c>
      <c r="E445" s="6" t="s">
        <v>14</v>
      </c>
      <c r="F445" s="6">
        <v>19</v>
      </c>
      <c r="G445" s="16">
        <v>47737.34</v>
      </c>
      <c r="H445" s="7">
        <v>907009.46</v>
      </c>
    </row>
    <row r="446" spans="2:8">
      <c r="B446" s="4">
        <f t="shared" si="6"/>
        <v>442</v>
      </c>
      <c r="C446" s="5">
        <v>45718</v>
      </c>
      <c r="D446" s="6" t="s">
        <v>7</v>
      </c>
      <c r="E446" s="6" t="s">
        <v>14</v>
      </c>
      <c r="F446" s="6">
        <v>10</v>
      </c>
      <c r="G446" s="16">
        <v>22991.37</v>
      </c>
      <c r="H446" s="7">
        <v>229913.7</v>
      </c>
    </row>
    <row r="447" spans="2:8">
      <c r="B447" s="4">
        <f t="shared" si="6"/>
        <v>443</v>
      </c>
      <c r="C447" s="5">
        <v>45809</v>
      </c>
      <c r="D447" s="6" t="s">
        <v>8</v>
      </c>
      <c r="E447" s="6" t="s">
        <v>16</v>
      </c>
      <c r="F447" s="6">
        <v>15</v>
      </c>
      <c r="G447" s="16">
        <v>57697.03</v>
      </c>
      <c r="H447" s="7">
        <v>865455.45</v>
      </c>
    </row>
    <row r="448" spans="2:8">
      <c r="B448" s="4">
        <f t="shared" si="6"/>
        <v>444</v>
      </c>
      <c r="C448" s="5">
        <v>45928</v>
      </c>
      <c r="D448" s="6" t="s">
        <v>8</v>
      </c>
      <c r="E448" s="6" t="s">
        <v>18</v>
      </c>
      <c r="F448" s="6">
        <v>7</v>
      </c>
      <c r="G448" s="16">
        <v>6205.59</v>
      </c>
      <c r="H448" s="7">
        <v>43439.13</v>
      </c>
    </row>
    <row r="449" spans="2:8">
      <c r="B449" s="4">
        <f t="shared" si="6"/>
        <v>445</v>
      </c>
      <c r="C449" s="5">
        <v>45671</v>
      </c>
      <c r="D449" s="6" t="s">
        <v>8</v>
      </c>
      <c r="E449" s="6" t="s">
        <v>20</v>
      </c>
      <c r="F449" s="6">
        <v>2</v>
      </c>
      <c r="G449" s="16">
        <v>10842.65</v>
      </c>
      <c r="H449" s="7">
        <v>21685.3</v>
      </c>
    </row>
    <row r="450" spans="2:8">
      <c r="B450" s="4">
        <f t="shared" si="6"/>
        <v>446</v>
      </c>
      <c r="C450" s="5">
        <v>45666</v>
      </c>
      <c r="D450" s="6" t="s">
        <v>9</v>
      </c>
      <c r="E450" s="6" t="s">
        <v>25</v>
      </c>
      <c r="F450" s="6">
        <v>15</v>
      </c>
      <c r="G450" s="16">
        <v>45894.73</v>
      </c>
      <c r="H450" s="7">
        <v>688420.95</v>
      </c>
    </row>
    <row r="451" spans="2:8">
      <c r="B451" s="4">
        <f t="shared" si="6"/>
        <v>447</v>
      </c>
      <c r="C451" s="5">
        <v>45749</v>
      </c>
      <c r="D451" s="6" t="s">
        <v>6</v>
      </c>
      <c r="E451" s="6" t="s">
        <v>22</v>
      </c>
      <c r="F451" s="6">
        <v>1</v>
      </c>
      <c r="G451" s="16">
        <v>7436.74</v>
      </c>
      <c r="H451" s="7">
        <v>7436.74</v>
      </c>
    </row>
    <row r="452" spans="2:8">
      <c r="B452" s="4">
        <f t="shared" si="6"/>
        <v>448</v>
      </c>
      <c r="C452" s="5">
        <v>45678</v>
      </c>
      <c r="D452" s="6" t="s">
        <v>8</v>
      </c>
      <c r="E452" s="6" t="s">
        <v>29</v>
      </c>
      <c r="F452" s="6">
        <v>7</v>
      </c>
      <c r="G452" s="16">
        <v>53321.07</v>
      </c>
      <c r="H452" s="7">
        <v>373247.49</v>
      </c>
    </row>
    <row r="453" spans="2:8">
      <c r="B453" s="4">
        <f t="shared" si="6"/>
        <v>449</v>
      </c>
      <c r="C453" s="5">
        <v>45756</v>
      </c>
      <c r="D453" s="6" t="s">
        <v>7</v>
      </c>
      <c r="E453" s="6" t="s">
        <v>13</v>
      </c>
      <c r="F453" s="6">
        <v>11</v>
      </c>
      <c r="G453" s="16">
        <v>49677.79</v>
      </c>
      <c r="H453" s="7">
        <v>546455.68999999994</v>
      </c>
    </row>
    <row r="454" spans="2:8">
      <c r="B454" s="4">
        <f t="shared" si="6"/>
        <v>450</v>
      </c>
      <c r="C454" s="5">
        <v>45811</v>
      </c>
      <c r="D454" s="6" t="s">
        <v>9</v>
      </c>
      <c r="E454" s="6" t="s">
        <v>25</v>
      </c>
      <c r="F454" s="6">
        <v>7</v>
      </c>
      <c r="G454" s="16">
        <v>1285.6600000000001</v>
      </c>
      <c r="H454" s="7">
        <v>8999.6200000000008</v>
      </c>
    </row>
    <row r="455" spans="2:8">
      <c r="B455" s="4">
        <f t="shared" ref="B455:B504" si="7">B454+1</f>
        <v>451</v>
      </c>
      <c r="C455" s="5">
        <v>45785</v>
      </c>
      <c r="D455" s="6" t="s">
        <v>8</v>
      </c>
      <c r="E455" s="6" t="s">
        <v>20</v>
      </c>
      <c r="F455" s="6">
        <v>14</v>
      </c>
      <c r="G455" s="16">
        <v>73065.039999999994</v>
      </c>
      <c r="H455" s="7">
        <v>1022910.56</v>
      </c>
    </row>
    <row r="456" spans="2:8">
      <c r="B456" s="4">
        <f t="shared" si="7"/>
        <v>452</v>
      </c>
      <c r="C456" s="5">
        <v>45904</v>
      </c>
      <c r="D456" s="6" t="s">
        <v>6</v>
      </c>
      <c r="E456" s="6" t="s">
        <v>11</v>
      </c>
      <c r="F456" s="6">
        <v>3</v>
      </c>
      <c r="G456" s="16">
        <v>99459.67</v>
      </c>
      <c r="H456" s="7">
        <v>298379.01</v>
      </c>
    </row>
    <row r="457" spans="2:8">
      <c r="B457" s="4">
        <f t="shared" si="7"/>
        <v>453</v>
      </c>
      <c r="C457" s="5">
        <v>45826</v>
      </c>
      <c r="D457" s="6" t="s">
        <v>9</v>
      </c>
      <c r="E457" s="6" t="s">
        <v>17</v>
      </c>
      <c r="F457" s="6">
        <v>17</v>
      </c>
      <c r="G457" s="16">
        <v>42245.43</v>
      </c>
      <c r="H457" s="7">
        <v>718172.31</v>
      </c>
    </row>
    <row r="458" spans="2:8">
      <c r="B458" s="4">
        <f t="shared" si="7"/>
        <v>454</v>
      </c>
      <c r="C458" s="5">
        <v>45764</v>
      </c>
      <c r="D458" s="6" t="s">
        <v>7</v>
      </c>
      <c r="E458" s="6" t="s">
        <v>19</v>
      </c>
      <c r="F458" s="6">
        <v>10</v>
      </c>
      <c r="G458" s="16">
        <v>65630</v>
      </c>
      <c r="H458" s="7">
        <v>656300</v>
      </c>
    </row>
    <row r="459" spans="2:8">
      <c r="B459" s="4">
        <f t="shared" si="7"/>
        <v>455</v>
      </c>
      <c r="C459" s="5">
        <v>45856</v>
      </c>
      <c r="D459" s="6" t="s">
        <v>8</v>
      </c>
      <c r="E459" s="6" t="s">
        <v>20</v>
      </c>
      <c r="F459" s="6">
        <v>3</v>
      </c>
      <c r="G459" s="16">
        <v>74341.52</v>
      </c>
      <c r="H459" s="7">
        <v>223024.56</v>
      </c>
    </row>
    <row r="460" spans="2:8">
      <c r="B460" s="4">
        <f t="shared" si="7"/>
        <v>456</v>
      </c>
      <c r="C460" s="5">
        <v>45878</v>
      </c>
      <c r="D460" s="6" t="s">
        <v>7</v>
      </c>
      <c r="E460" s="6" t="s">
        <v>19</v>
      </c>
      <c r="F460" s="6">
        <v>3</v>
      </c>
      <c r="G460" s="16">
        <v>85519.05</v>
      </c>
      <c r="H460" s="7">
        <v>256557.15</v>
      </c>
    </row>
    <row r="461" spans="2:8">
      <c r="B461" s="4">
        <f t="shared" si="7"/>
        <v>457</v>
      </c>
      <c r="C461" s="5">
        <v>45911</v>
      </c>
      <c r="D461" s="6" t="s">
        <v>9</v>
      </c>
      <c r="E461" s="6" t="s">
        <v>23</v>
      </c>
      <c r="F461" s="6">
        <v>14</v>
      </c>
      <c r="G461" s="16">
        <v>25130.26</v>
      </c>
      <c r="H461" s="7">
        <v>351823.64</v>
      </c>
    </row>
    <row r="462" spans="2:8">
      <c r="B462" s="4">
        <f t="shared" si="7"/>
        <v>458</v>
      </c>
      <c r="C462" s="5">
        <v>45742</v>
      </c>
      <c r="D462" s="6" t="s">
        <v>10</v>
      </c>
      <c r="E462" s="6" t="s">
        <v>27</v>
      </c>
      <c r="F462" s="6">
        <v>15</v>
      </c>
      <c r="G462" s="16">
        <v>43217.73</v>
      </c>
      <c r="H462" s="7">
        <v>648265.94999999995</v>
      </c>
    </row>
    <row r="463" spans="2:8">
      <c r="B463" s="4">
        <f t="shared" si="7"/>
        <v>459</v>
      </c>
      <c r="C463" s="5">
        <v>45911</v>
      </c>
      <c r="D463" s="6" t="s">
        <v>9</v>
      </c>
      <c r="E463" s="6" t="s">
        <v>33</v>
      </c>
      <c r="F463" s="6">
        <v>19</v>
      </c>
      <c r="G463" s="16">
        <v>11627.17</v>
      </c>
      <c r="H463" s="7">
        <v>220916.23</v>
      </c>
    </row>
    <row r="464" spans="2:8">
      <c r="B464" s="4">
        <f t="shared" si="7"/>
        <v>460</v>
      </c>
      <c r="C464" s="5">
        <v>45757</v>
      </c>
      <c r="D464" s="6" t="s">
        <v>8</v>
      </c>
      <c r="E464" s="6" t="s">
        <v>20</v>
      </c>
      <c r="F464" s="6">
        <v>2</v>
      </c>
      <c r="G464" s="16">
        <v>46438.34</v>
      </c>
      <c r="H464" s="7">
        <v>92876.68</v>
      </c>
    </row>
    <row r="465" spans="2:8">
      <c r="B465" s="4">
        <f t="shared" si="7"/>
        <v>461</v>
      </c>
      <c r="C465" s="5">
        <v>45820</v>
      </c>
      <c r="D465" s="6" t="s">
        <v>10</v>
      </c>
      <c r="E465" s="6" t="s">
        <v>27</v>
      </c>
      <c r="F465" s="6">
        <v>1</v>
      </c>
      <c r="G465" s="16">
        <v>57263.38</v>
      </c>
      <c r="H465" s="7">
        <v>57263.38</v>
      </c>
    </row>
    <row r="466" spans="2:8">
      <c r="B466" s="4">
        <f t="shared" si="7"/>
        <v>462</v>
      </c>
      <c r="C466" s="5">
        <v>45797</v>
      </c>
      <c r="D466" s="6" t="s">
        <v>10</v>
      </c>
      <c r="E466" s="6" t="s">
        <v>27</v>
      </c>
      <c r="F466" s="6">
        <v>8</v>
      </c>
      <c r="G466" s="16">
        <v>36407.06</v>
      </c>
      <c r="H466" s="7">
        <v>291256.48</v>
      </c>
    </row>
    <row r="467" spans="2:8">
      <c r="B467" s="4">
        <f t="shared" si="7"/>
        <v>463</v>
      </c>
      <c r="C467" s="5">
        <v>45795</v>
      </c>
      <c r="D467" s="6" t="s">
        <v>9</v>
      </c>
      <c r="E467" s="6" t="s">
        <v>32</v>
      </c>
      <c r="F467" s="6">
        <v>20</v>
      </c>
      <c r="G467" s="16">
        <v>39734.92</v>
      </c>
      <c r="H467" s="7">
        <v>794698.4</v>
      </c>
    </row>
    <row r="468" spans="2:8">
      <c r="B468" s="4">
        <f t="shared" si="7"/>
        <v>464</v>
      </c>
      <c r="C468" s="5">
        <v>45770</v>
      </c>
      <c r="D468" s="6" t="s">
        <v>10</v>
      </c>
      <c r="E468" s="6" t="s">
        <v>34</v>
      </c>
      <c r="F468" s="6">
        <v>18</v>
      </c>
      <c r="G468" s="16">
        <v>18203.919999999998</v>
      </c>
      <c r="H468" s="7">
        <v>327670.56</v>
      </c>
    </row>
    <row r="469" spans="2:8">
      <c r="B469" s="4">
        <f t="shared" si="7"/>
        <v>465</v>
      </c>
      <c r="C469" s="5">
        <v>45854</v>
      </c>
      <c r="D469" s="6" t="s">
        <v>9</v>
      </c>
      <c r="E469" s="6" t="s">
        <v>32</v>
      </c>
      <c r="F469" s="6">
        <v>15</v>
      </c>
      <c r="G469" s="16">
        <v>31006.47</v>
      </c>
      <c r="H469" s="7">
        <v>465097.05</v>
      </c>
    </row>
    <row r="470" spans="2:8">
      <c r="B470" s="4">
        <f t="shared" si="7"/>
        <v>466</v>
      </c>
      <c r="C470" s="5">
        <v>45880</v>
      </c>
      <c r="D470" s="6" t="s">
        <v>9</v>
      </c>
      <c r="E470" s="6" t="s">
        <v>32</v>
      </c>
      <c r="F470" s="6">
        <v>8</v>
      </c>
      <c r="G470" s="16">
        <v>2167.21</v>
      </c>
      <c r="H470" s="7">
        <v>17337.68</v>
      </c>
    </row>
    <row r="471" spans="2:8">
      <c r="B471" s="4">
        <f t="shared" si="7"/>
        <v>467</v>
      </c>
      <c r="C471" s="5">
        <v>45827</v>
      </c>
      <c r="D471" s="6" t="s">
        <v>7</v>
      </c>
      <c r="E471" s="6" t="s">
        <v>19</v>
      </c>
      <c r="F471" s="6">
        <v>1</v>
      </c>
      <c r="G471" s="16">
        <v>59536.13</v>
      </c>
      <c r="H471" s="7">
        <v>59536.13</v>
      </c>
    </row>
    <row r="472" spans="2:8">
      <c r="B472" s="4">
        <f t="shared" si="7"/>
        <v>468</v>
      </c>
      <c r="C472" s="5">
        <v>45734</v>
      </c>
      <c r="D472" s="6" t="s">
        <v>8</v>
      </c>
      <c r="E472" s="6" t="s">
        <v>18</v>
      </c>
      <c r="F472" s="6">
        <v>18</v>
      </c>
      <c r="G472" s="16">
        <v>18657.21</v>
      </c>
      <c r="H472" s="7">
        <v>335829.78</v>
      </c>
    </row>
    <row r="473" spans="2:8">
      <c r="B473" s="4">
        <f t="shared" si="7"/>
        <v>469</v>
      </c>
      <c r="C473" s="5">
        <v>45811</v>
      </c>
      <c r="D473" s="6" t="s">
        <v>10</v>
      </c>
      <c r="E473" s="6" t="s">
        <v>27</v>
      </c>
      <c r="F473" s="6">
        <v>19</v>
      </c>
      <c r="G473" s="16">
        <v>54156.83</v>
      </c>
      <c r="H473" s="7">
        <v>1028979.77</v>
      </c>
    </row>
    <row r="474" spans="2:8">
      <c r="B474" s="4">
        <f t="shared" si="7"/>
        <v>470</v>
      </c>
      <c r="C474" s="5">
        <v>45680</v>
      </c>
      <c r="D474" s="6" t="s">
        <v>7</v>
      </c>
      <c r="E474" s="6" t="s">
        <v>15</v>
      </c>
      <c r="F474" s="6">
        <v>5</v>
      </c>
      <c r="G474" s="16">
        <v>70084.240000000005</v>
      </c>
      <c r="H474" s="7">
        <v>350421.2</v>
      </c>
    </row>
    <row r="475" spans="2:8">
      <c r="B475" s="4">
        <f t="shared" si="7"/>
        <v>471</v>
      </c>
      <c r="C475" s="5">
        <v>45730</v>
      </c>
      <c r="D475" s="6" t="s">
        <v>10</v>
      </c>
      <c r="E475" s="6" t="s">
        <v>31</v>
      </c>
      <c r="F475" s="6">
        <v>17</v>
      </c>
      <c r="G475" s="16">
        <v>83664.56</v>
      </c>
      <c r="H475" s="7">
        <v>1422297.52</v>
      </c>
    </row>
    <row r="476" spans="2:8">
      <c r="B476" s="4">
        <f t="shared" si="7"/>
        <v>472</v>
      </c>
      <c r="C476" s="5">
        <v>45879</v>
      </c>
      <c r="D476" s="6" t="s">
        <v>9</v>
      </c>
      <c r="E476" s="6" t="s">
        <v>32</v>
      </c>
      <c r="F476" s="6">
        <v>3</v>
      </c>
      <c r="G476" s="16">
        <v>68634.39</v>
      </c>
      <c r="H476" s="7">
        <v>205903.17</v>
      </c>
    </row>
    <row r="477" spans="2:8">
      <c r="B477" s="4">
        <f t="shared" si="7"/>
        <v>473</v>
      </c>
      <c r="C477" s="5">
        <v>45852</v>
      </c>
      <c r="D477" s="6" t="s">
        <v>6</v>
      </c>
      <c r="E477" s="6" t="s">
        <v>21</v>
      </c>
      <c r="F477" s="6">
        <v>2</v>
      </c>
      <c r="G477" s="16">
        <v>34872.959999999999</v>
      </c>
      <c r="H477" s="7">
        <v>69745.919999999998</v>
      </c>
    </row>
    <row r="478" spans="2:8">
      <c r="B478" s="4">
        <f t="shared" si="7"/>
        <v>474</v>
      </c>
      <c r="C478" s="5">
        <v>45809</v>
      </c>
      <c r="D478" s="6" t="s">
        <v>10</v>
      </c>
      <c r="E478" s="6" t="s">
        <v>34</v>
      </c>
      <c r="F478" s="6">
        <v>14</v>
      </c>
      <c r="G478" s="16">
        <v>4323.46</v>
      </c>
      <c r="H478" s="7">
        <v>60528.44</v>
      </c>
    </row>
    <row r="479" spans="2:8">
      <c r="B479" s="4">
        <f t="shared" si="7"/>
        <v>475</v>
      </c>
      <c r="C479" s="5">
        <v>45709</v>
      </c>
      <c r="D479" s="6" t="s">
        <v>6</v>
      </c>
      <c r="E479" s="6" t="s">
        <v>35</v>
      </c>
      <c r="F479" s="6">
        <v>10</v>
      </c>
      <c r="G479" s="16">
        <v>80735.88</v>
      </c>
      <c r="H479" s="7">
        <v>807358.8</v>
      </c>
    </row>
    <row r="480" spans="2:8">
      <c r="B480" s="4">
        <f t="shared" si="7"/>
        <v>476</v>
      </c>
      <c r="C480" s="5">
        <v>45713</v>
      </c>
      <c r="D480" s="6" t="s">
        <v>8</v>
      </c>
      <c r="E480" s="6" t="s">
        <v>29</v>
      </c>
      <c r="F480" s="6">
        <v>20</v>
      </c>
      <c r="G480" s="16">
        <v>61525.65</v>
      </c>
      <c r="H480" s="7">
        <v>1230513</v>
      </c>
    </row>
    <row r="481" spans="2:8">
      <c r="B481" s="4">
        <f t="shared" si="7"/>
        <v>477</v>
      </c>
      <c r="C481" s="5">
        <v>45675</v>
      </c>
      <c r="D481" s="6" t="s">
        <v>6</v>
      </c>
      <c r="E481" s="6" t="s">
        <v>37</v>
      </c>
      <c r="F481" s="6">
        <v>20</v>
      </c>
      <c r="G481" s="16">
        <v>865.91</v>
      </c>
      <c r="H481" s="7">
        <v>17318.2</v>
      </c>
    </row>
    <row r="482" spans="2:8">
      <c r="B482" s="4">
        <f t="shared" si="7"/>
        <v>478</v>
      </c>
      <c r="C482" s="5">
        <v>45820</v>
      </c>
      <c r="D482" s="6" t="s">
        <v>6</v>
      </c>
      <c r="E482" s="6" t="s">
        <v>37</v>
      </c>
      <c r="F482" s="6">
        <v>7</v>
      </c>
      <c r="G482" s="16">
        <v>64806.67</v>
      </c>
      <c r="H482" s="7">
        <v>453646.69</v>
      </c>
    </row>
    <row r="483" spans="2:8">
      <c r="B483" s="4">
        <f t="shared" si="7"/>
        <v>479</v>
      </c>
      <c r="C483" s="5">
        <v>45895</v>
      </c>
      <c r="D483" s="6" t="s">
        <v>7</v>
      </c>
      <c r="E483" s="6" t="s">
        <v>13</v>
      </c>
      <c r="F483" s="6">
        <v>7</v>
      </c>
      <c r="G483" s="16">
        <v>63884.29</v>
      </c>
      <c r="H483" s="7">
        <v>447190.03</v>
      </c>
    </row>
    <row r="484" spans="2:8">
      <c r="B484" s="4">
        <f t="shared" si="7"/>
        <v>480</v>
      </c>
      <c r="C484" s="5">
        <v>45692</v>
      </c>
      <c r="D484" s="6" t="s">
        <v>10</v>
      </c>
      <c r="E484" s="6" t="s">
        <v>31</v>
      </c>
      <c r="F484" s="6">
        <v>11</v>
      </c>
      <c r="G484" s="16">
        <v>41403.54</v>
      </c>
      <c r="H484" s="7">
        <v>455438.94</v>
      </c>
    </row>
    <row r="485" spans="2:8">
      <c r="B485" s="4">
        <f t="shared" si="7"/>
        <v>481</v>
      </c>
      <c r="C485" s="5">
        <v>45920</v>
      </c>
      <c r="D485" s="6" t="s">
        <v>7</v>
      </c>
      <c r="E485" s="6" t="s">
        <v>14</v>
      </c>
      <c r="F485" s="6">
        <v>6</v>
      </c>
      <c r="G485" s="16">
        <v>88530.25</v>
      </c>
      <c r="H485" s="7">
        <v>531181.5</v>
      </c>
    </row>
    <row r="486" spans="2:8">
      <c r="B486" s="4">
        <f t="shared" si="7"/>
        <v>482</v>
      </c>
      <c r="C486" s="5">
        <v>45695</v>
      </c>
      <c r="D486" s="6" t="s">
        <v>9</v>
      </c>
      <c r="E486" s="6" t="s">
        <v>23</v>
      </c>
      <c r="F486" s="6">
        <v>17</v>
      </c>
      <c r="G486" s="16">
        <v>26687.75</v>
      </c>
      <c r="H486" s="7">
        <v>453691.75</v>
      </c>
    </row>
    <row r="487" spans="2:8">
      <c r="B487" s="4">
        <f t="shared" si="7"/>
        <v>483</v>
      </c>
      <c r="C487" s="5">
        <v>45782</v>
      </c>
      <c r="D487" s="6" t="s">
        <v>6</v>
      </c>
      <c r="E487" s="6" t="s">
        <v>22</v>
      </c>
      <c r="F487" s="6">
        <v>19</v>
      </c>
      <c r="G487" s="16">
        <v>41596.51</v>
      </c>
      <c r="H487" s="7">
        <v>790333.69</v>
      </c>
    </row>
    <row r="488" spans="2:8">
      <c r="B488" s="4">
        <f t="shared" si="7"/>
        <v>484</v>
      </c>
      <c r="C488" s="5">
        <v>45863</v>
      </c>
      <c r="D488" s="6" t="s">
        <v>9</v>
      </c>
      <c r="E488" s="6" t="s">
        <v>25</v>
      </c>
      <c r="F488" s="6">
        <v>19</v>
      </c>
      <c r="G488" s="16">
        <v>78045.08</v>
      </c>
      <c r="H488" s="7">
        <v>1482856.52</v>
      </c>
    </row>
    <row r="489" spans="2:8">
      <c r="B489" s="4">
        <f t="shared" si="7"/>
        <v>485</v>
      </c>
      <c r="C489" s="5">
        <v>45729</v>
      </c>
      <c r="D489" s="6" t="s">
        <v>9</v>
      </c>
      <c r="E489" s="6" t="s">
        <v>23</v>
      </c>
      <c r="F489" s="6">
        <v>1</v>
      </c>
      <c r="G489" s="16">
        <v>96338.22</v>
      </c>
      <c r="H489" s="7">
        <v>96338.22</v>
      </c>
    </row>
    <row r="490" spans="2:8">
      <c r="B490" s="4">
        <f t="shared" si="7"/>
        <v>486</v>
      </c>
      <c r="C490" s="5">
        <v>45835</v>
      </c>
      <c r="D490" s="6" t="s">
        <v>7</v>
      </c>
      <c r="E490" s="6" t="s">
        <v>13</v>
      </c>
      <c r="F490" s="6">
        <v>5</v>
      </c>
      <c r="G490" s="16">
        <v>78001.97</v>
      </c>
      <c r="H490" s="7">
        <v>390009.85</v>
      </c>
    </row>
    <row r="491" spans="2:8">
      <c r="B491" s="4">
        <f t="shared" si="7"/>
        <v>487</v>
      </c>
      <c r="C491" s="5">
        <v>45660</v>
      </c>
      <c r="D491" s="6" t="s">
        <v>7</v>
      </c>
      <c r="E491" s="6" t="s">
        <v>12</v>
      </c>
      <c r="F491" s="6">
        <v>4</v>
      </c>
      <c r="G491" s="16">
        <v>84659.08</v>
      </c>
      <c r="H491" s="7">
        <v>338636.32</v>
      </c>
    </row>
    <row r="492" spans="2:8">
      <c r="B492" s="4">
        <f t="shared" si="7"/>
        <v>488</v>
      </c>
      <c r="C492" s="5">
        <v>45774</v>
      </c>
      <c r="D492" s="6" t="s">
        <v>10</v>
      </c>
      <c r="E492" s="6" t="s">
        <v>24</v>
      </c>
      <c r="F492" s="6">
        <v>16</v>
      </c>
      <c r="G492" s="16">
        <v>11721.33</v>
      </c>
      <c r="H492" s="7">
        <v>187541.28</v>
      </c>
    </row>
    <row r="493" spans="2:8">
      <c r="B493" s="4">
        <f t="shared" si="7"/>
        <v>489</v>
      </c>
      <c r="C493" s="5">
        <v>45852</v>
      </c>
      <c r="D493" s="6" t="s">
        <v>6</v>
      </c>
      <c r="E493" s="6" t="s">
        <v>35</v>
      </c>
      <c r="F493" s="6">
        <v>10</v>
      </c>
      <c r="G493" s="16">
        <v>75383.33</v>
      </c>
      <c r="H493" s="7">
        <v>753833.3</v>
      </c>
    </row>
    <row r="494" spans="2:8">
      <c r="B494" s="4">
        <f t="shared" si="7"/>
        <v>490</v>
      </c>
      <c r="C494" s="5">
        <v>45790</v>
      </c>
      <c r="D494" s="6" t="s">
        <v>8</v>
      </c>
      <c r="E494" s="6" t="s">
        <v>16</v>
      </c>
      <c r="F494" s="6">
        <v>7</v>
      </c>
      <c r="G494" s="16">
        <v>60128.83</v>
      </c>
      <c r="H494" s="7">
        <v>420901.81</v>
      </c>
    </row>
    <row r="495" spans="2:8">
      <c r="B495" s="4">
        <f t="shared" si="7"/>
        <v>491</v>
      </c>
      <c r="C495" s="5">
        <v>45908</v>
      </c>
      <c r="D495" s="6" t="s">
        <v>9</v>
      </c>
      <c r="E495" s="6" t="s">
        <v>33</v>
      </c>
      <c r="F495" s="6">
        <v>16</v>
      </c>
      <c r="G495" s="16">
        <v>59759.11</v>
      </c>
      <c r="H495" s="7">
        <v>956145.76</v>
      </c>
    </row>
    <row r="496" spans="2:8">
      <c r="B496" s="4">
        <f t="shared" si="7"/>
        <v>492</v>
      </c>
      <c r="C496" s="5">
        <v>45854</v>
      </c>
      <c r="D496" s="6" t="s">
        <v>8</v>
      </c>
      <c r="E496" s="6" t="s">
        <v>28</v>
      </c>
      <c r="F496" s="6">
        <v>13</v>
      </c>
      <c r="G496" s="16">
        <v>21423.599999999999</v>
      </c>
      <c r="H496" s="7">
        <v>278506.8</v>
      </c>
    </row>
    <row r="497" spans="2:8">
      <c r="B497" s="4">
        <f t="shared" si="7"/>
        <v>493</v>
      </c>
      <c r="C497" s="5">
        <v>45726</v>
      </c>
      <c r="D497" s="6" t="s">
        <v>10</v>
      </c>
      <c r="E497" s="6" t="s">
        <v>26</v>
      </c>
      <c r="F497" s="6">
        <v>17</v>
      </c>
      <c r="G497" s="16">
        <v>87251.95</v>
      </c>
      <c r="H497" s="7">
        <v>1483283.15</v>
      </c>
    </row>
    <row r="498" spans="2:8">
      <c r="B498" s="4">
        <f t="shared" si="7"/>
        <v>494</v>
      </c>
      <c r="C498" s="5">
        <v>45724</v>
      </c>
      <c r="D498" s="6" t="s">
        <v>8</v>
      </c>
      <c r="E498" s="6" t="s">
        <v>29</v>
      </c>
      <c r="F498" s="6">
        <v>16</v>
      </c>
      <c r="G498" s="16">
        <v>73298.210000000006</v>
      </c>
      <c r="H498" s="7">
        <v>1172771.3600000001</v>
      </c>
    </row>
    <row r="499" spans="2:8">
      <c r="B499" s="4">
        <f t="shared" si="7"/>
        <v>495</v>
      </c>
      <c r="C499" s="5">
        <v>45710</v>
      </c>
      <c r="D499" s="6" t="s">
        <v>9</v>
      </c>
      <c r="E499" s="6" t="s">
        <v>23</v>
      </c>
      <c r="F499" s="6">
        <v>14</v>
      </c>
      <c r="G499" s="16">
        <v>85881.279999999999</v>
      </c>
      <c r="H499" s="7">
        <v>1202337.92</v>
      </c>
    </row>
    <row r="500" spans="2:8">
      <c r="B500" s="4">
        <f t="shared" si="7"/>
        <v>496</v>
      </c>
      <c r="C500" s="5">
        <v>45744</v>
      </c>
      <c r="D500" s="6" t="s">
        <v>8</v>
      </c>
      <c r="E500" s="6" t="s">
        <v>20</v>
      </c>
      <c r="F500" s="6">
        <v>1</v>
      </c>
      <c r="G500" s="16">
        <v>47912.160000000003</v>
      </c>
      <c r="H500" s="7">
        <v>47912.160000000003</v>
      </c>
    </row>
    <row r="501" spans="2:8">
      <c r="B501" s="4">
        <f t="shared" si="7"/>
        <v>497</v>
      </c>
      <c r="C501" s="5">
        <v>45763</v>
      </c>
      <c r="D501" s="6" t="s">
        <v>9</v>
      </c>
      <c r="E501" s="6" t="s">
        <v>33</v>
      </c>
      <c r="F501" s="6">
        <v>8</v>
      </c>
      <c r="G501" s="16">
        <v>13492.99</v>
      </c>
      <c r="H501" s="7">
        <v>107943.92</v>
      </c>
    </row>
    <row r="502" spans="2:8">
      <c r="B502" s="4">
        <f t="shared" si="7"/>
        <v>498</v>
      </c>
      <c r="C502" s="5">
        <v>45809</v>
      </c>
      <c r="D502" s="6" t="s">
        <v>9</v>
      </c>
      <c r="E502" s="6" t="s">
        <v>32</v>
      </c>
      <c r="F502" s="6">
        <v>14</v>
      </c>
      <c r="G502" s="16">
        <v>24175.279999999999</v>
      </c>
      <c r="H502" s="7">
        <v>338453.92</v>
      </c>
    </row>
    <row r="503" spans="2:8">
      <c r="B503" s="4">
        <f t="shared" si="7"/>
        <v>499</v>
      </c>
      <c r="C503" s="5">
        <v>45856</v>
      </c>
      <c r="D503" s="6" t="s">
        <v>7</v>
      </c>
      <c r="E503" s="6" t="s">
        <v>19</v>
      </c>
      <c r="F503" s="6">
        <v>5</v>
      </c>
      <c r="G503" s="16">
        <v>27961.55</v>
      </c>
      <c r="H503" s="7">
        <v>139807.75</v>
      </c>
    </row>
    <row r="504" spans="2:8">
      <c r="B504" s="8">
        <f t="shared" si="7"/>
        <v>500</v>
      </c>
      <c r="C504" s="9">
        <v>45792</v>
      </c>
      <c r="D504" s="10" t="s">
        <v>10</v>
      </c>
      <c r="E504" s="10" t="s">
        <v>24</v>
      </c>
      <c r="F504" s="10">
        <v>9</v>
      </c>
      <c r="G504" s="17">
        <v>18936.38</v>
      </c>
      <c r="H504" s="11">
        <v>170427.42</v>
      </c>
    </row>
  </sheetData>
  <mergeCells count="9">
    <mergeCell ref="J9:J10"/>
    <mergeCell ref="J8:Q8"/>
    <mergeCell ref="J4:Q4"/>
    <mergeCell ref="J11:Q11"/>
    <mergeCell ref="J12:J13"/>
    <mergeCell ref="K9:L9"/>
    <mergeCell ref="J5:Q5"/>
    <mergeCell ref="J6:J7"/>
    <mergeCell ref="M9:N9"/>
  </mergeCells>
  <conditionalFormatting sqref="N10">
    <cfRule type="cellIs" dxfId="7" priority="8" operator="equal">
      <formula>$O$10</formula>
    </cfRule>
    <cfRule type="cellIs" dxfId="8" priority="7" operator="equal">
      <formula>"28$O$10"</formula>
    </cfRule>
    <cfRule type="cellIs" dxfId="9" priority="6" operator="equal">
      <formula>"24$O$10"</formula>
    </cfRule>
    <cfRule type="cellIs" dxfId="10" priority="5" operator="equal">
      <formula>28</formula>
    </cfRule>
    <cfRule type="cellIs" dxfId="11" priority="4" operator="equal">
      <formula>$O$10</formula>
    </cfRule>
    <cfRule type="cellIs" dxfId="12" priority="3" operator="equal">
      <formula>$O$10</formula>
    </cfRule>
    <cfRule type="expression" dxfId="6" priority="1">
      <formula>$N$10=$O$10</formula>
    </cfRule>
  </conditionalFormatting>
  <dataValidations count="1">
    <dataValidation type="list" allowBlank="1" showInputMessage="1" showErrorMessage="1" sqref="K13">
      <formula1>$D$5:$D$504</formula1>
    </dataValidation>
  </dataValidations>
  <pageMargins left="0.7" right="0.7" top="0.75" bottom="0.75" header="0.3" footer="0.3"/>
  <pageSetup paperSize="0" orientation="portrait" horizontalDpi="0" verticalDpi="0" copies="0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Planilha1!$D$13:$D$17</xm:f>
          </x14:formula1>
          <xm:sqref>K10</xm:sqref>
        </x14:dataValidation>
        <x14:dataValidation type="list" allowBlank="1" showInputMessage="1" showErrorMessage="1">
          <x14:formula1>
            <xm:f>Planilha2!$A$35:$A$62</xm:f>
          </x14:formula1>
          <xm:sqref>M10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14" sqref="J14"/>
    </sheetView>
  </sheetViews>
  <sheetFormatPr defaultRowHeight="1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Planilha2</vt:lpstr>
      <vt:lpstr>Candando</vt:lpstr>
      <vt:lpstr>Graficos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Other</cp:lastModifiedBy>
  <dcterms:created xsi:type="dcterms:W3CDTF">2025-09-13T13:14:30Z</dcterms:created>
  <dcterms:modified xsi:type="dcterms:W3CDTF">2025-09-15T14:17:16Z</dcterms:modified>
</cp:coreProperties>
</file>