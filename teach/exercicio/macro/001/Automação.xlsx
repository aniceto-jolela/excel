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j\Documents\Teach\Excel\Avance\Clarisse\"/>
    </mc:Choice>
  </mc:AlternateContent>
  <bookViews>
    <workbookView xWindow="0" yWindow="0" windowWidth="20490" windowHeight="7530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2" l="1"/>
  <c r="I13" i="2"/>
  <c r="I14" i="2"/>
  <c r="I15" i="2"/>
  <c r="I11" i="2"/>
  <c r="C13" i="2"/>
  <c r="C14" i="2"/>
  <c r="C15" i="2"/>
  <c r="C16" i="2"/>
  <c r="C17" i="2"/>
  <c r="C18" i="2"/>
  <c r="C19" i="2"/>
  <c r="C20" i="2"/>
  <c r="C21" i="2"/>
  <c r="C12" i="2"/>
  <c r="D12" i="2"/>
  <c r="J21" i="1"/>
  <c r="J22" i="1"/>
  <c r="J15" i="1"/>
  <c r="J16" i="1"/>
  <c r="J17" i="1"/>
  <c r="J18" i="1"/>
  <c r="J19" i="1"/>
  <c r="J20" i="1"/>
  <c r="J13" i="1"/>
  <c r="J14" i="1"/>
  <c r="J4" i="1"/>
  <c r="J5" i="1"/>
  <c r="J6" i="1"/>
  <c r="J7" i="1"/>
  <c r="J8" i="1"/>
  <c r="J9" i="1"/>
  <c r="J10" i="1"/>
  <c r="J11" i="1"/>
  <c r="J12" i="1"/>
  <c r="J3" i="1"/>
  <c r="D17" i="1"/>
  <c r="D18" i="1"/>
  <c r="D19" i="1"/>
  <c r="D20" i="1"/>
  <c r="D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15" i="1"/>
  <c r="C16" i="1"/>
  <c r="C17" i="1"/>
  <c r="C18" i="1"/>
  <c r="C19" i="1"/>
  <c r="C20" i="1"/>
  <c r="C21" i="1"/>
  <c r="C22" i="1"/>
  <c r="C3" i="1"/>
  <c r="C4" i="1"/>
  <c r="C5" i="1"/>
  <c r="C6" i="1"/>
  <c r="C7" i="1"/>
  <c r="C8" i="1"/>
  <c r="C9" i="1"/>
  <c r="C10" i="1"/>
  <c r="C11" i="1"/>
  <c r="C12" i="1"/>
  <c r="C13" i="1"/>
  <c r="C14" i="1"/>
  <c r="C2" i="1"/>
  <c r="B20" i="1"/>
  <c r="B21" i="1"/>
  <c r="B22" i="1"/>
  <c r="B1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</calcChain>
</file>

<file path=xl/sharedStrings.xml><?xml version="1.0" encoding="utf-8"?>
<sst xmlns="http://schemas.openxmlformats.org/spreadsheetml/2006/main" count="105" uniqueCount="94">
  <si>
    <t>IDADE</t>
  </si>
  <si>
    <t>GENERO</t>
  </si>
  <si>
    <t>STATUS</t>
  </si>
  <si>
    <t>João</t>
  </si>
  <si>
    <t>Maria</t>
  </si>
  <si>
    <t>Pedro</t>
  </si>
  <si>
    <t>Ana</t>
  </si>
  <si>
    <t>Carlos</t>
  </si>
  <si>
    <t>Juliana</t>
  </si>
  <si>
    <t>Paulo</t>
  </si>
  <si>
    <t>Fernanda</t>
  </si>
  <si>
    <t>Lucas</t>
  </si>
  <si>
    <t>Patrícia</t>
  </si>
  <si>
    <t>Silva</t>
  </si>
  <si>
    <t>Santos</t>
  </si>
  <si>
    <t>Oliveira</t>
  </si>
  <si>
    <t>Souza</t>
  </si>
  <si>
    <t>Rodrigues</t>
  </si>
  <si>
    <t>Ferreira</t>
  </si>
  <si>
    <t>Alves</t>
  </si>
  <si>
    <t>Pereira</t>
  </si>
  <si>
    <t>Lima</t>
  </si>
  <si>
    <t>Gomes</t>
  </si>
  <si>
    <t>Nome</t>
  </si>
  <si>
    <t>Sobrenome</t>
  </si>
  <si>
    <t>="F" &amp; TEXTO(LINHA(A1);"000")</t>
  </si>
  <si>
    <t>ID_Funcionario</t>
  </si>
  <si>
    <t>Idade</t>
  </si>
  <si>
    <t>Genero</t>
  </si>
  <si>
    <t>Estado_Civil</t>
  </si>
  <si>
    <t>Raca</t>
  </si>
  <si>
    <t>Cargo</t>
  </si>
  <si>
    <t>Departamento</t>
  </si>
  <si>
    <t>Nivel_Cargo</t>
  </si>
  <si>
    <t>Tempo_Empresa_meses</t>
  </si>
  <si>
    <t>Tempo_Cargo_meses</t>
  </si>
  <si>
    <t>Salario_Base</t>
  </si>
  <si>
    <t>Bonus_Anual</t>
  </si>
  <si>
    <t>Beneficios</t>
  </si>
  <si>
    <t>Ultima_Promocao_meses</t>
  </si>
  <si>
    <t>Avaliacao_Desempenho</t>
  </si>
  <si>
    <t>Absenteísmo_dias</t>
  </si>
  <si>
    <t>Horas_Extras_mensais</t>
  </si>
  <si>
    <t>Local_Trabalho</t>
  </si>
  <si>
    <t>Formacao_Educacional</t>
  </si>
  <si>
    <t>Status</t>
  </si>
  <si>
    <t>F001</t>
  </si>
  <si>
    <t>João Silva</t>
  </si>
  <si>
    <t>Masculino</t>
  </si>
  <si>
    <t>Casado</t>
  </si>
  <si>
    <t>Branco</t>
  </si>
  <si>
    <t>Engenheiro de Petróleo</t>
  </si>
  <si>
    <t>Exploração e Produção</t>
  </si>
  <si>
    <t>Senior</t>
  </si>
  <si>
    <t>Offshore</t>
  </si>
  <si>
    <t>Mestrado</t>
  </si>
  <si>
    <t>Ativo</t>
  </si>
  <si>
    <t>F002</t>
  </si>
  <si>
    <t>Maria Santos</t>
  </si>
  <si>
    <t>Feminino</t>
  </si>
  <si>
    <t>Divorciado</t>
  </si>
  <si>
    <t>Parda</t>
  </si>
  <si>
    <t>Analista de RH</t>
  </si>
  <si>
    <t>Recursos Humanos</t>
  </si>
  <si>
    <t>Pleno</t>
  </si>
  <si>
    <t>Remoto</t>
  </si>
  <si>
    <t>Graduação</t>
  </si>
  <si>
    <t>F003</t>
  </si>
  <si>
    <t>Carlos Oliveira</t>
  </si>
  <si>
    <t>Solteiro</t>
  </si>
  <si>
    <t>Técnico de Segurança</t>
  </si>
  <si>
    <t>SSMA</t>
  </si>
  <si>
    <t>Júnior</t>
  </si>
  <si>
    <t>Plataforma</t>
  </si>
  <si>
    <t>Técnico</t>
  </si>
  <si>
    <t>F004</t>
  </si>
  <si>
    <t>Ana Rodrigues</t>
  </si>
  <si>
    <t>Branca</t>
  </si>
  <si>
    <t>Gerente Financeira</t>
  </si>
  <si>
    <t>Finanças</t>
  </si>
  <si>
    <t>Executivo</t>
  </si>
  <si>
    <t>Presencial</t>
  </si>
  <si>
    <t>Pós-Graduação</t>
  </si>
  <si>
    <t>F005</t>
  </si>
  <si>
    <t>Pedro Costa</t>
  </si>
  <si>
    <t>Preto</t>
  </si>
  <si>
    <t>Operador Sênior</t>
  </si>
  <si>
    <t>Refino</t>
  </si>
  <si>
    <t>Master</t>
  </si>
  <si>
    <t>Industrial</t>
  </si>
  <si>
    <t>Ensino Médio</t>
  </si>
  <si>
    <t>Dados Brutosde RH - Chevron (1.000 registros)</t>
  </si>
  <si>
    <t>="F" &amp; TEXTO(LIN(A1),"000")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</si>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</sst>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7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B2:W7" totalsRowShown="0">
  <autoFilter ref="B2:W7"/>
  <tableColumns count="22">
    <tableColumn id="1" name="ID_Funcionario"/>
    <tableColumn id="2" name="Nome"/>
    <tableColumn id="3" name="Idade"/>
    <tableColumn id="4" name="Genero"/>
    <tableColumn id="5" name="Estado_Civil"/>
    <tableColumn id="6" name="Raca"/>
    <tableColumn id="22" name="Coluna1"/>
    <tableColumn id="7" name="Cargo"/>
    <tableColumn id="8" name="Departamento"/>
    <tableColumn id="9" name="Nivel_Cargo"/>
    <tableColumn id="10" name="Tempo_Empresa_meses"/>
    <tableColumn id="11" name="Tempo_Cargo_meses"/>
    <tableColumn id="12" name="Salario_Base"/>
    <tableColumn id="13" name="Bonus_Anual"/>
    <tableColumn id="14" name="Beneficios"/>
    <tableColumn id="15" name="Ultima_Promocao_meses"/>
    <tableColumn id="16" name="Avaliacao_Desempenho"/>
    <tableColumn id="17" name="Absenteísmo_dias"/>
    <tableColumn id="18" name="Horas_Extras_mensais"/>
    <tableColumn id="19" name="Local_Trabalho"/>
    <tableColumn id="20" name="Formacao_Educacional"/>
    <tableColumn id="2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2"/>
  <sheetViews>
    <sheetView tabSelected="1" workbookViewId="0">
      <selection activeCell="F22" sqref="F22"/>
    </sheetView>
  </sheetViews>
  <sheetFormatPr defaultRowHeight="15" x14ac:dyDescent="0.25"/>
  <sheetData>
    <row r="1" spans="2:13" x14ac:dyDescent="0.25">
      <c r="B1" t="s">
        <v>0</v>
      </c>
      <c r="C1" t="s">
        <v>1</v>
      </c>
      <c r="D1" t="s">
        <v>2</v>
      </c>
    </row>
    <row r="2" spans="2:13" x14ac:dyDescent="0.25">
      <c r="B2">
        <f ca="1">RANDBETWEEN(25,65)</f>
        <v>58</v>
      </c>
      <c r="C2" t="str">
        <f ca="1">CHOOSE(RANDBETWEEN(1,4),"Masculino","Feminino","outro","prefiro não dizer")</f>
        <v>outro</v>
      </c>
      <c r="D2" t="str">
        <f ca="1">IF(RAND()&gt;0.7,"Ativo","Inativo")</f>
        <v>Inativo</v>
      </c>
      <c r="G2" s="1" t="s">
        <v>23</v>
      </c>
      <c r="H2" s="1" t="s">
        <v>24</v>
      </c>
    </row>
    <row r="3" spans="2:13" x14ac:dyDescent="0.25">
      <c r="B3">
        <f t="shared" ref="B3:B18" ca="1" si="0">RANDBETWEEN(25,65)</f>
        <v>25</v>
      </c>
      <c r="C3" t="str">
        <f t="shared" ref="C3:C22" ca="1" si="1">CHOOSE(RANDBETWEEN(1,4),"Masculino","Feminino","outro","prefiro não dizer")</f>
        <v>Masculino</v>
      </c>
      <c r="D3" t="str">
        <f t="shared" ref="D3:D21" ca="1" si="2">IF(RAND()&gt;0.7,"Ativo","Inativo")</f>
        <v>Inativo</v>
      </c>
      <c r="G3" t="s">
        <v>3</v>
      </c>
      <c r="H3" t="s">
        <v>13</v>
      </c>
      <c r="J3" t="str">
        <f ca="1">INDEX(G3:G12,RANDBETWEEN(1,10)) &amp;" "&amp;INDEX($H$3:$H$12,RANDBETWEEN(1,10))</f>
        <v>Ana Ferreira</v>
      </c>
      <c r="M3" t="s">
        <v>25</v>
      </c>
    </row>
    <row r="4" spans="2:13" x14ac:dyDescent="0.25">
      <c r="B4">
        <f t="shared" ca="1" si="0"/>
        <v>45</v>
      </c>
      <c r="C4" t="str">
        <f t="shared" ca="1" si="1"/>
        <v>prefiro não dizer</v>
      </c>
      <c r="D4" t="str">
        <f t="shared" ca="1" si="2"/>
        <v>Inativo</v>
      </c>
      <c r="G4" t="s">
        <v>4</v>
      </c>
      <c r="H4" t="s">
        <v>14</v>
      </c>
      <c r="J4" t="str">
        <f t="shared" ref="J4:J22" ca="1" si="3">INDEX(G4:G13,RANDBETWEEN(1,10)) &amp;" "&amp;INDEX($H$3:$H$12,RANDBETWEEN(1,10))</f>
        <v>Maria Rodrigues</v>
      </c>
    </row>
    <row r="5" spans="2:13" x14ac:dyDescent="0.25">
      <c r="B5">
        <f t="shared" ca="1" si="0"/>
        <v>52</v>
      </c>
      <c r="C5" t="str">
        <f t="shared" ca="1" si="1"/>
        <v>outro</v>
      </c>
      <c r="D5" t="str">
        <f t="shared" ca="1" si="2"/>
        <v>Ativo</v>
      </c>
      <c r="G5" t="s">
        <v>5</v>
      </c>
      <c r="H5" t="s">
        <v>15</v>
      </c>
      <c r="J5" t="str">
        <f t="shared" ca="1" si="3"/>
        <v>Juliana Souza</v>
      </c>
    </row>
    <row r="6" spans="2:13" x14ac:dyDescent="0.25">
      <c r="B6">
        <f t="shared" ca="1" si="0"/>
        <v>59</v>
      </c>
      <c r="C6" t="str">
        <f t="shared" ca="1" si="1"/>
        <v>Feminino</v>
      </c>
      <c r="D6" t="str">
        <f t="shared" ca="1" si="2"/>
        <v>Ativo</v>
      </c>
      <c r="G6" t="s">
        <v>6</v>
      </c>
      <c r="H6" t="s">
        <v>16</v>
      </c>
      <c r="J6" t="str">
        <f t="shared" ca="1" si="3"/>
        <v>Fernanda Santos</v>
      </c>
    </row>
    <row r="7" spans="2:13" x14ac:dyDescent="0.25">
      <c r="B7">
        <f t="shared" ca="1" si="0"/>
        <v>31</v>
      </c>
      <c r="C7" t="str">
        <f t="shared" ca="1" si="1"/>
        <v>Feminino</v>
      </c>
      <c r="D7" t="str">
        <f t="shared" ca="1" si="2"/>
        <v>Inativo</v>
      </c>
      <c r="G7" t="s">
        <v>7</v>
      </c>
      <c r="H7" t="s">
        <v>17</v>
      </c>
      <c r="J7" t="str">
        <f t="shared" ca="1" si="3"/>
        <v>Patrícia Gomes</v>
      </c>
    </row>
    <row r="8" spans="2:13" x14ac:dyDescent="0.25">
      <c r="B8">
        <f t="shared" ca="1" si="0"/>
        <v>26</v>
      </c>
      <c r="C8" t="str">
        <f t="shared" ca="1" si="1"/>
        <v>outro</v>
      </c>
      <c r="D8" t="str">
        <f t="shared" ca="1" si="2"/>
        <v>Ativo</v>
      </c>
      <c r="G8" t="s">
        <v>8</v>
      </c>
      <c r="H8" t="s">
        <v>18</v>
      </c>
      <c r="J8" t="str">
        <f t="shared" ca="1" si="3"/>
        <v>Fernanda Santos</v>
      </c>
    </row>
    <row r="9" spans="2:13" x14ac:dyDescent="0.25">
      <c r="B9">
        <f t="shared" ca="1" si="0"/>
        <v>39</v>
      </c>
      <c r="C9" t="str">
        <f t="shared" ca="1" si="1"/>
        <v>Feminino</v>
      </c>
      <c r="D9" t="str">
        <f t="shared" ca="1" si="2"/>
        <v>Inativo</v>
      </c>
      <c r="G9" t="s">
        <v>9</v>
      </c>
      <c r="H9" t="s">
        <v>19</v>
      </c>
      <c r="J9" t="str">
        <f t="shared" ca="1" si="3"/>
        <v xml:space="preserve"> Silva</v>
      </c>
    </row>
    <row r="10" spans="2:13" x14ac:dyDescent="0.25">
      <c r="B10">
        <f t="shared" ca="1" si="0"/>
        <v>49</v>
      </c>
      <c r="C10" t="str">
        <f t="shared" ca="1" si="1"/>
        <v>Feminino</v>
      </c>
      <c r="D10" t="str">
        <f t="shared" ca="1" si="2"/>
        <v>Inativo</v>
      </c>
      <c r="G10" t="s">
        <v>10</v>
      </c>
      <c r="H10" t="s">
        <v>20</v>
      </c>
      <c r="J10" t="str">
        <f t="shared" ca="1" si="3"/>
        <v>Lucas Santos</v>
      </c>
    </row>
    <row r="11" spans="2:13" x14ac:dyDescent="0.25">
      <c r="B11">
        <f t="shared" ca="1" si="0"/>
        <v>51</v>
      </c>
      <c r="C11" t="str">
        <f t="shared" ca="1" si="1"/>
        <v>Masculino</v>
      </c>
      <c r="D11" t="str">
        <f t="shared" ca="1" si="2"/>
        <v>Ativo</v>
      </c>
      <c r="G11" t="s">
        <v>11</v>
      </c>
      <c r="H11" t="s">
        <v>21</v>
      </c>
      <c r="J11" t="str">
        <f t="shared" ca="1" si="3"/>
        <v xml:space="preserve"> Santos</v>
      </c>
    </row>
    <row r="12" spans="2:13" x14ac:dyDescent="0.25">
      <c r="B12">
        <f t="shared" ca="1" si="0"/>
        <v>34</v>
      </c>
      <c r="C12" t="str">
        <f t="shared" ca="1" si="1"/>
        <v>Feminino</v>
      </c>
      <c r="D12" t="str">
        <f t="shared" ca="1" si="2"/>
        <v>Inativo</v>
      </c>
      <c r="G12" t="s">
        <v>12</v>
      </c>
      <c r="H12" t="s">
        <v>22</v>
      </c>
      <c r="J12" t="str">
        <f t="shared" ca="1" si="3"/>
        <v>Patrícia Lima</v>
      </c>
    </row>
    <row r="13" spans="2:13" x14ac:dyDescent="0.25">
      <c r="B13">
        <f t="shared" ca="1" si="0"/>
        <v>27</v>
      </c>
      <c r="C13" t="str">
        <f t="shared" ca="1" si="1"/>
        <v>Feminino</v>
      </c>
      <c r="D13" t="str">
        <f t="shared" ca="1" si="2"/>
        <v>Inativo</v>
      </c>
      <c r="J13" t="str">
        <f t="shared" ca="1" si="3"/>
        <v xml:space="preserve"> Souza</v>
      </c>
    </row>
    <row r="14" spans="2:13" x14ac:dyDescent="0.25">
      <c r="B14">
        <f t="shared" ca="1" si="0"/>
        <v>47</v>
      </c>
      <c r="C14" t="str">
        <f t="shared" ca="1" si="1"/>
        <v>outro</v>
      </c>
      <c r="D14" t="str">
        <f t="shared" ca="1" si="2"/>
        <v>Inativo</v>
      </c>
      <c r="J14" t="str">
        <f t="shared" ca="1" si="3"/>
        <v xml:space="preserve"> Ferreira</v>
      </c>
    </row>
    <row r="15" spans="2:13" x14ac:dyDescent="0.25">
      <c r="B15">
        <f t="shared" ca="1" si="0"/>
        <v>31</v>
      </c>
      <c r="C15" t="str">
        <f ca="1">CHOOSE(RANDBETWEEN(1,4),"Masculino","Feminino","outro","prefiro não dizer")</f>
        <v>Feminino</v>
      </c>
      <c r="D15" t="str">
        <f t="shared" ca="1" si="2"/>
        <v>Inativo</v>
      </c>
      <c r="J15" t="str">
        <f t="shared" ca="1" si="3"/>
        <v xml:space="preserve"> Gomes</v>
      </c>
    </row>
    <row r="16" spans="2:13" x14ac:dyDescent="0.25">
      <c r="B16">
        <f t="shared" ca="1" si="0"/>
        <v>36</v>
      </c>
      <c r="C16" t="str">
        <f t="shared" ca="1" si="1"/>
        <v>prefiro não dizer</v>
      </c>
      <c r="D16" t="str">
        <f t="shared" ca="1" si="2"/>
        <v>Inativo</v>
      </c>
      <c r="J16" t="str">
        <f t="shared" ca="1" si="3"/>
        <v xml:space="preserve"> Gomes</v>
      </c>
    </row>
    <row r="17" spans="2:10" x14ac:dyDescent="0.25">
      <c r="B17">
        <f t="shared" ca="1" si="0"/>
        <v>49</v>
      </c>
      <c r="C17" t="str">
        <f t="shared" ca="1" si="1"/>
        <v>Feminino</v>
      </c>
      <c r="D17" t="str">
        <f ca="1">IF(RAND()&gt;0.7,"Ativo","Inativo")</f>
        <v>Inativo</v>
      </c>
      <c r="J17" t="str">
        <f t="shared" ca="1" si="3"/>
        <v xml:space="preserve"> Oliveira</v>
      </c>
    </row>
    <row r="18" spans="2:10" x14ac:dyDescent="0.25">
      <c r="B18">
        <f t="shared" ca="1" si="0"/>
        <v>54</v>
      </c>
      <c r="C18" t="str">
        <f t="shared" ca="1" si="1"/>
        <v>Masculino</v>
      </c>
      <c r="D18" t="str">
        <f t="shared" ca="1" si="2"/>
        <v>Inativo</v>
      </c>
      <c r="J18" t="str">
        <f t="shared" ca="1" si="3"/>
        <v xml:space="preserve"> Ferreira</v>
      </c>
    </row>
    <row r="19" spans="2:10" x14ac:dyDescent="0.25">
      <c r="B19">
        <f ca="1">RANDBETWEEN(25,65)</f>
        <v>34</v>
      </c>
      <c r="C19" t="str">
        <f t="shared" ca="1" si="1"/>
        <v>outro</v>
      </c>
      <c r="D19" t="str">
        <f t="shared" ca="1" si="2"/>
        <v>Ativo</v>
      </c>
      <c r="J19" t="str">
        <f t="shared" ca="1" si="3"/>
        <v xml:space="preserve"> Lima</v>
      </c>
    </row>
    <row r="20" spans="2:10" x14ac:dyDescent="0.25">
      <c r="B20">
        <f ca="1">RANDBETWEEN(25,65)</f>
        <v>45</v>
      </c>
      <c r="C20" t="str">
        <f t="shared" ca="1" si="1"/>
        <v>outro</v>
      </c>
      <c r="D20" t="str">
        <f t="shared" ca="1" si="2"/>
        <v>Ativo</v>
      </c>
      <c r="J20" t="str">
        <f t="shared" ca="1" si="3"/>
        <v xml:space="preserve"> Oliveira</v>
      </c>
    </row>
    <row r="21" spans="2:10" x14ac:dyDescent="0.25">
      <c r="B21">
        <f t="shared" ref="B21:B22" ca="1" si="4">RANDBETWEEN(25,65)</f>
        <v>63</v>
      </c>
      <c r="C21" t="str">
        <f t="shared" ca="1" si="1"/>
        <v>prefiro não dizer</v>
      </c>
      <c r="D21" t="str">
        <f t="shared" ca="1" si="2"/>
        <v>Inativo</v>
      </c>
      <c r="J21" t="str">
        <f t="shared" ca="1" si="3"/>
        <v xml:space="preserve"> Souza</v>
      </c>
    </row>
    <row r="22" spans="2:10" x14ac:dyDescent="0.25">
      <c r="B22">
        <f t="shared" ca="1" si="4"/>
        <v>37</v>
      </c>
      <c r="C22" t="str">
        <f t="shared" ca="1" si="1"/>
        <v>Feminino</v>
      </c>
      <c r="J22" t="str">
        <f t="shared" ca="1" si="3"/>
        <v xml:space="preserve"> Gomes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1"/>
  <sheetViews>
    <sheetView topLeftCell="B1" workbookViewId="0">
      <selection activeCell="K17" sqref="K17"/>
    </sheetView>
  </sheetViews>
  <sheetFormatPr defaultRowHeight="15" x14ac:dyDescent="0.25"/>
  <cols>
    <col min="2" max="2" width="16.42578125" customWidth="1"/>
    <col min="3" max="3" width="14" bestFit="1" customWidth="1"/>
    <col min="5" max="5" width="9.85546875" customWidth="1"/>
    <col min="6" max="6" width="13.85546875" customWidth="1"/>
    <col min="9" max="9" width="16" customWidth="1"/>
    <col min="10" max="10" width="13.85546875" customWidth="1"/>
    <col min="11" max="11" width="24.5703125" customWidth="1"/>
    <col min="12" max="12" width="22" customWidth="1"/>
    <col min="13" max="13" width="14.28515625" customWidth="1"/>
    <col min="14" max="14" width="14.7109375" customWidth="1"/>
    <col min="15" max="15" width="12.42578125" customWidth="1"/>
    <col min="16" max="16" width="25.7109375" customWidth="1"/>
    <col min="17" max="17" width="24.42578125" customWidth="1"/>
    <col min="18" max="18" width="19.42578125" customWidth="1"/>
    <col min="19" max="19" width="22.7109375" customWidth="1"/>
    <col min="20" max="20" width="16.28515625" customWidth="1"/>
    <col min="21" max="21" width="23.140625" customWidth="1"/>
  </cols>
  <sheetData>
    <row r="1" spans="2:23" x14ac:dyDescent="0.25">
      <c r="E1" t="s">
        <v>91</v>
      </c>
    </row>
    <row r="2" spans="2:23" x14ac:dyDescent="0.25">
      <c r="B2" s="2" t="s">
        <v>26</v>
      </c>
      <c r="C2" t="s">
        <v>23</v>
      </c>
      <c r="D2" t="s">
        <v>27</v>
      </c>
      <c r="E2" t="s">
        <v>28</v>
      </c>
      <c r="F2" t="s">
        <v>29</v>
      </c>
      <c r="G2" t="s">
        <v>30</v>
      </c>
      <c r="H2" t="s">
        <v>93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2:23" x14ac:dyDescent="0.25">
      <c r="B3" t="s">
        <v>46</v>
      </c>
      <c r="C3" t="s">
        <v>47</v>
      </c>
      <c r="D3">
        <v>35</v>
      </c>
      <c r="E3" t="s">
        <v>48</v>
      </c>
      <c r="F3" t="s">
        <v>49</v>
      </c>
      <c r="G3" t="s">
        <v>50</v>
      </c>
      <c r="H3">
        <v>1</v>
      </c>
      <c r="I3" t="s">
        <v>51</v>
      </c>
      <c r="J3" t="s">
        <v>52</v>
      </c>
      <c r="K3" t="s">
        <v>53</v>
      </c>
      <c r="L3">
        <v>84</v>
      </c>
      <c r="M3">
        <v>24</v>
      </c>
      <c r="N3">
        <v>18500</v>
      </c>
      <c r="O3">
        <v>18500</v>
      </c>
      <c r="P3">
        <v>9500</v>
      </c>
      <c r="Q3">
        <v>12</v>
      </c>
      <c r="R3">
        <v>4.5</v>
      </c>
      <c r="S3">
        <v>3</v>
      </c>
      <c r="T3">
        <v>12</v>
      </c>
      <c r="U3" t="s">
        <v>54</v>
      </c>
      <c r="V3" t="s">
        <v>55</v>
      </c>
      <c r="W3" t="s">
        <v>56</v>
      </c>
    </row>
    <row r="4" spans="2:23" x14ac:dyDescent="0.25">
      <c r="B4" t="s">
        <v>57</v>
      </c>
      <c r="C4" t="s">
        <v>58</v>
      </c>
      <c r="D4">
        <v>42</v>
      </c>
      <c r="E4" t="s">
        <v>59</v>
      </c>
      <c r="F4" t="s">
        <v>60</v>
      </c>
      <c r="G4" t="s">
        <v>61</v>
      </c>
      <c r="H4">
        <v>2</v>
      </c>
      <c r="I4" t="s">
        <v>62</v>
      </c>
      <c r="J4" t="s">
        <v>63</v>
      </c>
      <c r="K4" t="s">
        <v>64</v>
      </c>
      <c r="L4">
        <v>120</v>
      </c>
      <c r="M4">
        <v>36</v>
      </c>
      <c r="N4">
        <v>12500</v>
      </c>
      <c r="O4">
        <v>8750</v>
      </c>
      <c r="P4">
        <v>7500</v>
      </c>
      <c r="Q4">
        <v>24</v>
      </c>
      <c r="R4">
        <v>4.2</v>
      </c>
      <c r="S4">
        <v>5</v>
      </c>
      <c r="T4">
        <v>8</v>
      </c>
      <c r="U4" t="s">
        <v>65</v>
      </c>
      <c r="V4" t="s">
        <v>66</v>
      </c>
      <c r="W4" t="s">
        <v>56</v>
      </c>
    </row>
    <row r="5" spans="2:23" x14ac:dyDescent="0.25">
      <c r="B5" t="s">
        <v>67</v>
      </c>
      <c r="C5" t="s">
        <v>68</v>
      </c>
      <c r="D5">
        <v>28</v>
      </c>
      <c r="E5" t="s">
        <v>48</v>
      </c>
      <c r="F5" t="s">
        <v>69</v>
      </c>
      <c r="G5" t="s">
        <v>50</v>
      </c>
      <c r="H5">
        <v>3</v>
      </c>
      <c r="I5" t="s">
        <v>70</v>
      </c>
      <c r="J5" t="s">
        <v>71</v>
      </c>
      <c r="K5" t="s">
        <v>72</v>
      </c>
      <c r="L5">
        <v>36</v>
      </c>
      <c r="M5">
        <v>18</v>
      </c>
      <c r="N5">
        <v>8500</v>
      </c>
      <c r="O5">
        <v>4250</v>
      </c>
      <c r="P5">
        <v>5500</v>
      </c>
      <c r="Q5">
        <v>8</v>
      </c>
      <c r="R5">
        <v>3.8</v>
      </c>
      <c r="S5">
        <v>2</v>
      </c>
      <c r="T5">
        <v>15</v>
      </c>
      <c r="U5" t="s">
        <v>73</v>
      </c>
      <c r="V5" t="s">
        <v>74</v>
      </c>
      <c r="W5" t="s">
        <v>56</v>
      </c>
    </row>
    <row r="6" spans="2:23" x14ac:dyDescent="0.25">
      <c r="B6" t="s">
        <v>75</v>
      </c>
      <c r="C6" t="s">
        <v>76</v>
      </c>
      <c r="D6">
        <v>45</v>
      </c>
      <c r="E6" t="s">
        <v>59</v>
      </c>
      <c r="F6" t="s">
        <v>49</v>
      </c>
      <c r="G6" t="s">
        <v>77</v>
      </c>
      <c r="H6">
        <v>4</v>
      </c>
      <c r="I6" t="s">
        <v>78</v>
      </c>
      <c r="J6" t="s">
        <v>79</v>
      </c>
      <c r="K6" t="s">
        <v>80</v>
      </c>
      <c r="L6">
        <v>156</v>
      </c>
      <c r="M6">
        <v>48</v>
      </c>
      <c r="N6">
        <v>28500</v>
      </c>
      <c r="O6">
        <v>42750</v>
      </c>
      <c r="P6">
        <v>15000</v>
      </c>
      <c r="Q6">
        <v>6</v>
      </c>
      <c r="R6">
        <v>4.8</v>
      </c>
      <c r="S6">
        <v>1</v>
      </c>
      <c r="T6">
        <v>5</v>
      </c>
      <c r="U6" t="s">
        <v>81</v>
      </c>
      <c r="V6" t="s">
        <v>82</v>
      </c>
      <c r="W6" t="s">
        <v>56</v>
      </c>
    </row>
    <row r="7" spans="2:23" x14ac:dyDescent="0.25">
      <c r="B7" t="s">
        <v>83</v>
      </c>
      <c r="C7" t="s">
        <v>84</v>
      </c>
      <c r="D7">
        <v>52</v>
      </c>
      <c r="E7" t="s">
        <v>48</v>
      </c>
      <c r="F7" t="s">
        <v>49</v>
      </c>
      <c r="G7" t="s">
        <v>85</v>
      </c>
      <c r="H7">
        <v>5</v>
      </c>
      <c r="I7" t="s">
        <v>86</v>
      </c>
      <c r="J7" t="s">
        <v>87</v>
      </c>
      <c r="K7" t="s">
        <v>88</v>
      </c>
      <c r="L7">
        <v>240</v>
      </c>
      <c r="M7">
        <v>72</v>
      </c>
      <c r="N7">
        <v>22500</v>
      </c>
      <c r="O7">
        <v>33750</v>
      </c>
      <c r="P7">
        <v>12000</v>
      </c>
      <c r="Q7">
        <v>36</v>
      </c>
      <c r="R7">
        <v>4.5999999999999996</v>
      </c>
      <c r="S7">
        <v>4</v>
      </c>
      <c r="T7">
        <v>20</v>
      </c>
      <c r="U7" t="s">
        <v>89</v>
      </c>
      <c r="V7" t="s">
        <v>90</v>
      </c>
      <c r="W7" t="s">
        <v>56</v>
      </c>
    </row>
    <row r="10" spans="2:23" x14ac:dyDescent="0.25">
      <c r="E10" s="3" t="s">
        <v>92</v>
      </c>
    </row>
    <row r="11" spans="2:23" x14ac:dyDescent="0.25">
      <c r="I11" t="str">
        <f ca="1">VLOOKUP(RANDBETWEEN(1,5),Tabela1[[#All],[Coluna1]:[Departamento]],3,FALSE)</f>
        <v>Recursos Humanos</v>
      </c>
    </row>
    <row r="12" spans="2:23" x14ac:dyDescent="0.25">
      <c r="C12" t="str">
        <f>"F" &amp; TEXT(ROW(C12),"0000")</f>
        <v>F0012</v>
      </c>
      <c r="D12">
        <f>ROW(B9)</f>
        <v>9</v>
      </c>
      <c r="I12" t="str">
        <f ca="1">VLOOKUP(RANDBETWEEN(1,5),Tabela1[[#All],[Coluna1]:[Departamento]],3,FALSE)</f>
        <v>Finanças</v>
      </c>
    </row>
    <row r="13" spans="2:23" x14ac:dyDescent="0.25">
      <c r="C13" t="str">
        <f t="shared" ref="C13:C21" si="0">"F" &amp; TEXT(ROW(C13),"0000")</f>
        <v>F0013</v>
      </c>
      <c r="I13" t="str">
        <f ca="1">VLOOKUP(RANDBETWEEN(1,5),Tabela1[[#All],[Coluna1]:[Departamento]],3,FALSE)</f>
        <v>Finanças</v>
      </c>
    </row>
    <row r="14" spans="2:23" x14ac:dyDescent="0.25">
      <c r="C14" t="str">
        <f t="shared" si="0"/>
        <v>F0014</v>
      </c>
      <c r="I14" t="str">
        <f ca="1">VLOOKUP(RANDBETWEEN(1,5),Tabela1[[#All],[Coluna1]:[Departamento]],3,FALSE)</f>
        <v>Recursos Humanos</v>
      </c>
    </row>
    <row r="15" spans="2:23" x14ac:dyDescent="0.25">
      <c r="C15" t="str">
        <f t="shared" si="0"/>
        <v>F0015</v>
      </c>
      <c r="I15" t="str">
        <f ca="1">VLOOKUP(RANDBETWEEN(1,5),Tabela1[[#All],[Coluna1]:[Departamento]],3,FALSE)</f>
        <v>Recursos Humanos</v>
      </c>
    </row>
    <row r="16" spans="2:23" x14ac:dyDescent="0.25">
      <c r="C16" t="str">
        <f t="shared" si="0"/>
        <v>F0016</v>
      </c>
    </row>
    <row r="17" spans="3:3" x14ac:dyDescent="0.25">
      <c r="C17" t="str">
        <f t="shared" si="0"/>
        <v>F0017</v>
      </c>
    </row>
    <row r="18" spans="3:3" x14ac:dyDescent="0.25">
      <c r="C18" t="str">
        <f t="shared" si="0"/>
        <v>F0018</v>
      </c>
    </row>
    <row r="19" spans="3:3" x14ac:dyDescent="0.25">
      <c r="C19" t="str">
        <f t="shared" si="0"/>
        <v>F0019</v>
      </c>
    </row>
    <row r="20" spans="3:3" x14ac:dyDescent="0.25">
      <c r="C20" t="str">
        <f t="shared" si="0"/>
        <v>F0020</v>
      </c>
    </row>
    <row r="21" spans="3:3" x14ac:dyDescent="0.25">
      <c r="C21" t="str">
        <f t="shared" si="0"/>
        <v>F0021</v>
      </c>
    </row>
  </sheetData>
  <dataConsolidate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Aniceto José Jolela</dc:creator>
  <cp:lastModifiedBy>Aniceto José Jolela</cp:lastModifiedBy>
  <dcterms:created xsi:type="dcterms:W3CDTF">2026-02-22T18:27:14Z</dcterms:created>
  <dcterms:modified xsi:type="dcterms:W3CDTF">2026-02-22T20:37:46Z</dcterms:modified>
</cp:coreProperties>
</file>