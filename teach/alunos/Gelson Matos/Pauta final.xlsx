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Aniceto\Aula\Gelson Matos\"/>
    </mc:Choice>
  </mc:AlternateContent>
  <xr:revisionPtr revIDLastSave="0" documentId="13_ncr:1_{0A7503FA-5775-4B5D-BF05-9DE874F25C5A}" xr6:coauthVersionLast="47" xr6:coauthVersionMax="47" xr10:uidLastSave="{00000000-0000-0000-0000-000000000000}"/>
  <bookViews>
    <workbookView xWindow="-120" yWindow="-120" windowWidth="29040" windowHeight="15840" xr2:uid="{5B55A4DE-DE42-41B4-BAD3-6FC1E2AC1F04}"/>
  </bookViews>
  <sheets>
    <sheet name="Tabela dinamica" sheetId="5" r:id="rId1"/>
    <sheet name="Tabela recomendada" sheetId="6" r:id="rId2"/>
    <sheet name="Tabela" sheetId="1" r:id="rId3"/>
    <sheet name="Formula básicas" sheetId="9" r:id="rId4"/>
  </sheets>
  <definedNames>
    <definedName name="_xlnm._FilterDatabase" localSheetId="2" hidden="1">Tabela!$C$11:$I$11</definedName>
    <definedName name="SegmentaçãodeDados_Genero">#N/A</definedName>
  </definedNames>
  <calcPr calcId="191029"/>
  <pivotCaches>
    <pivotCache cacheId="20" r:id="rId5"/>
    <pivotCache cacheId="34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" i="9" l="1"/>
  <c r="I14" i="9"/>
  <c r="I13" i="9"/>
  <c r="I12" i="9"/>
  <c r="I11" i="9"/>
  <c r="C10" i="9"/>
  <c r="I4" i="9"/>
  <c r="C15" i="9" l="1"/>
  <c r="C14" i="9"/>
  <c r="C13" i="9"/>
  <c r="I10" i="9" s="1"/>
  <c r="C12" i="9"/>
  <c r="C11" i="9"/>
  <c r="I8" i="9" s="1"/>
  <c r="C9" i="9"/>
  <c r="C8" i="9"/>
  <c r="I7" i="9"/>
  <c r="C7" i="9"/>
  <c r="I6" i="9"/>
  <c r="C6" i="9"/>
  <c r="I5" i="9"/>
  <c r="I9" i="9" l="1"/>
  <c r="R10" i="1" l="1"/>
  <c r="S10" i="1"/>
  <c r="R9" i="1"/>
  <c r="S9" i="1"/>
  <c r="H16" i="1"/>
  <c r="I16" i="1" s="1"/>
  <c r="H15" i="1"/>
  <c r="I15" i="1" s="1"/>
  <c r="H14" i="1"/>
  <c r="I14" i="1" s="1"/>
  <c r="H13" i="1"/>
  <c r="I13" i="1" s="1"/>
  <c r="C13" i="1"/>
  <c r="C14" i="1" s="1"/>
  <c r="C15" i="1" s="1"/>
  <c r="C16" i="1" s="1"/>
  <c r="H12" i="1"/>
  <c r="I12" i="1" s="1"/>
  <c r="R8" i="1"/>
  <c r="S8" i="1" s="1"/>
  <c r="R7" i="1"/>
  <c r="S7" i="1" s="1"/>
  <c r="R6" i="1"/>
  <c r="S6" i="1" s="1"/>
  <c r="R5" i="1"/>
  <c r="S5" i="1" s="1"/>
  <c r="L5" i="1"/>
  <c r="L6" i="1" s="1"/>
  <c r="L7" i="1" s="1"/>
  <c r="R4" i="1"/>
  <c r="S4" i="1" s="1"/>
  <c r="H5" i="1"/>
  <c r="H6" i="1"/>
  <c r="H7" i="1"/>
  <c r="H8" i="1"/>
  <c r="I5" i="1"/>
  <c r="I6" i="1"/>
  <c r="I7" i="1"/>
  <c r="I8" i="1"/>
  <c r="C5" i="1"/>
  <c r="C6" i="1" s="1"/>
  <c r="C7" i="1" s="1"/>
  <c r="C8" i="1" s="1"/>
  <c r="H4" i="1"/>
  <c r="I4" i="1" s="1"/>
  <c r="L8" i="1" l="1"/>
  <c r="L9" i="1" s="1"/>
  <c r="L10" i="1" s="1"/>
</calcChain>
</file>

<file path=xl/sharedStrings.xml><?xml version="1.0" encoding="utf-8"?>
<sst xmlns="http://schemas.openxmlformats.org/spreadsheetml/2006/main" count="134" uniqueCount="68">
  <si>
    <t>Nº</t>
  </si>
  <si>
    <t>Nome</t>
  </si>
  <si>
    <t>N1</t>
  </si>
  <si>
    <t>N2</t>
  </si>
  <si>
    <t>N3</t>
  </si>
  <si>
    <t>MÉDIA</t>
  </si>
  <si>
    <t>Alice Dos Santos</t>
  </si>
  <si>
    <t>Lucas Rafael</t>
  </si>
  <si>
    <t>Gomes Rodrigues</t>
  </si>
  <si>
    <t>Filipe Joquim</t>
  </si>
  <si>
    <t>Filomena Do Rosario</t>
  </si>
  <si>
    <t>RESULTADO</t>
  </si>
  <si>
    <t>=SE(H4&gt;9;"APTO";"NÃO APTO")</t>
  </si>
  <si>
    <t>Daniel</t>
  </si>
  <si>
    <t>Soma de MÉDIA</t>
  </si>
  <si>
    <t>Rótulos de Coluna</t>
  </si>
  <si>
    <t>Rótulos de Linha</t>
  </si>
  <si>
    <t>APTO</t>
  </si>
  <si>
    <t>NÃO APTO</t>
  </si>
  <si>
    <t>Total Geral</t>
  </si>
  <si>
    <t>Pauta final</t>
  </si>
  <si>
    <t>Segmentação de dados</t>
  </si>
  <si>
    <t>Marculino Filipe</t>
  </si>
  <si>
    <t>Genero</t>
  </si>
  <si>
    <t>F</t>
  </si>
  <si>
    <t>M</t>
  </si>
  <si>
    <t>TABELA DOS FUNCIONÁRIOS</t>
  </si>
  <si>
    <t>NOME</t>
  </si>
  <si>
    <t>SEXO</t>
  </si>
  <si>
    <t>IDADE</t>
  </si>
  <si>
    <t>Total</t>
  </si>
  <si>
    <t>=SOMA(I4:I14)</t>
  </si>
  <si>
    <t>Min</t>
  </si>
  <si>
    <t>=MENOR(I4:I14;M4)</t>
  </si>
  <si>
    <t>Max</t>
  </si>
  <si>
    <t>=MAIOR(I4:I14;M5)</t>
  </si>
  <si>
    <t>Media</t>
  </si>
  <si>
    <t>=MÉDIA(I4:I14)</t>
  </si>
  <si>
    <t>Contar nº ceclula</t>
  </si>
  <si>
    <t>=CONT.NÚM(F4:I13)</t>
  </si>
  <si>
    <t>Contar ceclulas vazias</t>
  </si>
  <si>
    <t>=CONTAR.VAZIO(F4:I13)</t>
  </si>
  <si>
    <t>Contar celulas com valores</t>
  </si>
  <si>
    <t>=CONT.VALORES(F4:I13)</t>
  </si>
  <si>
    <t>Idade de todas as mulheres</t>
  </si>
  <si>
    <t>=SOMASE(H4:H13;"f";I4:I13)</t>
  </si>
  <si>
    <t>Idade de todos os homens</t>
  </si>
  <si>
    <t>=SOMASE(H4:H13;"m";I4:I13)</t>
  </si>
  <si>
    <t>Qtd. Homens</t>
  </si>
  <si>
    <t>=CONT.SE(H4:H13;"m")</t>
  </si>
  <si>
    <t>Qtd. Mulheres</t>
  </si>
  <si>
    <t>=CONT.SE(H4:H13;"f")</t>
  </si>
  <si>
    <t>Total de celulas com valores</t>
  </si>
  <si>
    <t>=CONT.VALORES(F3:I13)</t>
  </si>
  <si>
    <t>Miguel da silva</t>
  </si>
  <si>
    <t>Joao rocha</t>
  </si>
  <si>
    <t>sIlva Marculino Piedoso</t>
  </si>
  <si>
    <t>Ronaldo</t>
  </si>
  <si>
    <t>vila</t>
  </si>
  <si>
    <t>Paulo Da Sílva</t>
  </si>
  <si>
    <t>lucas</t>
  </si>
  <si>
    <t>Jaime da Conceição</t>
  </si>
  <si>
    <t>maria Guilherme</t>
  </si>
  <si>
    <t>Luis dias</t>
  </si>
  <si>
    <t>m</t>
  </si>
  <si>
    <t>f</t>
  </si>
  <si>
    <t>analia julias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</si>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</sst>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C00000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0" fontId="0" fillId="0" borderId="0" xfId="0" quotePrefix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Fill="1" applyBorder="1"/>
    <xf numFmtId="0" fontId="0" fillId="0" borderId="7" xfId="0" applyBorder="1"/>
    <xf numFmtId="0" fontId="0" fillId="0" borderId="8" xfId="0" applyBorder="1"/>
    <xf numFmtId="1" fontId="0" fillId="0" borderId="8" xfId="0" applyNumberFormat="1" applyBorder="1"/>
    <xf numFmtId="0" fontId="0" fillId="0" borderId="9" xfId="0" applyBorder="1"/>
    <xf numFmtId="0" fontId="1" fillId="2" borderId="1" xfId="0" applyFont="1" applyFill="1" applyBorder="1"/>
    <xf numFmtId="0" fontId="0" fillId="3" borderId="1" xfId="0" applyFill="1" applyBorder="1"/>
    <xf numFmtId="1" fontId="0" fillId="3" borderId="1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2" borderId="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0" xfId="0" quotePrefix="1" applyFont="1"/>
    <xf numFmtId="0" fontId="4" fillId="0" borderId="0" xfId="0" applyFont="1"/>
    <xf numFmtId="2" fontId="0" fillId="0" borderId="5" xfId="0" applyNumberFormat="1" applyBorder="1"/>
    <xf numFmtId="0" fontId="5" fillId="0" borderId="1" xfId="0" applyFont="1" applyBorder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[Pauta final.xlsx]Tabela dinamica!Tabela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dinamica'!$B$3:$B$4</c:f>
              <c:strCache>
                <c:ptCount val="1"/>
                <c:pt idx="0">
                  <c:v>NÃO APTO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dinamica'!$A$5:$A$9</c:f>
              <c:strCache>
                <c:ptCount val="4"/>
                <c:pt idx="0">
                  <c:v>Alice Dos Santos</c:v>
                </c:pt>
                <c:pt idx="1">
                  <c:v>Daniel</c:v>
                </c:pt>
                <c:pt idx="2">
                  <c:v>Filipe Joquim</c:v>
                </c:pt>
                <c:pt idx="3">
                  <c:v>Gomes Rodrigues</c:v>
                </c:pt>
              </c:strCache>
            </c:strRef>
          </c:cat>
          <c:val>
            <c:numRef>
              <c:f>'Tabela dinamica'!$B$5:$B$9</c:f>
              <c:numCache>
                <c:formatCode>0</c:formatCode>
                <c:ptCount val="4"/>
                <c:pt idx="0">
                  <c:v>8.3333333333333339</c:v>
                </c:pt>
                <c:pt idx="1">
                  <c:v>8</c:v>
                </c:pt>
                <c:pt idx="2">
                  <c:v>8</c:v>
                </c:pt>
                <c:pt idx="3">
                  <c:v>7.666666666666667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E0-4A61-A84A-B06D405DB3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48251327"/>
        <c:axId val="748258527"/>
      </c:barChart>
      <c:catAx>
        <c:axId val="74825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8258527"/>
        <c:crosses val="autoZero"/>
        <c:auto val="1"/>
        <c:lblAlgn val="ctr"/>
        <c:lblOffset val="100"/>
        <c:noMultiLvlLbl val="0"/>
      </c:catAx>
      <c:valAx>
        <c:axId val="748258527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74825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[Pauta final.xlsx]Tabela dinamica!Tabela dinâmica5</c:name>
    <c:fmtId val="0"/>
  </c:pivotSource>
  <c:chart>
    <c:autoTitleDeleted val="0"/>
    <c:pivotFmts>
      <c:pivotFmt>
        <c:idx val="0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2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alpha val="88000"/>
            </a:schemeClr>
          </a:solidFill>
          <a:ln>
            <a:solidFill>
              <a:schemeClr val="accent2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2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4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'Tabela dinamica'!$G$3:$G$4</c:f>
              <c:strCache>
                <c:ptCount val="1"/>
                <c:pt idx="0">
                  <c:v>APTO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ED7D31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dinamica'!$F$5:$F$10</c:f>
              <c:strCache>
                <c:ptCount val="5"/>
                <c:pt idx="0">
                  <c:v>Daniel</c:v>
                </c:pt>
                <c:pt idx="1">
                  <c:v>Filipe Joquim</c:v>
                </c:pt>
                <c:pt idx="2">
                  <c:v>Gomes Rodrigues</c:v>
                </c:pt>
                <c:pt idx="3">
                  <c:v>Lucas Rafael</c:v>
                </c:pt>
                <c:pt idx="4">
                  <c:v>Marculino Filipe</c:v>
                </c:pt>
              </c:strCache>
            </c:strRef>
          </c:cat>
          <c:val>
            <c:numRef>
              <c:f>'Tabela dinamica'!$G$5:$G$10</c:f>
              <c:numCache>
                <c:formatCode>0</c:formatCode>
                <c:ptCount val="5"/>
                <c:pt idx="3">
                  <c:v>15.333333333333334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2-42D2-8516-452225B1A769}"/>
            </c:ext>
          </c:extLst>
        </c:ser>
        <c:ser>
          <c:idx val="1"/>
          <c:order val="1"/>
          <c:tx>
            <c:strRef>
              <c:f>'Tabela dinamica'!$H$3:$H$4</c:f>
              <c:strCache>
                <c:ptCount val="1"/>
                <c:pt idx="0">
                  <c:v>NÃO APTO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FFC00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 dinamica'!$F$5:$F$10</c:f>
              <c:strCache>
                <c:ptCount val="5"/>
                <c:pt idx="0">
                  <c:v>Daniel</c:v>
                </c:pt>
                <c:pt idx="1">
                  <c:v>Filipe Joquim</c:v>
                </c:pt>
                <c:pt idx="2">
                  <c:v>Gomes Rodrigues</c:v>
                </c:pt>
                <c:pt idx="3">
                  <c:v>Lucas Rafael</c:v>
                </c:pt>
                <c:pt idx="4">
                  <c:v>Marculino Filipe</c:v>
                </c:pt>
              </c:strCache>
            </c:strRef>
          </c:cat>
          <c:val>
            <c:numRef>
              <c:f>'Tabela dinamica'!$H$5:$H$10</c:f>
              <c:numCache>
                <c:formatCode>0</c:formatCode>
                <c:ptCount val="5"/>
                <c:pt idx="0">
                  <c:v>8</c:v>
                </c:pt>
                <c:pt idx="1">
                  <c:v>8</c:v>
                </c:pt>
                <c:pt idx="2">
                  <c:v>7.666666666666667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B2-42D2-8516-452225B1A7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748262367"/>
        <c:axId val="748263327"/>
        <c:axId val="0"/>
      </c:bar3DChart>
      <c:catAx>
        <c:axId val="74826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48263327"/>
        <c:crosses val="autoZero"/>
        <c:auto val="1"/>
        <c:lblAlgn val="ctr"/>
        <c:lblOffset val="100"/>
        <c:noMultiLvlLbl val="0"/>
      </c:catAx>
      <c:valAx>
        <c:axId val="748263327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74826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5">
        <a:lumMod val="50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[Pauta final.xlsx]Tabela dinamica!Tabela dinâmica5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'Tabela dinamica'!$G$3:$G$4</c:f>
              <c:strCache>
                <c:ptCount val="1"/>
                <c:pt idx="0">
                  <c:v>APTO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dinamica'!$F$5:$F$10</c:f>
              <c:strCache>
                <c:ptCount val="5"/>
                <c:pt idx="0">
                  <c:v>Daniel</c:v>
                </c:pt>
                <c:pt idx="1">
                  <c:v>Filipe Joquim</c:v>
                </c:pt>
                <c:pt idx="2">
                  <c:v>Gomes Rodrigues</c:v>
                </c:pt>
                <c:pt idx="3">
                  <c:v>Lucas Rafael</c:v>
                </c:pt>
                <c:pt idx="4">
                  <c:v>Marculino Filipe</c:v>
                </c:pt>
              </c:strCache>
            </c:strRef>
          </c:cat>
          <c:val>
            <c:numRef>
              <c:f>'Tabela dinamica'!$G$5:$G$10</c:f>
              <c:numCache>
                <c:formatCode>0</c:formatCode>
                <c:ptCount val="5"/>
                <c:pt idx="3">
                  <c:v>15.333333333333334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89-494F-9C6A-726D12002DBB}"/>
            </c:ext>
          </c:extLst>
        </c:ser>
        <c:ser>
          <c:idx val="1"/>
          <c:order val="1"/>
          <c:tx>
            <c:strRef>
              <c:f>'Tabela dinamica'!$H$3:$H$4</c:f>
              <c:strCache>
                <c:ptCount val="1"/>
                <c:pt idx="0">
                  <c:v>NÃO APTO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dinamica'!$F$5:$F$10</c:f>
              <c:strCache>
                <c:ptCount val="5"/>
                <c:pt idx="0">
                  <c:v>Daniel</c:v>
                </c:pt>
                <c:pt idx="1">
                  <c:v>Filipe Joquim</c:v>
                </c:pt>
                <c:pt idx="2">
                  <c:v>Gomes Rodrigues</c:v>
                </c:pt>
                <c:pt idx="3">
                  <c:v>Lucas Rafael</c:v>
                </c:pt>
                <c:pt idx="4">
                  <c:v>Marculino Filipe</c:v>
                </c:pt>
              </c:strCache>
            </c:strRef>
          </c:cat>
          <c:val>
            <c:numRef>
              <c:f>'Tabela dinamica'!$H$5:$H$10</c:f>
              <c:numCache>
                <c:formatCode>0</c:formatCode>
                <c:ptCount val="5"/>
                <c:pt idx="0">
                  <c:v>8</c:v>
                </c:pt>
                <c:pt idx="1">
                  <c:v>8</c:v>
                </c:pt>
                <c:pt idx="2">
                  <c:v>7.666666666666667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89-494F-9C6A-726D12002D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56760</xdr:rowOff>
    </xdr:from>
    <xdr:to>
      <xdr:col>5</xdr:col>
      <xdr:colOff>228420</xdr:colOff>
      <xdr:row>30</xdr:row>
      <xdr:rowOff>57977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22001F-385C-7A5D-B1D6-92AE9B93EA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414130</xdr:colOff>
      <xdr:row>13</xdr:row>
      <xdr:rowOff>44725</xdr:rowOff>
    </xdr:from>
    <xdr:to>
      <xdr:col>12</xdr:col>
      <xdr:colOff>339587</xdr:colOff>
      <xdr:row>30</xdr:row>
      <xdr:rowOff>157369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A7D4445-D9F2-ED87-5539-FF82ED721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8284</xdr:colOff>
      <xdr:row>11</xdr:row>
      <xdr:rowOff>107674</xdr:rowOff>
    </xdr:from>
    <xdr:to>
      <xdr:col>22</xdr:col>
      <xdr:colOff>554936</xdr:colOff>
      <xdr:row>32</xdr:row>
      <xdr:rowOff>82826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B5707F-27C0-8EDF-75E5-1C81D4D52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13665</xdr:colOff>
      <xdr:row>6</xdr:row>
      <xdr:rowOff>96078</xdr:rowOff>
    </xdr:from>
    <xdr:to>
      <xdr:col>17</xdr:col>
      <xdr:colOff>165652</xdr:colOff>
      <xdr:row>11</xdr:row>
      <xdr:rowOff>33131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Genero">
              <a:extLst>
                <a:ext uri="{FF2B5EF4-FFF2-40B4-BE49-F238E27FC236}">
                  <a16:creationId xmlns:a16="http://schemas.microsoft.com/office/drawing/2014/main" id="{8DCF19FB-C888-61FA-4F9B-563653FC13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15165" y="1239078"/>
              <a:ext cx="2603639" cy="8895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85.587696759256" createdVersion="8" refreshedVersion="8" minRefreshableVersion="3" recordCount="6" xr:uid="{823FB747-C691-4F90-AD4D-B2039AAB2975}">
  <cacheSource type="worksheet">
    <worksheetSource name="Tabela1"/>
  </cacheSource>
  <cacheFields count="7">
    <cacheField name="Nº" numFmtId="0">
      <sharedItems containsSemiMixedTypes="0" containsString="0" containsNumber="1" containsInteger="1" minValue="1" maxValue="6"/>
    </cacheField>
    <cacheField name="Nome" numFmtId="0">
      <sharedItems count="6">
        <s v="Alice Dos Santos"/>
        <s v="Lucas Rafael"/>
        <s v="Gomes Rodrigues"/>
        <s v="Filipe Joquim"/>
        <s v="Filomena Do Rosario"/>
        <s v="Daniel"/>
      </sharedItems>
    </cacheField>
    <cacheField name="N1" numFmtId="0">
      <sharedItems containsSemiMixedTypes="0" containsString="0" containsNumber="1" containsInteger="1" minValue="4" maxValue="20" count="6">
        <n v="10"/>
        <n v="20"/>
        <n v="11"/>
        <n v="4"/>
        <n v="6"/>
        <n v="12"/>
      </sharedItems>
    </cacheField>
    <cacheField name="N2" numFmtId="0">
      <sharedItems containsSemiMixedTypes="0" containsString="0" containsNumber="1" containsInteger="1" minValue="5" maxValue="15" count="4">
        <n v="10"/>
        <n v="13"/>
        <n v="5"/>
        <n v="15"/>
      </sharedItems>
    </cacheField>
    <cacheField name="N3" numFmtId="0">
      <sharedItems containsSemiMixedTypes="0" containsString="0" containsNumber="1" containsInteger="1" minValue="4" maxValue="19"/>
    </cacheField>
    <cacheField name="MÉDIA" numFmtId="1">
      <sharedItems containsSemiMixedTypes="0" containsString="0" containsNumber="1" minValue="8.3333333333333339" maxValue="15.333333333333334"/>
    </cacheField>
    <cacheField name="RESULTADO" numFmtId="0">
      <sharedItems count="2">
        <s v="NÃO APTO"/>
        <s v="APT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185.609078240741" createdVersion="8" refreshedVersion="8" minRefreshableVersion="3" recordCount="7" xr:uid="{F0EFE3F1-ED06-4F7D-B5FC-1E11221682EF}">
  <cacheSource type="worksheet">
    <worksheetSource name="Tabela1"/>
  </cacheSource>
  <cacheFields count="8">
    <cacheField name="Nº" numFmtId="0">
      <sharedItems containsSemiMixedTypes="0" containsString="0" containsNumber="1" containsInteger="1" minValue="1" maxValue="7"/>
    </cacheField>
    <cacheField name="Nome" numFmtId="0">
      <sharedItems count="7">
        <s v="Alice Dos Santos"/>
        <s v="Lucas Rafael"/>
        <s v="Gomes Rodrigues"/>
        <s v="Filipe Joquim"/>
        <s v="Filomena Do Rosario"/>
        <s v="Daniel"/>
        <s v="Marculino Filipe"/>
      </sharedItems>
    </cacheField>
    <cacheField name="Genero" numFmtId="0">
      <sharedItems count="2">
        <s v="F"/>
        <s v="M"/>
      </sharedItems>
    </cacheField>
    <cacheField name="N1" numFmtId="0">
      <sharedItems containsSemiMixedTypes="0" containsString="0" containsNumber="1" containsInteger="1" minValue="4" maxValue="20"/>
    </cacheField>
    <cacheField name="N2" numFmtId="0">
      <sharedItems containsSemiMixedTypes="0" containsString="0" containsNumber="1" containsInteger="1" minValue="5" maxValue="17"/>
    </cacheField>
    <cacheField name="N3" numFmtId="0">
      <sharedItems containsSemiMixedTypes="0" containsString="0" containsNumber="1" containsInteger="1" minValue="4" maxValue="15"/>
    </cacheField>
    <cacheField name="MÉDIA" numFmtId="1">
      <sharedItems containsSemiMixedTypes="0" containsString="0" containsNumber="1" minValue="7.666666666666667" maxValue="17"/>
    </cacheField>
    <cacheField name="RESULTADO" numFmtId="0">
      <sharedItems count="2">
        <s v="NÃO APTO"/>
        <s v="APTO"/>
      </sharedItems>
    </cacheField>
  </cacheFields>
  <extLst>
    <ext xmlns:x14="http://schemas.microsoft.com/office/spreadsheetml/2009/9/main" uri="{725AE2AE-9491-48be-B2B4-4EB974FC3084}">
      <x14:pivotCacheDefinition pivotCacheId="18155468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n v="1"/>
    <x v="0"/>
    <x v="0"/>
    <x v="0"/>
    <n v="5"/>
    <n v="8.3333333333333339"/>
    <x v="0"/>
  </r>
  <r>
    <n v="2"/>
    <x v="1"/>
    <x v="1"/>
    <x v="1"/>
    <n v="13"/>
    <n v="15.333333333333334"/>
    <x v="1"/>
  </r>
  <r>
    <n v="3"/>
    <x v="2"/>
    <x v="2"/>
    <x v="0"/>
    <n v="6"/>
    <n v="9"/>
    <x v="0"/>
  </r>
  <r>
    <n v="4"/>
    <x v="3"/>
    <x v="3"/>
    <x v="2"/>
    <n v="19"/>
    <n v="9.3333333333333339"/>
    <x v="1"/>
  </r>
  <r>
    <n v="5"/>
    <x v="4"/>
    <x v="4"/>
    <x v="3"/>
    <n v="10"/>
    <n v="10.333333333333334"/>
    <x v="1"/>
  </r>
  <r>
    <n v="6"/>
    <x v="5"/>
    <x v="5"/>
    <x v="0"/>
    <n v="4"/>
    <n v="8.666666666666666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x v="0"/>
    <n v="10"/>
    <n v="10"/>
    <n v="5"/>
    <n v="8.3333333333333339"/>
    <x v="0"/>
  </r>
  <r>
    <n v="2"/>
    <x v="1"/>
    <x v="1"/>
    <n v="20"/>
    <n v="13"/>
    <n v="13"/>
    <n v="15.333333333333334"/>
    <x v="1"/>
  </r>
  <r>
    <n v="3"/>
    <x v="2"/>
    <x v="1"/>
    <n v="7"/>
    <n v="10"/>
    <n v="6"/>
    <n v="7.666666666666667"/>
    <x v="0"/>
  </r>
  <r>
    <n v="4"/>
    <x v="3"/>
    <x v="1"/>
    <n v="4"/>
    <n v="5"/>
    <n v="15"/>
    <n v="8"/>
    <x v="0"/>
  </r>
  <r>
    <n v="5"/>
    <x v="4"/>
    <x v="0"/>
    <n v="6"/>
    <n v="15"/>
    <n v="10"/>
    <n v="10.333333333333334"/>
    <x v="1"/>
  </r>
  <r>
    <n v="6"/>
    <x v="5"/>
    <x v="1"/>
    <n v="10"/>
    <n v="10"/>
    <n v="4"/>
    <n v="8"/>
    <x v="0"/>
  </r>
  <r>
    <n v="7"/>
    <x v="6"/>
    <x v="1"/>
    <n v="19"/>
    <n v="17"/>
    <n v="15"/>
    <n v="1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F21D22-5C2F-493D-87F3-FC20B494F59C}" name="Tabela dinâmica5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 rowHeaderCaption="Nome" colHeaderCaption="Segmentação de dados">
  <location ref="F3:I10" firstHeaderRow="1" firstDataRow="2" firstDataCol="1"/>
  <pivotFields count="8">
    <pivotField showAll="0"/>
    <pivotField axis="axisRow" showAll="0">
      <items count="8">
        <item x="0"/>
        <item x="5"/>
        <item x="3"/>
        <item x="4"/>
        <item x="2"/>
        <item x="1"/>
        <item x="6"/>
        <item t="default"/>
      </items>
    </pivotField>
    <pivotField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dataField="1" numFmtId="1" showAll="0"/>
    <pivotField axis="axisCol" showAll="0">
      <items count="3">
        <item x="1"/>
        <item x="0"/>
        <item t="default"/>
      </items>
    </pivotField>
  </pivotFields>
  <rowFields count="1">
    <field x="1"/>
  </rowFields>
  <rowItems count="6">
    <i>
      <x v="1"/>
    </i>
    <i>
      <x v="2"/>
    </i>
    <i>
      <x v="4"/>
    </i>
    <i>
      <x v="5"/>
    </i>
    <i>
      <x v="6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Soma de MÉDIA" fld="6" baseField="0" baseItem="0" numFmtId="1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AF6D65-4757-4341-9A76-C90156D56DB3}" name="Tabela dinâmica1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Nome" colHeaderCaption="Segmentação de dados">
  <location ref="A3:C9" firstHeaderRow="1" firstDataRow="2" firstDataCol="1"/>
  <pivotFields count="8">
    <pivotField showAll="0"/>
    <pivotField axis="axisRow" showAll="0">
      <items count="8">
        <item x="0"/>
        <item x="5"/>
        <item x="3"/>
        <item x="4"/>
        <item x="2"/>
        <item x="1"/>
        <item x="6"/>
        <item t="default"/>
      </items>
    </pivotField>
    <pivotField showAll="0"/>
    <pivotField showAll="0"/>
    <pivotField showAll="0"/>
    <pivotField showAll="0"/>
    <pivotField dataField="1" numFmtId="1" showAll="0"/>
    <pivotField axis="axisCol" showAll="0">
      <items count="3">
        <item h="1"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4"/>
    </i>
    <i t="grand">
      <x/>
    </i>
  </rowItems>
  <colFields count="1">
    <field x="7"/>
  </colFields>
  <colItems count="2">
    <i>
      <x v="1"/>
    </i>
    <i t="grand">
      <x/>
    </i>
  </colItems>
  <dataFields count="1">
    <dataField name="Pauta final" fld="6" baseField="0" baseItem="0" numFmtId="1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63FCF-A674-4C73-B930-7E61EF6B4C01}" name="Tabela dinâmica3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3" firstHeaderRow="1" firstDataRow="2" firstDataCol="1"/>
  <pivotFields count="7">
    <pivotField showAll="0"/>
    <pivotField axis="axisRow" showAll="0">
      <items count="7">
        <item sd="0" x="0"/>
        <item sd="0" x="5"/>
        <item sd="0" x="3"/>
        <item sd="0" x="4"/>
        <item sd="0" x="2"/>
        <item x="1"/>
        <item t="default"/>
      </items>
    </pivotField>
    <pivotField axis="axisRow" showAll="0">
      <items count="7">
        <item x="3"/>
        <item x="4"/>
        <item x="0"/>
        <item x="2"/>
        <item sd="0" x="5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numFmtId="1" showAll="0"/>
    <pivotField axis="axisCol" showAll="0">
      <items count="3">
        <item x="1"/>
        <item x="0"/>
        <item t="default"/>
      </items>
    </pivotField>
  </pivotFields>
  <rowFields count="3">
    <field x="1"/>
    <field x="2"/>
    <field x="3"/>
  </rowFields>
  <rowItems count="9">
    <i>
      <x/>
    </i>
    <i>
      <x v="1"/>
    </i>
    <i>
      <x v="2"/>
    </i>
    <i>
      <x v="3"/>
    </i>
    <i>
      <x v="4"/>
    </i>
    <i>
      <x v="5"/>
    </i>
    <i r="1">
      <x v="5"/>
    </i>
    <i r="2">
      <x v="2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oma de MÉDIA" fld="5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enero" xr10:uid="{2F5647D0-1E2D-4079-816A-6EFD2A0F7024}" sourceName="Genero">
  <pivotTables>
    <pivotTable tabId="5" name="Tabela dinâmica5"/>
  </pivotTables>
  <data>
    <tabular pivotCacheId="1815546832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o" xr10:uid="{5789B6B6-A393-4E1F-8999-0C395D92FDAE}" cache="SegmentaçãodeDados_Genero" caption="Gener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7F3EB-A60C-44E2-9DCA-D83DB5AEC5DF}" name="Tabela1" displayName="Tabela1" ref="L3:S10" totalsRowShown="0" headerRowDxfId="21" headerRowBorderDxfId="19" tableBorderDxfId="20" totalsRowBorderDxfId="18">
  <autoFilter ref="L3:S10" xr:uid="{38D7F3EB-A60C-44E2-9DCA-D83DB5AEC5DF}"/>
  <tableColumns count="8">
    <tableColumn id="1" xr3:uid="{04177F1B-3F56-4FB0-93C1-FE71486625E0}" name="Nº" dataDxfId="17">
      <calculatedColumnFormula>L3+1</calculatedColumnFormula>
    </tableColumn>
    <tableColumn id="2" xr3:uid="{0805B01B-228E-46E0-9BF0-39455E7128D2}" name="Nome" dataDxfId="16"/>
    <tableColumn id="8" xr3:uid="{5729E186-8B9B-48D7-9A21-96E53B7FD403}" name="Genero" dataDxfId="10"/>
    <tableColumn id="3" xr3:uid="{8EDE2716-CBBB-4A79-B129-7381A1A57F2D}" name="N1" dataDxfId="15"/>
    <tableColumn id="4" xr3:uid="{F5286477-BF3C-4C6B-82E2-D13BF852FC07}" name="N2" dataDxfId="14"/>
    <tableColumn id="5" xr3:uid="{686E726C-7BAD-4FB7-BDA0-76F8A81CCE5D}" name="N3" dataDxfId="13"/>
    <tableColumn id="6" xr3:uid="{A3106335-CF38-4EBF-BDBE-0CF69E16A592}" name="MÉDIA" dataDxfId="12">
      <calculatedColumnFormula>AVERAGE(O4:Q4)</calculatedColumnFormula>
    </tableColumn>
    <tableColumn id="7" xr3:uid="{F9FC68D5-54D3-407E-8518-45D37F3B6846}" name="RESULTADO" dataDxfId="11">
      <calculatedColumnFormula>IF(R4&gt;9,"APTO","NÃO APTO")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712-6E23-4900-BD49-796D3D00861C}">
  <dimension ref="A3:W11"/>
  <sheetViews>
    <sheetView showGridLines="0" tabSelected="1" topLeftCell="E1" zoomScale="115" zoomScaleNormal="115" workbookViewId="0">
      <selection activeCell="U7" sqref="U7"/>
    </sheetView>
  </sheetViews>
  <sheetFormatPr defaultRowHeight="15" x14ac:dyDescent="0.25"/>
  <cols>
    <col min="1" max="1" width="16.5703125" bestFit="1" customWidth="1"/>
    <col min="2" max="2" width="24" bestFit="1" customWidth="1"/>
    <col min="3" max="4" width="10.7109375" bestFit="1" customWidth="1"/>
    <col min="5" max="5" width="19.5703125" bestFit="1" customWidth="1"/>
    <col min="6" max="6" width="16.5703125" bestFit="1" customWidth="1"/>
    <col min="7" max="7" width="24" bestFit="1" customWidth="1"/>
    <col min="8" max="8" width="10.5703125" bestFit="1" customWidth="1"/>
    <col min="9" max="9" width="10.7109375" bestFit="1" customWidth="1"/>
  </cols>
  <sheetData>
    <row r="3" spans="1:23" x14ac:dyDescent="0.25">
      <c r="A3" s="17" t="s">
        <v>20</v>
      </c>
      <c r="B3" s="17" t="s">
        <v>21</v>
      </c>
      <c r="F3" s="17" t="s">
        <v>14</v>
      </c>
      <c r="G3" s="17" t="s">
        <v>21</v>
      </c>
    </row>
    <row r="4" spans="1:23" x14ac:dyDescent="0.25">
      <c r="A4" s="17" t="s">
        <v>1</v>
      </c>
      <c r="B4" t="s">
        <v>18</v>
      </c>
      <c r="C4" t="s">
        <v>19</v>
      </c>
      <c r="F4" s="17" t="s">
        <v>1</v>
      </c>
      <c r="G4" t="s">
        <v>17</v>
      </c>
      <c r="H4" t="s">
        <v>18</v>
      </c>
      <c r="I4" t="s">
        <v>19</v>
      </c>
    </row>
    <row r="5" spans="1:23" x14ac:dyDescent="0.25">
      <c r="A5" s="18" t="s">
        <v>6</v>
      </c>
      <c r="B5" s="19">
        <v>8.3333333333333339</v>
      </c>
      <c r="C5" s="19">
        <v>8.3333333333333339</v>
      </c>
      <c r="F5" s="18" t="s">
        <v>13</v>
      </c>
      <c r="G5" s="19"/>
      <c r="H5" s="19">
        <v>8</v>
      </c>
      <c r="I5" s="19">
        <v>8</v>
      </c>
    </row>
    <row r="6" spans="1:23" x14ac:dyDescent="0.25">
      <c r="A6" s="18" t="s">
        <v>13</v>
      </c>
      <c r="B6" s="19">
        <v>8</v>
      </c>
      <c r="C6" s="19">
        <v>8</v>
      </c>
      <c r="F6" s="18" t="s">
        <v>9</v>
      </c>
      <c r="G6" s="19"/>
      <c r="H6" s="19">
        <v>8</v>
      </c>
      <c r="I6" s="19">
        <v>8</v>
      </c>
    </row>
    <row r="7" spans="1:23" x14ac:dyDescent="0.25">
      <c r="A7" s="18" t="s">
        <v>9</v>
      </c>
      <c r="B7" s="19">
        <v>8</v>
      </c>
      <c r="C7" s="19">
        <v>8</v>
      </c>
      <c r="F7" s="18" t="s">
        <v>8</v>
      </c>
      <c r="G7" s="19"/>
      <c r="H7" s="19">
        <v>7.666666666666667</v>
      </c>
      <c r="I7" s="19">
        <v>7.666666666666667</v>
      </c>
    </row>
    <row r="8" spans="1:23" x14ac:dyDescent="0.25">
      <c r="A8" s="18" t="s">
        <v>8</v>
      </c>
      <c r="B8" s="19">
        <v>7.666666666666667</v>
      </c>
      <c r="C8" s="19">
        <v>7.666666666666667</v>
      </c>
      <c r="F8" s="18" t="s">
        <v>7</v>
      </c>
      <c r="G8" s="19">
        <v>15.333333333333334</v>
      </c>
      <c r="H8" s="19"/>
      <c r="I8" s="19">
        <v>15.333333333333334</v>
      </c>
      <c r="U8" s="32">
        <v>0</v>
      </c>
      <c r="V8" s="32"/>
      <c r="W8" s="32"/>
    </row>
    <row r="9" spans="1:23" x14ac:dyDescent="0.25">
      <c r="A9" s="18" t="s">
        <v>19</v>
      </c>
      <c r="B9" s="19">
        <v>32</v>
      </c>
      <c r="C9" s="19">
        <v>32</v>
      </c>
      <c r="F9" s="18" t="s">
        <v>22</v>
      </c>
      <c r="G9" s="19">
        <v>17</v>
      </c>
      <c r="H9" s="19"/>
      <c r="I9" s="19">
        <v>17</v>
      </c>
      <c r="S9" s="31" t="s">
        <v>67</v>
      </c>
      <c r="T9" s="31"/>
      <c r="U9" s="32"/>
      <c r="V9" s="32"/>
      <c r="W9" s="32"/>
    </row>
    <row r="10" spans="1:23" x14ac:dyDescent="0.25">
      <c r="F10" s="18" t="s">
        <v>19</v>
      </c>
      <c r="G10" s="19">
        <v>32.333333333333336</v>
      </c>
      <c r="H10" s="19">
        <v>23.666666666666668</v>
      </c>
      <c r="I10" s="19">
        <v>56</v>
      </c>
      <c r="S10" s="31"/>
      <c r="T10" s="31"/>
      <c r="U10" s="32"/>
      <c r="V10" s="32"/>
      <c r="W10" s="32"/>
    </row>
    <row r="11" spans="1:23" x14ac:dyDescent="0.25">
      <c r="S11" s="31"/>
      <c r="T11" s="31"/>
      <c r="U11" s="32"/>
      <c r="V11" s="32"/>
      <c r="W11" s="32"/>
    </row>
  </sheetData>
  <mergeCells count="2">
    <mergeCell ref="U8:W11"/>
    <mergeCell ref="S9:T11"/>
  </mergeCells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DC6F6-5DB8-4E3C-8EC6-CB743030F58A}">
  <dimension ref="A3:D13"/>
  <sheetViews>
    <sheetView zoomScale="190" zoomScaleNormal="190" workbookViewId="0">
      <selection activeCell="F11" sqref="F11"/>
    </sheetView>
  </sheetViews>
  <sheetFormatPr defaultRowHeight="15" x14ac:dyDescent="0.25"/>
  <cols>
    <col min="1" max="1" width="22.7109375" bestFit="1" customWidth="1"/>
    <col min="2" max="2" width="19.5703125" bestFit="1" customWidth="1"/>
    <col min="3" max="3" width="10.42578125" bestFit="1" customWidth="1"/>
    <col min="4" max="4" width="10.7109375" bestFit="1" customWidth="1"/>
  </cols>
  <sheetData>
    <row r="3" spans="1:4" x14ac:dyDescent="0.25">
      <c r="A3" s="17" t="s">
        <v>14</v>
      </c>
      <c r="B3" s="17" t="s">
        <v>15</v>
      </c>
    </row>
    <row r="4" spans="1:4" x14ac:dyDescent="0.25">
      <c r="A4" s="17" t="s">
        <v>16</v>
      </c>
      <c r="B4" t="s">
        <v>17</v>
      </c>
      <c r="C4" t="s">
        <v>18</v>
      </c>
      <c r="D4" t="s">
        <v>19</v>
      </c>
    </row>
    <row r="5" spans="1:4" x14ac:dyDescent="0.25">
      <c r="A5" s="18" t="s">
        <v>6</v>
      </c>
      <c r="B5" s="19"/>
      <c r="C5" s="19">
        <v>8.3333333333333339</v>
      </c>
      <c r="D5" s="19">
        <v>8.3333333333333339</v>
      </c>
    </row>
    <row r="6" spans="1:4" x14ac:dyDescent="0.25">
      <c r="A6" s="18" t="s">
        <v>13</v>
      </c>
      <c r="B6" s="19"/>
      <c r="C6" s="19">
        <v>8.6666666666666661</v>
      </c>
      <c r="D6" s="19">
        <v>8.6666666666666661</v>
      </c>
    </row>
    <row r="7" spans="1:4" x14ac:dyDescent="0.25">
      <c r="A7" s="18" t="s">
        <v>9</v>
      </c>
      <c r="B7" s="19">
        <v>9.3333333333333339</v>
      </c>
      <c r="C7" s="19"/>
      <c r="D7" s="19">
        <v>9.3333333333333339</v>
      </c>
    </row>
    <row r="8" spans="1:4" x14ac:dyDescent="0.25">
      <c r="A8" s="18" t="s">
        <v>10</v>
      </c>
      <c r="B8" s="19">
        <v>10.333333333333334</v>
      </c>
      <c r="C8" s="19"/>
      <c r="D8" s="19">
        <v>10.333333333333334</v>
      </c>
    </row>
    <row r="9" spans="1:4" x14ac:dyDescent="0.25">
      <c r="A9" s="18" t="s">
        <v>8</v>
      </c>
      <c r="B9" s="19"/>
      <c r="C9" s="19">
        <v>9</v>
      </c>
      <c r="D9" s="19">
        <v>9</v>
      </c>
    </row>
    <row r="10" spans="1:4" x14ac:dyDescent="0.25">
      <c r="A10" s="18" t="s">
        <v>7</v>
      </c>
      <c r="B10" s="19">
        <v>15.333333333333334</v>
      </c>
      <c r="C10" s="19"/>
      <c r="D10" s="19">
        <v>15.333333333333334</v>
      </c>
    </row>
    <row r="11" spans="1:4" x14ac:dyDescent="0.25">
      <c r="A11" s="20">
        <v>20</v>
      </c>
      <c r="B11" s="19">
        <v>15.333333333333334</v>
      </c>
      <c r="C11" s="19"/>
      <c r="D11" s="19">
        <v>15.333333333333334</v>
      </c>
    </row>
    <row r="12" spans="1:4" x14ac:dyDescent="0.25">
      <c r="A12" s="21">
        <v>13</v>
      </c>
      <c r="B12" s="19">
        <v>15.333333333333334</v>
      </c>
      <c r="C12" s="19"/>
      <c r="D12" s="19">
        <v>15.333333333333334</v>
      </c>
    </row>
    <row r="13" spans="1:4" x14ac:dyDescent="0.25">
      <c r="A13" s="18" t="s">
        <v>19</v>
      </c>
      <c r="B13" s="19">
        <v>35</v>
      </c>
      <c r="C13" s="19">
        <v>26</v>
      </c>
      <c r="D13" s="19">
        <v>61.000000000000007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7A55-681E-489C-9771-3CCB8D83C898}">
  <dimension ref="C3:S16"/>
  <sheetViews>
    <sheetView topLeftCell="D1" zoomScale="145" zoomScaleNormal="145" workbookViewId="0">
      <selection activeCell="T4" sqref="T4"/>
    </sheetView>
  </sheetViews>
  <sheetFormatPr defaultRowHeight="15" x14ac:dyDescent="0.25"/>
  <cols>
    <col min="4" max="4" width="19.42578125" bestFit="1" customWidth="1"/>
    <col min="8" max="8" width="10" bestFit="1" customWidth="1"/>
    <col min="9" max="9" width="11.28515625" bestFit="1" customWidth="1"/>
    <col min="13" max="13" width="19.42578125" bestFit="1" customWidth="1"/>
    <col min="18" max="18" width="12.5703125" customWidth="1"/>
    <col min="19" max="19" width="13.7109375" bestFit="1" customWidth="1"/>
  </cols>
  <sheetData>
    <row r="3" spans="3:19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3" t="s">
        <v>11</v>
      </c>
      <c r="L3" s="7" t="s">
        <v>0</v>
      </c>
      <c r="M3" s="8" t="s">
        <v>1</v>
      </c>
      <c r="N3" s="8" t="s">
        <v>23</v>
      </c>
      <c r="O3" s="8" t="s">
        <v>2</v>
      </c>
      <c r="P3" s="8" t="s">
        <v>3</v>
      </c>
      <c r="Q3" s="8" t="s">
        <v>4</v>
      </c>
      <c r="R3" s="8" t="s">
        <v>5</v>
      </c>
      <c r="S3" s="9" t="s">
        <v>11</v>
      </c>
    </row>
    <row r="4" spans="3:19" x14ac:dyDescent="0.25">
      <c r="C4" s="1">
        <v>1</v>
      </c>
      <c r="D4" s="1" t="s">
        <v>6</v>
      </c>
      <c r="E4" s="1">
        <v>10</v>
      </c>
      <c r="F4" s="1">
        <v>10</v>
      </c>
      <c r="G4" s="1">
        <v>5</v>
      </c>
      <c r="H4" s="2">
        <f>AVERAGE(E4:G4)</f>
        <v>8.3333333333333339</v>
      </c>
      <c r="I4" s="1" t="str">
        <f>IF(H4&gt;9,"APTO","NÃO APTO")</f>
        <v>NÃO APTO</v>
      </c>
      <c r="L4" s="5">
        <v>1</v>
      </c>
      <c r="M4" s="1" t="s">
        <v>6</v>
      </c>
      <c r="N4" s="1" t="s">
        <v>24</v>
      </c>
      <c r="O4" s="1">
        <v>10</v>
      </c>
      <c r="P4" s="1">
        <v>10</v>
      </c>
      <c r="Q4" s="1">
        <v>5</v>
      </c>
      <c r="R4" s="2">
        <f>AVERAGE(O4:Q4)</f>
        <v>8.3333333333333339</v>
      </c>
      <c r="S4" s="6" t="str">
        <f>IF(R4&gt;9,"APTO","NÃO APTO")</f>
        <v>NÃO APTO</v>
      </c>
    </row>
    <row r="5" spans="3:19" x14ac:dyDescent="0.25">
      <c r="C5" s="1">
        <f>C4+1</f>
        <v>2</v>
      </c>
      <c r="D5" s="1" t="s">
        <v>7</v>
      </c>
      <c r="E5" s="1">
        <v>20</v>
      </c>
      <c r="F5" s="1">
        <v>13</v>
      </c>
      <c r="G5" s="1">
        <v>13</v>
      </c>
      <c r="H5" s="2">
        <f t="shared" ref="H5:H8" si="0">AVERAGE(E5:G5)</f>
        <v>15.333333333333334</v>
      </c>
      <c r="I5" s="1" t="str">
        <f t="shared" ref="I5:I8" si="1">IF(H5&gt;9,"APTO","NÃO APTO")</f>
        <v>APTO</v>
      </c>
      <c r="L5" s="5">
        <f>L4+1</f>
        <v>2</v>
      </c>
      <c r="M5" s="1" t="s">
        <v>7</v>
      </c>
      <c r="N5" s="1" t="s">
        <v>25</v>
      </c>
      <c r="O5" s="1">
        <v>20</v>
      </c>
      <c r="P5" s="1">
        <v>13</v>
      </c>
      <c r="Q5" s="1">
        <v>13</v>
      </c>
      <c r="R5" s="2">
        <f t="shared" ref="R5:R8" si="2">AVERAGE(O5:Q5)</f>
        <v>15.333333333333334</v>
      </c>
      <c r="S5" s="6" t="str">
        <f t="shared" ref="S5:S8" si="3">IF(R5&gt;9,"APTO","NÃO APTO")</f>
        <v>APTO</v>
      </c>
    </row>
    <row r="6" spans="3:19" x14ac:dyDescent="0.25">
      <c r="C6" s="1">
        <f t="shared" ref="C6:C7" si="4">C5+1</f>
        <v>3</v>
      </c>
      <c r="D6" s="1" t="s">
        <v>8</v>
      </c>
      <c r="E6" s="1">
        <v>11</v>
      </c>
      <c r="F6" s="1">
        <v>10</v>
      </c>
      <c r="G6" s="1">
        <v>6</v>
      </c>
      <c r="H6" s="2">
        <f t="shared" si="0"/>
        <v>9</v>
      </c>
      <c r="I6" s="1" t="str">
        <f t="shared" si="1"/>
        <v>NÃO APTO</v>
      </c>
      <c r="L6" s="5">
        <f t="shared" ref="L6:L7" si="5">L5+1</f>
        <v>3</v>
      </c>
      <c r="M6" s="1" t="s">
        <v>8</v>
      </c>
      <c r="N6" s="1" t="s">
        <v>25</v>
      </c>
      <c r="O6" s="1">
        <v>7</v>
      </c>
      <c r="P6" s="1">
        <v>10</v>
      </c>
      <c r="Q6" s="1">
        <v>6</v>
      </c>
      <c r="R6" s="2">
        <f t="shared" si="2"/>
        <v>7.666666666666667</v>
      </c>
      <c r="S6" s="6" t="str">
        <f t="shared" si="3"/>
        <v>NÃO APTO</v>
      </c>
    </row>
    <row r="7" spans="3:19" x14ac:dyDescent="0.25">
      <c r="C7" s="1">
        <f t="shared" si="4"/>
        <v>4</v>
      </c>
      <c r="D7" s="1" t="s">
        <v>9</v>
      </c>
      <c r="E7" s="1">
        <v>4</v>
      </c>
      <c r="F7" s="1">
        <v>5</v>
      </c>
      <c r="G7" s="1">
        <v>19</v>
      </c>
      <c r="H7" s="2">
        <f t="shared" si="0"/>
        <v>9.3333333333333339</v>
      </c>
      <c r="I7" s="1" t="str">
        <f t="shared" si="1"/>
        <v>APTO</v>
      </c>
      <c r="L7" s="5">
        <f t="shared" si="5"/>
        <v>4</v>
      </c>
      <c r="M7" s="1" t="s">
        <v>9</v>
      </c>
      <c r="N7" s="1" t="s">
        <v>25</v>
      </c>
      <c r="O7" s="1">
        <v>4</v>
      </c>
      <c r="P7" s="1">
        <v>5</v>
      </c>
      <c r="Q7" s="1">
        <v>15</v>
      </c>
      <c r="R7" s="2">
        <f t="shared" si="2"/>
        <v>8</v>
      </c>
      <c r="S7" s="6" t="str">
        <f t="shared" si="3"/>
        <v>NÃO APTO</v>
      </c>
    </row>
    <row r="8" spans="3:19" x14ac:dyDescent="0.25">
      <c r="C8" s="1">
        <f>C7+1</f>
        <v>5</v>
      </c>
      <c r="D8" s="1" t="s">
        <v>10</v>
      </c>
      <c r="E8" s="1">
        <v>6</v>
      </c>
      <c r="F8" s="1">
        <v>15</v>
      </c>
      <c r="G8" s="1">
        <v>10</v>
      </c>
      <c r="H8" s="2">
        <f t="shared" si="0"/>
        <v>10.333333333333334</v>
      </c>
      <c r="I8" s="1" t="str">
        <f t="shared" si="1"/>
        <v>APTO</v>
      </c>
      <c r="L8" s="10">
        <f>L7+1</f>
        <v>5</v>
      </c>
      <c r="M8" s="11" t="s">
        <v>10</v>
      </c>
      <c r="N8" s="11" t="s">
        <v>24</v>
      </c>
      <c r="O8" s="11">
        <v>6</v>
      </c>
      <c r="P8" s="11">
        <v>15</v>
      </c>
      <c r="Q8" s="11">
        <v>10</v>
      </c>
      <c r="R8" s="12">
        <f t="shared" si="2"/>
        <v>10.333333333333334</v>
      </c>
      <c r="S8" s="13" t="str">
        <f t="shared" si="3"/>
        <v>APTO</v>
      </c>
    </row>
    <row r="9" spans="3:19" x14ac:dyDescent="0.25">
      <c r="L9" s="5">
        <f>L8+1</f>
        <v>6</v>
      </c>
      <c r="M9" s="1" t="s">
        <v>13</v>
      </c>
      <c r="N9" s="1" t="s">
        <v>25</v>
      </c>
      <c r="O9" s="1">
        <v>10</v>
      </c>
      <c r="P9" s="1">
        <v>10</v>
      </c>
      <c r="Q9" s="1">
        <v>4</v>
      </c>
      <c r="R9" s="2">
        <f>AVERAGE(O9:Q9)</f>
        <v>8</v>
      </c>
      <c r="S9" s="6" t="str">
        <f>IF(R9&gt;9,"APTO","NÃO APTO")</f>
        <v>NÃO APTO</v>
      </c>
    </row>
    <row r="10" spans="3:19" x14ac:dyDescent="0.25">
      <c r="H10" s="4" t="s">
        <v>12</v>
      </c>
      <c r="L10" s="5">
        <f>L9+1</f>
        <v>7</v>
      </c>
      <c r="M10" s="1" t="s">
        <v>22</v>
      </c>
      <c r="N10" s="1" t="s">
        <v>25</v>
      </c>
      <c r="O10" s="1">
        <v>19</v>
      </c>
      <c r="P10" s="1">
        <v>17</v>
      </c>
      <c r="Q10" s="1">
        <v>15</v>
      </c>
      <c r="R10" s="2">
        <f>AVERAGE(O10:Q10)</f>
        <v>17</v>
      </c>
      <c r="S10" s="6" t="str">
        <f>IF(R10&gt;9,"APTO","NÃO APTO")</f>
        <v>APTO</v>
      </c>
    </row>
    <row r="11" spans="3:19" x14ac:dyDescent="0.25">
      <c r="C11" s="14" t="s">
        <v>0</v>
      </c>
      <c r="D11" s="14" t="s">
        <v>1</v>
      </c>
      <c r="E11" s="14" t="s">
        <v>2</v>
      </c>
      <c r="F11" s="14" t="s">
        <v>3</v>
      </c>
      <c r="G11" s="14" t="s">
        <v>4</v>
      </c>
      <c r="H11" s="14" t="s">
        <v>5</v>
      </c>
      <c r="I11" s="14" t="s">
        <v>11</v>
      </c>
    </row>
    <row r="12" spans="3:19" x14ac:dyDescent="0.25">
      <c r="C12" s="15">
        <v>1</v>
      </c>
      <c r="D12" s="15" t="s">
        <v>6</v>
      </c>
      <c r="E12" s="15">
        <v>10</v>
      </c>
      <c r="F12" s="15">
        <v>10</v>
      </c>
      <c r="G12" s="15">
        <v>5</v>
      </c>
      <c r="H12" s="16">
        <f>AVERAGE(E12:G12)</f>
        <v>8.3333333333333339</v>
      </c>
      <c r="I12" s="15" t="str">
        <f>IF(H12&gt;9,"APTO","NÃO APTO")</f>
        <v>NÃO APTO</v>
      </c>
    </row>
    <row r="13" spans="3:19" x14ac:dyDescent="0.25">
      <c r="C13" s="1">
        <f>C12+1</f>
        <v>2</v>
      </c>
      <c r="D13" s="1" t="s">
        <v>7</v>
      </c>
      <c r="E13" s="1">
        <v>20</v>
      </c>
      <c r="F13" s="1">
        <v>13</v>
      </c>
      <c r="G13" s="1">
        <v>13</v>
      </c>
      <c r="H13" s="2">
        <f t="shared" ref="H13:H16" si="6">AVERAGE(E13:G13)</f>
        <v>15.333333333333334</v>
      </c>
      <c r="I13" s="1" t="str">
        <f t="shared" ref="I13:I16" si="7">IF(H13&gt;9,"APTO","NÃO APTO")</f>
        <v>APTO</v>
      </c>
    </row>
    <row r="14" spans="3:19" x14ac:dyDescent="0.25">
      <c r="C14" s="15">
        <f t="shared" ref="C14:C16" si="8">C13+1</f>
        <v>3</v>
      </c>
      <c r="D14" s="15" t="s">
        <v>8</v>
      </c>
      <c r="E14" s="15">
        <v>11</v>
      </c>
      <c r="F14" s="15">
        <v>10</v>
      </c>
      <c r="G14" s="15">
        <v>6</v>
      </c>
      <c r="H14" s="16">
        <f t="shared" si="6"/>
        <v>9</v>
      </c>
      <c r="I14" s="15" t="str">
        <f t="shared" si="7"/>
        <v>NÃO APTO</v>
      </c>
    </row>
    <row r="15" spans="3:19" x14ac:dyDescent="0.25">
      <c r="C15" s="1">
        <f t="shared" si="8"/>
        <v>4</v>
      </c>
      <c r="D15" s="1" t="s">
        <v>9</v>
      </c>
      <c r="E15" s="1">
        <v>4</v>
      </c>
      <c r="F15" s="1">
        <v>5</v>
      </c>
      <c r="G15" s="1">
        <v>19</v>
      </c>
      <c r="H15" s="2">
        <f t="shared" si="6"/>
        <v>9.3333333333333339</v>
      </c>
      <c r="I15" s="1" t="str">
        <f t="shared" si="7"/>
        <v>APTO</v>
      </c>
    </row>
    <row r="16" spans="3:19" x14ac:dyDescent="0.25">
      <c r="C16" s="15">
        <f t="shared" si="8"/>
        <v>5</v>
      </c>
      <c r="D16" s="15" t="s">
        <v>10</v>
      </c>
      <c r="E16" s="15">
        <v>6</v>
      </c>
      <c r="F16" s="15">
        <v>15</v>
      </c>
      <c r="G16" s="15">
        <v>10</v>
      </c>
      <c r="H16" s="16">
        <f t="shared" si="6"/>
        <v>10.333333333333334</v>
      </c>
      <c r="I16" s="15" t="str">
        <f t="shared" si="7"/>
        <v>APTO</v>
      </c>
    </row>
  </sheetData>
  <autoFilter ref="C11:I11" xr:uid="{ED9F7A55-681E-489C-9771-3CCB8D83C898}"/>
  <conditionalFormatting sqref="H4:H8 R9:R10">
    <cfRule type="cellIs" dxfId="5" priority="5" operator="lessThan">
      <formula>10</formula>
    </cfRule>
    <cfRule type="cellIs" dxfId="4" priority="6" operator="greaterThan">
      <formula>9</formula>
    </cfRule>
  </conditionalFormatting>
  <conditionalFormatting sqref="R4:R10">
    <cfRule type="cellIs" dxfId="3" priority="3" operator="lessThan">
      <formula>10</formula>
    </cfRule>
    <cfRule type="cellIs" dxfId="2" priority="4" operator="greaterThan">
      <formula>9</formula>
    </cfRule>
  </conditionalFormatting>
  <conditionalFormatting sqref="H12:H16">
    <cfRule type="cellIs" dxfId="1" priority="1" operator="lessThan">
      <formula>10</formula>
    </cfRule>
    <cfRule type="cellIs" dxfId="0" priority="2" operator="greaterThan">
      <formula>9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48043-654F-4B3B-AFE9-4F805D0E335C}">
  <dimension ref="C3:L15"/>
  <sheetViews>
    <sheetView zoomScale="160" zoomScaleNormal="160" workbookViewId="0">
      <selection activeCell="I7" sqref="I7:I14"/>
    </sheetView>
  </sheetViews>
  <sheetFormatPr defaultRowHeight="15" x14ac:dyDescent="0.25"/>
  <cols>
    <col min="4" max="4" width="22.28515625" bestFit="1" customWidth="1"/>
    <col min="6" max="6" width="19.28515625" customWidth="1"/>
    <col min="8" max="8" width="26.28515625" bestFit="1" customWidth="1"/>
  </cols>
  <sheetData>
    <row r="3" spans="3:12" ht="21" x14ac:dyDescent="0.35">
      <c r="C3" s="22" t="s">
        <v>26</v>
      </c>
      <c r="D3" s="23"/>
      <c r="E3" s="23"/>
      <c r="F3" s="24"/>
    </row>
    <row r="4" spans="3:12" x14ac:dyDescent="0.25">
      <c r="C4" s="25" t="s">
        <v>0</v>
      </c>
      <c r="D4" s="25" t="s">
        <v>27</v>
      </c>
      <c r="E4" s="25" t="s">
        <v>28</v>
      </c>
      <c r="F4" s="25" t="s">
        <v>29</v>
      </c>
      <c r="H4" s="26" t="s">
        <v>30</v>
      </c>
      <c r="I4" s="11">
        <f>SUM(F5:F15)</f>
        <v>338</v>
      </c>
      <c r="K4" s="27" t="s">
        <v>31</v>
      </c>
      <c r="L4" s="28"/>
    </row>
    <row r="5" spans="3:12" x14ac:dyDescent="0.25">
      <c r="C5" s="1">
        <v>1</v>
      </c>
      <c r="D5" s="1" t="s">
        <v>54</v>
      </c>
      <c r="E5" s="1" t="s">
        <v>64</v>
      </c>
      <c r="F5" s="1">
        <v>71</v>
      </c>
      <c r="H5" s="1" t="s">
        <v>32</v>
      </c>
      <c r="I5" s="1">
        <f>SMALL(F5:F15,J5)</f>
        <v>3</v>
      </c>
      <c r="J5" s="1">
        <v>1</v>
      </c>
      <c r="K5" s="27" t="s">
        <v>33</v>
      </c>
      <c r="L5" s="28"/>
    </row>
    <row r="6" spans="3:12" x14ac:dyDescent="0.25">
      <c r="C6" s="1">
        <f t="shared" ref="C6:C15" si="0">$F5+1</f>
        <v>72</v>
      </c>
      <c r="D6" s="1" t="s">
        <v>55</v>
      </c>
      <c r="E6" s="1" t="s">
        <v>65</v>
      </c>
      <c r="F6" s="1">
        <v>44</v>
      </c>
      <c r="H6" s="1" t="s">
        <v>34</v>
      </c>
      <c r="I6" s="1">
        <f>LARGE(F5:F15,J6)</f>
        <v>71</v>
      </c>
      <c r="J6" s="1">
        <v>1</v>
      </c>
      <c r="K6" s="27" t="s">
        <v>35</v>
      </c>
      <c r="L6" s="28"/>
    </row>
    <row r="7" spans="3:12" x14ac:dyDescent="0.25">
      <c r="C7" s="1">
        <f t="shared" si="0"/>
        <v>45</v>
      </c>
      <c r="D7" s="1" t="s">
        <v>56</v>
      </c>
      <c r="E7" s="1" t="s">
        <v>65</v>
      </c>
      <c r="F7" s="1">
        <v>43</v>
      </c>
      <c r="H7" s="1" t="s">
        <v>36</v>
      </c>
      <c r="I7" s="29">
        <f>AVERAGE(F5:F15)</f>
        <v>33.799999999999997</v>
      </c>
      <c r="K7" s="27" t="s">
        <v>37</v>
      </c>
      <c r="L7" s="28"/>
    </row>
    <row r="8" spans="3:12" x14ac:dyDescent="0.25">
      <c r="C8" s="1">
        <f t="shared" si="0"/>
        <v>44</v>
      </c>
      <c r="D8" s="1" t="s">
        <v>57</v>
      </c>
      <c r="E8" s="1" t="s">
        <v>64</v>
      </c>
      <c r="F8" s="1">
        <v>35</v>
      </c>
      <c r="H8" s="1" t="s">
        <v>38</v>
      </c>
      <c r="I8" s="1">
        <f>COUNT(C5:F15)</f>
        <v>21</v>
      </c>
      <c r="K8" s="27" t="s">
        <v>39</v>
      </c>
      <c r="L8" s="28"/>
    </row>
    <row r="9" spans="3:12" x14ac:dyDescent="0.25">
      <c r="C9" s="1">
        <f t="shared" si="0"/>
        <v>36</v>
      </c>
      <c r="D9" s="1" t="s">
        <v>58</v>
      </c>
      <c r="E9" s="1" t="s">
        <v>64</v>
      </c>
      <c r="F9" s="1">
        <v>31</v>
      </c>
      <c r="H9" s="1" t="s">
        <v>40</v>
      </c>
      <c r="I9" s="30">
        <f>COUNTBLANK(C5:F15)</f>
        <v>1</v>
      </c>
      <c r="K9" s="27" t="s">
        <v>41</v>
      </c>
      <c r="L9" s="28"/>
    </row>
    <row r="10" spans="3:12" x14ac:dyDescent="0.25">
      <c r="C10" s="1">
        <f t="shared" si="0"/>
        <v>32</v>
      </c>
      <c r="D10" s="1" t="s">
        <v>59</v>
      </c>
      <c r="E10" s="1" t="s">
        <v>64</v>
      </c>
      <c r="F10" s="1">
        <v>45</v>
      </c>
      <c r="H10" s="1" t="s">
        <v>42</v>
      </c>
      <c r="I10" s="1">
        <f>COUNTA(C5:F15)</f>
        <v>43</v>
      </c>
      <c r="K10" s="27" t="s">
        <v>43</v>
      </c>
      <c r="L10" s="28"/>
    </row>
    <row r="11" spans="3:12" x14ac:dyDescent="0.25">
      <c r="C11" s="1">
        <f t="shared" si="0"/>
        <v>46</v>
      </c>
      <c r="D11" s="1" t="s">
        <v>60</v>
      </c>
      <c r="E11" s="1" t="s">
        <v>64</v>
      </c>
      <c r="F11" s="1">
        <v>19</v>
      </c>
      <c r="H11" s="1" t="s">
        <v>44</v>
      </c>
      <c r="I11" s="1">
        <f>SUMIF(E5:E15,"f",F5:F15)</f>
        <v>108</v>
      </c>
      <c r="K11" s="27" t="s">
        <v>45</v>
      </c>
      <c r="L11" s="28"/>
    </row>
    <row r="12" spans="3:12" x14ac:dyDescent="0.25">
      <c r="C12" s="1">
        <f t="shared" si="0"/>
        <v>20</v>
      </c>
      <c r="D12" s="1" t="s">
        <v>61</v>
      </c>
      <c r="E12" s="1" t="s">
        <v>64</v>
      </c>
      <c r="F12" s="1">
        <v>29</v>
      </c>
      <c r="H12" s="1" t="s">
        <v>46</v>
      </c>
      <c r="I12" s="1">
        <f>SUMIF(E5:E15,"m",F5:F15)</f>
        <v>230</v>
      </c>
      <c r="K12" s="27" t="s">
        <v>47</v>
      </c>
      <c r="L12" s="28"/>
    </row>
    <row r="13" spans="3:12" x14ac:dyDescent="0.25">
      <c r="C13" s="1">
        <f t="shared" si="0"/>
        <v>30</v>
      </c>
      <c r="D13" s="1" t="s">
        <v>62</v>
      </c>
      <c r="E13" s="1" t="s">
        <v>65</v>
      </c>
      <c r="F13" s="1">
        <v>18</v>
      </c>
      <c r="H13" s="1" t="s">
        <v>48</v>
      </c>
      <c r="I13" s="1">
        <f>COUNTIF(E5:E15,"m")</f>
        <v>7</v>
      </c>
      <c r="K13" s="27" t="s">
        <v>49</v>
      </c>
      <c r="L13" s="28"/>
    </row>
    <row r="14" spans="3:12" x14ac:dyDescent="0.25">
      <c r="C14" s="1">
        <f t="shared" si="0"/>
        <v>19</v>
      </c>
      <c r="D14" s="1" t="s">
        <v>66</v>
      </c>
      <c r="E14" s="1" t="s">
        <v>65</v>
      </c>
      <c r="F14" s="1">
        <v>3</v>
      </c>
      <c r="H14" s="1" t="s">
        <v>50</v>
      </c>
      <c r="I14" s="1">
        <f>COUNTIF(E5:E15,"f")</f>
        <v>4</v>
      </c>
      <c r="K14" s="27" t="s">
        <v>51</v>
      </c>
      <c r="L14" s="28"/>
    </row>
    <row r="15" spans="3:12" x14ac:dyDescent="0.25">
      <c r="C15" s="1">
        <f t="shared" si="0"/>
        <v>4</v>
      </c>
      <c r="D15" s="1" t="s">
        <v>63</v>
      </c>
      <c r="E15" s="1" t="s">
        <v>64</v>
      </c>
      <c r="F15" s="1"/>
      <c r="H15" s="1" t="s">
        <v>52</v>
      </c>
      <c r="I15" s="1">
        <f>COUNTA(C5:F15)</f>
        <v>43</v>
      </c>
      <c r="K15" s="27" t="s">
        <v>53</v>
      </c>
      <c r="L15" s="28"/>
    </row>
  </sheetData>
  <mergeCells count="1">
    <mergeCell ref="C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dinamica</vt:lpstr>
      <vt:lpstr>Tabela recomendada</vt:lpstr>
      <vt:lpstr>Tabela</vt:lpstr>
      <vt:lpstr>Formula básicas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2026-06-12T12:17:55Z</dcterms:created>
  <dcterms:modified xsi:type="dcterms:W3CDTF">2026-06-12T15:25:10Z</dcterms:modified>
</cp:coreProperties>
</file>