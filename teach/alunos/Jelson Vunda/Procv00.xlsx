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Aniceto\Teach\Excel\0000\Aula\"/>
    </mc:Choice>
  </mc:AlternateContent>
  <xr:revisionPtr revIDLastSave="0" documentId="13_ncr:1_{2982FC6D-2AA8-48E8-A9FA-C683A67D861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0" sheetId="1" r:id="rId1"/>
    <sheet name="1" sheetId="4" r:id="rId2"/>
    <sheet name="rascunho" sheetId="7" r:id="rId3"/>
    <sheet name="2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6" l="1"/>
  <c r="L8" i="6"/>
  <c r="M8" i="6"/>
  <c r="N8" i="6"/>
  <c r="O8" i="6"/>
  <c r="P8" i="6"/>
  <c r="E6" i="4"/>
  <c r="E7" i="4"/>
  <c r="E8" i="4"/>
  <c r="E9" i="4"/>
  <c r="E10" i="4"/>
  <c r="E5" i="4"/>
  <c r="G4" i="7"/>
  <c r="H4" i="7"/>
  <c r="I4" i="7"/>
  <c r="J4" i="7"/>
  <c r="K4" i="7"/>
  <c r="L4" i="7"/>
  <c r="M4" i="7"/>
  <c r="N4" i="7"/>
  <c r="F4" i="7"/>
  <c r="D7" i="7"/>
  <c r="D8" i="7"/>
  <c r="D9" i="7"/>
  <c r="D10" i="7"/>
  <c r="D11" i="7"/>
  <c r="D12" i="7"/>
  <c r="D13" i="7"/>
  <c r="D14" i="7"/>
  <c r="D6" i="7"/>
  <c r="H7" i="1"/>
  <c r="H6" i="1"/>
  <c r="H5" i="1"/>
  <c r="B7" i="6"/>
  <c r="B8" i="6" s="1"/>
  <c r="B9" i="6" s="1"/>
  <c r="B10" i="6" s="1"/>
  <c r="B11" i="6" s="1"/>
  <c r="B6" i="4"/>
  <c r="B7" i="4" s="1"/>
  <c r="B8" i="4" s="1"/>
  <c r="B9" i="4" s="1"/>
  <c r="B10" i="4" s="1"/>
  <c r="B6" i="1"/>
  <c r="B7" i="1" s="1"/>
  <c r="B8" i="1" s="1"/>
  <c r="B9" i="1" s="1"/>
  <c r="B10" i="1" s="1"/>
</calcChain>
</file>

<file path=xl/sharedStrings.xml><?xml version="1.0" encoding="utf-8"?>
<sst xmlns="http://schemas.openxmlformats.org/spreadsheetml/2006/main" count="90" uniqueCount="61">
  <si>
    <t>ID</t>
  </si>
  <si>
    <t>FUNÇÃO PROCV</t>
  </si>
  <si>
    <t>ANALISTA</t>
  </si>
  <si>
    <t>TEMPO</t>
  </si>
  <si>
    <t>NÍVEL</t>
  </si>
  <si>
    <t>Pedro</t>
  </si>
  <si>
    <t>Ana</t>
  </si>
  <si>
    <t>Lucas</t>
  </si>
  <si>
    <t>|</t>
  </si>
  <si>
    <t>||</t>
  </si>
  <si>
    <t>|||</t>
  </si>
  <si>
    <t>TURNO</t>
  </si>
  <si>
    <t>HORÁRIO</t>
  </si>
  <si>
    <t>Manhã</t>
  </si>
  <si>
    <t>Tarde</t>
  </si>
  <si>
    <t>Noite</t>
  </si>
  <si>
    <t>JAN</t>
  </si>
  <si>
    <t>FEV</t>
  </si>
  <si>
    <t>MAR</t>
  </si>
  <si>
    <t>ABR</t>
  </si>
  <si>
    <t>MAI</t>
  </si>
  <si>
    <t>JUN</t>
  </si>
  <si>
    <t>Analia</t>
  </si>
  <si>
    <t>Joana</t>
  </si>
  <si>
    <t>Wilma</t>
  </si>
  <si>
    <t>Liliana</t>
  </si>
  <si>
    <t>Termos</t>
  </si>
  <si>
    <t>inglês</t>
  </si>
  <si>
    <t>português</t>
  </si>
  <si>
    <t>VLOOKUP</t>
  </si>
  <si>
    <t>PROCV</t>
  </si>
  <si>
    <t>busca vertical</t>
  </si>
  <si>
    <t>Marcos</t>
  </si>
  <si>
    <t>Micaela</t>
  </si>
  <si>
    <t>Alice</t>
  </si>
  <si>
    <t>Jack</t>
  </si>
  <si>
    <t>Fernando</t>
  </si>
  <si>
    <t>Helena</t>
  </si>
  <si>
    <t>Nº</t>
  </si>
  <si>
    <t>Referência</t>
  </si>
  <si>
    <t>Relativa</t>
  </si>
  <si>
    <t>Absoluta</t>
  </si>
  <si>
    <t>$</t>
  </si>
  <si>
    <t>=E4+1</t>
  </si>
  <si>
    <t>=F4+1</t>
  </si>
  <si>
    <t>=G4+1</t>
  </si>
  <si>
    <t>=$D5+1</t>
  </si>
  <si>
    <t>=$D6+1</t>
  </si>
  <si>
    <t>=$D7+1</t>
  </si>
  <si>
    <t>=D$5+1</t>
  </si>
  <si>
    <t>Madrugada</t>
  </si>
  <si>
    <t>Correspondencias</t>
  </si>
  <si>
    <t>Relatorio de Desempenho</t>
  </si>
  <si>
    <t>Analista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</si>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</sst>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DDDDDD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1" xfId="0" applyFill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0" borderId="0" xfId="0" applyFont="1"/>
    <xf numFmtId="166" fontId="0" fillId="0" borderId="1" xfId="0" applyNumberFormat="1" applyBorder="1"/>
    <xf numFmtId="0" fontId="0" fillId="0" borderId="6" xfId="0" applyBorder="1"/>
    <xf numFmtId="0" fontId="5" fillId="4" borderId="1" xfId="0" applyFont="1" applyFill="1" applyBorder="1"/>
    <xf numFmtId="0" fontId="2" fillId="0" borderId="0" xfId="0" applyFont="1"/>
    <xf numFmtId="0" fontId="0" fillId="0" borderId="0" xfId="0" quotePrefix="1"/>
    <xf numFmtId="20" fontId="0" fillId="0" borderId="4" xfId="0" applyNumberFormat="1" applyBorder="1"/>
    <xf numFmtId="0" fontId="0" fillId="0" borderId="2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20" fontId="0" fillId="0" borderId="9" xfId="0" applyNumberFormat="1" applyBorder="1"/>
    <xf numFmtId="0" fontId="0" fillId="0" borderId="10" xfId="0" applyBorder="1"/>
    <xf numFmtId="0" fontId="0" fillId="5" borderId="1" xfId="0" applyFill="1" applyBorder="1"/>
    <xf numFmtId="0" fontId="1" fillId="2" borderId="1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'2'!$K$7:$P$7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</c:strCache>
            </c:strRef>
          </c:cat>
          <c:val>
            <c:numRef>
              <c:f>'2'!$K$8:$P$8</c:f>
              <c:numCache>
                <c:formatCode>General</c:formatCode>
                <c:ptCount val="6"/>
                <c:pt idx="0">
                  <c:v>124</c:v>
                </c:pt>
                <c:pt idx="1">
                  <c:v>352</c:v>
                </c:pt>
                <c:pt idx="2">
                  <c:v>147</c:v>
                </c:pt>
                <c:pt idx="3">
                  <c:v>123</c:v>
                </c:pt>
                <c:pt idx="4">
                  <c:v>234</c:v>
                </c:pt>
                <c:pt idx="5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F-4C90-807E-41FDC89193E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3436607"/>
        <c:axId val="813444767"/>
      </c:lineChart>
      <c:catAx>
        <c:axId val="81343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13444767"/>
        <c:crosses val="autoZero"/>
        <c:auto val="1"/>
        <c:lblAlgn val="ctr"/>
        <c:lblOffset val="100"/>
        <c:noMultiLvlLbl val="0"/>
      </c:catAx>
      <c:valAx>
        <c:axId val="8134447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343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167269</xdr:colOff>
      <xdr:row>7</xdr:row>
      <xdr:rowOff>65048</xdr:rowOff>
    </xdr:from>
    <xdr:to>
      <xdr:col>7</xdr:col>
      <xdr:colOff>269488</xdr:colOff>
      <xdr:row>7</xdr:row>
      <xdr:rowOff>167267</xdr:rowOff>
    </xdr:to>
    <xdr:cxnSp macro="">
      <xdr:nvCxnSpPr>
        <xdr:cNvPr id="3" name="Conector: Angulado 2">
          <a:extLst>
            <a:ext uri="{FF2B5EF4-FFF2-40B4-BE49-F238E27FC236}">
              <a16:creationId xmlns:a16="http://schemas.microsoft.com/office/drawing/2014/main" id="{19FD99F2-6C08-DED5-E856-26AE97F08A0E}"/>
            </a:ext>
          </a:extLst>
        </xdr:cNvPr>
        <xdr:cNvCxnSpPr/>
      </xdr:nvCxnSpPr>
      <xdr:spPr>
        <a:xfrm rot="10800000" flipV="1">
          <a:off x="3819293" y="1398548"/>
          <a:ext cx="710890" cy="102219"/>
        </a:xfrm>
        <a:prstGeom prst="bentConnector3">
          <a:avLst>
            <a:gd name="adj1" fmla="val 10032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223024</xdr:colOff>
      <xdr:row>7</xdr:row>
      <xdr:rowOff>60402</xdr:rowOff>
    </xdr:from>
    <xdr:to>
      <xdr:col>8</xdr:col>
      <xdr:colOff>376353</xdr:colOff>
      <xdr:row>7</xdr:row>
      <xdr:rowOff>185854</xdr:rowOff>
    </xdr:to>
    <xdr:cxnSp macro="">
      <xdr:nvCxnSpPr>
        <xdr:cNvPr id="12" name="Conector: Angulado 11">
          <a:extLst>
            <a:ext uri="{FF2B5EF4-FFF2-40B4-BE49-F238E27FC236}">
              <a16:creationId xmlns:a16="http://schemas.microsoft.com/office/drawing/2014/main" id="{EF07EE39-3686-E723-7E07-1AAB6F15E63E}"/>
            </a:ext>
          </a:extLst>
        </xdr:cNvPr>
        <xdr:cNvCxnSpPr/>
      </xdr:nvCxnSpPr>
      <xdr:spPr>
        <a:xfrm>
          <a:off x="4483719" y="1393902"/>
          <a:ext cx="762000" cy="125452"/>
        </a:xfrm>
        <a:prstGeom prst="bentConnector3">
          <a:avLst>
            <a:gd name="adj1" fmla="val 9939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593272</xdr:colOff>
      <xdr:row>5</xdr:row>
      <xdr:rowOff>174173</xdr:rowOff>
    </xdr:from>
    <xdr:to>
      <xdr:col>16</xdr:col>
      <xdr:colOff>190500</xdr:colOff>
      <xdr:row>14</xdr:row>
      <xdr:rowOff>179615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A94F67-AB65-89BD-25B5-C430C14C7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392AA-3265-4185-8F77-5283DFF6BB95}" name="Tabela1" displayName="Tabela1" ref="G4:H8" totalsRowShown="0" headerRowDxfId="0" headerRowBorderDxfId="4" tableBorderDxfId="5" totalsRowBorderDxfId="3">
  <autoFilter ref="G4:H8" xr:uid="{E14392AA-3265-4185-8F77-5283DFF6BB95}"/>
  <tableColumns count="2">
    <tableColumn id="1" xr3:uid="{150972C6-9071-4440-BC82-049FBDE00DF2}" name="HORÁRIO" dataDxfId="2"/>
    <tableColumn id="2" xr3:uid="{935E1CAE-1F6C-48EE-AC86-125193EDA08C}" name="TURN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"/>
  <sheetViews>
    <sheetView zoomScale="175" zoomScaleNormal="175" workbookViewId="0">
      <selection activeCell="H5" sqref="H5"/>
    </sheetView>
  </sheetViews>
  <sheetFormatPr defaultRowHeight="15" x14ac:dyDescent="0.25"/>
  <cols>
    <col min="3" max="3" width="10.5703125" customWidth="1"/>
    <col min="4" max="4" width="15.140625" bestFit="1" customWidth="1"/>
    <col min="5" max="5" width="10.7109375" bestFit="1" customWidth="1"/>
    <col min="6" max="6" width="8.85546875" customWidth="1"/>
    <col min="7" max="7" width="9.7109375" bestFit="1" customWidth="1"/>
    <col min="9" max="9" width="10.7109375" bestFit="1" customWidth="1"/>
    <col min="10" max="10" width="15.140625" bestFit="1" customWidth="1"/>
    <col min="13" max="13" width="12.42578125" bestFit="1" customWidth="1"/>
  </cols>
  <sheetData>
    <row r="1" spans="2:8" ht="16.5" customHeight="1" x14ac:dyDescent="0.25"/>
    <row r="2" spans="2:8" ht="14.25" customHeight="1" x14ac:dyDescent="0.25">
      <c r="B2" s="7" t="s">
        <v>1</v>
      </c>
      <c r="C2" s="8"/>
      <c r="D2" s="8"/>
      <c r="E2" s="9"/>
    </row>
    <row r="3" spans="2:8" x14ac:dyDescent="0.25">
      <c r="B3" s="17">
        <v>1</v>
      </c>
      <c r="C3" s="17">
        <v>2</v>
      </c>
      <c r="D3" s="17">
        <v>3</v>
      </c>
      <c r="E3" s="17">
        <v>4</v>
      </c>
    </row>
    <row r="4" spans="2:8" x14ac:dyDescent="0.25">
      <c r="B4" s="4" t="s">
        <v>0</v>
      </c>
      <c r="C4" s="4" t="s">
        <v>2</v>
      </c>
      <c r="D4" s="4" t="s">
        <v>3</v>
      </c>
      <c r="E4" s="4" t="s">
        <v>4</v>
      </c>
      <c r="G4" s="4" t="s">
        <v>0</v>
      </c>
      <c r="H4" s="1">
        <v>3</v>
      </c>
    </row>
    <row r="5" spans="2:8" x14ac:dyDescent="0.25">
      <c r="B5" s="2">
        <v>1</v>
      </c>
      <c r="C5" s="2" t="s">
        <v>5</v>
      </c>
      <c r="D5" s="3">
        <v>1.0416666666666666E-2</v>
      </c>
      <c r="E5" s="2" t="s">
        <v>8</v>
      </c>
      <c r="G5" s="5" t="s">
        <v>2</v>
      </c>
      <c r="H5" s="1" t="str">
        <f>VLOOKUP(H4,B4:E10,2,FALSE)</f>
        <v>Marcos</v>
      </c>
    </row>
    <row r="6" spans="2:8" x14ac:dyDescent="0.25">
      <c r="B6" s="2">
        <f>B5+1</f>
        <v>2</v>
      </c>
      <c r="C6" s="2" t="s">
        <v>6</v>
      </c>
      <c r="D6" s="3">
        <v>8.3333333333333332E-3</v>
      </c>
      <c r="E6" s="2" t="s">
        <v>9</v>
      </c>
      <c r="G6" s="5" t="s">
        <v>3</v>
      </c>
      <c r="H6" s="18">
        <f>VLOOKUP(H4,B4:E10,3,FALSE)</f>
        <v>6.9444444444444441E-3</v>
      </c>
    </row>
    <row r="7" spans="2:8" x14ac:dyDescent="0.25">
      <c r="B7" s="2">
        <f t="shared" ref="B7:B9" si="0">B6+1</f>
        <v>3</v>
      </c>
      <c r="C7" s="2" t="s">
        <v>32</v>
      </c>
      <c r="D7" s="3">
        <v>6.9444444444444441E-3</v>
      </c>
      <c r="E7" s="2" t="s">
        <v>8</v>
      </c>
      <c r="G7" s="5" t="s">
        <v>4</v>
      </c>
      <c r="H7" s="1" t="str">
        <f>VLOOKUP(H4,B4:E10,4,FALSE)</f>
        <v>|</v>
      </c>
    </row>
    <row r="8" spans="2:8" x14ac:dyDescent="0.25">
      <c r="B8" s="2">
        <f t="shared" si="0"/>
        <v>4</v>
      </c>
      <c r="C8" s="2" t="s">
        <v>33</v>
      </c>
      <c r="D8" s="3">
        <v>6.9444444444444441E-3</v>
      </c>
      <c r="E8" s="2" t="s">
        <v>8</v>
      </c>
    </row>
    <row r="9" spans="2:8" x14ac:dyDescent="0.25">
      <c r="B9" s="2">
        <f t="shared" si="0"/>
        <v>5</v>
      </c>
      <c r="C9" s="2" t="s">
        <v>34</v>
      </c>
      <c r="D9" s="3">
        <v>6.2499999999999995E-3</v>
      </c>
      <c r="E9" s="2" t="s">
        <v>8</v>
      </c>
    </row>
    <row r="10" spans="2:8" x14ac:dyDescent="0.25">
      <c r="B10" s="2">
        <f>B9+1</f>
        <v>6</v>
      </c>
      <c r="C10" s="2" t="s">
        <v>7</v>
      </c>
      <c r="D10" s="3">
        <v>9.7222222222222224E-3</v>
      </c>
      <c r="E10" s="2" t="s">
        <v>10</v>
      </c>
    </row>
    <row r="13" spans="2:8" x14ac:dyDescent="0.25">
      <c r="B13" s="14" t="s">
        <v>26</v>
      </c>
      <c r="C13" s="15"/>
      <c r="D13" s="16"/>
    </row>
    <row r="14" spans="2:8" x14ac:dyDescent="0.25">
      <c r="B14" s="13" t="s">
        <v>27</v>
      </c>
      <c r="C14" s="11"/>
      <c r="D14" s="13" t="s">
        <v>28</v>
      </c>
    </row>
    <row r="15" spans="2:8" x14ac:dyDescent="0.25">
      <c r="B15" s="1" t="s">
        <v>29</v>
      </c>
      <c r="C15" s="12"/>
      <c r="D15" s="1" t="s">
        <v>30</v>
      </c>
      <c r="E15" t="s">
        <v>31</v>
      </c>
    </row>
  </sheetData>
  <mergeCells count="3">
    <mergeCell ref="B2:E2"/>
    <mergeCell ref="B13:D13"/>
    <mergeCell ref="C14:C15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0"/>
  <sheetViews>
    <sheetView zoomScale="190" zoomScaleNormal="190" workbookViewId="0">
      <selection activeCell="E5" sqref="E5"/>
    </sheetView>
  </sheetViews>
  <sheetFormatPr defaultRowHeight="15" x14ac:dyDescent="0.25"/>
  <cols>
    <col min="5" max="5" width="32" customWidth="1"/>
    <col min="7" max="7" width="9.85546875" customWidth="1"/>
    <col min="8" max="8" width="12" bestFit="1" customWidth="1"/>
    <col min="10" max="10" width="12.42578125" bestFit="1" customWidth="1"/>
  </cols>
  <sheetData>
    <row r="1" spans="2:11" x14ac:dyDescent="0.25">
      <c r="J1" t="s">
        <v>51</v>
      </c>
    </row>
    <row r="2" spans="2:11" x14ac:dyDescent="0.25">
      <c r="B2" s="7" t="s">
        <v>1</v>
      </c>
      <c r="C2" s="8"/>
      <c r="D2" s="8"/>
      <c r="E2" s="9"/>
      <c r="J2" s="13" t="b">
        <v>1</v>
      </c>
      <c r="K2" s="1">
        <v>1</v>
      </c>
    </row>
    <row r="3" spans="2:11" x14ac:dyDescent="0.25">
      <c r="G3" s="17">
        <v>1</v>
      </c>
      <c r="H3" s="17">
        <v>2</v>
      </c>
      <c r="J3" s="29" t="b">
        <v>0</v>
      </c>
      <c r="K3" s="1">
        <v>0</v>
      </c>
    </row>
    <row r="4" spans="2:11" x14ac:dyDescent="0.25">
      <c r="B4" s="4" t="s">
        <v>0</v>
      </c>
      <c r="C4" s="4" t="s">
        <v>2</v>
      </c>
      <c r="D4" s="4" t="s">
        <v>12</v>
      </c>
      <c r="E4" s="4" t="s">
        <v>11</v>
      </c>
      <c r="G4" s="25" t="s">
        <v>12</v>
      </c>
      <c r="H4" s="26" t="s">
        <v>11</v>
      </c>
    </row>
    <row r="5" spans="2:11" x14ac:dyDescent="0.25">
      <c r="B5" s="2">
        <v>1</v>
      </c>
      <c r="C5" s="2" t="s">
        <v>5</v>
      </c>
      <c r="D5" s="3">
        <v>0.33333333333333331</v>
      </c>
      <c r="E5" s="2" t="str">
        <f>VLOOKUP(D5,G$4:H$8,2,1)</f>
        <v>Manhã</v>
      </c>
      <c r="G5" s="23">
        <v>0</v>
      </c>
      <c r="H5" s="23" t="s">
        <v>50</v>
      </c>
    </row>
    <row r="6" spans="2:11" x14ac:dyDescent="0.25">
      <c r="B6" s="2">
        <f>B5+1</f>
        <v>2</v>
      </c>
      <c r="C6" s="2" t="s">
        <v>6</v>
      </c>
      <c r="D6" s="3">
        <v>0.25</v>
      </c>
      <c r="E6" s="2" t="str">
        <f t="shared" ref="E6:E10" si="0">VLOOKUP(D6,G$4:H$8,2,1)</f>
        <v>Madrugada</v>
      </c>
      <c r="G6" s="23">
        <v>0.29166666666666669</v>
      </c>
      <c r="H6" s="24" t="s">
        <v>13</v>
      </c>
    </row>
    <row r="7" spans="2:11" x14ac:dyDescent="0.25">
      <c r="B7" s="2">
        <f t="shared" ref="B7:B9" si="1">B6+1</f>
        <v>3</v>
      </c>
      <c r="C7" s="2" t="s">
        <v>35</v>
      </c>
      <c r="D7" s="3">
        <v>0.66666666666666663</v>
      </c>
      <c r="E7" s="2" t="str">
        <f t="shared" si="0"/>
        <v>Tarde</v>
      </c>
      <c r="G7" s="23">
        <v>0.58333333333333337</v>
      </c>
      <c r="H7" s="24" t="s">
        <v>14</v>
      </c>
    </row>
    <row r="8" spans="2:11" x14ac:dyDescent="0.25">
      <c r="B8" s="2">
        <f t="shared" si="1"/>
        <v>4</v>
      </c>
      <c r="C8" s="2" t="s">
        <v>36</v>
      </c>
      <c r="D8" s="3">
        <v>0.79166666666666663</v>
      </c>
      <c r="E8" s="2" t="str">
        <f t="shared" si="0"/>
        <v>Tarde</v>
      </c>
      <c r="G8" s="27">
        <v>0.91666666666666663</v>
      </c>
      <c r="H8" s="28" t="s">
        <v>15</v>
      </c>
    </row>
    <row r="9" spans="2:11" x14ac:dyDescent="0.25">
      <c r="B9" s="2">
        <f t="shared" si="1"/>
        <v>5</v>
      </c>
      <c r="C9" s="2" t="s">
        <v>37</v>
      </c>
      <c r="D9" s="3">
        <v>0.91666666666666663</v>
      </c>
      <c r="E9" s="2" t="str">
        <f t="shared" si="0"/>
        <v>Noite</v>
      </c>
    </row>
    <row r="10" spans="2:11" x14ac:dyDescent="0.25">
      <c r="B10" s="2">
        <f>B9+1</f>
        <v>6</v>
      </c>
      <c r="C10" s="2" t="s">
        <v>7</v>
      </c>
      <c r="D10" s="3">
        <v>9.7222222222222224E-3</v>
      </c>
      <c r="E10" s="2" t="str">
        <f t="shared" si="0"/>
        <v>Madrugada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9D65-3E98-4265-8922-AA01882A2472}">
  <dimension ref="C3:N14"/>
  <sheetViews>
    <sheetView topLeftCell="B1" zoomScale="205" zoomScaleNormal="205" workbookViewId="0">
      <selection activeCell="K6" sqref="K6:K11"/>
    </sheetView>
  </sheetViews>
  <sheetFormatPr defaultRowHeight="15" x14ac:dyDescent="0.25"/>
  <sheetData>
    <row r="3" spans="3:14" x14ac:dyDescent="0.25">
      <c r="F3" s="22" t="s">
        <v>43</v>
      </c>
      <c r="G3" s="22" t="s">
        <v>44</v>
      </c>
      <c r="H3" s="22" t="s">
        <v>45</v>
      </c>
    </row>
    <row r="4" spans="3:14" x14ac:dyDescent="0.25">
      <c r="D4" s="20" t="s">
        <v>38</v>
      </c>
      <c r="E4" s="1">
        <v>1</v>
      </c>
      <c r="F4" s="1">
        <f>E$4+1</f>
        <v>2</v>
      </c>
      <c r="G4" s="1">
        <f t="shared" ref="G4:N4" si="0">F$4+1</f>
        <v>3</v>
      </c>
      <c r="H4" s="1">
        <f t="shared" si="0"/>
        <v>4</v>
      </c>
      <c r="I4" s="1">
        <f t="shared" si="0"/>
        <v>5</v>
      </c>
      <c r="J4" s="1">
        <f t="shared" si="0"/>
        <v>6</v>
      </c>
      <c r="K4" s="1">
        <f t="shared" si="0"/>
        <v>7</v>
      </c>
      <c r="L4" s="1">
        <f t="shared" si="0"/>
        <v>8</v>
      </c>
      <c r="M4" s="1">
        <f t="shared" si="0"/>
        <v>9</v>
      </c>
      <c r="N4" s="1">
        <f t="shared" si="0"/>
        <v>10</v>
      </c>
    </row>
    <row r="5" spans="3:14" x14ac:dyDescent="0.25">
      <c r="D5" s="19">
        <v>1</v>
      </c>
    </row>
    <row r="6" spans="3:14" x14ac:dyDescent="0.25">
      <c r="C6" s="22" t="s">
        <v>46</v>
      </c>
      <c r="D6" s="1">
        <f>D$5+1</f>
        <v>2</v>
      </c>
      <c r="E6" s="22" t="s">
        <v>49</v>
      </c>
    </row>
    <row r="7" spans="3:14" x14ac:dyDescent="0.25">
      <c r="C7" s="22" t="s">
        <v>47</v>
      </c>
      <c r="D7" s="1">
        <f t="shared" ref="D7:D14" si="1">D$5+1</f>
        <v>2</v>
      </c>
      <c r="E7" s="22" t="s">
        <v>49</v>
      </c>
      <c r="H7" t="s">
        <v>39</v>
      </c>
    </row>
    <row r="8" spans="3:14" x14ac:dyDescent="0.25">
      <c r="C8" s="22" t="s">
        <v>48</v>
      </c>
      <c r="D8" s="1">
        <f t="shared" si="1"/>
        <v>2</v>
      </c>
      <c r="E8" s="22" t="s">
        <v>49</v>
      </c>
    </row>
    <row r="9" spans="3:14" x14ac:dyDescent="0.25">
      <c r="D9" s="1">
        <f t="shared" si="1"/>
        <v>2</v>
      </c>
      <c r="G9" t="s">
        <v>40</v>
      </c>
      <c r="I9" t="s">
        <v>41</v>
      </c>
    </row>
    <row r="10" spans="3:14" x14ac:dyDescent="0.25">
      <c r="D10" s="1">
        <f t="shared" si="1"/>
        <v>2</v>
      </c>
    </row>
    <row r="11" spans="3:14" x14ac:dyDescent="0.25">
      <c r="D11" s="1">
        <f t="shared" si="1"/>
        <v>2</v>
      </c>
      <c r="H11" s="21" t="s">
        <v>42</v>
      </c>
    </row>
    <row r="12" spans="3:14" x14ac:dyDescent="0.25">
      <c r="D12" s="1">
        <f t="shared" si="1"/>
        <v>2</v>
      </c>
    </row>
    <row r="13" spans="3:14" x14ac:dyDescent="0.25">
      <c r="D13" s="1">
        <f t="shared" si="1"/>
        <v>2</v>
      </c>
    </row>
    <row r="14" spans="3:14" x14ac:dyDescent="0.25">
      <c r="D14" s="1">
        <f t="shared" si="1"/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11"/>
  <sheetViews>
    <sheetView tabSelected="1" zoomScale="160" zoomScaleNormal="160" workbookViewId="0">
      <selection activeCell="L2" sqref="L2"/>
    </sheetView>
  </sheetViews>
  <sheetFormatPr defaultRowHeight="15" x14ac:dyDescent="0.25"/>
  <sheetData>
    <row r="2" spans="1:16" x14ac:dyDescent="0.25">
      <c r="B2" s="10" t="s">
        <v>1</v>
      </c>
      <c r="C2" s="10"/>
      <c r="D2" s="10"/>
      <c r="E2" s="10"/>
      <c r="F2" s="10"/>
      <c r="G2" s="10"/>
      <c r="H2" s="10"/>
      <c r="I2" s="10"/>
    </row>
    <row r="3" spans="1:16" x14ac:dyDescent="0.25">
      <c r="C3" s="32" t="s">
        <v>54</v>
      </c>
      <c r="D3" s="32" t="s">
        <v>55</v>
      </c>
      <c r="E3" s="32" t="s">
        <v>56</v>
      </c>
      <c r="F3" s="32" t="s">
        <v>57</v>
      </c>
      <c r="G3" s="32" t="s">
        <v>58</v>
      </c>
      <c r="H3" s="32" t="s">
        <v>59</v>
      </c>
      <c r="I3" s="32" t="s">
        <v>60</v>
      </c>
    </row>
    <row r="4" spans="1:16" x14ac:dyDescent="0.25">
      <c r="C4" s="17">
        <v>1</v>
      </c>
      <c r="D4" s="17">
        <v>2</v>
      </c>
      <c r="E4" s="17">
        <v>3</v>
      </c>
      <c r="F4" s="17">
        <v>4</v>
      </c>
      <c r="G4" s="17">
        <v>5</v>
      </c>
      <c r="H4" s="17">
        <v>6</v>
      </c>
      <c r="I4" s="17">
        <v>7</v>
      </c>
    </row>
    <row r="5" spans="1:16" x14ac:dyDescent="0.25">
      <c r="A5" s="32">
        <v>1</v>
      </c>
      <c r="B5" s="4" t="s">
        <v>0</v>
      </c>
      <c r="C5" s="4" t="s">
        <v>2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K5" s="30" t="s">
        <v>52</v>
      </c>
      <c r="L5" s="31"/>
      <c r="M5" s="31"/>
      <c r="N5" s="31"/>
    </row>
    <row r="6" spans="1:16" x14ac:dyDescent="0.25">
      <c r="A6" s="32">
        <v>2</v>
      </c>
      <c r="B6" s="2">
        <v>1</v>
      </c>
      <c r="C6" s="6" t="s">
        <v>5</v>
      </c>
      <c r="D6" s="6">
        <v>234</v>
      </c>
      <c r="E6" s="6">
        <v>186</v>
      </c>
      <c r="F6" s="6">
        <v>656</v>
      </c>
      <c r="G6" s="6">
        <v>667</v>
      </c>
      <c r="H6" s="6">
        <v>117</v>
      </c>
      <c r="I6" s="6">
        <v>124</v>
      </c>
      <c r="K6" s="21" t="s">
        <v>53</v>
      </c>
      <c r="L6" t="s">
        <v>22</v>
      </c>
    </row>
    <row r="7" spans="1:16" x14ac:dyDescent="0.25">
      <c r="A7" s="32">
        <v>3</v>
      </c>
      <c r="B7" s="2">
        <f>B6+1</f>
        <v>2</v>
      </c>
      <c r="C7" s="6" t="s">
        <v>22</v>
      </c>
      <c r="D7" s="6">
        <v>124</v>
      </c>
      <c r="E7" s="6">
        <v>352</v>
      </c>
      <c r="F7" s="6">
        <v>147</v>
      </c>
      <c r="G7" s="6">
        <v>123</v>
      </c>
      <c r="H7" s="6">
        <v>234</v>
      </c>
      <c r="I7" s="6">
        <v>109</v>
      </c>
      <c r="K7" s="4" t="s">
        <v>16</v>
      </c>
      <c r="L7" s="4" t="s">
        <v>17</v>
      </c>
      <c r="M7" s="4" t="s">
        <v>18</v>
      </c>
      <c r="N7" s="4" t="s">
        <v>19</v>
      </c>
      <c r="O7" s="4" t="s">
        <v>20</v>
      </c>
      <c r="P7" s="4" t="s">
        <v>21</v>
      </c>
    </row>
    <row r="8" spans="1:16" x14ac:dyDescent="0.25">
      <c r="A8" s="32">
        <v>4</v>
      </c>
      <c r="B8" s="2">
        <f t="shared" ref="B8:B10" si="0">B7+1</f>
        <v>3</v>
      </c>
      <c r="C8" s="6" t="s">
        <v>7</v>
      </c>
      <c r="D8" s="6">
        <v>456</v>
      </c>
      <c r="E8" s="6">
        <v>235</v>
      </c>
      <c r="F8" s="6">
        <v>186</v>
      </c>
      <c r="G8" s="6">
        <v>86</v>
      </c>
      <c r="H8" s="6">
        <v>234</v>
      </c>
      <c r="I8" s="6">
        <v>325</v>
      </c>
      <c r="K8" s="6">
        <f>VLOOKUP($L6,$C5:$I11,COLUMN(B2),0)</f>
        <v>124</v>
      </c>
      <c r="L8" s="6">
        <f t="shared" ref="L8:P8" si="1">VLOOKUP($L6,$C5:$I11,COLUMN(C2),0)</f>
        <v>352</v>
      </c>
      <c r="M8" s="6">
        <f t="shared" si="1"/>
        <v>147</v>
      </c>
      <c r="N8" s="6">
        <f t="shared" si="1"/>
        <v>123</v>
      </c>
      <c r="O8" s="6">
        <f t="shared" si="1"/>
        <v>234</v>
      </c>
      <c r="P8" s="6">
        <f t="shared" si="1"/>
        <v>109</v>
      </c>
    </row>
    <row r="9" spans="1:16" x14ac:dyDescent="0.25">
      <c r="A9" s="32">
        <v>5</v>
      </c>
      <c r="B9" s="2">
        <f t="shared" si="0"/>
        <v>4</v>
      </c>
      <c r="C9" s="6" t="s">
        <v>23</v>
      </c>
      <c r="D9" s="6">
        <v>234</v>
      </c>
      <c r="E9" s="6">
        <v>468</v>
      </c>
      <c r="F9" s="6">
        <v>124</v>
      </c>
      <c r="G9" s="6">
        <v>98</v>
      </c>
      <c r="H9" s="6">
        <v>357</v>
      </c>
      <c r="I9" s="6">
        <v>168</v>
      </c>
    </row>
    <row r="10" spans="1:16" x14ac:dyDescent="0.25">
      <c r="A10" s="32">
        <v>6</v>
      </c>
      <c r="B10" s="2">
        <f t="shared" si="0"/>
        <v>5</v>
      </c>
      <c r="C10" s="6" t="s">
        <v>24</v>
      </c>
      <c r="D10" s="6">
        <v>110</v>
      </c>
      <c r="E10" s="6">
        <v>153</v>
      </c>
      <c r="F10" s="6">
        <v>879</v>
      </c>
      <c r="G10" s="6">
        <v>352</v>
      </c>
      <c r="H10" s="6">
        <v>436</v>
      </c>
      <c r="I10" s="6">
        <v>254</v>
      </c>
    </row>
    <row r="11" spans="1:16" x14ac:dyDescent="0.25">
      <c r="A11" s="32">
        <v>7</v>
      </c>
      <c r="B11" s="2">
        <f>B10+1</f>
        <v>6</v>
      </c>
      <c r="C11" s="6" t="s">
        <v>25</v>
      </c>
      <c r="D11" s="6">
        <v>325</v>
      </c>
      <c r="E11" s="6">
        <v>257</v>
      </c>
      <c r="F11" s="6">
        <v>946</v>
      </c>
      <c r="G11" s="6">
        <v>543</v>
      </c>
      <c r="H11" s="6">
        <v>234</v>
      </c>
      <c r="I11" s="6">
        <v>298</v>
      </c>
    </row>
  </sheetData>
  <mergeCells count="2">
    <mergeCell ref="B2:I2"/>
    <mergeCell ref="K5:N5"/>
  </mergeCells>
  <dataValidations count="1">
    <dataValidation type="list" allowBlank="1" showInputMessage="1" showErrorMessage="1" sqref="L6" xr:uid="{C7E90246-F7FD-456C-8971-45DE90A2CC55}">
      <formula1>$C$6:$C$11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0</vt:lpstr>
      <vt:lpstr>1</vt:lpstr>
      <vt:lpstr>rascunho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Pc</cp:lastModifiedBy>
  <dcterms:created xsi:type="dcterms:W3CDTF">2025-09-09T08:26:56Z</dcterms:created>
  <dcterms:modified xsi:type="dcterms:W3CDTF">2026-03-20T14:13:35Z</dcterms:modified>
</cp:coreProperties>
</file>