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Aniceto\Aula\Helder\"/>
    </mc:Choice>
  </mc:AlternateContent>
  <xr:revisionPtr revIDLastSave="0" documentId="13_ncr:1_{E81F288A-E8E5-4ED9-A475-E0C72CABC13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0" sheetId="1" r:id="rId1"/>
    <sheet name="1" sheetId="4" r:id="rId2"/>
    <sheet name="2" sheetId="6" r:id="rId3"/>
    <sheet name="Rascunho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I7" i="1"/>
  <c r="I8" i="1"/>
  <c r="F3" i="7"/>
  <c r="G3" i="7"/>
  <c r="H3" i="7"/>
  <c r="I3" i="7"/>
  <c r="J3" i="7"/>
  <c r="K3" i="7"/>
  <c r="L3" i="7"/>
  <c r="M3" i="7"/>
  <c r="E3" i="7"/>
  <c r="C6" i="7"/>
  <c r="C7" i="7"/>
  <c r="C8" i="7"/>
  <c r="C9" i="7"/>
  <c r="C10" i="7"/>
  <c r="C11" i="7"/>
  <c r="C12" i="7"/>
  <c r="C13" i="7"/>
  <c r="C5" i="7"/>
  <c r="B6" i="6"/>
  <c r="B7" i="6" s="1"/>
  <c r="B8" i="6" s="1"/>
  <c r="B9" i="6" s="1"/>
  <c r="B10" i="6" s="1"/>
  <c r="B6" i="4"/>
  <c r="B7" i="4" s="1"/>
  <c r="B8" i="4" s="1"/>
  <c r="B9" i="4" s="1"/>
  <c r="B10" i="4" s="1"/>
  <c r="C7" i="1"/>
  <c r="I6" i="1" l="1"/>
  <c r="C8" i="1"/>
  <c r="C9" i="1" s="1"/>
  <c r="C10" i="1" s="1"/>
  <c r="C11" i="1" s="1"/>
</calcChain>
</file>

<file path=xl/sharedStrings.xml><?xml version="1.0" encoding="utf-8"?>
<sst xmlns="http://schemas.openxmlformats.org/spreadsheetml/2006/main" count="83" uniqueCount="63">
  <si>
    <t>ID</t>
  </si>
  <si>
    <t>FUNÇÃO PROCV</t>
  </si>
  <si>
    <t>ANALISTA</t>
  </si>
  <si>
    <t>TEMPO</t>
  </si>
  <si>
    <t>NÍVEL</t>
  </si>
  <si>
    <t>Pedro</t>
  </si>
  <si>
    <t>Ana</t>
  </si>
  <si>
    <t>Lucas</t>
  </si>
  <si>
    <t>|</t>
  </si>
  <si>
    <t>||</t>
  </si>
  <si>
    <t>|||</t>
  </si>
  <si>
    <t>TURNO</t>
  </si>
  <si>
    <t>HORÁRIO</t>
  </si>
  <si>
    <t>Manhã</t>
  </si>
  <si>
    <t>Tarde</t>
  </si>
  <si>
    <t>Noite</t>
  </si>
  <si>
    <t>JAN</t>
  </si>
  <si>
    <t>FEV</t>
  </si>
  <si>
    <t>MAR</t>
  </si>
  <si>
    <t>ABR</t>
  </si>
  <si>
    <t>MAI</t>
  </si>
  <si>
    <t>JUN</t>
  </si>
  <si>
    <t>Analia</t>
  </si>
  <si>
    <t>Joana</t>
  </si>
  <si>
    <t>Wilma</t>
  </si>
  <si>
    <t>Liliana</t>
  </si>
  <si>
    <t>TERMO</t>
  </si>
  <si>
    <t>INGLÊS</t>
  </si>
  <si>
    <t>PORTUGUÊS</t>
  </si>
  <si>
    <t>VLOOKUP</t>
  </si>
  <si>
    <t>busca vertical</t>
  </si>
  <si>
    <t>André</t>
  </si>
  <si>
    <t>Alice</t>
  </si>
  <si>
    <t>Wylma</t>
  </si>
  <si>
    <t>Indice de coluna</t>
  </si>
  <si>
    <t>=PROCV(I4;C4:F10;2;FALSO)</t>
  </si>
  <si>
    <t>indice de coluna</t>
  </si>
  <si>
    <r>
      <t>=PROCV(</t>
    </r>
    <r>
      <rPr>
        <sz val="11"/>
        <color rgb="FF7030A0"/>
        <rFont val="Calibri"/>
        <family val="2"/>
        <scheme val="minor"/>
      </rPr>
      <t>I4</t>
    </r>
    <r>
      <rPr>
        <sz val="11"/>
        <color theme="1"/>
        <rFont val="Calibri"/>
        <family val="2"/>
        <scheme val="minor"/>
      </rPr>
      <t>;</t>
    </r>
    <r>
      <rPr>
        <b/>
        <sz val="11"/>
        <color theme="9"/>
        <rFont val="Calibri"/>
        <family val="2"/>
        <scheme val="minor"/>
      </rPr>
      <t>C4:F10</t>
    </r>
    <r>
      <rPr>
        <sz val="11"/>
        <color theme="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;</t>
    </r>
    <r>
      <rPr>
        <sz val="11"/>
        <color theme="5"/>
        <rFont val="Calibri"/>
        <family val="2"/>
        <scheme val="minor"/>
      </rPr>
      <t>FALSO</t>
    </r>
    <r>
      <rPr>
        <sz val="11"/>
        <color theme="1"/>
        <rFont val="Calibri"/>
        <family val="2"/>
        <scheme val="minor"/>
      </rPr>
      <t>)</t>
    </r>
  </si>
  <si>
    <t>Matriz (tabela)</t>
  </si>
  <si>
    <t>Valor procurado</t>
  </si>
  <si>
    <t>TRUE</t>
  </si>
  <si>
    <t>PROCV</t>
  </si>
  <si>
    <t>=PROCV(I5;C5:F11;2;FALSO)</t>
  </si>
  <si>
    <t>=PROCV(I6;C6:F12;2;FALSO)</t>
  </si>
  <si>
    <t>Nº</t>
  </si>
  <si>
    <t>$</t>
  </si>
  <si>
    <t>=C4+1</t>
  </si>
  <si>
    <t>=C5+1</t>
  </si>
  <si>
    <t>=C6+1</t>
  </si>
  <si>
    <t>=D3+1</t>
  </si>
  <si>
    <t>=E3+1</t>
  </si>
  <si>
    <t>=F3+1</t>
  </si>
  <si>
    <t>=PROCV(I$4;$C$4:$F$10;2;FALSO)</t>
  </si>
  <si>
    <t>=PROCV(I$4;$C$4:$F$10;3;FALSO)</t>
  </si>
  <si>
    <t>=PROCV(I$4;$C$4:$F$10;4;FALSO)</t>
  </si>
  <si>
    <t>pesquisa com referência relativa</t>
  </si>
  <si>
    <t>Correspondêcia exata</t>
  </si>
  <si>
    <t>pesquisa com referência absoluta</t>
  </si>
  <si>
    <t>Miguel</t>
  </si>
  <si>
    <t>Julio</t>
  </si>
  <si>
    <t>=PROCV(D5;G4:H7;2;1)</t>
  </si>
  <si>
    <t>Fernandes</t>
  </si>
  <si>
    <t>Madrugada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</si>
</sst>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:mm;@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20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1" xfId="0" applyFill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6" fillId="0" borderId="1" xfId="0" applyFont="1" applyBorder="1"/>
    <xf numFmtId="0" fontId="0" fillId="4" borderId="1" xfId="0" applyFill="1" applyBorder="1" applyAlignment="1">
      <alignment horizontal="center"/>
    </xf>
    <xf numFmtId="0" fontId="7" fillId="0" borderId="0" xfId="0" applyFont="1"/>
    <xf numFmtId="0" fontId="9" fillId="0" borderId="0" xfId="0" applyFont="1"/>
    <xf numFmtId="0" fontId="4" fillId="0" borderId="0" xfId="0" applyFont="1"/>
    <xf numFmtId="0" fontId="0" fillId="4" borderId="0" xfId="0" applyFill="1"/>
    <xf numFmtId="0" fontId="3" fillId="5" borderId="0" xfId="0" applyFont="1" applyFill="1"/>
    <xf numFmtId="0" fontId="10" fillId="0" borderId="0" xfId="0" applyFont="1"/>
    <xf numFmtId="0" fontId="5" fillId="0" borderId="0" xfId="0" applyFont="1"/>
    <xf numFmtId="0" fontId="0" fillId="0" borderId="7" xfId="0" quotePrefix="1" applyBorder="1"/>
    <xf numFmtId="0" fontId="0" fillId="0" borderId="8" xfId="0" applyBorder="1"/>
    <xf numFmtId="0" fontId="0" fillId="0" borderId="9" xfId="0" applyBorder="1"/>
    <xf numFmtId="0" fontId="0" fillId="0" borderId="10" xfId="0" quotePrefix="1" applyBorder="1"/>
    <xf numFmtId="0" fontId="0" fillId="0" borderId="0" xfId="0" applyBorder="1"/>
    <xf numFmtId="0" fontId="0" fillId="0" borderId="11" xfId="0" applyBorder="1"/>
    <xf numFmtId="0" fontId="0" fillId="0" borderId="12" xfId="0" quotePrefix="1" applyBorder="1"/>
    <xf numFmtId="0" fontId="0" fillId="0" borderId="13" xfId="0" applyBorder="1"/>
    <xf numFmtId="0" fontId="0" fillId="0" borderId="14" xfId="0" applyBorder="1"/>
    <xf numFmtId="167" fontId="0" fillId="0" borderId="1" xfId="0" applyNumberFormat="1" applyBorder="1" applyAlignment="1">
      <alignment horizontal="center"/>
    </xf>
    <xf numFmtId="20" fontId="0" fillId="0" borderId="4" xfId="0" applyNumberFormat="1" applyBorder="1"/>
    <xf numFmtId="0" fontId="0" fillId="0" borderId="2" xfId="0" applyBorder="1"/>
    <xf numFmtId="0" fontId="1" fillId="2" borderId="1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20" fontId="0" fillId="0" borderId="9" xfId="0" applyNumberFormat="1" applyBorder="1"/>
    <xf numFmtId="0" fontId="0" fillId="0" borderId="7" xfId="0" applyBorder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3</xdr:row>
      <xdr:rowOff>21648</xdr:rowOff>
    </xdr:from>
    <xdr:to>
      <xdr:col>1</xdr:col>
      <xdr:colOff>749011</xdr:colOff>
      <xdr:row>4</xdr:row>
      <xdr:rowOff>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1488FE28-E6B3-CDD7-7017-FED50D9AFC59}"/>
            </a:ext>
          </a:extLst>
        </xdr:cNvPr>
        <xdr:cNvSpPr/>
      </xdr:nvSpPr>
      <xdr:spPr>
        <a:xfrm>
          <a:off x="1134341" y="411307"/>
          <a:ext cx="653761" cy="168852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9</xdr:col>
      <xdr:colOff>177511</xdr:colOff>
      <xdr:row>10</xdr:row>
      <xdr:rowOff>177511</xdr:rowOff>
    </xdr:from>
    <xdr:to>
      <xdr:col>9</xdr:col>
      <xdr:colOff>181841</xdr:colOff>
      <xdr:row>12</xdr:row>
      <xdr:rowOff>21648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88D2AEB8-80F7-4D31-DCBE-A9D2C5A760E0}"/>
            </a:ext>
          </a:extLst>
        </xdr:cNvPr>
        <xdr:cNvCxnSpPr/>
      </xdr:nvCxnSpPr>
      <xdr:spPr>
        <a:xfrm>
          <a:off x="6866659" y="1900670"/>
          <a:ext cx="4330" cy="2251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510886</xdr:colOff>
      <xdr:row>10</xdr:row>
      <xdr:rowOff>155864</xdr:rowOff>
    </xdr:from>
    <xdr:to>
      <xdr:col>8</xdr:col>
      <xdr:colOff>519545</xdr:colOff>
      <xdr:row>13</xdr:row>
      <xdr:rowOff>34636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08D94AD1-44CA-74A9-0D47-ABD318EFADA4}"/>
            </a:ext>
          </a:extLst>
        </xdr:cNvPr>
        <xdr:cNvCxnSpPr/>
      </xdr:nvCxnSpPr>
      <xdr:spPr>
        <a:xfrm>
          <a:off x="6589568" y="1879023"/>
          <a:ext cx="8659" cy="450272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606137</xdr:colOff>
      <xdr:row>10</xdr:row>
      <xdr:rowOff>177513</xdr:rowOff>
    </xdr:from>
    <xdr:to>
      <xdr:col>8</xdr:col>
      <xdr:colOff>255445</xdr:colOff>
      <xdr:row>14</xdr:row>
      <xdr:rowOff>43298</xdr:rowOff>
    </xdr:to>
    <xdr:cxnSp macro="">
      <xdr:nvCxnSpPr>
        <xdr:cNvPr id="9" name="Conector: Angulado 8">
          <a:extLst>
            <a:ext uri="{FF2B5EF4-FFF2-40B4-BE49-F238E27FC236}">
              <a16:creationId xmlns:a16="http://schemas.microsoft.com/office/drawing/2014/main" id="{ED28AC5B-AAC9-E67E-4101-8E5B2272266A}"/>
            </a:ext>
          </a:extLst>
        </xdr:cNvPr>
        <xdr:cNvCxnSpPr/>
      </xdr:nvCxnSpPr>
      <xdr:spPr>
        <a:xfrm rot="5400000">
          <a:off x="5890347" y="2084678"/>
          <a:ext cx="627785" cy="259774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476250</xdr:colOff>
      <xdr:row>10</xdr:row>
      <xdr:rowOff>164523</xdr:rowOff>
    </xdr:from>
    <xdr:to>
      <xdr:col>7</xdr:col>
      <xdr:colOff>567170</xdr:colOff>
      <xdr:row>15</xdr:row>
      <xdr:rowOff>177511</xdr:rowOff>
    </xdr:to>
    <xdr:cxnSp macro="">
      <xdr:nvCxnSpPr>
        <xdr:cNvPr id="15" name="Conector: Angulado 14">
          <a:extLst>
            <a:ext uri="{FF2B5EF4-FFF2-40B4-BE49-F238E27FC236}">
              <a16:creationId xmlns:a16="http://schemas.microsoft.com/office/drawing/2014/main" id="{79829C79-ADAB-800C-3DC0-A3D4E1E19D9E}"/>
            </a:ext>
          </a:extLst>
        </xdr:cNvPr>
        <xdr:cNvCxnSpPr/>
      </xdr:nvCxnSpPr>
      <xdr:spPr>
        <a:xfrm rot="5400000">
          <a:off x="5212773" y="2030557"/>
          <a:ext cx="965488" cy="679738"/>
        </a:xfrm>
        <a:prstGeom prst="bentConnector3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220265</xdr:colOff>
      <xdr:row>2</xdr:row>
      <xdr:rowOff>47624</xdr:rowOff>
    </xdr:from>
    <xdr:to>
      <xdr:col>13</xdr:col>
      <xdr:colOff>601264</xdr:colOff>
      <xdr:row>3</xdr:row>
      <xdr:rowOff>190499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06FF61DA-BE96-5260-2497-379FBBB691F9}"/>
            </a:ext>
          </a:extLst>
        </xdr:cNvPr>
        <xdr:cNvSpPr/>
      </xdr:nvSpPr>
      <xdr:spPr>
        <a:xfrm>
          <a:off x="9834562" y="255983"/>
          <a:ext cx="380999" cy="321469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800"/>
            <a:t>$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1FC62-4D41-42DF-9085-C436AAA86AA1}" name="Tabela1" displayName="Tabela1" ref="G4:H8" totalsRowShown="0" headerRowDxfId="0" headerRowBorderDxfId="4" tableBorderDxfId="5" totalsRowBorderDxfId="3">
  <autoFilter ref="G4:H8" xr:uid="{D141FC62-4D41-42DF-9085-C436AAA86AA1}"/>
  <tableColumns count="2">
    <tableColumn id="1" xr3:uid="{FC60AAB1-FA42-4A6C-AF4F-253EE67E34F8}" name="HORÁRIO" dataDxfId="2"/>
    <tableColumn id="2" xr3:uid="{CAAE0D6D-3B21-4581-AB60-0E26CFF2B5D7}" name="TURN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7"/>
  <sheetViews>
    <sheetView showGridLines="0" topLeftCell="B1" zoomScale="160" zoomScaleNormal="160" workbookViewId="0">
      <selection activeCell="H15" sqref="H15"/>
    </sheetView>
  </sheetViews>
  <sheetFormatPr defaultRowHeight="15" x14ac:dyDescent="0.25"/>
  <cols>
    <col min="1" max="1" width="15.5703125" bestFit="1" customWidth="1"/>
    <col min="2" max="2" width="12" customWidth="1"/>
    <col min="4" max="4" width="10.5703125" customWidth="1"/>
    <col min="5" max="5" width="15.140625" bestFit="1" customWidth="1"/>
    <col min="6" max="6" width="10.7109375" bestFit="1" customWidth="1"/>
    <col min="7" max="7" width="8.85546875" customWidth="1"/>
    <col min="10" max="10" width="10.7109375" bestFit="1" customWidth="1"/>
    <col min="11" max="11" width="15.140625" bestFit="1" customWidth="1"/>
    <col min="14" max="14" width="12.42578125" bestFit="1" customWidth="1"/>
  </cols>
  <sheetData>
    <row r="2" spans="1:15" ht="16.5" customHeight="1" x14ac:dyDescent="0.25">
      <c r="I2" s="20" t="b">
        <v>0</v>
      </c>
      <c r="J2" s="2">
        <v>0</v>
      </c>
    </row>
    <row r="3" spans="1:15" ht="14.25" customHeight="1" x14ac:dyDescent="0.25">
      <c r="C3" s="7" t="s">
        <v>1</v>
      </c>
      <c r="D3" s="8"/>
      <c r="E3" s="8"/>
      <c r="F3" s="9"/>
      <c r="I3" s="20" t="s">
        <v>40</v>
      </c>
      <c r="J3" s="2">
        <v>1</v>
      </c>
    </row>
    <row r="4" spans="1:15" x14ac:dyDescent="0.25">
      <c r="A4" s="17" t="s">
        <v>34</v>
      </c>
      <c r="C4" s="17">
        <v>1</v>
      </c>
      <c r="D4" s="17">
        <v>2</v>
      </c>
      <c r="E4" s="17">
        <v>3</v>
      </c>
      <c r="F4" s="17">
        <v>4</v>
      </c>
      <c r="N4" s="22"/>
    </row>
    <row r="5" spans="1:15" x14ac:dyDescent="0.25">
      <c r="C5" s="4" t="s">
        <v>0</v>
      </c>
      <c r="D5" s="4" t="s">
        <v>2</v>
      </c>
      <c r="E5" s="4" t="s">
        <v>3</v>
      </c>
      <c r="F5" s="4" t="s">
        <v>4</v>
      </c>
      <c r="H5" s="4" t="s">
        <v>0</v>
      </c>
      <c r="I5" s="19">
        <v>3</v>
      </c>
      <c r="J5" s="27" t="s">
        <v>55</v>
      </c>
      <c r="M5" s="22" t="s">
        <v>57</v>
      </c>
    </row>
    <row r="6" spans="1:15" x14ac:dyDescent="0.25">
      <c r="C6" s="2">
        <v>1</v>
      </c>
      <c r="D6" s="2" t="s">
        <v>5</v>
      </c>
      <c r="E6" s="3">
        <v>1.0416666666666666E-2</v>
      </c>
      <c r="F6" s="2" t="s">
        <v>8</v>
      </c>
      <c r="H6" s="5" t="s">
        <v>2</v>
      </c>
      <c r="I6" s="2" t="str">
        <f>VLOOKUP(I$5,$C$5:$F$11,2,FALSE)</f>
        <v>André</v>
      </c>
      <c r="J6" s="28" t="s">
        <v>35</v>
      </c>
      <c r="K6" s="30"/>
      <c r="M6" s="28" t="s">
        <v>52</v>
      </c>
      <c r="N6" s="29"/>
      <c r="O6" s="30"/>
    </row>
    <row r="7" spans="1:15" x14ac:dyDescent="0.25">
      <c r="C7" s="2">
        <f>C6+1</f>
        <v>2</v>
      </c>
      <c r="D7" s="2" t="s">
        <v>6</v>
      </c>
      <c r="E7" s="3">
        <v>8.3333333333333332E-3</v>
      </c>
      <c r="F7" s="2" t="s">
        <v>9</v>
      </c>
      <c r="H7" s="5" t="s">
        <v>3</v>
      </c>
      <c r="I7" s="37">
        <f>VLOOKUP(I$5,$C$5:$F$11,3,FALSE)</f>
        <v>6.9444444444444441E-3</v>
      </c>
      <c r="J7" s="31" t="s">
        <v>42</v>
      </c>
      <c r="K7" s="33"/>
      <c r="M7" s="31" t="s">
        <v>53</v>
      </c>
      <c r="N7" s="32"/>
      <c r="O7" s="33"/>
    </row>
    <row r="8" spans="1:15" x14ac:dyDescent="0.25">
      <c r="C8" s="2">
        <f t="shared" ref="C8:C10" si="0">C7+1</f>
        <v>3</v>
      </c>
      <c r="D8" s="2" t="s">
        <v>31</v>
      </c>
      <c r="E8" s="3">
        <v>6.9444444444444441E-3</v>
      </c>
      <c r="F8" s="2" t="s">
        <v>8</v>
      </c>
      <c r="H8" s="5" t="s">
        <v>4</v>
      </c>
      <c r="I8" s="2" t="str">
        <f>VLOOKUP(I$5,$C$5:$F$11,4,FALSE)</f>
        <v>|</v>
      </c>
      <c r="J8" s="34" t="s">
        <v>43</v>
      </c>
      <c r="K8" s="36"/>
      <c r="M8" s="34" t="s">
        <v>54</v>
      </c>
      <c r="N8" s="35"/>
      <c r="O8" s="36"/>
    </row>
    <row r="9" spans="1:15" x14ac:dyDescent="0.25">
      <c r="C9" s="2">
        <f t="shared" si="0"/>
        <v>4</v>
      </c>
      <c r="D9" s="2" t="s">
        <v>32</v>
      </c>
      <c r="E9" s="3">
        <v>7.6388888888888886E-3</v>
      </c>
      <c r="F9" s="2" t="s">
        <v>8</v>
      </c>
    </row>
    <row r="10" spans="1:15" x14ac:dyDescent="0.25">
      <c r="C10" s="2">
        <f t="shared" si="0"/>
        <v>5</v>
      </c>
      <c r="D10" s="2" t="s">
        <v>33</v>
      </c>
      <c r="E10" s="3">
        <v>6.2499999999999995E-3</v>
      </c>
      <c r="F10" s="2" t="s">
        <v>8</v>
      </c>
    </row>
    <row r="11" spans="1:15" x14ac:dyDescent="0.25">
      <c r="C11" s="2">
        <f>C10+1</f>
        <v>6</v>
      </c>
      <c r="D11" s="2" t="s">
        <v>7</v>
      </c>
      <c r="E11" s="3">
        <v>9.7222222222222224E-3</v>
      </c>
      <c r="F11" s="2" t="s">
        <v>10</v>
      </c>
      <c r="H11" s="18" t="s">
        <v>37</v>
      </c>
    </row>
    <row r="13" spans="1:15" x14ac:dyDescent="0.25">
      <c r="J13" s="23" t="s">
        <v>56</v>
      </c>
    </row>
    <row r="14" spans="1:15" x14ac:dyDescent="0.25">
      <c r="C14" s="14" t="s">
        <v>26</v>
      </c>
      <c r="D14" s="15"/>
      <c r="E14" s="16"/>
      <c r="I14" s="22" t="s">
        <v>36</v>
      </c>
    </row>
    <row r="15" spans="1:15" x14ac:dyDescent="0.25">
      <c r="C15" s="13" t="s">
        <v>27</v>
      </c>
      <c r="D15" s="11"/>
      <c r="E15" s="13" t="s">
        <v>28</v>
      </c>
      <c r="H15" s="21" t="s">
        <v>38</v>
      </c>
    </row>
    <row r="16" spans="1:15" x14ac:dyDescent="0.25">
      <c r="C16" s="1" t="s">
        <v>29</v>
      </c>
      <c r="D16" s="12"/>
      <c r="E16" s="1" t="s">
        <v>41</v>
      </c>
      <c r="F16" t="s">
        <v>30</v>
      </c>
    </row>
    <row r="17" spans="7:7" x14ac:dyDescent="0.25">
      <c r="G17" t="s">
        <v>39</v>
      </c>
    </row>
  </sheetData>
  <mergeCells count="3">
    <mergeCell ref="C3:F3"/>
    <mergeCell ref="C14:E14"/>
    <mergeCell ref="D15:D16"/>
  </mergeCells>
  <conditionalFormatting sqref="B4">
    <cfRule type="iconSet" priority="1">
      <iconSet iconSet="3Arrows"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2"/>
  <sheetViews>
    <sheetView tabSelected="1" zoomScale="250" zoomScaleNormal="250" workbookViewId="0">
      <selection activeCell="H2" sqref="H2"/>
    </sheetView>
  </sheetViews>
  <sheetFormatPr defaultRowHeight="15" x14ac:dyDescent="0.25"/>
  <cols>
    <col min="3" max="3" width="10.42578125" customWidth="1"/>
    <col min="4" max="4" width="12.42578125" customWidth="1"/>
    <col min="5" max="5" width="21" customWidth="1"/>
    <col min="7" max="7" width="9.7109375" customWidth="1"/>
    <col min="8" max="8" width="12" bestFit="1" customWidth="1"/>
  </cols>
  <sheetData>
    <row r="2" spans="2:8" x14ac:dyDescent="0.25">
      <c r="B2" s="7" t="s">
        <v>1</v>
      </c>
      <c r="C2" s="8"/>
      <c r="D2" s="8"/>
      <c r="E2" s="9"/>
    </row>
    <row r="3" spans="2:8" x14ac:dyDescent="0.25">
      <c r="G3" s="22">
        <v>1</v>
      </c>
      <c r="H3" s="22">
        <v>2</v>
      </c>
    </row>
    <row r="4" spans="2:8" x14ac:dyDescent="0.25">
      <c r="B4" s="4" t="s">
        <v>0</v>
      </c>
      <c r="C4" s="4" t="s">
        <v>2</v>
      </c>
      <c r="D4" s="4" t="s">
        <v>12</v>
      </c>
      <c r="E4" s="4" t="s">
        <v>11</v>
      </c>
      <c r="G4" s="40" t="s">
        <v>12</v>
      </c>
      <c r="H4" s="41" t="s">
        <v>11</v>
      </c>
    </row>
    <row r="5" spans="2:8" x14ac:dyDescent="0.25">
      <c r="B5" s="2">
        <v>1</v>
      </c>
      <c r="C5" s="2" t="s">
        <v>5</v>
      </c>
      <c r="D5" s="3">
        <v>0.33333333333333331</v>
      </c>
      <c r="E5" s="2" t="str">
        <f>VLOOKUP(D5,G$4:H$8,2,1)</f>
        <v>Manhã</v>
      </c>
      <c r="G5" s="38">
        <v>0</v>
      </c>
      <c r="H5" s="38" t="s">
        <v>62</v>
      </c>
    </row>
    <row r="6" spans="2:8" x14ac:dyDescent="0.25">
      <c r="B6" s="2">
        <f>B5+1</f>
        <v>2</v>
      </c>
      <c r="C6" s="2" t="s">
        <v>6</v>
      </c>
      <c r="D6" s="3">
        <v>0.25</v>
      </c>
      <c r="E6" s="2" t="str">
        <f t="shared" ref="E6:E10" si="0">VLOOKUP(D6,G$4:H$8,2,1)</f>
        <v>Madrugada</v>
      </c>
      <c r="G6" s="38">
        <v>0.29166666666666669</v>
      </c>
      <c r="H6" s="39" t="s">
        <v>13</v>
      </c>
    </row>
    <row r="7" spans="2:8" x14ac:dyDescent="0.25">
      <c r="B7" s="2">
        <f t="shared" ref="B7:B9" si="1">B6+1</f>
        <v>3</v>
      </c>
      <c r="C7" s="2" t="s">
        <v>58</v>
      </c>
      <c r="D7" s="3">
        <v>0.66666666666666663</v>
      </c>
      <c r="E7" s="2" t="str">
        <f t="shared" si="0"/>
        <v>Tarde</v>
      </c>
      <c r="G7" s="38">
        <v>0.58333333333333337</v>
      </c>
      <c r="H7" s="39" t="s">
        <v>14</v>
      </c>
    </row>
    <row r="8" spans="2:8" x14ac:dyDescent="0.25">
      <c r="B8" s="2">
        <f t="shared" si="1"/>
        <v>4</v>
      </c>
      <c r="C8" s="2" t="s">
        <v>59</v>
      </c>
      <c r="D8" s="3">
        <v>0.79166666666666663</v>
      </c>
      <c r="E8" s="2" t="str">
        <f t="shared" si="0"/>
        <v>Tarde</v>
      </c>
      <c r="G8" s="42">
        <v>0.91666666666666663</v>
      </c>
      <c r="H8" s="43" t="s">
        <v>15</v>
      </c>
    </row>
    <row r="9" spans="2:8" x14ac:dyDescent="0.25">
      <c r="B9" s="2">
        <f t="shared" si="1"/>
        <v>5</v>
      </c>
      <c r="C9" s="2" t="s">
        <v>61</v>
      </c>
      <c r="D9" s="3">
        <v>0.91666666666666663</v>
      </c>
      <c r="E9" s="2" t="str">
        <f t="shared" si="0"/>
        <v>Noite</v>
      </c>
    </row>
    <row r="10" spans="2:8" x14ac:dyDescent="0.25">
      <c r="B10" s="2">
        <f>B9+1</f>
        <v>6</v>
      </c>
      <c r="C10" s="2" t="s">
        <v>7</v>
      </c>
      <c r="D10" s="3">
        <v>9.7222222222222224E-3</v>
      </c>
      <c r="E10" s="2" t="str">
        <f t="shared" si="0"/>
        <v>Madrugada</v>
      </c>
    </row>
    <row r="12" spans="2:8" x14ac:dyDescent="0.25">
      <c r="E12" s="18" t="s">
        <v>60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0"/>
  <sheetViews>
    <sheetView zoomScale="220" zoomScaleNormal="220" workbookViewId="0">
      <selection activeCell="G15" sqref="G15"/>
    </sheetView>
  </sheetViews>
  <sheetFormatPr defaultRowHeight="15" x14ac:dyDescent="0.25"/>
  <sheetData>
    <row r="2" spans="2:9" x14ac:dyDescent="0.25">
      <c r="B2" s="10" t="s">
        <v>1</v>
      </c>
      <c r="C2" s="10"/>
      <c r="D2" s="10"/>
      <c r="E2" s="10"/>
      <c r="F2" s="10"/>
      <c r="G2" s="10"/>
      <c r="H2" s="10"/>
      <c r="I2" s="10"/>
    </row>
    <row r="4" spans="2:9" x14ac:dyDescent="0.25">
      <c r="B4" s="4" t="s">
        <v>0</v>
      </c>
      <c r="C4" s="4" t="s">
        <v>2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</row>
    <row r="5" spans="2:9" x14ac:dyDescent="0.25">
      <c r="B5" s="2">
        <v>1</v>
      </c>
      <c r="C5" s="6" t="s">
        <v>5</v>
      </c>
      <c r="D5" s="6">
        <v>234</v>
      </c>
      <c r="E5" s="6">
        <v>186</v>
      </c>
      <c r="F5" s="6">
        <v>656</v>
      </c>
      <c r="G5" s="6">
        <v>667</v>
      </c>
      <c r="H5" s="6">
        <v>117</v>
      </c>
      <c r="I5" s="6">
        <v>124</v>
      </c>
    </row>
    <row r="6" spans="2:9" x14ac:dyDescent="0.25">
      <c r="B6" s="2">
        <f>B5+1</f>
        <v>2</v>
      </c>
      <c r="C6" s="6" t="s">
        <v>22</v>
      </c>
      <c r="D6" s="6">
        <v>124</v>
      </c>
      <c r="E6" s="6">
        <v>352</v>
      </c>
      <c r="F6" s="6">
        <v>147</v>
      </c>
      <c r="G6" s="6">
        <v>123</v>
      </c>
      <c r="H6" s="6">
        <v>234</v>
      </c>
      <c r="I6" s="6">
        <v>109</v>
      </c>
    </row>
    <row r="7" spans="2:9" x14ac:dyDescent="0.25">
      <c r="B7" s="2">
        <f t="shared" ref="B7:B9" si="0">B6+1</f>
        <v>3</v>
      </c>
      <c r="C7" s="6" t="s">
        <v>7</v>
      </c>
      <c r="D7" s="6">
        <v>456</v>
      </c>
      <c r="E7" s="6">
        <v>235</v>
      </c>
      <c r="F7" s="6">
        <v>186</v>
      </c>
      <c r="G7" s="6">
        <v>86</v>
      </c>
      <c r="H7" s="6">
        <v>234</v>
      </c>
      <c r="I7" s="6">
        <v>325</v>
      </c>
    </row>
    <row r="8" spans="2:9" x14ac:dyDescent="0.25">
      <c r="B8" s="2">
        <f t="shared" si="0"/>
        <v>4</v>
      </c>
      <c r="C8" s="6" t="s">
        <v>23</v>
      </c>
      <c r="D8" s="6">
        <v>234</v>
      </c>
      <c r="E8" s="6">
        <v>468</v>
      </c>
      <c r="F8" s="6">
        <v>124</v>
      </c>
      <c r="G8" s="6">
        <v>98</v>
      </c>
      <c r="H8" s="6">
        <v>357</v>
      </c>
      <c r="I8" s="6">
        <v>168</v>
      </c>
    </row>
    <row r="9" spans="2:9" x14ac:dyDescent="0.25">
      <c r="B9" s="2">
        <f t="shared" si="0"/>
        <v>5</v>
      </c>
      <c r="C9" s="6" t="s">
        <v>24</v>
      </c>
      <c r="D9" s="6">
        <v>110</v>
      </c>
      <c r="E9" s="6">
        <v>153</v>
      </c>
      <c r="F9" s="6">
        <v>879</v>
      </c>
      <c r="G9" s="6">
        <v>352</v>
      </c>
      <c r="H9" s="6">
        <v>436</v>
      </c>
      <c r="I9" s="6">
        <v>254</v>
      </c>
    </row>
    <row r="10" spans="2:9" x14ac:dyDescent="0.25">
      <c r="B10" s="2">
        <f>B9+1</f>
        <v>6</v>
      </c>
      <c r="C10" s="6" t="s">
        <v>25</v>
      </c>
      <c r="D10" s="6">
        <v>325</v>
      </c>
      <c r="E10" s="6">
        <v>257</v>
      </c>
      <c r="F10" s="6">
        <v>946</v>
      </c>
      <c r="G10" s="6">
        <v>543</v>
      </c>
      <c r="H10" s="6">
        <v>234</v>
      </c>
      <c r="I10" s="6">
        <v>298</v>
      </c>
    </row>
  </sheetData>
  <mergeCells count="1">
    <mergeCell ref="B2:I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29CA-98DE-4190-A9C6-723162D72DF0}">
  <dimension ref="C3:M13"/>
  <sheetViews>
    <sheetView zoomScale="205" zoomScaleNormal="205" workbookViewId="0">
      <selection activeCell="E13" sqref="E13"/>
    </sheetView>
  </sheetViews>
  <sheetFormatPr defaultRowHeight="15" x14ac:dyDescent="0.25"/>
  <sheetData>
    <row r="3" spans="3:13" x14ac:dyDescent="0.25">
      <c r="C3" s="25" t="s">
        <v>44</v>
      </c>
      <c r="D3" s="24">
        <v>1</v>
      </c>
      <c r="E3" s="24">
        <f>$D3+1</f>
        <v>2</v>
      </c>
      <c r="F3" s="24">
        <f t="shared" ref="F3:M3" si="0">$D3+1</f>
        <v>2</v>
      </c>
      <c r="G3" s="24">
        <f t="shared" si="0"/>
        <v>2</v>
      </c>
      <c r="H3" s="24">
        <f t="shared" si="0"/>
        <v>2</v>
      </c>
      <c r="I3" s="24">
        <f t="shared" si="0"/>
        <v>2</v>
      </c>
      <c r="J3" s="24">
        <f t="shared" si="0"/>
        <v>2</v>
      </c>
      <c r="K3" s="24">
        <f t="shared" si="0"/>
        <v>2</v>
      </c>
      <c r="L3" s="24">
        <f t="shared" si="0"/>
        <v>2</v>
      </c>
      <c r="M3" s="24">
        <f t="shared" si="0"/>
        <v>2</v>
      </c>
    </row>
    <row r="4" spans="3:13" x14ac:dyDescent="0.25">
      <c r="C4" s="24">
        <v>1</v>
      </c>
      <c r="E4" s="18" t="s">
        <v>49</v>
      </c>
      <c r="F4" s="18" t="s">
        <v>50</v>
      </c>
      <c r="G4" s="18" t="s">
        <v>51</v>
      </c>
    </row>
    <row r="5" spans="3:13" x14ac:dyDescent="0.25">
      <c r="C5" s="24">
        <f>C$4+1</f>
        <v>2</v>
      </c>
      <c r="D5" s="18" t="s">
        <v>46</v>
      </c>
    </row>
    <row r="6" spans="3:13" ht="26.25" x14ac:dyDescent="0.4">
      <c r="C6" s="24">
        <f t="shared" ref="C6:C13" si="1">C$4+1</f>
        <v>2</v>
      </c>
      <c r="D6" s="18" t="s">
        <v>47</v>
      </c>
      <c r="F6" s="26" t="s">
        <v>45</v>
      </c>
    </row>
    <row r="7" spans="3:13" x14ac:dyDescent="0.25">
      <c r="C7" s="24">
        <f t="shared" si="1"/>
        <v>2</v>
      </c>
      <c r="D7" s="18" t="s">
        <v>48</v>
      </c>
    </row>
    <row r="8" spans="3:13" x14ac:dyDescent="0.25">
      <c r="C8" s="24">
        <f t="shared" si="1"/>
        <v>2</v>
      </c>
    </row>
    <row r="9" spans="3:13" x14ac:dyDescent="0.25">
      <c r="C9" s="24">
        <f t="shared" si="1"/>
        <v>2</v>
      </c>
    </row>
    <row r="10" spans="3:13" x14ac:dyDescent="0.25">
      <c r="C10" s="24">
        <f t="shared" si="1"/>
        <v>2</v>
      </c>
    </row>
    <row r="11" spans="3:13" x14ac:dyDescent="0.25">
      <c r="C11" s="24">
        <f t="shared" si="1"/>
        <v>2</v>
      </c>
    </row>
    <row r="12" spans="3:13" x14ac:dyDescent="0.25">
      <c r="C12" s="24">
        <f t="shared" si="1"/>
        <v>2</v>
      </c>
    </row>
    <row r="13" spans="3:13" x14ac:dyDescent="0.25">
      <c r="C13" s="24">
        <f t="shared" si="1"/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0</vt:lpstr>
      <vt:lpstr>1</vt:lpstr>
      <vt:lpstr>2</vt:lpstr>
      <vt:lpstr>Rascunho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Pc</cp:lastModifiedBy>
  <dcterms:created xsi:type="dcterms:W3CDTF">2025-09-09T08:26:56Z</dcterms:created>
  <dcterms:modified xsi:type="dcterms:W3CDTF">2026-03-10T13:21:02Z</dcterms:modified>
</cp:coreProperties>
</file>