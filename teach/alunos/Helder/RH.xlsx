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elder\"/>
    </mc:Choice>
  </mc:AlternateContent>
  <xr:revisionPtr revIDLastSave="0" documentId="13_ncr:1_{9E5D7E71-0418-4546-8BF4-4D1304F9F1F6}" xr6:coauthVersionLast="47" xr6:coauthVersionMax="47" xr10:uidLastSave="{00000000-0000-0000-0000-000000000000}"/>
  <bookViews>
    <workbookView xWindow="-120" yWindow="-120" windowWidth="29040" windowHeight="15840" xr2:uid="{E87B7CD5-E623-4709-B0B8-5834364DCCBE}"/>
  </bookViews>
  <sheets>
    <sheet name="Planilha1" sheetId="1" r:id="rId1"/>
  </sheets>
  <definedNames>
    <definedName name="_xlnm._FilterDatabase" localSheetId="0" hidden="1">Planilha1!$M$4:$V$4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</calcChain>
</file>

<file path=xl/sharedStrings.xml><?xml version="1.0" encoding="utf-8"?>
<sst xmlns="http://schemas.openxmlformats.org/spreadsheetml/2006/main" count="839" uniqueCount="446">
  <si>
    <t>Nome do Integrante</t>
  </si>
  <si>
    <t>ID</t>
  </si>
  <si>
    <t>Salário</t>
  </si>
  <si>
    <t>Cargo</t>
  </si>
  <si>
    <t>Idade</t>
  </si>
  <si>
    <t>Faixa de Idade</t>
  </si>
  <si>
    <t>Sexo</t>
  </si>
  <si>
    <t>Data de Contratação</t>
  </si>
  <si>
    <t>Status do Integrante</t>
  </si>
  <si>
    <t>Departamento</t>
  </si>
  <si>
    <t>Isis</t>
  </si>
  <si>
    <t>A1304055947</t>
  </si>
  <si>
    <t>Técnico de Produção I</t>
  </si>
  <si>
    <t>36-40</t>
  </si>
  <si>
    <t>Emanuel</t>
  </si>
  <si>
    <t>A1109029366</t>
  </si>
  <si>
    <t>41-45</t>
  </si>
  <si>
    <t>Vinícius</t>
  </si>
  <si>
    <t>A1501072124</t>
  </si>
  <si>
    <t>46-50</t>
  </si>
  <si>
    <t>João Guilherme</t>
  </si>
  <si>
    <t>A1302053339</t>
  </si>
  <si>
    <t>26-30</t>
  </si>
  <si>
    <t>Luna</t>
  </si>
  <si>
    <t>A1204032927</t>
  </si>
  <si>
    <t>31-35</t>
  </si>
  <si>
    <t>Rebeca</t>
  </si>
  <si>
    <t>A1404066622</t>
  </si>
  <si>
    <t>Maria</t>
  </si>
  <si>
    <t>A1205033102</t>
  </si>
  <si>
    <t>Catarina</t>
  </si>
  <si>
    <t>A1308060366</t>
  </si>
  <si>
    <t>Luiz Miguel</t>
  </si>
  <si>
    <t>A1407069280</t>
  </si>
  <si>
    <t>Clara</t>
  </si>
  <si>
    <t>A1209048696</t>
  </si>
  <si>
    <t>Ana Beatriz</t>
  </si>
  <si>
    <t>A1006020020</t>
  </si>
  <si>
    <t>Vitória</t>
  </si>
  <si>
    <t>A1408069882</t>
  </si>
  <si>
    <t>21-25</t>
  </si>
  <si>
    <t>Kaique</t>
  </si>
  <si>
    <t>A1311062610</t>
  </si>
  <si>
    <t>Olívia</t>
  </si>
  <si>
    <t>A1308060754</t>
  </si>
  <si>
    <t>João Gabriel</t>
  </si>
  <si>
    <t>A1011022887</t>
  </si>
  <si>
    <t>Emilly</t>
  </si>
  <si>
    <t>A1410071137</t>
  </si>
  <si>
    <t>Maria Valentina</t>
  </si>
  <si>
    <t>A1409070255</t>
  </si>
  <si>
    <t>Levi</t>
  </si>
  <si>
    <t>A1599991009</t>
  </si>
  <si>
    <t>Larissa</t>
  </si>
  <si>
    <t>A1202031618</t>
  </si>
  <si>
    <t>Yuri</t>
  </si>
  <si>
    <t>A1309061015</t>
  </si>
  <si>
    <t>Enrico</t>
  </si>
  <si>
    <t>A1106026579</t>
  </si>
  <si>
    <t>Mirella</t>
  </si>
  <si>
    <t>A1201031438</t>
  </si>
  <si>
    <t>Thiago</t>
  </si>
  <si>
    <t>A1304055987</t>
  </si>
  <si>
    <t>Maria Flor</t>
  </si>
  <si>
    <t>A1401064327</t>
  </si>
  <si>
    <t>Lívia</t>
  </si>
  <si>
    <t>A1203032357</t>
  </si>
  <si>
    <t>Ian</t>
  </si>
  <si>
    <t>A1001735072</t>
  </si>
  <si>
    <t>Ana Sophia</t>
  </si>
  <si>
    <t>A710007555</t>
  </si>
  <si>
    <t>Pietra</t>
  </si>
  <si>
    <t>A1012023152</t>
  </si>
  <si>
    <t>Maria Vitória</t>
  </si>
  <si>
    <t>A1211051232</t>
  </si>
  <si>
    <t>Maya</t>
  </si>
  <si>
    <t>A1011022883</t>
  </si>
  <si>
    <t>Laís</t>
  </si>
  <si>
    <t>A1403066194</t>
  </si>
  <si>
    <t>Ayla</t>
  </si>
  <si>
    <t>A1305057282</t>
  </si>
  <si>
    <t>Ana Lívia</t>
  </si>
  <si>
    <t>A1001109612</t>
  </si>
  <si>
    <t>Victor Hugo</t>
  </si>
  <si>
    <t>A1406068241</t>
  </si>
  <si>
    <t>Gabrielly</t>
  </si>
  <si>
    <t>A1102024121</t>
  </si>
  <si>
    <t>Carolina</t>
  </si>
  <si>
    <t>A1302053362</t>
  </si>
  <si>
    <t>Maria Laura</t>
  </si>
  <si>
    <t>A1407069061</t>
  </si>
  <si>
    <t>Henry</t>
  </si>
  <si>
    <t>A1101023679</t>
  </si>
  <si>
    <t>Luiz Felipe</t>
  </si>
  <si>
    <t>A1311063114</t>
  </si>
  <si>
    <t>Maria Sophia</t>
  </si>
  <si>
    <t>A1403066069</t>
  </si>
  <si>
    <t>Ryan</t>
  </si>
  <si>
    <t>A1007020403</t>
  </si>
  <si>
    <t>Arthur Miguel</t>
  </si>
  <si>
    <t>A1101023612</t>
  </si>
  <si>
    <t>Fernanda</t>
  </si>
  <si>
    <t>A1105026041</t>
  </si>
  <si>
    <t>Analu</t>
  </si>
  <si>
    <t>A1412071713</t>
  </si>
  <si>
    <t>51+</t>
  </si>
  <si>
    <t>Nathan</t>
  </si>
  <si>
    <t>A1404066949</t>
  </si>
  <si>
    <t>Pedro Lucas</t>
  </si>
  <si>
    <t>A1401064562</t>
  </si>
  <si>
    <t>Davi Miguel</t>
  </si>
  <si>
    <t>A1106026896</t>
  </si>
  <si>
    <t>Raul</t>
  </si>
  <si>
    <t>A1301052124</t>
  </si>
  <si>
    <t>Louise</t>
  </si>
  <si>
    <t>A1412071844</t>
  </si>
  <si>
    <t>Heloise</t>
  </si>
  <si>
    <t>A1012023295</t>
  </si>
  <si>
    <t>Pedro Miguel</t>
  </si>
  <si>
    <t>A706006285</t>
  </si>
  <si>
    <t>Ana Vitória</t>
  </si>
  <si>
    <t>A803009012</t>
  </si>
  <si>
    <t>Ana Cecília</t>
  </si>
  <si>
    <t>A1408069539</t>
  </si>
  <si>
    <t>Luiz Henrique</t>
  </si>
  <si>
    <t>A1002017900</t>
  </si>
  <si>
    <t>Luan</t>
  </si>
  <si>
    <t>A1304055683</t>
  </si>
  <si>
    <t>Ana Liz</t>
  </si>
  <si>
    <t>A1209049259</t>
  </si>
  <si>
    <t>Liz</t>
  </si>
  <si>
    <t>A1307059944</t>
  </si>
  <si>
    <t>Samuel</t>
  </si>
  <si>
    <t>A1501071909</t>
  </si>
  <si>
    <t>Rodrigo</t>
  </si>
  <si>
    <t>A1104025414</t>
  </si>
  <si>
    <t>Ana Sophia S.</t>
  </si>
  <si>
    <t>A1503072857</t>
  </si>
  <si>
    <t>Pietra S.</t>
  </si>
  <si>
    <t>A909015167</t>
  </si>
  <si>
    <t>Ayla S.</t>
  </si>
  <si>
    <t>A1111030244</t>
  </si>
  <si>
    <t>Breno</t>
  </si>
  <si>
    <t>A1409070522</t>
  </si>
  <si>
    <t>Ana Lívia S.</t>
  </si>
  <si>
    <t>A1208048062</t>
  </si>
  <si>
    <t>Eduarda S.</t>
  </si>
  <si>
    <t>A1311063172</t>
  </si>
  <si>
    <t>Mariah S.</t>
  </si>
  <si>
    <t>A1501072192</t>
  </si>
  <si>
    <t>Stella S.</t>
  </si>
  <si>
    <t>A1405067064</t>
  </si>
  <si>
    <t>Arthur Henrique</t>
  </si>
  <si>
    <t>A1301052462</t>
  </si>
  <si>
    <t>Gabrielly S.</t>
  </si>
  <si>
    <t>A1109029256</t>
  </si>
  <si>
    <t>Luiz Otávio</t>
  </si>
  <si>
    <t>A1103024335</t>
  </si>
  <si>
    <t>Lucas Gabriel</t>
  </si>
  <si>
    <t>A1201031310</t>
  </si>
  <si>
    <t>Sophie S.</t>
  </si>
  <si>
    <t>A1106026474</t>
  </si>
  <si>
    <t>José</t>
  </si>
  <si>
    <t>A1111030129</t>
  </si>
  <si>
    <t>Sofia A</t>
  </si>
  <si>
    <t>A1405067642</t>
  </si>
  <si>
    <t>Francisco</t>
  </si>
  <si>
    <t>A1411071212</t>
  </si>
  <si>
    <t>Maria Fernanda</t>
  </si>
  <si>
    <t>A1403066020</t>
  </si>
  <si>
    <t>Aurora</t>
  </si>
  <si>
    <t>A1410070998</t>
  </si>
  <si>
    <t>Ana Laura</t>
  </si>
  <si>
    <t>A1212051409</t>
  </si>
  <si>
    <t>Ana</t>
  </si>
  <si>
    <t>A1101023353</t>
  </si>
  <si>
    <t>Erick</t>
  </si>
  <si>
    <t>A1302053044</t>
  </si>
  <si>
    <t>Mirella S.</t>
  </si>
  <si>
    <t>A1408069635</t>
  </si>
  <si>
    <t>Allana S.</t>
  </si>
  <si>
    <t>A1312063675</t>
  </si>
  <si>
    <t>André</t>
  </si>
  <si>
    <t>A1110029777</t>
  </si>
  <si>
    <t>Pietra Conte</t>
  </si>
  <si>
    <t>A807010161</t>
  </si>
  <si>
    <t>Isabella</t>
  </si>
  <si>
    <t>A1403065721</t>
  </si>
  <si>
    <t>Analista Comercial I</t>
  </si>
  <si>
    <t>Manuela</t>
  </si>
  <si>
    <t>A1408069481</t>
  </si>
  <si>
    <t>Bernardo</t>
  </si>
  <si>
    <t>A1306059197</t>
  </si>
  <si>
    <t>Heitor</t>
  </si>
  <si>
    <t>A1204032843</t>
  </si>
  <si>
    <t>Davi</t>
  </si>
  <si>
    <t>A1411071481</t>
  </si>
  <si>
    <t>Théo</t>
  </si>
  <si>
    <t>A1412071660</t>
  </si>
  <si>
    <t>Pedro</t>
  </si>
  <si>
    <t>A1306057978</t>
  </si>
  <si>
    <t>Gabriel</t>
  </si>
  <si>
    <t>A812011761</t>
  </si>
  <si>
    <t>Heloísa</t>
  </si>
  <si>
    <t>A1411071295</t>
  </si>
  <si>
    <t>Luiza</t>
  </si>
  <si>
    <t>A1312063714</t>
  </si>
  <si>
    <t>Analista Comercial II</t>
  </si>
  <si>
    <t>Enzo</t>
  </si>
  <si>
    <t>A1111030503</t>
  </si>
  <si>
    <t>Matheus</t>
  </si>
  <si>
    <t>A1504073313</t>
  </si>
  <si>
    <t>Maria Luiza</t>
  </si>
  <si>
    <t>A1409070567</t>
  </si>
  <si>
    <t>Lucas</t>
  </si>
  <si>
    <t>A1411071302</t>
  </si>
  <si>
    <t>Lorena</t>
  </si>
  <si>
    <t>A1203032099</t>
  </si>
  <si>
    <t>Benjamin</t>
  </si>
  <si>
    <t>A1203038888</t>
  </si>
  <si>
    <t>Nicolas</t>
  </si>
  <si>
    <t>A1104025008</t>
  </si>
  <si>
    <t>Guilherme</t>
  </si>
  <si>
    <t>A1209048771</t>
  </si>
  <si>
    <t>Rafael</t>
  </si>
  <si>
    <t>A1209049326</t>
  </si>
  <si>
    <t>A1111030684</t>
  </si>
  <si>
    <t>Giovanna</t>
  </si>
  <si>
    <t>A1501072180</t>
  </si>
  <si>
    <t>Analista Comercial III</t>
  </si>
  <si>
    <t>Maria Eduarda</t>
  </si>
  <si>
    <t>A1102024106</t>
  </si>
  <si>
    <t>Joaquim</t>
  </si>
  <si>
    <t>A1502072711</t>
  </si>
  <si>
    <t>Beatriz</t>
  </si>
  <si>
    <t>A1401064637</t>
  </si>
  <si>
    <t>Ana Clara</t>
  </si>
  <si>
    <t>A1006020066</t>
  </si>
  <si>
    <t>Diretor de Produção</t>
  </si>
  <si>
    <t>Melissa</t>
  </si>
  <si>
    <t>A1009021646</t>
  </si>
  <si>
    <t>Diretor Comercial</t>
  </si>
  <si>
    <t>Antonella</t>
  </si>
  <si>
    <t>A1001495124</t>
  </si>
  <si>
    <t>Diretor Administrativo</t>
  </si>
  <si>
    <t>João</t>
  </si>
  <si>
    <t>A1501072311</t>
  </si>
  <si>
    <t>Gerente de Produção</t>
  </si>
  <si>
    <t>Antônio</t>
  </si>
  <si>
    <t>A1110029990</t>
  </si>
  <si>
    <t>Rafaela</t>
  </si>
  <si>
    <t>A1409070147</t>
  </si>
  <si>
    <t>Vicente</t>
  </si>
  <si>
    <t>A1307060077</t>
  </si>
  <si>
    <t>Maria Cecília</t>
  </si>
  <si>
    <t>A1103024679</t>
  </si>
  <si>
    <t>Bento</t>
  </si>
  <si>
    <t>A1107027351</t>
  </si>
  <si>
    <t>Marina</t>
  </si>
  <si>
    <t>A1102024149</t>
  </si>
  <si>
    <t>Caio</t>
  </si>
  <si>
    <t>A1000974650</t>
  </si>
  <si>
    <t>A1405067298</t>
  </si>
  <si>
    <t>Joana P.</t>
  </si>
  <si>
    <t>A1011022820</t>
  </si>
  <si>
    <t>Técnico de Produção II</t>
  </si>
  <si>
    <t>Maria- da M.</t>
  </si>
  <si>
    <t>A1306057810</t>
  </si>
  <si>
    <t>Gabriela da M.</t>
  </si>
  <si>
    <t>A1103024843</t>
  </si>
  <si>
    <t>Ana Laura da M.</t>
  </si>
  <si>
    <t>A1001549006</t>
  </si>
  <si>
    <t>Marcelo R</t>
  </si>
  <si>
    <t>A1404066711</t>
  </si>
  <si>
    <t>Ana Beatriz da M.</t>
  </si>
  <si>
    <t>A1205033180</t>
  </si>
  <si>
    <t>Olívia da M.</t>
  </si>
  <si>
    <t>A1108028428</t>
  </si>
  <si>
    <t>Maria Fernanda da M.</t>
  </si>
  <si>
    <t>A1106026433</t>
  </si>
  <si>
    <t>Emilly da M.</t>
  </si>
  <si>
    <t>A1001504432</t>
  </si>
  <si>
    <t>Maria Valentina da M.</t>
  </si>
  <si>
    <t>A1104025435</t>
  </si>
  <si>
    <t>A1001970770</t>
  </si>
  <si>
    <t>Maria Helena da M.</t>
  </si>
  <si>
    <t>A1303054329</t>
  </si>
  <si>
    <t>Pedro Miguel G.</t>
  </si>
  <si>
    <t>A1307059937</t>
  </si>
  <si>
    <t>Luiz Henrique G.</t>
  </si>
  <si>
    <t>A1405067565</t>
  </si>
  <si>
    <t>Luan B.</t>
  </si>
  <si>
    <t>A1408069503</t>
  </si>
  <si>
    <t>Erick C.</t>
  </si>
  <si>
    <t>A1106026462</t>
  </si>
  <si>
    <t>Martin da Silva</t>
  </si>
  <si>
    <t>A1301052449</t>
  </si>
  <si>
    <t>Maria Flor da M.</t>
  </si>
  <si>
    <t>A1008020942</t>
  </si>
  <si>
    <t>Allana da M.</t>
  </si>
  <si>
    <t>A1406067957</t>
  </si>
  <si>
    <t>Bruno M.</t>
  </si>
  <si>
    <t>A1011022818</t>
  </si>
  <si>
    <t>Rodrigo Z.</t>
  </si>
  <si>
    <t>A1201031274</t>
  </si>
  <si>
    <t>Mariana P.</t>
  </si>
  <si>
    <t>A1108028351</t>
  </si>
  <si>
    <t>Maria da Cruz</t>
  </si>
  <si>
    <t>A1001103149</t>
  </si>
  <si>
    <t>Breno M.</t>
  </si>
  <si>
    <t>A1012023010</t>
  </si>
  <si>
    <t>Jeniffer S.</t>
  </si>
  <si>
    <t>A1403066125</t>
  </si>
  <si>
    <t>Jazz</t>
  </si>
  <si>
    <t>A1105025661</t>
  </si>
  <si>
    <t>Kauê M.</t>
  </si>
  <si>
    <t>A1301052436</t>
  </si>
  <si>
    <t>Enzo Miguel M.</t>
  </si>
  <si>
    <t>A1101023457</t>
  </si>
  <si>
    <t>Eliana C.</t>
  </si>
  <si>
    <t>A1402065085</t>
  </si>
  <si>
    <t>Marta J.</t>
  </si>
  <si>
    <t>A1103024924</t>
  </si>
  <si>
    <t>Leticia M.</t>
  </si>
  <si>
    <t>A1110029623</t>
  </si>
  <si>
    <t>Alice R.</t>
  </si>
  <si>
    <t>A1402065303</t>
  </si>
  <si>
    <t>Gerente Comercial</t>
  </si>
  <si>
    <t>A1499902910</t>
  </si>
  <si>
    <t>Tomás M.</t>
  </si>
  <si>
    <t>A1102024115</t>
  </si>
  <si>
    <t>Gerente Administrativo</t>
  </si>
  <si>
    <t>Alice</t>
  </si>
  <si>
    <t>A1103024456</t>
  </si>
  <si>
    <t>Contador I</t>
  </si>
  <si>
    <t>Miguel</t>
  </si>
  <si>
    <t>A1106026572</t>
  </si>
  <si>
    <t>Arthur</t>
  </si>
  <si>
    <t>A1302053333</t>
  </si>
  <si>
    <t>Helena</t>
  </si>
  <si>
    <t>A1307059817</t>
  </si>
  <si>
    <t>Assistente Administrativo</t>
  </si>
  <si>
    <t>Maria Clara</t>
  </si>
  <si>
    <t>A1009919940</t>
  </si>
  <si>
    <t>Analista de BI</t>
  </si>
  <si>
    <t>A1009919980</t>
  </si>
  <si>
    <t>Enzo Gabriel</t>
  </si>
  <si>
    <t>A1009919990</t>
  </si>
  <si>
    <t>João Miguel</t>
  </si>
  <si>
    <t>A1009920000</t>
  </si>
  <si>
    <t>Henrique</t>
  </si>
  <si>
    <t>A1009919920</t>
  </si>
  <si>
    <t>Gerente de TI</t>
  </si>
  <si>
    <t>Cecília</t>
  </si>
  <si>
    <t>A1112030816</t>
  </si>
  <si>
    <t>Diretor de TI</t>
  </si>
  <si>
    <t>Eloá</t>
  </si>
  <si>
    <t>A1009919950</t>
  </si>
  <si>
    <t>Analista de Dados</t>
  </si>
  <si>
    <t>Isadora</t>
  </si>
  <si>
    <t>A1105025718</t>
  </si>
  <si>
    <t>Analista de Suporte de TI</t>
  </si>
  <si>
    <t>Fernando</t>
  </si>
  <si>
    <t>A1003018246</t>
  </si>
  <si>
    <t>Murilo</t>
  </si>
  <si>
    <t>A1406068403</t>
  </si>
  <si>
    <t>Emanuelly</t>
  </si>
  <si>
    <t>A1108027853</t>
  </si>
  <si>
    <t>Ana Júlia</t>
  </si>
  <si>
    <t>A1407068885</t>
  </si>
  <si>
    <t>Pietro</t>
  </si>
  <si>
    <t>A1203032255</t>
  </si>
  <si>
    <t>Felipe</t>
  </si>
  <si>
    <t>A808010278</t>
  </si>
  <si>
    <t>Ana Luiza</t>
  </si>
  <si>
    <t>A1110029732</t>
  </si>
  <si>
    <t>João Pedro</t>
  </si>
  <si>
    <t>A1192991000</t>
  </si>
  <si>
    <t>Isaac</t>
  </si>
  <si>
    <t>A1106026933</t>
  </si>
  <si>
    <t>Daniel</t>
  </si>
  <si>
    <t>A1011022863</t>
  </si>
  <si>
    <t>Anthony</t>
  </si>
  <si>
    <t>A1101023754</t>
  </si>
  <si>
    <t>Leonardo</t>
  </si>
  <si>
    <t>A1301052902</t>
  </si>
  <si>
    <t>Yasmin</t>
  </si>
  <si>
    <t>A1501072093</t>
  </si>
  <si>
    <t>Maria Alice</t>
  </si>
  <si>
    <t>A602000312</t>
  </si>
  <si>
    <t>Isabelly</t>
  </si>
  <si>
    <t>A1203032263</t>
  </si>
  <si>
    <t>Davi Lucca</t>
  </si>
  <si>
    <t>A1212052023</t>
  </si>
  <si>
    <t>Bryan</t>
  </si>
  <si>
    <t>A1102024173</t>
  </si>
  <si>
    <t>Lavínia</t>
  </si>
  <si>
    <t>A1101023540</t>
  </si>
  <si>
    <t>A1988299991</t>
  </si>
  <si>
    <t>Eduardo</t>
  </si>
  <si>
    <t>A1012023013</t>
  </si>
  <si>
    <t>Engenheiro de Software</t>
  </si>
  <si>
    <t>Sarah</t>
  </si>
  <si>
    <t>A1001956578</t>
  </si>
  <si>
    <t>Elisa</t>
  </si>
  <si>
    <t>A906014183</t>
  </si>
  <si>
    <t>Victor</t>
  </si>
  <si>
    <t>A1411071506</t>
  </si>
  <si>
    <t>Cristiane</t>
  </si>
  <si>
    <t>A1009919930</t>
  </si>
  <si>
    <t>Luiz Otávio M.</t>
  </si>
  <si>
    <t>A1009919960</t>
  </si>
  <si>
    <t>Carlos Eduardo M.</t>
  </si>
  <si>
    <t>A1009919970</t>
  </si>
  <si>
    <t>Cristiani</t>
  </si>
  <si>
    <t>A1107027358</t>
  </si>
  <si>
    <t>Cristina C.</t>
  </si>
  <si>
    <t>A1101023577</t>
  </si>
  <si>
    <t>Celia B.</t>
  </si>
  <si>
    <t>A1203032498</t>
  </si>
  <si>
    <t>Keity C.</t>
  </si>
  <si>
    <t>A1303054625</t>
  </si>
  <si>
    <t>Natasha P.</t>
  </si>
  <si>
    <t>A1012023185</t>
  </si>
  <si>
    <t>José M.</t>
  </si>
  <si>
    <t>A1201031324</t>
  </si>
  <si>
    <t>Marcelo H.</t>
  </si>
  <si>
    <t>A1001644719</t>
  </si>
  <si>
    <t>Rovena Souza</t>
  </si>
  <si>
    <t>A1201031308</t>
  </si>
  <si>
    <t>Contador II</t>
  </si>
  <si>
    <t>Ingrid G.</t>
  </si>
  <si>
    <t>A1307060188</t>
  </si>
  <si>
    <t>Ernilda J.</t>
  </si>
  <si>
    <t>A1010022337</t>
  </si>
  <si>
    <t>Leticia Barbosa</t>
  </si>
  <si>
    <t>A1411071312</t>
  </si>
  <si>
    <t>Bernardo S.</t>
  </si>
  <si>
    <t>A1108028108</t>
  </si>
  <si>
    <t>Marcos de F.</t>
  </si>
  <si>
    <t>A904013591</t>
  </si>
  <si>
    <t>Mario Andradde</t>
  </si>
  <si>
    <t>A1308060959</t>
  </si>
  <si>
    <t>Jessica Almeida</t>
  </si>
  <si>
    <t>A1301052347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</si>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</sst>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Kz]_-;\-* #,##0.00\ [$Kz]_-;_-* &quot;-&quot;??\ [$Kz]_-;_-@_-" x16r2:formatCode16="_-* #,##0.00\ [$Kz-pt-AO]_-;\-* #,##0.00\ [$Kz-pt-AO]_-;_-* &quot;-&quot;??\ [$Kz-pt-AO]_-;_-@_-"/>
    <numFmt numFmtId="165" formatCode="_-* #,##0_-;\-* #,##0_-;_-* &quot;-&quot;??_-;_-@_-"/>
    <numFmt numFmtId="166" formatCode="dd/mm/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164" fontId="2" fillId="0" borderId="1" xfId="2" applyNumberFormat="1" applyFont="1" applyBorder="1"/>
    <xf numFmtId="165" fontId="2" fillId="0" borderId="1" xfId="1" applyNumberFormat="1" applyFont="1" applyFill="1" applyBorder="1" applyAlignment="1" applyProtection="1"/>
    <xf numFmtId="166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4" fontId="2" fillId="0" borderId="5" xfId="2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2" applyNumberFormat="1" applyFont="1" applyBorder="1"/>
    <xf numFmtId="165" fontId="2" fillId="0" borderId="8" xfId="1" applyNumberFormat="1" applyFont="1" applyFill="1" applyBorder="1" applyAlignment="1" applyProtection="1"/>
    <xf numFmtId="166" fontId="2" fillId="0" borderId="8" xfId="0" applyNumberFormat="1" applyFont="1" applyBorder="1"/>
    <xf numFmtId="0" fontId="2" fillId="0" borderId="9" xfId="0" applyFont="1" applyBorder="1"/>
  </cellXfs>
  <cellStyles count="3">
    <cellStyle name="Moeda" xfId="2" builtinId="4"/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2</xdr:row>
      <xdr:rowOff>180975</xdr:rowOff>
    </xdr:from>
    <xdr:to>
      <xdr:col>17</xdr:col>
      <xdr:colOff>447675</xdr:colOff>
      <xdr:row>17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5DB4508-84F6-D322-B2D5-3EE719F2451B}"/>
            </a:ext>
          </a:extLst>
        </xdr:cNvPr>
        <xdr:cNvSpPr txBox="1"/>
      </xdr:nvSpPr>
      <xdr:spPr>
        <a:xfrm>
          <a:off x="13877925" y="561975"/>
          <a:ext cx="3590925" cy="277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 u="sng"/>
            <a:t>Usando</a:t>
          </a:r>
          <a:r>
            <a:rPr lang="pt-PT" sz="1400" b="1" u="sng" baseline="0"/>
            <a:t> Procv</a:t>
          </a:r>
        </a:p>
        <a:p>
          <a:endParaRPr lang="pt-PT" sz="1100" b="1"/>
        </a:p>
        <a:p>
          <a:r>
            <a:rPr lang="pt-PT" sz="1100"/>
            <a:t>*  fazer</a:t>
          </a:r>
          <a:r>
            <a:rPr lang="pt-PT" sz="1100" baseline="0"/>
            <a:t> a busca por </a:t>
          </a:r>
          <a:r>
            <a:rPr lang="pt-PT" sz="1100" b="1" baseline="0"/>
            <a:t>Nº</a:t>
          </a:r>
        </a:p>
        <a:p>
          <a:r>
            <a:rPr lang="pt-PT" sz="1100" b="1" baseline="0"/>
            <a:t>*</a:t>
          </a:r>
          <a:r>
            <a:rPr lang="pt-PT" sz="1100" b="0" baseline="0"/>
            <a:t> fazer buca por</a:t>
          </a:r>
          <a:r>
            <a:rPr lang="pt-PT" sz="1100" b="1" baseline="0"/>
            <a:t> departamento (limpeza de dados)</a:t>
          </a:r>
        </a:p>
        <a:p>
          <a:r>
            <a:rPr lang="pt-PT" sz="1100" b="1" baseline="0"/>
            <a:t>*</a:t>
          </a:r>
          <a:r>
            <a:rPr lang="pt-PT" sz="1100" b="0" baseline="0"/>
            <a:t> fazer busca por </a:t>
          </a:r>
          <a:r>
            <a:rPr lang="pt-PT" sz="1100" b="1" baseline="0"/>
            <a:t>dropdown</a:t>
          </a:r>
          <a:r>
            <a:rPr lang="pt-PT" sz="1100" b="0" baseline="0"/>
            <a:t> por </a:t>
          </a:r>
          <a:r>
            <a:rPr lang="pt-PT" sz="1100" b="1" baseline="0"/>
            <a:t>nome do integrante</a:t>
          </a:r>
          <a:endParaRPr lang="pt-PT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D199A-2D19-4AAC-9D9A-ECABB2DF3B9B}" name="Tabela1" displayName="Tabela1" ref="A3:K210" totalsRowShown="0" headerRowDxfId="14" headerRowBorderDxfId="13" tableBorderDxfId="12" totalsRowBorderDxfId="11">
  <autoFilter ref="A3:K210" xr:uid="{770D199A-2D19-4AAC-9D9A-ECABB2DF3B9B}"/>
  <tableColumns count="11">
    <tableColumn id="12" xr3:uid="{26D25452-F527-4261-9F68-3F2C3F86505B}" name="Nº" dataDxfId="10"/>
    <tableColumn id="1" xr3:uid="{03619549-2199-4454-8005-EF086F5DC715}" name="Nome do Integrante" dataDxfId="9"/>
    <tableColumn id="2" xr3:uid="{2D508F06-F63D-4654-8BD7-C60DDA9FF51B}" name="ID" dataDxfId="8"/>
    <tableColumn id="3" xr3:uid="{44810909-CD08-4B82-9225-CCF525CF788A}" name="Salário" dataDxfId="7" dataCellStyle="Moeda">
      <calculatedColumnFormula>RANDBETWEEN(100000,800000)</calculatedColumnFormula>
    </tableColumn>
    <tableColumn id="4" xr3:uid="{25A6C414-605D-4DEE-9570-AA6B77C241C7}" name="Cargo" dataDxfId="6"/>
    <tableColumn id="5" xr3:uid="{65488BD5-721C-4D9D-884A-03F91391FE8A}" name="Idade" dataDxfId="5" dataCellStyle="Vírgula"/>
    <tableColumn id="6" xr3:uid="{DBB161A4-BDDF-479D-9988-EFF43ED1746A}" name="Faixa de Idade" dataDxfId="4" dataCellStyle="Vírgula"/>
    <tableColumn id="7" xr3:uid="{EF779DBD-A51B-4E35-9AB2-1D2FBEE9E54E}" name="Sexo" dataDxfId="3">
      <calculatedColumnFormula>CHOOSE(RANDBETWEEN(1,2),"F","M")</calculatedColumnFormula>
    </tableColumn>
    <tableColumn id="8" xr3:uid="{0E051D4B-9475-48CF-BE93-51AB1E0F8821}" name="Data de Contratação" dataDxfId="2"/>
    <tableColumn id="9" xr3:uid="{FF8A459A-223E-4837-952D-3DCD0DB39172}" name="Status do Integrante" dataDxfId="1">
      <calculatedColumnFormula>IF(Tabela1[[#This Row],[Idade]]&lt;45,"ATIVO","REFORMA")</calculatedColumnFormula>
    </tableColumn>
    <tableColumn id="10" xr3:uid="{8C13A3B5-594A-434F-BBA0-AA1A5387F416}" name="Departamento" dataDxfId="0">
      <calculatedColumnFormula>CHOOSE(RANDBETWEEN(1,4),"PRODUÇÃO","VENDAS","ADMINISTRATIVO","TI")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90BF-454D-4E56-9F48-3D04B84C1D6F}">
  <dimension ref="A3:K210"/>
  <sheetViews>
    <sheetView tabSelected="1" zoomScale="130" zoomScaleNormal="130" workbookViewId="0">
      <selection activeCell="E1" sqref="E1"/>
    </sheetView>
  </sheetViews>
  <sheetFormatPr defaultRowHeight="15" x14ac:dyDescent="0.25"/>
  <cols>
    <col min="1" max="1" width="5.7109375" bestFit="1" customWidth="1"/>
    <col min="2" max="2" width="21.42578125" bestFit="1" customWidth="1"/>
    <col min="3" max="3" width="12.85546875" bestFit="1" customWidth="1"/>
    <col min="4" max="5" width="24.28515625" bestFit="1" customWidth="1"/>
    <col min="6" max="6" width="8.28515625" bestFit="1" customWidth="1"/>
    <col min="7" max="7" width="20.140625" customWidth="1"/>
    <col min="8" max="8" width="20" customWidth="1"/>
    <col min="9" max="9" width="21.28515625" bestFit="1" customWidth="1"/>
    <col min="10" max="10" width="21.42578125" bestFit="1" customWidth="1"/>
    <col min="11" max="11" width="16.28515625" bestFit="1" customWidth="1"/>
    <col min="13" max="13" width="13.42578125" bestFit="1" customWidth="1"/>
    <col min="15" max="15" width="9.28515625" bestFit="1" customWidth="1"/>
    <col min="18" max="18" width="9.28515625" bestFit="1" customWidth="1"/>
  </cols>
  <sheetData>
    <row r="3" spans="1:11" x14ac:dyDescent="0.25">
      <c r="A3" s="8" t="s">
        <v>445</v>
      </c>
      <c r="B3" s="7" t="s">
        <v>0</v>
      </c>
      <c r="C3" s="8" t="s">
        <v>1</v>
      </c>
      <c r="D3" s="9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10" t="s">
        <v>9</v>
      </c>
    </row>
    <row r="4" spans="1:11" x14ac:dyDescent="0.25">
      <c r="A4" s="7">
        <v>1</v>
      </c>
      <c r="B4" s="5" t="s">
        <v>10</v>
      </c>
      <c r="C4" s="1" t="s">
        <v>11</v>
      </c>
      <c r="D4" s="2">
        <f t="shared" ref="D4:D67" ca="1" si="0">RANDBETWEEN(100000,800000)</f>
        <v>711397</v>
      </c>
      <c r="E4" s="1" t="s">
        <v>12</v>
      </c>
      <c r="F4" s="3">
        <v>38</v>
      </c>
      <c r="G4" s="3" t="s">
        <v>13</v>
      </c>
      <c r="H4" s="1" t="str">
        <f ca="1">CHOOSE(RANDBETWEEN(1,2),"F","M")</f>
        <v>M</v>
      </c>
      <c r="I4" s="4">
        <v>42248</v>
      </c>
      <c r="J4" s="1" t="str">
        <f>IF(Tabela1[[#This Row],[Idade]]&lt;45,"ATIVO","REFORMA")</f>
        <v>ATIVO</v>
      </c>
      <c r="K4" s="6" t="str">
        <f t="shared" ref="K4:K67" ca="1" si="1">CHOOSE(RANDBETWEEN(1,4),"PRODUÇÃO","VENDAS","ADMINISTRATIVO","TI")</f>
        <v>VENDAS</v>
      </c>
    </row>
    <row r="5" spans="1:11" x14ac:dyDescent="0.25">
      <c r="A5" s="5">
        <f>A4+1</f>
        <v>2</v>
      </c>
      <c r="B5" s="5" t="s">
        <v>14</v>
      </c>
      <c r="C5" s="1" t="s">
        <v>15</v>
      </c>
      <c r="D5" s="2">
        <f t="shared" ca="1" si="0"/>
        <v>490477</v>
      </c>
      <c r="E5" s="1" t="s">
        <v>12</v>
      </c>
      <c r="F5" s="3">
        <v>45</v>
      </c>
      <c r="G5" s="3" t="s">
        <v>16</v>
      </c>
      <c r="H5" s="1" t="str">
        <f t="shared" ref="H5:H67" ca="1" si="2">CHOOSE(RANDBETWEEN(1,2),"F","M")</f>
        <v>M</v>
      </c>
      <c r="I5" s="4">
        <v>42038</v>
      </c>
      <c r="J5" s="1" t="str">
        <f>IF(Tabela1[[#This Row],[Idade]]&lt;45,"ATIVO","REFORMA")</f>
        <v>REFORMA</v>
      </c>
      <c r="K5" s="6" t="str">
        <f t="shared" ca="1" si="1"/>
        <v>VENDAS</v>
      </c>
    </row>
    <row r="6" spans="1:11" x14ac:dyDescent="0.25">
      <c r="A6" s="5">
        <f t="shared" ref="A6:A69" si="3">A5+1</f>
        <v>3</v>
      </c>
      <c r="B6" s="5" t="s">
        <v>17</v>
      </c>
      <c r="C6" s="1" t="s">
        <v>18</v>
      </c>
      <c r="D6" s="2">
        <f t="shared" ca="1" si="0"/>
        <v>603741</v>
      </c>
      <c r="E6" s="1" t="s">
        <v>12</v>
      </c>
      <c r="F6" s="3">
        <v>49</v>
      </c>
      <c r="G6" s="3" t="s">
        <v>19</v>
      </c>
      <c r="H6" s="1" t="str">
        <f t="shared" ca="1" si="2"/>
        <v>F</v>
      </c>
      <c r="I6" s="4">
        <v>42922</v>
      </c>
      <c r="J6" s="1" t="str">
        <f>IF(Tabela1[[#This Row],[Idade]]&lt;45,"ATIVO","REFORMA")</f>
        <v>REFORMA</v>
      </c>
      <c r="K6" s="6" t="str">
        <f t="shared" ca="1" si="1"/>
        <v>ADMINISTRATIVO</v>
      </c>
    </row>
    <row r="7" spans="1:11" x14ac:dyDescent="0.25">
      <c r="A7" s="5">
        <f t="shared" si="3"/>
        <v>4</v>
      </c>
      <c r="B7" s="5" t="s">
        <v>20</v>
      </c>
      <c r="C7" s="1" t="s">
        <v>21</v>
      </c>
      <c r="D7" s="2">
        <f t="shared" ca="1" si="0"/>
        <v>212615</v>
      </c>
      <c r="E7" s="1" t="s">
        <v>12</v>
      </c>
      <c r="F7" s="3">
        <v>26</v>
      </c>
      <c r="G7" s="3" t="s">
        <v>22</v>
      </c>
      <c r="H7" s="1" t="str">
        <f t="shared" ca="1" si="2"/>
        <v>M</v>
      </c>
      <c r="I7" s="4">
        <v>43408</v>
      </c>
      <c r="J7" s="1" t="str">
        <f>IF(Tabela1[[#This Row],[Idade]]&lt;45,"ATIVO","REFORMA")</f>
        <v>ATIVO</v>
      </c>
      <c r="K7" s="6" t="str">
        <f t="shared" ca="1" si="1"/>
        <v>VENDAS</v>
      </c>
    </row>
    <row r="8" spans="1:11" x14ac:dyDescent="0.25">
      <c r="A8" s="5">
        <f t="shared" si="3"/>
        <v>5</v>
      </c>
      <c r="B8" s="5" t="s">
        <v>23</v>
      </c>
      <c r="C8" s="1" t="s">
        <v>24</v>
      </c>
      <c r="D8" s="2">
        <f t="shared" ca="1" si="0"/>
        <v>305344</v>
      </c>
      <c r="E8" s="1" t="s">
        <v>12</v>
      </c>
      <c r="F8" s="3">
        <v>35</v>
      </c>
      <c r="G8" s="3" t="s">
        <v>25</v>
      </c>
      <c r="H8" s="1" t="str">
        <f t="shared" ca="1" si="2"/>
        <v>F</v>
      </c>
      <c r="I8" s="4">
        <v>43006</v>
      </c>
      <c r="J8" s="1" t="str">
        <f>IF(Tabela1[[#This Row],[Idade]]&lt;45,"ATIVO","REFORMA")</f>
        <v>ATIVO</v>
      </c>
      <c r="K8" s="6" t="str">
        <f t="shared" ca="1" si="1"/>
        <v>VENDAS</v>
      </c>
    </row>
    <row r="9" spans="1:11" x14ac:dyDescent="0.25">
      <c r="A9" s="5">
        <f t="shared" si="3"/>
        <v>6</v>
      </c>
      <c r="B9" s="5" t="s">
        <v>26</v>
      </c>
      <c r="C9" s="1" t="s">
        <v>27</v>
      </c>
      <c r="D9" s="2">
        <f t="shared" ca="1" si="0"/>
        <v>119925</v>
      </c>
      <c r="E9" s="1" t="s">
        <v>12</v>
      </c>
      <c r="F9" s="3">
        <v>42</v>
      </c>
      <c r="G9" s="3" t="s">
        <v>16</v>
      </c>
      <c r="H9" s="1" t="str">
        <f t="shared" ca="1" si="2"/>
        <v>F</v>
      </c>
      <c r="I9" s="4">
        <v>43073</v>
      </c>
      <c r="J9" s="1" t="str">
        <f>IF(Tabela1[[#This Row],[Idade]]&lt;45,"ATIVO","REFORMA")</f>
        <v>ATIVO</v>
      </c>
      <c r="K9" s="6" t="str">
        <f t="shared" ca="1" si="1"/>
        <v>PRODUÇÃO</v>
      </c>
    </row>
    <row r="10" spans="1:11" x14ac:dyDescent="0.25">
      <c r="A10" s="5">
        <f t="shared" si="3"/>
        <v>7</v>
      </c>
      <c r="B10" s="5" t="s">
        <v>28</v>
      </c>
      <c r="C10" s="1" t="s">
        <v>29</v>
      </c>
      <c r="D10" s="2">
        <f t="shared" ca="1" si="0"/>
        <v>181593</v>
      </c>
      <c r="E10" s="1" t="s">
        <v>12</v>
      </c>
      <c r="F10" s="3">
        <v>30</v>
      </c>
      <c r="G10" s="3" t="s">
        <v>22</v>
      </c>
      <c r="H10" s="1" t="str">
        <f t="shared" ca="1" si="2"/>
        <v>M</v>
      </c>
      <c r="I10" s="4">
        <v>42600</v>
      </c>
      <c r="J10" s="1" t="str">
        <f>IF(Tabela1[[#This Row],[Idade]]&lt;45,"ATIVO","REFORMA")</f>
        <v>ATIVO</v>
      </c>
      <c r="K10" s="6" t="str">
        <f t="shared" ca="1" si="1"/>
        <v>ADMINISTRATIVO</v>
      </c>
    </row>
    <row r="11" spans="1:11" x14ac:dyDescent="0.25">
      <c r="A11" s="5">
        <f t="shared" si="3"/>
        <v>8</v>
      </c>
      <c r="B11" s="5" t="s">
        <v>30</v>
      </c>
      <c r="C11" s="1" t="s">
        <v>31</v>
      </c>
      <c r="D11" s="2">
        <f t="shared" ca="1" si="0"/>
        <v>122212</v>
      </c>
      <c r="E11" s="1" t="s">
        <v>12</v>
      </c>
      <c r="F11" s="3">
        <v>27</v>
      </c>
      <c r="G11" s="3" t="s">
        <v>22</v>
      </c>
      <c r="H11" s="1" t="str">
        <f t="shared" ca="1" si="2"/>
        <v>F</v>
      </c>
      <c r="I11" s="4">
        <v>42922</v>
      </c>
      <c r="J11" s="1" t="str">
        <f>IF(Tabela1[[#This Row],[Idade]]&lt;45,"ATIVO","REFORMA")</f>
        <v>ATIVO</v>
      </c>
      <c r="K11" s="6" t="str">
        <f t="shared" ca="1" si="1"/>
        <v>ADMINISTRATIVO</v>
      </c>
    </row>
    <row r="12" spans="1:11" x14ac:dyDescent="0.25">
      <c r="A12" s="5">
        <f t="shared" si="3"/>
        <v>9</v>
      </c>
      <c r="B12" s="5" t="s">
        <v>32</v>
      </c>
      <c r="C12" s="1" t="s">
        <v>33</v>
      </c>
      <c r="D12" s="2">
        <f t="shared" ca="1" si="0"/>
        <v>686021</v>
      </c>
      <c r="E12" s="1" t="s">
        <v>12</v>
      </c>
      <c r="F12" s="3">
        <v>35</v>
      </c>
      <c r="G12" s="3" t="s">
        <v>25</v>
      </c>
      <c r="H12" s="1" t="str">
        <f t="shared" ca="1" si="2"/>
        <v>M</v>
      </c>
      <c r="I12" s="4">
        <v>43623</v>
      </c>
      <c r="J12" s="1" t="str">
        <f>IF(Tabela1[[#This Row],[Idade]]&lt;45,"ATIVO","REFORMA")</f>
        <v>ATIVO</v>
      </c>
      <c r="K12" s="6" t="str">
        <f t="shared" ca="1" si="1"/>
        <v>VENDAS</v>
      </c>
    </row>
    <row r="13" spans="1:11" x14ac:dyDescent="0.25">
      <c r="A13" s="5">
        <f t="shared" si="3"/>
        <v>10</v>
      </c>
      <c r="B13" s="5" t="s">
        <v>34</v>
      </c>
      <c r="C13" s="1" t="s">
        <v>35</v>
      </c>
      <c r="D13" s="2">
        <f t="shared" ca="1" si="0"/>
        <v>373644</v>
      </c>
      <c r="E13" s="1" t="s">
        <v>12</v>
      </c>
      <c r="F13" s="3">
        <v>38</v>
      </c>
      <c r="G13" s="3" t="s">
        <v>13</v>
      </c>
      <c r="H13" s="1" t="str">
        <f t="shared" ca="1" si="2"/>
        <v>M</v>
      </c>
      <c r="I13" s="4">
        <v>42551</v>
      </c>
      <c r="J13" s="1" t="str">
        <f>IF(Tabela1[[#This Row],[Idade]]&lt;45,"ATIVO","REFORMA")</f>
        <v>ATIVO</v>
      </c>
      <c r="K13" s="6" t="str">
        <f t="shared" ca="1" si="1"/>
        <v>ADMINISTRATIVO</v>
      </c>
    </row>
    <row r="14" spans="1:11" x14ac:dyDescent="0.25">
      <c r="A14" s="5">
        <f t="shared" si="3"/>
        <v>11</v>
      </c>
      <c r="B14" s="5" t="s">
        <v>36</v>
      </c>
      <c r="C14" s="1" t="s">
        <v>37</v>
      </c>
      <c r="D14" s="2">
        <f t="shared" ca="1" si="0"/>
        <v>451204</v>
      </c>
      <c r="E14" s="1" t="s">
        <v>12</v>
      </c>
      <c r="F14" s="3">
        <v>35</v>
      </c>
      <c r="G14" s="3" t="s">
        <v>25</v>
      </c>
      <c r="H14" s="1" t="str">
        <f t="shared" ca="1" si="2"/>
        <v>M</v>
      </c>
      <c r="I14" s="4">
        <v>42248</v>
      </c>
      <c r="J14" s="1" t="str">
        <f>IF(Tabela1[[#This Row],[Idade]]&lt;45,"ATIVO","REFORMA")</f>
        <v>ATIVO</v>
      </c>
      <c r="K14" s="6" t="str">
        <f t="shared" ca="1" si="1"/>
        <v>VENDAS</v>
      </c>
    </row>
    <row r="15" spans="1:11" x14ac:dyDescent="0.25">
      <c r="A15" s="5">
        <f t="shared" si="3"/>
        <v>12</v>
      </c>
      <c r="B15" s="5" t="s">
        <v>38</v>
      </c>
      <c r="C15" s="1" t="s">
        <v>39</v>
      </c>
      <c r="D15" s="2">
        <f t="shared" ca="1" si="0"/>
        <v>771727</v>
      </c>
      <c r="E15" s="1" t="s">
        <v>12</v>
      </c>
      <c r="F15" s="3">
        <v>25</v>
      </c>
      <c r="G15" s="3" t="s">
        <v>40</v>
      </c>
      <c r="H15" s="1" t="str">
        <f t="shared" ca="1" si="2"/>
        <v>M</v>
      </c>
      <c r="I15" s="4">
        <v>42600</v>
      </c>
      <c r="J15" s="1" t="str">
        <f>IF(Tabela1[[#This Row],[Idade]]&lt;45,"ATIVO","REFORMA")</f>
        <v>ATIVO</v>
      </c>
      <c r="K15" s="6" t="str">
        <f t="shared" ca="1" si="1"/>
        <v>TI</v>
      </c>
    </row>
    <row r="16" spans="1:11" x14ac:dyDescent="0.25">
      <c r="A16" s="5">
        <f t="shared" si="3"/>
        <v>13</v>
      </c>
      <c r="B16" s="5" t="s">
        <v>41</v>
      </c>
      <c r="C16" s="1" t="s">
        <v>42</v>
      </c>
      <c r="D16" s="2">
        <f t="shared" ca="1" si="0"/>
        <v>176596</v>
      </c>
      <c r="E16" s="1" t="s">
        <v>12</v>
      </c>
      <c r="F16" s="3">
        <v>36</v>
      </c>
      <c r="G16" s="3" t="s">
        <v>13</v>
      </c>
      <c r="H16" s="1" t="str">
        <f t="shared" ca="1" si="2"/>
        <v>F</v>
      </c>
      <c r="I16" s="4">
        <v>41912</v>
      </c>
      <c r="J16" s="1" t="str">
        <f>IF(Tabela1[[#This Row],[Idade]]&lt;45,"ATIVO","REFORMA")</f>
        <v>ATIVO</v>
      </c>
      <c r="K16" s="6" t="str">
        <f t="shared" ca="1" si="1"/>
        <v>TI</v>
      </c>
    </row>
    <row r="17" spans="1:11" x14ac:dyDescent="0.25">
      <c r="A17" s="5">
        <f t="shared" si="3"/>
        <v>14</v>
      </c>
      <c r="B17" s="5" t="s">
        <v>43</v>
      </c>
      <c r="C17" s="1" t="s">
        <v>44</v>
      </c>
      <c r="D17" s="2">
        <f t="shared" ca="1" si="0"/>
        <v>621438</v>
      </c>
      <c r="E17" s="1" t="s">
        <v>12</v>
      </c>
      <c r="F17" s="3">
        <v>41</v>
      </c>
      <c r="G17" s="3" t="s">
        <v>16</v>
      </c>
      <c r="H17" s="1" t="str">
        <f t="shared" ca="1" si="2"/>
        <v>M</v>
      </c>
      <c r="I17" s="4">
        <v>42684</v>
      </c>
      <c r="J17" s="1" t="str">
        <f>IF(Tabela1[[#This Row],[Idade]]&lt;45,"ATIVO","REFORMA")</f>
        <v>ATIVO</v>
      </c>
      <c r="K17" s="6" t="str">
        <f t="shared" ca="1" si="1"/>
        <v>ADMINISTRATIVO</v>
      </c>
    </row>
    <row r="18" spans="1:11" x14ac:dyDescent="0.25">
      <c r="A18" s="5">
        <f t="shared" si="3"/>
        <v>15</v>
      </c>
      <c r="B18" s="5" t="s">
        <v>45</v>
      </c>
      <c r="C18" s="1" t="s">
        <v>46</v>
      </c>
      <c r="D18" s="2">
        <f t="shared" ca="1" si="0"/>
        <v>643386</v>
      </c>
      <c r="E18" s="1" t="s">
        <v>12</v>
      </c>
      <c r="F18" s="3">
        <v>31</v>
      </c>
      <c r="G18" s="3" t="s">
        <v>25</v>
      </c>
      <c r="H18" s="1" t="str">
        <f t="shared" ca="1" si="2"/>
        <v>M</v>
      </c>
      <c r="I18" s="4">
        <v>42588</v>
      </c>
      <c r="J18" s="1" t="str">
        <f>IF(Tabela1[[#This Row],[Idade]]&lt;45,"ATIVO","REFORMA")</f>
        <v>ATIVO</v>
      </c>
      <c r="K18" s="6" t="str">
        <f t="shared" ca="1" si="1"/>
        <v>ADMINISTRATIVO</v>
      </c>
    </row>
    <row r="19" spans="1:11" x14ac:dyDescent="0.25">
      <c r="A19" s="5">
        <f t="shared" si="3"/>
        <v>16</v>
      </c>
      <c r="B19" s="5" t="s">
        <v>47</v>
      </c>
      <c r="C19" s="1" t="s">
        <v>48</v>
      </c>
      <c r="D19" s="2">
        <f t="shared" ca="1" si="0"/>
        <v>759494</v>
      </c>
      <c r="E19" s="1" t="s">
        <v>12</v>
      </c>
      <c r="F19" s="3">
        <v>47</v>
      </c>
      <c r="G19" s="3" t="s">
        <v>19</v>
      </c>
      <c r="H19" s="1" t="str">
        <f t="shared" ca="1" si="2"/>
        <v>F</v>
      </c>
      <c r="I19" s="4">
        <v>42054</v>
      </c>
      <c r="J19" s="1" t="str">
        <f>IF(Tabela1[[#This Row],[Idade]]&lt;45,"ATIVO","REFORMA")</f>
        <v>REFORMA</v>
      </c>
      <c r="K19" s="6" t="str">
        <f t="shared" ca="1" si="1"/>
        <v>PRODUÇÃO</v>
      </c>
    </row>
    <row r="20" spans="1:11" x14ac:dyDescent="0.25">
      <c r="A20" s="5">
        <f t="shared" si="3"/>
        <v>17</v>
      </c>
      <c r="B20" s="5" t="s">
        <v>49</v>
      </c>
      <c r="C20" s="1" t="s">
        <v>50</v>
      </c>
      <c r="D20" s="2">
        <f t="shared" ca="1" si="0"/>
        <v>246063</v>
      </c>
      <c r="E20" s="1" t="s">
        <v>12</v>
      </c>
      <c r="F20" s="3">
        <v>49</v>
      </c>
      <c r="G20" s="3" t="s">
        <v>19</v>
      </c>
      <c r="H20" s="1" t="str">
        <f t="shared" ca="1" si="2"/>
        <v>F</v>
      </c>
      <c r="I20" s="4">
        <v>42418</v>
      </c>
      <c r="J20" s="1" t="str">
        <f>IF(Tabela1[[#This Row],[Idade]]&lt;45,"ATIVO","REFORMA")</f>
        <v>REFORMA</v>
      </c>
      <c r="K20" s="6" t="str">
        <f t="shared" ca="1" si="1"/>
        <v>TI</v>
      </c>
    </row>
    <row r="21" spans="1:11" x14ac:dyDescent="0.25">
      <c r="A21" s="5">
        <f t="shared" si="3"/>
        <v>18</v>
      </c>
      <c r="B21" s="5" t="s">
        <v>51</v>
      </c>
      <c r="C21" s="1" t="s">
        <v>52</v>
      </c>
      <c r="D21" s="2">
        <f t="shared" ca="1" si="0"/>
        <v>413052</v>
      </c>
      <c r="E21" s="1" t="s">
        <v>12</v>
      </c>
      <c r="F21" s="3">
        <v>38</v>
      </c>
      <c r="G21" s="3" t="s">
        <v>13</v>
      </c>
      <c r="H21" s="1" t="str">
        <f t="shared" ca="1" si="2"/>
        <v>M</v>
      </c>
      <c r="I21" s="4">
        <v>42588</v>
      </c>
      <c r="J21" s="1" t="str">
        <f>IF(Tabela1[[#This Row],[Idade]]&lt;45,"ATIVO","REFORMA")</f>
        <v>ATIVO</v>
      </c>
      <c r="K21" s="6" t="str">
        <f t="shared" ca="1" si="1"/>
        <v>PRODUÇÃO</v>
      </c>
    </row>
    <row r="22" spans="1:11" x14ac:dyDescent="0.25">
      <c r="A22" s="5">
        <f t="shared" si="3"/>
        <v>19</v>
      </c>
      <c r="B22" s="5" t="s">
        <v>53</v>
      </c>
      <c r="C22" s="1" t="s">
        <v>54</v>
      </c>
      <c r="D22" s="2">
        <f t="shared" ca="1" si="0"/>
        <v>151010</v>
      </c>
      <c r="E22" s="1" t="s">
        <v>12</v>
      </c>
      <c r="F22" s="3">
        <v>29</v>
      </c>
      <c r="G22" s="3" t="s">
        <v>22</v>
      </c>
      <c r="H22" s="1" t="str">
        <f t="shared" ca="1" si="2"/>
        <v>M</v>
      </c>
      <c r="I22" s="4">
        <v>42038</v>
      </c>
      <c r="J22" s="1" t="str">
        <f>IF(Tabela1[[#This Row],[Idade]]&lt;45,"ATIVO","REFORMA")</f>
        <v>ATIVO</v>
      </c>
      <c r="K22" s="6" t="str">
        <f t="shared" ca="1" si="1"/>
        <v>ADMINISTRATIVO</v>
      </c>
    </row>
    <row r="23" spans="1:11" x14ac:dyDescent="0.25">
      <c r="A23" s="5">
        <f t="shared" si="3"/>
        <v>20</v>
      </c>
      <c r="B23" s="5" t="s">
        <v>55</v>
      </c>
      <c r="C23" s="1" t="s">
        <v>56</v>
      </c>
      <c r="D23" s="2">
        <f t="shared" ca="1" si="0"/>
        <v>294566</v>
      </c>
      <c r="E23" s="1" t="s">
        <v>12</v>
      </c>
      <c r="F23" s="3">
        <v>30</v>
      </c>
      <c r="G23" s="3" t="s">
        <v>22</v>
      </c>
      <c r="H23" s="1" t="str">
        <f t="shared" ca="1" si="2"/>
        <v>F</v>
      </c>
      <c r="I23" s="4">
        <v>43188</v>
      </c>
      <c r="J23" s="1" t="str">
        <f>IF(Tabela1[[#This Row],[Idade]]&lt;45,"ATIVO","REFORMA")</f>
        <v>ATIVO</v>
      </c>
      <c r="K23" s="6" t="str">
        <f t="shared" ca="1" si="1"/>
        <v>TI</v>
      </c>
    </row>
    <row r="24" spans="1:11" x14ac:dyDescent="0.25">
      <c r="A24" s="5">
        <f t="shared" si="3"/>
        <v>21</v>
      </c>
      <c r="B24" s="5" t="s">
        <v>57</v>
      </c>
      <c r="C24" s="1" t="s">
        <v>58</v>
      </c>
      <c r="D24" s="2">
        <f t="shared" ca="1" si="0"/>
        <v>503479</v>
      </c>
      <c r="E24" s="1" t="s">
        <v>12</v>
      </c>
      <c r="F24" s="3">
        <v>36</v>
      </c>
      <c r="G24" s="3" t="s">
        <v>13</v>
      </c>
      <c r="H24" s="1" t="str">
        <f t="shared" ca="1" si="2"/>
        <v>M</v>
      </c>
      <c r="I24" s="4">
        <v>42041</v>
      </c>
      <c r="J24" s="1" t="str">
        <f>IF(Tabela1[[#This Row],[Idade]]&lt;45,"ATIVO","REFORMA")</f>
        <v>ATIVO</v>
      </c>
      <c r="K24" s="6" t="str">
        <f t="shared" ca="1" si="1"/>
        <v>ADMINISTRATIVO</v>
      </c>
    </row>
    <row r="25" spans="1:11" x14ac:dyDescent="0.25">
      <c r="A25" s="5">
        <f t="shared" si="3"/>
        <v>22</v>
      </c>
      <c r="B25" s="5" t="s">
        <v>59</v>
      </c>
      <c r="C25" s="1" t="s">
        <v>60</v>
      </c>
      <c r="D25" s="2">
        <f t="shared" ca="1" si="0"/>
        <v>340701</v>
      </c>
      <c r="E25" s="1" t="s">
        <v>12</v>
      </c>
      <c r="F25" s="3">
        <v>43</v>
      </c>
      <c r="G25" s="3" t="s">
        <v>16</v>
      </c>
      <c r="H25" s="1" t="str">
        <f t="shared" ca="1" si="2"/>
        <v>F</v>
      </c>
      <c r="I25" s="4">
        <v>42135</v>
      </c>
      <c r="J25" s="1" t="str">
        <f>IF(Tabela1[[#This Row],[Idade]]&lt;45,"ATIVO","REFORMA")</f>
        <v>ATIVO</v>
      </c>
      <c r="K25" s="6" t="str">
        <f t="shared" ca="1" si="1"/>
        <v>ADMINISTRATIVO</v>
      </c>
    </row>
    <row r="26" spans="1:11" x14ac:dyDescent="0.25">
      <c r="A26" s="5">
        <f t="shared" si="3"/>
        <v>23</v>
      </c>
      <c r="B26" s="5" t="s">
        <v>61</v>
      </c>
      <c r="C26" s="1" t="s">
        <v>62</v>
      </c>
      <c r="D26" s="2">
        <f t="shared" ca="1" si="0"/>
        <v>129341</v>
      </c>
      <c r="E26" s="1" t="s">
        <v>12</v>
      </c>
      <c r="F26" s="3">
        <v>29</v>
      </c>
      <c r="G26" s="3" t="s">
        <v>22</v>
      </c>
      <c r="H26" s="1" t="str">
        <f t="shared" ca="1" si="2"/>
        <v>F</v>
      </c>
      <c r="I26" s="4">
        <v>42254</v>
      </c>
      <c r="J26" s="1" t="str">
        <f>IF(Tabela1[[#This Row],[Idade]]&lt;45,"ATIVO","REFORMA")</f>
        <v>ATIVO</v>
      </c>
      <c r="K26" s="6" t="str">
        <f t="shared" ca="1" si="1"/>
        <v>PRODUÇÃO</v>
      </c>
    </row>
    <row r="27" spans="1:11" x14ac:dyDescent="0.25">
      <c r="A27" s="5">
        <f t="shared" si="3"/>
        <v>24</v>
      </c>
      <c r="B27" s="5" t="s">
        <v>63</v>
      </c>
      <c r="C27" s="1" t="s">
        <v>64</v>
      </c>
      <c r="D27" s="2">
        <f t="shared" ca="1" si="0"/>
        <v>654560</v>
      </c>
      <c r="E27" s="1" t="s">
        <v>12</v>
      </c>
      <c r="F27" s="3">
        <v>38</v>
      </c>
      <c r="G27" s="3" t="s">
        <v>13</v>
      </c>
      <c r="H27" s="1" t="str">
        <f t="shared" ca="1" si="2"/>
        <v>F</v>
      </c>
      <c r="I27" s="4">
        <v>41789</v>
      </c>
      <c r="J27" s="1" t="str">
        <f>IF(Tabela1[[#This Row],[Idade]]&lt;45,"ATIVO","REFORMA")</f>
        <v>ATIVO</v>
      </c>
      <c r="K27" s="6" t="str">
        <f t="shared" ca="1" si="1"/>
        <v>PRODUÇÃO</v>
      </c>
    </row>
    <row r="28" spans="1:11" x14ac:dyDescent="0.25">
      <c r="A28" s="5">
        <f t="shared" si="3"/>
        <v>25</v>
      </c>
      <c r="B28" s="5" t="s">
        <v>65</v>
      </c>
      <c r="C28" s="1" t="s">
        <v>66</v>
      </c>
      <c r="D28" s="2">
        <f t="shared" ca="1" si="0"/>
        <v>212580</v>
      </c>
      <c r="E28" s="1" t="s">
        <v>12</v>
      </c>
      <c r="F28" s="3">
        <v>31</v>
      </c>
      <c r="G28" s="3" t="s">
        <v>25</v>
      </c>
      <c r="H28" s="1" t="str">
        <f t="shared" ca="1" si="2"/>
        <v>F</v>
      </c>
      <c r="I28" s="4">
        <v>42588</v>
      </c>
      <c r="J28" s="1" t="str">
        <f>IF(Tabela1[[#This Row],[Idade]]&lt;45,"ATIVO","REFORMA")</f>
        <v>ATIVO</v>
      </c>
      <c r="K28" s="6" t="str">
        <f t="shared" ca="1" si="1"/>
        <v>VENDAS</v>
      </c>
    </row>
    <row r="29" spans="1:11" x14ac:dyDescent="0.25">
      <c r="A29" s="5">
        <f t="shared" si="3"/>
        <v>26</v>
      </c>
      <c r="B29" s="5" t="s">
        <v>67</v>
      </c>
      <c r="C29" s="1" t="s">
        <v>68</v>
      </c>
      <c r="D29" s="2">
        <f t="shared" ca="1" si="0"/>
        <v>241630</v>
      </c>
      <c r="E29" s="1" t="s">
        <v>12</v>
      </c>
      <c r="F29" s="3">
        <v>34</v>
      </c>
      <c r="G29" s="3" t="s">
        <v>25</v>
      </c>
      <c r="H29" s="1" t="str">
        <f t="shared" ca="1" si="2"/>
        <v>F</v>
      </c>
      <c r="I29" s="4">
        <v>40308</v>
      </c>
      <c r="J29" s="1" t="str">
        <f>IF(Tabela1[[#This Row],[Idade]]&lt;45,"ATIVO","REFORMA")</f>
        <v>ATIVO</v>
      </c>
      <c r="K29" s="6" t="str">
        <f t="shared" ca="1" si="1"/>
        <v>ADMINISTRATIVO</v>
      </c>
    </row>
    <row r="30" spans="1:11" x14ac:dyDescent="0.25">
      <c r="A30" s="5">
        <f t="shared" si="3"/>
        <v>27</v>
      </c>
      <c r="B30" s="5" t="s">
        <v>69</v>
      </c>
      <c r="C30" s="1" t="s">
        <v>70</v>
      </c>
      <c r="D30" s="2">
        <f t="shared" ca="1" si="0"/>
        <v>477487</v>
      </c>
      <c r="E30" s="1" t="s">
        <v>12</v>
      </c>
      <c r="F30" s="3">
        <v>42</v>
      </c>
      <c r="G30" s="3" t="s">
        <v>16</v>
      </c>
      <c r="H30" s="1" t="str">
        <f t="shared" ca="1" si="2"/>
        <v>F</v>
      </c>
      <c r="I30" s="4">
        <v>42886</v>
      </c>
      <c r="J30" s="1" t="str">
        <f>IF(Tabela1[[#This Row],[Idade]]&lt;45,"ATIVO","REFORMA")</f>
        <v>ATIVO</v>
      </c>
      <c r="K30" s="6" t="str">
        <f t="shared" ca="1" si="1"/>
        <v>VENDAS</v>
      </c>
    </row>
    <row r="31" spans="1:11" x14ac:dyDescent="0.25">
      <c r="A31" s="5">
        <f t="shared" si="3"/>
        <v>28</v>
      </c>
      <c r="B31" s="5" t="s">
        <v>71</v>
      </c>
      <c r="C31" s="1" t="s">
        <v>72</v>
      </c>
      <c r="D31" s="2">
        <f t="shared" ca="1" si="0"/>
        <v>286707</v>
      </c>
      <c r="E31" s="1" t="s">
        <v>12</v>
      </c>
      <c r="F31" s="3">
        <v>33</v>
      </c>
      <c r="G31" s="3" t="s">
        <v>25</v>
      </c>
      <c r="H31" s="1" t="str">
        <f t="shared" ca="1" si="2"/>
        <v>F</v>
      </c>
      <c r="I31" s="4">
        <v>42782</v>
      </c>
      <c r="J31" s="1" t="str">
        <f>IF(Tabela1[[#This Row],[Idade]]&lt;45,"ATIVO","REFORMA")</f>
        <v>ATIVO</v>
      </c>
      <c r="K31" s="6" t="str">
        <f t="shared" ca="1" si="1"/>
        <v>TI</v>
      </c>
    </row>
    <row r="32" spans="1:11" x14ac:dyDescent="0.25">
      <c r="A32" s="5">
        <f t="shared" si="3"/>
        <v>29</v>
      </c>
      <c r="B32" s="5" t="s">
        <v>73</v>
      </c>
      <c r="C32" s="1" t="s">
        <v>74</v>
      </c>
      <c r="D32" s="2">
        <f t="shared" ca="1" si="0"/>
        <v>222622</v>
      </c>
      <c r="E32" s="1" t="s">
        <v>12</v>
      </c>
      <c r="F32" s="3">
        <v>37</v>
      </c>
      <c r="G32" s="3" t="s">
        <v>13</v>
      </c>
      <c r="H32" s="1" t="str">
        <f t="shared" ca="1" si="2"/>
        <v>F</v>
      </c>
      <c r="I32" s="4">
        <v>43006</v>
      </c>
      <c r="J32" s="1" t="str">
        <f>IF(Tabela1[[#This Row],[Idade]]&lt;45,"ATIVO","REFORMA")</f>
        <v>ATIVO</v>
      </c>
      <c r="K32" s="6" t="str">
        <f t="shared" ca="1" si="1"/>
        <v>TI</v>
      </c>
    </row>
    <row r="33" spans="1:11" x14ac:dyDescent="0.25">
      <c r="A33" s="5">
        <f t="shared" si="3"/>
        <v>30</v>
      </c>
      <c r="B33" s="5" t="s">
        <v>75</v>
      </c>
      <c r="C33" s="1" t="s">
        <v>76</v>
      </c>
      <c r="D33" s="2">
        <f t="shared" ca="1" si="0"/>
        <v>574961</v>
      </c>
      <c r="E33" s="1" t="s">
        <v>12</v>
      </c>
      <c r="F33" s="3">
        <v>27</v>
      </c>
      <c r="G33" s="3" t="s">
        <v>22</v>
      </c>
      <c r="H33" s="1" t="str">
        <f t="shared" ca="1" si="2"/>
        <v>F</v>
      </c>
      <c r="I33" s="4">
        <v>40725</v>
      </c>
      <c r="J33" s="1" t="str">
        <f>IF(Tabela1[[#This Row],[Idade]]&lt;45,"ATIVO","REFORMA")</f>
        <v>ATIVO</v>
      </c>
      <c r="K33" s="6" t="str">
        <f t="shared" ca="1" si="1"/>
        <v>TI</v>
      </c>
    </row>
    <row r="34" spans="1:11" x14ac:dyDescent="0.25">
      <c r="A34" s="5">
        <f t="shared" si="3"/>
        <v>31</v>
      </c>
      <c r="B34" s="5" t="s">
        <v>77</v>
      </c>
      <c r="C34" s="1" t="s">
        <v>78</v>
      </c>
      <c r="D34" s="2">
        <f t="shared" ca="1" si="0"/>
        <v>723448</v>
      </c>
      <c r="E34" s="1" t="s">
        <v>12</v>
      </c>
      <c r="F34" s="3">
        <v>45</v>
      </c>
      <c r="G34" s="3" t="s">
        <v>16</v>
      </c>
      <c r="H34" s="1" t="str">
        <f t="shared" ca="1" si="2"/>
        <v>M</v>
      </c>
      <c r="I34" s="4">
        <v>41732</v>
      </c>
      <c r="J34" s="1" t="str">
        <f>IF(Tabela1[[#This Row],[Idade]]&lt;45,"ATIVO","REFORMA")</f>
        <v>REFORMA</v>
      </c>
      <c r="K34" s="6" t="str">
        <f t="shared" ca="1" si="1"/>
        <v>PRODUÇÃO</v>
      </c>
    </row>
    <row r="35" spans="1:11" x14ac:dyDescent="0.25">
      <c r="A35" s="5">
        <f t="shared" si="3"/>
        <v>32</v>
      </c>
      <c r="B35" s="5" t="s">
        <v>79</v>
      </c>
      <c r="C35" s="1" t="s">
        <v>80</v>
      </c>
      <c r="D35" s="2">
        <f t="shared" ca="1" si="0"/>
        <v>405923</v>
      </c>
      <c r="E35" s="1" t="s">
        <v>12</v>
      </c>
      <c r="F35" s="3">
        <v>36</v>
      </c>
      <c r="G35" s="3" t="s">
        <v>13</v>
      </c>
      <c r="H35" s="1" t="str">
        <f t="shared" ca="1" si="2"/>
        <v>M</v>
      </c>
      <c r="I35" s="4">
        <v>43073</v>
      </c>
      <c r="J35" s="1" t="str">
        <f>IF(Tabela1[[#This Row],[Idade]]&lt;45,"ATIVO","REFORMA")</f>
        <v>ATIVO</v>
      </c>
      <c r="K35" s="6" t="str">
        <f t="shared" ca="1" si="1"/>
        <v>PRODUÇÃO</v>
      </c>
    </row>
    <row r="36" spans="1:11" x14ac:dyDescent="0.25">
      <c r="A36" s="5">
        <f t="shared" si="3"/>
        <v>33</v>
      </c>
      <c r="B36" s="5" t="s">
        <v>81</v>
      </c>
      <c r="C36" s="1" t="s">
        <v>82</v>
      </c>
      <c r="D36" s="2">
        <f t="shared" ca="1" si="0"/>
        <v>290623</v>
      </c>
      <c r="E36" s="1" t="s">
        <v>12</v>
      </c>
      <c r="F36" s="3">
        <v>38</v>
      </c>
      <c r="G36" s="3" t="s">
        <v>13</v>
      </c>
      <c r="H36" s="1" t="str">
        <f t="shared" ca="1" si="2"/>
        <v>M</v>
      </c>
      <c r="I36" s="4">
        <v>42041</v>
      </c>
      <c r="J36" s="1" t="str">
        <f>IF(Tabela1[[#This Row],[Idade]]&lt;45,"ATIVO","REFORMA")</f>
        <v>ATIVO</v>
      </c>
      <c r="K36" s="6" t="str">
        <f t="shared" ca="1" si="1"/>
        <v>VENDAS</v>
      </c>
    </row>
    <row r="37" spans="1:11" x14ac:dyDescent="0.25">
      <c r="A37" s="5">
        <f t="shared" si="3"/>
        <v>34</v>
      </c>
      <c r="B37" s="5" t="s">
        <v>83</v>
      </c>
      <c r="C37" s="1" t="s">
        <v>84</v>
      </c>
      <c r="D37" s="2">
        <f t="shared" ca="1" si="0"/>
        <v>774339</v>
      </c>
      <c r="E37" s="1" t="s">
        <v>12</v>
      </c>
      <c r="F37" s="3">
        <v>34</v>
      </c>
      <c r="G37" s="3" t="s">
        <v>25</v>
      </c>
      <c r="H37" s="1" t="str">
        <f t="shared" ca="1" si="2"/>
        <v>M</v>
      </c>
      <c r="I37" s="4">
        <v>42138</v>
      </c>
      <c r="J37" s="1" t="str">
        <f>IF(Tabela1[[#This Row],[Idade]]&lt;45,"ATIVO","REFORMA")</f>
        <v>ATIVO</v>
      </c>
      <c r="K37" s="6" t="str">
        <f t="shared" ca="1" si="1"/>
        <v>VENDAS</v>
      </c>
    </row>
    <row r="38" spans="1:11" x14ac:dyDescent="0.25">
      <c r="A38" s="5">
        <f t="shared" si="3"/>
        <v>35</v>
      </c>
      <c r="B38" s="5" t="s">
        <v>85</v>
      </c>
      <c r="C38" s="1" t="s">
        <v>86</v>
      </c>
      <c r="D38" s="2">
        <f t="shared" ca="1" si="0"/>
        <v>730548</v>
      </c>
      <c r="E38" s="1" t="s">
        <v>12</v>
      </c>
      <c r="F38" s="3">
        <v>31</v>
      </c>
      <c r="G38" s="3" t="s">
        <v>25</v>
      </c>
      <c r="H38" s="1" t="str">
        <f t="shared" ca="1" si="2"/>
        <v>F</v>
      </c>
      <c r="I38" s="4">
        <v>42373</v>
      </c>
      <c r="J38" s="1" t="str">
        <f>IF(Tabela1[[#This Row],[Idade]]&lt;45,"ATIVO","REFORMA")</f>
        <v>ATIVO</v>
      </c>
      <c r="K38" s="6" t="str">
        <f t="shared" ca="1" si="1"/>
        <v>VENDAS</v>
      </c>
    </row>
    <row r="39" spans="1:11" x14ac:dyDescent="0.25">
      <c r="A39" s="5">
        <f t="shared" si="3"/>
        <v>36</v>
      </c>
      <c r="B39" s="5" t="s">
        <v>87</v>
      </c>
      <c r="C39" s="1" t="s">
        <v>88</v>
      </c>
      <c r="D39" s="2">
        <f t="shared" ca="1" si="0"/>
        <v>358081</v>
      </c>
      <c r="E39" s="1" t="s">
        <v>12</v>
      </c>
      <c r="F39" s="3">
        <v>27</v>
      </c>
      <c r="G39" s="3" t="s">
        <v>22</v>
      </c>
      <c r="H39" s="1" t="str">
        <f t="shared" ca="1" si="2"/>
        <v>F</v>
      </c>
      <c r="I39" s="4">
        <v>43006</v>
      </c>
      <c r="J39" s="1" t="str">
        <f>IF(Tabela1[[#This Row],[Idade]]&lt;45,"ATIVO","REFORMA")</f>
        <v>ATIVO</v>
      </c>
      <c r="K39" s="6" t="str">
        <f t="shared" ca="1" si="1"/>
        <v>ADMINISTRATIVO</v>
      </c>
    </row>
    <row r="40" spans="1:11" x14ac:dyDescent="0.25">
      <c r="A40" s="5">
        <f t="shared" si="3"/>
        <v>37</v>
      </c>
      <c r="B40" s="5" t="s">
        <v>89</v>
      </c>
      <c r="C40" s="1" t="s">
        <v>90</v>
      </c>
      <c r="D40" s="2">
        <f t="shared" ca="1" si="0"/>
        <v>715563</v>
      </c>
      <c r="E40" s="1" t="s">
        <v>12</v>
      </c>
      <c r="F40" s="3">
        <v>47</v>
      </c>
      <c r="G40" s="3" t="s">
        <v>19</v>
      </c>
      <c r="H40" s="1" t="str">
        <f t="shared" ca="1" si="2"/>
        <v>M</v>
      </c>
      <c r="I40" s="4">
        <v>42138</v>
      </c>
      <c r="J40" s="1" t="str">
        <f>IF(Tabela1[[#This Row],[Idade]]&lt;45,"ATIVO","REFORMA")</f>
        <v>REFORMA</v>
      </c>
      <c r="K40" s="6" t="str">
        <f t="shared" ca="1" si="1"/>
        <v>PRODUÇÃO</v>
      </c>
    </row>
    <row r="41" spans="1:11" x14ac:dyDescent="0.25">
      <c r="A41" s="5">
        <f t="shared" si="3"/>
        <v>38</v>
      </c>
      <c r="B41" s="5" t="s">
        <v>91</v>
      </c>
      <c r="C41" s="1" t="s">
        <v>92</v>
      </c>
      <c r="D41" s="2">
        <f t="shared" ca="1" si="0"/>
        <v>588119</v>
      </c>
      <c r="E41" s="1" t="s">
        <v>12</v>
      </c>
      <c r="F41" s="3">
        <v>32</v>
      </c>
      <c r="G41" s="3" t="s">
        <v>25</v>
      </c>
      <c r="H41" s="1" t="str">
        <f t="shared" ca="1" si="2"/>
        <v>M</v>
      </c>
      <c r="I41" s="4">
        <v>42054</v>
      </c>
      <c r="J41" s="1" t="str">
        <f>IF(Tabela1[[#This Row],[Idade]]&lt;45,"ATIVO","REFORMA")</f>
        <v>ATIVO</v>
      </c>
      <c r="K41" s="6" t="str">
        <f t="shared" ca="1" si="1"/>
        <v>VENDAS</v>
      </c>
    </row>
    <row r="42" spans="1:11" x14ac:dyDescent="0.25">
      <c r="A42" s="5">
        <f t="shared" si="3"/>
        <v>39</v>
      </c>
      <c r="B42" s="5" t="s">
        <v>93</v>
      </c>
      <c r="C42" s="1" t="s">
        <v>94</v>
      </c>
      <c r="D42" s="2">
        <f t="shared" ca="1" si="0"/>
        <v>444721</v>
      </c>
      <c r="E42" s="1" t="s">
        <v>12</v>
      </c>
      <c r="F42" s="3">
        <v>33</v>
      </c>
      <c r="G42" s="3" t="s">
        <v>25</v>
      </c>
      <c r="H42" s="1" t="str">
        <f t="shared" ca="1" si="2"/>
        <v>F</v>
      </c>
      <c r="I42" s="4">
        <v>42824</v>
      </c>
      <c r="J42" s="1" t="str">
        <f>IF(Tabela1[[#This Row],[Idade]]&lt;45,"ATIVO","REFORMA")</f>
        <v>ATIVO</v>
      </c>
      <c r="K42" s="6" t="str">
        <f t="shared" ca="1" si="1"/>
        <v>ADMINISTRATIVO</v>
      </c>
    </row>
    <row r="43" spans="1:11" x14ac:dyDescent="0.25">
      <c r="A43" s="5">
        <f t="shared" si="3"/>
        <v>40</v>
      </c>
      <c r="B43" s="5" t="s">
        <v>95</v>
      </c>
      <c r="C43" s="1" t="s">
        <v>96</v>
      </c>
      <c r="D43" s="2">
        <f t="shared" ca="1" si="0"/>
        <v>343127</v>
      </c>
      <c r="E43" s="1" t="s">
        <v>12</v>
      </c>
      <c r="F43" s="3">
        <v>39</v>
      </c>
      <c r="G43" s="3" t="s">
        <v>13</v>
      </c>
      <c r="H43" s="1" t="str">
        <f t="shared" ca="1" si="2"/>
        <v>M</v>
      </c>
      <c r="I43" s="4">
        <v>43220</v>
      </c>
      <c r="J43" s="1" t="str">
        <f>IF(Tabela1[[#This Row],[Idade]]&lt;45,"ATIVO","REFORMA")</f>
        <v>ATIVO</v>
      </c>
      <c r="K43" s="6" t="str">
        <f t="shared" ca="1" si="1"/>
        <v>ADMINISTRATIVO</v>
      </c>
    </row>
    <row r="44" spans="1:11" x14ac:dyDescent="0.25">
      <c r="A44" s="5">
        <f t="shared" si="3"/>
        <v>41</v>
      </c>
      <c r="B44" s="5" t="s">
        <v>97</v>
      </c>
      <c r="C44" s="1" t="s">
        <v>98</v>
      </c>
      <c r="D44" s="2">
        <f t="shared" ca="1" si="0"/>
        <v>572304</v>
      </c>
      <c r="E44" s="1" t="s">
        <v>12</v>
      </c>
      <c r="F44" s="3">
        <v>41</v>
      </c>
      <c r="G44" s="3" t="s">
        <v>16</v>
      </c>
      <c r="H44" s="1" t="str">
        <f t="shared" ca="1" si="2"/>
        <v>F</v>
      </c>
      <c r="I44" s="4">
        <v>43018</v>
      </c>
      <c r="J44" s="1" t="str">
        <f>IF(Tabela1[[#This Row],[Idade]]&lt;45,"ATIVO","REFORMA")</f>
        <v>ATIVO</v>
      </c>
      <c r="K44" s="6" t="str">
        <f t="shared" ca="1" si="1"/>
        <v>ADMINISTRATIVO</v>
      </c>
    </row>
    <row r="45" spans="1:11" x14ac:dyDescent="0.25">
      <c r="A45" s="5">
        <f t="shared" si="3"/>
        <v>42</v>
      </c>
      <c r="B45" s="5" t="s">
        <v>99</v>
      </c>
      <c r="C45" s="1" t="s">
        <v>100</v>
      </c>
      <c r="D45" s="2">
        <f t="shared" ca="1" si="0"/>
        <v>459195</v>
      </c>
      <c r="E45" s="1" t="s">
        <v>12</v>
      </c>
      <c r="F45" s="3">
        <v>37</v>
      </c>
      <c r="G45" s="3" t="s">
        <v>13</v>
      </c>
      <c r="H45" s="1" t="str">
        <f t="shared" ca="1" si="2"/>
        <v>F</v>
      </c>
      <c r="I45" s="4">
        <v>42824</v>
      </c>
      <c r="J45" s="1" t="str">
        <f>IF(Tabela1[[#This Row],[Idade]]&lt;45,"ATIVO","REFORMA")</f>
        <v>ATIVO</v>
      </c>
      <c r="K45" s="6" t="str">
        <f t="shared" ca="1" si="1"/>
        <v>TI</v>
      </c>
    </row>
    <row r="46" spans="1:11" x14ac:dyDescent="0.25">
      <c r="A46" s="5">
        <f t="shared" si="3"/>
        <v>43</v>
      </c>
      <c r="B46" s="5" t="s">
        <v>101</v>
      </c>
      <c r="C46" s="1" t="s">
        <v>102</v>
      </c>
      <c r="D46" s="2">
        <f t="shared" ca="1" si="0"/>
        <v>120506</v>
      </c>
      <c r="E46" s="1" t="s">
        <v>12</v>
      </c>
      <c r="F46" s="3">
        <v>33</v>
      </c>
      <c r="G46" s="3" t="s">
        <v>25</v>
      </c>
      <c r="H46" s="1" t="str">
        <f t="shared" ca="1" si="2"/>
        <v>M</v>
      </c>
      <c r="I46" s="4">
        <v>41774</v>
      </c>
      <c r="J46" s="1" t="str">
        <f>IF(Tabela1[[#This Row],[Idade]]&lt;45,"ATIVO","REFORMA")</f>
        <v>ATIVO</v>
      </c>
      <c r="K46" s="6" t="str">
        <f t="shared" ca="1" si="1"/>
        <v>TI</v>
      </c>
    </row>
    <row r="47" spans="1:11" x14ac:dyDescent="0.25">
      <c r="A47" s="5">
        <f t="shared" si="3"/>
        <v>44</v>
      </c>
      <c r="B47" s="5" t="s">
        <v>103</v>
      </c>
      <c r="C47" s="1" t="s">
        <v>104</v>
      </c>
      <c r="D47" s="2">
        <f t="shared" ca="1" si="0"/>
        <v>299453</v>
      </c>
      <c r="E47" s="1" t="s">
        <v>12</v>
      </c>
      <c r="F47" s="3">
        <v>52</v>
      </c>
      <c r="G47" s="3" t="s">
        <v>105</v>
      </c>
      <c r="H47" s="1" t="str">
        <f t="shared" ca="1" si="2"/>
        <v>F</v>
      </c>
      <c r="I47" s="4">
        <v>42886</v>
      </c>
      <c r="J47" s="1" t="str">
        <f>IF(Tabela1[[#This Row],[Idade]]&lt;45,"ATIVO","REFORMA")</f>
        <v>REFORMA</v>
      </c>
      <c r="K47" s="6" t="str">
        <f t="shared" ca="1" si="1"/>
        <v>ADMINISTRATIVO</v>
      </c>
    </row>
    <row r="48" spans="1:11" x14ac:dyDescent="0.25">
      <c r="A48" s="5">
        <f t="shared" si="3"/>
        <v>45</v>
      </c>
      <c r="B48" s="5" t="s">
        <v>106</v>
      </c>
      <c r="C48" s="1" t="s">
        <v>107</v>
      </c>
      <c r="D48" s="2">
        <f t="shared" ca="1" si="0"/>
        <v>390734</v>
      </c>
      <c r="E48" s="1" t="s">
        <v>12</v>
      </c>
      <c r="F48" s="3">
        <v>39</v>
      </c>
      <c r="G48" s="3" t="s">
        <v>13</v>
      </c>
      <c r="H48" s="1" t="str">
        <f t="shared" ca="1" si="2"/>
        <v>F</v>
      </c>
      <c r="I48" s="4">
        <v>42642</v>
      </c>
      <c r="J48" s="1" t="str">
        <f>IF(Tabela1[[#This Row],[Idade]]&lt;45,"ATIVO","REFORMA")</f>
        <v>ATIVO</v>
      </c>
      <c r="K48" s="6" t="str">
        <f t="shared" ca="1" si="1"/>
        <v>PRODUÇÃO</v>
      </c>
    </row>
    <row r="49" spans="1:11" x14ac:dyDescent="0.25">
      <c r="A49" s="5">
        <f t="shared" si="3"/>
        <v>46</v>
      </c>
      <c r="B49" s="5" t="s">
        <v>108</v>
      </c>
      <c r="C49" s="1" t="s">
        <v>109</v>
      </c>
      <c r="D49" s="2">
        <f t="shared" ca="1" si="0"/>
        <v>162705</v>
      </c>
      <c r="E49" s="1" t="s">
        <v>12</v>
      </c>
      <c r="F49" s="3">
        <v>54</v>
      </c>
      <c r="G49" s="3" t="s">
        <v>105</v>
      </c>
      <c r="H49" s="1" t="str">
        <f t="shared" ca="1" si="2"/>
        <v>F</v>
      </c>
      <c r="I49" s="4">
        <v>42886</v>
      </c>
      <c r="J49" s="1" t="str">
        <f>IF(Tabela1[[#This Row],[Idade]]&lt;45,"ATIVO","REFORMA")</f>
        <v>REFORMA</v>
      </c>
      <c r="K49" s="6" t="str">
        <f t="shared" ca="1" si="1"/>
        <v>VENDAS</v>
      </c>
    </row>
    <row r="50" spans="1:11" x14ac:dyDescent="0.25">
      <c r="A50" s="5">
        <f t="shared" si="3"/>
        <v>47</v>
      </c>
      <c r="B50" s="5" t="s">
        <v>110</v>
      </c>
      <c r="C50" s="1" t="s">
        <v>111</v>
      </c>
      <c r="D50" s="2">
        <f t="shared" ca="1" si="0"/>
        <v>482059</v>
      </c>
      <c r="E50" s="1" t="s">
        <v>12</v>
      </c>
      <c r="F50" s="3">
        <v>31</v>
      </c>
      <c r="G50" s="3" t="s">
        <v>25</v>
      </c>
      <c r="H50" s="1" t="str">
        <f t="shared" ca="1" si="2"/>
        <v>M</v>
      </c>
      <c r="I50" s="4">
        <v>42782</v>
      </c>
      <c r="J50" s="1" t="str">
        <f>IF(Tabela1[[#This Row],[Idade]]&lt;45,"ATIVO","REFORMA")</f>
        <v>ATIVO</v>
      </c>
      <c r="K50" s="6" t="str">
        <f t="shared" ca="1" si="1"/>
        <v>ADMINISTRATIVO</v>
      </c>
    </row>
    <row r="51" spans="1:11" x14ac:dyDescent="0.25">
      <c r="A51" s="5">
        <f t="shared" si="3"/>
        <v>48</v>
      </c>
      <c r="B51" s="5" t="s">
        <v>112</v>
      </c>
      <c r="C51" s="1" t="s">
        <v>113</v>
      </c>
      <c r="D51" s="2">
        <f t="shared" ca="1" si="0"/>
        <v>464218</v>
      </c>
      <c r="E51" s="1" t="s">
        <v>12</v>
      </c>
      <c r="F51" s="3">
        <v>33</v>
      </c>
      <c r="G51" s="3" t="s">
        <v>25</v>
      </c>
      <c r="H51" s="1" t="str">
        <f t="shared" ca="1" si="2"/>
        <v>F</v>
      </c>
      <c r="I51" s="4">
        <v>42642</v>
      </c>
      <c r="J51" s="1" t="str">
        <f>IF(Tabela1[[#This Row],[Idade]]&lt;45,"ATIVO","REFORMA")</f>
        <v>ATIVO</v>
      </c>
      <c r="K51" s="6" t="str">
        <f t="shared" ca="1" si="1"/>
        <v>TI</v>
      </c>
    </row>
    <row r="52" spans="1:11" x14ac:dyDescent="0.25">
      <c r="A52" s="5">
        <f t="shared" si="3"/>
        <v>49</v>
      </c>
      <c r="B52" s="5" t="s">
        <v>114</v>
      </c>
      <c r="C52" s="1" t="s">
        <v>115</v>
      </c>
      <c r="D52" s="2">
        <f t="shared" ca="1" si="0"/>
        <v>458804</v>
      </c>
      <c r="E52" s="1" t="s">
        <v>12</v>
      </c>
      <c r="F52" s="3">
        <v>57</v>
      </c>
      <c r="G52" s="3" t="s">
        <v>105</v>
      </c>
      <c r="H52" s="1" t="str">
        <f t="shared" ca="1" si="2"/>
        <v>M</v>
      </c>
      <c r="I52" s="4">
        <v>42600</v>
      </c>
      <c r="J52" s="1" t="str">
        <f>IF(Tabela1[[#This Row],[Idade]]&lt;45,"ATIVO","REFORMA")</f>
        <v>REFORMA</v>
      </c>
      <c r="K52" s="6" t="str">
        <f t="shared" ca="1" si="1"/>
        <v>TI</v>
      </c>
    </row>
    <row r="53" spans="1:11" x14ac:dyDescent="0.25">
      <c r="A53" s="5">
        <f t="shared" si="3"/>
        <v>50</v>
      </c>
      <c r="B53" s="5" t="s">
        <v>116</v>
      </c>
      <c r="C53" s="1" t="s">
        <v>117</v>
      </c>
      <c r="D53" s="2">
        <f t="shared" ca="1" si="0"/>
        <v>473350</v>
      </c>
      <c r="E53" s="1" t="s">
        <v>12</v>
      </c>
      <c r="F53" s="3">
        <v>27</v>
      </c>
      <c r="G53" s="3" t="s">
        <v>22</v>
      </c>
      <c r="H53" s="1" t="str">
        <f t="shared" ca="1" si="2"/>
        <v>M</v>
      </c>
      <c r="I53" s="4">
        <v>41707</v>
      </c>
      <c r="J53" s="1" t="str">
        <f>IF(Tabela1[[#This Row],[Idade]]&lt;45,"ATIVO","REFORMA")</f>
        <v>ATIVO</v>
      </c>
      <c r="K53" s="6" t="str">
        <f t="shared" ca="1" si="1"/>
        <v>TI</v>
      </c>
    </row>
    <row r="54" spans="1:11" x14ac:dyDescent="0.25">
      <c r="A54" s="5">
        <f t="shared" si="3"/>
        <v>51</v>
      </c>
      <c r="B54" s="5" t="s">
        <v>118</v>
      </c>
      <c r="C54" s="1" t="s">
        <v>119</v>
      </c>
      <c r="D54" s="2">
        <f t="shared" ca="1" si="0"/>
        <v>291248</v>
      </c>
      <c r="E54" s="1" t="s">
        <v>12</v>
      </c>
      <c r="F54" s="3">
        <v>33</v>
      </c>
      <c r="G54" s="3" t="s">
        <v>25</v>
      </c>
      <c r="H54" s="1" t="str">
        <f t="shared" ca="1" si="2"/>
        <v>M</v>
      </c>
      <c r="I54" s="4">
        <v>43073</v>
      </c>
      <c r="J54" s="1" t="str">
        <f>IF(Tabela1[[#This Row],[Idade]]&lt;45,"ATIVO","REFORMA")</f>
        <v>ATIVO</v>
      </c>
      <c r="K54" s="6" t="str">
        <f t="shared" ca="1" si="1"/>
        <v>PRODUÇÃO</v>
      </c>
    </row>
    <row r="55" spans="1:11" x14ac:dyDescent="0.25">
      <c r="A55" s="5">
        <f t="shared" si="3"/>
        <v>52</v>
      </c>
      <c r="B55" s="5" t="s">
        <v>120</v>
      </c>
      <c r="C55" s="1" t="s">
        <v>121</v>
      </c>
      <c r="D55" s="2">
        <f t="shared" ca="1" si="0"/>
        <v>383293</v>
      </c>
      <c r="E55" s="1" t="s">
        <v>12</v>
      </c>
      <c r="F55" s="3">
        <v>29</v>
      </c>
      <c r="G55" s="3" t="s">
        <v>22</v>
      </c>
      <c r="H55" s="1" t="str">
        <f t="shared" ca="1" si="2"/>
        <v>M</v>
      </c>
      <c r="I55" s="4">
        <v>42054</v>
      </c>
      <c r="J55" s="1" t="str">
        <f>IF(Tabela1[[#This Row],[Idade]]&lt;45,"ATIVO","REFORMA")</f>
        <v>ATIVO</v>
      </c>
      <c r="K55" s="6" t="str">
        <f t="shared" ca="1" si="1"/>
        <v>PRODUÇÃO</v>
      </c>
    </row>
    <row r="56" spans="1:11" x14ac:dyDescent="0.25">
      <c r="A56" s="5">
        <f t="shared" si="3"/>
        <v>53</v>
      </c>
      <c r="B56" s="5" t="s">
        <v>122</v>
      </c>
      <c r="C56" s="1" t="s">
        <v>123</v>
      </c>
      <c r="D56" s="2">
        <f t="shared" ca="1" si="0"/>
        <v>776417</v>
      </c>
      <c r="E56" s="1" t="s">
        <v>12</v>
      </c>
      <c r="F56" s="3">
        <v>23</v>
      </c>
      <c r="G56" s="3" t="s">
        <v>40</v>
      </c>
      <c r="H56" s="1" t="str">
        <f t="shared" ca="1" si="2"/>
        <v>F</v>
      </c>
      <c r="I56" s="4">
        <v>42684</v>
      </c>
      <c r="J56" s="1" t="str">
        <f>IF(Tabela1[[#This Row],[Idade]]&lt;45,"ATIVO","REFORMA")</f>
        <v>ATIVO</v>
      </c>
      <c r="K56" s="6" t="str">
        <f t="shared" ca="1" si="1"/>
        <v>ADMINISTRATIVO</v>
      </c>
    </row>
    <row r="57" spans="1:11" x14ac:dyDescent="0.25">
      <c r="A57" s="5">
        <f t="shared" si="3"/>
        <v>54</v>
      </c>
      <c r="B57" s="5" t="s">
        <v>124</v>
      </c>
      <c r="C57" s="1" t="s">
        <v>125</v>
      </c>
      <c r="D57" s="2">
        <f t="shared" ca="1" si="0"/>
        <v>416448</v>
      </c>
      <c r="E57" s="1" t="s">
        <v>12</v>
      </c>
      <c r="F57" s="3">
        <v>32</v>
      </c>
      <c r="G57" s="3" t="s">
        <v>25</v>
      </c>
      <c r="H57" s="1" t="str">
        <f t="shared" ca="1" si="2"/>
        <v>F</v>
      </c>
      <c r="I57" s="4">
        <v>42229</v>
      </c>
      <c r="J57" s="1" t="str">
        <f>IF(Tabela1[[#This Row],[Idade]]&lt;45,"ATIVO","REFORMA")</f>
        <v>ATIVO</v>
      </c>
      <c r="K57" s="6" t="str">
        <f t="shared" ca="1" si="1"/>
        <v>ADMINISTRATIVO</v>
      </c>
    </row>
    <row r="58" spans="1:11" x14ac:dyDescent="0.25">
      <c r="A58" s="5">
        <f t="shared" si="3"/>
        <v>55</v>
      </c>
      <c r="B58" s="5" t="s">
        <v>126</v>
      </c>
      <c r="C58" s="1" t="s">
        <v>127</v>
      </c>
      <c r="D58" s="2">
        <f t="shared" ca="1" si="0"/>
        <v>143397</v>
      </c>
      <c r="E58" s="1" t="s">
        <v>12</v>
      </c>
      <c r="F58" s="3">
        <v>38</v>
      </c>
      <c r="G58" s="3" t="s">
        <v>13</v>
      </c>
      <c r="H58" s="1" t="str">
        <f t="shared" ca="1" si="2"/>
        <v>M</v>
      </c>
      <c r="I58" s="4">
        <v>42782</v>
      </c>
      <c r="J58" s="1" t="str">
        <f>IF(Tabela1[[#This Row],[Idade]]&lt;45,"ATIVO","REFORMA")</f>
        <v>ATIVO</v>
      </c>
      <c r="K58" s="6" t="str">
        <f t="shared" ca="1" si="1"/>
        <v>TI</v>
      </c>
    </row>
    <row r="59" spans="1:11" x14ac:dyDescent="0.25">
      <c r="A59" s="5">
        <f t="shared" si="3"/>
        <v>56</v>
      </c>
      <c r="B59" s="5" t="s">
        <v>128</v>
      </c>
      <c r="C59" s="1" t="s">
        <v>129</v>
      </c>
      <c r="D59" s="2">
        <f t="shared" ca="1" si="0"/>
        <v>545565</v>
      </c>
      <c r="E59" s="1" t="s">
        <v>12</v>
      </c>
      <c r="F59" s="3">
        <v>29</v>
      </c>
      <c r="G59" s="3" t="s">
        <v>22</v>
      </c>
      <c r="H59" s="1" t="str">
        <f t="shared" ca="1" si="2"/>
        <v>F</v>
      </c>
      <c r="I59" s="4">
        <v>42886</v>
      </c>
      <c r="J59" s="1" t="str">
        <f>IF(Tabela1[[#This Row],[Idade]]&lt;45,"ATIVO","REFORMA")</f>
        <v>ATIVO</v>
      </c>
      <c r="K59" s="6" t="str">
        <f t="shared" ca="1" si="1"/>
        <v>TI</v>
      </c>
    </row>
    <row r="60" spans="1:11" x14ac:dyDescent="0.25">
      <c r="A60" s="5">
        <f t="shared" si="3"/>
        <v>57</v>
      </c>
      <c r="B60" s="5" t="s">
        <v>130</v>
      </c>
      <c r="C60" s="1" t="s">
        <v>131</v>
      </c>
      <c r="D60" s="2">
        <f t="shared" ca="1" si="0"/>
        <v>246951</v>
      </c>
      <c r="E60" s="1" t="s">
        <v>12</v>
      </c>
      <c r="F60" s="3">
        <v>42</v>
      </c>
      <c r="G60" s="3" t="s">
        <v>16</v>
      </c>
      <c r="H60" s="1" t="str">
        <f t="shared" ca="1" si="2"/>
        <v>F</v>
      </c>
      <c r="I60" s="4">
        <v>41389</v>
      </c>
      <c r="J60" s="1" t="str">
        <f>IF(Tabela1[[#This Row],[Idade]]&lt;45,"ATIVO","REFORMA")</f>
        <v>ATIVO</v>
      </c>
      <c r="K60" s="6" t="str">
        <f t="shared" ca="1" si="1"/>
        <v>ADMINISTRATIVO</v>
      </c>
    </row>
    <row r="61" spans="1:11" x14ac:dyDescent="0.25">
      <c r="A61" s="5">
        <f t="shared" si="3"/>
        <v>58</v>
      </c>
      <c r="B61" s="5" t="s">
        <v>132</v>
      </c>
      <c r="C61" s="1" t="s">
        <v>133</v>
      </c>
      <c r="D61" s="2">
        <f t="shared" ca="1" si="0"/>
        <v>100317</v>
      </c>
      <c r="E61" s="1" t="s">
        <v>12</v>
      </c>
      <c r="F61" s="3">
        <v>51</v>
      </c>
      <c r="G61" s="3" t="s">
        <v>105</v>
      </c>
      <c r="H61" s="1" t="str">
        <f t="shared" ca="1" si="2"/>
        <v>F</v>
      </c>
      <c r="I61" s="4">
        <v>42684</v>
      </c>
      <c r="J61" s="1" t="str">
        <f>IF(Tabela1[[#This Row],[Idade]]&lt;45,"ATIVO","REFORMA")</f>
        <v>REFORMA</v>
      </c>
      <c r="K61" s="6" t="str">
        <f t="shared" ca="1" si="1"/>
        <v>VENDAS</v>
      </c>
    </row>
    <row r="62" spans="1:11" x14ac:dyDescent="0.25">
      <c r="A62" s="5">
        <f t="shared" si="3"/>
        <v>59</v>
      </c>
      <c r="B62" s="5" t="s">
        <v>134</v>
      </c>
      <c r="C62" s="1" t="s">
        <v>135</v>
      </c>
      <c r="D62" s="2">
        <f t="shared" ca="1" si="0"/>
        <v>140247</v>
      </c>
      <c r="E62" s="1" t="s">
        <v>12</v>
      </c>
      <c r="F62" s="3">
        <v>36</v>
      </c>
      <c r="G62" s="3" t="s">
        <v>13</v>
      </c>
      <c r="H62" s="1" t="str">
        <f t="shared" ca="1" si="2"/>
        <v>M</v>
      </c>
      <c r="I62" s="4">
        <v>42588</v>
      </c>
      <c r="J62" s="1" t="str">
        <f>IF(Tabela1[[#This Row],[Idade]]&lt;45,"ATIVO","REFORMA")</f>
        <v>ATIVO</v>
      </c>
      <c r="K62" s="6" t="str">
        <f t="shared" ca="1" si="1"/>
        <v>PRODUÇÃO</v>
      </c>
    </row>
    <row r="63" spans="1:11" x14ac:dyDescent="0.25">
      <c r="A63" s="5">
        <f t="shared" si="3"/>
        <v>60</v>
      </c>
      <c r="B63" s="5" t="s">
        <v>136</v>
      </c>
      <c r="C63" s="1" t="s">
        <v>137</v>
      </c>
      <c r="D63" s="2">
        <f t="shared" ca="1" si="0"/>
        <v>794462</v>
      </c>
      <c r="E63" s="1" t="s">
        <v>12</v>
      </c>
      <c r="F63" s="3">
        <v>50</v>
      </c>
      <c r="G63" s="3" t="s">
        <v>19</v>
      </c>
      <c r="H63" s="1" t="str">
        <f t="shared" ca="1" si="2"/>
        <v>F</v>
      </c>
      <c r="I63" s="4">
        <v>42642</v>
      </c>
      <c r="J63" s="1" t="str">
        <f>IF(Tabela1[[#This Row],[Idade]]&lt;45,"ATIVO","REFORMA")</f>
        <v>REFORMA</v>
      </c>
      <c r="K63" s="6" t="str">
        <f t="shared" ca="1" si="1"/>
        <v>PRODUÇÃO</v>
      </c>
    </row>
    <row r="64" spans="1:11" x14ac:dyDescent="0.25">
      <c r="A64" s="5">
        <f t="shared" si="3"/>
        <v>61</v>
      </c>
      <c r="B64" s="5" t="s">
        <v>138</v>
      </c>
      <c r="C64" s="1" t="s">
        <v>139</v>
      </c>
      <c r="D64" s="2">
        <f t="shared" ca="1" si="0"/>
        <v>692972</v>
      </c>
      <c r="E64" s="1" t="s">
        <v>12</v>
      </c>
      <c r="F64" s="3">
        <v>28</v>
      </c>
      <c r="G64" s="3" t="s">
        <v>22</v>
      </c>
      <c r="H64" s="1" t="str">
        <f t="shared" ca="1" si="2"/>
        <v>F</v>
      </c>
      <c r="I64" s="4">
        <v>42551</v>
      </c>
      <c r="J64" s="1" t="str">
        <f>IF(Tabela1[[#This Row],[Idade]]&lt;45,"ATIVO","REFORMA")</f>
        <v>ATIVO</v>
      </c>
      <c r="K64" s="6" t="str">
        <f t="shared" ca="1" si="1"/>
        <v>PRODUÇÃO</v>
      </c>
    </row>
    <row r="65" spans="1:11" x14ac:dyDescent="0.25">
      <c r="A65" s="5">
        <f t="shared" si="3"/>
        <v>62</v>
      </c>
      <c r="B65" s="5" t="s">
        <v>140</v>
      </c>
      <c r="C65" s="1" t="s">
        <v>141</v>
      </c>
      <c r="D65" s="2">
        <f t="shared" ca="1" si="0"/>
        <v>123011</v>
      </c>
      <c r="E65" s="1" t="s">
        <v>12</v>
      </c>
      <c r="F65" s="3">
        <v>33</v>
      </c>
      <c r="G65" s="3" t="s">
        <v>25</v>
      </c>
      <c r="H65" s="1" t="str">
        <f t="shared" ca="1" si="2"/>
        <v>F</v>
      </c>
      <c r="I65" s="4">
        <v>41912</v>
      </c>
      <c r="J65" s="1" t="str">
        <f>IF(Tabela1[[#This Row],[Idade]]&lt;45,"ATIVO","REFORMA")</f>
        <v>ATIVO</v>
      </c>
      <c r="K65" s="6" t="str">
        <f t="shared" ca="1" si="1"/>
        <v>VENDAS</v>
      </c>
    </row>
    <row r="66" spans="1:11" x14ac:dyDescent="0.25">
      <c r="A66" s="5">
        <f t="shared" si="3"/>
        <v>63</v>
      </c>
      <c r="B66" s="5" t="s">
        <v>142</v>
      </c>
      <c r="C66" s="1" t="s">
        <v>143</v>
      </c>
      <c r="D66" s="2">
        <f t="shared" ca="1" si="0"/>
        <v>172302</v>
      </c>
      <c r="E66" s="1" t="s">
        <v>12</v>
      </c>
      <c r="F66" s="3">
        <v>32</v>
      </c>
      <c r="G66" s="3" t="s">
        <v>25</v>
      </c>
      <c r="H66" s="1" t="str">
        <f t="shared" ca="1" si="2"/>
        <v>F</v>
      </c>
      <c r="I66" s="4">
        <v>41765</v>
      </c>
      <c r="J66" s="1" t="str">
        <f>IF(Tabela1[[#This Row],[Idade]]&lt;45,"ATIVO","REFORMA")</f>
        <v>ATIVO</v>
      </c>
      <c r="K66" s="6" t="str">
        <f t="shared" ca="1" si="1"/>
        <v>PRODUÇÃO</v>
      </c>
    </row>
    <row r="67" spans="1:11" x14ac:dyDescent="0.25">
      <c r="A67" s="5">
        <f t="shared" si="3"/>
        <v>64</v>
      </c>
      <c r="B67" s="5" t="s">
        <v>144</v>
      </c>
      <c r="C67" s="1" t="s">
        <v>145</v>
      </c>
      <c r="D67" s="2">
        <f t="shared" ca="1" si="0"/>
        <v>780257</v>
      </c>
      <c r="E67" s="1" t="s">
        <v>12</v>
      </c>
      <c r="F67" s="3">
        <v>65</v>
      </c>
      <c r="G67" s="3" t="s">
        <v>105</v>
      </c>
      <c r="H67" s="1" t="str">
        <f t="shared" ca="1" si="2"/>
        <v>M</v>
      </c>
      <c r="I67" s="4">
        <v>43006</v>
      </c>
      <c r="J67" s="1" t="str">
        <f>IF(Tabela1[[#This Row],[Idade]]&lt;45,"ATIVO","REFORMA")</f>
        <v>REFORMA</v>
      </c>
      <c r="K67" s="6" t="str">
        <f t="shared" ca="1" si="1"/>
        <v>ADMINISTRATIVO</v>
      </c>
    </row>
    <row r="68" spans="1:11" x14ac:dyDescent="0.25">
      <c r="A68" s="5">
        <f t="shared" si="3"/>
        <v>65</v>
      </c>
      <c r="B68" s="5" t="s">
        <v>146</v>
      </c>
      <c r="C68" s="1" t="s">
        <v>147</v>
      </c>
      <c r="D68" s="2">
        <f t="shared" ref="D68:D131" ca="1" si="4">RANDBETWEEN(100000,800000)</f>
        <v>421969</v>
      </c>
      <c r="E68" s="1" t="s">
        <v>12</v>
      </c>
      <c r="F68" s="3">
        <v>28</v>
      </c>
      <c r="G68" s="3" t="s">
        <v>22</v>
      </c>
      <c r="H68" s="1" t="str">
        <f t="shared" ref="H68:H131" ca="1" si="5">CHOOSE(RANDBETWEEN(1,2),"F","M")</f>
        <v>M</v>
      </c>
      <c r="I68" s="4">
        <v>43623</v>
      </c>
      <c r="J68" s="1" t="str">
        <f>IF(Tabela1[[#This Row],[Idade]]&lt;45,"ATIVO","REFORMA")</f>
        <v>ATIVO</v>
      </c>
      <c r="K68" s="6" t="str">
        <f t="shared" ref="K68:K131" ca="1" si="6">CHOOSE(RANDBETWEEN(1,4),"PRODUÇÃO","VENDAS","ADMINISTRATIVO","TI")</f>
        <v>ADMINISTRATIVO</v>
      </c>
    </row>
    <row r="69" spans="1:11" x14ac:dyDescent="0.25">
      <c r="A69" s="5">
        <f t="shared" si="3"/>
        <v>66</v>
      </c>
      <c r="B69" s="5" t="s">
        <v>148</v>
      </c>
      <c r="C69" s="1" t="s">
        <v>149</v>
      </c>
      <c r="D69" s="2">
        <f t="shared" ca="1" si="4"/>
        <v>314731</v>
      </c>
      <c r="E69" s="1" t="s">
        <v>12</v>
      </c>
      <c r="F69" s="3">
        <v>26</v>
      </c>
      <c r="G69" s="3" t="s">
        <v>22</v>
      </c>
      <c r="H69" s="1" t="str">
        <f t="shared" ca="1" si="5"/>
        <v>F</v>
      </c>
      <c r="I69" s="4">
        <v>43188</v>
      </c>
      <c r="J69" s="1" t="str">
        <f>IF(Tabela1[[#This Row],[Idade]]&lt;45,"ATIVO","REFORMA")</f>
        <v>ATIVO</v>
      </c>
      <c r="K69" s="6" t="str">
        <f t="shared" ca="1" si="6"/>
        <v>ADMINISTRATIVO</v>
      </c>
    </row>
    <row r="70" spans="1:11" x14ac:dyDescent="0.25">
      <c r="A70" s="5">
        <f t="shared" ref="A70:A133" si="7">A69+1</f>
        <v>67</v>
      </c>
      <c r="B70" s="5" t="s">
        <v>150</v>
      </c>
      <c r="C70" s="1" t="s">
        <v>151</v>
      </c>
      <c r="D70" s="2">
        <f t="shared" ca="1" si="4"/>
        <v>515377</v>
      </c>
      <c r="E70" s="1" t="s">
        <v>12</v>
      </c>
      <c r="F70" s="3">
        <v>39</v>
      </c>
      <c r="G70" s="3" t="s">
        <v>13</v>
      </c>
      <c r="H70" s="1" t="str">
        <f t="shared" ca="1" si="5"/>
        <v>F</v>
      </c>
      <c r="I70" s="4">
        <v>41970</v>
      </c>
      <c r="J70" s="1" t="str">
        <f>IF(Tabela1[[#This Row],[Idade]]&lt;45,"ATIVO","REFORMA")</f>
        <v>ATIVO</v>
      </c>
      <c r="K70" s="6" t="str">
        <f t="shared" ca="1" si="6"/>
        <v>PRODUÇÃO</v>
      </c>
    </row>
    <row r="71" spans="1:11" x14ac:dyDescent="0.25">
      <c r="A71" s="5">
        <f t="shared" si="7"/>
        <v>68</v>
      </c>
      <c r="B71" s="5" t="s">
        <v>152</v>
      </c>
      <c r="C71" s="1" t="s">
        <v>153</v>
      </c>
      <c r="D71" s="2">
        <f t="shared" ca="1" si="4"/>
        <v>275971</v>
      </c>
      <c r="E71" s="1" t="s">
        <v>12</v>
      </c>
      <c r="F71" s="3">
        <v>40</v>
      </c>
      <c r="G71" s="3" t="s">
        <v>13</v>
      </c>
      <c r="H71" s="1" t="str">
        <f t="shared" ca="1" si="5"/>
        <v>F</v>
      </c>
      <c r="I71" s="4">
        <v>42642</v>
      </c>
      <c r="J71" s="1" t="str">
        <f>IF(Tabela1[[#This Row],[Idade]]&lt;45,"ATIVO","REFORMA")</f>
        <v>ATIVO</v>
      </c>
      <c r="K71" s="6" t="str">
        <f t="shared" ca="1" si="6"/>
        <v>ADMINISTRATIVO</v>
      </c>
    </row>
    <row r="72" spans="1:11" x14ac:dyDescent="0.25">
      <c r="A72" s="5">
        <f t="shared" si="7"/>
        <v>69</v>
      </c>
      <c r="B72" s="5" t="s">
        <v>154</v>
      </c>
      <c r="C72" s="1" t="s">
        <v>155</v>
      </c>
      <c r="D72" s="2">
        <f t="shared" ca="1" si="4"/>
        <v>687294</v>
      </c>
      <c r="E72" s="1" t="s">
        <v>12</v>
      </c>
      <c r="F72" s="3">
        <v>39</v>
      </c>
      <c r="G72" s="3" t="s">
        <v>13</v>
      </c>
      <c r="H72" s="1" t="str">
        <f t="shared" ca="1" si="5"/>
        <v>M</v>
      </c>
      <c r="I72" s="4">
        <v>43188</v>
      </c>
      <c r="J72" s="1" t="str">
        <f>IF(Tabela1[[#This Row],[Idade]]&lt;45,"ATIVO","REFORMA")</f>
        <v>ATIVO</v>
      </c>
      <c r="K72" s="6" t="str">
        <f t="shared" ca="1" si="6"/>
        <v>ADMINISTRATIVO</v>
      </c>
    </row>
    <row r="73" spans="1:11" x14ac:dyDescent="0.25">
      <c r="A73" s="5">
        <f t="shared" si="7"/>
        <v>70</v>
      </c>
      <c r="B73" s="5" t="s">
        <v>156</v>
      </c>
      <c r="C73" s="1" t="s">
        <v>157</v>
      </c>
      <c r="D73" s="2">
        <f t="shared" ca="1" si="4"/>
        <v>790567</v>
      </c>
      <c r="E73" s="1" t="s">
        <v>12</v>
      </c>
      <c r="F73" s="3">
        <v>36</v>
      </c>
      <c r="G73" s="3" t="s">
        <v>13</v>
      </c>
      <c r="H73" s="1" t="str">
        <f t="shared" ca="1" si="5"/>
        <v>F</v>
      </c>
      <c r="I73" s="4">
        <v>42782</v>
      </c>
      <c r="J73" s="1" t="str">
        <f>IF(Tabela1[[#This Row],[Idade]]&lt;45,"ATIVO","REFORMA")</f>
        <v>ATIVO</v>
      </c>
      <c r="K73" s="6" t="str">
        <f t="shared" ca="1" si="6"/>
        <v>PRODUÇÃO</v>
      </c>
    </row>
    <row r="74" spans="1:11" x14ac:dyDescent="0.25">
      <c r="A74" s="5">
        <f t="shared" si="7"/>
        <v>71</v>
      </c>
      <c r="B74" s="5" t="s">
        <v>158</v>
      </c>
      <c r="C74" s="1" t="s">
        <v>159</v>
      </c>
      <c r="D74" s="2">
        <f t="shared" ca="1" si="4"/>
        <v>624062</v>
      </c>
      <c r="E74" s="1" t="s">
        <v>12</v>
      </c>
      <c r="F74" s="3">
        <v>33</v>
      </c>
      <c r="G74" s="3" t="s">
        <v>25</v>
      </c>
      <c r="H74" s="1" t="str">
        <f t="shared" ca="1" si="5"/>
        <v>F</v>
      </c>
      <c r="I74" s="4">
        <v>43220</v>
      </c>
      <c r="J74" s="1" t="str">
        <f>IF(Tabela1[[#This Row],[Idade]]&lt;45,"ATIVO","REFORMA")</f>
        <v>ATIVO</v>
      </c>
      <c r="K74" s="6" t="str">
        <f t="shared" ca="1" si="6"/>
        <v>VENDAS</v>
      </c>
    </row>
    <row r="75" spans="1:11" x14ac:dyDescent="0.25">
      <c r="A75" s="5">
        <f t="shared" si="7"/>
        <v>72</v>
      </c>
      <c r="B75" s="5" t="s">
        <v>160</v>
      </c>
      <c r="C75" s="1" t="s">
        <v>161</v>
      </c>
      <c r="D75" s="2">
        <f t="shared" ca="1" si="4"/>
        <v>654275</v>
      </c>
      <c r="E75" s="1" t="s">
        <v>12</v>
      </c>
      <c r="F75" s="3">
        <v>30</v>
      </c>
      <c r="G75" s="3" t="s">
        <v>22</v>
      </c>
      <c r="H75" s="1" t="str">
        <f t="shared" ca="1" si="5"/>
        <v>F</v>
      </c>
      <c r="I75" s="4">
        <v>43226</v>
      </c>
      <c r="J75" s="1" t="str">
        <f>IF(Tabela1[[#This Row],[Idade]]&lt;45,"ATIVO","REFORMA")</f>
        <v>ATIVO</v>
      </c>
      <c r="K75" s="6" t="str">
        <f t="shared" ca="1" si="6"/>
        <v>ADMINISTRATIVO</v>
      </c>
    </row>
    <row r="76" spans="1:11" x14ac:dyDescent="0.25">
      <c r="A76" s="5">
        <f t="shared" si="7"/>
        <v>73</v>
      </c>
      <c r="B76" s="5" t="s">
        <v>162</v>
      </c>
      <c r="C76" s="1" t="s">
        <v>163</v>
      </c>
      <c r="D76" s="2">
        <f t="shared" ca="1" si="4"/>
        <v>449522</v>
      </c>
      <c r="E76" s="1" t="s">
        <v>12</v>
      </c>
      <c r="F76" s="3">
        <v>32</v>
      </c>
      <c r="G76" s="3" t="s">
        <v>25</v>
      </c>
      <c r="H76" s="1" t="str">
        <f t="shared" ca="1" si="5"/>
        <v>F</v>
      </c>
      <c r="I76" s="4">
        <v>42588</v>
      </c>
      <c r="J76" s="1" t="str">
        <f>IF(Tabela1[[#This Row],[Idade]]&lt;45,"ATIVO","REFORMA")</f>
        <v>ATIVO</v>
      </c>
      <c r="K76" s="6" t="str">
        <f t="shared" ca="1" si="6"/>
        <v>VENDAS</v>
      </c>
    </row>
    <row r="77" spans="1:11" x14ac:dyDescent="0.25">
      <c r="A77" s="5">
        <f t="shared" si="7"/>
        <v>74</v>
      </c>
      <c r="B77" s="5" t="s">
        <v>164</v>
      </c>
      <c r="C77" s="1" t="s">
        <v>165</v>
      </c>
      <c r="D77" s="2">
        <f t="shared" ca="1" si="4"/>
        <v>633001</v>
      </c>
      <c r="E77" s="1" t="s">
        <v>12</v>
      </c>
      <c r="F77" s="3">
        <v>42</v>
      </c>
      <c r="G77" s="3" t="s">
        <v>16</v>
      </c>
      <c r="H77" s="1" t="str">
        <f t="shared" ca="1" si="5"/>
        <v>M</v>
      </c>
      <c r="I77" s="4">
        <v>41970</v>
      </c>
      <c r="J77" s="1" t="str">
        <f>IF(Tabela1[[#This Row],[Idade]]&lt;45,"ATIVO","REFORMA")</f>
        <v>ATIVO</v>
      </c>
      <c r="K77" s="6" t="str">
        <f t="shared" ca="1" si="6"/>
        <v>ADMINISTRATIVO</v>
      </c>
    </row>
    <row r="78" spans="1:11" x14ac:dyDescent="0.25">
      <c r="A78" s="5">
        <f t="shared" si="7"/>
        <v>75</v>
      </c>
      <c r="B78" s="5" t="s">
        <v>166</v>
      </c>
      <c r="C78" s="1" t="s">
        <v>167</v>
      </c>
      <c r="D78" s="2">
        <f t="shared" ca="1" si="4"/>
        <v>643844</v>
      </c>
      <c r="E78" s="1" t="s">
        <v>12</v>
      </c>
      <c r="F78" s="3">
        <v>46</v>
      </c>
      <c r="G78" s="3" t="s">
        <v>19</v>
      </c>
      <c r="H78" s="1" t="str">
        <f t="shared" ca="1" si="5"/>
        <v>F</v>
      </c>
      <c r="I78" s="4">
        <v>41949</v>
      </c>
      <c r="J78" s="1" t="str">
        <f>IF(Tabela1[[#This Row],[Idade]]&lt;45,"ATIVO","REFORMA")</f>
        <v>REFORMA</v>
      </c>
      <c r="K78" s="6" t="str">
        <f t="shared" ca="1" si="6"/>
        <v>PRODUÇÃO</v>
      </c>
    </row>
    <row r="79" spans="1:11" x14ac:dyDescent="0.25">
      <c r="A79" s="5">
        <f t="shared" si="7"/>
        <v>76</v>
      </c>
      <c r="B79" s="5" t="s">
        <v>168</v>
      </c>
      <c r="C79" s="1" t="s">
        <v>169</v>
      </c>
      <c r="D79" s="2">
        <f t="shared" ca="1" si="4"/>
        <v>583589</v>
      </c>
      <c r="E79" s="1" t="s">
        <v>12</v>
      </c>
      <c r="F79" s="3">
        <v>49</v>
      </c>
      <c r="G79" s="3" t="s">
        <v>19</v>
      </c>
      <c r="H79" s="1" t="str">
        <f t="shared" ca="1" si="5"/>
        <v>F</v>
      </c>
      <c r="I79" s="4">
        <v>42373</v>
      </c>
      <c r="J79" s="1" t="str">
        <f>IF(Tabela1[[#This Row],[Idade]]&lt;45,"ATIVO","REFORMA")</f>
        <v>REFORMA</v>
      </c>
      <c r="K79" s="6" t="str">
        <f t="shared" ca="1" si="6"/>
        <v>PRODUÇÃO</v>
      </c>
    </row>
    <row r="80" spans="1:11" x14ac:dyDescent="0.25">
      <c r="A80" s="5">
        <f t="shared" si="7"/>
        <v>77</v>
      </c>
      <c r="B80" s="5" t="s">
        <v>170</v>
      </c>
      <c r="C80" s="1" t="s">
        <v>171</v>
      </c>
      <c r="D80" s="2">
        <f t="shared" ca="1" si="4"/>
        <v>185509</v>
      </c>
      <c r="E80" s="1" t="s">
        <v>12</v>
      </c>
      <c r="F80" s="3">
        <v>47</v>
      </c>
      <c r="G80" s="3" t="s">
        <v>19</v>
      </c>
      <c r="H80" s="1" t="str">
        <f t="shared" ca="1" si="5"/>
        <v>F</v>
      </c>
      <c r="I80" s="4">
        <v>43562</v>
      </c>
      <c r="J80" s="1" t="str">
        <f>IF(Tabela1[[#This Row],[Idade]]&lt;45,"ATIVO","REFORMA")</f>
        <v>REFORMA</v>
      </c>
      <c r="K80" s="6" t="str">
        <f t="shared" ca="1" si="6"/>
        <v>VENDAS</v>
      </c>
    </row>
    <row r="81" spans="1:11" x14ac:dyDescent="0.25">
      <c r="A81" s="5">
        <f t="shared" si="7"/>
        <v>78</v>
      </c>
      <c r="B81" s="5" t="s">
        <v>172</v>
      </c>
      <c r="C81" s="1" t="s">
        <v>173</v>
      </c>
      <c r="D81" s="2">
        <f t="shared" ca="1" si="4"/>
        <v>187022</v>
      </c>
      <c r="E81" s="1" t="s">
        <v>12</v>
      </c>
      <c r="F81" s="3">
        <v>45</v>
      </c>
      <c r="G81" s="3" t="s">
        <v>16</v>
      </c>
      <c r="H81" s="1" t="str">
        <f t="shared" ca="1" si="5"/>
        <v>F</v>
      </c>
      <c r="I81" s="4">
        <v>41066</v>
      </c>
      <c r="J81" s="1" t="str">
        <f>IF(Tabela1[[#This Row],[Idade]]&lt;45,"ATIVO","REFORMA")</f>
        <v>REFORMA</v>
      </c>
      <c r="K81" s="6" t="str">
        <f t="shared" ca="1" si="6"/>
        <v>PRODUÇÃO</v>
      </c>
    </row>
    <row r="82" spans="1:11" x14ac:dyDescent="0.25">
      <c r="A82" s="5">
        <f t="shared" si="7"/>
        <v>79</v>
      </c>
      <c r="B82" s="5" t="s">
        <v>174</v>
      </c>
      <c r="C82" s="1" t="s">
        <v>175</v>
      </c>
      <c r="D82" s="2">
        <f t="shared" ca="1" si="4"/>
        <v>321039</v>
      </c>
      <c r="E82" s="1" t="s">
        <v>12</v>
      </c>
      <c r="F82" s="3">
        <v>40</v>
      </c>
      <c r="G82" s="3" t="s">
        <v>13</v>
      </c>
      <c r="H82" s="1" t="str">
        <f t="shared" ca="1" si="5"/>
        <v>F</v>
      </c>
      <c r="I82" s="4">
        <v>43146</v>
      </c>
      <c r="J82" s="1" t="str">
        <f>IF(Tabela1[[#This Row],[Idade]]&lt;45,"ATIVO","REFORMA")</f>
        <v>ATIVO</v>
      </c>
      <c r="K82" s="6" t="str">
        <f t="shared" ca="1" si="6"/>
        <v>VENDAS</v>
      </c>
    </row>
    <row r="83" spans="1:11" x14ac:dyDescent="0.25">
      <c r="A83" s="5">
        <f t="shared" si="7"/>
        <v>80</v>
      </c>
      <c r="B83" s="5" t="s">
        <v>176</v>
      </c>
      <c r="C83" s="1" t="s">
        <v>177</v>
      </c>
      <c r="D83" s="2">
        <f t="shared" ca="1" si="4"/>
        <v>447998</v>
      </c>
      <c r="E83" s="1" t="s">
        <v>12</v>
      </c>
      <c r="F83" s="3">
        <v>38</v>
      </c>
      <c r="G83" s="3" t="s">
        <v>13</v>
      </c>
      <c r="H83" s="1" t="str">
        <f t="shared" ca="1" si="5"/>
        <v>M</v>
      </c>
      <c r="I83" s="4">
        <v>43073</v>
      </c>
      <c r="J83" s="1" t="str">
        <f>IF(Tabela1[[#This Row],[Idade]]&lt;45,"ATIVO","REFORMA")</f>
        <v>ATIVO</v>
      </c>
      <c r="K83" s="6" t="str">
        <f t="shared" ca="1" si="6"/>
        <v>ADMINISTRATIVO</v>
      </c>
    </row>
    <row r="84" spans="1:11" x14ac:dyDescent="0.25">
      <c r="A84" s="5">
        <f t="shared" si="7"/>
        <v>81</v>
      </c>
      <c r="B84" s="5" t="s">
        <v>178</v>
      </c>
      <c r="C84" s="1" t="s">
        <v>179</v>
      </c>
      <c r="D84" s="2">
        <f t="shared" ca="1" si="4"/>
        <v>698844</v>
      </c>
      <c r="E84" s="1" t="s">
        <v>12</v>
      </c>
      <c r="F84" s="3">
        <v>46</v>
      </c>
      <c r="G84" s="3" t="s">
        <v>19</v>
      </c>
      <c r="H84" s="1" t="str">
        <f t="shared" ca="1" si="5"/>
        <v>M</v>
      </c>
      <c r="I84" s="4">
        <v>42684</v>
      </c>
      <c r="J84" s="1" t="str">
        <f>IF(Tabela1[[#This Row],[Idade]]&lt;45,"ATIVO","REFORMA")</f>
        <v>REFORMA</v>
      </c>
      <c r="K84" s="6" t="str">
        <f t="shared" ca="1" si="6"/>
        <v>TI</v>
      </c>
    </row>
    <row r="85" spans="1:11" x14ac:dyDescent="0.25">
      <c r="A85" s="5">
        <f t="shared" si="7"/>
        <v>82</v>
      </c>
      <c r="B85" s="5" t="s">
        <v>180</v>
      </c>
      <c r="C85" s="1" t="s">
        <v>181</v>
      </c>
      <c r="D85" s="2">
        <f t="shared" ca="1" si="4"/>
        <v>565704</v>
      </c>
      <c r="E85" s="1" t="s">
        <v>12</v>
      </c>
      <c r="F85" s="3">
        <v>41</v>
      </c>
      <c r="G85" s="3" t="s">
        <v>16</v>
      </c>
      <c r="H85" s="1" t="str">
        <f t="shared" ca="1" si="5"/>
        <v>M</v>
      </c>
      <c r="I85" s="4">
        <v>42600</v>
      </c>
      <c r="J85" s="1" t="str">
        <f>IF(Tabela1[[#This Row],[Idade]]&lt;45,"ATIVO","REFORMA")</f>
        <v>ATIVO</v>
      </c>
      <c r="K85" s="6" t="str">
        <f t="shared" ca="1" si="6"/>
        <v>TI</v>
      </c>
    </row>
    <row r="86" spans="1:11" x14ac:dyDescent="0.25">
      <c r="A86" s="5">
        <f t="shared" si="7"/>
        <v>83</v>
      </c>
      <c r="B86" s="5" t="s">
        <v>182</v>
      </c>
      <c r="C86" s="1" t="s">
        <v>183</v>
      </c>
      <c r="D86" s="2">
        <f t="shared" ca="1" si="4"/>
        <v>443751</v>
      </c>
      <c r="E86" s="1" t="s">
        <v>12</v>
      </c>
      <c r="F86" s="3">
        <v>36</v>
      </c>
      <c r="G86" s="3" t="s">
        <v>13</v>
      </c>
      <c r="H86" s="1" t="str">
        <f t="shared" ca="1" si="5"/>
        <v>M</v>
      </c>
      <c r="I86" s="4">
        <v>42588</v>
      </c>
      <c r="J86" s="1" t="str">
        <f>IF(Tabela1[[#This Row],[Idade]]&lt;45,"ATIVO","REFORMA")</f>
        <v>ATIVO</v>
      </c>
      <c r="K86" s="6" t="str">
        <f t="shared" ca="1" si="6"/>
        <v>VENDAS</v>
      </c>
    </row>
    <row r="87" spans="1:11" x14ac:dyDescent="0.25">
      <c r="A87" s="5">
        <f t="shared" si="7"/>
        <v>84</v>
      </c>
      <c r="B87" s="5" t="s">
        <v>184</v>
      </c>
      <c r="C87" s="1" t="s">
        <v>185</v>
      </c>
      <c r="D87" s="2">
        <f t="shared" ca="1" si="4"/>
        <v>318967</v>
      </c>
      <c r="E87" s="1" t="s">
        <v>12</v>
      </c>
      <c r="F87" s="3">
        <v>40</v>
      </c>
      <c r="G87" s="3" t="s">
        <v>13</v>
      </c>
      <c r="H87" s="1" t="str">
        <f t="shared" ca="1" si="5"/>
        <v>M</v>
      </c>
      <c r="I87" s="4">
        <v>42642</v>
      </c>
      <c r="J87" s="1" t="str">
        <f>IF(Tabela1[[#This Row],[Idade]]&lt;45,"ATIVO","REFORMA")</f>
        <v>ATIVO</v>
      </c>
      <c r="K87" s="6" t="str">
        <f t="shared" ca="1" si="6"/>
        <v>PRODUÇÃO</v>
      </c>
    </row>
    <row r="88" spans="1:11" x14ac:dyDescent="0.25">
      <c r="A88" s="5">
        <f t="shared" si="7"/>
        <v>85</v>
      </c>
      <c r="B88" s="5" t="s">
        <v>186</v>
      </c>
      <c r="C88" s="1" t="s">
        <v>187</v>
      </c>
      <c r="D88" s="2">
        <f t="shared" ca="1" si="4"/>
        <v>334103</v>
      </c>
      <c r="E88" s="1" t="s">
        <v>188</v>
      </c>
      <c r="F88" s="3">
        <v>53</v>
      </c>
      <c r="G88" s="3" t="s">
        <v>105</v>
      </c>
      <c r="H88" s="1" t="str">
        <f t="shared" ca="1" si="5"/>
        <v>F</v>
      </c>
      <c r="I88" s="4">
        <v>42964</v>
      </c>
      <c r="J88" s="1" t="str">
        <f>IF(Tabela1[[#This Row],[Idade]]&lt;45,"ATIVO","REFORMA")</f>
        <v>REFORMA</v>
      </c>
      <c r="K88" s="6" t="str">
        <f t="shared" ca="1" si="6"/>
        <v>VENDAS</v>
      </c>
    </row>
    <row r="89" spans="1:11" x14ac:dyDescent="0.25">
      <c r="A89" s="5">
        <f t="shared" si="7"/>
        <v>86</v>
      </c>
      <c r="B89" s="5" t="s">
        <v>189</v>
      </c>
      <c r="C89" s="1" t="s">
        <v>190</v>
      </c>
      <c r="D89" s="2">
        <f t="shared" ca="1" si="4"/>
        <v>103692</v>
      </c>
      <c r="E89" s="1" t="s">
        <v>188</v>
      </c>
      <c r="F89" s="3">
        <v>29</v>
      </c>
      <c r="G89" s="3" t="s">
        <v>22</v>
      </c>
      <c r="H89" s="1" t="str">
        <f t="shared" ca="1" si="5"/>
        <v>F</v>
      </c>
      <c r="I89" s="4">
        <v>42054</v>
      </c>
      <c r="J89" s="1" t="str">
        <f>IF(Tabela1[[#This Row],[Idade]]&lt;45,"ATIVO","REFORMA")</f>
        <v>ATIVO</v>
      </c>
      <c r="K89" s="6" t="str">
        <f t="shared" ca="1" si="6"/>
        <v>PRODUÇÃO</v>
      </c>
    </row>
    <row r="90" spans="1:11" x14ac:dyDescent="0.25">
      <c r="A90" s="5">
        <f t="shared" si="7"/>
        <v>87</v>
      </c>
      <c r="B90" s="5" t="s">
        <v>191</v>
      </c>
      <c r="C90" s="1" t="s">
        <v>192</v>
      </c>
      <c r="D90" s="2">
        <f t="shared" ca="1" si="4"/>
        <v>733123</v>
      </c>
      <c r="E90" s="1" t="s">
        <v>188</v>
      </c>
      <c r="F90" s="3">
        <v>27</v>
      </c>
      <c r="G90" s="3" t="s">
        <v>22</v>
      </c>
      <c r="H90" s="1" t="str">
        <f t="shared" ca="1" si="5"/>
        <v>M</v>
      </c>
      <c r="I90" s="4">
        <v>42964</v>
      </c>
      <c r="J90" s="1" t="str">
        <f>IF(Tabela1[[#This Row],[Idade]]&lt;45,"ATIVO","REFORMA")</f>
        <v>ATIVO</v>
      </c>
      <c r="K90" s="6" t="str">
        <f t="shared" ca="1" si="6"/>
        <v>TI</v>
      </c>
    </row>
    <row r="91" spans="1:11" x14ac:dyDescent="0.25">
      <c r="A91" s="5">
        <f t="shared" si="7"/>
        <v>88</v>
      </c>
      <c r="B91" s="5" t="s">
        <v>193</v>
      </c>
      <c r="C91" s="1" t="s">
        <v>194</v>
      </c>
      <c r="D91" s="2">
        <f t="shared" ca="1" si="4"/>
        <v>668603</v>
      </c>
      <c r="E91" s="1" t="s">
        <v>188</v>
      </c>
      <c r="F91" s="3">
        <v>47</v>
      </c>
      <c r="G91" s="3" t="s">
        <v>19</v>
      </c>
      <c r="H91" s="1" t="str">
        <f t="shared" ca="1" si="5"/>
        <v>M</v>
      </c>
      <c r="I91" s="4">
        <v>41822</v>
      </c>
      <c r="J91" s="1" t="str">
        <f>IF(Tabela1[[#This Row],[Idade]]&lt;45,"ATIVO","REFORMA")</f>
        <v>REFORMA</v>
      </c>
      <c r="K91" s="6" t="str">
        <f t="shared" ca="1" si="6"/>
        <v>VENDAS</v>
      </c>
    </row>
    <row r="92" spans="1:11" x14ac:dyDescent="0.25">
      <c r="A92" s="5">
        <f t="shared" si="7"/>
        <v>89</v>
      </c>
      <c r="B92" s="5" t="s">
        <v>195</v>
      </c>
      <c r="C92" s="1" t="s">
        <v>196</v>
      </c>
      <c r="D92" s="2">
        <f t="shared" ca="1" si="4"/>
        <v>275261</v>
      </c>
      <c r="E92" s="1" t="s">
        <v>188</v>
      </c>
      <c r="F92" s="3">
        <v>61</v>
      </c>
      <c r="G92" s="3" t="s">
        <v>105</v>
      </c>
      <c r="H92" s="1" t="str">
        <f t="shared" ca="1" si="5"/>
        <v>M</v>
      </c>
      <c r="I92" s="4">
        <v>43073</v>
      </c>
      <c r="J92" s="1" t="str">
        <f>IF(Tabela1[[#This Row],[Idade]]&lt;45,"ATIVO","REFORMA")</f>
        <v>REFORMA</v>
      </c>
      <c r="K92" s="6" t="str">
        <f t="shared" ca="1" si="6"/>
        <v>TI</v>
      </c>
    </row>
    <row r="93" spans="1:11" x14ac:dyDescent="0.25">
      <c r="A93" s="5">
        <f t="shared" si="7"/>
        <v>90</v>
      </c>
      <c r="B93" s="5" t="s">
        <v>197</v>
      </c>
      <c r="C93" s="1" t="s">
        <v>198</v>
      </c>
      <c r="D93" s="2">
        <f t="shared" ca="1" si="4"/>
        <v>546418</v>
      </c>
      <c r="E93" s="1" t="s">
        <v>188</v>
      </c>
      <c r="F93" s="3">
        <v>27</v>
      </c>
      <c r="G93" s="3" t="s">
        <v>22</v>
      </c>
      <c r="H93" s="1" t="str">
        <f t="shared" ca="1" si="5"/>
        <v>M</v>
      </c>
      <c r="I93" s="4">
        <v>42124</v>
      </c>
      <c r="J93" s="1" t="str">
        <f>IF(Tabela1[[#This Row],[Idade]]&lt;45,"ATIVO","REFORMA")</f>
        <v>ATIVO</v>
      </c>
      <c r="K93" s="6" t="str">
        <f t="shared" ca="1" si="6"/>
        <v>VENDAS</v>
      </c>
    </row>
    <row r="94" spans="1:11" x14ac:dyDescent="0.25">
      <c r="A94" s="5">
        <f t="shared" si="7"/>
        <v>91</v>
      </c>
      <c r="B94" s="5" t="s">
        <v>199</v>
      </c>
      <c r="C94" s="1" t="s">
        <v>200</v>
      </c>
      <c r="D94" s="2">
        <f t="shared" ca="1" si="4"/>
        <v>409993</v>
      </c>
      <c r="E94" s="1" t="s">
        <v>188</v>
      </c>
      <c r="F94" s="3">
        <v>41</v>
      </c>
      <c r="G94" s="3" t="s">
        <v>16</v>
      </c>
      <c r="H94" s="1" t="str">
        <f t="shared" ca="1" si="5"/>
        <v>M</v>
      </c>
      <c r="I94" s="4">
        <v>43006</v>
      </c>
      <c r="J94" s="1" t="str">
        <f>IF(Tabela1[[#This Row],[Idade]]&lt;45,"ATIVO","REFORMA")</f>
        <v>ATIVO</v>
      </c>
      <c r="K94" s="6" t="str">
        <f t="shared" ca="1" si="6"/>
        <v>ADMINISTRATIVO</v>
      </c>
    </row>
    <row r="95" spans="1:11" x14ac:dyDescent="0.25">
      <c r="A95" s="5">
        <f t="shared" si="7"/>
        <v>92</v>
      </c>
      <c r="B95" s="5" t="s">
        <v>201</v>
      </c>
      <c r="C95" s="1" t="s">
        <v>202</v>
      </c>
      <c r="D95" s="2">
        <f t="shared" ca="1" si="4"/>
        <v>188698</v>
      </c>
      <c r="E95" s="1" t="s">
        <v>188</v>
      </c>
      <c r="F95" s="3">
        <v>34</v>
      </c>
      <c r="G95" s="3" t="s">
        <v>25</v>
      </c>
      <c r="H95" s="1" t="str">
        <f t="shared" ca="1" si="5"/>
        <v>F</v>
      </c>
      <c r="I95" s="4">
        <v>43220</v>
      </c>
      <c r="J95" s="1" t="str">
        <f>IF(Tabela1[[#This Row],[Idade]]&lt;45,"ATIVO","REFORMA")</f>
        <v>ATIVO</v>
      </c>
      <c r="K95" s="6" t="str">
        <f t="shared" ca="1" si="6"/>
        <v>TI</v>
      </c>
    </row>
    <row r="96" spans="1:11" x14ac:dyDescent="0.25">
      <c r="A96" s="5">
        <f t="shared" si="7"/>
        <v>93</v>
      </c>
      <c r="B96" s="5" t="s">
        <v>203</v>
      </c>
      <c r="C96" s="1" t="s">
        <v>204</v>
      </c>
      <c r="D96" s="2">
        <f t="shared" ca="1" si="4"/>
        <v>784691</v>
      </c>
      <c r="E96" s="1" t="s">
        <v>188</v>
      </c>
      <c r="F96" s="3">
        <v>26</v>
      </c>
      <c r="G96" s="3" t="s">
        <v>22</v>
      </c>
      <c r="H96" s="1" t="str">
        <f t="shared" ca="1" si="5"/>
        <v>F</v>
      </c>
      <c r="I96" s="4">
        <v>41543</v>
      </c>
      <c r="J96" s="1" t="str">
        <f>IF(Tabela1[[#This Row],[Idade]]&lt;45,"ATIVO","REFORMA")</f>
        <v>ATIVO</v>
      </c>
      <c r="K96" s="6" t="str">
        <f t="shared" ca="1" si="6"/>
        <v>ADMINISTRATIVO</v>
      </c>
    </row>
    <row r="97" spans="1:11" x14ac:dyDescent="0.25">
      <c r="A97" s="5">
        <f t="shared" si="7"/>
        <v>94</v>
      </c>
      <c r="B97" s="5" t="s">
        <v>205</v>
      </c>
      <c r="C97" s="1" t="s">
        <v>206</v>
      </c>
      <c r="D97" s="2">
        <f t="shared" ca="1" si="4"/>
        <v>669645</v>
      </c>
      <c r="E97" s="1" t="s">
        <v>207</v>
      </c>
      <c r="F97" s="3">
        <v>24</v>
      </c>
      <c r="G97" s="3" t="s">
        <v>40</v>
      </c>
      <c r="H97" s="1" t="str">
        <f t="shared" ca="1" si="5"/>
        <v>M</v>
      </c>
      <c r="I97" s="4">
        <v>41765</v>
      </c>
      <c r="J97" s="1" t="str">
        <f>IF(Tabela1[[#This Row],[Idade]]&lt;45,"ATIVO","REFORMA")</f>
        <v>ATIVO</v>
      </c>
      <c r="K97" s="6" t="str">
        <f t="shared" ca="1" si="6"/>
        <v>TI</v>
      </c>
    </row>
    <row r="98" spans="1:11" x14ac:dyDescent="0.25">
      <c r="A98" s="5">
        <f t="shared" si="7"/>
        <v>95</v>
      </c>
      <c r="B98" s="5" t="s">
        <v>208</v>
      </c>
      <c r="C98" s="1" t="s">
        <v>209</v>
      </c>
      <c r="D98" s="2">
        <f t="shared" ca="1" si="4"/>
        <v>113792</v>
      </c>
      <c r="E98" s="1" t="s">
        <v>207</v>
      </c>
      <c r="F98" s="3">
        <v>26</v>
      </c>
      <c r="G98" s="3" t="s">
        <v>22</v>
      </c>
      <c r="H98" s="1" t="str">
        <f t="shared" ca="1" si="5"/>
        <v>F</v>
      </c>
      <c r="I98" s="4">
        <v>42127</v>
      </c>
      <c r="J98" s="1" t="str">
        <f>IF(Tabela1[[#This Row],[Idade]]&lt;45,"ATIVO","REFORMA")</f>
        <v>ATIVO</v>
      </c>
      <c r="K98" s="6" t="str">
        <f t="shared" ca="1" si="6"/>
        <v>ADMINISTRATIVO</v>
      </c>
    </row>
    <row r="99" spans="1:11" x14ac:dyDescent="0.25">
      <c r="A99" s="5">
        <f t="shared" si="7"/>
        <v>96</v>
      </c>
      <c r="B99" s="5" t="s">
        <v>210</v>
      </c>
      <c r="C99" s="1" t="s">
        <v>211</v>
      </c>
      <c r="D99" s="2">
        <f t="shared" ca="1" si="4"/>
        <v>311010</v>
      </c>
      <c r="E99" s="1" t="s">
        <v>207</v>
      </c>
      <c r="F99" s="3">
        <v>40</v>
      </c>
      <c r="G99" s="3" t="s">
        <v>13</v>
      </c>
      <c r="H99" s="1" t="str">
        <f t="shared" ca="1" si="5"/>
        <v>F</v>
      </c>
      <c r="I99" s="4">
        <v>43006</v>
      </c>
      <c r="J99" s="1" t="str">
        <f>IF(Tabela1[[#This Row],[Idade]]&lt;45,"ATIVO","REFORMA")</f>
        <v>ATIVO</v>
      </c>
      <c r="K99" s="6" t="str">
        <f t="shared" ca="1" si="6"/>
        <v>TI</v>
      </c>
    </row>
    <row r="100" spans="1:11" x14ac:dyDescent="0.25">
      <c r="A100" s="5">
        <f t="shared" si="7"/>
        <v>97</v>
      </c>
      <c r="B100" s="5" t="s">
        <v>212</v>
      </c>
      <c r="C100" s="1" t="s">
        <v>213</v>
      </c>
      <c r="D100" s="2">
        <f t="shared" ca="1" si="4"/>
        <v>471705</v>
      </c>
      <c r="E100" s="1" t="s">
        <v>207</v>
      </c>
      <c r="F100" s="3">
        <v>27</v>
      </c>
      <c r="G100" s="3" t="s">
        <v>22</v>
      </c>
      <c r="H100" s="1" t="str">
        <f t="shared" ca="1" si="5"/>
        <v>F</v>
      </c>
      <c r="I100" s="4">
        <v>41912</v>
      </c>
      <c r="J100" s="1" t="str">
        <f>IF(Tabela1[[#This Row],[Idade]]&lt;45,"ATIVO","REFORMA")</f>
        <v>ATIVO</v>
      </c>
      <c r="K100" s="6" t="str">
        <f t="shared" ca="1" si="6"/>
        <v>ADMINISTRATIVO</v>
      </c>
    </row>
    <row r="101" spans="1:11" x14ac:dyDescent="0.25">
      <c r="A101" s="5">
        <f t="shared" si="7"/>
        <v>98</v>
      </c>
      <c r="B101" s="5" t="s">
        <v>214</v>
      </c>
      <c r="C101" s="1" t="s">
        <v>215</v>
      </c>
      <c r="D101" s="2">
        <f t="shared" ca="1" si="4"/>
        <v>711465</v>
      </c>
      <c r="E101" s="1" t="s">
        <v>207</v>
      </c>
      <c r="F101" s="3">
        <v>52</v>
      </c>
      <c r="G101" s="3" t="s">
        <v>105</v>
      </c>
      <c r="H101" s="1" t="str">
        <f t="shared" ca="1" si="5"/>
        <v>F</v>
      </c>
      <c r="I101" s="4">
        <v>41798</v>
      </c>
      <c r="J101" s="1" t="str">
        <f>IF(Tabela1[[#This Row],[Idade]]&lt;45,"ATIVO","REFORMA")</f>
        <v>REFORMA</v>
      </c>
      <c r="K101" s="6" t="str">
        <f t="shared" ca="1" si="6"/>
        <v>VENDAS</v>
      </c>
    </row>
    <row r="102" spans="1:11" x14ac:dyDescent="0.25">
      <c r="A102" s="5">
        <f t="shared" si="7"/>
        <v>99</v>
      </c>
      <c r="B102" s="5" t="s">
        <v>216</v>
      </c>
      <c r="C102" s="1" t="s">
        <v>217</v>
      </c>
      <c r="D102" s="2">
        <f t="shared" ca="1" si="4"/>
        <v>693790</v>
      </c>
      <c r="E102" s="1" t="s">
        <v>207</v>
      </c>
      <c r="F102" s="3">
        <v>26</v>
      </c>
      <c r="G102" s="3" t="s">
        <v>22</v>
      </c>
      <c r="H102" s="1" t="str">
        <f t="shared" ca="1" si="5"/>
        <v>F</v>
      </c>
      <c r="I102" s="4">
        <v>43146</v>
      </c>
      <c r="J102" s="1" t="str">
        <f>IF(Tabela1[[#This Row],[Idade]]&lt;45,"ATIVO","REFORMA")</f>
        <v>ATIVO</v>
      </c>
      <c r="K102" s="6" t="str">
        <f t="shared" ca="1" si="6"/>
        <v>PRODUÇÃO</v>
      </c>
    </row>
    <row r="103" spans="1:11" x14ac:dyDescent="0.25">
      <c r="A103" s="5">
        <f t="shared" si="7"/>
        <v>100</v>
      </c>
      <c r="B103" s="5" t="s">
        <v>218</v>
      </c>
      <c r="C103" s="1" t="s">
        <v>219</v>
      </c>
      <c r="D103" s="2">
        <f t="shared" ca="1" si="4"/>
        <v>739217</v>
      </c>
      <c r="E103" s="1" t="s">
        <v>207</v>
      </c>
      <c r="F103" s="3">
        <v>41</v>
      </c>
      <c r="G103" s="3" t="s">
        <v>16</v>
      </c>
      <c r="H103" s="1" t="str">
        <f t="shared" ca="1" si="5"/>
        <v>M</v>
      </c>
      <c r="I103" s="4">
        <v>43073</v>
      </c>
      <c r="J103" s="1" t="str">
        <f>IF(Tabela1[[#This Row],[Idade]]&lt;45,"ATIVO","REFORMA")</f>
        <v>ATIVO</v>
      </c>
      <c r="K103" s="6" t="str">
        <f t="shared" ca="1" si="6"/>
        <v>VENDAS</v>
      </c>
    </row>
    <row r="104" spans="1:11" x14ac:dyDescent="0.25">
      <c r="A104" s="5">
        <f t="shared" si="7"/>
        <v>101</v>
      </c>
      <c r="B104" s="5" t="s">
        <v>220</v>
      </c>
      <c r="C104" s="1" t="s">
        <v>221</v>
      </c>
      <c r="D104" s="2">
        <f t="shared" ca="1" si="4"/>
        <v>359350</v>
      </c>
      <c r="E104" s="1" t="s">
        <v>207</v>
      </c>
      <c r="F104" s="3">
        <v>36</v>
      </c>
      <c r="G104" s="3" t="s">
        <v>13</v>
      </c>
      <c r="H104" s="1" t="str">
        <f t="shared" ca="1" si="5"/>
        <v>M</v>
      </c>
      <c r="I104" s="4">
        <v>42600</v>
      </c>
      <c r="J104" s="1" t="str">
        <f>IF(Tabela1[[#This Row],[Idade]]&lt;45,"ATIVO","REFORMA")</f>
        <v>ATIVO</v>
      </c>
      <c r="K104" s="6" t="str">
        <f t="shared" ca="1" si="6"/>
        <v>VENDAS</v>
      </c>
    </row>
    <row r="105" spans="1:11" x14ac:dyDescent="0.25">
      <c r="A105" s="5">
        <f t="shared" si="7"/>
        <v>102</v>
      </c>
      <c r="B105" s="5" t="s">
        <v>222</v>
      </c>
      <c r="C105" s="1" t="s">
        <v>223</v>
      </c>
      <c r="D105" s="2">
        <f t="shared" ca="1" si="4"/>
        <v>251108</v>
      </c>
      <c r="E105" s="1" t="s">
        <v>207</v>
      </c>
      <c r="F105" s="3">
        <v>45</v>
      </c>
      <c r="G105" s="3" t="s">
        <v>16</v>
      </c>
      <c r="H105" s="1" t="str">
        <f t="shared" ca="1" si="5"/>
        <v>M</v>
      </c>
      <c r="I105" s="4">
        <v>42138</v>
      </c>
      <c r="J105" s="1" t="str">
        <f>IF(Tabela1[[#This Row],[Idade]]&lt;45,"ATIVO","REFORMA")</f>
        <v>REFORMA</v>
      </c>
      <c r="K105" s="6" t="str">
        <f t="shared" ca="1" si="6"/>
        <v>ADMINISTRATIVO</v>
      </c>
    </row>
    <row r="106" spans="1:11" x14ac:dyDescent="0.25">
      <c r="A106" s="5">
        <f t="shared" si="7"/>
        <v>103</v>
      </c>
      <c r="B106" s="5" t="s">
        <v>224</v>
      </c>
      <c r="C106" s="1" t="s">
        <v>225</v>
      </c>
      <c r="D106" s="2">
        <f t="shared" ca="1" si="4"/>
        <v>788766</v>
      </c>
      <c r="E106" s="1" t="s">
        <v>207</v>
      </c>
      <c r="F106" s="3">
        <v>32</v>
      </c>
      <c r="G106" s="3" t="s">
        <v>25</v>
      </c>
      <c r="H106" s="1" t="str">
        <f t="shared" ca="1" si="5"/>
        <v>F</v>
      </c>
      <c r="I106" s="4">
        <v>43623</v>
      </c>
      <c r="J106" s="1" t="str">
        <f>IF(Tabela1[[#This Row],[Idade]]&lt;45,"ATIVO","REFORMA")</f>
        <v>ATIVO</v>
      </c>
      <c r="K106" s="6" t="str">
        <f t="shared" ca="1" si="6"/>
        <v>PRODUÇÃO</v>
      </c>
    </row>
    <row r="107" spans="1:11" x14ac:dyDescent="0.25">
      <c r="A107" s="5">
        <f t="shared" si="7"/>
        <v>104</v>
      </c>
      <c r="B107" s="5" t="s">
        <v>65</v>
      </c>
      <c r="C107" s="1" t="s">
        <v>226</v>
      </c>
      <c r="D107" s="2">
        <f t="shared" ca="1" si="4"/>
        <v>454759</v>
      </c>
      <c r="E107" s="1" t="s">
        <v>207</v>
      </c>
      <c r="F107" s="3">
        <v>27</v>
      </c>
      <c r="G107" s="3" t="s">
        <v>22</v>
      </c>
      <c r="H107" s="1" t="str">
        <f t="shared" ca="1" si="5"/>
        <v>F</v>
      </c>
      <c r="I107" s="4">
        <v>42588</v>
      </c>
      <c r="J107" s="1" t="str">
        <f>IF(Tabela1[[#This Row],[Idade]]&lt;45,"ATIVO","REFORMA")</f>
        <v>ATIVO</v>
      </c>
      <c r="K107" s="6" t="str">
        <f t="shared" ca="1" si="6"/>
        <v>PRODUÇÃO</v>
      </c>
    </row>
    <row r="108" spans="1:11" x14ac:dyDescent="0.25">
      <c r="A108" s="5">
        <f t="shared" si="7"/>
        <v>105</v>
      </c>
      <c r="B108" s="5" t="s">
        <v>227</v>
      </c>
      <c r="C108" s="1" t="s">
        <v>228</v>
      </c>
      <c r="D108" s="2">
        <f t="shared" ca="1" si="4"/>
        <v>768380</v>
      </c>
      <c r="E108" s="1" t="s">
        <v>229</v>
      </c>
      <c r="F108" s="3">
        <v>25</v>
      </c>
      <c r="G108" s="3" t="s">
        <v>40</v>
      </c>
      <c r="H108" s="1" t="str">
        <f t="shared" ca="1" si="5"/>
        <v>M</v>
      </c>
      <c r="I108" s="4">
        <v>42642</v>
      </c>
      <c r="J108" s="1" t="str">
        <f>IF(Tabela1[[#This Row],[Idade]]&lt;45,"ATIVO","REFORMA")</f>
        <v>ATIVO</v>
      </c>
      <c r="K108" s="6" t="str">
        <f t="shared" ca="1" si="6"/>
        <v>ADMINISTRATIVO</v>
      </c>
    </row>
    <row r="109" spans="1:11" x14ac:dyDescent="0.25">
      <c r="A109" s="5">
        <f t="shared" si="7"/>
        <v>106</v>
      </c>
      <c r="B109" s="5" t="s">
        <v>230</v>
      </c>
      <c r="C109" s="1" t="s">
        <v>231</v>
      </c>
      <c r="D109" s="2">
        <f t="shared" ca="1" si="4"/>
        <v>599891</v>
      </c>
      <c r="E109" s="1" t="s">
        <v>229</v>
      </c>
      <c r="F109" s="3">
        <v>27</v>
      </c>
      <c r="G109" s="3" t="s">
        <v>22</v>
      </c>
      <c r="H109" s="1" t="str">
        <f t="shared" ca="1" si="5"/>
        <v>F</v>
      </c>
      <c r="I109" s="4">
        <v>42248</v>
      </c>
      <c r="J109" s="1" t="str">
        <f>IF(Tabela1[[#This Row],[Idade]]&lt;45,"ATIVO","REFORMA")</f>
        <v>ATIVO</v>
      </c>
      <c r="K109" s="6" t="str">
        <f t="shared" ca="1" si="6"/>
        <v>PRODUÇÃO</v>
      </c>
    </row>
    <row r="110" spans="1:11" x14ac:dyDescent="0.25">
      <c r="A110" s="5">
        <f t="shared" si="7"/>
        <v>107</v>
      </c>
      <c r="B110" s="5" t="s">
        <v>232</v>
      </c>
      <c r="C110" s="1" t="s">
        <v>233</v>
      </c>
      <c r="D110" s="2">
        <f t="shared" ca="1" si="4"/>
        <v>562825</v>
      </c>
      <c r="E110" s="1" t="s">
        <v>229</v>
      </c>
      <c r="F110" s="3">
        <v>48</v>
      </c>
      <c r="G110" s="3" t="s">
        <v>19</v>
      </c>
      <c r="H110" s="1" t="str">
        <f t="shared" ca="1" si="5"/>
        <v>M</v>
      </c>
      <c r="I110" s="4">
        <v>40056</v>
      </c>
      <c r="J110" s="1" t="str">
        <f>IF(Tabela1[[#This Row],[Idade]]&lt;45,"ATIVO","REFORMA")</f>
        <v>REFORMA</v>
      </c>
      <c r="K110" s="6" t="str">
        <f t="shared" ca="1" si="6"/>
        <v>ADMINISTRATIVO</v>
      </c>
    </row>
    <row r="111" spans="1:11" x14ac:dyDescent="0.25">
      <c r="A111" s="5">
        <f t="shared" si="7"/>
        <v>108</v>
      </c>
      <c r="B111" s="5" t="s">
        <v>234</v>
      </c>
      <c r="C111" s="1" t="s">
        <v>235</v>
      </c>
      <c r="D111" s="2">
        <f t="shared" ca="1" si="4"/>
        <v>136127</v>
      </c>
      <c r="E111" s="1" t="s">
        <v>229</v>
      </c>
      <c r="F111" s="3">
        <v>50</v>
      </c>
      <c r="G111" s="3" t="s">
        <v>19</v>
      </c>
      <c r="H111" s="1" t="str">
        <f t="shared" ca="1" si="5"/>
        <v>F</v>
      </c>
      <c r="I111" s="4">
        <v>43006</v>
      </c>
      <c r="J111" s="1" t="str">
        <f>IF(Tabela1[[#This Row],[Idade]]&lt;45,"ATIVO","REFORMA")</f>
        <v>REFORMA</v>
      </c>
      <c r="K111" s="6" t="str">
        <f t="shared" ca="1" si="6"/>
        <v>ADMINISTRATIVO</v>
      </c>
    </row>
    <row r="112" spans="1:11" x14ac:dyDescent="0.25">
      <c r="A112" s="5">
        <f t="shared" si="7"/>
        <v>109</v>
      </c>
      <c r="B112" s="5" t="s">
        <v>236</v>
      </c>
      <c r="C112" s="1" t="s">
        <v>237</v>
      </c>
      <c r="D112" s="2">
        <f t="shared" ca="1" si="4"/>
        <v>470000</v>
      </c>
      <c r="E112" s="1" t="s">
        <v>238</v>
      </c>
      <c r="F112" s="3">
        <v>33</v>
      </c>
      <c r="G112" s="3" t="s">
        <v>25</v>
      </c>
      <c r="H112" s="1" t="str">
        <f t="shared" ca="1" si="5"/>
        <v>F</v>
      </c>
      <c r="I112" s="4">
        <v>41029</v>
      </c>
      <c r="J112" s="1" t="str">
        <f>IF(Tabela1[[#This Row],[Idade]]&lt;45,"ATIVO","REFORMA")</f>
        <v>ATIVO</v>
      </c>
      <c r="K112" s="6" t="str">
        <f t="shared" ca="1" si="6"/>
        <v>PRODUÇÃO</v>
      </c>
    </row>
    <row r="113" spans="1:11" x14ac:dyDescent="0.25">
      <c r="A113" s="5">
        <f t="shared" si="7"/>
        <v>110</v>
      </c>
      <c r="B113" s="5" t="s">
        <v>239</v>
      </c>
      <c r="C113" s="1" t="s">
        <v>240</v>
      </c>
      <c r="D113" s="2">
        <f t="shared" ca="1" si="4"/>
        <v>490121</v>
      </c>
      <c r="E113" s="1" t="s">
        <v>241</v>
      </c>
      <c r="F113" s="3">
        <v>50</v>
      </c>
      <c r="G113" s="3" t="s">
        <v>19</v>
      </c>
      <c r="H113" s="1" t="str">
        <f t="shared" ca="1" si="5"/>
        <v>F</v>
      </c>
      <c r="I113" s="4">
        <v>42859</v>
      </c>
      <c r="J113" s="1" t="str">
        <f>IF(Tabela1[[#This Row],[Idade]]&lt;45,"ATIVO","REFORMA")</f>
        <v>REFORMA</v>
      </c>
      <c r="K113" s="6" t="str">
        <f t="shared" ca="1" si="6"/>
        <v>TI</v>
      </c>
    </row>
    <row r="114" spans="1:11" x14ac:dyDescent="0.25">
      <c r="A114" s="5">
        <f t="shared" si="7"/>
        <v>111</v>
      </c>
      <c r="B114" s="5" t="s">
        <v>242</v>
      </c>
      <c r="C114" s="1" t="s">
        <v>243</v>
      </c>
      <c r="D114" s="2">
        <f t="shared" ca="1" si="4"/>
        <v>561978</v>
      </c>
      <c r="E114" s="1" t="s">
        <v>244</v>
      </c>
      <c r="F114" s="3">
        <v>61</v>
      </c>
      <c r="G114" s="3" t="s">
        <v>105</v>
      </c>
      <c r="H114" s="1" t="str">
        <f t="shared" ca="1" si="5"/>
        <v>F</v>
      </c>
      <c r="I114" s="4">
        <v>42041</v>
      </c>
      <c r="J114" s="1" t="str">
        <f>IF(Tabela1[[#This Row],[Idade]]&lt;45,"ATIVO","REFORMA")</f>
        <v>REFORMA</v>
      </c>
      <c r="K114" s="6" t="str">
        <f t="shared" ca="1" si="6"/>
        <v>PRODUÇÃO</v>
      </c>
    </row>
    <row r="115" spans="1:11" x14ac:dyDescent="0.25">
      <c r="A115" s="5">
        <f t="shared" si="7"/>
        <v>112</v>
      </c>
      <c r="B115" s="5" t="s">
        <v>245</v>
      </c>
      <c r="C115" s="1" t="s">
        <v>246</v>
      </c>
      <c r="D115" s="2">
        <f t="shared" ca="1" si="4"/>
        <v>435540</v>
      </c>
      <c r="E115" s="1" t="s">
        <v>247</v>
      </c>
      <c r="F115" s="3">
        <v>47</v>
      </c>
      <c r="G115" s="3" t="s">
        <v>19</v>
      </c>
      <c r="H115" s="1" t="str">
        <f t="shared" ca="1" si="5"/>
        <v>F</v>
      </c>
      <c r="I115" s="4">
        <v>41646</v>
      </c>
      <c r="J115" s="1" t="str">
        <f>IF(Tabela1[[#This Row],[Idade]]&lt;45,"ATIVO","REFORMA")</f>
        <v>REFORMA</v>
      </c>
      <c r="K115" s="6" t="str">
        <f t="shared" ca="1" si="6"/>
        <v>TI</v>
      </c>
    </row>
    <row r="116" spans="1:11" x14ac:dyDescent="0.25">
      <c r="A116" s="5">
        <f t="shared" si="7"/>
        <v>113</v>
      </c>
      <c r="B116" s="5" t="s">
        <v>248</v>
      </c>
      <c r="C116" s="1" t="s">
        <v>249</v>
      </c>
      <c r="D116" s="2">
        <f t="shared" ca="1" si="4"/>
        <v>752968</v>
      </c>
      <c r="E116" s="1" t="s">
        <v>247</v>
      </c>
      <c r="F116" s="3">
        <v>32</v>
      </c>
      <c r="G116" s="3" t="s">
        <v>25</v>
      </c>
      <c r="H116" s="1" t="str">
        <f t="shared" ca="1" si="5"/>
        <v>F</v>
      </c>
      <c r="I116" s="4">
        <v>43492</v>
      </c>
      <c r="J116" s="1" t="str">
        <f>IF(Tabela1[[#This Row],[Idade]]&lt;45,"ATIVO","REFORMA")</f>
        <v>ATIVO</v>
      </c>
      <c r="K116" s="6" t="str">
        <f t="shared" ca="1" si="6"/>
        <v>VENDAS</v>
      </c>
    </row>
    <row r="117" spans="1:11" x14ac:dyDescent="0.25">
      <c r="A117" s="5">
        <f t="shared" si="7"/>
        <v>114</v>
      </c>
      <c r="B117" s="5" t="s">
        <v>250</v>
      </c>
      <c r="C117" s="1" t="s">
        <v>251</v>
      </c>
      <c r="D117" s="2">
        <f t="shared" ca="1" si="4"/>
        <v>741750</v>
      </c>
      <c r="E117" s="1" t="s">
        <v>247</v>
      </c>
      <c r="F117" s="3">
        <v>42</v>
      </c>
      <c r="G117" s="3" t="s">
        <v>16</v>
      </c>
      <c r="H117" s="1" t="str">
        <f t="shared" ca="1" si="5"/>
        <v>M</v>
      </c>
      <c r="I117" s="4">
        <v>42995</v>
      </c>
      <c r="J117" s="1" t="str">
        <f>IF(Tabela1[[#This Row],[Idade]]&lt;45,"ATIVO","REFORMA")</f>
        <v>ATIVO</v>
      </c>
      <c r="K117" s="6" t="str">
        <f t="shared" ca="1" si="6"/>
        <v>PRODUÇÃO</v>
      </c>
    </row>
    <row r="118" spans="1:11" x14ac:dyDescent="0.25">
      <c r="A118" s="5">
        <f t="shared" si="7"/>
        <v>115</v>
      </c>
      <c r="B118" s="5" t="s">
        <v>252</v>
      </c>
      <c r="C118" s="1" t="s">
        <v>253</v>
      </c>
      <c r="D118" s="2">
        <f t="shared" ca="1" si="4"/>
        <v>408333</v>
      </c>
      <c r="E118" s="1" t="s">
        <v>247</v>
      </c>
      <c r="F118" s="3">
        <v>34</v>
      </c>
      <c r="G118" s="3" t="s">
        <v>25</v>
      </c>
      <c r="H118" s="1" t="str">
        <f t="shared" ca="1" si="5"/>
        <v>M</v>
      </c>
      <c r="I118" s="4">
        <v>43136</v>
      </c>
      <c r="J118" s="1" t="str">
        <f>IF(Tabela1[[#This Row],[Idade]]&lt;45,"ATIVO","REFORMA")</f>
        <v>ATIVO</v>
      </c>
      <c r="K118" s="6" t="str">
        <f t="shared" ca="1" si="6"/>
        <v>ADMINISTRATIVO</v>
      </c>
    </row>
    <row r="119" spans="1:11" x14ac:dyDescent="0.25">
      <c r="A119" s="5">
        <f t="shared" si="7"/>
        <v>116</v>
      </c>
      <c r="B119" s="5" t="s">
        <v>254</v>
      </c>
      <c r="C119" s="1" t="s">
        <v>255</v>
      </c>
      <c r="D119" s="2">
        <f t="shared" ca="1" si="4"/>
        <v>544782</v>
      </c>
      <c r="E119" s="1" t="s">
        <v>247</v>
      </c>
      <c r="F119" s="3">
        <v>34</v>
      </c>
      <c r="G119" s="3" t="s">
        <v>25</v>
      </c>
      <c r="H119" s="1" t="str">
        <f t="shared" ca="1" si="5"/>
        <v>M</v>
      </c>
      <c r="I119" s="4">
        <v>42642</v>
      </c>
      <c r="J119" s="1" t="str">
        <f>IF(Tabela1[[#This Row],[Idade]]&lt;45,"ATIVO","REFORMA")</f>
        <v>ATIVO</v>
      </c>
      <c r="K119" s="6" t="str">
        <f t="shared" ca="1" si="6"/>
        <v>VENDAS</v>
      </c>
    </row>
    <row r="120" spans="1:11" x14ac:dyDescent="0.25">
      <c r="A120" s="5">
        <f t="shared" si="7"/>
        <v>117</v>
      </c>
      <c r="B120" s="5" t="s">
        <v>256</v>
      </c>
      <c r="C120" s="1" t="s">
        <v>257</v>
      </c>
      <c r="D120" s="2">
        <f t="shared" ca="1" si="4"/>
        <v>624612</v>
      </c>
      <c r="E120" s="1" t="s">
        <v>247</v>
      </c>
      <c r="F120" s="3">
        <v>34</v>
      </c>
      <c r="G120" s="3" t="s">
        <v>25</v>
      </c>
      <c r="H120" s="1" t="str">
        <f t="shared" ca="1" si="5"/>
        <v>M</v>
      </c>
      <c r="I120" s="4">
        <v>42232</v>
      </c>
      <c r="J120" s="1" t="str">
        <f>IF(Tabela1[[#This Row],[Idade]]&lt;45,"ATIVO","REFORMA")</f>
        <v>ATIVO</v>
      </c>
      <c r="K120" s="6" t="str">
        <f t="shared" ca="1" si="6"/>
        <v>PRODUÇÃO</v>
      </c>
    </row>
    <row r="121" spans="1:11" x14ac:dyDescent="0.25">
      <c r="A121" s="5">
        <f t="shared" si="7"/>
        <v>118</v>
      </c>
      <c r="B121" s="5" t="s">
        <v>258</v>
      </c>
      <c r="C121" s="1" t="s">
        <v>259</v>
      </c>
      <c r="D121" s="2">
        <f t="shared" ca="1" si="4"/>
        <v>716094</v>
      </c>
      <c r="E121" s="1" t="s">
        <v>247</v>
      </c>
      <c r="F121" s="3">
        <v>40</v>
      </c>
      <c r="G121" s="3" t="s">
        <v>13</v>
      </c>
      <c r="H121" s="1" t="str">
        <f t="shared" ca="1" si="5"/>
        <v>F</v>
      </c>
      <c r="I121" s="4">
        <v>42044</v>
      </c>
      <c r="J121" s="1" t="str">
        <f>IF(Tabela1[[#This Row],[Idade]]&lt;45,"ATIVO","REFORMA")</f>
        <v>ATIVO</v>
      </c>
      <c r="K121" s="6" t="str">
        <f t="shared" ca="1" si="6"/>
        <v>VENDAS</v>
      </c>
    </row>
    <row r="122" spans="1:11" x14ac:dyDescent="0.25">
      <c r="A122" s="5">
        <f t="shared" si="7"/>
        <v>119</v>
      </c>
      <c r="B122" s="5" t="s">
        <v>260</v>
      </c>
      <c r="C122" s="1" t="s">
        <v>261</v>
      </c>
      <c r="D122" s="2">
        <f t="shared" ca="1" si="4"/>
        <v>305768</v>
      </c>
      <c r="E122" s="1" t="s">
        <v>247</v>
      </c>
      <c r="F122" s="3">
        <v>40</v>
      </c>
      <c r="G122" s="3" t="s">
        <v>13</v>
      </c>
      <c r="H122" s="1" t="str">
        <f t="shared" ca="1" si="5"/>
        <v>F</v>
      </c>
      <c r="I122" s="4">
        <v>41474</v>
      </c>
      <c r="J122" s="1" t="str">
        <f>IF(Tabela1[[#This Row],[Idade]]&lt;45,"ATIVO","REFORMA")</f>
        <v>ATIVO</v>
      </c>
      <c r="K122" s="6" t="str">
        <f t="shared" ca="1" si="6"/>
        <v>TI</v>
      </c>
    </row>
    <row r="123" spans="1:11" x14ac:dyDescent="0.25">
      <c r="A123" s="5">
        <f t="shared" si="7"/>
        <v>120</v>
      </c>
      <c r="B123" s="5" t="s">
        <v>158</v>
      </c>
      <c r="C123" s="1" t="s">
        <v>262</v>
      </c>
      <c r="D123" s="2">
        <f t="shared" ca="1" si="4"/>
        <v>371449</v>
      </c>
      <c r="E123" s="1" t="s">
        <v>247</v>
      </c>
      <c r="F123" s="3">
        <v>38</v>
      </c>
      <c r="G123" s="3" t="s">
        <v>13</v>
      </c>
      <c r="H123" s="1" t="str">
        <f t="shared" ca="1" si="5"/>
        <v>F</v>
      </c>
      <c r="I123" s="4">
        <v>41121</v>
      </c>
      <c r="J123" s="1" t="str">
        <f>IF(Tabela1[[#This Row],[Idade]]&lt;45,"ATIVO","REFORMA")</f>
        <v>ATIVO</v>
      </c>
      <c r="K123" s="6" t="str">
        <f t="shared" ca="1" si="6"/>
        <v>VENDAS</v>
      </c>
    </row>
    <row r="124" spans="1:11" x14ac:dyDescent="0.25">
      <c r="A124" s="5">
        <f t="shared" si="7"/>
        <v>121</v>
      </c>
      <c r="B124" s="5" t="s">
        <v>263</v>
      </c>
      <c r="C124" s="1" t="s">
        <v>264</v>
      </c>
      <c r="D124" s="2">
        <f t="shared" ca="1" si="4"/>
        <v>140289</v>
      </c>
      <c r="E124" s="1" t="s">
        <v>265</v>
      </c>
      <c r="F124" s="3">
        <v>36</v>
      </c>
      <c r="G124" s="3" t="s">
        <v>13</v>
      </c>
      <c r="H124" s="1" t="str">
        <f t="shared" ca="1" si="5"/>
        <v>F</v>
      </c>
      <c r="I124" s="4">
        <v>42127</v>
      </c>
      <c r="J124" s="1" t="str">
        <f>IF(Tabela1[[#This Row],[Idade]]&lt;45,"ATIVO","REFORMA")</f>
        <v>ATIVO</v>
      </c>
      <c r="K124" s="6" t="str">
        <f t="shared" ca="1" si="6"/>
        <v>PRODUÇÃO</v>
      </c>
    </row>
    <row r="125" spans="1:11" x14ac:dyDescent="0.25">
      <c r="A125" s="5">
        <f t="shared" si="7"/>
        <v>122</v>
      </c>
      <c r="B125" s="5" t="s">
        <v>266</v>
      </c>
      <c r="C125" s="1" t="s">
        <v>267</v>
      </c>
      <c r="D125" s="2">
        <f t="shared" ca="1" si="4"/>
        <v>165025</v>
      </c>
      <c r="E125" s="1" t="s">
        <v>265</v>
      </c>
      <c r="F125" s="3">
        <v>46</v>
      </c>
      <c r="G125" s="3" t="s">
        <v>19</v>
      </c>
      <c r="H125" s="1" t="str">
        <f t="shared" ca="1" si="5"/>
        <v>F</v>
      </c>
      <c r="I125" s="4">
        <v>42922</v>
      </c>
      <c r="J125" s="1" t="str">
        <f>IF(Tabela1[[#This Row],[Idade]]&lt;45,"ATIVO","REFORMA")</f>
        <v>REFORMA</v>
      </c>
      <c r="K125" s="6" t="str">
        <f t="shared" ca="1" si="6"/>
        <v>PRODUÇÃO</v>
      </c>
    </row>
    <row r="126" spans="1:11" x14ac:dyDescent="0.25">
      <c r="A126" s="5">
        <f t="shared" si="7"/>
        <v>123</v>
      </c>
      <c r="B126" s="5" t="s">
        <v>268</v>
      </c>
      <c r="C126" s="1" t="s">
        <v>269</v>
      </c>
      <c r="D126" s="2">
        <f t="shared" ca="1" si="4"/>
        <v>171029</v>
      </c>
      <c r="E126" s="1" t="s">
        <v>265</v>
      </c>
      <c r="F126" s="3">
        <v>36</v>
      </c>
      <c r="G126" s="3" t="s">
        <v>13</v>
      </c>
      <c r="H126" s="1" t="str">
        <f t="shared" ca="1" si="5"/>
        <v>F</v>
      </c>
      <c r="I126" s="4">
        <v>42038</v>
      </c>
      <c r="J126" s="1" t="str">
        <f>IF(Tabela1[[#This Row],[Idade]]&lt;45,"ATIVO","REFORMA")</f>
        <v>ATIVO</v>
      </c>
      <c r="K126" s="6" t="str">
        <f t="shared" ca="1" si="6"/>
        <v>VENDAS</v>
      </c>
    </row>
    <row r="127" spans="1:11" x14ac:dyDescent="0.25">
      <c r="A127" s="5">
        <f t="shared" si="7"/>
        <v>124</v>
      </c>
      <c r="B127" s="5" t="s">
        <v>270</v>
      </c>
      <c r="C127" s="1" t="s">
        <v>271</v>
      </c>
      <c r="D127" s="2">
        <f t="shared" ca="1" si="4"/>
        <v>134261</v>
      </c>
      <c r="E127" s="1" t="s">
        <v>265</v>
      </c>
      <c r="F127" s="3">
        <v>29</v>
      </c>
      <c r="G127" s="3" t="s">
        <v>22</v>
      </c>
      <c r="H127" s="1" t="str">
        <f t="shared" ca="1" si="5"/>
        <v>F</v>
      </c>
      <c r="I127" s="4">
        <v>43073</v>
      </c>
      <c r="J127" s="1" t="str">
        <f>IF(Tabela1[[#This Row],[Idade]]&lt;45,"ATIVO","REFORMA")</f>
        <v>ATIVO</v>
      </c>
      <c r="K127" s="6" t="str">
        <f t="shared" ca="1" si="6"/>
        <v>TI</v>
      </c>
    </row>
    <row r="128" spans="1:11" x14ac:dyDescent="0.25">
      <c r="A128" s="5">
        <f t="shared" si="7"/>
        <v>125</v>
      </c>
      <c r="B128" s="5" t="s">
        <v>272</v>
      </c>
      <c r="C128" s="1" t="s">
        <v>273</v>
      </c>
      <c r="D128" s="2">
        <f t="shared" ca="1" si="4"/>
        <v>624977</v>
      </c>
      <c r="E128" s="1" t="s">
        <v>265</v>
      </c>
      <c r="F128" s="3">
        <v>23</v>
      </c>
      <c r="G128" s="3" t="s">
        <v>40</v>
      </c>
      <c r="H128" s="1" t="str">
        <f t="shared" ca="1" si="5"/>
        <v>F</v>
      </c>
      <c r="I128" s="4">
        <v>41830</v>
      </c>
      <c r="J128" s="1" t="str">
        <f>IF(Tabela1[[#This Row],[Idade]]&lt;45,"ATIVO","REFORMA")</f>
        <v>ATIVO</v>
      </c>
      <c r="K128" s="6" t="str">
        <f t="shared" ca="1" si="6"/>
        <v>VENDAS</v>
      </c>
    </row>
    <row r="129" spans="1:11" x14ac:dyDescent="0.25">
      <c r="A129" s="5">
        <f t="shared" si="7"/>
        <v>126</v>
      </c>
      <c r="B129" s="5" t="s">
        <v>274</v>
      </c>
      <c r="C129" s="1" t="s">
        <v>275</v>
      </c>
      <c r="D129" s="2">
        <f t="shared" ca="1" si="4"/>
        <v>138454</v>
      </c>
      <c r="E129" s="1" t="s">
        <v>265</v>
      </c>
      <c r="F129" s="3">
        <v>31</v>
      </c>
      <c r="G129" s="3" t="s">
        <v>25</v>
      </c>
      <c r="H129" s="1" t="str">
        <f t="shared" ca="1" si="5"/>
        <v>M</v>
      </c>
      <c r="I129" s="4">
        <v>43006</v>
      </c>
      <c r="J129" s="1" t="str">
        <f>IF(Tabela1[[#This Row],[Idade]]&lt;45,"ATIVO","REFORMA")</f>
        <v>ATIVO</v>
      </c>
      <c r="K129" s="6" t="str">
        <f t="shared" ca="1" si="6"/>
        <v>VENDAS</v>
      </c>
    </row>
    <row r="130" spans="1:11" x14ac:dyDescent="0.25">
      <c r="A130" s="5">
        <f t="shared" si="7"/>
        <v>127</v>
      </c>
      <c r="B130" s="5" t="s">
        <v>276</v>
      </c>
      <c r="C130" s="1" t="s">
        <v>277</v>
      </c>
      <c r="D130" s="2">
        <f t="shared" ca="1" si="4"/>
        <v>456257</v>
      </c>
      <c r="E130" s="1" t="s">
        <v>265</v>
      </c>
      <c r="F130" s="3">
        <v>37</v>
      </c>
      <c r="G130" s="3" t="s">
        <v>13</v>
      </c>
      <c r="H130" s="1" t="str">
        <f t="shared" ca="1" si="5"/>
        <v>M</v>
      </c>
      <c r="I130" s="4">
        <v>42922</v>
      </c>
      <c r="J130" s="1" t="str">
        <f>IF(Tabela1[[#This Row],[Idade]]&lt;45,"ATIVO","REFORMA")</f>
        <v>ATIVO</v>
      </c>
      <c r="K130" s="6" t="str">
        <f t="shared" ca="1" si="6"/>
        <v>VENDAS</v>
      </c>
    </row>
    <row r="131" spans="1:11" x14ac:dyDescent="0.25">
      <c r="A131" s="5">
        <f t="shared" si="7"/>
        <v>128</v>
      </c>
      <c r="B131" s="5" t="s">
        <v>278</v>
      </c>
      <c r="C131" s="1" t="s">
        <v>279</v>
      </c>
      <c r="D131" s="2">
        <f t="shared" ca="1" si="4"/>
        <v>395171</v>
      </c>
      <c r="E131" s="1" t="s">
        <v>265</v>
      </c>
      <c r="F131" s="3">
        <v>31</v>
      </c>
      <c r="G131" s="3" t="s">
        <v>25</v>
      </c>
      <c r="H131" s="1" t="str">
        <f t="shared" ca="1" si="5"/>
        <v>M</v>
      </c>
      <c r="I131" s="4">
        <v>43622</v>
      </c>
      <c r="J131" s="1" t="str">
        <f>IF(Tabela1[[#This Row],[Idade]]&lt;45,"ATIVO","REFORMA")</f>
        <v>ATIVO</v>
      </c>
      <c r="K131" s="6" t="str">
        <f t="shared" ca="1" si="6"/>
        <v>TI</v>
      </c>
    </row>
    <row r="132" spans="1:11" x14ac:dyDescent="0.25">
      <c r="A132" s="5">
        <f t="shared" si="7"/>
        <v>129</v>
      </c>
      <c r="B132" s="5" t="s">
        <v>280</v>
      </c>
      <c r="C132" s="1" t="s">
        <v>281</v>
      </c>
      <c r="D132" s="2">
        <f t="shared" ref="D132:D195" ca="1" si="8">RANDBETWEEN(100000,800000)</f>
        <v>724366</v>
      </c>
      <c r="E132" s="1" t="s">
        <v>265</v>
      </c>
      <c r="F132" s="3">
        <v>34</v>
      </c>
      <c r="G132" s="3" t="s">
        <v>25</v>
      </c>
      <c r="H132" s="1" t="str">
        <f t="shared" ref="H132:H195" ca="1" si="9">CHOOSE(RANDBETWEEN(1,2),"F","M")</f>
        <v>M</v>
      </c>
      <c r="I132" s="4">
        <v>42600</v>
      </c>
      <c r="J132" s="1" t="str">
        <f>IF(Tabela1[[#This Row],[Idade]]&lt;45,"ATIVO","REFORMA")</f>
        <v>ATIVO</v>
      </c>
      <c r="K132" s="6" t="str">
        <f t="shared" ref="K132:K195" ca="1" si="10">CHOOSE(RANDBETWEEN(1,4),"PRODUÇÃO","VENDAS","ADMINISTRATIVO","TI")</f>
        <v>VENDAS</v>
      </c>
    </row>
    <row r="133" spans="1:11" x14ac:dyDescent="0.25">
      <c r="A133" s="5">
        <f t="shared" si="7"/>
        <v>130</v>
      </c>
      <c r="B133" s="5" t="s">
        <v>282</v>
      </c>
      <c r="C133" s="1" t="s">
        <v>283</v>
      </c>
      <c r="D133" s="2">
        <f t="shared" ca="1" si="8"/>
        <v>616967</v>
      </c>
      <c r="E133" s="1" t="s">
        <v>265</v>
      </c>
      <c r="F133" s="3">
        <v>30</v>
      </c>
      <c r="G133" s="3" t="s">
        <v>22</v>
      </c>
      <c r="H133" s="1" t="str">
        <f t="shared" ca="1" si="9"/>
        <v>M</v>
      </c>
      <c r="I133" s="4">
        <v>43018</v>
      </c>
      <c r="J133" s="1" t="str">
        <f>IF(Tabela1[[#This Row],[Idade]]&lt;45,"ATIVO","REFORMA")</f>
        <v>ATIVO</v>
      </c>
      <c r="K133" s="6" t="str">
        <f t="shared" ca="1" si="10"/>
        <v>ADMINISTRATIVO</v>
      </c>
    </row>
    <row r="134" spans="1:11" x14ac:dyDescent="0.25">
      <c r="A134" s="5">
        <f t="shared" ref="A134:A197" si="11">A133+1</f>
        <v>131</v>
      </c>
      <c r="B134" s="5" t="s">
        <v>132</v>
      </c>
      <c r="C134" s="1" t="s">
        <v>284</v>
      </c>
      <c r="D134" s="2">
        <f t="shared" ca="1" si="8"/>
        <v>785185</v>
      </c>
      <c r="E134" s="1" t="s">
        <v>265</v>
      </c>
      <c r="F134" s="3">
        <v>52</v>
      </c>
      <c r="G134" s="3" t="s">
        <v>105</v>
      </c>
      <c r="H134" s="1" t="str">
        <f t="shared" ca="1" si="9"/>
        <v>M</v>
      </c>
      <c r="I134" s="4">
        <v>43006</v>
      </c>
      <c r="J134" s="1" t="str">
        <f>IF(Tabela1[[#This Row],[Idade]]&lt;45,"ATIVO","REFORMA")</f>
        <v>REFORMA</v>
      </c>
      <c r="K134" s="6" t="str">
        <f t="shared" ca="1" si="10"/>
        <v>PRODUÇÃO</v>
      </c>
    </row>
    <row r="135" spans="1:11" x14ac:dyDescent="0.25">
      <c r="A135" s="5">
        <f t="shared" si="11"/>
        <v>132</v>
      </c>
      <c r="B135" s="5" t="s">
        <v>285</v>
      </c>
      <c r="C135" s="1" t="s">
        <v>286</v>
      </c>
      <c r="D135" s="2">
        <f t="shared" ca="1" si="8"/>
        <v>139533</v>
      </c>
      <c r="E135" s="1" t="s">
        <v>265</v>
      </c>
      <c r="F135" s="3">
        <v>50</v>
      </c>
      <c r="G135" s="3" t="s">
        <v>19</v>
      </c>
      <c r="H135" s="1" t="str">
        <f t="shared" ca="1" si="9"/>
        <v>M</v>
      </c>
      <c r="I135" s="4">
        <v>43667</v>
      </c>
      <c r="J135" s="1" t="str">
        <f>IF(Tabela1[[#This Row],[Idade]]&lt;45,"ATIVO","REFORMA")</f>
        <v>REFORMA</v>
      </c>
      <c r="K135" s="6" t="str">
        <f t="shared" ca="1" si="10"/>
        <v>TI</v>
      </c>
    </row>
    <row r="136" spans="1:11" x14ac:dyDescent="0.25">
      <c r="A136" s="5">
        <f t="shared" si="11"/>
        <v>133</v>
      </c>
      <c r="B136" s="5" t="s">
        <v>287</v>
      </c>
      <c r="C136" s="1" t="s">
        <v>288</v>
      </c>
      <c r="D136" s="2">
        <f t="shared" ca="1" si="8"/>
        <v>122569</v>
      </c>
      <c r="E136" s="1" t="s">
        <v>265</v>
      </c>
      <c r="F136" s="3">
        <v>27</v>
      </c>
      <c r="G136" s="3" t="s">
        <v>22</v>
      </c>
      <c r="H136" s="1" t="str">
        <f t="shared" ca="1" si="9"/>
        <v>M</v>
      </c>
      <c r="I136" s="4">
        <v>42684</v>
      </c>
      <c r="J136" s="1" t="str">
        <f>IF(Tabela1[[#This Row],[Idade]]&lt;45,"ATIVO","REFORMA")</f>
        <v>ATIVO</v>
      </c>
      <c r="K136" s="6" t="str">
        <f t="shared" ca="1" si="10"/>
        <v>ADMINISTRATIVO</v>
      </c>
    </row>
    <row r="137" spans="1:11" x14ac:dyDescent="0.25">
      <c r="A137" s="5">
        <f t="shared" si="11"/>
        <v>134</v>
      </c>
      <c r="B137" s="5" t="s">
        <v>289</v>
      </c>
      <c r="C137" s="1" t="s">
        <v>290</v>
      </c>
      <c r="D137" s="2">
        <f t="shared" ca="1" si="8"/>
        <v>605787</v>
      </c>
      <c r="E137" s="1" t="s">
        <v>265</v>
      </c>
      <c r="F137" s="3">
        <v>37</v>
      </c>
      <c r="G137" s="3" t="s">
        <v>13</v>
      </c>
      <c r="H137" s="1" t="str">
        <f t="shared" ca="1" si="9"/>
        <v>M</v>
      </c>
      <c r="I137" s="4">
        <v>42588</v>
      </c>
      <c r="J137" s="1" t="str">
        <f>IF(Tabela1[[#This Row],[Idade]]&lt;45,"ATIVO","REFORMA")</f>
        <v>ATIVO</v>
      </c>
      <c r="K137" s="6" t="str">
        <f t="shared" ca="1" si="10"/>
        <v>PRODUÇÃO</v>
      </c>
    </row>
    <row r="138" spans="1:11" x14ac:dyDescent="0.25">
      <c r="A138" s="5">
        <f t="shared" si="11"/>
        <v>135</v>
      </c>
      <c r="B138" s="5" t="s">
        <v>291</v>
      </c>
      <c r="C138" s="1" t="s">
        <v>292</v>
      </c>
      <c r="D138" s="2">
        <f t="shared" ca="1" si="8"/>
        <v>759556</v>
      </c>
      <c r="E138" s="1" t="s">
        <v>265</v>
      </c>
      <c r="F138" s="3">
        <v>40</v>
      </c>
      <c r="G138" s="3" t="s">
        <v>13</v>
      </c>
      <c r="H138" s="1" t="str">
        <f t="shared" ca="1" si="9"/>
        <v>M</v>
      </c>
      <c r="I138" s="4">
        <v>42248</v>
      </c>
      <c r="J138" s="1" t="str">
        <f>IF(Tabela1[[#This Row],[Idade]]&lt;45,"ATIVO","REFORMA")</f>
        <v>ATIVO</v>
      </c>
      <c r="K138" s="6" t="str">
        <f t="shared" ca="1" si="10"/>
        <v>ADMINISTRATIVO</v>
      </c>
    </row>
    <row r="139" spans="1:11" x14ac:dyDescent="0.25">
      <c r="A139" s="5">
        <f t="shared" si="11"/>
        <v>136</v>
      </c>
      <c r="B139" s="5" t="s">
        <v>293</v>
      </c>
      <c r="C139" s="1" t="s">
        <v>294</v>
      </c>
      <c r="D139" s="2">
        <f t="shared" ca="1" si="8"/>
        <v>114161</v>
      </c>
      <c r="E139" s="1" t="s">
        <v>265</v>
      </c>
      <c r="F139" s="3">
        <v>30</v>
      </c>
      <c r="G139" s="3" t="s">
        <v>22</v>
      </c>
      <c r="H139" s="1" t="str">
        <f t="shared" ca="1" si="9"/>
        <v>M</v>
      </c>
      <c r="I139" s="4">
        <v>41515</v>
      </c>
      <c r="J139" s="1" t="str">
        <f>IF(Tabela1[[#This Row],[Idade]]&lt;45,"ATIVO","REFORMA")</f>
        <v>ATIVO</v>
      </c>
      <c r="K139" s="6" t="str">
        <f t="shared" ca="1" si="10"/>
        <v>ADMINISTRATIVO</v>
      </c>
    </row>
    <row r="140" spans="1:11" x14ac:dyDescent="0.25">
      <c r="A140" s="5">
        <f t="shared" si="11"/>
        <v>137</v>
      </c>
      <c r="B140" s="5" t="s">
        <v>295</v>
      </c>
      <c r="C140" s="1" t="s">
        <v>296</v>
      </c>
      <c r="D140" s="2">
        <f t="shared" ca="1" si="8"/>
        <v>409417</v>
      </c>
      <c r="E140" s="1" t="s">
        <v>265</v>
      </c>
      <c r="F140" s="3">
        <v>38</v>
      </c>
      <c r="G140" s="3" t="s">
        <v>13</v>
      </c>
      <c r="H140" s="1" t="str">
        <f t="shared" ca="1" si="9"/>
        <v>M</v>
      </c>
      <c r="I140" s="4">
        <v>41732</v>
      </c>
      <c r="J140" s="1" t="str">
        <f>IF(Tabela1[[#This Row],[Idade]]&lt;45,"ATIVO","REFORMA")</f>
        <v>ATIVO</v>
      </c>
      <c r="K140" s="6" t="str">
        <f t="shared" ca="1" si="10"/>
        <v>TI</v>
      </c>
    </row>
    <row r="141" spans="1:11" x14ac:dyDescent="0.25">
      <c r="A141" s="5">
        <f t="shared" si="11"/>
        <v>138</v>
      </c>
      <c r="B141" s="5" t="s">
        <v>297</v>
      </c>
      <c r="C141" s="1" t="s">
        <v>298</v>
      </c>
      <c r="D141" s="2">
        <f t="shared" ca="1" si="8"/>
        <v>224810</v>
      </c>
      <c r="E141" s="1" t="s">
        <v>265</v>
      </c>
      <c r="F141" s="3">
        <v>29</v>
      </c>
      <c r="G141" s="3" t="s">
        <v>22</v>
      </c>
      <c r="H141" s="1" t="str">
        <f t="shared" ca="1" si="9"/>
        <v>F</v>
      </c>
      <c r="I141" s="4">
        <v>41765</v>
      </c>
      <c r="J141" s="1" t="str">
        <f>IF(Tabela1[[#This Row],[Idade]]&lt;45,"ATIVO","REFORMA")</f>
        <v>ATIVO</v>
      </c>
      <c r="K141" s="6" t="str">
        <f t="shared" ca="1" si="10"/>
        <v>PRODUÇÃO</v>
      </c>
    </row>
    <row r="142" spans="1:11" x14ac:dyDescent="0.25">
      <c r="A142" s="5">
        <f t="shared" si="11"/>
        <v>139</v>
      </c>
      <c r="B142" s="5" t="s">
        <v>299</v>
      </c>
      <c r="C142" s="1" t="s">
        <v>300</v>
      </c>
      <c r="D142" s="2">
        <f t="shared" ca="1" si="8"/>
        <v>707263</v>
      </c>
      <c r="E142" s="1" t="s">
        <v>265</v>
      </c>
      <c r="F142" s="3">
        <v>28</v>
      </c>
      <c r="G142" s="3" t="s">
        <v>22</v>
      </c>
      <c r="H142" s="1" t="str">
        <f t="shared" ca="1" si="9"/>
        <v>F</v>
      </c>
      <c r="I142" s="4">
        <v>43188</v>
      </c>
      <c r="J142" s="1" t="str">
        <f>IF(Tabela1[[#This Row],[Idade]]&lt;45,"ATIVO","REFORMA")</f>
        <v>ATIVO</v>
      </c>
      <c r="K142" s="6" t="str">
        <f t="shared" ca="1" si="10"/>
        <v>VENDAS</v>
      </c>
    </row>
    <row r="143" spans="1:11" x14ac:dyDescent="0.25">
      <c r="A143" s="5">
        <f t="shared" si="11"/>
        <v>140</v>
      </c>
      <c r="B143" s="5" t="s">
        <v>301</v>
      </c>
      <c r="C143" s="1" t="s">
        <v>302</v>
      </c>
      <c r="D143" s="2">
        <f t="shared" ca="1" si="8"/>
        <v>786665</v>
      </c>
      <c r="E143" s="1" t="s">
        <v>265</v>
      </c>
      <c r="F143" s="3">
        <v>39</v>
      </c>
      <c r="G143" s="3" t="s">
        <v>13</v>
      </c>
      <c r="H143" s="1" t="str">
        <f t="shared" ca="1" si="9"/>
        <v>F</v>
      </c>
      <c r="I143" s="4">
        <v>42964</v>
      </c>
      <c r="J143" s="1" t="str">
        <f>IF(Tabela1[[#This Row],[Idade]]&lt;45,"ATIVO","REFORMA")</f>
        <v>ATIVO</v>
      </c>
      <c r="K143" s="6" t="str">
        <f t="shared" ca="1" si="10"/>
        <v>ADMINISTRATIVO</v>
      </c>
    </row>
    <row r="144" spans="1:11" x14ac:dyDescent="0.25">
      <c r="A144" s="5">
        <f t="shared" si="11"/>
        <v>141</v>
      </c>
      <c r="B144" s="5" t="s">
        <v>303</v>
      </c>
      <c r="C144" s="1" t="s">
        <v>304</v>
      </c>
      <c r="D144" s="2">
        <f t="shared" ca="1" si="8"/>
        <v>680610</v>
      </c>
      <c r="E144" s="1" t="s">
        <v>265</v>
      </c>
      <c r="F144" s="3">
        <v>36</v>
      </c>
      <c r="G144" s="3" t="s">
        <v>13</v>
      </c>
      <c r="H144" s="1" t="str">
        <f t="shared" ca="1" si="9"/>
        <v>M</v>
      </c>
      <c r="I144" s="4">
        <v>41830</v>
      </c>
      <c r="J144" s="1" t="str">
        <f>IF(Tabela1[[#This Row],[Idade]]&lt;45,"ATIVO","REFORMA")</f>
        <v>ATIVO</v>
      </c>
      <c r="K144" s="6" t="str">
        <f t="shared" ca="1" si="10"/>
        <v>PRODUÇÃO</v>
      </c>
    </row>
    <row r="145" spans="1:11" x14ac:dyDescent="0.25">
      <c r="A145" s="5">
        <f t="shared" si="11"/>
        <v>142</v>
      </c>
      <c r="B145" s="5" t="s">
        <v>305</v>
      </c>
      <c r="C145" s="1" t="s">
        <v>306</v>
      </c>
      <c r="D145" s="2">
        <f t="shared" ca="1" si="8"/>
        <v>545212</v>
      </c>
      <c r="E145" s="1" t="s">
        <v>265</v>
      </c>
      <c r="F145" s="3">
        <v>32</v>
      </c>
      <c r="G145" s="3" t="s">
        <v>25</v>
      </c>
      <c r="H145" s="1" t="str">
        <f t="shared" ca="1" si="9"/>
        <v>M</v>
      </c>
      <c r="I145" s="4">
        <v>42642</v>
      </c>
      <c r="J145" s="1" t="str">
        <f>IF(Tabela1[[#This Row],[Idade]]&lt;45,"ATIVO","REFORMA")</f>
        <v>ATIVO</v>
      </c>
      <c r="K145" s="6" t="str">
        <f t="shared" ca="1" si="10"/>
        <v>TI</v>
      </c>
    </row>
    <row r="146" spans="1:11" x14ac:dyDescent="0.25">
      <c r="A146" s="5">
        <f t="shared" si="11"/>
        <v>143</v>
      </c>
      <c r="B146" s="5" t="s">
        <v>307</v>
      </c>
      <c r="C146" s="1" t="s">
        <v>308</v>
      </c>
      <c r="D146" s="2">
        <f t="shared" ca="1" si="8"/>
        <v>485963</v>
      </c>
      <c r="E146" s="1" t="s">
        <v>265</v>
      </c>
      <c r="F146" s="3">
        <v>46</v>
      </c>
      <c r="G146" s="3" t="s">
        <v>19</v>
      </c>
      <c r="H146" s="1" t="str">
        <f t="shared" ca="1" si="9"/>
        <v>F</v>
      </c>
      <c r="I146" s="4">
        <v>42502</v>
      </c>
      <c r="J146" s="1" t="str">
        <f>IF(Tabela1[[#This Row],[Idade]]&lt;45,"ATIVO","REFORMA")</f>
        <v>REFORMA</v>
      </c>
      <c r="K146" s="6" t="str">
        <f t="shared" ca="1" si="10"/>
        <v>VENDAS</v>
      </c>
    </row>
    <row r="147" spans="1:11" x14ac:dyDescent="0.25">
      <c r="A147" s="5">
        <f t="shared" si="11"/>
        <v>144</v>
      </c>
      <c r="B147" s="5" t="s">
        <v>309</v>
      </c>
      <c r="C147" s="1" t="s">
        <v>310</v>
      </c>
      <c r="D147" s="2">
        <f t="shared" ca="1" si="8"/>
        <v>362218</v>
      </c>
      <c r="E147" s="1" t="s">
        <v>265</v>
      </c>
      <c r="F147" s="3">
        <v>30</v>
      </c>
      <c r="G147" s="3" t="s">
        <v>22</v>
      </c>
      <c r="H147" s="1" t="str">
        <f t="shared" ca="1" si="9"/>
        <v>M</v>
      </c>
      <c r="I147" s="4">
        <v>42922</v>
      </c>
      <c r="J147" s="1" t="str">
        <f>IF(Tabela1[[#This Row],[Idade]]&lt;45,"ATIVO","REFORMA")</f>
        <v>ATIVO</v>
      </c>
      <c r="K147" s="6" t="str">
        <f t="shared" ca="1" si="10"/>
        <v>ADMINISTRATIVO</v>
      </c>
    </row>
    <row r="148" spans="1:11" x14ac:dyDescent="0.25">
      <c r="A148" s="5">
        <f t="shared" si="11"/>
        <v>145</v>
      </c>
      <c r="B148" s="5" t="s">
        <v>311</v>
      </c>
      <c r="C148" s="1" t="s">
        <v>312</v>
      </c>
      <c r="D148" s="2">
        <f t="shared" ca="1" si="8"/>
        <v>571215</v>
      </c>
      <c r="E148" s="1" t="s">
        <v>265</v>
      </c>
      <c r="F148" s="3">
        <v>25</v>
      </c>
      <c r="G148" s="3" t="s">
        <v>40</v>
      </c>
      <c r="H148" s="1" t="str">
        <f t="shared" ca="1" si="9"/>
        <v>M</v>
      </c>
      <c r="I148" s="4">
        <v>41732</v>
      </c>
      <c r="J148" s="1" t="str">
        <f>IF(Tabela1[[#This Row],[Idade]]&lt;45,"ATIVO","REFORMA")</f>
        <v>ATIVO</v>
      </c>
      <c r="K148" s="6" t="str">
        <f t="shared" ca="1" si="10"/>
        <v>PRODUÇÃO</v>
      </c>
    </row>
    <row r="149" spans="1:11" x14ac:dyDescent="0.25">
      <c r="A149" s="5">
        <f t="shared" si="11"/>
        <v>146</v>
      </c>
      <c r="B149" s="5" t="s">
        <v>313</v>
      </c>
      <c r="C149" s="1" t="s">
        <v>314</v>
      </c>
      <c r="D149" s="2">
        <f t="shared" ca="1" si="8"/>
        <v>661222</v>
      </c>
      <c r="E149" s="1" t="s">
        <v>265</v>
      </c>
      <c r="F149" s="3">
        <v>26</v>
      </c>
      <c r="G149" s="3" t="s">
        <v>22</v>
      </c>
      <c r="H149" s="1" t="str">
        <f t="shared" ca="1" si="9"/>
        <v>F</v>
      </c>
      <c r="I149" s="4">
        <v>42922</v>
      </c>
      <c r="J149" s="1" t="str">
        <f>IF(Tabela1[[#This Row],[Idade]]&lt;45,"ATIVO","REFORMA")</f>
        <v>ATIVO</v>
      </c>
      <c r="K149" s="6" t="str">
        <f t="shared" ca="1" si="10"/>
        <v>TI</v>
      </c>
    </row>
    <row r="150" spans="1:11" x14ac:dyDescent="0.25">
      <c r="A150" s="5">
        <f t="shared" si="11"/>
        <v>147</v>
      </c>
      <c r="B150" s="5" t="s">
        <v>315</v>
      </c>
      <c r="C150" s="1" t="s">
        <v>316</v>
      </c>
      <c r="D150" s="2">
        <f t="shared" ca="1" si="8"/>
        <v>589593</v>
      </c>
      <c r="E150" s="1" t="s">
        <v>265</v>
      </c>
      <c r="F150" s="3">
        <v>42</v>
      </c>
      <c r="G150" s="3" t="s">
        <v>16</v>
      </c>
      <c r="H150" s="1" t="str">
        <f t="shared" ca="1" si="9"/>
        <v>F</v>
      </c>
      <c r="I150" s="4">
        <v>42502</v>
      </c>
      <c r="J150" s="1" t="str">
        <f>IF(Tabela1[[#This Row],[Idade]]&lt;45,"ATIVO","REFORMA")</f>
        <v>ATIVO</v>
      </c>
      <c r="K150" s="6" t="str">
        <f t="shared" ca="1" si="10"/>
        <v>VENDAS</v>
      </c>
    </row>
    <row r="151" spans="1:11" x14ac:dyDescent="0.25">
      <c r="A151" s="5">
        <f t="shared" si="11"/>
        <v>148</v>
      </c>
      <c r="B151" s="5" t="s">
        <v>317</v>
      </c>
      <c r="C151" s="1" t="s">
        <v>318</v>
      </c>
      <c r="D151" s="2">
        <f t="shared" ca="1" si="8"/>
        <v>296675</v>
      </c>
      <c r="E151" s="1" t="s">
        <v>265</v>
      </c>
      <c r="F151" s="3">
        <v>32</v>
      </c>
      <c r="G151" s="3" t="s">
        <v>25</v>
      </c>
      <c r="H151" s="1" t="str">
        <f t="shared" ca="1" si="9"/>
        <v>M</v>
      </c>
      <c r="I151" s="4">
        <v>43006</v>
      </c>
      <c r="J151" s="1" t="str">
        <f>IF(Tabela1[[#This Row],[Idade]]&lt;45,"ATIVO","REFORMA")</f>
        <v>ATIVO</v>
      </c>
      <c r="K151" s="6" t="str">
        <f t="shared" ca="1" si="10"/>
        <v>PRODUÇÃO</v>
      </c>
    </row>
    <row r="152" spans="1:11" x14ac:dyDescent="0.25">
      <c r="A152" s="5">
        <f t="shared" si="11"/>
        <v>149</v>
      </c>
      <c r="B152" s="5" t="s">
        <v>319</v>
      </c>
      <c r="C152" s="1" t="s">
        <v>320</v>
      </c>
      <c r="D152" s="2">
        <f t="shared" ca="1" si="8"/>
        <v>480252</v>
      </c>
      <c r="E152" s="1" t="s">
        <v>265</v>
      </c>
      <c r="F152" s="3">
        <v>28</v>
      </c>
      <c r="G152" s="3" t="s">
        <v>22</v>
      </c>
      <c r="H152" s="1" t="str">
        <f t="shared" ca="1" si="9"/>
        <v>F</v>
      </c>
      <c r="I152" s="4">
        <v>42782</v>
      </c>
      <c r="J152" s="1" t="str">
        <f>IF(Tabela1[[#This Row],[Idade]]&lt;45,"ATIVO","REFORMA")</f>
        <v>ATIVO</v>
      </c>
      <c r="K152" s="6" t="str">
        <f t="shared" ca="1" si="10"/>
        <v>VENDAS</v>
      </c>
    </row>
    <row r="153" spans="1:11" x14ac:dyDescent="0.25">
      <c r="A153" s="5">
        <f t="shared" si="11"/>
        <v>150</v>
      </c>
      <c r="B153" s="5" t="s">
        <v>321</v>
      </c>
      <c r="C153" s="1" t="s">
        <v>322</v>
      </c>
      <c r="D153" s="2">
        <f t="shared" ca="1" si="8"/>
        <v>438577</v>
      </c>
      <c r="E153" s="1" t="s">
        <v>265</v>
      </c>
      <c r="F153" s="3">
        <v>23</v>
      </c>
      <c r="G153" s="3" t="s">
        <v>40</v>
      </c>
      <c r="H153" s="1" t="str">
        <f t="shared" ca="1" si="9"/>
        <v>M</v>
      </c>
      <c r="I153" s="4">
        <v>43225</v>
      </c>
      <c r="J153" s="1" t="str">
        <f>IF(Tabela1[[#This Row],[Idade]]&lt;45,"ATIVO","REFORMA")</f>
        <v>ATIVO</v>
      </c>
      <c r="K153" s="6" t="str">
        <f t="shared" ca="1" si="10"/>
        <v>ADMINISTRATIVO</v>
      </c>
    </row>
    <row r="154" spans="1:11" x14ac:dyDescent="0.25">
      <c r="A154" s="5">
        <f t="shared" si="11"/>
        <v>151</v>
      </c>
      <c r="B154" s="5" t="s">
        <v>323</v>
      </c>
      <c r="C154" s="1" t="s">
        <v>324</v>
      </c>
      <c r="D154" s="2">
        <f t="shared" ca="1" si="8"/>
        <v>692095</v>
      </c>
      <c r="E154" s="1" t="s">
        <v>265</v>
      </c>
      <c r="F154" s="3">
        <v>39</v>
      </c>
      <c r="G154" s="3" t="s">
        <v>13</v>
      </c>
      <c r="H154" s="1" t="str">
        <f t="shared" ca="1" si="9"/>
        <v>M</v>
      </c>
      <c r="I154" s="4">
        <v>43682</v>
      </c>
      <c r="J154" s="1" t="str">
        <f>IF(Tabela1[[#This Row],[Idade]]&lt;45,"ATIVO","REFORMA")</f>
        <v>ATIVO</v>
      </c>
      <c r="K154" s="6" t="str">
        <f t="shared" ca="1" si="10"/>
        <v>TI</v>
      </c>
    </row>
    <row r="155" spans="1:11" x14ac:dyDescent="0.25">
      <c r="A155" s="5">
        <f t="shared" si="11"/>
        <v>152</v>
      </c>
      <c r="B155" s="5" t="s">
        <v>325</v>
      </c>
      <c r="C155" s="1" t="s">
        <v>326</v>
      </c>
      <c r="D155" s="2">
        <f t="shared" ca="1" si="8"/>
        <v>406202</v>
      </c>
      <c r="E155" s="1" t="s">
        <v>327</v>
      </c>
      <c r="F155" s="3">
        <v>26</v>
      </c>
      <c r="G155" s="3" t="s">
        <v>22</v>
      </c>
      <c r="H155" s="1" t="str">
        <f t="shared" ca="1" si="9"/>
        <v>M</v>
      </c>
      <c r="I155" s="4">
        <v>42859</v>
      </c>
      <c r="J155" s="1" t="str">
        <f>IF(Tabela1[[#This Row],[Idade]]&lt;45,"ATIVO","REFORMA")</f>
        <v>ATIVO</v>
      </c>
      <c r="K155" s="6" t="str">
        <f t="shared" ca="1" si="10"/>
        <v>PRODUÇÃO</v>
      </c>
    </row>
    <row r="156" spans="1:11" x14ac:dyDescent="0.25">
      <c r="A156" s="5">
        <f t="shared" si="11"/>
        <v>153</v>
      </c>
      <c r="B156" s="5" t="s">
        <v>132</v>
      </c>
      <c r="C156" s="1" t="s">
        <v>328</v>
      </c>
      <c r="D156" s="2">
        <f t="shared" ca="1" si="8"/>
        <v>174450</v>
      </c>
      <c r="E156" s="1" t="s">
        <v>327</v>
      </c>
      <c r="F156" s="3">
        <v>31</v>
      </c>
      <c r="G156" s="3" t="s">
        <v>25</v>
      </c>
      <c r="H156" s="1" t="str">
        <f t="shared" ca="1" si="9"/>
        <v>F</v>
      </c>
      <c r="I156" s="4">
        <v>42872</v>
      </c>
      <c r="J156" s="1" t="str">
        <f>IF(Tabela1[[#This Row],[Idade]]&lt;45,"ATIVO","REFORMA")</f>
        <v>ATIVO</v>
      </c>
      <c r="K156" s="6" t="str">
        <f t="shared" ca="1" si="10"/>
        <v>ADMINISTRATIVO</v>
      </c>
    </row>
    <row r="157" spans="1:11" x14ac:dyDescent="0.25">
      <c r="A157" s="5">
        <f t="shared" si="11"/>
        <v>154</v>
      </c>
      <c r="B157" s="5" t="s">
        <v>329</v>
      </c>
      <c r="C157" s="1" t="s">
        <v>330</v>
      </c>
      <c r="D157" s="2">
        <f t="shared" ca="1" si="8"/>
        <v>100651</v>
      </c>
      <c r="E157" s="1" t="s">
        <v>331</v>
      </c>
      <c r="F157" s="3">
        <v>31</v>
      </c>
      <c r="G157" s="3" t="s">
        <v>25</v>
      </c>
      <c r="H157" s="1" t="str">
        <f t="shared" ca="1" si="9"/>
        <v>M</v>
      </c>
      <c r="I157" s="4">
        <v>43586</v>
      </c>
      <c r="J157" s="1" t="str">
        <f>IF(Tabela1[[#This Row],[Idade]]&lt;45,"ATIVO","REFORMA")</f>
        <v>ATIVO</v>
      </c>
      <c r="K157" s="6" t="str">
        <f t="shared" ca="1" si="10"/>
        <v>VENDAS</v>
      </c>
    </row>
    <row r="158" spans="1:11" x14ac:dyDescent="0.25">
      <c r="A158" s="5">
        <f t="shared" si="11"/>
        <v>155</v>
      </c>
      <c r="B158" s="5" t="s">
        <v>332</v>
      </c>
      <c r="C158" s="1" t="s">
        <v>333</v>
      </c>
      <c r="D158" s="2">
        <f t="shared" ca="1" si="8"/>
        <v>118121</v>
      </c>
      <c r="E158" s="1" t="s">
        <v>334</v>
      </c>
      <c r="F158" s="3">
        <v>28</v>
      </c>
      <c r="G158" s="3" t="s">
        <v>22</v>
      </c>
      <c r="H158" s="1" t="str">
        <f t="shared" ca="1" si="9"/>
        <v>F</v>
      </c>
      <c r="I158" s="4">
        <v>40843</v>
      </c>
      <c r="J158" s="1" t="str">
        <f>IF(Tabela1[[#This Row],[Idade]]&lt;45,"ATIVO","REFORMA")</f>
        <v>ATIVO</v>
      </c>
      <c r="K158" s="6" t="str">
        <f t="shared" ca="1" si="10"/>
        <v>TI</v>
      </c>
    </row>
    <row r="159" spans="1:11" x14ac:dyDescent="0.25">
      <c r="A159" s="5">
        <f t="shared" si="11"/>
        <v>156</v>
      </c>
      <c r="B159" s="5" t="s">
        <v>335</v>
      </c>
      <c r="C159" s="1" t="s">
        <v>336</v>
      </c>
      <c r="D159" s="2">
        <f t="shared" ca="1" si="8"/>
        <v>428034</v>
      </c>
      <c r="E159" s="1" t="s">
        <v>334</v>
      </c>
      <c r="F159" s="3">
        <v>32</v>
      </c>
      <c r="G159" s="3" t="s">
        <v>25</v>
      </c>
      <c r="H159" s="1" t="str">
        <f t="shared" ca="1" si="9"/>
        <v>F</v>
      </c>
      <c r="I159" s="4">
        <v>42886</v>
      </c>
      <c r="J159" s="1" t="str">
        <f>IF(Tabela1[[#This Row],[Idade]]&lt;45,"ATIVO","REFORMA")</f>
        <v>ATIVO</v>
      </c>
      <c r="K159" s="6" t="str">
        <f t="shared" ca="1" si="10"/>
        <v>TI</v>
      </c>
    </row>
    <row r="160" spans="1:11" x14ac:dyDescent="0.25">
      <c r="A160" s="5">
        <f t="shared" si="11"/>
        <v>157</v>
      </c>
      <c r="B160" s="5" t="s">
        <v>337</v>
      </c>
      <c r="C160" s="1" t="s">
        <v>338</v>
      </c>
      <c r="D160" s="2">
        <f t="shared" ca="1" si="8"/>
        <v>437734</v>
      </c>
      <c r="E160" s="1" t="s">
        <v>334</v>
      </c>
      <c r="F160" s="3">
        <v>30</v>
      </c>
      <c r="G160" s="3" t="s">
        <v>22</v>
      </c>
      <c r="H160" s="1" t="str">
        <f t="shared" ca="1" si="9"/>
        <v>M</v>
      </c>
      <c r="I160" s="4">
        <v>43006</v>
      </c>
      <c r="J160" s="1" t="str">
        <f>IF(Tabela1[[#This Row],[Idade]]&lt;45,"ATIVO","REFORMA")</f>
        <v>ATIVO</v>
      </c>
      <c r="K160" s="6" t="str">
        <f t="shared" ca="1" si="10"/>
        <v>PRODUÇÃO</v>
      </c>
    </row>
    <row r="161" spans="1:11" x14ac:dyDescent="0.25">
      <c r="A161" s="5">
        <f t="shared" si="11"/>
        <v>158</v>
      </c>
      <c r="B161" s="5" t="s">
        <v>339</v>
      </c>
      <c r="C161" s="1" t="s">
        <v>340</v>
      </c>
      <c r="D161" s="2">
        <f t="shared" ca="1" si="8"/>
        <v>436219</v>
      </c>
      <c r="E161" s="1" t="s">
        <v>341</v>
      </c>
      <c r="F161" s="3">
        <v>27</v>
      </c>
      <c r="G161" s="3" t="s">
        <v>22</v>
      </c>
      <c r="H161" s="1" t="str">
        <f t="shared" ca="1" si="9"/>
        <v>M</v>
      </c>
      <c r="I161" s="4">
        <v>43104</v>
      </c>
      <c r="J161" s="1" t="str">
        <f>IF(Tabela1[[#This Row],[Idade]]&lt;45,"ATIVO","REFORMA")</f>
        <v>ATIVO</v>
      </c>
      <c r="K161" s="6" t="str">
        <f t="shared" ca="1" si="10"/>
        <v>PRODUÇÃO</v>
      </c>
    </row>
    <row r="162" spans="1:11" x14ac:dyDescent="0.25">
      <c r="A162" s="5">
        <f t="shared" si="11"/>
        <v>159</v>
      </c>
      <c r="B162" s="5" t="s">
        <v>342</v>
      </c>
      <c r="C162" s="1" t="s">
        <v>343</v>
      </c>
      <c r="D162" s="2">
        <f t="shared" ca="1" si="8"/>
        <v>641241</v>
      </c>
      <c r="E162" s="1" t="s">
        <v>344</v>
      </c>
      <c r="F162" s="3">
        <v>35</v>
      </c>
      <c r="G162" s="3" t="s">
        <v>25</v>
      </c>
      <c r="H162" s="1" t="str">
        <f t="shared" ca="1" si="9"/>
        <v>M</v>
      </c>
      <c r="I162" s="4">
        <v>43505</v>
      </c>
      <c r="J162" s="1" t="str">
        <f>IF(Tabela1[[#This Row],[Idade]]&lt;45,"ATIVO","REFORMA")</f>
        <v>ATIVO</v>
      </c>
      <c r="K162" s="6" t="str">
        <f t="shared" ca="1" si="10"/>
        <v>TI</v>
      </c>
    </row>
    <row r="163" spans="1:11" x14ac:dyDescent="0.25">
      <c r="A163" s="5">
        <f t="shared" si="11"/>
        <v>160</v>
      </c>
      <c r="B163" s="5" t="s">
        <v>132</v>
      </c>
      <c r="C163" s="1" t="s">
        <v>345</v>
      </c>
      <c r="D163" s="2">
        <f t="shared" ca="1" si="8"/>
        <v>484786</v>
      </c>
      <c r="E163" s="1" t="s">
        <v>344</v>
      </c>
      <c r="F163" s="3">
        <v>33</v>
      </c>
      <c r="G163" s="3" t="s">
        <v>25</v>
      </c>
      <c r="H163" s="1" t="str">
        <f t="shared" ca="1" si="9"/>
        <v>M</v>
      </c>
      <c r="I163" s="4">
        <v>43510</v>
      </c>
      <c r="J163" s="1" t="str">
        <f>IF(Tabela1[[#This Row],[Idade]]&lt;45,"ATIVO","REFORMA")</f>
        <v>ATIVO</v>
      </c>
      <c r="K163" s="6" t="str">
        <f t="shared" ca="1" si="10"/>
        <v>PRODUÇÃO</v>
      </c>
    </row>
    <row r="164" spans="1:11" x14ac:dyDescent="0.25">
      <c r="A164" s="5">
        <f t="shared" si="11"/>
        <v>161</v>
      </c>
      <c r="B164" s="5" t="s">
        <v>346</v>
      </c>
      <c r="C164" s="1" t="s">
        <v>347</v>
      </c>
      <c r="D164" s="2">
        <f t="shared" ca="1" si="8"/>
        <v>286284</v>
      </c>
      <c r="E164" s="1" t="s">
        <v>344</v>
      </c>
      <c r="F164" s="3">
        <v>28</v>
      </c>
      <c r="G164" s="3" t="s">
        <v>22</v>
      </c>
      <c r="H164" s="1" t="str">
        <f t="shared" ca="1" si="9"/>
        <v>M</v>
      </c>
      <c r="I164" s="4">
        <v>43575</v>
      </c>
      <c r="J164" s="1" t="str">
        <f>IF(Tabela1[[#This Row],[Idade]]&lt;45,"ATIVO","REFORMA")</f>
        <v>ATIVO</v>
      </c>
      <c r="K164" s="6" t="str">
        <f t="shared" ca="1" si="10"/>
        <v>PRODUÇÃO</v>
      </c>
    </row>
    <row r="165" spans="1:11" x14ac:dyDescent="0.25">
      <c r="A165" s="5">
        <f t="shared" si="11"/>
        <v>162</v>
      </c>
      <c r="B165" s="5" t="s">
        <v>348</v>
      </c>
      <c r="C165" s="1" t="s">
        <v>349</v>
      </c>
      <c r="D165" s="2">
        <f t="shared" ca="1" si="8"/>
        <v>684088</v>
      </c>
      <c r="E165" s="1" t="s">
        <v>344</v>
      </c>
      <c r="F165" s="3">
        <v>26</v>
      </c>
      <c r="G165" s="3" t="s">
        <v>22</v>
      </c>
      <c r="H165" s="1" t="str">
        <f t="shared" ca="1" si="9"/>
        <v>F</v>
      </c>
      <c r="I165" s="4">
        <v>43575</v>
      </c>
      <c r="J165" s="1" t="str">
        <f>IF(Tabela1[[#This Row],[Idade]]&lt;45,"ATIVO","REFORMA")</f>
        <v>ATIVO</v>
      </c>
      <c r="K165" s="6" t="str">
        <f t="shared" ca="1" si="10"/>
        <v>ADMINISTRATIVO</v>
      </c>
    </row>
    <row r="166" spans="1:11" x14ac:dyDescent="0.25">
      <c r="A166" s="5">
        <f t="shared" si="11"/>
        <v>163</v>
      </c>
      <c r="B166" s="5" t="s">
        <v>350</v>
      </c>
      <c r="C166" s="1" t="s">
        <v>351</v>
      </c>
      <c r="D166" s="2">
        <f t="shared" ca="1" si="8"/>
        <v>400861</v>
      </c>
      <c r="E166" s="1" t="s">
        <v>352</v>
      </c>
      <c r="F166" s="3">
        <v>43</v>
      </c>
      <c r="G166" s="3" t="s">
        <v>16</v>
      </c>
      <c r="H166" s="1" t="str">
        <f t="shared" ca="1" si="9"/>
        <v>M</v>
      </c>
      <c r="I166" s="4">
        <v>43625</v>
      </c>
      <c r="J166" s="1" t="str">
        <f>IF(Tabela1[[#This Row],[Idade]]&lt;45,"ATIVO","REFORMA")</f>
        <v>ATIVO</v>
      </c>
      <c r="K166" s="6" t="str">
        <f t="shared" ca="1" si="10"/>
        <v>TI</v>
      </c>
    </row>
    <row r="167" spans="1:11" x14ac:dyDescent="0.25">
      <c r="A167" s="5">
        <f t="shared" si="11"/>
        <v>164</v>
      </c>
      <c r="B167" s="5" t="s">
        <v>353</v>
      </c>
      <c r="C167" s="1" t="s">
        <v>354</v>
      </c>
      <c r="D167" s="2">
        <f t="shared" ca="1" si="8"/>
        <v>306373</v>
      </c>
      <c r="E167" s="1" t="s">
        <v>355</v>
      </c>
      <c r="F167" s="3">
        <v>36</v>
      </c>
      <c r="G167" s="3" t="s">
        <v>13</v>
      </c>
      <c r="H167" s="1" t="str">
        <f t="shared" ca="1" si="9"/>
        <v>M</v>
      </c>
      <c r="I167" s="4">
        <v>41550</v>
      </c>
      <c r="J167" s="1" t="str">
        <f>IF(Tabela1[[#This Row],[Idade]]&lt;45,"ATIVO","REFORMA")</f>
        <v>ATIVO</v>
      </c>
      <c r="K167" s="6" t="str">
        <f t="shared" ca="1" si="10"/>
        <v>PRODUÇÃO</v>
      </c>
    </row>
    <row r="168" spans="1:11" x14ac:dyDescent="0.25">
      <c r="A168" s="5">
        <f t="shared" si="11"/>
        <v>165</v>
      </c>
      <c r="B168" s="5" t="s">
        <v>356</v>
      </c>
      <c r="C168" s="1" t="s">
        <v>357</v>
      </c>
      <c r="D168" s="2">
        <f t="shared" ca="1" si="8"/>
        <v>369631</v>
      </c>
      <c r="E168" s="1" t="s">
        <v>358</v>
      </c>
      <c r="F168" s="3">
        <v>43</v>
      </c>
      <c r="G168" s="3" t="s">
        <v>16</v>
      </c>
      <c r="H168" s="1" t="str">
        <f t="shared" ca="1" si="9"/>
        <v>F</v>
      </c>
      <c r="I168" s="4">
        <v>43465</v>
      </c>
      <c r="J168" s="1" t="str">
        <f>IF(Tabela1[[#This Row],[Idade]]&lt;45,"ATIVO","REFORMA")</f>
        <v>ATIVO</v>
      </c>
      <c r="K168" s="6" t="str">
        <f t="shared" ca="1" si="10"/>
        <v>PRODUÇÃO</v>
      </c>
    </row>
    <row r="169" spans="1:11" x14ac:dyDescent="0.25">
      <c r="A169" s="5">
        <f t="shared" si="11"/>
        <v>166</v>
      </c>
      <c r="B169" s="5" t="s">
        <v>359</v>
      </c>
      <c r="C169" s="1" t="s">
        <v>360</v>
      </c>
      <c r="D169" s="2">
        <f t="shared" ca="1" si="8"/>
        <v>700087</v>
      </c>
      <c r="E169" s="1" t="s">
        <v>361</v>
      </c>
      <c r="F169" s="3">
        <v>32</v>
      </c>
      <c r="G169" s="3" t="s">
        <v>25</v>
      </c>
      <c r="H169" s="1" t="str">
        <f t="shared" ca="1" si="9"/>
        <v>F</v>
      </c>
      <c r="I169" s="4">
        <v>43188</v>
      </c>
      <c r="J169" s="1" t="str">
        <f>IF(Tabela1[[#This Row],[Idade]]&lt;45,"ATIVO","REFORMA")</f>
        <v>ATIVO</v>
      </c>
      <c r="K169" s="6" t="str">
        <f t="shared" ca="1" si="10"/>
        <v>ADMINISTRATIVO</v>
      </c>
    </row>
    <row r="170" spans="1:11" x14ac:dyDescent="0.25">
      <c r="A170" s="5">
        <f t="shared" si="11"/>
        <v>167</v>
      </c>
      <c r="B170" s="5" t="s">
        <v>362</v>
      </c>
      <c r="C170" s="1" t="s">
        <v>363</v>
      </c>
      <c r="D170" s="2">
        <f t="shared" ca="1" si="8"/>
        <v>526373</v>
      </c>
      <c r="E170" s="1" t="s">
        <v>361</v>
      </c>
      <c r="F170" s="3">
        <v>29</v>
      </c>
      <c r="G170" s="3" t="s">
        <v>22</v>
      </c>
      <c r="H170" s="1" t="str">
        <f t="shared" ca="1" si="9"/>
        <v>M</v>
      </c>
      <c r="I170" s="4">
        <v>43220</v>
      </c>
      <c r="J170" s="1" t="str">
        <f>IF(Tabela1[[#This Row],[Idade]]&lt;45,"ATIVO","REFORMA")</f>
        <v>ATIVO</v>
      </c>
      <c r="K170" s="6" t="str">
        <f t="shared" ca="1" si="10"/>
        <v>TI</v>
      </c>
    </row>
    <row r="171" spans="1:11" x14ac:dyDescent="0.25">
      <c r="A171" s="5">
        <f t="shared" si="11"/>
        <v>168</v>
      </c>
      <c r="B171" s="5" t="s">
        <v>364</v>
      </c>
      <c r="C171" s="1" t="s">
        <v>365</v>
      </c>
      <c r="D171" s="2">
        <f t="shared" ca="1" si="8"/>
        <v>305954</v>
      </c>
      <c r="E171" s="1" t="s">
        <v>358</v>
      </c>
      <c r="F171" s="3">
        <v>28</v>
      </c>
      <c r="G171" s="3" t="s">
        <v>22</v>
      </c>
      <c r="H171" s="1" t="str">
        <f t="shared" ca="1" si="9"/>
        <v>M</v>
      </c>
      <c r="I171" s="4">
        <v>43018</v>
      </c>
      <c r="J171" s="1" t="str">
        <f>IF(Tabela1[[#This Row],[Idade]]&lt;45,"ATIVO","REFORMA")</f>
        <v>ATIVO</v>
      </c>
      <c r="K171" s="6" t="str">
        <f t="shared" ca="1" si="10"/>
        <v>PRODUÇÃO</v>
      </c>
    </row>
    <row r="172" spans="1:11" x14ac:dyDescent="0.25">
      <c r="A172" s="5">
        <f t="shared" si="11"/>
        <v>169</v>
      </c>
      <c r="B172" s="5" t="s">
        <v>366</v>
      </c>
      <c r="C172" s="1" t="s">
        <v>367</v>
      </c>
      <c r="D172" s="2">
        <f t="shared" ca="1" si="8"/>
        <v>767460</v>
      </c>
      <c r="E172" s="1" t="s">
        <v>358</v>
      </c>
      <c r="F172" s="3">
        <v>31</v>
      </c>
      <c r="G172" s="3" t="s">
        <v>25</v>
      </c>
      <c r="H172" s="1" t="str">
        <f t="shared" ca="1" si="9"/>
        <v>M</v>
      </c>
      <c r="I172" s="4">
        <v>43018</v>
      </c>
      <c r="J172" s="1" t="str">
        <f>IF(Tabela1[[#This Row],[Idade]]&lt;45,"ATIVO","REFORMA")</f>
        <v>ATIVO</v>
      </c>
      <c r="K172" s="6" t="str">
        <f t="shared" ca="1" si="10"/>
        <v>VENDAS</v>
      </c>
    </row>
    <row r="173" spans="1:11" x14ac:dyDescent="0.25">
      <c r="A173" s="5">
        <f t="shared" si="11"/>
        <v>170</v>
      </c>
      <c r="B173" s="5" t="s">
        <v>368</v>
      </c>
      <c r="C173" s="1" t="s">
        <v>369</v>
      </c>
      <c r="D173" s="2">
        <f t="shared" ca="1" si="8"/>
        <v>601577</v>
      </c>
      <c r="E173" s="1" t="s">
        <v>358</v>
      </c>
      <c r="F173" s="3">
        <v>34</v>
      </c>
      <c r="G173" s="3" t="s">
        <v>25</v>
      </c>
      <c r="H173" s="1" t="str">
        <f t="shared" ca="1" si="9"/>
        <v>F</v>
      </c>
      <c r="I173" s="4">
        <v>43146</v>
      </c>
      <c r="J173" s="1" t="str">
        <f>IF(Tabela1[[#This Row],[Idade]]&lt;45,"ATIVO","REFORMA")</f>
        <v>ATIVO</v>
      </c>
      <c r="K173" s="6" t="str">
        <f t="shared" ca="1" si="10"/>
        <v>VENDAS</v>
      </c>
    </row>
    <row r="174" spans="1:11" x14ac:dyDescent="0.25">
      <c r="A174" s="5">
        <f t="shared" si="11"/>
        <v>171</v>
      </c>
      <c r="B174" s="5" t="s">
        <v>370</v>
      </c>
      <c r="C174" s="1" t="s">
        <v>371</v>
      </c>
      <c r="D174" s="2">
        <f t="shared" ca="1" si="8"/>
        <v>765289</v>
      </c>
      <c r="E174" s="1" t="s">
        <v>358</v>
      </c>
      <c r="F174" s="3">
        <v>29</v>
      </c>
      <c r="G174" s="3" t="s">
        <v>22</v>
      </c>
      <c r="H174" s="1" t="str">
        <f t="shared" ca="1" si="9"/>
        <v>M</v>
      </c>
      <c r="I174" s="4">
        <v>43188</v>
      </c>
      <c r="J174" s="1" t="str">
        <f>IF(Tabela1[[#This Row],[Idade]]&lt;45,"ATIVO","REFORMA")</f>
        <v>ATIVO</v>
      </c>
      <c r="K174" s="6" t="str">
        <f t="shared" ca="1" si="10"/>
        <v>TI</v>
      </c>
    </row>
    <row r="175" spans="1:11" x14ac:dyDescent="0.25">
      <c r="A175" s="5">
        <f t="shared" si="11"/>
        <v>172</v>
      </c>
      <c r="B175" s="5" t="s">
        <v>372</v>
      </c>
      <c r="C175" s="1" t="s">
        <v>373</v>
      </c>
      <c r="D175" s="2">
        <f t="shared" ca="1" si="8"/>
        <v>495434</v>
      </c>
      <c r="E175" s="1" t="s">
        <v>358</v>
      </c>
      <c r="F175" s="3">
        <v>45</v>
      </c>
      <c r="G175" s="3" t="s">
        <v>16</v>
      </c>
      <c r="H175" s="1" t="str">
        <f t="shared" ca="1" si="9"/>
        <v>F</v>
      </c>
      <c r="I175" s="4">
        <v>43220</v>
      </c>
      <c r="J175" s="1" t="str">
        <f>IF(Tabela1[[#This Row],[Idade]]&lt;45,"ATIVO","REFORMA")</f>
        <v>REFORMA</v>
      </c>
      <c r="K175" s="6" t="str">
        <f t="shared" ca="1" si="10"/>
        <v>PRODUÇÃO</v>
      </c>
    </row>
    <row r="176" spans="1:11" x14ac:dyDescent="0.25">
      <c r="A176" s="5">
        <f t="shared" si="11"/>
        <v>173</v>
      </c>
      <c r="B176" s="5" t="s">
        <v>374</v>
      </c>
      <c r="C176" s="1" t="s">
        <v>375</v>
      </c>
      <c r="D176" s="2">
        <f t="shared" ca="1" si="8"/>
        <v>441598</v>
      </c>
      <c r="E176" s="1" t="s">
        <v>358</v>
      </c>
      <c r="F176" s="3">
        <v>37</v>
      </c>
      <c r="G176" s="3" t="s">
        <v>13</v>
      </c>
      <c r="H176" s="1" t="str">
        <f t="shared" ca="1" si="9"/>
        <v>F</v>
      </c>
      <c r="I176" s="4">
        <v>43188</v>
      </c>
      <c r="J176" s="1" t="str">
        <f>IF(Tabela1[[#This Row],[Idade]]&lt;45,"ATIVO","REFORMA")</f>
        <v>ATIVO</v>
      </c>
      <c r="K176" s="6" t="str">
        <f t="shared" ca="1" si="10"/>
        <v>PRODUÇÃO</v>
      </c>
    </row>
    <row r="177" spans="1:11" x14ac:dyDescent="0.25">
      <c r="A177" s="5">
        <f t="shared" si="11"/>
        <v>174</v>
      </c>
      <c r="B177" s="5" t="s">
        <v>376</v>
      </c>
      <c r="C177" s="1" t="s">
        <v>377</v>
      </c>
      <c r="D177" s="2">
        <f t="shared" ca="1" si="8"/>
        <v>484148</v>
      </c>
      <c r="E177" s="1" t="s">
        <v>352</v>
      </c>
      <c r="F177" s="3">
        <v>36</v>
      </c>
      <c r="G177" s="3" t="s">
        <v>13</v>
      </c>
      <c r="H177" s="1" t="str">
        <f t="shared" ca="1" si="9"/>
        <v>F</v>
      </c>
      <c r="I177" s="4">
        <v>41743</v>
      </c>
      <c r="J177" s="1" t="str">
        <f>IF(Tabela1[[#This Row],[Idade]]&lt;45,"ATIVO","REFORMA")</f>
        <v>ATIVO</v>
      </c>
      <c r="K177" s="6" t="str">
        <f t="shared" ca="1" si="10"/>
        <v>ADMINISTRATIVO</v>
      </c>
    </row>
    <row r="178" spans="1:11" x14ac:dyDescent="0.25">
      <c r="A178" s="5">
        <f t="shared" si="11"/>
        <v>175</v>
      </c>
      <c r="B178" s="5" t="s">
        <v>378</v>
      </c>
      <c r="C178" s="1" t="s">
        <v>379</v>
      </c>
      <c r="D178" s="2">
        <f t="shared" ca="1" si="8"/>
        <v>107202</v>
      </c>
      <c r="E178" s="1" t="s">
        <v>352</v>
      </c>
      <c r="F178" s="3">
        <v>43</v>
      </c>
      <c r="G178" s="3" t="s">
        <v>16</v>
      </c>
      <c r="H178" s="1" t="str">
        <f t="shared" ca="1" si="9"/>
        <v>M</v>
      </c>
      <c r="I178" s="4">
        <v>42389</v>
      </c>
      <c r="J178" s="1" t="str">
        <f>IF(Tabela1[[#This Row],[Idade]]&lt;45,"ATIVO","REFORMA")</f>
        <v>ATIVO</v>
      </c>
      <c r="K178" s="6" t="str">
        <f t="shared" ca="1" si="10"/>
        <v>PRODUÇÃO</v>
      </c>
    </row>
    <row r="179" spans="1:11" x14ac:dyDescent="0.25">
      <c r="A179" s="5">
        <f t="shared" si="11"/>
        <v>176</v>
      </c>
      <c r="B179" s="5" t="s">
        <v>380</v>
      </c>
      <c r="C179" s="1" t="s">
        <v>381</v>
      </c>
      <c r="D179" s="2">
        <f t="shared" ca="1" si="8"/>
        <v>200804</v>
      </c>
      <c r="E179" s="1" t="s">
        <v>352</v>
      </c>
      <c r="F179" s="3">
        <v>30</v>
      </c>
      <c r="G179" s="3" t="s">
        <v>22</v>
      </c>
      <c r="H179" s="1" t="str">
        <f t="shared" ca="1" si="9"/>
        <v>F</v>
      </c>
      <c r="I179" s="4">
        <v>42049</v>
      </c>
      <c r="J179" s="1" t="str">
        <f>IF(Tabela1[[#This Row],[Idade]]&lt;45,"ATIVO","REFORMA")</f>
        <v>ATIVO</v>
      </c>
      <c r="K179" s="6" t="str">
        <f t="shared" ca="1" si="10"/>
        <v>PRODUÇÃO</v>
      </c>
    </row>
    <row r="180" spans="1:11" x14ac:dyDescent="0.25">
      <c r="A180" s="5">
        <f t="shared" si="11"/>
        <v>177</v>
      </c>
      <c r="B180" s="5" t="s">
        <v>382</v>
      </c>
      <c r="C180" s="1" t="s">
        <v>383</v>
      </c>
      <c r="D180" s="2">
        <f t="shared" ca="1" si="8"/>
        <v>161784</v>
      </c>
      <c r="E180" s="1" t="s">
        <v>352</v>
      </c>
      <c r="F180" s="3">
        <v>45</v>
      </c>
      <c r="G180" s="3" t="s">
        <v>16</v>
      </c>
      <c r="H180" s="1" t="str">
        <f t="shared" ca="1" si="9"/>
        <v>F</v>
      </c>
      <c r="I180" s="4">
        <v>42855</v>
      </c>
      <c r="J180" s="1" t="str">
        <f>IF(Tabela1[[#This Row],[Idade]]&lt;45,"ATIVO","REFORMA")</f>
        <v>REFORMA</v>
      </c>
      <c r="K180" s="6" t="str">
        <f t="shared" ca="1" si="10"/>
        <v>TI</v>
      </c>
    </row>
    <row r="181" spans="1:11" x14ac:dyDescent="0.25">
      <c r="A181" s="5">
        <f t="shared" si="11"/>
        <v>178</v>
      </c>
      <c r="B181" s="5" t="s">
        <v>384</v>
      </c>
      <c r="C181" s="1" t="s">
        <v>385</v>
      </c>
      <c r="D181" s="2">
        <f t="shared" ca="1" si="8"/>
        <v>418549</v>
      </c>
      <c r="E181" s="1" t="s">
        <v>361</v>
      </c>
      <c r="F181" s="3">
        <v>31</v>
      </c>
      <c r="G181" s="3" t="s">
        <v>25</v>
      </c>
      <c r="H181" s="1" t="str">
        <f t="shared" ca="1" si="9"/>
        <v>F</v>
      </c>
      <c r="I181" s="4">
        <v>42133</v>
      </c>
      <c r="J181" s="1" t="str">
        <f>IF(Tabela1[[#This Row],[Idade]]&lt;45,"ATIVO","REFORMA")</f>
        <v>ATIVO</v>
      </c>
      <c r="K181" s="6" t="str">
        <f t="shared" ca="1" si="10"/>
        <v>TI</v>
      </c>
    </row>
    <row r="182" spans="1:11" x14ac:dyDescent="0.25">
      <c r="A182" s="5">
        <f t="shared" si="11"/>
        <v>179</v>
      </c>
      <c r="B182" s="5" t="s">
        <v>386</v>
      </c>
      <c r="C182" s="1" t="s">
        <v>387</v>
      </c>
      <c r="D182" s="2">
        <f t="shared" ca="1" si="8"/>
        <v>633543</v>
      </c>
      <c r="E182" s="1" t="s">
        <v>361</v>
      </c>
      <c r="F182" s="3">
        <v>47</v>
      </c>
      <c r="G182" s="3" t="s">
        <v>19</v>
      </c>
      <c r="H182" s="1" t="str">
        <f t="shared" ca="1" si="9"/>
        <v>M</v>
      </c>
      <c r="I182" s="4">
        <v>41278</v>
      </c>
      <c r="J182" s="1" t="str">
        <f>IF(Tabela1[[#This Row],[Idade]]&lt;45,"ATIVO","REFORMA")</f>
        <v>REFORMA</v>
      </c>
      <c r="K182" s="6" t="str">
        <f t="shared" ca="1" si="10"/>
        <v>TI</v>
      </c>
    </row>
    <row r="183" spans="1:11" x14ac:dyDescent="0.25">
      <c r="A183" s="5">
        <f t="shared" si="11"/>
        <v>180</v>
      </c>
      <c r="B183" s="5" t="s">
        <v>388</v>
      </c>
      <c r="C183" s="1" t="s">
        <v>389</v>
      </c>
      <c r="D183" s="2">
        <f t="shared" ca="1" si="8"/>
        <v>131840</v>
      </c>
      <c r="E183" s="1" t="s">
        <v>361</v>
      </c>
      <c r="F183" s="3">
        <v>28</v>
      </c>
      <c r="G183" s="3" t="s">
        <v>22</v>
      </c>
      <c r="H183" s="1" t="str">
        <f t="shared" ca="1" si="9"/>
        <v>M</v>
      </c>
      <c r="I183" s="4">
        <v>41659</v>
      </c>
      <c r="J183" s="1" t="str">
        <f>IF(Tabela1[[#This Row],[Idade]]&lt;45,"ATIVO","REFORMA")</f>
        <v>ATIVO</v>
      </c>
      <c r="K183" s="6" t="str">
        <f t="shared" ca="1" si="10"/>
        <v>TI</v>
      </c>
    </row>
    <row r="184" spans="1:11" x14ac:dyDescent="0.25">
      <c r="A184" s="5">
        <f t="shared" si="11"/>
        <v>181</v>
      </c>
      <c r="B184" s="5" t="s">
        <v>390</v>
      </c>
      <c r="C184" s="1" t="s">
        <v>391</v>
      </c>
      <c r="D184" s="2">
        <f t="shared" ca="1" si="8"/>
        <v>437300</v>
      </c>
      <c r="E184" s="1" t="s">
        <v>361</v>
      </c>
      <c r="F184" s="3">
        <v>42</v>
      </c>
      <c r="G184" s="3" t="s">
        <v>16</v>
      </c>
      <c r="H184" s="1" t="str">
        <f t="shared" ca="1" si="9"/>
        <v>M</v>
      </c>
      <c r="I184" s="4">
        <v>41917</v>
      </c>
      <c r="J184" s="1" t="str">
        <f>IF(Tabela1[[#This Row],[Idade]]&lt;45,"ATIVO","REFORMA")</f>
        <v>ATIVO</v>
      </c>
      <c r="K184" s="6" t="str">
        <f t="shared" ca="1" si="10"/>
        <v>VENDAS</v>
      </c>
    </row>
    <row r="185" spans="1:11" x14ac:dyDescent="0.25">
      <c r="A185" s="5">
        <f t="shared" si="11"/>
        <v>182</v>
      </c>
      <c r="B185" s="5" t="s">
        <v>392</v>
      </c>
      <c r="C185" s="1" t="s">
        <v>393</v>
      </c>
      <c r="D185" s="2">
        <f t="shared" ca="1" si="8"/>
        <v>568774</v>
      </c>
      <c r="E185" s="1" t="s">
        <v>361</v>
      </c>
      <c r="F185" s="3">
        <v>27</v>
      </c>
      <c r="G185" s="3" t="s">
        <v>22</v>
      </c>
      <c r="H185" s="1" t="str">
        <f t="shared" ca="1" si="9"/>
        <v>F</v>
      </c>
      <c r="I185" s="4">
        <v>43220</v>
      </c>
      <c r="J185" s="1" t="str">
        <f>IF(Tabela1[[#This Row],[Idade]]&lt;45,"ATIVO","REFORMA")</f>
        <v>ATIVO</v>
      </c>
      <c r="K185" s="6" t="str">
        <f t="shared" ca="1" si="10"/>
        <v>VENDAS</v>
      </c>
    </row>
    <row r="186" spans="1:11" x14ac:dyDescent="0.25">
      <c r="A186" s="5">
        <f t="shared" si="11"/>
        <v>183</v>
      </c>
      <c r="B186" s="5" t="s">
        <v>394</v>
      </c>
      <c r="C186" s="1" t="s">
        <v>395</v>
      </c>
      <c r="D186" s="2">
        <f t="shared" ca="1" si="8"/>
        <v>433134</v>
      </c>
      <c r="E186" s="1" t="s">
        <v>361</v>
      </c>
      <c r="F186" s="3">
        <v>26</v>
      </c>
      <c r="G186" s="3" t="s">
        <v>22</v>
      </c>
      <c r="H186" s="1" t="str">
        <f t="shared" ca="1" si="9"/>
        <v>F</v>
      </c>
      <c r="I186" s="4">
        <v>43188</v>
      </c>
      <c r="J186" s="1" t="str">
        <f>IF(Tabela1[[#This Row],[Idade]]&lt;45,"ATIVO","REFORMA")</f>
        <v>ATIVO</v>
      </c>
      <c r="K186" s="6" t="str">
        <f t="shared" ca="1" si="10"/>
        <v>TI</v>
      </c>
    </row>
    <row r="187" spans="1:11" x14ac:dyDescent="0.25">
      <c r="A187" s="5">
        <f t="shared" si="11"/>
        <v>184</v>
      </c>
      <c r="B187" s="5" t="s">
        <v>396</v>
      </c>
      <c r="C187" s="1" t="s">
        <v>397</v>
      </c>
      <c r="D187" s="2">
        <f t="shared" ca="1" si="8"/>
        <v>254433</v>
      </c>
      <c r="E187" s="1" t="s">
        <v>361</v>
      </c>
      <c r="F187" s="3">
        <v>27</v>
      </c>
      <c r="G187" s="3" t="s">
        <v>22</v>
      </c>
      <c r="H187" s="1" t="str">
        <f t="shared" ca="1" si="9"/>
        <v>F</v>
      </c>
      <c r="I187" s="4">
        <v>43220</v>
      </c>
      <c r="J187" s="1" t="str">
        <f>IF(Tabela1[[#This Row],[Idade]]&lt;45,"ATIVO","REFORMA")</f>
        <v>ATIVO</v>
      </c>
      <c r="K187" s="6" t="str">
        <f t="shared" ca="1" si="10"/>
        <v>ADMINISTRATIVO</v>
      </c>
    </row>
    <row r="188" spans="1:11" x14ac:dyDescent="0.25">
      <c r="A188" s="5">
        <f t="shared" si="11"/>
        <v>185</v>
      </c>
      <c r="B188" s="5" t="s">
        <v>166</v>
      </c>
      <c r="C188" s="1" t="s">
        <v>398</v>
      </c>
      <c r="D188" s="2">
        <f t="shared" ca="1" si="8"/>
        <v>248590</v>
      </c>
      <c r="E188" s="1" t="s">
        <v>361</v>
      </c>
      <c r="F188" s="3">
        <v>35</v>
      </c>
      <c r="G188" s="3" t="s">
        <v>25</v>
      </c>
      <c r="H188" s="1" t="str">
        <f t="shared" ca="1" si="9"/>
        <v>M</v>
      </c>
      <c r="I188" s="4">
        <v>43220</v>
      </c>
      <c r="J188" s="1" t="str">
        <f>IF(Tabela1[[#This Row],[Idade]]&lt;45,"ATIVO","REFORMA")</f>
        <v>ATIVO</v>
      </c>
      <c r="K188" s="6" t="str">
        <f t="shared" ca="1" si="10"/>
        <v>PRODUÇÃO</v>
      </c>
    </row>
    <row r="189" spans="1:11" x14ac:dyDescent="0.25">
      <c r="A189" s="5">
        <f t="shared" si="11"/>
        <v>186</v>
      </c>
      <c r="B189" s="5" t="s">
        <v>399</v>
      </c>
      <c r="C189" s="1" t="s">
        <v>400</v>
      </c>
      <c r="D189" s="2">
        <f t="shared" ca="1" si="8"/>
        <v>461002</v>
      </c>
      <c r="E189" s="1" t="s">
        <v>401</v>
      </c>
      <c r="F189" s="3">
        <v>28</v>
      </c>
      <c r="G189" s="3" t="s">
        <v>22</v>
      </c>
      <c r="H189" s="1" t="str">
        <f t="shared" ca="1" si="9"/>
        <v>M</v>
      </c>
      <c r="I189" s="4">
        <v>43188</v>
      </c>
      <c r="J189" s="1" t="str">
        <f>IF(Tabela1[[#This Row],[Idade]]&lt;45,"ATIVO","REFORMA")</f>
        <v>ATIVO</v>
      </c>
      <c r="K189" s="6" t="str">
        <f t="shared" ca="1" si="10"/>
        <v>PRODUÇÃO</v>
      </c>
    </row>
    <row r="190" spans="1:11" x14ac:dyDescent="0.25">
      <c r="A190" s="5">
        <f t="shared" si="11"/>
        <v>187</v>
      </c>
      <c r="B190" s="5" t="s">
        <v>402</v>
      </c>
      <c r="C190" s="1" t="s">
        <v>403</v>
      </c>
      <c r="D190" s="2">
        <f t="shared" ca="1" si="8"/>
        <v>439851</v>
      </c>
      <c r="E190" s="1" t="s">
        <v>401</v>
      </c>
      <c r="F190" s="3">
        <v>37</v>
      </c>
      <c r="G190" s="3" t="s">
        <v>13</v>
      </c>
      <c r="H190" s="1" t="str">
        <f t="shared" ca="1" si="9"/>
        <v>F</v>
      </c>
      <c r="I190" s="4">
        <v>43146</v>
      </c>
      <c r="J190" s="1" t="str">
        <f>IF(Tabela1[[#This Row],[Idade]]&lt;45,"ATIVO","REFORMA")</f>
        <v>ATIVO</v>
      </c>
      <c r="K190" s="6" t="str">
        <f t="shared" ca="1" si="10"/>
        <v>TI</v>
      </c>
    </row>
    <row r="191" spans="1:11" x14ac:dyDescent="0.25">
      <c r="A191" s="5">
        <f t="shared" si="11"/>
        <v>188</v>
      </c>
      <c r="B191" s="5" t="s">
        <v>404</v>
      </c>
      <c r="C191" s="1" t="s">
        <v>405</v>
      </c>
      <c r="D191" s="2">
        <f t="shared" ca="1" si="8"/>
        <v>748317</v>
      </c>
      <c r="E191" s="1" t="s">
        <v>401</v>
      </c>
      <c r="F191" s="3">
        <v>35</v>
      </c>
      <c r="G191" s="3" t="s">
        <v>25</v>
      </c>
      <c r="H191" s="1" t="str">
        <f t="shared" ca="1" si="9"/>
        <v>M</v>
      </c>
      <c r="I191" s="4">
        <v>43007</v>
      </c>
      <c r="J191" s="1" t="str">
        <f>IF(Tabela1[[#This Row],[Idade]]&lt;45,"ATIVO","REFORMA")</f>
        <v>ATIVO</v>
      </c>
      <c r="K191" s="6" t="str">
        <f t="shared" ca="1" si="10"/>
        <v>PRODUÇÃO</v>
      </c>
    </row>
    <row r="192" spans="1:11" x14ac:dyDescent="0.25">
      <c r="A192" s="5">
        <f t="shared" si="11"/>
        <v>189</v>
      </c>
      <c r="B192" s="5" t="s">
        <v>406</v>
      </c>
      <c r="C192" s="1" t="s">
        <v>407</v>
      </c>
      <c r="D192" s="2">
        <f t="shared" ca="1" si="8"/>
        <v>786003</v>
      </c>
      <c r="E192" s="1" t="s">
        <v>401</v>
      </c>
      <c r="F192" s="3">
        <v>47</v>
      </c>
      <c r="G192" s="3" t="s">
        <v>19</v>
      </c>
      <c r="H192" s="1" t="str">
        <f t="shared" ca="1" si="9"/>
        <v>F</v>
      </c>
      <c r="I192" s="4">
        <v>43188</v>
      </c>
      <c r="J192" s="1" t="str">
        <f>IF(Tabela1[[#This Row],[Idade]]&lt;45,"ATIVO","REFORMA")</f>
        <v>REFORMA</v>
      </c>
      <c r="K192" s="6" t="str">
        <f t="shared" ca="1" si="10"/>
        <v>ADMINISTRATIVO</v>
      </c>
    </row>
    <row r="193" spans="1:11" x14ac:dyDescent="0.25">
      <c r="A193" s="5">
        <f t="shared" si="11"/>
        <v>190</v>
      </c>
      <c r="B193" s="5" t="s">
        <v>408</v>
      </c>
      <c r="C193" s="1" t="s">
        <v>409</v>
      </c>
      <c r="D193" s="2">
        <f t="shared" ca="1" si="8"/>
        <v>496199</v>
      </c>
      <c r="E193" s="1" t="s">
        <v>344</v>
      </c>
      <c r="F193" s="3">
        <v>28</v>
      </c>
      <c r="G193" s="3" t="s">
        <v>22</v>
      </c>
      <c r="H193" s="1" t="str">
        <f t="shared" ca="1" si="9"/>
        <v>M</v>
      </c>
      <c r="I193" s="4">
        <v>43505</v>
      </c>
      <c r="J193" s="1" t="str">
        <f>IF(Tabela1[[#This Row],[Idade]]&lt;45,"ATIVO","REFORMA")</f>
        <v>ATIVO</v>
      </c>
      <c r="K193" s="6" t="str">
        <f t="shared" ca="1" si="10"/>
        <v>VENDAS</v>
      </c>
    </row>
    <row r="194" spans="1:11" x14ac:dyDescent="0.25">
      <c r="A194" s="5">
        <f t="shared" si="11"/>
        <v>191</v>
      </c>
      <c r="B194" s="5" t="s">
        <v>410</v>
      </c>
      <c r="C194" s="1" t="s">
        <v>411</v>
      </c>
      <c r="D194" s="2">
        <f t="shared" ca="1" si="8"/>
        <v>504332</v>
      </c>
      <c r="E194" s="1" t="s">
        <v>344</v>
      </c>
      <c r="F194" s="3">
        <v>46</v>
      </c>
      <c r="G194" s="3" t="s">
        <v>19</v>
      </c>
      <c r="H194" s="1" t="str">
        <f t="shared" ca="1" si="9"/>
        <v>M</v>
      </c>
      <c r="I194" s="4">
        <v>43497</v>
      </c>
      <c r="J194" s="1" t="str">
        <f>IF(Tabela1[[#This Row],[Idade]]&lt;45,"ATIVO","REFORMA")</f>
        <v>REFORMA</v>
      </c>
      <c r="K194" s="6" t="str">
        <f t="shared" ca="1" si="10"/>
        <v>PRODUÇÃO</v>
      </c>
    </row>
    <row r="195" spans="1:11" x14ac:dyDescent="0.25">
      <c r="A195" s="5">
        <f t="shared" si="11"/>
        <v>192</v>
      </c>
      <c r="B195" s="5" t="s">
        <v>412</v>
      </c>
      <c r="C195" s="1" t="s">
        <v>413</v>
      </c>
      <c r="D195" s="2">
        <f t="shared" ca="1" si="8"/>
        <v>592394</v>
      </c>
      <c r="E195" s="1" t="s">
        <v>344</v>
      </c>
      <c r="F195" s="3">
        <v>34</v>
      </c>
      <c r="G195" s="3" t="s">
        <v>25</v>
      </c>
      <c r="H195" s="1" t="str">
        <f t="shared" ca="1" si="9"/>
        <v>M</v>
      </c>
      <c r="I195" s="4">
        <v>43510</v>
      </c>
      <c r="J195" s="1" t="str">
        <f>IF(Tabela1[[#This Row],[Idade]]&lt;45,"ATIVO","REFORMA")</f>
        <v>ATIVO</v>
      </c>
      <c r="K195" s="6" t="str">
        <f t="shared" ca="1" si="10"/>
        <v>ADMINISTRATIVO</v>
      </c>
    </row>
    <row r="196" spans="1:11" x14ac:dyDescent="0.25">
      <c r="A196" s="5">
        <f t="shared" si="11"/>
        <v>193</v>
      </c>
      <c r="B196" s="5" t="s">
        <v>414</v>
      </c>
      <c r="C196" s="1" t="s">
        <v>415</v>
      </c>
      <c r="D196" s="2">
        <f t="shared" ref="D196:D210" ca="1" si="12">RANDBETWEEN(100000,800000)</f>
        <v>556232</v>
      </c>
      <c r="E196" s="1" t="s">
        <v>401</v>
      </c>
      <c r="F196" s="3">
        <v>36</v>
      </c>
      <c r="G196" s="3" t="s">
        <v>13</v>
      </c>
      <c r="H196" s="1" t="str">
        <f t="shared" ref="H196:H210" ca="1" si="13">CHOOSE(RANDBETWEEN(1,2),"F","M")</f>
        <v>M</v>
      </c>
      <c r="I196" s="4">
        <v>43018</v>
      </c>
      <c r="J196" s="1" t="str">
        <f>IF(Tabela1[[#This Row],[Idade]]&lt;45,"ATIVO","REFORMA")</f>
        <v>ATIVO</v>
      </c>
      <c r="K196" s="6" t="str">
        <f t="shared" ref="K196:K210" ca="1" si="14">CHOOSE(RANDBETWEEN(1,4),"PRODUÇÃO","VENDAS","ADMINISTRATIVO","TI")</f>
        <v>TI</v>
      </c>
    </row>
    <row r="197" spans="1:11" x14ac:dyDescent="0.25">
      <c r="A197" s="5">
        <f t="shared" si="11"/>
        <v>194</v>
      </c>
      <c r="B197" s="5" t="s">
        <v>416</v>
      </c>
      <c r="C197" s="1" t="s">
        <v>417</v>
      </c>
      <c r="D197" s="2">
        <f t="shared" ca="1" si="12"/>
        <v>745113</v>
      </c>
      <c r="E197" s="1" t="s">
        <v>401</v>
      </c>
      <c r="F197" s="3">
        <v>29</v>
      </c>
      <c r="G197" s="3" t="s">
        <v>22</v>
      </c>
      <c r="H197" s="1" t="str">
        <f t="shared" ca="1" si="13"/>
        <v>F</v>
      </c>
      <c r="I197" s="4">
        <v>42684</v>
      </c>
      <c r="J197" s="1" t="str">
        <f>IF(Tabela1[[#This Row],[Idade]]&lt;45,"ATIVO","REFORMA")</f>
        <v>ATIVO</v>
      </c>
      <c r="K197" s="6" t="str">
        <f t="shared" ca="1" si="14"/>
        <v>PRODUÇÃO</v>
      </c>
    </row>
    <row r="198" spans="1:11" x14ac:dyDescent="0.25">
      <c r="A198" s="5">
        <f t="shared" ref="A198:A210" si="15">A197+1</f>
        <v>195</v>
      </c>
      <c r="B198" s="5" t="s">
        <v>418</v>
      </c>
      <c r="C198" s="1" t="s">
        <v>419</v>
      </c>
      <c r="D198" s="2">
        <f t="shared" ca="1" si="12"/>
        <v>648740</v>
      </c>
      <c r="E198" s="1" t="s">
        <v>401</v>
      </c>
      <c r="F198" s="3">
        <v>37</v>
      </c>
      <c r="G198" s="3" t="s">
        <v>13</v>
      </c>
      <c r="H198" s="1" t="str">
        <f t="shared" ca="1" si="13"/>
        <v>F</v>
      </c>
      <c r="I198" s="4">
        <v>42248</v>
      </c>
      <c r="J198" s="1" t="str">
        <f>IF(Tabela1[[#This Row],[Idade]]&lt;45,"ATIVO","REFORMA")</f>
        <v>ATIVO</v>
      </c>
      <c r="K198" s="6" t="str">
        <f t="shared" ca="1" si="14"/>
        <v>ADMINISTRATIVO</v>
      </c>
    </row>
    <row r="199" spans="1:11" x14ac:dyDescent="0.25">
      <c r="A199" s="5">
        <f t="shared" si="15"/>
        <v>196</v>
      </c>
      <c r="B199" s="5" t="s">
        <v>420</v>
      </c>
      <c r="C199" s="1" t="s">
        <v>421</v>
      </c>
      <c r="D199" s="2">
        <f t="shared" ca="1" si="12"/>
        <v>629362</v>
      </c>
      <c r="E199" s="1" t="s">
        <v>401</v>
      </c>
      <c r="F199" s="3">
        <v>28</v>
      </c>
      <c r="G199" s="3" t="s">
        <v>22</v>
      </c>
      <c r="H199" s="1" t="str">
        <f t="shared" ca="1" si="13"/>
        <v>F</v>
      </c>
      <c r="I199" s="4">
        <v>42684</v>
      </c>
      <c r="J199" s="1" t="str">
        <f>IF(Tabela1[[#This Row],[Idade]]&lt;45,"ATIVO","REFORMA")</f>
        <v>ATIVO</v>
      </c>
      <c r="K199" s="6" t="str">
        <f t="shared" ca="1" si="14"/>
        <v>VENDAS</v>
      </c>
    </row>
    <row r="200" spans="1:11" x14ac:dyDescent="0.25">
      <c r="A200" s="5">
        <f t="shared" si="15"/>
        <v>197</v>
      </c>
      <c r="B200" s="5" t="s">
        <v>422</v>
      </c>
      <c r="C200" s="1" t="s">
        <v>423</v>
      </c>
      <c r="D200" s="2">
        <f t="shared" ca="1" si="12"/>
        <v>204386</v>
      </c>
      <c r="E200" s="1" t="s">
        <v>401</v>
      </c>
      <c r="F200" s="3">
        <v>29</v>
      </c>
      <c r="G200" s="3" t="s">
        <v>22</v>
      </c>
      <c r="H200" s="1" t="str">
        <f t="shared" ca="1" si="13"/>
        <v>F</v>
      </c>
      <c r="I200" s="4">
        <v>42135</v>
      </c>
      <c r="J200" s="1" t="str">
        <f>IF(Tabela1[[#This Row],[Idade]]&lt;45,"ATIVO","REFORMA")</f>
        <v>ATIVO</v>
      </c>
      <c r="K200" s="6" t="str">
        <f t="shared" ca="1" si="14"/>
        <v>VENDAS</v>
      </c>
    </row>
    <row r="201" spans="1:11" x14ac:dyDescent="0.25">
      <c r="A201" s="5">
        <f t="shared" si="15"/>
        <v>198</v>
      </c>
      <c r="B201" s="5" t="s">
        <v>424</v>
      </c>
      <c r="C201" s="1" t="s">
        <v>425</v>
      </c>
      <c r="D201" s="2">
        <f t="shared" ca="1" si="12"/>
        <v>710709</v>
      </c>
      <c r="E201" s="1" t="s">
        <v>401</v>
      </c>
      <c r="F201" s="3">
        <v>32</v>
      </c>
      <c r="G201" s="3" t="s">
        <v>25</v>
      </c>
      <c r="H201" s="1" t="str">
        <f t="shared" ca="1" si="13"/>
        <v>M</v>
      </c>
      <c r="I201" s="4">
        <v>42922</v>
      </c>
      <c r="J201" s="1" t="str">
        <f>IF(Tabela1[[#This Row],[Idade]]&lt;45,"ATIVO","REFORMA")</f>
        <v>ATIVO</v>
      </c>
      <c r="K201" s="6" t="str">
        <f t="shared" ca="1" si="14"/>
        <v>VENDAS</v>
      </c>
    </row>
    <row r="202" spans="1:11" x14ac:dyDescent="0.25">
      <c r="A202" s="5">
        <f t="shared" si="15"/>
        <v>199</v>
      </c>
      <c r="B202" s="5" t="s">
        <v>426</v>
      </c>
      <c r="C202" s="1" t="s">
        <v>427</v>
      </c>
      <c r="D202" s="2">
        <f t="shared" ca="1" si="12"/>
        <v>141741</v>
      </c>
      <c r="E202" s="1" t="s">
        <v>352</v>
      </c>
      <c r="F202" s="3">
        <v>49</v>
      </c>
      <c r="G202" s="3" t="s">
        <v>19</v>
      </c>
      <c r="H202" s="1" t="str">
        <f t="shared" ca="1" si="13"/>
        <v>M</v>
      </c>
      <c r="I202" s="4">
        <v>41865</v>
      </c>
      <c r="J202" s="1" t="str">
        <f>IF(Tabela1[[#This Row],[Idade]]&lt;45,"ATIVO","REFORMA")</f>
        <v>REFORMA</v>
      </c>
      <c r="K202" s="6" t="str">
        <f t="shared" ca="1" si="14"/>
        <v>PRODUÇÃO</v>
      </c>
    </row>
    <row r="203" spans="1:11" x14ac:dyDescent="0.25">
      <c r="A203" s="5">
        <f t="shared" si="15"/>
        <v>200</v>
      </c>
      <c r="B203" s="5" t="s">
        <v>428</v>
      </c>
      <c r="C203" s="1" t="s">
        <v>429</v>
      </c>
      <c r="D203" s="2">
        <f t="shared" ca="1" si="12"/>
        <v>435561</v>
      </c>
      <c r="E203" s="1" t="s">
        <v>430</v>
      </c>
      <c r="F203" s="3">
        <v>37</v>
      </c>
      <c r="G203" s="3" t="s">
        <v>13</v>
      </c>
      <c r="H203" s="1" t="str">
        <f t="shared" ca="1" si="13"/>
        <v>F</v>
      </c>
      <c r="I203" s="4">
        <v>41029</v>
      </c>
      <c r="J203" s="1" t="str">
        <f>IF(Tabela1[[#This Row],[Idade]]&lt;45,"ATIVO","REFORMA")</f>
        <v>ATIVO</v>
      </c>
      <c r="K203" s="6" t="str">
        <f t="shared" ca="1" si="14"/>
        <v>ADMINISTRATIVO</v>
      </c>
    </row>
    <row r="204" spans="1:11" x14ac:dyDescent="0.25">
      <c r="A204" s="5">
        <f t="shared" si="15"/>
        <v>201</v>
      </c>
      <c r="B204" s="5" t="s">
        <v>431</v>
      </c>
      <c r="C204" s="1" t="s">
        <v>432</v>
      </c>
      <c r="D204" s="2">
        <f t="shared" ca="1" si="12"/>
        <v>699511</v>
      </c>
      <c r="E204" s="1" t="s">
        <v>430</v>
      </c>
      <c r="F204" s="3">
        <v>29</v>
      </c>
      <c r="G204" s="3" t="s">
        <v>22</v>
      </c>
      <c r="H204" s="1" t="str">
        <f t="shared" ca="1" si="13"/>
        <v>F</v>
      </c>
      <c r="I204" s="4">
        <v>43146</v>
      </c>
      <c r="J204" s="1" t="str">
        <f>IF(Tabela1[[#This Row],[Idade]]&lt;45,"ATIVO","REFORMA")</f>
        <v>ATIVO</v>
      </c>
      <c r="K204" s="6" t="str">
        <f t="shared" ca="1" si="14"/>
        <v>ADMINISTRATIVO</v>
      </c>
    </row>
    <row r="205" spans="1:11" x14ac:dyDescent="0.25">
      <c r="A205" s="5">
        <f t="shared" si="15"/>
        <v>202</v>
      </c>
      <c r="B205" s="5" t="s">
        <v>433</v>
      </c>
      <c r="C205" s="1" t="s">
        <v>434</v>
      </c>
      <c r="D205" s="2">
        <f t="shared" ca="1" si="12"/>
        <v>481410</v>
      </c>
      <c r="E205" s="1" t="s">
        <v>352</v>
      </c>
      <c r="F205" s="3">
        <v>29</v>
      </c>
      <c r="G205" s="3" t="s">
        <v>22</v>
      </c>
      <c r="H205" s="1" t="str">
        <f t="shared" ca="1" si="13"/>
        <v>F</v>
      </c>
      <c r="I205" s="4">
        <v>43646</v>
      </c>
      <c r="J205" s="1" t="str">
        <f>IF(Tabela1[[#This Row],[Idade]]&lt;45,"ATIVO","REFORMA")</f>
        <v>ATIVO</v>
      </c>
      <c r="K205" s="6" t="str">
        <f t="shared" ca="1" si="14"/>
        <v>TI</v>
      </c>
    </row>
    <row r="206" spans="1:11" x14ac:dyDescent="0.25">
      <c r="A206" s="5">
        <f t="shared" si="15"/>
        <v>203</v>
      </c>
      <c r="B206" s="5" t="s">
        <v>435</v>
      </c>
      <c r="C206" s="1" t="s">
        <v>436</v>
      </c>
      <c r="D206" s="2">
        <f t="shared" ca="1" si="12"/>
        <v>290334</v>
      </c>
      <c r="E206" s="1" t="s">
        <v>401</v>
      </c>
      <c r="F206" s="3">
        <v>64</v>
      </c>
      <c r="G206" s="3" t="s">
        <v>105</v>
      </c>
      <c r="H206" s="1" t="str">
        <f t="shared" ca="1" si="13"/>
        <v>M</v>
      </c>
      <c r="I206" s="4">
        <v>43018</v>
      </c>
      <c r="J206" s="1" t="str">
        <f>IF(Tabela1[[#This Row],[Idade]]&lt;45,"ATIVO","REFORMA")</f>
        <v>REFORMA</v>
      </c>
      <c r="K206" s="6" t="str">
        <f t="shared" ca="1" si="14"/>
        <v>VENDAS</v>
      </c>
    </row>
    <row r="207" spans="1:11" x14ac:dyDescent="0.25">
      <c r="A207" s="5">
        <f t="shared" si="15"/>
        <v>204</v>
      </c>
      <c r="B207" s="5" t="s">
        <v>437</v>
      </c>
      <c r="C207" s="1" t="s">
        <v>438</v>
      </c>
      <c r="D207" s="2">
        <f t="shared" ca="1" si="12"/>
        <v>261194</v>
      </c>
      <c r="E207" s="1" t="s">
        <v>401</v>
      </c>
      <c r="F207" s="3">
        <v>30</v>
      </c>
      <c r="G207" s="3" t="s">
        <v>22</v>
      </c>
      <c r="H207" s="1" t="str">
        <f t="shared" ca="1" si="13"/>
        <v>F</v>
      </c>
      <c r="I207" s="4">
        <v>43018</v>
      </c>
      <c r="J207" s="1" t="str">
        <f>IF(Tabela1[[#This Row],[Idade]]&lt;45,"ATIVO","REFORMA")</f>
        <v>ATIVO</v>
      </c>
      <c r="K207" s="6" t="str">
        <f t="shared" ca="1" si="14"/>
        <v>TI</v>
      </c>
    </row>
    <row r="208" spans="1:11" x14ac:dyDescent="0.25">
      <c r="A208" s="5">
        <f t="shared" si="15"/>
        <v>205</v>
      </c>
      <c r="B208" s="5" t="s">
        <v>439</v>
      </c>
      <c r="C208" s="1" t="s">
        <v>440</v>
      </c>
      <c r="D208" s="2">
        <f t="shared" ca="1" si="12"/>
        <v>610125</v>
      </c>
      <c r="E208" s="1" t="s">
        <v>401</v>
      </c>
      <c r="F208" s="3">
        <v>32</v>
      </c>
      <c r="G208" s="3" t="s">
        <v>25</v>
      </c>
      <c r="H208" s="1" t="str">
        <f t="shared" ca="1" si="13"/>
        <v>M</v>
      </c>
      <c r="I208" s="4">
        <v>43646</v>
      </c>
      <c r="J208" s="1" t="str">
        <f>IF(Tabela1[[#This Row],[Idade]]&lt;45,"ATIVO","REFORMA")</f>
        <v>ATIVO</v>
      </c>
      <c r="K208" s="6" t="str">
        <f t="shared" ca="1" si="14"/>
        <v>PRODUÇÃO</v>
      </c>
    </row>
    <row r="209" spans="1:11" x14ac:dyDescent="0.25">
      <c r="A209" s="5">
        <f t="shared" si="15"/>
        <v>206</v>
      </c>
      <c r="B209" s="5" t="s">
        <v>441</v>
      </c>
      <c r="C209" s="1" t="s">
        <v>442</v>
      </c>
      <c r="D209" s="2">
        <f t="shared" ca="1" si="12"/>
        <v>158591</v>
      </c>
      <c r="E209" s="1" t="s">
        <v>401</v>
      </c>
      <c r="F209" s="3">
        <v>50</v>
      </c>
      <c r="G209" s="3" t="s">
        <v>19</v>
      </c>
      <c r="H209" s="1" t="str">
        <f t="shared" ca="1" si="13"/>
        <v>M</v>
      </c>
      <c r="I209" s="4">
        <v>43018</v>
      </c>
      <c r="J209" s="1" t="str">
        <f>IF(Tabela1[[#This Row],[Idade]]&lt;45,"ATIVO","REFORMA")</f>
        <v>REFORMA</v>
      </c>
      <c r="K209" s="6" t="str">
        <f t="shared" ca="1" si="14"/>
        <v>ADMINISTRATIVO</v>
      </c>
    </row>
    <row r="210" spans="1:11" x14ac:dyDescent="0.25">
      <c r="A210" s="5">
        <f t="shared" si="15"/>
        <v>207</v>
      </c>
      <c r="B210" s="11" t="s">
        <v>443</v>
      </c>
      <c r="C210" s="12" t="s">
        <v>444</v>
      </c>
      <c r="D210" s="13">
        <f t="shared" ca="1" si="12"/>
        <v>783288</v>
      </c>
      <c r="E210" s="12" t="s">
        <v>401</v>
      </c>
      <c r="F210" s="14">
        <v>38</v>
      </c>
      <c r="G210" s="14" t="s">
        <v>13</v>
      </c>
      <c r="H210" s="12" t="str">
        <f t="shared" ca="1" si="13"/>
        <v>F</v>
      </c>
      <c r="I210" s="15">
        <v>43188</v>
      </c>
      <c r="J210" s="12" t="str">
        <f>IF(Tabela1[[#This Row],[Idade]]&lt;45,"ATIVO","REFORMA")</f>
        <v>ATIVO</v>
      </c>
      <c r="K210" s="16" t="str">
        <f t="shared" ca="1" si="14"/>
        <v>TI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2026-03-09T12:03:14Z</dcterms:created>
  <dcterms:modified xsi:type="dcterms:W3CDTF">2026-03-12T13:22:37Z</dcterms:modified>
</cp:coreProperties>
</file>