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Kidi Constantino\OneDrive - Ministério das Finanças de Angola\Ambiente de Trabalho\KID\CURSO DE EXCEL +POWER B.I\"/>
    </mc:Choice>
  </mc:AlternateContent>
  <xr:revisionPtr revIDLastSave="0" documentId="13_ncr:1_{2ED6AE3B-0395-43D3-A405-9B59682113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00" sheetId="1" r:id="rId1"/>
    <sheet name="01" sheetId="2" r:id="rId2"/>
    <sheet name="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 a="1"/>
  <c r="K4" i="3" s="1"/>
  <c r="K4" i="1"/>
  <c r="K5" i="1" s="1"/>
  <c r="K6" i="1" s="1"/>
  <c r="K7" i="1" s="1"/>
  <c r="K5" i="3" a="1"/>
  <c r="K5" i="3" s="1"/>
  <c r="K11" i="2"/>
  <c r="K4" i="2"/>
  <c r="K5" i="2" s="1"/>
  <c r="K6" i="2" s="1"/>
  <c r="K7" i="2" s="1"/>
  <c r="K8" i="2" s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<sst xmlns="http://schemas.openxmlformats.org/spreadsheetml/2006/main" count="67" uniqueCount="17">
  <si>
    <t> </t>
  </si>
  <si>
    <t>PROCH</t>
  </si>
  <si>
    <t>Analista</t>
  </si>
  <si>
    <t>Liliane</t>
  </si>
  <si>
    <t>Lucas</t>
  </si>
  <si>
    <t>Wyllionceto</t>
  </si>
  <si>
    <t>Marcos</t>
  </si>
  <si>
    <t>Judith</t>
  </si>
  <si>
    <t>JAN</t>
  </si>
  <si>
    <t>FEV</t>
  </si>
  <si>
    <t>MAR</t>
  </si>
  <si>
    <t>ABR</t>
  </si>
  <si>
    <t>TOTAL</t>
  </si>
  <si>
    <t>PROCH intermediário com CORRESP</t>
  </si>
  <si>
    <t>PROCH com modo MATRICIAL</t>
  </si>
  <si>
    <t>MÉDIA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</si>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</sst>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2" borderId="2" xfId="0" applyFont="1" applyFill="1" applyBorder="1"/>
    <xf numFmtId="0" fontId="3" fillId="2" borderId="0" xfId="0" applyFont="1" applyFill="1"/>
    <xf numFmtId="0" fontId="1" fillId="3" borderId="0" xfId="0" applyFont="1" applyFill="1"/>
    <xf numFmtId="0" fontId="1" fillId="0" borderId="3" xfId="0" applyFont="1" applyBorder="1"/>
    <xf numFmtId="0" fontId="1" fillId="0" borderId="4" xfId="0" applyFont="1" applyBorder="1"/>
    <xf numFmtId="0" fontId="3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0" borderId="0" xfId="0" quotePrefix="1" applyFont="1"/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quotePrefix="1"/>
    <xf numFmtId="164" fontId="1" fillId="0" borderId="0" xfId="0" applyNumberFormat="1" applyFont="1"/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F11" sqref="F11"/>
    </sheetView>
  </sheetViews>
  <sheetFormatPr defaultRowHeight="14.5" x14ac:dyDescent="0.35"/>
  <cols>
    <col min="1" max="1" width="8.7265625" customWidth="1"/>
    <col min="2" max="2" width="17.1796875" bestFit="1" customWidth="1"/>
    <col min="5" max="5" width="11.26953125" bestFit="1" customWidth="1"/>
    <col min="11" max="11" width="11.26953125" bestFit="1" customWidth="1"/>
  </cols>
  <sheetData>
    <row r="1" spans="1:13" s="14" customFormat="1" ht="36" x14ac:dyDescent="0.8">
      <c r="A1" s="12" t="s">
        <v>0</v>
      </c>
      <c r="B1" s="13" t="s">
        <v>1</v>
      </c>
      <c r="C1" s="13"/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tr">
        <f>C3</f>
        <v>Liliane</v>
      </c>
      <c r="L3" s="1"/>
      <c r="M3" s="1"/>
    </row>
    <row r="4" spans="1:13" x14ac:dyDescent="0.3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s="1" t="s">
        <v>8</v>
      </c>
      <c r="K4">
        <f>HLOOKUP(K3,B3:G7,2,1)</f>
        <v>145</v>
      </c>
      <c r="L4" s="1"/>
      <c r="M4" s="1"/>
    </row>
    <row r="5" spans="1:13" x14ac:dyDescent="0.3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K5">
        <f t="shared" ref="K5:K7" si="0">HLOOKUP(K4,B4:G8,2,1)</f>
        <v>78</v>
      </c>
      <c r="L5" s="1"/>
      <c r="M5" s="1"/>
    </row>
    <row r="6" spans="1:13" x14ac:dyDescent="0.3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K6">
        <f t="shared" si="0"/>
        <v>48</v>
      </c>
      <c r="L6" s="1"/>
      <c r="M6" s="1"/>
    </row>
    <row r="7" spans="1:13" x14ac:dyDescent="0.3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K7">
        <f t="shared" si="0"/>
        <v>189</v>
      </c>
      <c r="L7" s="1"/>
      <c r="M7" s="1"/>
    </row>
    <row r="8" spans="1:13" x14ac:dyDescent="0.3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 s="9"/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selection activeCell="K10" sqref="K10"/>
    </sheetView>
  </sheetViews>
  <sheetFormatPr defaultRowHeight="14.5" x14ac:dyDescent="0.35"/>
  <cols>
    <col min="1" max="1" width="8.26953125" customWidth="1"/>
    <col min="2" max="2" width="14.7265625" customWidth="1"/>
    <col min="4" max="4" width="9.81640625" customWidth="1"/>
    <col min="5" max="5" width="11.26953125" bestFit="1" customWidth="1"/>
    <col min="11" max="11" width="17.453125" customWidth="1"/>
    <col min="12" max="12" width="9.453125" bestFit="1" customWidth="1"/>
  </cols>
  <sheetData>
    <row r="1" spans="1:13" s="14" customFormat="1" ht="45" customHeight="1" x14ac:dyDescent="0.8">
      <c r="A1" s="12" t="s">
        <v>0</v>
      </c>
      <c r="B1" s="18" t="s">
        <v>13</v>
      </c>
      <c r="C1" s="18"/>
      <c r="D1" s="18"/>
      <c r="E1" s="18"/>
      <c r="F1" s="18"/>
      <c r="G1" s="18"/>
      <c r="H1" s="18"/>
      <c r="I1" s="18"/>
      <c r="J1" s="18"/>
      <c r="K1" s="12" t="s">
        <v>0</v>
      </c>
      <c r="L1" s="12" t="s">
        <v>0</v>
      </c>
      <c r="M1" s="12" t="s">
        <v>0</v>
      </c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x14ac:dyDescent="0.3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5" t="s">
        <v>16</v>
      </c>
    </row>
    <row r="4" spans="1:13" x14ac:dyDescent="0.3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J4" s="1" t="s">
        <v>8</v>
      </c>
      <c r="K4">
        <f>HLOOKUP(K3,B3:G8,MATCH(J4,B3:B8,0))</f>
        <v>152</v>
      </c>
    </row>
    <row r="5" spans="1:13" x14ac:dyDescent="0.3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s="1" t="s">
        <v>9</v>
      </c>
      <c r="K5">
        <f>HLOOKUP(K4,B4:G9,MATCH(J5,B4:B9,0))</f>
        <v>133</v>
      </c>
    </row>
    <row r="6" spans="1:13" x14ac:dyDescent="0.3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 t="s">
        <v>10</v>
      </c>
      <c r="K6">
        <f>HLOOKUP(K5,B5:G10,MATCH(J6,B5:B10,0))</f>
        <v>214</v>
      </c>
      <c r="L6" s="1"/>
      <c r="M6" s="1"/>
    </row>
    <row r="7" spans="1:13" x14ac:dyDescent="0.35">
      <c r="A7" s="1"/>
      <c r="B7" s="6" t="s">
        <v>11</v>
      </c>
      <c r="C7" s="7">
        <v>189</v>
      </c>
      <c r="D7" s="7">
        <v>211</v>
      </c>
      <c r="E7" s="7">
        <v>111</v>
      </c>
      <c r="F7" s="7">
        <v>234</v>
      </c>
      <c r="G7" s="7">
        <v>203</v>
      </c>
      <c r="H7" s="1"/>
      <c r="I7" s="1"/>
      <c r="J7" s="1" t="s">
        <v>11</v>
      </c>
      <c r="K7">
        <f>HLOOKUP(K6,B6:G11,MATCH(J7,B6:B11,0))</f>
        <v>211</v>
      </c>
      <c r="L7" s="1"/>
      <c r="M7" s="1"/>
    </row>
    <row r="8" spans="1:13" x14ac:dyDescent="0.35">
      <c r="A8" s="1"/>
      <c r="B8" s="8" t="s">
        <v>12</v>
      </c>
      <c r="C8" s="9">
        <v>460</v>
      </c>
      <c r="D8" s="9">
        <v>710</v>
      </c>
      <c r="E8" s="9">
        <v>413</v>
      </c>
      <c r="F8" s="9">
        <v>644</v>
      </c>
      <c r="G8" s="9">
        <v>449</v>
      </c>
      <c r="H8" s="1"/>
      <c r="I8" s="1"/>
      <c r="J8" s="10" t="s">
        <v>12</v>
      </c>
      <c r="K8">
        <f>HLOOKUP(K7,B7:G12,MATCH(J8,B7:B12,0))</f>
        <v>710</v>
      </c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K11" s="1">
        <f>MATCH(K3,C3:G3,0)</f>
        <v>2</v>
      </c>
      <c r="L11" s="1"/>
      <c r="M11" s="1"/>
    </row>
    <row r="12" spans="1:13" x14ac:dyDescent="0.35">
      <c r="A12" s="1"/>
      <c r="K12" s="1"/>
      <c r="L12" s="1"/>
      <c r="M12" s="1"/>
    </row>
    <row r="13" spans="1:13" ht="18.75" customHeight="1" x14ac:dyDescent="0.35">
      <c r="A13" s="1"/>
      <c r="K13" s="1"/>
      <c r="L13" s="1"/>
      <c r="M13" s="1"/>
    </row>
    <row r="14" spans="1:13" x14ac:dyDescent="0.35">
      <c r="K14" s="1"/>
      <c r="L14" s="1"/>
      <c r="M14" s="1"/>
    </row>
    <row r="15" spans="1:13" x14ac:dyDescent="0.35">
      <c r="K15" s="1"/>
      <c r="L15" s="1"/>
      <c r="M15" s="1"/>
    </row>
    <row r="16" spans="1:13" x14ac:dyDescent="0.35">
      <c r="A16" s="1"/>
      <c r="K16" s="1"/>
      <c r="L16" s="1"/>
      <c r="M16" s="1"/>
    </row>
  </sheetData>
  <mergeCells count="1">
    <mergeCell ref="B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>
      <selection activeCell="K18" sqref="K18"/>
    </sheetView>
  </sheetViews>
  <sheetFormatPr defaultRowHeight="14.5" x14ac:dyDescent="0.35"/>
  <cols>
    <col min="1" max="1" width="10.26953125" customWidth="1"/>
    <col min="5" max="5" width="11.26953125" bestFit="1" customWidth="1"/>
    <col min="11" max="11" width="12.26953125" customWidth="1"/>
  </cols>
  <sheetData>
    <row r="1" spans="1:16" ht="39" customHeight="1" x14ac:dyDescent="0.8">
      <c r="A1" s="12" t="s">
        <v>0</v>
      </c>
      <c r="B1" s="18" t="s">
        <v>14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8.75" customHeight="1" x14ac:dyDescent="0.3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  <c r="I3" s="1"/>
      <c r="J3" s="4" t="s">
        <v>2</v>
      </c>
      <c r="K3" s="15" t="s">
        <v>6</v>
      </c>
      <c r="L3" s="1"/>
      <c r="M3" s="1"/>
    </row>
    <row r="4" spans="1:16" x14ac:dyDescent="0.35">
      <c r="A4" s="1"/>
      <c r="B4" s="6" t="s">
        <v>8</v>
      </c>
      <c r="C4" s="7">
        <v>145</v>
      </c>
      <c r="D4" s="7">
        <v>152</v>
      </c>
      <c r="E4" s="7">
        <v>112</v>
      </c>
      <c r="F4" s="7">
        <v>214</v>
      </c>
      <c r="G4" s="7">
        <v>12</v>
      </c>
      <c r="H4" s="1"/>
      <c r="I4" s="1"/>
      <c r="J4" t="s">
        <v>12</v>
      </c>
      <c r="K4" s="1" cm="1">
        <f t="array" ref="K4">SUM(HLOOKUP(K3,B3:G6,{2;3;4},0))</f>
        <v>410</v>
      </c>
      <c r="L4" s="1"/>
      <c r="M4" s="1"/>
    </row>
    <row r="5" spans="1:16" x14ac:dyDescent="0.35">
      <c r="A5" s="1"/>
      <c r="B5" s="6" t="s">
        <v>9</v>
      </c>
      <c r="C5" s="7">
        <v>78</v>
      </c>
      <c r="D5" s="7">
        <v>133</v>
      </c>
      <c r="E5" s="7">
        <v>45</v>
      </c>
      <c r="F5" s="7">
        <v>22</v>
      </c>
      <c r="G5" s="7">
        <v>122</v>
      </c>
      <c r="H5" s="1"/>
      <c r="I5" s="1"/>
      <c r="J5" t="s">
        <v>15</v>
      </c>
      <c r="K5" s="17" cm="1">
        <f t="array" ref="K5">AVERAGE(HLOOKUP(K3,B3:G6,{2;3;4},0))</f>
        <v>136.66666666666666</v>
      </c>
      <c r="M5" s="1"/>
    </row>
    <row r="6" spans="1:16" x14ac:dyDescent="0.35">
      <c r="A6" s="1"/>
      <c r="B6" s="6" t="s">
        <v>10</v>
      </c>
      <c r="C6" s="7">
        <v>48</v>
      </c>
      <c r="D6" s="7">
        <v>214</v>
      </c>
      <c r="E6" s="7">
        <v>145</v>
      </c>
      <c r="F6" s="7">
        <v>174</v>
      </c>
      <c r="G6" s="7">
        <v>112</v>
      </c>
      <c r="H6" s="1"/>
      <c r="I6" s="1"/>
      <c r="J6" s="1"/>
      <c r="K6" s="1"/>
      <c r="L6" s="1"/>
      <c r="M6" s="1"/>
    </row>
    <row r="7" spans="1:16" x14ac:dyDescent="0.35">
      <c r="H7" s="1"/>
      <c r="I7" s="1"/>
      <c r="J7" s="1"/>
      <c r="K7" s="1"/>
      <c r="L7" s="1"/>
      <c r="M7" s="1"/>
    </row>
    <row r="8" spans="1:16" x14ac:dyDescent="0.35">
      <c r="A8" s="1"/>
      <c r="B8" s="1"/>
      <c r="C8" s="1"/>
      <c r="D8" s="1"/>
      <c r="E8" s="1"/>
      <c r="F8" s="1"/>
      <c r="G8" s="1"/>
      <c r="H8" s="1"/>
      <c r="I8" s="1"/>
      <c r="L8" s="1"/>
      <c r="M8" s="1"/>
    </row>
    <row r="9" spans="1:1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 x14ac:dyDescent="0.35">
      <c r="I10" s="1"/>
      <c r="J10" s="1"/>
      <c r="K10" s="1"/>
      <c r="L10" s="1"/>
      <c r="M10" s="1"/>
    </row>
    <row r="11" spans="1:16" x14ac:dyDescent="0.35">
      <c r="I11" s="1"/>
      <c r="J11" s="1"/>
      <c r="K11" s="1"/>
      <c r="L11" s="1"/>
      <c r="M11" s="1"/>
    </row>
    <row r="12" spans="1:16" x14ac:dyDescent="0.35">
      <c r="A12" s="16"/>
      <c r="I12" s="1"/>
      <c r="J12" s="1"/>
      <c r="K12" s="1"/>
      <c r="L12" s="1"/>
      <c r="M12" s="1"/>
    </row>
    <row r="13" spans="1:16" ht="15.75" customHeight="1" x14ac:dyDescent="0.35">
      <c r="A13" s="16"/>
      <c r="I13" s="1"/>
      <c r="J13" s="1"/>
      <c r="K13" s="1"/>
      <c r="L13" s="1"/>
      <c r="M13" s="1"/>
    </row>
    <row r="14" spans="1:16" ht="18.75" customHeight="1" x14ac:dyDescent="0.35">
      <c r="I14" s="1"/>
      <c r="J14" s="1"/>
      <c r="K14" s="1"/>
      <c r="L14" s="1"/>
      <c r="M14" s="1"/>
    </row>
    <row r="15" spans="1:16" ht="18" customHeight="1" x14ac:dyDescent="0.35">
      <c r="I15" s="1"/>
      <c r="J15" s="1"/>
      <c r="K15" s="1"/>
      <c r="L15" s="1"/>
      <c r="M15" s="1"/>
    </row>
    <row r="16" spans="1:16" x14ac:dyDescent="0.35">
      <c r="I16" s="1"/>
      <c r="J16" s="1"/>
      <c r="K16" s="1"/>
      <c r="L16" s="1"/>
      <c r="M16" s="1"/>
    </row>
  </sheetData>
  <mergeCells count="1">
    <mergeCell ref="B1:P1"/>
  </mergeCells>
  <dataValidations count="1">
    <dataValidation type="list" allowBlank="1" showInputMessage="1" showErrorMessage="1" sqref="K3" xr:uid="{554B768D-511F-4B45-B5A0-66CA109A66AA}">
      <formula1>$C$3:$G$3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00</vt:lpstr>
      <vt:lpstr>01</vt:lpstr>
      <vt:lpstr>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Kidi Denize Monteiro Constantino</cp:lastModifiedBy>
  <cp:revision/>
  <dcterms:created xsi:type="dcterms:W3CDTF">2026-01-29T07:45:51Z</dcterms:created>
  <dcterms:modified xsi:type="dcterms:W3CDTF">2026-06-11T12:40:36Z</dcterms:modified>
  <cp:category/>
  <cp:contentStatus/>
</cp:coreProperties>
</file>