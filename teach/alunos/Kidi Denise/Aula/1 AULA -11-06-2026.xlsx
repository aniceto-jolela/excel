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idi Constantino\OneDrive - Ministério das Finanças de Angola\Ambiente de Trabalho\KID\CURSO DE EXCEL +POWER B.I\"/>
    </mc:Choice>
  </mc:AlternateContent>
  <xr:revisionPtr revIDLastSave="0" documentId="13_ncr:1_{ADFC3D8B-6148-4398-8D9B-D09EFE7268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oes" sheetId="11" r:id="rId1"/>
    <sheet name="Pivots" sheetId="12" r:id="rId2"/>
    <sheet name="Gráficos" sheetId="13" r:id="rId3"/>
    <sheet name="Folha1" sheetId="14" r:id="rId4"/>
    <sheet name="Pagamentos_Salarios" sheetId="1" r:id="rId5"/>
    <sheet name="Presenças" sheetId="2" r:id="rId6"/>
    <sheet name="Perfil_Colaborador" sheetId="3" r:id="rId7"/>
    <sheet name="Seguros" sheetId="4" r:id="rId8"/>
    <sheet name="Planeamento_Efetivo" sheetId="5" r:id="rId9"/>
    <sheet name="Fundo_Pensoes" sheetId="6" r:id="rId10"/>
    <sheet name="Higiene_Seguranca" sheetId="7" r:id="rId11"/>
    <sheet name="Gestao_Carreira" sheetId="8" r:id="rId12"/>
    <sheet name="Processo_Disciplinar" sheetId="9" r:id="rId13"/>
    <sheet name="Balanco_Social" sheetId="10" r:id="rId14"/>
  </sheets>
  <calcPr calcId="191029"/>
  <pivotCaches>
    <pivotCache cacheId="1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C337" i="1"/>
  <c r="C309" i="1"/>
  <c r="C308" i="1"/>
  <c r="C307" i="1"/>
</calcChain>
</file>

<file path=xl/sharedStrings.xml><?xml version="1.0" encoding="utf-8"?>
<sst xmlns="http://schemas.openxmlformats.org/spreadsheetml/2006/main" count="14694" uniqueCount="4347">
  <si>
    <t>Código</t>
  </si>
  <si>
    <t>Nome</t>
  </si>
  <si>
    <t>Departamento</t>
  </si>
  <si>
    <t>Cargo</t>
  </si>
  <si>
    <t>Província</t>
  </si>
  <si>
    <t>Data Pagamento</t>
  </si>
  <si>
    <t>Salário Base</t>
  </si>
  <si>
    <t>Bónus</t>
  </si>
  <si>
    <t>Desconto</t>
  </si>
  <si>
    <t>Salário Líquido</t>
  </si>
  <si>
    <t>Forma Pagamento</t>
  </si>
  <si>
    <t>EMP1000</t>
  </si>
  <si>
    <t>Luna Branco-Neto</t>
  </si>
  <si>
    <t>Financeiro</t>
  </si>
  <si>
    <t>Analista</t>
  </si>
  <si>
    <t>Benguela</t>
  </si>
  <si>
    <t>Banco</t>
  </si>
  <si>
    <t>EMP1001</t>
  </si>
  <si>
    <t>Vítor de Ferreira</t>
  </si>
  <si>
    <t>RH</t>
  </si>
  <si>
    <t>Assistente</t>
  </si>
  <si>
    <t>Huambo</t>
  </si>
  <si>
    <t>EMP1002</t>
  </si>
  <si>
    <t>Alexandre Carneiro</t>
  </si>
  <si>
    <t>Comercial</t>
  </si>
  <si>
    <t>Coordenador</t>
  </si>
  <si>
    <t>Malanje</t>
  </si>
  <si>
    <t>Caixa</t>
  </si>
  <si>
    <t>EMP1003</t>
  </si>
  <si>
    <t>Alícia-Salomé Cardoso</t>
  </si>
  <si>
    <t>TI</t>
  </si>
  <si>
    <t>EMP1004</t>
  </si>
  <si>
    <t>Fabiana Nunes</t>
  </si>
  <si>
    <t>EMP1005</t>
  </si>
  <si>
    <t>Flor Barros</t>
  </si>
  <si>
    <t>Supervisor</t>
  </si>
  <si>
    <t>Bié</t>
  </si>
  <si>
    <t>EMP1006</t>
  </si>
  <si>
    <t>Gabriel Almeida-Coelho</t>
  </si>
  <si>
    <t>Operações</t>
  </si>
  <si>
    <t>Técnico</t>
  </si>
  <si>
    <t>Cunene</t>
  </si>
  <si>
    <t>EMP1007</t>
  </si>
  <si>
    <t>Sandro Brito</t>
  </si>
  <si>
    <t>Administrativo</t>
  </si>
  <si>
    <t>Transferência</t>
  </si>
  <si>
    <t>EMP1008</t>
  </si>
  <si>
    <t>Letícia Abreu</t>
  </si>
  <si>
    <t>Uíge</t>
  </si>
  <si>
    <t>EMP1009</t>
  </si>
  <si>
    <t>Ângela Costa</t>
  </si>
  <si>
    <t>Huíla</t>
  </si>
  <si>
    <t>EMP1010</t>
  </si>
  <si>
    <t>Maria Teixeira</t>
  </si>
  <si>
    <t>Gestor</t>
  </si>
  <si>
    <t>EMP1011</t>
  </si>
  <si>
    <t>Alice Amaral</t>
  </si>
  <si>
    <t>EMP1012</t>
  </si>
  <si>
    <t>Álvaro Nunes</t>
  </si>
  <si>
    <t>EMP1013</t>
  </si>
  <si>
    <t>João Andrade-Pacheco</t>
  </si>
  <si>
    <t>EMP1014</t>
  </si>
  <si>
    <t>Tiago Vieira</t>
  </si>
  <si>
    <t>Logística</t>
  </si>
  <si>
    <t>EMP1015</t>
  </si>
  <si>
    <t>Ângela da Fonseca</t>
  </si>
  <si>
    <t>EMP1016</t>
  </si>
  <si>
    <t>Nicole Mendes-Antunes</t>
  </si>
  <si>
    <t>EMP1017</t>
  </si>
  <si>
    <t>Luca Pinto</t>
  </si>
  <si>
    <t>EMP1018</t>
  </si>
  <si>
    <t>Cristiano do Pinheiro</t>
  </si>
  <si>
    <t>Cabinda</t>
  </si>
  <si>
    <t>EMP1019</t>
  </si>
  <si>
    <t>Marco Monteiro</t>
  </si>
  <si>
    <t>EMP1020</t>
  </si>
  <si>
    <t>Bruno Pires</t>
  </si>
  <si>
    <t>Luanda</t>
  </si>
  <si>
    <t>EMP1021</t>
  </si>
  <si>
    <t>Benedita Castro</t>
  </si>
  <si>
    <t>EMP1022</t>
  </si>
  <si>
    <t>Ângelo Assunção</t>
  </si>
  <si>
    <t>EMP1023</t>
  </si>
  <si>
    <t>Maria Gomes</t>
  </si>
  <si>
    <t>EMP1024</t>
  </si>
  <si>
    <t>Matias Melo</t>
  </si>
  <si>
    <t>EMP1025</t>
  </si>
  <si>
    <t>Melissa Jesus</t>
  </si>
  <si>
    <t>Namibe</t>
  </si>
  <si>
    <t>EMP1026</t>
  </si>
  <si>
    <t>Guilherme Gonçalves</t>
  </si>
  <si>
    <t>EMP1027</t>
  </si>
  <si>
    <t>Miguel Branco</t>
  </si>
  <si>
    <t>EMP1028</t>
  </si>
  <si>
    <t>Yara Leite-Jesus</t>
  </si>
  <si>
    <t>EMP1029</t>
  </si>
  <si>
    <t>Caetana Maia</t>
  </si>
  <si>
    <t>EMP1030</t>
  </si>
  <si>
    <t>Júlia Pires</t>
  </si>
  <si>
    <t>EMP1031</t>
  </si>
  <si>
    <t>Carolina Lopes</t>
  </si>
  <si>
    <t>EMP1032</t>
  </si>
  <si>
    <t>Ana Coelho</t>
  </si>
  <si>
    <t>EMP1033</t>
  </si>
  <si>
    <t>Miguel do Jesus</t>
  </si>
  <si>
    <t>EMP1034</t>
  </si>
  <si>
    <t>Ricardo Jesus</t>
  </si>
  <si>
    <t>EMP1035</t>
  </si>
  <si>
    <t>Carlos Ramos</t>
  </si>
  <si>
    <t>EMP1036</t>
  </si>
  <si>
    <t>Carlos Jesus</t>
  </si>
  <si>
    <t>EMP1037</t>
  </si>
  <si>
    <t>Mateus Teixeira</t>
  </si>
  <si>
    <t>EMP1038</t>
  </si>
  <si>
    <t>Bryan Vieira</t>
  </si>
  <si>
    <t>EMP1039</t>
  </si>
  <si>
    <t>Tatiana Santos</t>
  </si>
  <si>
    <t>EMP1040</t>
  </si>
  <si>
    <t>Vera-Alícia Barros</t>
  </si>
  <si>
    <t>EMP1041</t>
  </si>
  <si>
    <t>Vitória Sá</t>
  </si>
  <si>
    <t>EMP1042</t>
  </si>
  <si>
    <t>Victória Alves</t>
  </si>
  <si>
    <t>EMP1043</t>
  </si>
  <si>
    <t>Frederico Vicente</t>
  </si>
  <si>
    <t>EMP1044</t>
  </si>
  <si>
    <t>Manuel Amaral</t>
  </si>
  <si>
    <t>EMP1045</t>
  </si>
  <si>
    <t>Constança Faria</t>
  </si>
  <si>
    <t>EMP1046</t>
  </si>
  <si>
    <t>Sara Leite</t>
  </si>
  <si>
    <t>EMP1047</t>
  </si>
  <si>
    <t>Irina Cunha</t>
  </si>
  <si>
    <t>EMP1048</t>
  </si>
  <si>
    <t>Marta Gonçalves</t>
  </si>
  <si>
    <t>EMP1049</t>
  </si>
  <si>
    <t>Madalena Lima</t>
  </si>
  <si>
    <t>EMP1050</t>
  </si>
  <si>
    <t>Pilar-Renata Andrade</t>
  </si>
  <si>
    <t>EMP1051</t>
  </si>
  <si>
    <t>António do Mendes</t>
  </si>
  <si>
    <t>EMP1052</t>
  </si>
  <si>
    <t>Renata Batista</t>
  </si>
  <si>
    <t>EMP1053</t>
  </si>
  <si>
    <t>Manuel Castro</t>
  </si>
  <si>
    <t>EMP1054</t>
  </si>
  <si>
    <t>Madalena Freitas</t>
  </si>
  <si>
    <t>EMP1055</t>
  </si>
  <si>
    <t>Diogo Lourenço</t>
  </si>
  <si>
    <t>EMP1056</t>
  </si>
  <si>
    <t>Camila Moreira-Nogueira</t>
  </si>
  <si>
    <t>EMP1057</t>
  </si>
  <si>
    <t>Gaspar Carvalho</t>
  </si>
  <si>
    <t>EMP1058</t>
  </si>
  <si>
    <t>Mateus Lourenço</t>
  </si>
  <si>
    <t>EMP1059</t>
  </si>
  <si>
    <t>Beatriz Torres</t>
  </si>
  <si>
    <t>EMP1060</t>
  </si>
  <si>
    <t>Carlota-Raquel Silva</t>
  </si>
  <si>
    <t>EMP1061</t>
  </si>
  <si>
    <t>José Silva</t>
  </si>
  <si>
    <t>EMP1062</t>
  </si>
  <si>
    <t>Salomé Machado</t>
  </si>
  <si>
    <t>EMP1063</t>
  </si>
  <si>
    <t>Rodrigo Amorim</t>
  </si>
  <si>
    <t>EMP1064</t>
  </si>
  <si>
    <t>Ismael Lourenço</t>
  </si>
  <si>
    <t>EMP1065</t>
  </si>
  <si>
    <t>Leonor Ribeiro</t>
  </si>
  <si>
    <t>EMP1066</t>
  </si>
  <si>
    <t>Afonso Nascimento</t>
  </si>
  <si>
    <t>EMP1067</t>
  </si>
  <si>
    <t>Leandro do Fonseca</t>
  </si>
  <si>
    <t>EMP1068</t>
  </si>
  <si>
    <t>Duarte Mendes</t>
  </si>
  <si>
    <t>EMP1069</t>
  </si>
  <si>
    <t>Joana Neto-Soares</t>
  </si>
  <si>
    <t>EMP1070</t>
  </si>
  <si>
    <t>Lourenço Neves</t>
  </si>
  <si>
    <t>EMP1071</t>
  </si>
  <si>
    <t>Afonso Pinto</t>
  </si>
  <si>
    <t>EMP1072</t>
  </si>
  <si>
    <t>Brian do Coelho</t>
  </si>
  <si>
    <t>EMP1073</t>
  </si>
  <si>
    <t>Mafalda-Luciana Alves</t>
  </si>
  <si>
    <t>EMP1074</t>
  </si>
  <si>
    <t>Naiara Torres</t>
  </si>
  <si>
    <t>EMP1075</t>
  </si>
  <si>
    <t>Teresa Freitas</t>
  </si>
  <si>
    <t>EMP1076</t>
  </si>
  <si>
    <t>Bernardo do Anjos</t>
  </si>
  <si>
    <t>EMP1077</t>
  </si>
  <si>
    <t>Nicole Sá</t>
  </si>
  <si>
    <t>EMP1078</t>
  </si>
  <si>
    <t>Márcio Esteves</t>
  </si>
  <si>
    <t>EMP1079</t>
  </si>
  <si>
    <t>Nair Cruz-Lourenço</t>
  </si>
  <si>
    <t>EMP1080</t>
  </si>
  <si>
    <t>Sandro Andrade</t>
  </si>
  <si>
    <t>EMP1081</t>
  </si>
  <si>
    <t>Mafalda da Barros</t>
  </si>
  <si>
    <t>EMP1082</t>
  </si>
  <si>
    <t>Constança Guerreiro</t>
  </si>
  <si>
    <t>EMP1083</t>
  </si>
  <si>
    <t>Petra Faria</t>
  </si>
  <si>
    <t>EMP1084</t>
  </si>
  <si>
    <t>João Cunha</t>
  </si>
  <si>
    <t>EMP1085</t>
  </si>
  <si>
    <t>Eduardo Lourenço</t>
  </si>
  <si>
    <t>EMP1086</t>
  </si>
  <si>
    <t>Ricardo Cunha</t>
  </si>
  <si>
    <t>EMP1087</t>
  </si>
  <si>
    <t>Emília Matias</t>
  </si>
  <si>
    <t>EMP1088</t>
  </si>
  <si>
    <t>Eduarda Costa</t>
  </si>
  <si>
    <t>EMP1089</t>
  </si>
  <si>
    <t>Sebastião Pinho</t>
  </si>
  <si>
    <t>EMP1090</t>
  </si>
  <si>
    <t>Clara Castro</t>
  </si>
  <si>
    <t>EMP1091</t>
  </si>
  <si>
    <t>Diogo Almeida</t>
  </si>
  <si>
    <t>EMP1092</t>
  </si>
  <si>
    <t>Eduarda Neto</t>
  </si>
  <si>
    <t>EMP1093</t>
  </si>
  <si>
    <t>Patrícia Cunha</t>
  </si>
  <si>
    <t>EMP1094</t>
  </si>
  <si>
    <t>Tiago do Simões</t>
  </si>
  <si>
    <t>EMP1095</t>
  </si>
  <si>
    <t>António Castro</t>
  </si>
  <si>
    <t>EMP1096</t>
  </si>
  <si>
    <t>Ariana Oliveira-Silva</t>
  </si>
  <si>
    <t>EMP1097</t>
  </si>
  <si>
    <t>Camila Machado-Sá</t>
  </si>
  <si>
    <t>EMP1098</t>
  </si>
  <si>
    <t>Nair Ramos-Matos</t>
  </si>
  <si>
    <t>EMP1099</t>
  </si>
  <si>
    <t>Filipe Sousa-Amaral</t>
  </si>
  <si>
    <t>EMP1100</t>
  </si>
  <si>
    <t>Gabriel Leite</t>
  </si>
  <si>
    <t>EMP1101</t>
  </si>
  <si>
    <t>Paulo Miranda</t>
  </si>
  <si>
    <t>EMP1102</t>
  </si>
  <si>
    <t>David Figueiredo</t>
  </si>
  <si>
    <t>EMP1103</t>
  </si>
  <si>
    <t>Sara de Neves</t>
  </si>
  <si>
    <t>EMP1104</t>
  </si>
  <si>
    <t>Irina Soares-Pinto</t>
  </si>
  <si>
    <t>EMP1105</t>
  </si>
  <si>
    <t>Flor Lopes</t>
  </si>
  <si>
    <t>EMP1106</t>
  </si>
  <si>
    <t>Letícia Leal</t>
  </si>
  <si>
    <t>EMP1107</t>
  </si>
  <si>
    <t>Xavier Pinho</t>
  </si>
  <si>
    <t>EMP1108</t>
  </si>
  <si>
    <t>Kevin Simões</t>
  </si>
  <si>
    <t>EMP1109</t>
  </si>
  <si>
    <t>Hugo Rodrigues</t>
  </si>
  <si>
    <t>EMP1110</t>
  </si>
  <si>
    <t>Lorena Azevedo</t>
  </si>
  <si>
    <t>EMP1111</t>
  </si>
  <si>
    <t>Carminho Matias</t>
  </si>
  <si>
    <t>EMP1112</t>
  </si>
  <si>
    <t>Diana Carneiro</t>
  </si>
  <si>
    <t>EMP1113</t>
  </si>
  <si>
    <t>Amélia Azevedo</t>
  </si>
  <si>
    <t>EMP1114</t>
  </si>
  <si>
    <t>Xavier Castro</t>
  </si>
  <si>
    <t>EMP1115</t>
  </si>
  <si>
    <t>Vera Matos</t>
  </si>
  <si>
    <t>EMP1116</t>
  </si>
  <si>
    <t>Mateus Almeida</t>
  </si>
  <si>
    <t>EMP1117</t>
  </si>
  <si>
    <t>Bárbara-Juliana Castro</t>
  </si>
  <si>
    <t>EMP1118</t>
  </si>
  <si>
    <t>Laura Coelho</t>
  </si>
  <si>
    <t>EMP1119</t>
  </si>
  <si>
    <t>Adriana do Anjos</t>
  </si>
  <si>
    <t>EMP1120</t>
  </si>
  <si>
    <t>Filipa Martins</t>
  </si>
  <si>
    <t>EMP1121</t>
  </si>
  <si>
    <t>Fernando Miranda</t>
  </si>
  <si>
    <t>EMP1122</t>
  </si>
  <si>
    <t>Mariana Vieira</t>
  </si>
  <si>
    <t>EMP1123</t>
  </si>
  <si>
    <t>Afonso do Vieira</t>
  </si>
  <si>
    <t>EMP1124</t>
  </si>
  <si>
    <t>Victória Vieira</t>
  </si>
  <si>
    <t>EMP1125</t>
  </si>
  <si>
    <t>Frederico do Simões</t>
  </si>
  <si>
    <t>EMP1126</t>
  </si>
  <si>
    <t>Ricardo Torres</t>
  </si>
  <si>
    <t>EMP1127</t>
  </si>
  <si>
    <t>Salvador da Rodrigues</t>
  </si>
  <si>
    <t>EMP1128</t>
  </si>
  <si>
    <t>Diana-Carlota Silva</t>
  </si>
  <si>
    <t>EMP1129</t>
  </si>
  <si>
    <t>João de Valente</t>
  </si>
  <si>
    <t>EMP1130</t>
  </si>
  <si>
    <t>João Lourenço-Matias</t>
  </si>
  <si>
    <t>EMP1131</t>
  </si>
  <si>
    <t>Brian Morais</t>
  </si>
  <si>
    <t>EMP1132</t>
  </si>
  <si>
    <t>Valentina Simões</t>
  </si>
  <si>
    <t>EMP1133</t>
  </si>
  <si>
    <t>Ariana Nascimento</t>
  </si>
  <si>
    <t>EMP1134</t>
  </si>
  <si>
    <t>Nair Mota</t>
  </si>
  <si>
    <t>EMP1135</t>
  </si>
  <si>
    <t>Gabriela Santos</t>
  </si>
  <si>
    <t>EMP1136</t>
  </si>
  <si>
    <t>Mélanie Vicente-Barbosa</t>
  </si>
  <si>
    <t>EMP1137</t>
  </si>
  <si>
    <t>Bruno Carvalho</t>
  </si>
  <si>
    <t>EMP1138</t>
  </si>
  <si>
    <t>Alícia Lourenço-Figueiredo</t>
  </si>
  <si>
    <t>EMP1139</t>
  </si>
  <si>
    <t>Guilherme Batista</t>
  </si>
  <si>
    <t>EMP1140</t>
  </si>
  <si>
    <t>Erika Anjos</t>
  </si>
  <si>
    <t>EMP1141</t>
  </si>
  <si>
    <t>Márcio Loureiro</t>
  </si>
  <si>
    <t>EMP1142</t>
  </si>
  <si>
    <t>Larissa Batista</t>
  </si>
  <si>
    <t>EMP1143</t>
  </si>
  <si>
    <t>Bianca Ramos-Pacheco</t>
  </si>
  <si>
    <t>EMP1144</t>
  </si>
  <si>
    <t>Diana Araújo</t>
  </si>
  <si>
    <t>EMP1145</t>
  </si>
  <si>
    <t>Valentina Melo-Miranda</t>
  </si>
  <si>
    <t>EMP1146</t>
  </si>
  <si>
    <t>Bryan Magalhães</t>
  </si>
  <si>
    <t>EMP1147</t>
  </si>
  <si>
    <t>Bruna Leite-Branco</t>
  </si>
  <si>
    <t>EMP1148</t>
  </si>
  <si>
    <t>Gustavo Nunes</t>
  </si>
  <si>
    <t>EMP1149</t>
  </si>
  <si>
    <t>Madalena Castro</t>
  </si>
  <si>
    <t>EMP1150</t>
  </si>
  <si>
    <t>Isabela Vicente</t>
  </si>
  <si>
    <t>EMP1151</t>
  </si>
  <si>
    <t>Caetana Ribeiro</t>
  </si>
  <si>
    <t>EMP1152</t>
  </si>
  <si>
    <t>Valentim de Soares</t>
  </si>
  <si>
    <t>EMP1153</t>
  </si>
  <si>
    <t>Débora Machado</t>
  </si>
  <si>
    <t>EMP1154</t>
  </si>
  <si>
    <t>Larissa Brito</t>
  </si>
  <si>
    <t>EMP1155</t>
  </si>
  <si>
    <t>Eduarda-Bruna Machado</t>
  </si>
  <si>
    <t>EMP1156</t>
  </si>
  <si>
    <t>Helena Nascimento</t>
  </si>
  <si>
    <t>EMP1157</t>
  </si>
  <si>
    <t>Valentim Nogueira</t>
  </si>
  <si>
    <t>EMP1158</t>
  </si>
  <si>
    <t>Vítor Silva</t>
  </si>
  <si>
    <t>EMP1159</t>
  </si>
  <si>
    <t>Carlos Matos</t>
  </si>
  <si>
    <t>EMP1160</t>
  </si>
  <si>
    <t>Luna Antunes</t>
  </si>
  <si>
    <t>EMP1161</t>
  </si>
  <si>
    <t>Luísa de Figueiredo</t>
  </si>
  <si>
    <t>EMP1162</t>
  </si>
  <si>
    <t>Ivo Marques</t>
  </si>
  <si>
    <t>EMP1163</t>
  </si>
  <si>
    <t>Beatriz Freitas</t>
  </si>
  <si>
    <t>EMP1164</t>
  </si>
  <si>
    <t>Petra Lima</t>
  </si>
  <si>
    <t>EMP1165</t>
  </si>
  <si>
    <t>Iara Esteves</t>
  </si>
  <si>
    <t>EMP1166</t>
  </si>
  <si>
    <t>Vicente do Soares</t>
  </si>
  <si>
    <t>EMP1167</t>
  </si>
  <si>
    <t>Lúcia Leal-Lourenço</t>
  </si>
  <si>
    <t>EMP1168</t>
  </si>
  <si>
    <t>Afonso Tavares</t>
  </si>
  <si>
    <t>EMP1169</t>
  </si>
  <si>
    <t>Vitória Pinho</t>
  </si>
  <si>
    <t>EMP1170</t>
  </si>
  <si>
    <t>Adriana Correia</t>
  </si>
  <si>
    <t>EMP1171</t>
  </si>
  <si>
    <t>Hugo Sá</t>
  </si>
  <si>
    <t>EMP1172</t>
  </si>
  <si>
    <t>Nair Gomes</t>
  </si>
  <si>
    <t>EMP1173</t>
  </si>
  <si>
    <t>Adriana Cruz</t>
  </si>
  <si>
    <t>EMP1174</t>
  </si>
  <si>
    <t>Isabel Gomes-Henriques</t>
  </si>
  <si>
    <t>EMP1175</t>
  </si>
  <si>
    <t>Matilde da Marques</t>
  </si>
  <si>
    <t>EMP1176</t>
  </si>
  <si>
    <t>Flor Henriques</t>
  </si>
  <si>
    <t>EMP1177</t>
  </si>
  <si>
    <t>Eduarda Pinho</t>
  </si>
  <si>
    <t>EMP1178</t>
  </si>
  <si>
    <t>Teresa Rodrigues</t>
  </si>
  <si>
    <t>EMP1179</t>
  </si>
  <si>
    <t>Emília Ferreira</t>
  </si>
  <si>
    <t>EMP1180</t>
  </si>
  <si>
    <t>Márcio da Ribeiro</t>
  </si>
  <si>
    <t>EMP1181</t>
  </si>
  <si>
    <t>Juliana Nascimento</t>
  </si>
  <si>
    <t>EMP1182</t>
  </si>
  <si>
    <t>Rita Domingues</t>
  </si>
  <si>
    <t>EMP1183</t>
  </si>
  <si>
    <t>Kelly Castro</t>
  </si>
  <si>
    <t>EMP1184</t>
  </si>
  <si>
    <t>Rafael Ribeiro</t>
  </si>
  <si>
    <t>EMP1185</t>
  </si>
  <si>
    <t>Vera da Correia</t>
  </si>
  <si>
    <t>EMP1186</t>
  </si>
  <si>
    <t>Juliana Rocha</t>
  </si>
  <si>
    <t>EMP1187</t>
  </si>
  <si>
    <t>Nicole Nogueira</t>
  </si>
  <si>
    <t>EMP1188</t>
  </si>
  <si>
    <t>Teresa Amorim</t>
  </si>
  <si>
    <t>EMP1189</t>
  </si>
  <si>
    <t>Mateus Soares</t>
  </si>
  <si>
    <t>EMP1190</t>
  </si>
  <si>
    <t>Naiara do Leal</t>
  </si>
  <si>
    <t>EMP1191</t>
  </si>
  <si>
    <t>Marcos Guerreiro</t>
  </si>
  <si>
    <t>EMP1192</t>
  </si>
  <si>
    <t>Lia Pinho</t>
  </si>
  <si>
    <t>EMP1193</t>
  </si>
  <si>
    <t>Catarina Assunção</t>
  </si>
  <si>
    <t>EMP1194</t>
  </si>
  <si>
    <t>Vasco da Brito</t>
  </si>
  <si>
    <t>EMP1195</t>
  </si>
  <si>
    <t>Madalena-Isabel Jesus</t>
  </si>
  <si>
    <t>EMP1196</t>
  </si>
  <si>
    <t>Mariana Faria</t>
  </si>
  <si>
    <t>EMP1197</t>
  </si>
  <si>
    <t>Ivo Cunha</t>
  </si>
  <si>
    <t>EMP1198</t>
  </si>
  <si>
    <t>Rui Pinto</t>
  </si>
  <si>
    <t>EMP1199</t>
  </si>
  <si>
    <t>Júlia-Yasmin Silva</t>
  </si>
  <si>
    <t>EMP1200</t>
  </si>
  <si>
    <t>Rafael Paiva</t>
  </si>
  <si>
    <t>EMP1201</t>
  </si>
  <si>
    <t>Mara Lopes</t>
  </si>
  <si>
    <t>EMP1202</t>
  </si>
  <si>
    <t>Yara Abreu</t>
  </si>
  <si>
    <t>EMP1203</t>
  </si>
  <si>
    <t>Mélanie Leal-Pires</t>
  </si>
  <si>
    <t>EMP1204</t>
  </si>
  <si>
    <t>Lisandro Paiva</t>
  </si>
  <si>
    <t>EMP1205</t>
  </si>
  <si>
    <t>Wilson Ribeiro</t>
  </si>
  <si>
    <t>EMP1206</t>
  </si>
  <si>
    <t>Rafaela do Vaz</t>
  </si>
  <si>
    <t>EMP1207</t>
  </si>
  <si>
    <t>Mara Pacheco</t>
  </si>
  <si>
    <t>EMP1208</t>
  </si>
  <si>
    <t>Fábio Marques</t>
  </si>
  <si>
    <t>EMP1209</t>
  </si>
  <si>
    <t>César do Nunes</t>
  </si>
  <si>
    <t>EMP1210</t>
  </si>
  <si>
    <t>Inês Baptista</t>
  </si>
  <si>
    <t>EMP1211</t>
  </si>
  <si>
    <t>Petra Carneiro</t>
  </si>
  <si>
    <t>EMP1212</t>
  </si>
  <si>
    <t>Kévim Branco</t>
  </si>
  <si>
    <t>EMP1213</t>
  </si>
  <si>
    <t>Jaime Jesus</t>
  </si>
  <si>
    <t>EMP1214</t>
  </si>
  <si>
    <t>Tomás Leal</t>
  </si>
  <si>
    <t>EMP1215</t>
  </si>
  <si>
    <t>Edgar Vaz</t>
  </si>
  <si>
    <t>EMP1216</t>
  </si>
  <si>
    <t>Ismael Neto-Carneiro</t>
  </si>
  <si>
    <t>EMP1217</t>
  </si>
  <si>
    <t>Francisca Ferreira</t>
  </si>
  <si>
    <t>EMP1218</t>
  </si>
  <si>
    <t>Isabela Pereira</t>
  </si>
  <si>
    <t>EMP1219</t>
  </si>
  <si>
    <t>Inês Oliveira</t>
  </si>
  <si>
    <t>EMP1220</t>
  </si>
  <si>
    <t>Lorena da Andrade</t>
  </si>
  <si>
    <t>EMP1221</t>
  </si>
  <si>
    <t>Alexandra Jesus</t>
  </si>
  <si>
    <t>EMP1222</t>
  </si>
  <si>
    <t>EMP1223</t>
  </si>
  <si>
    <t>Alice Marques</t>
  </si>
  <si>
    <t>EMP1224</t>
  </si>
  <si>
    <t>Fábio de Campos</t>
  </si>
  <si>
    <t>EMP1225</t>
  </si>
  <si>
    <t>Mário Correia</t>
  </si>
  <si>
    <t>EMP1226</t>
  </si>
  <si>
    <t>Alice Loureiro</t>
  </si>
  <si>
    <t>EMP1227</t>
  </si>
  <si>
    <t>Guilherme Barros</t>
  </si>
  <si>
    <t>EMP1228</t>
  </si>
  <si>
    <t>Bárbara-Luciana Pires</t>
  </si>
  <si>
    <t>EMP1229</t>
  </si>
  <si>
    <t>Dinis Loureiro</t>
  </si>
  <si>
    <t>EMP1230</t>
  </si>
  <si>
    <t>Henrique Correia</t>
  </si>
  <si>
    <t>EMP1231</t>
  </si>
  <si>
    <t>Iara Batista-Nogueira</t>
  </si>
  <si>
    <t>EMP1232</t>
  </si>
  <si>
    <t>Vitória Martins</t>
  </si>
  <si>
    <t>EMP1233</t>
  </si>
  <si>
    <t>Mariana-Benedita Sá</t>
  </si>
  <si>
    <t>EMP1234</t>
  </si>
  <si>
    <t>Nicole Nunes</t>
  </si>
  <si>
    <t>EMP1235</t>
  </si>
  <si>
    <t>Kelly Macedo</t>
  </si>
  <si>
    <t>EMP1236</t>
  </si>
  <si>
    <t>Erica Melo</t>
  </si>
  <si>
    <t>EMP1237</t>
  </si>
  <si>
    <t>Margarida-Nicole Gaspar</t>
  </si>
  <si>
    <t>EMP1238</t>
  </si>
  <si>
    <t>Filipa Esteves-Cunha</t>
  </si>
  <si>
    <t>EMP1239</t>
  </si>
  <si>
    <t>Alice Pereira-Pereira</t>
  </si>
  <si>
    <t>EMP1240</t>
  </si>
  <si>
    <t>César Lopes-Valente</t>
  </si>
  <si>
    <t>EMP1241</t>
  </si>
  <si>
    <t>Amélia Melo</t>
  </si>
  <si>
    <t>EMP1242</t>
  </si>
  <si>
    <t>Inês Cardoso-Marques</t>
  </si>
  <si>
    <t>EMP1243</t>
  </si>
  <si>
    <t>Lourenço Moreira</t>
  </si>
  <si>
    <t>EMP1244</t>
  </si>
  <si>
    <t>Marco Amaral</t>
  </si>
  <si>
    <t>EMP1245</t>
  </si>
  <si>
    <t>Leandro Borges</t>
  </si>
  <si>
    <t>EMP1246</t>
  </si>
  <si>
    <t>Alexandra Correia</t>
  </si>
  <si>
    <t>EMP1247</t>
  </si>
  <si>
    <t>Débora Coelho</t>
  </si>
  <si>
    <t>EMP1248</t>
  </si>
  <si>
    <t>Ângelo Esteves</t>
  </si>
  <si>
    <t>EMP1249</t>
  </si>
  <si>
    <t>Yara-Íris Moreira</t>
  </si>
  <si>
    <t>EMP1250</t>
  </si>
  <si>
    <t>William Miranda</t>
  </si>
  <si>
    <t>EMP1251</t>
  </si>
  <si>
    <t>Igor Santos</t>
  </si>
  <si>
    <t>EMP1252</t>
  </si>
  <si>
    <t>Vítor Mota</t>
  </si>
  <si>
    <t>EMP1253</t>
  </si>
  <si>
    <t>Laura do Batista</t>
  </si>
  <si>
    <t>EMP1254</t>
  </si>
  <si>
    <t>Rafaela Coelho</t>
  </si>
  <si>
    <t>EMP1255</t>
  </si>
  <si>
    <t>Rúben de Henriques</t>
  </si>
  <si>
    <t>EMP1256</t>
  </si>
  <si>
    <t>Sara Branco</t>
  </si>
  <si>
    <t>EMP1257</t>
  </si>
  <si>
    <t>Guilherme Fernandes</t>
  </si>
  <si>
    <t>EMP1258</t>
  </si>
  <si>
    <t>Jéssica Almeida</t>
  </si>
  <si>
    <t>EMP1259</t>
  </si>
  <si>
    <t>Benjamim Mota</t>
  </si>
  <si>
    <t>EMP1260</t>
  </si>
  <si>
    <t>Marta do Branco</t>
  </si>
  <si>
    <t>EMP1261</t>
  </si>
  <si>
    <t>Eva Leal</t>
  </si>
  <si>
    <t>EMP1262</t>
  </si>
  <si>
    <t>Diogo Castro</t>
  </si>
  <si>
    <t>EMP1263</t>
  </si>
  <si>
    <t>Catarina do Coelho</t>
  </si>
  <si>
    <t>EMP1264</t>
  </si>
  <si>
    <t>Camila Esteves</t>
  </si>
  <si>
    <t>EMP1265</t>
  </si>
  <si>
    <t>Ema Araújo</t>
  </si>
  <si>
    <t>EMP1266</t>
  </si>
  <si>
    <t>Renato Abreu</t>
  </si>
  <si>
    <t>EMP1267</t>
  </si>
  <si>
    <t>Benedita Antunes-Amaral</t>
  </si>
  <si>
    <t>EMP1268</t>
  </si>
  <si>
    <t>Fernando Carneiro-Correia</t>
  </si>
  <si>
    <t>EMP1269</t>
  </si>
  <si>
    <t>Salomé Guerreiro</t>
  </si>
  <si>
    <t>EMP1270</t>
  </si>
  <si>
    <t>Sara Cardoso</t>
  </si>
  <si>
    <t>EMP1271</t>
  </si>
  <si>
    <t>Soraia Lourenço</t>
  </si>
  <si>
    <t>EMP1272</t>
  </si>
  <si>
    <t>Débora Barbosa</t>
  </si>
  <si>
    <t>EMP1273</t>
  </si>
  <si>
    <t>João Antunes</t>
  </si>
  <si>
    <t>EMP1274</t>
  </si>
  <si>
    <t>Sara Vieira</t>
  </si>
  <si>
    <t>EMP1275</t>
  </si>
  <si>
    <t>Artur Nascimento</t>
  </si>
  <si>
    <t>EMP1276</t>
  </si>
  <si>
    <t>Eduardo Branco</t>
  </si>
  <si>
    <t>EMP1277</t>
  </si>
  <si>
    <t>Mateus Nunes</t>
  </si>
  <si>
    <t>EMP1278</t>
  </si>
  <si>
    <t>Núria Soares-Sá</t>
  </si>
  <si>
    <t>EMP1279</t>
  </si>
  <si>
    <t>Rúben Lopes</t>
  </si>
  <si>
    <t>EMP1280</t>
  </si>
  <si>
    <t>Violeta Pereira</t>
  </si>
  <si>
    <t>EMP1281</t>
  </si>
  <si>
    <t>Jéssica Martins</t>
  </si>
  <si>
    <t>EMP1282</t>
  </si>
  <si>
    <t>Melissa Antunes</t>
  </si>
  <si>
    <t>EMP1283</t>
  </si>
  <si>
    <t>Cristiano Mota</t>
  </si>
  <si>
    <t>EMP1284</t>
  </si>
  <si>
    <t>Salomé Campos</t>
  </si>
  <si>
    <t>EMP1285</t>
  </si>
  <si>
    <t>Melissa Costa</t>
  </si>
  <si>
    <t>EMP1286</t>
  </si>
  <si>
    <t>Fabiana-Núria Ramos</t>
  </si>
  <si>
    <t>EMP1287</t>
  </si>
  <si>
    <t>Rui Loureiro</t>
  </si>
  <si>
    <t>EMP1288</t>
  </si>
  <si>
    <t>Tomás Guerreiro</t>
  </si>
  <si>
    <t>EMP1289</t>
  </si>
  <si>
    <t>Álvaro Tavares</t>
  </si>
  <si>
    <t>EMP1290</t>
  </si>
  <si>
    <t>Luna Cardoso</t>
  </si>
  <si>
    <t>EMP1291</t>
  </si>
  <si>
    <t>Jéssica de Moura</t>
  </si>
  <si>
    <t>EMP1292</t>
  </si>
  <si>
    <t>Larissa Mota-Garcia</t>
  </si>
  <si>
    <t>EMP1293</t>
  </si>
  <si>
    <t>Beatriz Sá</t>
  </si>
  <si>
    <t>EMP1294</t>
  </si>
  <si>
    <t>Naiara Almeida-Simões</t>
  </si>
  <si>
    <t>EMP1295</t>
  </si>
  <si>
    <t>Mia Paiva-Mota</t>
  </si>
  <si>
    <t>EMP1296</t>
  </si>
  <si>
    <t>Bruna Oliveira</t>
  </si>
  <si>
    <t>EMP1297</t>
  </si>
  <si>
    <t>Nelson Ramos</t>
  </si>
  <si>
    <t>EMP1298</t>
  </si>
  <si>
    <t>António Vieira-Morais</t>
  </si>
  <si>
    <t>EMP1299</t>
  </si>
  <si>
    <t>Ivan Castro</t>
  </si>
  <si>
    <t>Data</t>
  </si>
  <si>
    <t>Hora Entrada</t>
  </si>
  <si>
    <t>Hora Saída</t>
  </si>
  <si>
    <t>Horas Extras</t>
  </si>
  <si>
    <t>Estado</t>
  </si>
  <si>
    <t>Jéssica Morais</t>
  </si>
  <si>
    <t>07:30</t>
  </si>
  <si>
    <t>18:00</t>
  </si>
  <si>
    <t>Falta</t>
  </si>
  <si>
    <t>Mara Vicente</t>
  </si>
  <si>
    <t>Férias</t>
  </si>
  <si>
    <t>Maria Vicente</t>
  </si>
  <si>
    <t>08:15</t>
  </si>
  <si>
    <t>17:00</t>
  </si>
  <si>
    <t>Presente</t>
  </si>
  <si>
    <t>Carlota Amaral</t>
  </si>
  <si>
    <t>16:30</t>
  </si>
  <si>
    <t>Vera Simões</t>
  </si>
  <si>
    <t>Gustavo Costa</t>
  </si>
  <si>
    <t>08:00</t>
  </si>
  <si>
    <t>Joaquim Nascimento-Silva</t>
  </si>
  <si>
    <t>Fábio Melo</t>
  </si>
  <si>
    <t>Ivan Pinheiro</t>
  </si>
  <si>
    <t>Emma Pires</t>
  </si>
  <si>
    <t>Inês Soares</t>
  </si>
  <si>
    <t>Marcos Gonçalves</t>
  </si>
  <si>
    <t>Clara da Batista</t>
  </si>
  <si>
    <t>Cláudio Cunha</t>
  </si>
  <si>
    <t>Ivo Fonseca-Paiva</t>
  </si>
  <si>
    <t>Artur Gonçalves</t>
  </si>
  <si>
    <t>Dinis Oliveira</t>
  </si>
  <si>
    <t>Tiago Leal</t>
  </si>
  <si>
    <t>Paulo Matos</t>
  </si>
  <si>
    <t>Afonso Vaz</t>
  </si>
  <si>
    <t>Júlia Gaspar</t>
  </si>
  <si>
    <t>Mia-Constança Abreu</t>
  </si>
  <si>
    <t>Benjamim Carneiro</t>
  </si>
  <si>
    <t>Justificado</t>
  </si>
  <si>
    <t>Daniel Monteiro</t>
  </si>
  <si>
    <t>Dinis Ramos</t>
  </si>
  <si>
    <t>Helena da Pires</t>
  </si>
  <si>
    <t>Isaac Vaz-Gaspar</t>
  </si>
  <si>
    <t>Vitória Rocha-Paiva</t>
  </si>
  <si>
    <t>Martim Leite</t>
  </si>
  <si>
    <t>Santiago Almeida</t>
  </si>
  <si>
    <t>Leandro de Campos</t>
  </si>
  <si>
    <t>Valentim Fernandes</t>
  </si>
  <si>
    <t>Adriana Lourenço</t>
  </si>
  <si>
    <t>Sebastião Garcia</t>
  </si>
  <si>
    <t>David Moura-Amaral</t>
  </si>
  <si>
    <t>Érica do Assunção</t>
  </si>
  <si>
    <t>Lorena Machado</t>
  </si>
  <si>
    <t>Inês Campos</t>
  </si>
  <si>
    <t>Denis Gonçalves</t>
  </si>
  <si>
    <t>Hugo Marques</t>
  </si>
  <si>
    <t>Salomé Soares</t>
  </si>
  <si>
    <t>Bryan Matos</t>
  </si>
  <si>
    <t>Mariana Morais</t>
  </si>
  <si>
    <t>Emília Miranda</t>
  </si>
  <si>
    <t>Brian Silva</t>
  </si>
  <si>
    <t>Frederico Marques</t>
  </si>
  <si>
    <t>Francisco Almeida-Vaz</t>
  </si>
  <si>
    <t>Rita da Pinto</t>
  </si>
  <si>
    <t>Violeta de Neto</t>
  </si>
  <si>
    <t>Francisco da Teixeira</t>
  </si>
  <si>
    <t>Isabel Costa-Mendes</t>
  </si>
  <si>
    <t>António Lourenço</t>
  </si>
  <si>
    <t>José Melo</t>
  </si>
  <si>
    <t>Débora Lima</t>
  </si>
  <si>
    <t>Mário Maia</t>
  </si>
  <si>
    <t>Luca Machado</t>
  </si>
  <si>
    <t>Núria Henriques</t>
  </si>
  <si>
    <t>Emanuel Lopes</t>
  </si>
  <si>
    <t>Sérgio Leal</t>
  </si>
  <si>
    <t>Sara Magalhães</t>
  </si>
  <si>
    <t>Rita Brito</t>
  </si>
  <si>
    <t>Victória Guerreiro-Gonçalves</t>
  </si>
  <si>
    <t>Maria-Rita Pires</t>
  </si>
  <si>
    <t>Vitória da Nascimento</t>
  </si>
  <si>
    <t>Rui Ribeiro</t>
  </si>
  <si>
    <t>Nádia Lopes</t>
  </si>
  <si>
    <t>Fabiana de Leal</t>
  </si>
  <si>
    <t>Tiago Jesus</t>
  </si>
  <si>
    <t>Salvador Coelho</t>
  </si>
  <si>
    <t>Matias Pacheco</t>
  </si>
  <si>
    <t>Victória do Paiva</t>
  </si>
  <si>
    <t>Wilson Amorim</t>
  </si>
  <si>
    <t>Alexandra Fernandes</t>
  </si>
  <si>
    <t>Íris Lourenço</t>
  </si>
  <si>
    <t>Isabel Silva</t>
  </si>
  <si>
    <t>Ismael Gaspar</t>
  </si>
  <si>
    <t>Naiara Oliveira-Campos</t>
  </si>
  <si>
    <t>Diego Neves</t>
  </si>
  <si>
    <t>Ivo Loureiro</t>
  </si>
  <si>
    <t>Raquel Leal</t>
  </si>
  <si>
    <t>Noa Henriques</t>
  </si>
  <si>
    <t>Fernando Rocha</t>
  </si>
  <si>
    <t>Flor Ferreira-Neto</t>
  </si>
  <si>
    <t>Carminho Martins</t>
  </si>
  <si>
    <t>Xavier Costa</t>
  </si>
  <si>
    <t>Carminho Gomes-Correia</t>
  </si>
  <si>
    <t>Guilherme Carneiro</t>
  </si>
  <si>
    <t>Rita Nogueira</t>
  </si>
  <si>
    <t>Anita Nunes</t>
  </si>
  <si>
    <t>Petra Leal</t>
  </si>
  <si>
    <t>Benedita-Renata Fonseca</t>
  </si>
  <si>
    <t>Rúben Amorim</t>
  </si>
  <si>
    <t>Isabela Correia</t>
  </si>
  <si>
    <t>Vera Cardoso</t>
  </si>
  <si>
    <t>Tiago Alves</t>
  </si>
  <si>
    <t>Mauro Nogueira</t>
  </si>
  <si>
    <t>Carolina Sousa</t>
  </si>
  <si>
    <t>Adriana Nascimento</t>
  </si>
  <si>
    <t>Luciana Borges</t>
  </si>
  <si>
    <t>Jéssica Vicente</t>
  </si>
  <si>
    <t>Adriana Morais</t>
  </si>
  <si>
    <t>Violeta de Gonçalves</t>
  </si>
  <si>
    <t>Débora Moreira</t>
  </si>
  <si>
    <t>Hugo Pinho</t>
  </si>
  <si>
    <t>Kyara Carvalho</t>
  </si>
  <si>
    <t>Iara Guerreiro</t>
  </si>
  <si>
    <t>Francisca Mendes-Faria</t>
  </si>
  <si>
    <t>Rui de Matos</t>
  </si>
  <si>
    <t>Salvador Costa</t>
  </si>
  <si>
    <t>Ângela Jesus</t>
  </si>
  <si>
    <t>Vasco do Amaral</t>
  </si>
  <si>
    <t>André Magalhães</t>
  </si>
  <si>
    <t>Yara Sá</t>
  </si>
  <si>
    <t>Camila Simões</t>
  </si>
  <si>
    <t>Joana Ferreira</t>
  </si>
  <si>
    <t>Isabel Lourenço</t>
  </si>
  <si>
    <t>Emanuel Machado</t>
  </si>
  <si>
    <t>Luís Jesus</t>
  </si>
  <si>
    <t>Júlia Coelho</t>
  </si>
  <si>
    <t>Teresa Pereira</t>
  </si>
  <si>
    <t>William Henriques-Branco</t>
  </si>
  <si>
    <t>Edgar Santos</t>
  </si>
  <si>
    <t>Igor Domingues</t>
  </si>
  <si>
    <t>Clara Marques-Pires</t>
  </si>
  <si>
    <t>Joaquim Ramos</t>
  </si>
  <si>
    <t>Isaac Torres</t>
  </si>
  <si>
    <t>Soraia-Francisca Barros</t>
  </si>
  <si>
    <t>Adriana Garcia</t>
  </si>
  <si>
    <t>Bernardo Valente</t>
  </si>
  <si>
    <t>Lia Jesus</t>
  </si>
  <si>
    <t>Valentim Campos-Loureiro</t>
  </si>
  <si>
    <t>Paulo Moura</t>
  </si>
  <si>
    <t>Vasco Coelho</t>
  </si>
  <si>
    <t>Nair Soares</t>
  </si>
  <si>
    <t>Yara Pacheco</t>
  </si>
  <si>
    <t>Cláudio Branco</t>
  </si>
  <si>
    <t>Júlia Simões</t>
  </si>
  <si>
    <t>Xavier Moura</t>
  </si>
  <si>
    <t>Melissa Ferreira</t>
  </si>
  <si>
    <t>Diego Tavares</t>
  </si>
  <si>
    <t>Kyara Miranda</t>
  </si>
  <si>
    <t>Marcos de Carneiro</t>
  </si>
  <si>
    <t>Anita Valente</t>
  </si>
  <si>
    <t>Jorge Pereira</t>
  </si>
  <si>
    <t>Matias Guerreiro</t>
  </si>
  <si>
    <t>Bruno Alves</t>
  </si>
  <si>
    <t>Filipa-Bruna Leal</t>
  </si>
  <si>
    <t>Ricardo Teixeira</t>
  </si>
  <si>
    <t>Tiago Lima</t>
  </si>
  <si>
    <t>Emma Leal-Costa</t>
  </si>
  <si>
    <t>Sara Barbosa</t>
  </si>
  <si>
    <t>Ana Cunha</t>
  </si>
  <si>
    <t>Isaac Mota</t>
  </si>
  <si>
    <t>Naiara Faria</t>
  </si>
  <si>
    <t>Núria Campos</t>
  </si>
  <si>
    <t>Bianca Antunes</t>
  </si>
  <si>
    <t>Beatriz Marques-Esteves</t>
  </si>
  <si>
    <t>Leandro Cunha</t>
  </si>
  <si>
    <t>António Araújo</t>
  </si>
  <si>
    <t>Joana-Margarida Ramos</t>
  </si>
  <si>
    <t>Samuel Gaspar</t>
  </si>
  <si>
    <t>Vasco Sousa-Lima</t>
  </si>
  <si>
    <t>Joaquim Borges</t>
  </si>
  <si>
    <t>Erika Nascimento</t>
  </si>
  <si>
    <t>José Neves</t>
  </si>
  <si>
    <t>Érica de Leal</t>
  </si>
  <si>
    <t>Afonso Esteves</t>
  </si>
  <si>
    <t>Noah Reis</t>
  </si>
  <si>
    <t>Miguel Gomes-Mota</t>
  </si>
  <si>
    <t>Salvador Borges</t>
  </si>
  <si>
    <t>Leandro Azevedo</t>
  </si>
  <si>
    <t>Kevin Silva-Silva</t>
  </si>
  <si>
    <t>Erika Cardoso</t>
  </si>
  <si>
    <t>Victória-Letícia Fonseca</t>
  </si>
  <si>
    <t>Lúcia Amorim</t>
  </si>
  <si>
    <t>Daniela Silva</t>
  </si>
  <si>
    <t>Gabriel Coelho</t>
  </si>
  <si>
    <t>Diego da Pinho</t>
  </si>
  <si>
    <t>Jéssica Rocha</t>
  </si>
  <si>
    <t>Simão Esteves-Melo</t>
  </si>
  <si>
    <t>Helena de Abreu</t>
  </si>
  <si>
    <t>Amélia Sousa</t>
  </si>
  <si>
    <t>Kelly de Ferreira</t>
  </si>
  <si>
    <t>Erika-Nádia Gaspar</t>
  </si>
  <si>
    <t>David Antunes</t>
  </si>
  <si>
    <t>Camila Gaspar</t>
  </si>
  <si>
    <t>Marcos de Vieira</t>
  </si>
  <si>
    <t>André Valente</t>
  </si>
  <si>
    <t>Alexandre Rocha-Gonçalves</t>
  </si>
  <si>
    <t>Mara-Gabriela Moura</t>
  </si>
  <si>
    <t>Fabiana Rocha</t>
  </si>
  <si>
    <t>Leonardo do Pacheco</t>
  </si>
  <si>
    <t>Martim do Freitas</t>
  </si>
  <si>
    <t>Anita Gonçalves</t>
  </si>
  <si>
    <t>Sebastião Lourenço</t>
  </si>
  <si>
    <t>Emanuel Miranda</t>
  </si>
  <si>
    <t>André Monteiro</t>
  </si>
  <si>
    <t>Adriana Brito</t>
  </si>
  <si>
    <t>Eva Barbosa</t>
  </si>
  <si>
    <t>Isaac Faria-Ribeiro</t>
  </si>
  <si>
    <t>Álvaro Correia</t>
  </si>
  <si>
    <t>Wilson Pires</t>
  </si>
  <si>
    <t>Gabriela Faria</t>
  </si>
  <si>
    <t>Jorge de Campos</t>
  </si>
  <si>
    <t>Lourenço Guerreiro</t>
  </si>
  <si>
    <t>Mara Neves</t>
  </si>
  <si>
    <t>Sandro Moreira</t>
  </si>
  <si>
    <t>Sandro Fernandes-Amorim</t>
  </si>
  <si>
    <t>Francisco Domingues</t>
  </si>
  <si>
    <t>Eva-Bárbara Ferreira</t>
  </si>
  <si>
    <t>Madalena Ferreira</t>
  </si>
  <si>
    <t>Miriam-Clara Miranda</t>
  </si>
  <si>
    <t>Yasmin Nunes</t>
  </si>
  <si>
    <t>Fábio Carvalho</t>
  </si>
  <si>
    <t>Samuel Garcia</t>
  </si>
  <si>
    <t>Lucas Torres-Carneiro</t>
  </si>
  <si>
    <t>Eva Lopes</t>
  </si>
  <si>
    <t>João Macedo</t>
  </si>
  <si>
    <t>Marta Pires</t>
  </si>
  <si>
    <t>Violeta Almeida-Pires</t>
  </si>
  <si>
    <t>Bruna Macedo</t>
  </si>
  <si>
    <t>Bárbara Reis</t>
  </si>
  <si>
    <t>Henrique Andrade</t>
  </si>
  <si>
    <t>Daniela Coelho-Pinto</t>
  </si>
  <si>
    <t>Frederico Maia-Fernandes</t>
  </si>
  <si>
    <t>Matias de Matias</t>
  </si>
  <si>
    <t>Joaquim Barbosa</t>
  </si>
  <si>
    <t>André Carneiro-Borges</t>
  </si>
  <si>
    <t>Gil Coelho</t>
  </si>
  <si>
    <t>Kyara Marques</t>
  </si>
  <si>
    <t>Kévim Monteiro</t>
  </si>
  <si>
    <t>Érica Branco</t>
  </si>
  <si>
    <t>Salomé Amaral</t>
  </si>
  <si>
    <t>Filipa Vaz</t>
  </si>
  <si>
    <t>Cristiano Andrade-Pinto</t>
  </si>
  <si>
    <t>Ângela Vieira-Martins</t>
  </si>
  <si>
    <t>Alice de Leal</t>
  </si>
  <si>
    <t>Ana Gaspar</t>
  </si>
  <si>
    <t>Constança da Tavares</t>
  </si>
  <si>
    <t>Helena do Santos</t>
  </si>
  <si>
    <t>Ana Mendes</t>
  </si>
  <si>
    <t>Vítor Ribeiro</t>
  </si>
  <si>
    <t>Constança de Pinto</t>
  </si>
  <si>
    <t>Tomás Cunha</t>
  </si>
  <si>
    <t>Álvaro Jesus</t>
  </si>
  <si>
    <t>Constança Torres</t>
  </si>
  <si>
    <t>Lucas Leite</t>
  </si>
  <si>
    <t>Renato de Cunha</t>
  </si>
  <si>
    <t>Margarida Branco</t>
  </si>
  <si>
    <t>Beatriz Anjos</t>
  </si>
  <si>
    <t>Marcos Barbosa</t>
  </si>
  <si>
    <t>Leonor Figueiredo</t>
  </si>
  <si>
    <t>Kévim Ferreira-Paiva</t>
  </si>
  <si>
    <t>Tatiana Costa</t>
  </si>
  <si>
    <t>Melissa Cruz</t>
  </si>
  <si>
    <t>Nelson Esteves</t>
  </si>
  <si>
    <t>Manuel de Cardoso</t>
  </si>
  <si>
    <t>Teresa da Cardoso</t>
  </si>
  <si>
    <t>Márcio Campos</t>
  </si>
  <si>
    <t>Vera Barbosa</t>
  </si>
  <si>
    <t>Luís Machado</t>
  </si>
  <si>
    <t>Soraia Moreira</t>
  </si>
  <si>
    <t>Matias de Henriques</t>
  </si>
  <si>
    <t>Teresa Morais</t>
  </si>
  <si>
    <t>Nelson Moreira</t>
  </si>
  <si>
    <t>Vitória Vaz</t>
  </si>
  <si>
    <t>Edgar Moura</t>
  </si>
  <si>
    <t>Filipa do Soares</t>
  </si>
  <si>
    <t>Brian Vicente</t>
  </si>
  <si>
    <t>Álvaro Araújo</t>
  </si>
  <si>
    <t>Madalena Nascimento</t>
  </si>
  <si>
    <t>Amélia Pinto</t>
  </si>
  <si>
    <t>Gustavo Sá-Esteves</t>
  </si>
  <si>
    <t>Noah Faria</t>
  </si>
  <si>
    <t>César de Torres</t>
  </si>
  <si>
    <t>Isabela Torres</t>
  </si>
  <si>
    <t>Simão Carneiro</t>
  </si>
  <si>
    <t>William Castro</t>
  </si>
  <si>
    <t>Érica Borges</t>
  </si>
  <si>
    <t>André Maia-Martins</t>
  </si>
  <si>
    <t>Carminho Gonçalves</t>
  </si>
  <si>
    <t>Luna Faria-Cruz</t>
  </si>
  <si>
    <t>Nelson da Pereira</t>
  </si>
  <si>
    <t>Kyara Matos</t>
  </si>
  <si>
    <t>Jorge Monteiro</t>
  </si>
  <si>
    <t>Eduarda-Mariana Ramos</t>
  </si>
  <si>
    <t>Salomé Anjos-Almeida</t>
  </si>
  <si>
    <t>Rita Vicente-Pacheco</t>
  </si>
  <si>
    <t>Sofia Matias</t>
  </si>
  <si>
    <t>César Abreu</t>
  </si>
  <si>
    <t>Inês-Sara Castro</t>
  </si>
  <si>
    <t>Mauro Pires-Marques</t>
  </si>
  <si>
    <t>Fernando Costa</t>
  </si>
  <si>
    <t>Gustavo Antunes</t>
  </si>
  <si>
    <t>Luís do Gomes</t>
  </si>
  <si>
    <t>Leandro Oliveira-Lourenço</t>
  </si>
  <si>
    <t>António da Henriques</t>
  </si>
  <si>
    <t>Luca Abreu</t>
  </si>
  <si>
    <t>Iara Reis</t>
  </si>
  <si>
    <t>Género</t>
  </si>
  <si>
    <t>Idade</t>
  </si>
  <si>
    <t>Data Admissão</t>
  </si>
  <si>
    <t>Estado Civil</t>
  </si>
  <si>
    <t>Telefone</t>
  </si>
  <si>
    <t>Email</t>
  </si>
  <si>
    <t>Isaac Pacheco</t>
  </si>
  <si>
    <t>Masculino</t>
  </si>
  <si>
    <t>Solteiro</t>
  </si>
  <si>
    <t>+351208245004</t>
  </si>
  <si>
    <t>magalhaesdaniela@pinheiro.pt</t>
  </si>
  <si>
    <t>Fábio Ramos</t>
  </si>
  <si>
    <t>Casado</t>
  </si>
  <si>
    <t>(351) 935244419</t>
  </si>
  <si>
    <t>samuel87@morais.com</t>
  </si>
  <si>
    <t>Catarina Barbosa</t>
  </si>
  <si>
    <t>Feminino</t>
  </si>
  <si>
    <t>(351) 912564039</t>
  </si>
  <si>
    <t>soareslourenco@sapo.pt</t>
  </si>
  <si>
    <t>Bianca Faria</t>
  </si>
  <si>
    <t>(351) 966290163</t>
  </si>
  <si>
    <t>maiaandre@clix.pt</t>
  </si>
  <si>
    <t>Íris Pinto</t>
  </si>
  <si>
    <t>259 820 247</t>
  </si>
  <si>
    <t>victoria43@hotmail.com</t>
  </si>
  <si>
    <t>968 454 918</t>
  </si>
  <si>
    <t>simoeshugo@gmail.com</t>
  </si>
  <si>
    <t>Nair Moura</t>
  </si>
  <si>
    <t>(351) 923381010</t>
  </si>
  <si>
    <t>kvicente@simoes.com</t>
  </si>
  <si>
    <t>Lucas Jesus</t>
  </si>
  <si>
    <t>(351) 925384726</t>
  </si>
  <si>
    <t>julianacorreia@hotmail.com</t>
  </si>
  <si>
    <t>Inês-Naiara Melo</t>
  </si>
  <si>
    <t>+351966057346</t>
  </si>
  <si>
    <t>biancalima@clix.pt</t>
  </si>
  <si>
    <t>Mia Miranda</t>
  </si>
  <si>
    <t>+351938098189</t>
  </si>
  <si>
    <t>rafael03@teixeira.com</t>
  </si>
  <si>
    <t>Ângela Marques-Neto</t>
  </si>
  <si>
    <t>932 644 911</t>
  </si>
  <si>
    <t>ubatista@hotmail.com</t>
  </si>
  <si>
    <t>Bryan Brito</t>
  </si>
  <si>
    <t>+351931478518</t>
  </si>
  <si>
    <t>pinheirodinis@gmail.com</t>
  </si>
  <si>
    <t>Joana Pinto</t>
  </si>
  <si>
    <t>206 299 765</t>
  </si>
  <si>
    <t>torressimao@clix.pt</t>
  </si>
  <si>
    <t>Gonçalo Anjos</t>
  </si>
  <si>
    <t>923124729</t>
  </si>
  <si>
    <t>xaviernunes@gomes.com</t>
  </si>
  <si>
    <t>William Campos-Azevedo</t>
  </si>
  <si>
    <t>937 906 052</t>
  </si>
  <si>
    <t>cruzangela@costa.pt</t>
  </si>
  <si>
    <t>Brian Soares</t>
  </si>
  <si>
    <t>917 776 963</t>
  </si>
  <si>
    <t>mleal@hotmail.com</t>
  </si>
  <si>
    <t>Benjamim Alves</t>
  </si>
  <si>
    <t>926531914</t>
  </si>
  <si>
    <t>jesusiara@hotmail.com</t>
  </si>
  <si>
    <t>Rui Melo</t>
  </si>
  <si>
    <t>938 084 595</t>
  </si>
  <si>
    <t>castrowilson@macedo.com</t>
  </si>
  <si>
    <t>Bernardo Moreira</t>
  </si>
  <si>
    <t>(351) 912346951</t>
  </si>
  <si>
    <t>salvador49@esteves.pt</t>
  </si>
  <si>
    <t>Gustavo Abreu</t>
  </si>
  <si>
    <t>936 826 663</t>
  </si>
  <si>
    <t>andremaia@antunes.org</t>
  </si>
  <si>
    <t>Igor Carneiro-Assunção</t>
  </si>
  <si>
    <t>(351) 969 089 876</t>
  </si>
  <si>
    <t>paulofigueiredo@hotmail.com</t>
  </si>
  <si>
    <t>Mário Nunes</t>
  </si>
  <si>
    <t>(351) 245 900 202</t>
  </si>
  <si>
    <t>qalves@freitas.net</t>
  </si>
  <si>
    <t>Emanuel Cunha-Mendes</t>
  </si>
  <si>
    <t>+351924167411</t>
  </si>
  <si>
    <t>igor77@coelho.org</t>
  </si>
  <si>
    <t>Ricardo Gomes</t>
  </si>
  <si>
    <t>965 379 101</t>
  </si>
  <si>
    <t>andradedaniel@torres.pt</t>
  </si>
  <si>
    <t>Jorge de Nogueira</t>
  </si>
  <si>
    <t>(351) 915 602 355</t>
  </si>
  <si>
    <t>luanaanjos@ramos.pt</t>
  </si>
  <si>
    <t>Bárbara-Rita Sá</t>
  </si>
  <si>
    <t>(351) 910896207</t>
  </si>
  <si>
    <t>nlima@clix.pt</t>
  </si>
  <si>
    <t>Bruna Carneiro</t>
  </si>
  <si>
    <t>+351936338219</t>
  </si>
  <si>
    <t>paulo46@hotmail.com</t>
  </si>
  <si>
    <t>Benjamim Castro</t>
  </si>
  <si>
    <t>918690666</t>
  </si>
  <si>
    <t>barbosahugo@figueiredo.com</t>
  </si>
  <si>
    <t>Ângela Mendes</t>
  </si>
  <si>
    <t>(351) 922 508 645</t>
  </si>
  <si>
    <t>guerreiromauro@rodrigues.pt</t>
  </si>
  <si>
    <t>Íris-Margarida Lourenço</t>
  </si>
  <si>
    <t>(351) 924830724</t>
  </si>
  <si>
    <t>tcastro@sapo.pt</t>
  </si>
  <si>
    <t>Luana Pacheco</t>
  </si>
  <si>
    <t>911114576</t>
  </si>
  <si>
    <t>dfonseca@sapo.pt</t>
  </si>
  <si>
    <t>Matias Leal</t>
  </si>
  <si>
    <t>(351) 933 424 322</t>
  </si>
  <si>
    <t>margarida18@sapo.pt</t>
  </si>
  <si>
    <t>Lorena Jesus-Azevedo</t>
  </si>
  <si>
    <t>934 291 017</t>
  </si>
  <si>
    <t>assuncaoluisa@clix.pt</t>
  </si>
  <si>
    <t>Kévim Rocha</t>
  </si>
  <si>
    <t>(351) 927 934 731</t>
  </si>
  <si>
    <t>freitasedgar@gmail.com</t>
  </si>
  <si>
    <t>António Fonseca</t>
  </si>
  <si>
    <t>(351) 939725818</t>
  </si>
  <si>
    <t>gustavocarvalho@ramos.pt</t>
  </si>
  <si>
    <t>Amélia-Petra Freitas</t>
  </si>
  <si>
    <t>(351) 916 982 434</t>
  </si>
  <si>
    <t>leonor89@pereira.pt</t>
  </si>
  <si>
    <t>Yasmin Barros</t>
  </si>
  <si>
    <t>919277656</t>
  </si>
  <si>
    <t>gilmachado@branco.org</t>
  </si>
  <si>
    <t>Filipe Figueiredo</t>
  </si>
  <si>
    <t>922 885 932</t>
  </si>
  <si>
    <t>petra01@gmail.com</t>
  </si>
  <si>
    <t>Carolina Freitas</t>
  </si>
  <si>
    <t>924 704 977</t>
  </si>
  <si>
    <t>baptistasoraia@ferreira.org</t>
  </si>
  <si>
    <t>Martim Silva-Antunes</t>
  </si>
  <si>
    <t>(351) 924133017</t>
  </si>
  <si>
    <t>ramosangelo@guerreiro.org</t>
  </si>
  <si>
    <t>Wilson Ramos</t>
  </si>
  <si>
    <t>(351) 919 707 707</t>
  </si>
  <si>
    <t>isaac03@gmail.com</t>
  </si>
  <si>
    <t>Letícia Nascimento</t>
  </si>
  <si>
    <t>921 275 077</t>
  </si>
  <si>
    <t>joel16@reis.com</t>
  </si>
  <si>
    <t>Luana Figueiredo</t>
  </si>
  <si>
    <t>+351969241200</t>
  </si>
  <si>
    <t>tavareslucia@cunha.pt</t>
  </si>
  <si>
    <t>Ivan Oliveira</t>
  </si>
  <si>
    <t>+351969898034</t>
  </si>
  <si>
    <t>zcampos@ribeiro.com</t>
  </si>
  <si>
    <t>Samuel Amorim</t>
  </si>
  <si>
    <t>+351222634030</t>
  </si>
  <si>
    <t>samuel46@campos.com</t>
  </si>
  <si>
    <t>Nádia Guerreiro</t>
  </si>
  <si>
    <t>(351) 917609070</t>
  </si>
  <si>
    <t>matiasteixeira@gmail.com</t>
  </si>
  <si>
    <t>Lara Jesus</t>
  </si>
  <si>
    <t>+351935632913</t>
  </si>
  <si>
    <t>frederico69@clix.pt</t>
  </si>
  <si>
    <t>Matias Lopes</t>
  </si>
  <si>
    <t>(351) 927 824 900</t>
  </si>
  <si>
    <t>franciscacampos@fonseca.pt</t>
  </si>
  <si>
    <t>Violeta-Violeta Assunção</t>
  </si>
  <si>
    <t>(351) 927 207 126</t>
  </si>
  <si>
    <t>bleite@marques.com</t>
  </si>
  <si>
    <t>Carlos de Paiva</t>
  </si>
  <si>
    <t>(351) 266864267</t>
  </si>
  <si>
    <t>tatianapaiva@sousa.net</t>
  </si>
  <si>
    <t>Alícia de Jesus</t>
  </si>
  <si>
    <t>913989025</t>
  </si>
  <si>
    <t>denisvicente@tavares.com</t>
  </si>
  <si>
    <t>Ricardo da Garcia</t>
  </si>
  <si>
    <t>(351) 914 327 170</t>
  </si>
  <si>
    <t>luisa03@gmail.com</t>
  </si>
  <si>
    <t>Nádia Antunes</t>
  </si>
  <si>
    <t>961 857 906</t>
  </si>
  <si>
    <t>jdomingues@carvalho.net</t>
  </si>
  <si>
    <t>Sandro Barbosa</t>
  </si>
  <si>
    <t>917 435 418</t>
  </si>
  <si>
    <t>brian77@fonseca.com</t>
  </si>
  <si>
    <t>Alice Correia</t>
  </si>
  <si>
    <t>(351) 920290907</t>
  </si>
  <si>
    <t>pinheiroyara@valente.pt</t>
  </si>
  <si>
    <t>Eduardo Maia</t>
  </si>
  <si>
    <t>(351) 287233588</t>
  </si>
  <si>
    <t>eva23@hotmail.com</t>
  </si>
  <si>
    <t>Luna Amaral-Pereira</t>
  </si>
  <si>
    <t>933 260 830</t>
  </si>
  <si>
    <t>amaralgaspar@cruz.net</t>
  </si>
  <si>
    <t>Martim Reis</t>
  </si>
  <si>
    <t>(351) 932286569</t>
  </si>
  <si>
    <t>micaelbranco@sapo.pt</t>
  </si>
  <si>
    <t>Lúcia Paiva</t>
  </si>
  <si>
    <t>(351) 967723897</t>
  </si>
  <si>
    <t>mafaldapaiva@cruz.org</t>
  </si>
  <si>
    <t>Matias Vaz</t>
  </si>
  <si>
    <t>(351) 240 609 881</t>
  </si>
  <si>
    <t>nogueiraamelia@araujo.com</t>
  </si>
  <si>
    <t>Tomás Silva</t>
  </si>
  <si>
    <t>(351) 964 440 759</t>
  </si>
  <si>
    <t>rochajoel@clix.pt</t>
  </si>
  <si>
    <t>Fabiana Matias-Garcia</t>
  </si>
  <si>
    <t>922567512</t>
  </si>
  <si>
    <t>andradelorena@clix.pt</t>
  </si>
  <si>
    <t>Salomé-Alice Brito</t>
  </si>
  <si>
    <t>(351) 938126542</t>
  </si>
  <si>
    <t>leandro76@gmail.com</t>
  </si>
  <si>
    <t>Jorge Jesus</t>
  </si>
  <si>
    <t>(351) 928572435</t>
  </si>
  <si>
    <t>fonsecapedro@sapo.pt</t>
  </si>
  <si>
    <t>Joana Paiva-Batista</t>
  </si>
  <si>
    <t>926 542 306</t>
  </si>
  <si>
    <t>britoisabela@sapo.pt</t>
  </si>
  <si>
    <t>(351) 923996903</t>
  </si>
  <si>
    <t>maurocorreia@ferreira.pt</t>
  </si>
  <si>
    <t>Isaac Cardoso-Amorim</t>
  </si>
  <si>
    <t>201895816</t>
  </si>
  <si>
    <t>ribeiroisabel@clix.pt</t>
  </si>
  <si>
    <t>Vitória-Bruna Nogueira</t>
  </si>
  <si>
    <t>(351) 921893148</t>
  </si>
  <si>
    <t>gfonseca@hotmail.com</t>
  </si>
  <si>
    <t>Lourenço Vicente</t>
  </si>
  <si>
    <t>+351923070959</t>
  </si>
  <si>
    <t>costaenzo@nascimento.com</t>
  </si>
  <si>
    <t>Francisca Macedo</t>
  </si>
  <si>
    <t>+351916655203</t>
  </si>
  <si>
    <t>smiranda@clix.pt</t>
  </si>
  <si>
    <t>Ângelo Freitas</t>
  </si>
  <si>
    <t>(351) 288 679 966</t>
  </si>
  <si>
    <t>nleal@gmail.com</t>
  </si>
  <si>
    <t>Filipe Pereira</t>
  </si>
  <si>
    <t>280 036 512</t>
  </si>
  <si>
    <t>mendesalvaro@leite.pt</t>
  </si>
  <si>
    <t>Márcio de Correia</t>
  </si>
  <si>
    <t>250 535 437</t>
  </si>
  <si>
    <t>rcarvalho@figueiredo.com</t>
  </si>
  <si>
    <t>Dinis Marques</t>
  </si>
  <si>
    <t>(351) 931 790 195</t>
  </si>
  <si>
    <t>miriamramos@anjos.com</t>
  </si>
  <si>
    <t>Fábio Alves</t>
  </si>
  <si>
    <t>(351) 931223105</t>
  </si>
  <si>
    <t>eva98@clix.pt</t>
  </si>
  <si>
    <t>Mara Lima</t>
  </si>
  <si>
    <t>(351) 960662042</t>
  </si>
  <si>
    <t>nloureiro@sa.pt</t>
  </si>
  <si>
    <t>Beatriz Silva-Carvalho</t>
  </si>
  <si>
    <t>+351925634688</t>
  </si>
  <si>
    <t>wilsonalmeida@santos.pt</t>
  </si>
  <si>
    <t>Gaspar Morais-Figueiredo</t>
  </si>
  <si>
    <t>911185783</t>
  </si>
  <si>
    <t>omachado@correia.pt</t>
  </si>
  <si>
    <t>Luca Amaral</t>
  </si>
  <si>
    <t>(351) 962 665 162</t>
  </si>
  <si>
    <t>vsilva@clix.pt</t>
  </si>
  <si>
    <t>Mauro Morais</t>
  </si>
  <si>
    <t>(351) 931451174</t>
  </si>
  <si>
    <t>isaac00@fonseca.org</t>
  </si>
  <si>
    <t>Sofia Fernandes-Cunha</t>
  </si>
  <si>
    <t>+351914522531</t>
  </si>
  <si>
    <t>dlopes@vaz.pt</t>
  </si>
  <si>
    <t>Mariana-Soraia Assunção</t>
  </si>
  <si>
    <t>(351) 912950628</t>
  </si>
  <si>
    <t>wborges@neto.com</t>
  </si>
  <si>
    <t>Santiago Henriques</t>
  </si>
  <si>
    <t>+351938456790</t>
  </si>
  <si>
    <t>joel10@figueiredo.pt</t>
  </si>
  <si>
    <t>Mariana Antunes</t>
  </si>
  <si>
    <t>915555820</t>
  </si>
  <si>
    <t>zpereira@gmail.com</t>
  </si>
  <si>
    <t>Yara Figueiredo</t>
  </si>
  <si>
    <t>967 568 421</t>
  </si>
  <si>
    <t>xmoreira@vaz.com</t>
  </si>
  <si>
    <t>Fabiana Guerreiro</t>
  </si>
  <si>
    <t>(351) 925598481</t>
  </si>
  <si>
    <t>slourenco@morais.pt</t>
  </si>
  <si>
    <t>Teresa Moreira</t>
  </si>
  <si>
    <t>(351) 916 437 674</t>
  </si>
  <si>
    <t>andreneto@clix.pt</t>
  </si>
  <si>
    <t>Marcos Jesus</t>
  </si>
  <si>
    <t>271290959</t>
  </si>
  <si>
    <t>nogueirahenrique@gmail.com</t>
  </si>
  <si>
    <t>Victória Pinheiro</t>
  </si>
  <si>
    <t>(351) 911838580</t>
  </si>
  <si>
    <t>gabriela54@gmail.com</t>
  </si>
  <si>
    <t>Juliana Assunção</t>
  </si>
  <si>
    <t>910 786 151</t>
  </si>
  <si>
    <t>asa@clix.pt</t>
  </si>
  <si>
    <t>Yasmin Figueiredo</t>
  </si>
  <si>
    <t>(351) 930262684</t>
  </si>
  <si>
    <t>lealnicole@vieira.pt</t>
  </si>
  <si>
    <t>Kyara Freitas</t>
  </si>
  <si>
    <t>963899410</t>
  </si>
  <si>
    <t>santoscesar@nunes.com</t>
  </si>
  <si>
    <t>Álvaro Simões</t>
  </si>
  <si>
    <t>916696748</t>
  </si>
  <si>
    <t>cesar51@figueiredo.org</t>
  </si>
  <si>
    <t>Artur Henriques</t>
  </si>
  <si>
    <t>+351249268133</t>
  </si>
  <si>
    <t>yasminleal@hotmail.com</t>
  </si>
  <si>
    <t>Fábio Lourenço</t>
  </si>
  <si>
    <t>+351925995482</t>
  </si>
  <si>
    <t>ariana92@clix.pt</t>
  </si>
  <si>
    <t>Miriam Gonçalves</t>
  </si>
  <si>
    <t>962 983 348</t>
  </si>
  <si>
    <t>xesteves@hotmail.com</t>
  </si>
  <si>
    <t>Pilar Henriques</t>
  </si>
  <si>
    <t>+351280904045</t>
  </si>
  <si>
    <t>nurianunes@gmail.com</t>
  </si>
  <si>
    <t>Lisandro de Leite</t>
  </si>
  <si>
    <t>(351) 915 546 674</t>
  </si>
  <si>
    <t>npacheco@barros.com</t>
  </si>
  <si>
    <t>Ema Ribeiro</t>
  </si>
  <si>
    <t>(351) 938068524</t>
  </si>
  <si>
    <t>oliveirabryan@sapo.pt</t>
  </si>
  <si>
    <t>Carlota Neto</t>
  </si>
  <si>
    <t>(351) 927 444 629</t>
  </si>
  <si>
    <t>tatianabaptista@sapo.pt</t>
  </si>
  <si>
    <t>Luciana Cruz</t>
  </si>
  <si>
    <t>(351) 911458422</t>
  </si>
  <si>
    <t>hbaptista@hotmail.com</t>
  </si>
  <si>
    <t>Brian Neves-Lopes</t>
  </si>
  <si>
    <t>(351) 930088830</t>
  </si>
  <si>
    <t>ricardo13@pereira.pt</t>
  </si>
  <si>
    <t>Tiago Ferreira</t>
  </si>
  <si>
    <t>(351) 248291981</t>
  </si>
  <si>
    <t>ubarbosa@correia.com</t>
  </si>
  <si>
    <t>Alexandre Baptista</t>
  </si>
  <si>
    <t>(351) 913042901</t>
  </si>
  <si>
    <t>constancatorres@reis.net</t>
  </si>
  <si>
    <t>Brian Alves</t>
  </si>
  <si>
    <t>(351) 919 736 258</t>
  </si>
  <si>
    <t>epinho@carneiro.org</t>
  </si>
  <si>
    <t>Nuno Campos</t>
  </si>
  <si>
    <t>(351) 253546953</t>
  </si>
  <si>
    <t>gdomingues@cruz.pt</t>
  </si>
  <si>
    <t>Vitória Valente</t>
  </si>
  <si>
    <t>(351) 274 517 950</t>
  </si>
  <si>
    <t>rafaelaamorim@vaz.pt</t>
  </si>
  <si>
    <t>Tomé do Branco</t>
  </si>
  <si>
    <t>(351) 963196579</t>
  </si>
  <si>
    <t>arturaraujo@gmail.com</t>
  </si>
  <si>
    <t>Larissa Alves</t>
  </si>
  <si>
    <t>(351) 933 007 547</t>
  </si>
  <si>
    <t>goncalo09@pinheiro.pt</t>
  </si>
  <si>
    <t>Bryan Tavares</t>
  </si>
  <si>
    <t>910897234</t>
  </si>
  <si>
    <t>isaacmachado@campos.com</t>
  </si>
  <si>
    <t>Núria de Vaz</t>
  </si>
  <si>
    <t>(351) 920575490</t>
  </si>
  <si>
    <t>barbosafrancisca@gmail.com</t>
  </si>
  <si>
    <t>Clara Baptista-Melo</t>
  </si>
  <si>
    <t>912829751</t>
  </si>
  <si>
    <t>luisgoncalves@cruz.pt</t>
  </si>
  <si>
    <t>Alice Leite</t>
  </si>
  <si>
    <t>+351932483925</t>
  </si>
  <si>
    <t>martinsrodrigo@sapo.pt</t>
  </si>
  <si>
    <t>Nicole Fernandes</t>
  </si>
  <si>
    <t>960 655 205</t>
  </si>
  <si>
    <t>evamelo@moura.pt</t>
  </si>
  <si>
    <t>Wilson Araújo-Matos</t>
  </si>
  <si>
    <t>925564301</t>
  </si>
  <si>
    <t>brunacarvalho@andrade.pt</t>
  </si>
  <si>
    <t>Rúben Carvalho</t>
  </si>
  <si>
    <t>+351919712718</t>
  </si>
  <si>
    <t>brian47@gmail.com</t>
  </si>
  <si>
    <t>Mauro Esteves</t>
  </si>
  <si>
    <t>968089571</t>
  </si>
  <si>
    <t>diego50@garcia.pt</t>
  </si>
  <si>
    <t>David Carvalho-Andrade</t>
  </si>
  <si>
    <t>241898573</t>
  </si>
  <si>
    <t>nadianunes@nogueira.pt</t>
  </si>
  <si>
    <t>Rodrigo Barbosa</t>
  </si>
  <si>
    <t>(351) 270 963 519</t>
  </si>
  <si>
    <t>henrique11@hotmail.com</t>
  </si>
  <si>
    <t>Mafalda Melo</t>
  </si>
  <si>
    <t>+351925964237</t>
  </si>
  <si>
    <t>zmatias@jesus.pt</t>
  </si>
  <si>
    <t>Íris Alves</t>
  </si>
  <si>
    <t>938541606</t>
  </si>
  <si>
    <t>mariana43@gmail.com</t>
  </si>
  <si>
    <t>Ângela Vicente</t>
  </si>
  <si>
    <t>(351) 917 752 119</t>
  </si>
  <si>
    <t>sassuncao@sapo.pt</t>
  </si>
  <si>
    <t>Daniel Brito</t>
  </si>
  <si>
    <t>936 758 533</t>
  </si>
  <si>
    <t>clarafonseca@hotmail.com</t>
  </si>
  <si>
    <t>Luca Cardoso</t>
  </si>
  <si>
    <t>(351) 933326446</t>
  </si>
  <si>
    <t>breis@clix.pt</t>
  </si>
  <si>
    <t>Andreia Almeida</t>
  </si>
  <si>
    <t>960833610</t>
  </si>
  <si>
    <t>saramatos@hotmail.com</t>
  </si>
  <si>
    <t>Carlos Cunha</t>
  </si>
  <si>
    <t>925606144</t>
  </si>
  <si>
    <t>cfreitas@miranda.com</t>
  </si>
  <si>
    <t>Yara Marques</t>
  </si>
  <si>
    <t>910 335 411</t>
  </si>
  <si>
    <t>alexandre24@clix.pt</t>
  </si>
  <si>
    <t>Luca do Araújo</t>
  </si>
  <si>
    <t>(351) 211351501</t>
  </si>
  <si>
    <t>alima@sapo.pt</t>
  </si>
  <si>
    <t>Artur Mota</t>
  </si>
  <si>
    <t>(351) 924 891 590</t>
  </si>
  <si>
    <t>manuel66@figueiredo.net</t>
  </si>
  <si>
    <t>Afonso Sá</t>
  </si>
  <si>
    <t>+351244698216</t>
  </si>
  <si>
    <t>luana51@sapo.pt</t>
  </si>
  <si>
    <t>Andreia-Bárbara Freitas</t>
  </si>
  <si>
    <t>+351967313219</t>
  </si>
  <si>
    <t>franciscomonteiro@amorim.com</t>
  </si>
  <si>
    <t>Patrícia-Yasmin Vicente</t>
  </si>
  <si>
    <t>+351937115717</t>
  </si>
  <si>
    <t>britobryan@morais.com</t>
  </si>
  <si>
    <t>Mafalda Nogueira-Soares</t>
  </si>
  <si>
    <t>(351) 928411690</t>
  </si>
  <si>
    <t>tomas95@clix.pt</t>
  </si>
  <si>
    <t>Bryan Gonçalves</t>
  </si>
  <si>
    <t>(351) 928 525 245</t>
  </si>
  <si>
    <t>correiayara@pereira.pt</t>
  </si>
  <si>
    <t>Alexandre Silva</t>
  </si>
  <si>
    <t>(351) 924 174 327</t>
  </si>
  <si>
    <t>figueiredodaniela@mendes.net</t>
  </si>
  <si>
    <t>Santiago Guerreiro</t>
  </si>
  <si>
    <t>(351) 224 845 631</t>
  </si>
  <si>
    <t>valentina10@martins.pt</t>
  </si>
  <si>
    <t>Valentina Leite</t>
  </si>
  <si>
    <t>922 027 674</t>
  </si>
  <si>
    <t>bjesus@simoes.com</t>
  </si>
  <si>
    <t>Marcos Leite</t>
  </si>
  <si>
    <t>930 770 126</t>
  </si>
  <si>
    <t>pgaspar@gmail.com</t>
  </si>
  <si>
    <t>Laura-Clara Santos</t>
  </si>
  <si>
    <t>(351) 961388876</t>
  </si>
  <si>
    <t>alvesbryan@jesus.pt</t>
  </si>
  <si>
    <t>Emília Gonçalves-Cruz</t>
  </si>
  <si>
    <t>(351) 221 374 123</t>
  </si>
  <si>
    <t>bmoura@sapo.pt</t>
  </si>
  <si>
    <t>Letícia Costa</t>
  </si>
  <si>
    <t>(351) 935264702</t>
  </si>
  <si>
    <t>briancunha@sapo.pt</t>
  </si>
  <si>
    <t>Lúcia Barros</t>
  </si>
  <si>
    <t>924 054 732</t>
  </si>
  <si>
    <t>simoesvioleta@clix.pt</t>
  </si>
  <si>
    <t>+351914807153</t>
  </si>
  <si>
    <t>costarenato@hotmail.com</t>
  </si>
  <si>
    <t>Petra Campos</t>
  </si>
  <si>
    <t>(351) 222374875</t>
  </si>
  <si>
    <t>bruno28@abreu.pt</t>
  </si>
  <si>
    <t>Manuel Tavares</t>
  </si>
  <si>
    <t>212 609 957</t>
  </si>
  <si>
    <t>nbarros@cruz.org</t>
  </si>
  <si>
    <t>Sofia-Erika Barbosa</t>
  </si>
  <si>
    <t>(351) 916618232</t>
  </si>
  <si>
    <t>alvaro96@gmail.com</t>
  </si>
  <si>
    <t>Eduardo Freitas</t>
  </si>
  <si>
    <t>(351) 919 908 887</t>
  </si>
  <si>
    <t>cvalente@clix.pt</t>
  </si>
  <si>
    <t>Jéssica-Salomé Loureiro</t>
  </si>
  <si>
    <t>969 467 225</t>
  </si>
  <si>
    <t>fabiomonteiro@clix.pt</t>
  </si>
  <si>
    <t>Igor Moreira</t>
  </si>
  <si>
    <t>(351) 911222393</t>
  </si>
  <si>
    <t>nanjos@clix.pt</t>
  </si>
  <si>
    <t>Artur Cardoso</t>
  </si>
  <si>
    <t>(351) 928 654 738</t>
  </si>
  <si>
    <t>zmarques@sapo.pt</t>
  </si>
  <si>
    <t>Santiago Amaral</t>
  </si>
  <si>
    <t>967 268 767</t>
  </si>
  <si>
    <t>enzo15@sapo.pt</t>
  </si>
  <si>
    <t>Isaac Soares</t>
  </si>
  <si>
    <t>210 503 437</t>
  </si>
  <si>
    <t>constanca42@antunes.pt</t>
  </si>
  <si>
    <t>Cristiano Teixeira</t>
  </si>
  <si>
    <t>965947899</t>
  </si>
  <si>
    <t>ines60@sapo.pt</t>
  </si>
  <si>
    <t>Joaquim Maia</t>
  </si>
  <si>
    <t>+351961052332</t>
  </si>
  <si>
    <t>jessica65@sapo.pt</t>
  </si>
  <si>
    <t>Renato Assunção</t>
  </si>
  <si>
    <t>(351) 915 005 838</t>
  </si>
  <si>
    <t>samuel79@hotmail.com</t>
  </si>
  <si>
    <t>Joel Ribeiro</t>
  </si>
  <si>
    <t>964 092 803</t>
  </si>
  <si>
    <t>rui94@gomes.pt</t>
  </si>
  <si>
    <t>Inês Macedo</t>
  </si>
  <si>
    <t>+351287634638</t>
  </si>
  <si>
    <t>claudio44@lopes.pt</t>
  </si>
  <si>
    <t>Petra Castro</t>
  </si>
  <si>
    <t>(351) 926836500</t>
  </si>
  <si>
    <t>camila49@sapo.pt</t>
  </si>
  <si>
    <t>Xavier Teixeira</t>
  </si>
  <si>
    <t>(351) 919 458 847</t>
  </si>
  <si>
    <t>maria15@gmail.com</t>
  </si>
  <si>
    <t>Manuel Oliveira</t>
  </si>
  <si>
    <t>(351) 960120594</t>
  </si>
  <si>
    <t>erika61@hotmail.com</t>
  </si>
  <si>
    <t>Clara Azevedo</t>
  </si>
  <si>
    <t>(351) 919887128</t>
  </si>
  <si>
    <t>yamorim@neves.net</t>
  </si>
  <si>
    <t>924 610 832</t>
  </si>
  <si>
    <t>guerreironoa@gmail.com</t>
  </si>
  <si>
    <t>Patrícia Matos</t>
  </si>
  <si>
    <t>+351269403257</t>
  </si>
  <si>
    <t>miriam67@gmail.com</t>
  </si>
  <si>
    <t>Emília-Constança Fonseca</t>
  </si>
  <si>
    <t>+351246978853</t>
  </si>
  <si>
    <t>spires@henriques.pt</t>
  </si>
  <si>
    <t>Bárbara Fonseca</t>
  </si>
  <si>
    <t>+351934757910</t>
  </si>
  <si>
    <t>nevessantiago@fernandes.net</t>
  </si>
  <si>
    <t>Mauro do Ribeiro</t>
  </si>
  <si>
    <t>+351925612687</t>
  </si>
  <si>
    <t>pedrolima@sapo.pt</t>
  </si>
  <si>
    <t>José Valente</t>
  </si>
  <si>
    <t>(351) 911497728</t>
  </si>
  <si>
    <t>machadoedgar@rodrigues.com</t>
  </si>
  <si>
    <t>Naiara Rocha-Neto</t>
  </si>
  <si>
    <t>+351917333444</t>
  </si>
  <si>
    <t>leonardomota@reis.pt</t>
  </si>
  <si>
    <t>Salomé Araújo</t>
  </si>
  <si>
    <t>933163611</t>
  </si>
  <si>
    <t>vgomes@hotmail.com</t>
  </si>
  <si>
    <t>Wilson Neves</t>
  </si>
  <si>
    <t>(351) 965626444</t>
  </si>
  <si>
    <t>machadoema@cruz.com</t>
  </si>
  <si>
    <t>Simão Garcia</t>
  </si>
  <si>
    <t>(351) 919 190 240</t>
  </si>
  <si>
    <t>erica42@loureiro.pt</t>
  </si>
  <si>
    <t>Salvador Soares</t>
  </si>
  <si>
    <t>(351) 937 733 321</t>
  </si>
  <si>
    <t>amelia20@clix.pt</t>
  </si>
  <si>
    <t>Alice Magalhães</t>
  </si>
  <si>
    <t>(351) 911 689 336</t>
  </si>
  <si>
    <t>biancasimoes@carneiro.pt</t>
  </si>
  <si>
    <t>Kyara Tavares</t>
  </si>
  <si>
    <t>923 772 228</t>
  </si>
  <si>
    <t>rantunes@garcia.com</t>
  </si>
  <si>
    <t>Daniela Nunes</t>
  </si>
  <si>
    <t>(351) 921465763</t>
  </si>
  <si>
    <t>ariana83@leite.pt</t>
  </si>
  <si>
    <t>Matias Magalhães</t>
  </si>
  <si>
    <t>245 116 396</t>
  </si>
  <si>
    <t>ritabaptista@clix.pt</t>
  </si>
  <si>
    <t>Eduarda Jesus</t>
  </si>
  <si>
    <t>913237043</t>
  </si>
  <si>
    <t>jmoreira@hotmail.com</t>
  </si>
  <si>
    <t>Ângela Santos-Figueiredo</t>
  </si>
  <si>
    <t>(351) 962 149 510</t>
  </si>
  <si>
    <t>lorenafreitas@branco.pt</t>
  </si>
  <si>
    <t>Henrique Vicente</t>
  </si>
  <si>
    <t>930 595 409</t>
  </si>
  <si>
    <t>santunes@lourenco.pt</t>
  </si>
  <si>
    <t>Lara Gaspar</t>
  </si>
  <si>
    <t>(351) 277 732 376</t>
  </si>
  <si>
    <t>obarbosa@hotmail.com</t>
  </si>
  <si>
    <t>Matias Lima</t>
  </si>
  <si>
    <t>(351) 960031535</t>
  </si>
  <si>
    <t>claudiotorres@gmail.com</t>
  </si>
  <si>
    <t>David Pinheiro-Costa</t>
  </si>
  <si>
    <t>936 500 951</t>
  </si>
  <si>
    <t>teresasa@assuncao.net</t>
  </si>
  <si>
    <t>Frederico da Pereira</t>
  </si>
  <si>
    <t>(351) 938840100</t>
  </si>
  <si>
    <t>ymendes@antunes.com</t>
  </si>
  <si>
    <t>Carolina Matias</t>
  </si>
  <si>
    <t>299 716 155</t>
  </si>
  <si>
    <t>eduarda83@vaz.com</t>
  </si>
  <si>
    <t>Pilar de Loureiro</t>
  </si>
  <si>
    <t>(351) 932678816</t>
  </si>
  <si>
    <t>ericadomingues@clix.pt</t>
  </si>
  <si>
    <t>Lucas Antunes</t>
  </si>
  <si>
    <t>238147636</t>
  </si>
  <si>
    <t>coelhoismael@faria.com</t>
  </si>
  <si>
    <t>Alícia Matias</t>
  </si>
  <si>
    <t>(351) 923 029 684</t>
  </si>
  <si>
    <t>leandro13@gmail.com</t>
  </si>
  <si>
    <t>Débora-Francisca Leite</t>
  </si>
  <si>
    <t>202921382</t>
  </si>
  <si>
    <t>amaralkelly@alves.pt</t>
  </si>
  <si>
    <t>Salomé da Carvalho</t>
  </si>
  <si>
    <t>(351) 932540485</t>
  </si>
  <si>
    <t>kyara16@cruz.pt</t>
  </si>
  <si>
    <t>Paulo Loureiro-Batista</t>
  </si>
  <si>
    <t>(351) 935163360</t>
  </si>
  <si>
    <t>mia03@machado.pt</t>
  </si>
  <si>
    <t>Mariana Moreira</t>
  </si>
  <si>
    <t>(351) 936777403</t>
  </si>
  <si>
    <t>jferreira@nogueira.pt</t>
  </si>
  <si>
    <t>Raquel Antunes</t>
  </si>
  <si>
    <t>(351) 289 293 681</t>
  </si>
  <si>
    <t>leticiapereira@hotmail.com</t>
  </si>
  <si>
    <t>Camila Freitas</t>
  </si>
  <si>
    <t>(351) 969560143</t>
  </si>
  <si>
    <t>kanjos@machado.com</t>
  </si>
  <si>
    <t>Luna Soares</t>
  </si>
  <si>
    <t>(351) 299 404 283</t>
  </si>
  <si>
    <t>lia59@ribeiro.pt</t>
  </si>
  <si>
    <t>Irina Pires</t>
  </si>
  <si>
    <t>(351) 935223446</t>
  </si>
  <si>
    <t>henriquesbrian@gmail.com</t>
  </si>
  <si>
    <t>Marco Pinho</t>
  </si>
  <si>
    <t>936024308</t>
  </si>
  <si>
    <t>pinhocarlota@clix.pt</t>
  </si>
  <si>
    <t>Martim Lima</t>
  </si>
  <si>
    <t>(351) 913624078</t>
  </si>
  <si>
    <t>filipe51@clix.pt</t>
  </si>
  <si>
    <t>Cristiano Baptista</t>
  </si>
  <si>
    <t>253687556</t>
  </si>
  <si>
    <t>ihenriques@hotmail.com</t>
  </si>
  <si>
    <t>Mauro Reis</t>
  </si>
  <si>
    <t>966 670 271</t>
  </si>
  <si>
    <t>silvacamila@amaral.org</t>
  </si>
  <si>
    <t>Frederico Cruz</t>
  </si>
  <si>
    <t>(351) 912 007 100</t>
  </si>
  <si>
    <t>camila81@clix.pt</t>
  </si>
  <si>
    <t>Ismael Abreu-Pinho</t>
  </si>
  <si>
    <t>(351) 227 282 219</t>
  </si>
  <si>
    <t>eduarda95@batista.net</t>
  </si>
  <si>
    <t>Joana do Gonçalves</t>
  </si>
  <si>
    <t>927 863 940</t>
  </si>
  <si>
    <t>marcio26@hotmail.com</t>
  </si>
  <si>
    <t>Vítor da Amaral</t>
  </si>
  <si>
    <t>(351) 923 256 813</t>
  </si>
  <si>
    <t>testeves@oliveira.com</t>
  </si>
  <si>
    <t>Bryan Coelho-Borges</t>
  </si>
  <si>
    <t>(351) 927 417 811</t>
  </si>
  <si>
    <t>constanca09@azevedo.org</t>
  </si>
  <si>
    <t>Emma Antunes-Araújo</t>
  </si>
  <si>
    <t>+351926872459</t>
  </si>
  <si>
    <t>leandroalmeida@clix.pt</t>
  </si>
  <si>
    <t>Miguel Fonseca</t>
  </si>
  <si>
    <t>+351962002745</t>
  </si>
  <si>
    <t>rui58@vieira.pt</t>
  </si>
  <si>
    <t>Benjamim do Neto</t>
  </si>
  <si>
    <t>963 787 965</t>
  </si>
  <si>
    <t>mfigueiredo@neves.com</t>
  </si>
  <si>
    <t>Mariana Mota</t>
  </si>
  <si>
    <t>936 831 491</t>
  </si>
  <si>
    <t>fnascimento@hotmail.com</t>
  </si>
  <si>
    <t>Bruna de Santos</t>
  </si>
  <si>
    <t>935598102</t>
  </si>
  <si>
    <t>mariamorais@leal.pt</t>
  </si>
  <si>
    <t>Vasco de Pinheiro</t>
  </si>
  <si>
    <t>(351) 916 181 513</t>
  </si>
  <si>
    <t>gribeiro@nogueira.pt</t>
  </si>
  <si>
    <t>Renata Monteiro-Assunção</t>
  </si>
  <si>
    <t>920948899</t>
  </si>
  <si>
    <t>margarida11@clix.pt</t>
  </si>
  <si>
    <t>José Amorim</t>
  </si>
  <si>
    <t>(351) 255 643 880</t>
  </si>
  <si>
    <t>paulosantos@sapo.pt</t>
  </si>
  <si>
    <t>Ariana Silva</t>
  </si>
  <si>
    <t>(351) 915388911</t>
  </si>
  <si>
    <t>adrianalima@henriques.pt</t>
  </si>
  <si>
    <t>Adriana-Clara Soares</t>
  </si>
  <si>
    <t>221 257 969</t>
  </si>
  <si>
    <t>rochasimao@gmail.com</t>
  </si>
  <si>
    <t>Ivan da Mendes</t>
  </si>
  <si>
    <t>927 313 663</t>
  </si>
  <si>
    <t>umiranda@reis.com</t>
  </si>
  <si>
    <t>Jéssica Pereira-Lima</t>
  </si>
  <si>
    <t>(351) 914 304 748</t>
  </si>
  <si>
    <t>goncalvesantonio@miranda.com</t>
  </si>
  <si>
    <t>Raquel Nascimento</t>
  </si>
  <si>
    <t>934 216 945</t>
  </si>
  <si>
    <t>correiagustavo@clix.pt</t>
  </si>
  <si>
    <t>Gonçalo Pinto</t>
  </si>
  <si>
    <t>965 364 507</t>
  </si>
  <si>
    <t>salome81@clix.pt</t>
  </si>
  <si>
    <t>Igor Ramos</t>
  </si>
  <si>
    <t>+351969298191</t>
  </si>
  <si>
    <t>gabrielgoncalves@pinheiro.org</t>
  </si>
  <si>
    <t>Denis Lima</t>
  </si>
  <si>
    <t>(351) 931 330 432</t>
  </si>
  <si>
    <t>carlotaguerreiro@henriques.pt</t>
  </si>
  <si>
    <t>Luciana Santos</t>
  </si>
  <si>
    <t>938 651 427</t>
  </si>
  <si>
    <t>raquelcosta@gmail.com</t>
  </si>
  <si>
    <t>Miguel Neves</t>
  </si>
  <si>
    <t>921 505 358</t>
  </si>
  <si>
    <t>limawilliam@clix.pt</t>
  </si>
  <si>
    <t>Valentina Guerreiro</t>
  </si>
  <si>
    <t>(351) 937 558 890</t>
  </si>
  <si>
    <t>lealmaria@barbosa.com</t>
  </si>
  <si>
    <t>Daniela do Pereira</t>
  </si>
  <si>
    <t>230 614 259</t>
  </si>
  <si>
    <t>pedropereira@clix.pt</t>
  </si>
  <si>
    <t>Erica Antunes</t>
  </si>
  <si>
    <t>216355170</t>
  </si>
  <si>
    <t>marcosmacedo@vaz.net</t>
  </si>
  <si>
    <t>Núria Pereira</t>
  </si>
  <si>
    <t>(351) 960 122 101</t>
  </si>
  <si>
    <t>xavierabreu@hotmail.com</t>
  </si>
  <si>
    <t>Hugo Rocha</t>
  </si>
  <si>
    <t>(351) 914476097</t>
  </si>
  <si>
    <t>jpaiva@sapo.pt</t>
  </si>
  <si>
    <t>Lia Barros</t>
  </si>
  <si>
    <t>(351) 922 832 812</t>
  </si>
  <si>
    <t>carlosmiranda@hotmail.com</t>
  </si>
  <si>
    <t>William Cardoso</t>
  </si>
  <si>
    <t>926162063</t>
  </si>
  <si>
    <t>carolina85@freitas.pt</t>
  </si>
  <si>
    <t>Emma do Teixeira</t>
  </si>
  <si>
    <t>(351) 936824384</t>
  </si>
  <si>
    <t>freitasfilipa@sapo.pt</t>
  </si>
  <si>
    <t>Eduarda do Matos</t>
  </si>
  <si>
    <t>(351) 967067596</t>
  </si>
  <si>
    <t>amorimleticia@morais.com</t>
  </si>
  <si>
    <t>Diana Barros</t>
  </si>
  <si>
    <t>(351) 967 859 033</t>
  </si>
  <si>
    <t>micael65@hotmail.com</t>
  </si>
  <si>
    <t>João Domingues</t>
  </si>
  <si>
    <t>914 584 685</t>
  </si>
  <si>
    <t>martim73@fernandes.com</t>
  </si>
  <si>
    <t>Valentina Paiva</t>
  </si>
  <si>
    <t>(351) 219 872 927</t>
  </si>
  <si>
    <t>angela90@gmail.com</t>
  </si>
  <si>
    <t>Lia Neves</t>
  </si>
  <si>
    <t>+351937012736</t>
  </si>
  <si>
    <t>soareslorena@morais.pt</t>
  </si>
  <si>
    <t>Simão Leite</t>
  </si>
  <si>
    <t>964345750</t>
  </si>
  <si>
    <t>carlotabranco@martins.pt</t>
  </si>
  <si>
    <t>Sérgio Guerreiro</t>
  </si>
  <si>
    <t>910 607 189</t>
  </si>
  <si>
    <t>rferreira@hotmail.com</t>
  </si>
  <si>
    <t>Bruno Azevedo</t>
  </si>
  <si>
    <t>(351) 925 816 898</t>
  </si>
  <si>
    <t>jnascimento@matos.pt</t>
  </si>
  <si>
    <t>(351) 930491889</t>
  </si>
  <si>
    <t>hugo47@antunes.pt</t>
  </si>
  <si>
    <t>Iara-Lorena Amaral</t>
  </si>
  <si>
    <t>(351) 938885892</t>
  </si>
  <si>
    <t>afonso22@sapo.pt</t>
  </si>
  <si>
    <t>Constança Ferreira</t>
  </si>
  <si>
    <t>(351) 916224353</t>
  </si>
  <si>
    <t>franciscoalmeida@clix.pt</t>
  </si>
  <si>
    <t>Yasmin Amorim</t>
  </si>
  <si>
    <t>(351) 210 035 926</t>
  </si>
  <si>
    <t>bcunha@fonseca.com</t>
  </si>
  <si>
    <t>Diogo Amorim</t>
  </si>
  <si>
    <t>964 597 025</t>
  </si>
  <si>
    <t>qpinho@gmail.com</t>
  </si>
  <si>
    <t>Isabela Faria</t>
  </si>
  <si>
    <t>(351) 916 955 508</t>
  </si>
  <si>
    <t>umonteiro@clix.pt</t>
  </si>
  <si>
    <t>Diana Antunes</t>
  </si>
  <si>
    <t>263383627</t>
  </si>
  <si>
    <t>gomesraquel@gmail.com</t>
  </si>
  <si>
    <t>Mia Barros-Magalhães</t>
  </si>
  <si>
    <t>(351) 932 885 644</t>
  </si>
  <si>
    <t>diana53@clix.pt</t>
  </si>
  <si>
    <t>Jaime Garcia</t>
  </si>
  <si>
    <t>(351) 917666909</t>
  </si>
  <si>
    <t>margarida47@clix.pt</t>
  </si>
  <si>
    <t>Sandro Amaral</t>
  </si>
  <si>
    <t>934900122</t>
  </si>
  <si>
    <t>luis21@sapo.pt</t>
  </si>
  <si>
    <t>Daniel Carneiro</t>
  </si>
  <si>
    <t>961779354</t>
  </si>
  <si>
    <t>valenteartur@hotmail.com</t>
  </si>
  <si>
    <t>Luciana Baptista</t>
  </si>
  <si>
    <t>(351) 913471735</t>
  </si>
  <si>
    <t>mariana96@leal.pt</t>
  </si>
  <si>
    <t>Ângelo do Brito</t>
  </si>
  <si>
    <t>(351) 918436271</t>
  </si>
  <si>
    <t>erika42@hotmail.com</t>
  </si>
  <si>
    <t>Petra Almeida</t>
  </si>
  <si>
    <t>+351925893677</t>
  </si>
  <si>
    <t>rmoura@sapo.pt</t>
  </si>
  <si>
    <t>Salomé Sá</t>
  </si>
  <si>
    <t>(351) 969 463 644</t>
  </si>
  <si>
    <t>cruzmatilde@machado.pt</t>
  </si>
  <si>
    <t>Eduarda-Eva Faria</t>
  </si>
  <si>
    <t>(351) 930531540</t>
  </si>
  <si>
    <t>mlourenco@clix.pt</t>
  </si>
  <si>
    <t>Yara Domingues-Amorim</t>
  </si>
  <si>
    <t>964927408</t>
  </si>
  <si>
    <t>moraisnuno@clix.pt</t>
  </si>
  <si>
    <t>André Branco</t>
  </si>
  <si>
    <t>211421428</t>
  </si>
  <si>
    <t>kvieira@rocha.pt</t>
  </si>
  <si>
    <t>César Pinho</t>
  </si>
  <si>
    <t>(351) 968159587</t>
  </si>
  <si>
    <t>andraderodrigo@rodrigues.com</t>
  </si>
  <si>
    <t>Márcio Cruz</t>
  </si>
  <si>
    <t>922 465 126</t>
  </si>
  <si>
    <t>btavares@torres.pt</t>
  </si>
  <si>
    <t>Mia Ramos</t>
  </si>
  <si>
    <t>+351913469835</t>
  </si>
  <si>
    <t>rodriguesbruna@rocha.pt</t>
  </si>
  <si>
    <t>Kevin Antunes-Azevedo</t>
  </si>
  <si>
    <t>(351) 964 268 727</t>
  </si>
  <si>
    <t>constancaamaral@tavares.com</t>
  </si>
  <si>
    <t>Valentina Branco-Figueiredo</t>
  </si>
  <si>
    <t>(351) 929 664 016</t>
  </si>
  <si>
    <t>brian24@figueiredo.org</t>
  </si>
  <si>
    <t>Rafael Loureiro</t>
  </si>
  <si>
    <t>(351) 917 223 197</t>
  </si>
  <si>
    <t>nelson53@clix.pt</t>
  </si>
  <si>
    <t>Isabela Martins</t>
  </si>
  <si>
    <t>960978662</t>
  </si>
  <si>
    <t>azevedofilipe@alves.com</t>
  </si>
  <si>
    <t>Diana Monteiro-Amaral</t>
  </si>
  <si>
    <t>+351925118740</t>
  </si>
  <si>
    <t>yasminmelo@sapo.pt</t>
  </si>
  <si>
    <t>Mariana Soares</t>
  </si>
  <si>
    <t>(351) 961 504 391</t>
  </si>
  <si>
    <t>ricardo92@pinheiro.com</t>
  </si>
  <si>
    <t>Núria Freitas</t>
  </si>
  <si>
    <t>(351) 922 400 011</t>
  </si>
  <si>
    <t>gguerreiro@gmail.com</t>
  </si>
  <si>
    <t>Vera Branco</t>
  </si>
  <si>
    <t>+351924635805</t>
  </si>
  <si>
    <t>denisbrito@hotmail.com</t>
  </si>
  <si>
    <t>Flor Loureiro</t>
  </si>
  <si>
    <t>(351) 922 258 978</t>
  </si>
  <si>
    <t>xsilva@cruz.pt</t>
  </si>
  <si>
    <t>Amélia Figueiredo</t>
  </si>
  <si>
    <t>(351) 210 655 850</t>
  </si>
  <si>
    <t>angelaoliveira@mota.net</t>
  </si>
  <si>
    <t>Teresa Moreira-Magalhães</t>
  </si>
  <si>
    <t>(351) 926 893 572</t>
  </si>
  <si>
    <t>lucianaleite@barbosa.pt</t>
  </si>
  <si>
    <t>Leonor Marques</t>
  </si>
  <si>
    <t>+351963325723</t>
  </si>
  <si>
    <t>zpereira@antunes.com</t>
  </si>
  <si>
    <t>Daniel do Monteiro</t>
  </si>
  <si>
    <t>(351) 221 580 049</t>
  </si>
  <si>
    <t>amelia04@sapo.pt</t>
  </si>
  <si>
    <t>Gaspar Ferreira</t>
  </si>
  <si>
    <t>(351) 963 360 469</t>
  </si>
  <si>
    <t>petra56@gmail.com</t>
  </si>
  <si>
    <t>Miriam Mendes</t>
  </si>
  <si>
    <t>(351) 913060603</t>
  </si>
  <si>
    <t>danielgarcia@lourenco.com</t>
  </si>
  <si>
    <t>+351916454877</t>
  </si>
  <si>
    <t>matildemorais@nunes.net</t>
  </si>
  <si>
    <t>Ana Nogueira-Barbosa</t>
  </si>
  <si>
    <t>(351) 935381854</t>
  </si>
  <si>
    <t>ereis@amorim.org</t>
  </si>
  <si>
    <t>Lara Neto</t>
  </si>
  <si>
    <t>(351) 967543267</t>
  </si>
  <si>
    <t>nogueiraivo@neto.pt</t>
  </si>
  <si>
    <t>Mara Azevedo-Moreira</t>
  </si>
  <si>
    <t>(351) 934947154</t>
  </si>
  <si>
    <t>afonsojesus@simoes.org</t>
  </si>
  <si>
    <t>Vitória Castro</t>
  </si>
  <si>
    <t>(351) 962 900 015</t>
  </si>
  <si>
    <t>luis73@hotmail.com</t>
  </si>
  <si>
    <t>Kévim do Gonçalves</t>
  </si>
  <si>
    <t>(351) 965 709 566</t>
  </si>
  <si>
    <t>pachecoclara@macedo.com</t>
  </si>
  <si>
    <t>Igor do Garcia</t>
  </si>
  <si>
    <t>(351) 287933441</t>
  </si>
  <si>
    <t>mmartins@neves.org</t>
  </si>
  <si>
    <t>Márcio Fernandes</t>
  </si>
  <si>
    <t>(351) 961 368 907</t>
  </si>
  <si>
    <t>noliveira@oliveira.org</t>
  </si>
  <si>
    <t>Sérgio Macedo-Maia</t>
  </si>
  <si>
    <t>914 316 070</t>
  </si>
  <si>
    <t>maria89@hotmail.com</t>
  </si>
  <si>
    <t>Jaime Campos</t>
  </si>
  <si>
    <t>+351916777651</t>
  </si>
  <si>
    <t>carlotaferreira@almeida.pt</t>
  </si>
  <si>
    <t>Anita Batista</t>
  </si>
  <si>
    <t>+351966882155</t>
  </si>
  <si>
    <t>sofiapacheco@hotmail.com</t>
  </si>
  <si>
    <t>Adriana Santos</t>
  </si>
  <si>
    <t>924754118</t>
  </si>
  <si>
    <t>lucas96@hotmail.com</t>
  </si>
  <si>
    <t>Luca Antunes-Santos</t>
  </si>
  <si>
    <t>921016004</t>
  </si>
  <si>
    <t>alexandra18@costa.com</t>
  </si>
  <si>
    <t>Raquel Pires</t>
  </si>
  <si>
    <t>(351) 921 290 121</t>
  </si>
  <si>
    <t>rochavasco@reis.com</t>
  </si>
  <si>
    <t>Larissa Gomes</t>
  </si>
  <si>
    <t>(351) 920 193 012</t>
  </si>
  <si>
    <t>cloureiro@sapo.pt</t>
  </si>
  <si>
    <t>Mara Macedo</t>
  </si>
  <si>
    <t>(351) 936458353</t>
  </si>
  <si>
    <t>omartins@ferreira.pt</t>
  </si>
  <si>
    <t>Soraia Alves</t>
  </si>
  <si>
    <t>926006469</t>
  </si>
  <si>
    <t>pgarcia@hotmail.com</t>
  </si>
  <si>
    <t>Juliana Lourenço-Moura</t>
  </si>
  <si>
    <t>+351960587514</t>
  </si>
  <si>
    <t>bpaiva@clix.pt</t>
  </si>
  <si>
    <t>Benjamim Vicente</t>
  </si>
  <si>
    <t>(351) 967692660</t>
  </si>
  <si>
    <t>tomasfernandes@matos.com</t>
  </si>
  <si>
    <t>Nuno Maia</t>
  </si>
  <si>
    <t>(351) 208 788 057</t>
  </si>
  <si>
    <t>igormorais@clix.pt</t>
  </si>
  <si>
    <t>Júlia Silva</t>
  </si>
  <si>
    <t>(351) 930761745</t>
  </si>
  <si>
    <t>zpereira@hotmail.com</t>
  </si>
  <si>
    <t>Jaime Lima</t>
  </si>
  <si>
    <t>(351) 911330987</t>
  </si>
  <si>
    <t>cardosoantonio@hotmail.com</t>
  </si>
  <si>
    <t>Tiago da Marques</t>
  </si>
  <si>
    <t>(351) 923079541</t>
  </si>
  <si>
    <t>tamorim@clix.pt</t>
  </si>
  <si>
    <t>Lia Fernandes</t>
  </si>
  <si>
    <t>(351) 929 380 057</t>
  </si>
  <si>
    <t>valentina64@cruz.com</t>
  </si>
  <si>
    <t>Madalena Coelho</t>
  </si>
  <si>
    <t>+351936054765</t>
  </si>
  <si>
    <t>kevim20@hotmail.com</t>
  </si>
  <si>
    <t>Isabel Assunção</t>
  </si>
  <si>
    <t>204 738 777</t>
  </si>
  <si>
    <t>kvaz@mendes.com</t>
  </si>
  <si>
    <t>Apólice</t>
  </si>
  <si>
    <t>Colaborador</t>
  </si>
  <si>
    <t>Seguradora</t>
  </si>
  <si>
    <t>Tipo Seguro</t>
  </si>
  <si>
    <t>Valor Prémio</t>
  </si>
  <si>
    <t>Data Início</t>
  </si>
  <si>
    <t>Data Fim</t>
  </si>
  <si>
    <t>SEG2000</t>
  </si>
  <si>
    <t>Mário Ramos</t>
  </si>
  <si>
    <t>Sanlam</t>
  </si>
  <si>
    <t>Saúde</t>
  </si>
  <si>
    <t>Em análise</t>
  </si>
  <si>
    <t>SEG2001</t>
  </si>
  <si>
    <t>Samuel Jesus</t>
  </si>
  <si>
    <t>SEG2002</t>
  </si>
  <si>
    <t>Maria Barbosa</t>
  </si>
  <si>
    <t>Vida</t>
  </si>
  <si>
    <t>Suspenso</t>
  </si>
  <si>
    <t>SEG2003</t>
  </si>
  <si>
    <t>Activo</t>
  </si>
  <si>
    <t>SEG2004</t>
  </si>
  <si>
    <t>Noah Carneiro</t>
  </si>
  <si>
    <t>Nossa Seguros</t>
  </si>
  <si>
    <t>SEG2005</t>
  </si>
  <si>
    <t>Rafael de Rocha</t>
  </si>
  <si>
    <t>SEG2006</t>
  </si>
  <si>
    <t>Gustavo Martins</t>
  </si>
  <si>
    <t>SEG2007</t>
  </si>
  <si>
    <t>Nicole Fonseca</t>
  </si>
  <si>
    <t>AAA Seguros</t>
  </si>
  <si>
    <t>Concluído</t>
  </si>
  <si>
    <t>SEG2008</t>
  </si>
  <si>
    <t>Luís de Amaral</t>
  </si>
  <si>
    <t>ENSA</t>
  </si>
  <si>
    <t>SEG2009</t>
  </si>
  <si>
    <t>Isabel Freitas</t>
  </si>
  <si>
    <t>Acidentes</t>
  </si>
  <si>
    <t>SEG2010</t>
  </si>
  <si>
    <t>Tomás Matias</t>
  </si>
  <si>
    <t>SEG2011</t>
  </si>
  <si>
    <t>William Azevedo</t>
  </si>
  <si>
    <t>SEG2012</t>
  </si>
  <si>
    <t>Brian Lima</t>
  </si>
  <si>
    <t>SEG2013</t>
  </si>
  <si>
    <t>Flor Marques</t>
  </si>
  <si>
    <t>SEG2014</t>
  </si>
  <si>
    <t>Márcio Freitas</t>
  </si>
  <si>
    <t>SEG2015</t>
  </si>
  <si>
    <t>Maria Fonseca-Simões</t>
  </si>
  <si>
    <t>SEG2016</t>
  </si>
  <si>
    <t>Mafalda Soares</t>
  </si>
  <si>
    <t>SEG2017</t>
  </si>
  <si>
    <t>Iara Leal</t>
  </si>
  <si>
    <t>SEG2018</t>
  </si>
  <si>
    <t>Benjamim Barbosa</t>
  </si>
  <si>
    <t>SEG2019</t>
  </si>
  <si>
    <t>Adriana Macedo</t>
  </si>
  <si>
    <t>SEG2020</t>
  </si>
  <si>
    <t>Tomé Simões</t>
  </si>
  <si>
    <t>SEG2021</t>
  </si>
  <si>
    <t>Martim Castro</t>
  </si>
  <si>
    <t>SEG2022</t>
  </si>
  <si>
    <t>SEG2023</t>
  </si>
  <si>
    <t>Mafalda Santos</t>
  </si>
  <si>
    <t>SEG2024</t>
  </si>
  <si>
    <t>Alícia-Lúcia Alves</t>
  </si>
  <si>
    <t>SEG2025</t>
  </si>
  <si>
    <t>Martim Pinheiro-Pinho</t>
  </si>
  <si>
    <t>SEG2026</t>
  </si>
  <si>
    <t>Kelly Monteiro</t>
  </si>
  <si>
    <t>SEG2027</t>
  </si>
  <si>
    <t>SEG2028</t>
  </si>
  <si>
    <t>Brian do Macedo</t>
  </si>
  <si>
    <t>SEG2029</t>
  </si>
  <si>
    <t>Mafalda Amaral</t>
  </si>
  <si>
    <t>SEG2030</t>
  </si>
  <si>
    <t>Eduarda Rodrigues</t>
  </si>
  <si>
    <t>SEG2031</t>
  </si>
  <si>
    <t>Renata Barbosa</t>
  </si>
  <si>
    <t>SEG2032</t>
  </si>
  <si>
    <t>Victória Pires</t>
  </si>
  <si>
    <t>SEG2033</t>
  </si>
  <si>
    <t>Leandro Almeida</t>
  </si>
  <si>
    <t>SEG2034</t>
  </si>
  <si>
    <t>Ricardo Domingues</t>
  </si>
  <si>
    <t>SEG2035</t>
  </si>
  <si>
    <t>Noah Antunes</t>
  </si>
  <si>
    <t>SEG2036</t>
  </si>
  <si>
    <t>Joel Rodrigues</t>
  </si>
  <si>
    <t>SEG2037</t>
  </si>
  <si>
    <t>Nádia Fonseca</t>
  </si>
  <si>
    <t>SEG2038</t>
  </si>
  <si>
    <t>Mélanie de Lourenço</t>
  </si>
  <si>
    <t>SEG2039</t>
  </si>
  <si>
    <t>Eduardo Pinheiro</t>
  </si>
  <si>
    <t>SEG2040</t>
  </si>
  <si>
    <t>Kelly Baptista-Neto</t>
  </si>
  <si>
    <t>SEG2041</t>
  </si>
  <si>
    <t>Isabela-Mia Pires</t>
  </si>
  <si>
    <t>SEG2042</t>
  </si>
  <si>
    <t>Marta da Guerreiro</t>
  </si>
  <si>
    <t>SEG2043</t>
  </si>
  <si>
    <t>Luca Tavares</t>
  </si>
  <si>
    <t>SEG2044</t>
  </si>
  <si>
    <t>Eduarda da Machado</t>
  </si>
  <si>
    <t>SEG2045</t>
  </si>
  <si>
    <t>Caetana Abreu</t>
  </si>
  <si>
    <t>SEG2046</t>
  </si>
  <si>
    <t>Flor Jesus</t>
  </si>
  <si>
    <t>SEG2047</t>
  </si>
  <si>
    <t>Marco Pacheco</t>
  </si>
  <si>
    <t>SEG2048</t>
  </si>
  <si>
    <t>Iara Paiva</t>
  </si>
  <si>
    <t>SEG2049</t>
  </si>
  <si>
    <t>Edgar Guerreiro</t>
  </si>
  <si>
    <t>SEG2050</t>
  </si>
  <si>
    <t>Gonçalo Andrade</t>
  </si>
  <si>
    <t>SEG2051</t>
  </si>
  <si>
    <t>Mateus Assunção</t>
  </si>
  <si>
    <t>SEG2052</t>
  </si>
  <si>
    <t>Benjamim Guerreiro-Sousa</t>
  </si>
  <si>
    <t>SEG2053</t>
  </si>
  <si>
    <t>Filipe Neves</t>
  </si>
  <si>
    <t>SEG2054</t>
  </si>
  <si>
    <t>Daniel Branco</t>
  </si>
  <si>
    <t>SEG2055</t>
  </si>
  <si>
    <t>Nair de Leite</t>
  </si>
  <si>
    <t>SEG2056</t>
  </si>
  <si>
    <t>Marcos Amorim</t>
  </si>
  <si>
    <t>SEG2057</t>
  </si>
  <si>
    <t>Ângelo Barbosa</t>
  </si>
  <si>
    <t>SEG2058</t>
  </si>
  <si>
    <t>Márcio do Magalhães</t>
  </si>
  <si>
    <t>SEG2059</t>
  </si>
  <si>
    <t>Matilde Miranda</t>
  </si>
  <si>
    <t>SEG2060</t>
  </si>
  <si>
    <t>Alexandre Cardoso</t>
  </si>
  <si>
    <t>SEG2061</t>
  </si>
  <si>
    <t>Juliana Carvalho</t>
  </si>
  <si>
    <t>SEG2062</t>
  </si>
  <si>
    <t>Artur Amorim</t>
  </si>
  <si>
    <t>SEG2063</t>
  </si>
  <si>
    <t>Vasco Vaz</t>
  </si>
  <si>
    <t>SEG2064</t>
  </si>
  <si>
    <t>Vitória Faria</t>
  </si>
  <si>
    <t>SEG2065</t>
  </si>
  <si>
    <t>Matias Alves-Figueiredo</t>
  </si>
  <si>
    <t>SEG2066</t>
  </si>
  <si>
    <t>Paulo Freitas</t>
  </si>
  <si>
    <t>SEG2067</t>
  </si>
  <si>
    <t>Vasco Branco</t>
  </si>
  <si>
    <t>SEG2068</t>
  </si>
  <si>
    <t>José Santos</t>
  </si>
  <si>
    <t>SEG2069</t>
  </si>
  <si>
    <t>Tatiana Cruz</t>
  </si>
  <si>
    <t>SEG2070</t>
  </si>
  <si>
    <t>Valentim Alves</t>
  </si>
  <si>
    <t>SEG2071</t>
  </si>
  <si>
    <t>Clara Rodrigues</t>
  </si>
  <si>
    <t>SEG2072</t>
  </si>
  <si>
    <t>SEG2073</t>
  </si>
  <si>
    <t>Marco Carneiro</t>
  </si>
  <si>
    <t>SEG2074</t>
  </si>
  <si>
    <t>Martim Gonçalves</t>
  </si>
  <si>
    <t>SEG2075</t>
  </si>
  <si>
    <t>Rui Macedo</t>
  </si>
  <si>
    <t>SEG2076</t>
  </si>
  <si>
    <t>SEG2077</t>
  </si>
  <si>
    <t>Brian Baptista</t>
  </si>
  <si>
    <t>SEG2078</t>
  </si>
  <si>
    <t>Alice Nogueira-Matos</t>
  </si>
  <si>
    <t>SEG2079</t>
  </si>
  <si>
    <t>Artur Barbosa</t>
  </si>
  <si>
    <t>SEG2080</t>
  </si>
  <si>
    <t>Amélia Faria</t>
  </si>
  <si>
    <t>SEG2081</t>
  </si>
  <si>
    <t>Kelly da Lima</t>
  </si>
  <si>
    <t>SEG2082</t>
  </si>
  <si>
    <t>Ema Coelho</t>
  </si>
  <si>
    <t>SEG2083</t>
  </si>
  <si>
    <t>César Neves</t>
  </si>
  <si>
    <t>SEG2084</t>
  </si>
  <si>
    <t>Rúben Mendes-Carvalho</t>
  </si>
  <si>
    <t>SEG2085</t>
  </si>
  <si>
    <t>Emília Azevedo</t>
  </si>
  <si>
    <t>SEG2086</t>
  </si>
  <si>
    <t>João Martins</t>
  </si>
  <si>
    <t>SEG2087</t>
  </si>
  <si>
    <t>Filipa-Erica Ribeiro</t>
  </si>
  <si>
    <t>SEG2088</t>
  </si>
  <si>
    <t>Marco Machado</t>
  </si>
  <si>
    <t>SEG2089</t>
  </si>
  <si>
    <t>Carolina Gonçalves</t>
  </si>
  <si>
    <t>SEG2090</t>
  </si>
  <si>
    <t>Filipa Nascimento</t>
  </si>
  <si>
    <t>SEG2091</t>
  </si>
  <si>
    <t>Isabela Marques</t>
  </si>
  <si>
    <t>SEG2092</t>
  </si>
  <si>
    <t>Luciana Ribeiro</t>
  </si>
  <si>
    <t>SEG2093</t>
  </si>
  <si>
    <t>Teresa Araújo</t>
  </si>
  <si>
    <t>SEG2094</t>
  </si>
  <si>
    <t>José Henriques</t>
  </si>
  <si>
    <t>SEG2095</t>
  </si>
  <si>
    <t>Luísa Ramos-Paiva</t>
  </si>
  <si>
    <t>SEG2096</t>
  </si>
  <si>
    <t>Wilson Matias</t>
  </si>
  <si>
    <t>SEG2097</t>
  </si>
  <si>
    <t>Miguel Barbosa</t>
  </si>
  <si>
    <t>SEG2098</t>
  </si>
  <si>
    <t>David Borges</t>
  </si>
  <si>
    <t>SEG2099</t>
  </si>
  <si>
    <t>Frederico Macedo</t>
  </si>
  <si>
    <t>SEG2100</t>
  </si>
  <si>
    <t>Guilherme Pinho</t>
  </si>
  <si>
    <t>SEG2101</t>
  </si>
  <si>
    <t>Eva-Isabela Machado</t>
  </si>
  <si>
    <t>SEG2102</t>
  </si>
  <si>
    <t>Alexandra Abreu</t>
  </si>
  <si>
    <t>SEG2103</t>
  </si>
  <si>
    <t>Ana Rodrigues</t>
  </si>
  <si>
    <t>SEG2104</t>
  </si>
  <si>
    <t>Helena Matias-Barros</t>
  </si>
  <si>
    <t>SEG2105</t>
  </si>
  <si>
    <t>José Leal</t>
  </si>
  <si>
    <t>SEG2106</t>
  </si>
  <si>
    <t>Marco Soares</t>
  </si>
  <si>
    <t>SEG2107</t>
  </si>
  <si>
    <t>Margarida-Melissa Gaspar</t>
  </si>
  <si>
    <t>SEG2108</t>
  </si>
  <si>
    <t>Afonso Reis</t>
  </si>
  <si>
    <t>SEG2109</t>
  </si>
  <si>
    <t>Carolina Cruz</t>
  </si>
  <si>
    <t>SEG2110</t>
  </si>
  <si>
    <t>Mariana Oliveira</t>
  </si>
  <si>
    <t>SEG2111</t>
  </si>
  <si>
    <t>Noa Paiva-Cunha</t>
  </si>
  <si>
    <t>SEG2112</t>
  </si>
  <si>
    <t>Ângelo da Gaspar</t>
  </si>
  <si>
    <t>SEG2113</t>
  </si>
  <si>
    <t>Afonso Mendes</t>
  </si>
  <si>
    <t>SEG2114</t>
  </si>
  <si>
    <t>Teresa Cruz</t>
  </si>
  <si>
    <t>SEG2115</t>
  </si>
  <si>
    <t>Tomás Pires</t>
  </si>
  <si>
    <t>SEG2116</t>
  </si>
  <si>
    <t>Rui Azevedo</t>
  </si>
  <si>
    <t>SEG2117</t>
  </si>
  <si>
    <t>Leonardo Matos</t>
  </si>
  <si>
    <t>SEG2118</t>
  </si>
  <si>
    <t>Francisca Vieira</t>
  </si>
  <si>
    <t>SEG2119</t>
  </si>
  <si>
    <t>Álvaro Machado</t>
  </si>
  <si>
    <t>SEG2120</t>
  </si>
  <si>
    <t>Micael Martins</t>
  </si>
  <si>
    <t>SEG2121</t>
  </si>
  <si>
    <t>Mariana-Rafaela Jesus</t>
  </si>
  <si>
    <t>SEG2122</t>
  </si>
  <si>
    <t>Benedita-Tatiana Correia</t>
  </si>
  <si>
    <t>SEG2123</t>
  </si>
  <si>
    <t>Noa Ramos</t>
  </si>
  <si>
    <t>SEG2124</t>
  </si>
  <si>
    <t>Leonor Almeida</t>
  </si>
  <si>
    <t>SEG2125</t>
  </si>
  <si>
    <t>Álvaro Vieira</t>
  </si>
  <si>
    <t>SEG2126</t>
  </si>
  <si>
    <t>Wilson da Araújo</t>
  </si>
  <si>
    <t>SEG2127</t>
  </si>
  <si>
    <t>Leonardo Moura</t>
  </si>
  <si>
    <t>SEG2128</t>
  </si>
  <si>
    <t>Flor Carvalho</t>
  </si>
  <si>
    <t>SEG2129</t>
  </si>
  <si>
    <t>Fabiana Magalhães</t>
  </si>
  <si>
    <t>SEG2130</t>
  </si>
  <si>
    <t>Petra Teixeira-Ribeiro</t>
  </si>
  <si>
    <t>SEG2131</t>
  </si>
  <si>
    <t>Xavier Neto</t>
  </si>
  <si>
    <t>SEG2132</t>
  </si>
  <si>
    <t>Yasmin Borges</t>
  </si>
  <si>
    <t>SEG2133</t>
  </si>
  <si>
    <t>Letícia Valente</t>
  </si>
  <si>
    <t>SEG2134</t>
  </si>
  <si>
    <t>Mia Baptista</t>
  </si>
  <si>
    <t>SEG2135</t>
  </si>
  <si>
    <t>Simão Ramos</t>
  </si>
  <si>
    <t>SEG2136</t>
  </si>
  <si>
    <t>Miguel Leal</t>
  </si>
  <si>
    <t>SEG2137</t>
  </si>
  <si>
    <t>Pedro Andrade</t>
  </si>
  <si>
    <t>SEG2138</t>
  </si>
  <si>
    <t>Luca Azevedo</t>
  </si>
  <si>
    <t>SEG2139</t>
  </si>
  <si>
    <t>Benedita Maia-Paiva</t>
  </si>
  <si>
    <t>SEG2140</t>
  </si>
  <si>
    <t>Núria Azevedo</t>
  </si>
  <si>
    <t>SEG2141</t>
  </si>
  <si>
    <t>Madalena Marques-Martins</t>
  </si>
  <si>
    <t>SEG2142</t>
  </si>
  <si>
    <t>Daniel Gonçalves</t>
  </si>
  <si>
    <t>SEG2143</t>
  </si>
  <si>
    <t>Fabiana Faria</t>
  </si>
  <si>
    <t>SEG2144</t>
  </si>
  <si>
    <t>Rita-Isabela Anjos</t>
  </si>
  <si>
    <t>SEG2145</t>
  </si>
  <si>
    <t>Vítor Nascimento</t>
  </si>
  <si>
    <t>SEG2146</t>
  </si>
  <si>
    <t>Iara Nogueira</t>
  </si>
  <si>
    <t>SEG2147</t>
  </si>
  <si>
    <t>Mariana Leal</t>
  </si>
  <si>
    <t>SEG2148</t>
  </si>
  <si>
    <t>Núria Maia</t>
  </si>
  <si>
    <t>SEG2149</t>
  </si>
  <si>
    <t>Nelson da Henriques</t>
  </si>
  <si>
    <t>SEG2150</t>
  </si>
  <si>
    <t>Andreia Antunes-Macedo</t>
  </si>
  <si>
    <t>SEG2151</t>
  </si>
  <si>
    <t>Teresa Simões</t>
  </si>
  <si>
    <t>SEG2152</t>
  </si>
  <si>
    <t>Artur Figueiredo</t>
  </si>
  <si>
    <t>SEG2153</t>
  </si>
  <si>
    <t>Fernando Vicente</t>
  </si>
  <si>
    <t>SEG2154</t>
  </si>
  <si>
    <t>Sebastião Oliveira</t>
  </si>
  <si>
    <t>SEG2155</t>
  </si>
  <si>
    <t>Laura Henriques</t>
  </si>
  <si>
    <t>SEG2156</t>
  </si>
  <si>
    <t>Brian Vaz</t>
  </si>
  <si>
    <t>SEG2157</t>
  </si>
  <si>
    <t>Jorge Alves</t>
  </si>
  <si>
    <t>SEG2158</t>
  </si>
  <si>
    <t>José Fernandes</t>
  </si>
  <si>
    <t>SEG2159</t>
  </si>
  <si>
    <t>Emanuel da Mendes</t>
  </si>
  <si>
    <t>SEG2160</t>
  </si>
  <si>
    <t>Sara Pinto</t>
  </si>
  <si>
    <t>SEG2161</t>
  </si>
  <si>
    <t>Letícia Sá</t>
  </si>
  <si>
    <t>SEG2162</t>
  </si>
  <si>
    <t>Constança Correia</t>
  </si>
  <si>
    <t>SEG2163</t>
  </si>
  <si>
    <t>Miriam da Almeida</t>
  </si>
  <si>
    <t>SEG2164</t>
  </si>
  <si>
    <t>Yasmin-Ana Faria</t>
  </si>
  <si>
    <t>SEG2165</t>
  </si>
  <si>
    <t>Bianca Andrade-Mota</t>
  </si>
  <si>
    <t>SEG2166</t>
  </si>
  <si>
    <t>Margarida Ribeiro</t>
  </si>
  <si>
    <t>SEG2167</t>
  </si>
  <si>
    <t>Noa Amaral</t>
  </si>
  <si>
    <t>SEG2168</t>
  </si>
  <si>
    <t>Paulo Maia</t>
  </si>
  <si>
    <t>SEG2169</t>
  </si>
  <si>
    <t>Samuel Coelho</t>
  </si>
  <si>
    <t>SEG2170</t>
  </si>
  <si>
    <t>Fabiana Andrade</t>
  </si>
  <si>
    <t>SEG2171</t>
  </si>
  <si>
    <t>Luana Cardoso</t>
  </si>
  <si>
    <t>SEG2172</t>
  </si>
  <si>
    <t>Nádia Cunha</t>
  </si>
  <si>
    <t>SEG2173</t>
  </si>
  <si>
    <t>Francisco Matias</t>
  </si>
  <si>
    <t>SEG2174</t>
  </si>
  <si>
    <t>Mara-Matilde Simões</t>
  </si>
  <si>
    <t>SEG2175</t>
  </si>
  <si>
    <t>William Gonçalves</t>
  </si>
  <si>
    <t>SEG2176</t>
  </si>
  <si>
    <t>Francisco Ferreira</t>
  </si>
  <si>
    <t>SEG2177</t>
  </si>
  <si>
    <t>Sara-Benedita Pacheco</t>
  </si>
  <si>
    <t>SEG2178</t>
  </si>
  <si>
    <t>Rafaela do Tavares</t>
  </si>
  <si>
    <t>SEG2179</t>
  </si>
  <si>
    <t>Ema Valente</t>
  </si>
  <si>
    <t>SEG2180</t>
  </si>
  <si>
    <t>Jéssica Miranda</t>
  </si>
  <si>
    <t>SEG2181</t>
  </si>
  <si>
    <t>Kévim Maia</t>
  </si>
  <si>
    <t>SEG2182</t>
  </si>
  <si>
    <t>Fernando Sá</t>
  </si>
  <si>
    <t>SEG2183</t>
  </si>
  <si>
    <t>Brian Cruz</t>
  </si>
  <si>
    <t>SEG2184</t>
  </si>
  <si>
    <t>Joana Domingues</t>
  </si>
  <si>
    <t>SEG2185</t>
  </si>
  <si>
    <t>Martim Mota</t>
  </si>
  <si>
    <t>SEG2186</t>
  </si>
  <si>
    <t>Eva Brito</t>
  </si>
  <si>
    <t>SEG2187</t>
  </si>
  <si>
    <t>Carminho de Abreu</t>
  </si>
  <si>
    <t>SEG2188</t>
  </si>
  <si>
    <t>Eduarda Vaz</t>
  </si>
  <si>
    <t>SEG2189</t>
  </si>
  <si>
    <t>Rodrigo Vicente</t>
  </si>
  <si>
    <t>SEG2190</t>
  </si>
  <si>
    <t>Gonçalo Vieira</t>
  </si>
  <si>
    <t>SEG2191</t>
  </si>
  <si>
    <t>André Pinheiro</t>
  </si>
  <si>
    <t>SEG2192</t>
  </si>
  <si>
    <t>Simão Fernandes</t>
  </si>
  <si>
    <t>SEG2193</t>
  </si>
  <si>
    <t>Íris Amaral</t>
  </si>
  <si>
    <t>SEG2194</t>
  </si>
  <si>
    <t>SEG2195</t>
  </si>
  <si>
    <t>Miriam Sá-Vieira</t>
  </si>
  <si>
    <t>SEG2196</t>
  </si>
  <si>
    <t>SEG2197</t>
  </si>
  <si>
    <t>Marta Simões</t>
  </si>
  <si>
    <t>SEG2198</t>
  </si>
  <si>
    <t>Fábio Pinho</t>
  </si>
  <si>
    <t>SEG2199</t>
  </si>
  <si>
    <t>SEG2200</t>
  </si>
  <si>
    <t>Diego Azevedo</t>
  </si>
  <si>
    <t>SEG2201</t>
  </si>
  <si>
    <t>Erica Monteiro</t>
  </si>
  <si>
    <t>SEG2202</t>
  </si>
  <si>
    <t>Valentina Henriques</t>
  </si>
  <si>
    <t>SEG2203</t>
  </si>
  <si>
    <t>Bianca Batista</t>
  </si>
  <si>
    <t>SEG2204</t>
  </si>
  <si>
    <t>Luna Cruz</t>
  </si>
  <si>
    <t>SEG2205</t>
  </si>
  <si>
    <t>Nuno Leal</t>
  </si>
  <si>
    <t>SEG2206</t>
  </si>
  <si>
    <t>Maria Abreu</t>
  </si>
  <si>
    <t>SEG2207</t>
  </si>
  <si>
    <t>Samuel Abreu</t>
  </si>
  <si>
    <t>SEG2208</t>
  </si>
  <si>
    <t>Tiago da Vicente</t>
  </si>
  <si>
    <t>SEG2209</t>
  </si>
  <si>
    <t>Sara Soares</t>
  </si>
  <si>
    <t>SEG2210</t>
  </si>
  <si>
    <t>Laura Marques-Ribeiro</t>
  </si>
  <si>
    <t>SEG2211</t>
  </si>
  <si>
    <t>Bryan Monteiro</t>
  </si>
  <si>
    <t>SEG2212</t>
  </si>
  <si>
    <t>Lúcia Vieira</t>
  </si>
  <si>
    <t>SEG2213</t>
  </si>
  <si>
    <t>Erika Barros</t>
  </si>
  <si>
    <t>SEG2214</t>
  </si>
  <si>
    <t>Camila da Soares</t>
  </si>
  <si>
    <t>SEG2215</t>
  </si>
  <si>
    <t>Martim Pinho</t>
  </si>
  <si>
    <t>SEG2216</t>
  </si>
  <si>
    <t>Vasco Assunção-Garcia</t>
  </si>
  <si>
    <t>SEG2217</t>
  </si>
  <si>
    <t>Martim de Barbosa</t>
  </si>
  <si>
    <t>SEG2218</t>
  </si>
  <si>
    <t>Afonso de Pinheiro</t>
  </si>
  <si>
    <t>SEG2219</t>
  </si>
  <si>
    <t>Paulo Torres</t>
  </si>
  <si>
    <t>SEG2220</t>
  </si>
  <si>
    <t>David Lourenço</t>
  </si>
  <si>
    <t>SEG2221</t>
  </si>
  <si>
    <t>Xavier Esteves-Machado</t>
  </si>
  <si>
    <t>SEG2222</t>
  </si>
  <si>
    <t>Lara Soares-Gomes</t>
  </si>
  <si>
    <t>SEG2223</t>
  </si>
  <si>
    <t>Joaquim Monteiro</t>
  </si>
  <si>
    <t>SEG2224</t>
  </si>
  <si>
    <t>Amélia Morais</t>
  </si>
  <si>
    <t>SEG2225</t>
  </si>
  <si>
    <t>Mara Pinheiro</t>
  </si>
  <si>
    <t>SEG2226</t>
  </si>
  <si>
    <t>Marta Paiva</t>
  </si>
  <si>
    <t>SEG2227</t>
  </si>
  <si>
    <t>Matias Rocha</t>
  </si>
  <si>
    <t>SEG2228</t>
  </si>
  <si>
    <t>Isaac Maia</t>
  </si>
  <si>
    <t>SEG2229</t>
  </si>
  <si>
    <t>Francisco Monteiro</t>
  </si>
  <si>
    <t>SEG2230</t>
  </si>
  <si>
    <t>Ana Domingues</t>
  </si>
  <si>
    <t>SEG2231</t>
  </si>
  <si>
    <t>Luísa-Joana Figueiredo</t>
  </si>
  <si>
    <t>SEG2232</t>
  </si>
  <si>
    <t>SEG2233</t>
  </si>
  <si>
    <t>Artur Maia</t>
  </si>
  <si>
    <t>SEG2234</t>
  </si>
  <si>
    <t>William de Correia</t>
  </si>
  <si>
    <t>SEG2235</t>
  </si>
  <si>
    <t>Alexandre Mota</t>
  </si>
  <si>
    <t>SEG2236</t>
  </si>
  <si>
    <t>Carlota do Tavares</t>
  </si>
  <si>
    <t>SEG2237</t>
  </si>
  <si>
    <t>Noah Soares</t>
  </si>
  <si>
    <t>SEG2238</t>
  </si>
  <si>
    <t>Ema Amaral</t>
  </si>
  <si>
    <t>SEG2239</t>
  </si>
  <si>
    <t>Filipa-Lúcia Anjos</t>
  </si>
  <si>
    <t>SEG2240</t>
  </si>
  <si>
    <t>Alexandra Cunha</t>
  </si>
  <si>
    <t>SEG2241</t>
  </si>
  <si>
    <t>Maria Sousa</t>
  </si>
  <si>
    <t>SEG2242</t>
  </si>
  <si>
    <t>Melissa Gonçalves</t>
  </si>
  <si>
    <t>SEG2243</t>
  </si>
  <si>
    <t>Carolina Branco</t>
  </si>
  <si>
    <t>SEG2244</t>
  </si>
  <si>
    <t>Paulo de Amorim</t>
  </si>
  <si>
    <t>SEG2245</t>
  </si>
  <si>
    <t>César Monteiro</t>
  </si>
  <si>
    <t>SEG2246</t>
  </si>
  <si>
    <t>Débora Barros</t>
  </si>
  <si>
    <t>SEG2247</t>
  </si>
  <si>
    <t>Igor Oliveira</t>
  </si>
  <si>
    <t>SEG2248</t>
  </si>
  <si>
    <t>Salvador da Araújo</t>
  </si>
  <si>
    <t>SEG2249</t>
  </si>
  <si>
    <t>Larissa Correia</t>
  </si>
  <si>
    <t>SEG2250</t>
  </si>
  <si>
    <t>Núria Monteiro</t>
  </si>
  <si>
    <t>SEG2251</t>
  </si>
  <si>
    <t>Clara Sá</t>
  </si>
  <si>
    <t>SEG2252</t>
  </si>
  <si>
    <t>Camila Coelho</t>
  </si>
  <si>
    <t>SEG2253</t>
  </si>
  <si>
    <t>Sara Freitas</t>
  </si>
  <si>
    <t>SEG2254</t>
  </si>
  <si>
    <t>Vítor Baptista</t>
  </si>
  <si>
    <t>SEG2255</t>
  </si>
  <si>
    <t>Ema Matos</t>
  </si>
  <si>
    <t>SEG2256</t>
  </si>
  <si>
    <t>Carlos Torres</t>
  </si>
  <si>
    <t>SEG2257</t>
  </si>
  <si>
    <t>Micael Pinho</t>
  </si>
  <si>
    <t>SEG2258</t>
  </si>
  <si>
    <t>SEG2259</t>
  </si>
  <si>
    <t>Pedro Sousa</t>
  </si>
  <si>
    <t>SEG2260</t>
  </si>
  <si>
    <t>Jaime Magalhães-Matos</t>
  </si>
  <si>
    <t>SEG2261</t>
  </si>
  <si>
    <t>Alice Torres</t>
  </si>
  <si>
    <t>SEG2262</t>
  </si>
  <si>
    <t>Catarina Castro</t>
  </si>
  <si>
    <t>SEG2263</t>
  </si>
  <si>
    <t>Ismael Pinho</t>
  </si>
  <si>
    <t>SEG2264</t>
  </si>
  <si>
    <t>Júlia Rocha</t>
  </si>
  <si>
    <t>SEG2265</t>
  </si>
  <si>
    <t>Afonso Morais</t>
  </si>
  <si>
    <t>SEG2266</t>
  </si>
  <si>
    <t>Lorena Branco</t>
  </si>
  <si>
    <t>SEG2267</t>
  </si>
  <si>
    <t>Valentina Garcia</t>
  </si>
  <si>
    <t>SEG2268</t>
  </si>
  <si>
    <t>Larissa de Santos</t>
  </si>
  <si>
    <t>SEG2269</t>
  </si>
  <si>
    <t>Emanuel Borges</t>
  </si>
  <si>
    <t>SEG2270</t>
  </si>
  <si>
    <t>Íris Teixeira</t>
  </si>
  <si>
    <t>SEG2271</t>
  </si>
  <si>
    <t>Cláudio Anjos-Brito</t>
  </si>
  <si>
    <t>SEG2272</t>
  </si>
  <si>
    <t>Beatriz Loureiro</t>
  </si>
  <si>
    <t>SEG2273</t>
  </si>
  <si>
    <t>Tomé Neves</t>
  </si>
  <si>
    <t>SEG2274</t>
  </si>
  <si>
    <t>SEG2275</t>
  </si>
  <si>
    <t>Guilherme Garcia</t>
  </si>
  <si>
    <t>SEG2276</t>
  </si>
  <si>
    <t>Amélia-Inês Oliveira</t>
  </si>
  <si>
    <t>SEG2277</t>
  </si>
  <si>
    <t>Matias da Miranda</t>
  </si>
  <si>
    <t>SEG2278</t>
  </si>
  <si>
    <t>Sebastião Silva</t>
  </si>
  <si>
    <t>SEG2279</t>
  </si>
  <si>
    <t>Márcio Leal</t>
  </si>
  <si>
    <t>SEG2280</t>
  </si>
  <si>
    <t>Amélia Freitas</t>
  </si>
  <si>
    <t>SEG2281</t>
  </si>
  <si>
    <t>Marcos Matos</t>
  </si>
  <si>
    <t>SEG2282</t>
  </si>
  <si>
    <t>Rodrigo Ramos</t>
  </si>
  <si>
    <t>SEG2283</t>
  </si>
  <si>
    <t>Martim Domingues</t>
  </si>
  <si>
    <t>SEG2284</t>
  </si>
  <si>
    <t>Jéssica Gonçalves</t>
  </si>
  <si>
    <t>SEG2285</t>
  </si>
  <si>
    <t>Yasmin Macedo-Domingues</t>
  </si>
  <si>
    <t>SEG2286</t>
  </si>
  <si>
    <t>Carminho Pacheco</t>
  </si>
  <si>
    <t>SEG2287</t>
  </si>
  <si>
    <t>Edgar Sousa</t>
  </si>
  <si>
    <t>SEG2288</t>
  </si>
  <si>
    <t>SEG2289</t>
  </si>
  <si>
    <t>Gonçalo Cruz-Antunes</t>
  </si>
  <si>
    <t>SEG2290</t>
  </si>
  <si>
    <t>Andreia Soares</t>
  </si>
  <si>
    <t>SEG2291</t>
  </si>
  <si>
    <t>Salvador Gonçalves</t>
  </si>
  <si>
    <t>SEG2292</t>
  </si>
  <si>
    <t>Nádia Valente-Soares</t>
  </si>
  <si>
    <t>SEG2293</t>
  </si>
  <si>
    <t>Luca Neves</t>
  </si>
  <si>
    <t>SEG2294</t>
  </si>
  <si>
    <t>Valentim Neto</t>
  </si>
  <si>
    <t>SEG2295</t>
  </si>
  <si>
    <t>Enzo de Batista</t>
  </si>
  <si>
    <t>SEG2296</t>
  </si>
  <si>
    <t>Paulo Nogueira</t>
  </si>
  <si>
    <t>SEG2297</t>
  </si>
  <si>
    <t>Kelly Machado</t>
  </si>
  <si>
    <t>SEG2298</t>
  </si>
  <si>
    <t>Ariana Matos-Campos</t>
  </si>
  <si>
    <t>SEG2299</t>
  </si>
  <si>
    <t>Laura Rodrigues</t>
  </si>
  <si>
    <t>Actual</t>
  </si>
  <si>
    <t>Previsto</t>
  </si>
  <si>
    <t>Diferença</t>
  </si>
  <si>
    <t>Acção</t>
  </si>
  <si>
    <t>Formação</t>
  </si>
  <si>
    <t>Contratação</t>
  </si>
  <si>
    <t>Salário</t>
  </si>
  <si>
    <t>Contribuição</t>
  </si>
  <si>
    <t>FUN3000</t>
  </si>
  <si>
    <t>Luciana Cunha-Morais</t>
  </si>
  <si>
    <t>FUN3001</t>
  </si>
  <si>
    <t>Carminho Antunes</t>
  </si>
  <si>
    <t>Reformado</t>
  </si>
  <si>
    <t>FUN3002</t>
  </si>
  <si>
    <t>Carlota Branco</t>
  </si>
  <si>
    <t>FUN3003</t>
  </si>
  <si>
    <t>Tomé Cruz</t>
  </si>
  <si>
    <t>FUN3004</t>
  </si>
  <si>
    <t>Lisandro Castro</t>
  </si>
  <si>
    <t>FUN3005</t>
  </si>
  <si>
    <t>Igor Assunção</t>
  </si>
  <si>
    <t>FUN3006</t>
  </si>
  <si>
    <t>Letícia Gonçalves</t>
  </si>
  <si>
    <t>FUN3007</t>
  </si>
  <si>
    <t>Camila Mota</t>
  </si>
  <si>
    <t>FUN3008</t>
  </si>
  <si>
    <t>Laura Pereira-Soares</t>
  </si>
  <si>
    <t>FUN3009</t>
  </si>
  <si>
    <t>Madalena Pacheco</t>
  </si>
  <si>
    <t>FUN3010</t>
  </si>
  <si>
    <t>Adriana Freitas</t>
  </si>
  <si>
    <t>FUN3011</t>
  </si>
  <si>
    <t>Kelly Vaz</t>
  </si>
  <si>
    <t>FUN3012</t>
  </si>
  <si>
    <t>Manuel Teixeira</t>
  </si>
  <si>
    <t>FUN3013</t>
  </si>
  <si>
    <t>Leonardo Pires</t>
  </si>
  <si>
    <t>FUN3014</t>
  </si>
  <si>
    <t>Mia-Ana Alves</t>
  </si>
  <si>
    <t>FUN3015</t>
  </si>
  <si>
    <t>Micael Brito</t>
  </si>
  <si>
    <t>FUN3016</t>
  </si>
  <si>
    <t>Tiago Faria</t>
  </si>
  <si>
    <t>FUN3017</t>
  </si>
  <si>
    <t>Carolina-Nair Pereira</t>
  </si>
  <si>
    <t>FUN3018</t>
  </si>
  <si>
    <t>Gabriel Valente</t>
  </si>
  <si>
    <t>FUN3019</t>
  </si>
  <si>
    <t>Lucas Freitas-Gaspar</t>
  </si>
  <si>
    <t>FUN3020</t>
  </si>
  <si>
    <t>Camila Lourenço</t>
  </si>
  <si>
    <t>FUN3021</t>
  </si>
  <si>
    <t>Raquel-Madalena Loureiro</t>
  </si>
  <si>
    <t>FUN3022</t>
  </si>
  <si>
    <t>Isaac Guerreiro-Castro</t>
  </si>
  <si>
    <t>FUN3023</t>
  </si>
  <si>
    <t>Mauro Guerreiro</t>
  </si>
  <si>
    <t>FUN3024</t>
  </si>
  <si>
    <t>Emma Matos</t>
  </si>
  <si>
    <t>FUN3025</t>
  </si>
  <si>
    <t>Letícia Sousa</t>
  </si>
  <si>
    <t>FUN3026</t>
  </si>
  <si>
    <t>Constança Magalhães</t>
  </si>
  <si>
    <t>FUN3027</t>
  </si>
  <si>
    <t>Tomás Antunes</t>
  </si>
  <si>
    <t>FUN3028</t>
  </si>
  <si>
    <t>Nádia Amaral-Matos</t>
  </si>
  <si>
    <t>FUN3029</t>
  </si>
  <si>
    <t>Lucas Sousa</t>
  </si>
  <si>
    <t>FUN3030</t>
  </si>
  <si>
    <t>Ivo Maia</t>
  </si>
  <si>
    <t>FUN3031</t>
  </si>
  <si>
    <t>Laura Pereira</t>
  </si>
  <si>
    <t>FUN3032</t>
  </si>
  <si>
    <t>Valentina Campos</t>
  </si>
  <si>
    <t>FUN3033</t>
  </si>
  <si>
    <t>Daniela-Lia Cardoso</t>
  </si>
  <si>
    <t>FUN3034</t>
  </si>
  <si>
    <t>Kévim Antunes</t>
  </si>
  <si>
    <t>FUN3035</t>
  </si>
  <si>
    <t>Gaspar Faria-Branco</t>
  </si>
  <si>
    <t>FUN3036</t>
  </si>
  <si>
    <t>Kelly Fernandes</t>
  </si>
  <si>
    <t>FUN3037</t>
  </si>
  <si>
    <t>Kyara Neves</t>
  </si>
  <si>
    <t>FUN3038</t>
  </si>
  <si>
    <t>Iara Morais</t>
  </si>
  <si>
    <t>FUN3039</t>
  </si>
  <si>
    <t>Ariana Coelho</t>
  </si>
  <si>
    <t>FUN3040</t>
  </si>
  <si>
    <t>Lúcia Carneiro</t>
  </si>
  <si>
    <t>FUN3041</t>
  </si>
  <si>
    <t>Luís Ferreira</t>
  </si>
  <si>
    <t>FUN3042</t>
  </si>
  <si>
    <t>Emanuel Matias</t>
  </si>
  <si>
    <t>FUN3043</t>
  </si>
  <si>
    <t>Benedita Gomes</t>
  </si>
  <si>
    <t>FUN3044</t>
  </si>
  <si>
    <t>Miguel Castro</t>
  </si>
  <si>
    <t>FUN3045</t>
  </si>
  <si>
    <t>Vasco Cunha</t>
  </si>
  <si>
    <t>FUN3046</t>
  </si>
  <si>
    <t>Luísa do Mota</t>
  </si>
  <si>
    <t>FUN3047</t>
  </si>
  <si>
    <t>Lia Teixeira</t>
  </si>
  <si>
    <t>FUN3048</t>
  </si>
  <si>
    <t>Matilde Pires</t>
  </si>
  <si>
    <t>FUN3049</t>
  </si>
  <si>
    <t>Lucas Gomes</t>
  </si>
  <si>
    <t>FUN3050</t>
  </si>
  <si>
    <t>Marcos Simões</t>
  </si>
  <si>
    <t>FUN3051</t>
  </si>
  <si>
    <t>FUN3052</t>
  </si>
  <si>
    <t>Victória Coelho-Silva</t>
  </si>
  <si>
    <t>FUN3053</t>
  </si>
  <si>
    <t>Kevin Antunes</t>
  </si>
  <si>
    <t>FUN3054</t>
  </si>
  <si>
    <t>Emma do Pires</t>
  </si>
  <si>
    <t>FUN3055</t>
  </si>
  <si>
    <t>FUN3056</t>
  </si>
  <si>
    <t>Adriana Carneiro</t>
  </si>
  <si>
    <t>FUN3057</t>
  </si>
  <si>
    <t>Pilar Mendes</t>
  </si>
  <si>
    <t>FUN3058</t>
  </si>
  <si>
    <t>Guilherme Baptista</t>
  </si>
  <si>
    <t>FUN3059</t>
  </si>
  <si>
    <t>Isaac Jesus</t>
  </si>
  <si>
    <t>FUN3060</t>
  </si>
  <si>
    <t>Gaspar Santos</t>
  </si>
  <si>
    <t>FUN3061</t>
  </si>
  <si>
    <t>Ismael de Castro</t>
  </si>
  <si>
    <t>FUN3062</t>
  </si>
  <si>
    <t>Ismael Guerreiro</t>
  </si>
  <si>
    <t>FUN3063</t>
  </si>
  <si>
    <t>Benedita Sá</t>
  </si>
  <si>
    <t>FUN3064</t>
  </si>
  <si>
    <t>Benedita Valente</t>
  </si>
  <si>
    <t>FUN3065</t>
  </si>
  <si>
    <t>Pedro Alves-Pereira</t>
  </si>
  <si>
    <t>FUN3066</t>
  </si>
  <si>
    <t>Matilde-Isabel Martins</t>
  </si>
  <si>
    <t>FUN3067</t>
  </si>
  <si>
    <t>Carlota-Anita Tavares</t>
  </si>
  <si>
    <t>FUN3068</t>
  </si>
  <si>
    <t>Vasco Santos</t>
  </si>
  <si>
    <t>FUN3069</t>
  </si>
  <si>
    <t>FUN3070</t>
  </si>
  <si>
    <t>Clara do Nascimento</t>
  </si>
  <si>
    <t>FUN3071</t>
  </si>
  <si>
    <t>Edgar da Pacheco</t>
  </si>
  <si>
    <t>FUN3072</t>
  </si>
  <si>
    <t>Miguel Pinheiro</t>
  </si>
  <si>
    <t>FUN3073</t>
  </si>
  <si>
    <t>Nuno Nunes</t>
  </si>
  <si>
    <t>FUN3074</t>
  </si>
  <si>
    <t>Érica Oliveira</t>
  </si>
  <si>
    <t>FUN3075</t>
  </si>
  <si>
    <t>Renato de Pinheiro</t>
  </si>
  <si>
    <t>FUN3076</t>
  </si>
  <si>
    <t>Alice Batista</t>
  </si>
  <si>
    <t>FUN3077</t>
  </si>
  <si>
    <t>Miriam Macedo</t>
  </si>
  <si>
    <t>FUN3078</t>
  </si>
  <si>
    <t>Constança Barros</t>
  </si>
  <si>
    <t>FUN3079</t>
  </si>
  <si>
    <t>FUN3080</t>
  </si>
  <si>
    <t>Anita Neves</t>
  </si>
  <si>
    <t>FUN3081</t>
  </si>
  <si>
    <t>Joel Simões</t>
  </si>
  <si>
    <t>FUN3082</t>
  </si>
  <si>
    <t>Daniel Mendes</t>
  </si>
  <si>
    <t>FUN3083</t>
  </si>
  <si>
    <t>Mélanie Assunção</t>
  </si>
  <si>
    <t>FUN3084</t>
  </si>
  <si>
    <t>Eduarda Barbosa</t>
  </si>
  <si>
    <t>FUN3085</t>
  </si>
  <si>
    <t>Joaquim Tavares</t>
  </si>
  <si>
    <t>FUN3086</t>
  </si>
  <si>
    <t>Mélanie Loureiro</t>
  </si>
  <si>
    <t>FUN3087</t>
  </si>
  <si>
    <t>Joana Macedo</t>
  </si>
  <si>
    <t>FUN3088</t>
  </si>
  <si>
    <t>Leandro Lima</t>
  </si>
  <si>
    <t>FUN3089</t>
  </si>
  <si>
    <t>Samuel Macedo-Nascimento</t>
  </si>
  <si>
    <t>FUN3090</t>
  </si>
  <si>
    <t>Tiago Magalhães</t>
  </si>
  <si>
    <t>FUN3091</t>
  </si>
  <si>
    <t>Rafaela Pereira</t>
  </si>
  <si>
    <t>FUN3092</t>
  </si>
  <si>
    <t>Denis Abreu</t>
  </si>
  <si>
    <t>FUN3093</t>
  </si>
  <si>
    <t>Gil Matos</t>
  </si>
  <si>
    <t>FUN3094</t>
  </si>
  <si>
    <t>Valentina Neves</t>
  </si>
  <si>
    <t>FUN3095</t>
  </si>
  <si>
    <t>Gil Pinto</t>
  </si>
  <si>
    <t>FUN3096</t>
  </si>
  <si>
    <t>Beatriz Fonseca-Castro</t>
  </si>
  <si>
    <t>FUN3097</t>
  </si>
  <si>
    <t>Núria Valente</t>
  </si>
  <si>
    <t>FUN3098</t>
  </si>
  <si>
    <t>Rúben Vaz</t>
  </si>
  <si>
    <t>FUN3099</t>
  </si>
  <si>
    <t>Eduardo Barbosa</t>
  </si>
  <si>
    <t>FUN3100</t>
  </si>
  <si>
    <t>Diana de Guerreiro</t>
  </si>
  <si>
    <t>FUN3101</t>
  </si>
  <si>
    <t>Nádia Amaral</t>
  </si>
  <si>
    <t>FUN3102</t>
  </si>
  <si>
    <t>Larissa Freitas</t>
  </si>
  <si>
    <t>FUN3103</t>
  </si>
  <si>
    <t>Lúcia Neves</t>
  </si>
  <si>
    <t>FUN3104</t>
  </si>
  <si>
    <t>Ismael Jesus</t>
  </si>
  <si>
    <t>FUN3105</t>
  </si>
  <si>
    <t>Joana Cardoso</t>
  </si>
  <si>
    <t>FUN3106</t>
  </si>
  <si>
    <t>Rafaela Castro</t>
  </si>
  <si>
    <t>FUN3107</t>
  </si>
  <si>
    <t>Renato Loureiro</t>
  </si>
  <si>
    <t>FUN3108</t>
  </si>
  <si>
    <t>Cláudio Azevedo</t>
  </si>
  <si>
    <t>FUN3109</t>
  </si>
  <si>
    <t>Isabela Carvalho</t>
  </si>
  <si>
    <t>FUN3110</t>
  </si>
  <si>
    <t>Simão Andrade</t>
  </si>
  <si>
    <t>FUN3111</t>
  </si>
  <si>
    <t>Petra Costa-Garcia</t>
  </si>
  <si>
    <t>FUN3112</t>
  </si>
  <si>
    <t>Lorena Oliveira</t>
  </si>
  <si>
    <t>FUN3113</t>
  </si>
  <si>
    <t>Maria Faria</t>
  </si>
  <si>
    <t>FUN3114</t>
  </si>
  <si>
    <t>Luísa Maia</t>
  </si>
  <si>
    <t>FUN3115</t>
  </si>
  <si>
    <t>Letícia Martins</t>
  </si>
  <si>
    <t>FUN3116</t>
  </si>
  <si>
    <t>Rodrigo do Barros</t>
  </si>
  <si>
    <t>FUN3117</t>
  </si>
  <si>
    <t>Valentim Fonseca</t>
  </si>
  <si>
    <t>FUN3118</t>
  </si>
  <si>
    <t>Ricardo Fernandes</t>
  </si>
  <si>
    <t>FUN3119</t>
  </si>
  <si>
    <t>Renato Domingues</t>
  </si>
  <si>
    <t>FUN3120</t>
  </si>
  <si>
    <t>Leonardo Coelho</t>
  </si>
  <si>
    <t>FUN3121</t>
  </si>
  <si>
    <t>Erika Mendes</t>
  </si>
  <si>
    <t>FUN3122</t>
  </si>
  <si>
    <t>Luca Neto</t>
  </si>
  <si>
    <t>FUN3123</t>
  </si>
  <si>
    <t>Ivo Melo</t>
  </si>
  <si>
    <t>FUN3124</t>
  </si>
  <si>
    <t>Carlos de Cunha</t>
  </si>
  <si>
    <t>FUN3125</t>
  </si>
  <si>
    <t>Joana Matos</t>
  </si>
  <si>
    <t>FUN3126</t>
  </si>
  <si>
    <t>Beatriz Gaspar</t>
  </si>
  <si>
    <t>FUN3127</t>
  </si>
  <si>
    <t>Irina-Jéssica Soares</t>
  </si>
  <si>
    <t>FUN3128</t>
  </si>
  <si>
    <t>Fábio Miranda</t>
  </si>
  <si>
    <t>FUN3129</t>
  </si>
  <si>
    <t>Joel Leite-Moura</t>
  </si>
  <si>
    <t>FUN3130</t>
  </si>
  <si>
    <t>Afonso Matias</t>
  </si>
  <si>
    <t>FUN3131</t>
  </si>
  <si>
    <t>Enzo Vieira</t>
  </si>
  <si>
    <t>FUN3132</t>
  </si>
  <si>
    <t>Inês Assunção</t>
  </si>
  <si>
    <t>FUN3133</t>
  </si>
  <si>
    <t>Letícia da Domingues</t>
  </si>
  <si>
    <t>FUN3134</t>
  </si>
  <si>
    <t>Patrícia Figueiredo</t>
  </si>
  <si>
    <t>FUN3135</t>
  </si>
  <si>
    <t>Joana-Rita Ribeiro</t>
  </si>
  <si>
    <t>FUN3136</t>
  </si>
  <si>
    <t>Salomé Figueiredo</t>
  </si>
  <si>
    <t>FUN3137</t>
  </si>
  <si>
    <t>FUN3138</t>
  </si>
  <si>
    <t>Letícia Almeida</t>
  </si>
  <si>
    <t>FUN3139</t>
  </si>
  <si>
    <t>Brian Oliveira</t>
  </si>
  <si>
    <t>FUN3140</t>
  </si>
  <si>
    <t>Anita Freitas</t>
  </si>
  <si>
    <t>FUN3141</t>
  </si>
  <si>
    <t>Iara Branco-Cardoso</t>
  </si>
  <si>
    <t>FUN3142</t>
  </si>
  <si>
    <t>Sandro Alves</t>
  </si>
  <si>
    <t>FUN3143</t>
  </si>
  <si>
    <t>Márcio do Vaz</t>
  </si>
  <si>
    <t>FUN3144</t>
  </si>
  <si>
    <t>Renato Pacheco</t>
  </si>
  <si>
    <t>FUN3145</t>
  </si>
  <si>
    <t>Irina Vicente</t>
  </si>
  <si>
    <t>FUN3146</t>
  </si>
  <si>
    <t>Pilar Silva</t>
  </si>
  <si>
    <t>FUN3147</t>
  </si>
  <si>
    <t>FUN3148</t>
  </si>
  <si>
    <t>Lara Sá</t>
  </si>
  <si>
    <t>FUN3149</t>
  </si>
  <si>
    <t>Márcio Santos</t>
  </si>
  <si>
    <t>FUN3150</t>
  </si>
  <si>
    <t>Vicente Mendes</t>
  </si>
  <si>
    <t>FUN3151</t>
  </si>
  <si>
    <t>Carlos Domingues-Faria</t>
  </si>
  <si>
    <t>FUN3152</t>
  </si>
  <si>
    <t>Dinis Coelho-Ferreira</t>
  </si>
  <si>
    <t>FUN3153</t>
  </si>
  <si>
    <t>Manuel Pinho</t>
  </si>
  <si>
    <t>FUN3154</t>
  </si>
  <si>
    <t>Luana Rodrigues</t>
  </si>
  <si>
    <t>FUN3155</t>
  </si>
  <si>
    <t>Emanuel Assunção</t>
  </si>
  <si>
    <t>FUN3156</t>
  </si>
  <si>
    <t>Tomé Leal</t>
  </si>
  <si>
    <t>FUN3157</t>
  </si>
  <si>
    <t>Eduarda Abreu</t>
  </si>
  <si>
    <t>FUN3158</t>
  </si>
  <si>
    <t>Emma-Iara Machado</t>
  </si>
  <si>
    <t>FUN3159</t>
  </si>
  <si>
    <t>João Monteiro</t>
  </si>
  <si>
    <t>FUN3160</t>
  </si>
  <si>
    <t>Luís Cruz</t>
  </si>
  <si>
    <t>FUN3161</t>
  </si>
  <si>
    <t>Mélanie de Simões</t>
  </si>
  <si>
    <t>FUN3162</t>
  </si>
  <si>
    <t>FUN3163</t>
  </si>
  <si>
    <t>Eva Pinto</t>
  </si>
  <si>
    <t>FUN3164</t>
  </si>
  <si>
    <t>Gaspar Fernandes</t>
  </si>
  <si>
    <t>FUN3165</t>
  </si>
  <si>
    <t>Rafaela Freitas</t>
  </si>
  <si>
    <t>FUN3166</t>
  </si>
  <si>
    <t>Francisca-Yasmin Morais</t>
  </si>
  <si>
    <t>FUN3167</t>
  </si>
  <si>
    <t>Nelson Torres</t>
  </si>
  <si>
    <t>FUN3168</t>
  </si>
  <si>
    <t>Rui Santos</t>
  </si>
  <si>
    <t>FUN3169</t>
  </si>
  <si>
    <t>Joana-Rita Sousa</t>
  </si>
  <si>
    <t>FUN3170</t>
  </si>
  <si>
    <t>Alexandra Carneiro</t>
  </si>
  <si>
    <t>FUN3171</t>
  </si>
  <si>
    <t>Rita Neto</t>
  </si>
  <si>
    <t>FUN3172</t>
  </si>
  <si>
    <t>Ismael Nogueira</t>
  </si>
  <si>
    <t>FUN3173</t>
  </si>
  <si>
    <t>Margarida Carvalho-Branco</t>
  </si>
  <si>
    <t>FUN3174</t>
  </si>
  <si>
    <t>Emma Antunes</t>
  </si>
  <si>
    <t>FUN3175</t>
  </si>
  <si>
    <t>Isabela Lima</t>
  </si>
  <si>
    <t>FUN3176</t>
  </si>
  <si>
    <t>Luís do Ribeiro</t>
  </si>
  <si>
    <t>FUN3177</t>
  </si>
  <si>
    <t>Andreia Coelho</t>
  </si>
  <si>
    <t>FUN3178</t>
  </si>
  <si>
    <t>Ariana Cunha</t>
  </si>
  <si>
    <t>FUN3179</t>
  </si>
  <si>
    <t>Ana-Clara Branco</t>
  </si>
  <si>
    <t>FUN3180</t>
  </si>
  <si>
    <t>Laura Miranda</t>
  </si>
  <si>
    <t>FUN3181</t>
  </si>
  <si>
    <t>Isaac Silva</t>
  </si>
  <si>
    <t>FUN3182</t>
  </si>
  <si>
    <t>Joana Andrade</t>
  </si>
  <si>
    <t>FUN3183</t>
  </si>
  <si>
    <t>Maria Pires</t>
  </si>
  <si>
    <t>FUN3184</t>
  </si>
  <si>
    <t>Marta Vaz</t>
  </si>
  <si>
    <t>FUN3185</t>
  </si>
  <si>
    <t>Afonso Ramos</t>
  </si>
  <si>
    <t>FUN3186</t>
  </si>
  <si>
    <t>Andreia Machado</t>
  </si>
  <si>
    <t>FUN3187</t>
  </si>
  <si>
    <t>Guilherme Sousa</t>
  </si>
  <si>
    <t>FUN3188</t>
  </si>
  <si>
    <t>William Carvalho</t>
  </si>
  <si>
    <t>FUN3189</t>
  </si>
  <si>
    <t>Lucas Amaral</t>
  </si>
  <si>
    <t>FUN3190</t>
  </si>
  <si>
    <t>Miriam Matias</t>
  </si>
  <si>
    <t>FUN3191</t>
  </si>
  <si>
    <t>Gil Mota</t>
  </si>
  <si>
    <t>FUN3192</t>
  </si>
  <si>
    <t>William Machado-Moura</t>
  </si>
  <si>
    <t>FUN3193</t>
  </si>
  <si>
    <t>Igor Tavares-Santos</t>
  </si>
  <si>
    <t>FUN3194</t>
  </si>
  <si>
    <t>Jaime da Garcia</t>
  </si>
  <si>
    <t>FUN3195</t>
  </si>
  <si>
    <t>César da Henriques</t>
  </si>
  <si>
    <t>FUN3196</t>
  </si>
  <si>
    <t>Laura Castro</t>
  </si>
  <si>
    <t>FUN3197</t>
  </si>
  <si>
    <t>Kévim Henriques</t>
  </si>
  <si>
    <t>FUN3198</t>
  </si>
  <si>
    <t>Iara Lopes</t>
  </si>
  <si>
    <t>FUN3199</t>
  </si>
  <si>
    <t>FUN3200</t>
  </si>
  <si>
    <t>Melissa Pires-Carneiro</t>
  </si>
  <si>
    <t>FUN3201</t>
  </si>
  <si>
    <t>Ema Santos</t>
  </si>
  <si>
    <t>FUN3202</t>
  </si>
  <si>
    <t>Mário Neves</t>
  </si>
  <si>
    <t>FUN3203</t>
  </si>
  <si>
    <t>Ivo Henriques</t>
  </si>
  <si>
    <t>FUN3204</t>
  </si>
  <si>
    <t>Cláudio Gonçalves-Simões</t>
  </si>
  <si>
    <t>FUN3205</t>
  </si>
  <si>
    <t>Íris Fernandes</t>
  </si>
  <si>
    <t>FUN3206</t>
  </si>
  <si>
    <t>Luna de Pereira</t>
  </si>
  <si>
    <t>FUN3207</t>
  </si>
  <si>
    <t>Daniel Tavares</t>
  </si>
  <si>
    <t>FUN3208</t>
  </si>
  <si>
    <t>Débora Jesus</t>
  </si>
  <si>
    <t>FUN3209</t>
  </si>
  <si>
    <t>Rafaela de Oliveira</t>
  </si>
  <si>
    <t>FUN3210</t>
  </si>
  <si>
    <t>Leandro de Loureiro</t>
  </si>
  <si>
    <t>FUN3211</t>
  </si>
  <si>
    <t>Luciana Alves</t>
  </si>
  <si>
    <t>FUN3212</t>
  </si>
  <si>
    <t>Patrícia de Jesus</t>
  </si>
  <si>
    <t>FUN3213</t>
  </si>
  <si>
    <t>Daniel Domingues</t>
  </si>
  <si>
    <t>FUN3214</t>
  </si>
  <si>
    <t>Matilde Santos</t>
  </si>
  <si>
    <t>FUN3215</t>
  </si>
  <si>
    <t>Hugo Brito</t>
  </si>
  <si>
    <t>FUN3216</t>
  </si>
  <si>
    <t>Álvaro Figueiredo-Brito</t>
  </si>
  <si>
    <t>FUN3217</t>
  </si>
  <si>
    <t>Bruna Maia</t>
  </si>
  <si>
    <t>FUN3218</t>
  </si>
  <si>
    <t>Gabriel da Gaspar</t>
  </si>
  <si>
    <t>FUN3219</t>
  </si>
  <si>
    <t>Vitória Pinheiro</t>
  </si>
  <si>
    <t>FUN3220</t>
  </si>
  <si>
    <t>Álvaro Santos</t>
  </si>
  <si>
    <t>FUN3221</t>
  </si>
  <si>
    <t>Nair Magalhães</t>
  </si>
  <si>
    <t>FUN3222</t>
  </si>
  <si>
    <t>Jaime da Santos</t>
  </si>
  <si>
    <t>FUN3223</t>
  </si>
  <si>
    <t>Tiago Pacheco</t>
  </si>
  <si>
    <t>FUN3224</t>
  </si>
  <si>
    <t>Irina Brito</t>
  </si>
  <si>
    <t>FUN3225</t>
  </si>
  <si>
    <t>Afonso Guerreiro</t>
  </si>
  <si>
    <t>FUN3226</t>
  </si>
  <si>
    <t>Raquel Nunes</t>
  </si>
  <si>
    <t>FUN3227</t>
  </si>
  <si>
    <t>Sara-Mélanie Amaral</t>
  </si>
  <si>
    <t>FUN3228</t>
  </si>
  <si>
    <t>Clara Brito</t>
  </si>
  <si>
    <t>FUN3229</t>
  </si>
  <si>
    <t>Matilde Antunes-Mota</t>
  </si>
  <si>
    <t>FUN3230</t>
  </si>
  <si>
    <t>Mauro da Gonçalves</t>
  </si>
  <si>
    <t>FUN3231</t>
  </si>
  <si>
    <t>Joel Loureiro</t>
  </si>
  <si>
    <t>FUN3232</t>
  </si>
  <si>
    <t>FUN3233</t>
  </si>
  <si>
    <t>Rita Costa</t>
  </si>
  <si>
    <t>FUN3234</t>
  </si>
  <si>
    <t>Sofia Vicente</t>
  </si>
  <si>
    <t>FUN3235</t>
  </si>
  <si>
    <t>Bárbara da Pacheco</t>
  </si>
  <si>
    <t>FUN3236</t>
  </si>
  <si>
    <t>Irina Martins</t>
  </si>
  <si>
    <t>FUN3237</t>
  </si>
  <si>
    <t>Mário Campos</t>
  </si>
  <si>
    <t>FUN3238</t>
  </si>
  <si>
    <t>Jaime Sá-Mendes</t>
  </si>
  <si>
    <t>FUN3239</t>
  </si>
  <si>
    <t>Miguel Martins</t>
  </si>
  <si>
    <t>FUN3240</t>
  </si>
  <si>
    <t>Noah Cruz</t>
  </si>
  <si>
    <t>FUN3241</t>
  </si>
  <si>
    <t>Daniela Faria</t>
  </si>
  <si>
    <t>FUN3242</t>
  </si>
  <si>
    <t>Carlos Guerreiro</t>
  </si>
  <si>
    <t>FUN3243</t>
  </si>
  <si>
    <t>Adriana Henriques</t>
  </si>
  <si>
    <t>FUN3244</t>
  </si>
  <si>
    <t>Salomé Valente-Soares</t>
  </si>
  <si>
    <t>FUN3245</t>
  </si>
  <si>
    <t>Anita Azevedo</t>
  </si>
  <si>
    <t>FUN3246</t>
  </si>
  <si>
    <t>Carminho Garcia</t>
  </si>
  <si>
    <t>FUN3247</t>
  </si>
  <si>
    <t>Ricardo Antunes</t>
  </si>
  <si>
    <t>FUN3248</t>
  </si>
  <si>
    <t>FUN3249</t>
  </si>
  <si>
    <t>Isaac Coelho</t>
  </si>
  <si>
    <t>FUN3250</t>
  </si>
  <si>
    <t>Fabiana-Laura Borges</t>
  </si>
  <si>
    <t>FUN3251</t>
  </si>
  <si>
    <t>Camila Soares-Simões</t>
  </si>
  <si>
    <t>FUN3252</t>
  </si>
  <si>
    <t>Pedro Cunha</t>
  </si>
  <si>
    <t>FUN3253</t>
  </si>
  <si>
    <t>Eduardo Carvalho</t>
  </si>
  <si>
    <t>FUN3254</t>
  </si>
  <si>
    <t>Mia Pinho-Lima</t>
  </si>
  <si>
    <t>FUN3255</t>
  </si>
  <si>
    <t>Laura-Mariana Pinho</t>
  </si>
  <si>
    <t>FUN3256</t>
  </si>
  <si>
    <t>FUN3257</t>
  </si>
  <si>
    <t>Pedro Freitas</t>
  </si>
  <si>
    <t>FUN3258</t>
  </si>
  <si>
    <t>Mateus Amaral</t>
  </si>
  <si>
    <t>FUN3259</t>
  </si>
  <si>
    <t>Miguel Andrade</t>
  </si>
  <si>
    <t>FUN3260</t>
  </si>
  <si>
    <t>Noa Nunes</t>
  </si>
  <si>
    <t>FUN3261</t>
  </si>
  <si>
    <t>Mafalda Araújo</t>
  </si>
  <si>
    <t>FUN3262</t>
  </si>
  <si>
    <t>Ema Reis</t>
  </si>
  <si>
    <t>FUN3263</t>
  </si>
  <si>
    <t>Matias Carvalho-Pires</t>
  </si>
  <si>
    <t>FUN3264</t>
  </si>
  <si>
    <t>Marcos Matias</t>
  </si>
  <si>
    <t>FUN3265</t>
  </si>
  <si>
    <t>Iara Costa</t>
  </si>
  <si>
    <t>FUN3266</t>
  </si>
  <si>
    <t>Soraia Mendes</t>
  </si>
  <si>
    <t>FUN3267</t>
  </si>
  <si>
    <t>Nádia Sá-Matos</t>
  </si>
  <si>
    <t>FUN3268</t>
  </si>
  <si>
    <t>Isabela-Miriam Amorim</t>
  </si>
  <si>
    <t>FUN3269</t>
  </si>
  <si>
    <t>Miriam de Teixeira</t>
  </si>
  <si>
    <t>FUN3270</t>
  </si>
  <si>
    <t>Eduardo Campos</t>
  </si>
  <si>
    <t>FUN3271</t>
  </si>
  <si>
    <t>Enzo Nascimento-Alves</t>
  </si>
  <si>
    <t>FUN3272</t>
  </si>
  <si>
    <t>Santiago Batista</t>
  </si>
  <si>
    <t>FUN3273</t>
  </si>
  <si>
    <t>Luciana Barbosa</t>
  </si>
  <si>
    <t>FUN3274</t>
  </si>
  <si>
    <t>Simão Lourenço-Barbosa</t>
  </si>
  <si>
    <t>FUN3275</t>
  </si>
  <si>
    <t>Kevin Mota</t>
  </si>
  <si>
    <t>FUN3276</t>
  </si>
  <si>
    <t>Clara Amaral</t>
  </si>
  <si>
    <t>FUN3277</t>
  </si>
  <si>
    <t>Noah Pires</t>
  </si>
  <si>
    <t>FUN3278</t>
  </si>
  <si>
    <t>Carminho Fonseca</t>
  </si>
  <si>
    <t>FUN3279</t>
  </si>
  <si>
    <t>Letícia Pinheiro</t>
  </si>
  <si>
    <t>FUN3280</t>
  </si>
  <si>
    <t>Tomás Lima</t>
  </si>
  <si>
    <t>FUN3281</t>
  </si>
  <si>
    <t>Vasco Lima</t>
  </si>
  <si>
    <t>FUN3282</t>
  </si>
  <si>
    <t>Renata-Constança Sousa</t>
  </si>
  <si>
    <t>FUN3283</t>
  </si>
  <si>
    <t>Laura Paiva</t>
  </si>
  <si>
    <t>FUN3284</t>
  </si>
  <si>
    <t>Rodrigo Martins-Macedo</t>
  </si>
  <si>
    <t>FUN3285</t>
  </si>
  <si>
    <t>Juliana Neves</t>
  </si>
  <si>
    <t>FUN3286</t>
  </si>
  <si>
    <t>Eduardo Ribeiro</t>
  </si>
  <si>
    <t>FUN3287</t>
  </si>
  <si>
    <t>Joel Morais</t>
  </si>
  <si>
    <t>FUN3288</t>
  </si>
  <si>
    <t>Tiago Cunha</t>
  </si>
  <si>
    <t>FUN3289</t>
  </si>
  <si>
    <t>Brian da Cardoso</t>
  </si>
  <si>
    <t>FUN3290</t>
  </si>
  <si>
    <t>Nuno do Leite</t>
  </si>
  <si>
    <t>FUN3291</t>
  </si>
  <si>
    <t>Vicente Assunção</t>
  </si>
  <si>
    <t>FUN3292</t>
  </si>
  <si>
    <t>Margarida Ramos</t>
  </si>
  <si>
    <t>FUN3293</t>
  </si>
  <si>
    <t>Sofia do Ramos</t>
  </si>
  <si>
    <t>FUN3294</t>
  </si>
  <si>
    <t>Diogo Pinto</t>
  </si>
  <si>
    <t>FUN3295</t>
  </si>
  <si>
    <t>Francisca de Santos</t>
  </si>
  <si>
    <t>FUN3296</t>
  </si>
  <si>
    <t>FUN3297</t>
  </si>
  <si>
    <t>Pedro Nascimento-Moura</t>
  </si>
  <si>
    <t>FUN3298</t>
  </si>
  <si>
    <t>Cláudio Nascimento</t>
  </si>
  <si>
    <t>FUN3299</t>
  </si>
  <si>
    <t>Pilar-Soraia Azevedo</t>
  </si>
  <si>
    <t>Ocorrência</t>
  </si>
  <si>
    <t>Risco</t>
  </si>
  <si>
    <t>Inspecção</t>
  </si>
  <si>
    <t>Médio</t>
  </si>
  <si>
    <t>Pendente</t>
  </si>
  <si>
    <t>Incidente</t>
  </si>
  <si>
    <t>Resolvido</t>
  </si>
  <si>
    <t>Acidente</t>
  </si>
  <si>
    <t>Baixo</t>
  </si>
  <si>
    <t>Alto</t>
  </si>
  <si>
    <t>Treinamento</t>
  </si>
  <si>
    <t>Cargo Actual</t>
  </si>
  <si>
    <t>Plano</t>
  </si>
  <si>
    <t>Carlos Gaspar</t>
  </si>
  <si>
    <t>Filipe do Pacheco</t>
  </si>
  <si>
    <t>Promoção</t>
  </si>
  <si>
    <t>Planeado</t>
  </si>
  <si>
    <t>Santiago do Mota</t>
  </si>
  <si>
    <t>Mudança Área</t>
  </si>
  <si>
    <t>Tomás Magalhães</t>
  </si>
  <si>
    <t>Francisca Lopes</t>
  </si>
  <si>
    <t>Luísa Araújo</t>
  </si>
  <si>
    <t>Mauro Barros</t>
  </si>
  <si>
    <t>Em andamento</t>
  </si>
  <si>
    <t>Lourenço Teixeira</t>
  </si>
  <si>
    <t>Maria da Pacheco</t>
  </si>
  <si>
    <t>Luana Campos</t>
  </si>
  <si>
    <t>Petra Morais</t>
  </si>
  <si>
    <t>Ângelo Fernandes</t>
  </si>
  <si>
    <t>Mara-Mara Castro</t>
  </si>
  <si>
    <t>Vera Moura</t>
  </si>
  <si>
    <t>Xavier Ramos</t>
  </si>
  <si>
    <t>Benjamim Ferreira</t>
  </si>
  <si>
    <t>Débora de Rocha</t>
  </si>
  <si>
    <t>Camila do Rodrigues</t>
  </si>
  <si>
    <t>Rafaela Moura</t>
  </si>
  <si>
    <t>Artur Anjos</t>
  </si>
  <si>
    <t>Isabel Melo</t>
  </si>
  <si>
    <t>Bruna Faria</t>
  </si>
  <si>
    <t>Duarte Pinheiro</t>
  </si>
  <si>
    <t>Ivo Nogueira</t>
  </si>
  <si>
    <t>Íris Lima</t>
  </si>
  <si>
    <t>Sebastião da Paiva</t>
  </si>
  <si>
    <t>Luna Rocha</t>
  </si>
  <si>
    <t>Denis Matias</t>
  </si>
  <si>
    <t>Yasmin Vaz</t>
  </si>
  <si>
    <t>Kévim Melo</t>
  </si>
  <si>
    <t>Diego Moura</t>
  </si>
  <si>
    <t>Mateus Machado</t>
  </si>
  <si>
    <t>Erica Cruz</t>
  </si>
  <si>
    <t>Filipe Amaral</t>
  </si>
  <si>
    <t>Alice Rodrigues</t>
  </si>
  <si>
    <t>Ivan Freitas</t>
  </si>
  <si>
    <t>Xavier Barros</t>
  </si>
  <si>
    <t>Sérgio Antunes</t>
  </si>
  <si>
    <t>David Brito</t>
  </si>
  <si>
    <t>Lúcia Jesus</t>
  </si>
  <si>
    <t>José Torres</t>
  </si>
  <si>
    <t>César do Correia</t>
  </si>
  <si>
    <t>Lúcia de Baptista</t>
  </si>
  <si>
    <t>Letícia-Bianca Jesus</t>
  </si>
  <si>
    <t>Tomé Alves-Barbosa</t>
  </si>
  <si>
    <t>Fernando Soares-Branco</t>
  </si>
  <si>
    <t>Jaime Santos</t>
  </si>
  <si>
    <t>Tiago Leite</t>
  </si>
  <si>
    <t>Mateus Rocha</t>
  </si>
  <si>
    <t>Rodrigo Matos</t>
  </si>
  <si>
    <t>João do Pereira</t>
  </si>
  <si>
    <t>Carolina Ferreira</t>
  </si>
  <si>
    <t>Nair Henriques-Lima</t>
  </si>
  <si>
    <t>William Garcia</t>
  </si>
  <si>
    <t>Rafaela de Nunes</t>
  </si>
  <si>
    <t>Hugo Teixeira</t>
  </si>
  <si>
    <t>Lourenço Anjos</t>
  </si>
  <si>
    <t>Clara Simões</t>
  </si>
  <si>
    <t>Sérgio Araújo</t>
  </si>
  <si>
    <t>Ângelo Gaspar</t>
  </si>
  <si>
    <t>Raquel Pinto-Mota</t>
  </si>
  <si>
    <t>Bárbara Ferreira</t>
  </si>
  <si>
    <t>Isaac Guerreiro</t>
  </si>
  <si>
    <t>Eduardo Moreira</t>
  </si>
  <si>
    <t>Soraia Faria-Borges</t>
  </si>
  <si>
    <t>Leonardo da Alves</t>
  </si>
  <si>
    <t>Brian Neto</t>
  </si>
  <si>
    <t>Teresa Rocha</t>
  </si>
  <si>
    <t>Brian Faria</t>
  </si>
  <si>
    <t>Rui Morais</t>
  </si>
  <si>
    <t>Lara Vieira</t>
  </si>
  <si>
    <t>Filipa Henriques</t>
  </si>
  <si>
    <t>Nair do Carneiro</t>
  </si>
  <si>
    <t>Nádia Batista</t>
  </si>
  <si>
    <t>Diego Ferreira</t>
  </si>
  <si>
    <t>Samuel de Reis</t>
  </si>
  <si>
    <t>Mateus Pinho</t>
  </si>
  <si>
    <t>Luciana Nogueira</t>
  </si>
  <si>
    <t>Tatiana-Carlota Marques</t>
  </si>
  <si>
    <t>Cláudio Costa</t>
  </si>
  <si>
    <t>Andreia Cruz</t>
  </si>
  <si>
    <t>Letícia Jesus</t>
  </si>
  <si>
    <t>Sandro Costa</t>
  </si>
  <si>
    <t>José Miranda</t>
  </si>
  <si>
    <t>Valentina Macedo-Matias</t>
  </si>
  <si>
    <t>Daniel Henriques</t>
  </si>
  <si>
    <t>Valentina Pinho-Campos</t>
  </si>
  <si>
    <t>Diego da Mota</t>
  </si>
  <si>
    <t>Sara Leal</t>
  </si>
  <si>
    <t>Bernardo Costa</t>
  </si>
  <si>
    <t>Ismael Pinheiro</t>
  </si>
  <si>
    <t>Guilherme Domingues</t>
  </si>
  <si>
    <t>Tiago de Matias</t>
  </si>
  <si>
    <t>Victória Domingues</t>
  </si>
  <si>
    <t>Sérgio Carneiro</t>
  </si>
  <si>
    <t>Bruno Araújo</t>
  </si>
  <si>
    <t>Pilar do Paiva</t>
  </si>
  <si>
    <t>Sebastião Amorim</t>
  </si>
  <si>
    <t>Flor Baptista</t>
  </si>
  <si>
    <t>Kelly da Valente</t>
  </si>
  <si>
    <t>Artur Almeida</t>
  </si>
  <si>
    <t>Isabel Baptista</t>
  </si>
  <si>
    <t>António Monteiro</t>
  </si>
  <si>
    <t>Débora Cardoso</t>
  </si>
  <si>
    <t>Melissa Pinho</t>
  </si>
  <si>
    <t>Camila Silva</t>
  </si>
  <si>
    <t>Fabiana Castro-Matos</t>
  </si>
  <si>
    <t>Diego Leal</t>
  </si>
  <si>
    <t>Filipa do Maia</t>
  </si>
  <si>
    <t>Iara Castro</t>
  </si>
  <si>
    <t>Mateus da Matos</t>
  </si>
  <si>
    <t>Marco do Faria</t>
  </si>
  <si>
    <t>Filipa-Lia Vicente</t>
  </si>
  <si>
    <t>Mafalda Gonçalves</t>
  </si>
  <si>
    <t>Santiago Magalhães</t>
  </si>
  <si>
    <t>Gil de Figueiredo</t>
  </si>
  <si>
    <t>Núria da Neves</t>
  </si>
  <si>
    <t>Jorge Baptista</t>
  </si>
  <si>
    <t>Vasco Azevedo</t>
  </si>
  <si>
    <t>Irina-Isabela Melo</t>
  </si>
  <si>
    <t>Joana Araújo-Cunha</t>
  </si>
  <si>
    <t>Anita Loureiro</t>
  </si>
  <si>
    <t>Kyara Sousa</t>
  </si>
  <si>
    <t>Jaime Moreira-Neto</t>
  </si>
  <si>
    <t>Vera Figueiredo</t>
  </si>
  <si>
    <t>Cláudio Lopes</t>
  </si>
  <si>
    <t>Clara-Bárbara Morais</t>
  </si>
  <si>
    <t>Isabel Castro</t>
  </si>
  <si>
    <t>Fábio Cruz</t>
  </si>
  <si>
    <t>Gabriela do Leal</t>
  </si>
  <si>
    <t>Benedita Jesus</t>
  </si>
  <si>
    <t>Tomás Carvalho</t>
  </si>
  <si>
    <t>Vítor Lima</t>
  </si>
  <si>
    <t>Salvador Nascimento</t>
  </si>
  <si>
    <t>Ivo do Faria</t>
  </si>
  <si>
    <t>Nelson Neves-Loureiro</t>
  </si>
  <si>
    <t>Eva Moura-Amaral</t>
  </si>
  <si>
    <t>Mélanie Fonseca-Antunes</t>
  </si>
  <si>
    <t>Mateus do Tavares</t>
  </si>
  <si>
    <t>Naiara Barbosa</t>
  </si>
  <si>
    <t>Nádia Santos</t>
  </si>
  <si>
    <t>Wilson Anjos</t>
  </si>
  <si>
    <t>Íris Domingues</t>
  </si>
  <si>
    <t>Samuel Reis</t>
  </si>
  <si>
    <t>Leonardo Esteves</t>
  </si>
  <si>
    <t>Wilson Campos-Leite</t>
  </si>
  <si>
    <t>Tomás Pereira</t>
  </si>
  <si>
    <t>Lucas Miranda</t>
  </si>
  <si>
    <t>Catarina Vieira</t>
  </si>
  <si>
    <t>Ângelo de Domingues</t>
  </si>
  <si>
    <t>Raquel Tavares</t>
  </si>
  <si>
    <t>Júlia Valente</t>
  </si>
  <si>
    <t>Andreia Morais</t>
  </si>
  <si>
    <t>Rodrigo Correia</t>
  </si>
  <si>
    <t>Pedro da Rocha</t>
  </si>
  <si>
    <t>Emília Brito</t>
  </si>
  <si>
    <t>Artur da Magalhães</t>
  </si>
  <si>
    <t>Rui Antunes</t>
  </si>
  <si>
    <t>Daniel do Martins</t>
  </si>
  <si>
    <t>Nair Brito</t>
  </si>
  <si>
    <t>Alice Pinheiro</t>
  </si>
  <si>
    <t>Camila Barbosa</t>
  </si>
  <si>
    <t>Daniela Pereira</t>
  </si>
  <si>
    <t>Camila Pinho</t>
  </si>
  <si>
    <t>Bruna Azevedo</t>
  </si>
  <si>
    <t>Joana-Bárbara Valente</t>
  </si>
  <si>
    <t>Isaac Gaspar</t>
  </si>
  <si>
    <t>Luís Loureiro-Nunes</t>
  </si>
  <si>
    <t>Bianca da Lima</t>
  </si>
  <si>
    <t>Tiago Baptista-Ribeiro</t>
  </si>
  <si>
    <t>William Alves</t>
  </si>
  <si>
    <t>Dinis Magalhães</t>
  </si>
  <si>
    <t>Melissa Reis</t>
  </si>
  <si>
    <t>Guilherme Esteves</t>
  </si>
  <si>
    <t>Cláudio Neves</t>
  </si>
  <si>
    <t>Filipa Oliveira</t>
  </si>
  <si>
    <t>Renato Faria</t>
  </si>
  <si>
    <t>Mia Costa-Santos</t>
  </si>
  <si>
    <t>Emília do Domingues</t>
  </si>
  <si>
    <t>Lúcia Anjos-Andrade</t>
  </si>
  <si>
    <t>Afonso Amaral</t>
  </si>
  <si>
    <t>Sérgio Mota</t>
  </si>
  <si>
    <t>Ângela Oliveira</t>
  </si>
  <si>
    <t>Guilherme Branco</t>
  </si>
  <si>
    <t>André Matias-Pereira</t>
  </si>
  <si>
    <t>Matilde Azevedo</t>
  </si>
  <si>
    <t>Pilar Antunes</t>
  </si>
  <si>
    <t>Luca Gomes-Neves</t>
  </si>
  <si>
    <t>Joana Pacheco</t>
  </si>
  <si>
    <t>Igor de Guerreiro</t>
  </si>
  <si>
    <t>Ariana Melo</t>
  </si>
  <si>
    <t>Duarte Magalhães</t>
  </si>
  <si>
    <t>Paulo de Macedo</t>
  </si>
  <si>
    <t>Mafalda Pereira</t>
  </si>
  <si>
    <t>Tomás da Garcia</t>
  </si>
  <si>
    <t>Rúben Pacheco</t>
  </si>
  <si>
    <t>Luísa Marques</t>
  </si>
  <si>
    <t>Edgar Gomes</t>
  </si>
  <si>
    <t>Salomé Antunes</t>
  </si>
  <si>
    <t>Xavier Amaral</t>
  </si>
  <si>
    <t>Victória Gaspar</t>
  </si>
  <si>
    <t>Pilar-Lara Carneiro</t>
  </si>
  <si>
    <t>Hugo Gonçalves</t>
  </si>
  <si>
    <t>Melissa Ramos</t>
  </si>
  <si>
    <t>Camila da Araújo</t>
  </si>
  <si>
    <t>Carolina Ramos</t>
  </si>
  <si>
    <t>Artur da Faria</t>
  </si>
  <si>
    <t>Miguel Barros</t>
  </si>
  <si>
    <t>Iara Branco</t>
  </si>
  <si>
    <t>Diego Brito</t>
  </si>
  <si>
    <t>Xavier Leal-Leal</t>
  </si>
  <si>
    <t>Eduarda Neves</t>
  </si>
  <si>
    <t>Emma Guerreiro</t>
  </si>
  <si>
    <t>Sandro Mendes</t>
  </si>
  <si>
    <t>Paulo Pinto</t>
  </si>
  <si>
    <t>Júlia Vieira</t>
  </si>
  <si>
    <t>Nicole Tavares</t>
  </si>
  <si>
    <t>Wilson Leite</t>
  </si>
  <si>
    <t>Kévim Ferreira</t>
  </si>
  <si>
    <t>Alexandre Rodrigues</t>
  </si>
  <si>
    <t>Daniel Valente</t>
  </si>
  <si>
    <t>Bernardo Paiva</t>
  </si>
  <si>
    <t>Adriana Rocha</t>
  </si>
  <si>
    <t>Constança Rodrigues</t>
  </si>
  <si>
    <t>Bianca do Moura</t>
  </si>
  <si>
    <t>Daniel Morais</t>
  </si>
  <si>
    <t>Sofia Brito</t>
  </si>
  <si>
    <t>Kelly-Íris Pinto</t>
  </si>
  <si>
    <t>Erika Domingues</t>
  </si>
  <si>
    <t>Artur Cruz</t>
  </si>
  <si>
    <t>Rodrigo Leite</t>
  </si>
  <si>
    <t>Lia Campos-Valente</t>
  </si>
  <si>
    <t>António Rocha</t>
  </si>
  <si>
    <t>Mateus Ferreira</t>
  </si>
  <si>
    <t>Ariana-Luísa Andrade</t>
  </si>
  <si>
    <t>Mateus Carneiro</t>
  </si>
  <si>
    <t>David Coelho</t>
  </si>
  <si>
    <t>Erika Matos</t>
  </si>
  <si>
    <t>Débora da Oliveira</t>
  </si>
  <si>
    <t>William Mota</t>
  </si>
  <si>
    <t>Ricardo Garcia</t>
  </si>
  <si>
    <t>Diogo Fonseca</t>
  </si>
  <si>
    <t>Tomé Paiva</t>
  </si>
  <si>
    <t>Samuel da Paiva</t>
  </si>
  <si>
    <t>Sandro Azevedo</t>
  </si>
  <si>
    <t>Emília Valente</t>
  </si>
  <si>
    <t>Miguel Rocha</t>
  </si>
  <si>
    <t>Lia da Campos</t>
  </si>
  <si>
    <t>Alexandra Freitas</t>
  </si>
  <si>
    <t>Letícia Vaz</t>
  </si>
  <si>
    <t>Flor Freitas</t>
  </si>
  <si>
    <t>Mia Borges</t>
  </si>
  <si>
    <t>Bernardo Mota</t>
  </si>
  <si>
    <t>Valentina Machado</t>
  </si>
  <si>
    <t>Brian Borges</t>
  </si>
  <si>
    <t>Ângela Maia</t>
  </si>
  <si>
    <t>Gabriela-Diana Ramos</t>
  </si>
  <si>
    <t>Guilherme Miranda-Rodrigues</t>
  </si>
  <si>
    <t>Sara Batista</t>
  </si>
  <si>
    <t>Bernardo Baptista</t>
  </si>
  <si>
    <t>Ricardo Moura</t>
  </si>
  <si>
    <t>Rafael Brito</t>
  </si>
  <si>
    <t>Diego Amaral-Amaral</t>
  </si>
  <si>
    <t>Artur da Teixeira</t>
  </si>
  <si>
    <t>Gaspar Amorim-Pires</t>
  </si>
  <si>
    <t>Petra Campos-Cunha</t>
  </si>
  <si>
    <t>Renata Paiva</t>
  </si>
  <si>
    <t>Débora Borges</t>
  </si>
  <si>
    <t>Raquel Santos</t>
  </si>
  <si>
    <t>Tomé Gaspar</t>
  </si>
  <si>
    <t>Mauro Oliveira</t>
  </si>
  <si>
    <t>Carlota Melo</t>
  </si>
  <si>
    <t>Lorena Baptista</t>
  </si>
  <si>
    <t>Carlota do Azevedo</t>
  </si>
  <si>
    <t>Lúcia Torres</t>
  </si>
  <si>
    <t>Xavier Ferreira</t>
  </si>
  <si>
    <t>Bruna de Abreu</t>
  </si>
  <si>
    <t>Laura Gomes</t>
  </si>
  <si>
    <t>Fernando Correia</t>
  </si>
  <si>
    <t>Marco Teixeira</t>
  </si>
  <si>
    <t>César Matias</t>
  </si>
  <si>
    <t>Laura Ribeiro</t>
  </si>
  <si>
    <t>Emma Teixeira</t>
  </si>
  <si>
    <t>Alexandre Borges</t>
  </si>
  <si>
    <t>José Paiva</t>
  </si>
  <si>
    <t>Lisandro Monteiro</t>
  </si>
  <si>
    <t>Igor Nunes-Pires</t>
  </si>
  <si>
    <t>Ema Faria</t>
  </si>
  <si>
    <t>Enzo do Andrade</t>
  </si>
  <si>
    <t>Petra Pacheco</t>
  </si>
  <si>
    <t>César do Neves</t>
  </si>
  <si>
    <t>Processo</t>
  </si>
  <si>
    <t>Tipo</t>
  </si>
  <si>
    <t>Descrição</t>
  </si>
  <si>
    <t>DISC5000</t>
  </si>
  <si>
    <t>Fábio Soares</t>
  </si>
  <si>
    <t>Suspensão</t>
  </si>
  <si>
    <t>Voluptas cupiditate soluta ratione.</t>
  </si>
  <si>
    <t>DISC5001</t>
  </si>
  <si>
    <t>Marco Barros</t>
  </si>
  <si>
    <t>Junta Médica</t>
  </si>
  <si>
    <t>Repudiandae dignissimos laborum autem nemo.</t>
  </si>
  <si>
    <t>DISC5002</t>
  </si>
  <si>
    <t>Natus autem rem quia at sed odit.</t>
  </si>
  <si>
    <t>DISC5003</t>
  </si>
  <si>
    <t>Renata Leal</t>
  </si>
  <si>
    <t>Accusantium earum consequuntur praesentium deleniti totam illo.</t>
  </si>
  <si>
    <t>DISC5004</t>
  </si>
  <si>
    <t>Emanuel Nogueira</t>
  </si>
  <si>
    <t>Advertência</t>
  </si>
  <si>
    <t>Dignissimos numquam nobis voluptates quos accusantium.</t>
  </si>
  <si>
    <t>DISC5005</t>
  </si>
  <si>
    <t>Sara Neto</t>
  </si>
  <si>
    <t>Tempore totam molestias tempore.</t>
  </si>
  <si>
    <t>DISC5006</t>
  </si>
  <si>
    <t>Lorena Sousa</t>
  </si>
  <si>
    <t>Repellat expedita animi.</t>
  </si>
  <si>
    <t>DISC5007</t>
  </si>
  <si>
    <t>Rodrigo Barros</t>
  </si>
  <si>
    <t>Velit id quidem repudiandae.</t>
  </si>
  <si>
    <t>DISC5008</t>
  </si>
  <si>
    <t>Simão Maia</t>
  </si>
  <si>
    <t>Iste nihil officia.</t>
  </si>
  <si>
    <t>DISC5009</t>
  </si>
  <si>
    <t>Yara-Teresa Nogueira</t>
  </si>
  <si>
    <t>Modi dolor at dicta.</t>
  </si>
  <si>
    <t>DISC5010</t>
  </si>
  <si>
    <t>Rui Gomes-Cardoso</t>
  </si>
  <si>
    <t>Vitae tempore nam minima.</t>
  </si>
  <si>
    <t>DISC5011</t>
  </si>
  <si>
    <t>Gonçalo Macedo</t>
  </si>
  <si>
    <t>Illum corrupti inventore fugit voluptas consequuntur aut.</t>
  </si>
  <si>
    <t>DISC5012</t>
  </si>
  <si>
    <t>Gil Branco</t>
  </si>
  <si>
    <t>Amet quibusdam excepturi quibusdam.</t>
  </si>
  <si>
    <t>DISC5013</t>
  </si>
  <si>
    <t>Valentim Valente</t>
  </si>
  <si>
    <t>Doloribus numquam molestiae doloremque porro.</t>
  </si>
  <si>
    <t>DISC5014</t>
  </si>
  <si>
    <t>Matilde Matos-Gonçalves</t>
  </si>
  <si>
    <t>Veniam voluptates blanditiis quas sequi.</t>
  </si>
  <si>
    <t>DISC5015</t>
  </si>
  <si>
    <t>Eduardo Melo</t>
  </si>
  <si>
    <t>Tempora cupiditate dolor dolores nisi totam provident.</t>
  </si>
  <si>
    <t>DISC5016</t>
  </si>
  <si>
    <t>Beatae blanditiis molestias libero officiis.</t>
  </si>
  <si>
    <t>DISC5017</t>
  </si>
  <si>
    <t>Eligendi dignissimos rem at natus quia dolor.</t>
  </si>
  <si>
    <t>DISC5018</t>
  </si>
  <si>
    <t>Diana Magalhães</t>
  </si>
  <si>
    <t>Ad natus nihil inventore.</t>
  </si>
  <si>
    <t>DISC5019</t>
  </si>
  <si>
    <t>Margarida de Vaz</t>
  </si>
  <si>
    <t>Totam praesentium nam iusto velit.</t>
  </si>
  <si>
    <t>DISC5020</t>
  </si>
  <si>
    <t>Luana Costa</t>
  </si>
  <si>
    <t>Commodi placeat laboriosam soluta nisi eius et.</t>
  </si>
  <si>
    <t>DISC5021</t>
  </si>
  <si>
    <t>Leonor Neves</t>
  </si>
  <si>
    <t>Necessitatibus odit vero corrupti dolorem sapiente.</t>
  </si>
  <si>
    <t>DISC5022</t>
  </si>
  <si>
    <t>Vicente Valente-Alves</t>
  </si>
  <si>
    <t>Quisquam amet inventore ipsa voluptate natus voluptatibus.</t>
  </si>
  <si>
    <t>DISC5023</t>
  </si>
  <si>
    <t>Rui Barros</t>
  </si>
  <si>
    <t>Vel voluptas in aspernatur.</t>
  </si>
  <si>
    <t>DISC5024</t>
  </si>
  <si>
    <t>Ivan Carvalho-Gonçalves</t>
  </si>
  <si>
    <t>Totam et tempore repudiandae molestiae.</t>
  </si>
  <si>
    <t>DISC5025</t>
  </si>
  <si>
    <t>Renato Borges</t>
  </si>
  <si>
    <t>Placeat ratione itaque et quae dolorum nam.</t>
  </si>
  <si>
    <t>DISC5026</t>
  </si>
  <si>
    <t>Irina Carneiro</t>
  </si>
  <si>
    <t>Id omnis maxime natus labore.</t>
  </si>
  <si>
    <t>DISC5027</t>
  </si>
  <si>
    <t>Núria Marques</t>
  </si>
  <si>
    <t>Voluptatibus at voluptatum illo.</t>
  </si>
  <si>
    <t>DISC5028</t>
  </si>
  <si>
    <t>Eduardo Borges</t>
  </si>
  <si>
    <t>Veniam nihil rem nostrum placeat et.</t>
  </si>
  <si>
    <t>DISC5029</t>
  </si>
  <si>
    <t>Noa Oliveira</t>
  </si>
  <si>
    <t>Odio molestias dolores enim.</t>
  </si>
  <si>
    <t>DISC5030</t>
  </si>
  <si>
    <t>Incidunt aliquam quisquam nobis quae facilis eum.</t>
  </si>
  <si>
    <t>DISC5031</t>
  </si>
  <si>
    <t>Lisandro Magalhães-Esteves</t>
  </si>
  <si>
    <t>Aliquid consequuntur esse quidem quam.</t>
  </si>
  <si>
    <t>DISC5032</t>
  </si>
  <si>
    <t>Petra Macedo</t>
  </si>
  <si>
    <t>Sit minus reiciendis voluptatibus occaecati blanditiis adipisci.</t>
  </si>
  <si>
    <t>DISC5033</t>
  </si>
  <si>
    <t>Rafael Esteves-Esteves</t>
  </si>
  <si>
    <t>Ipsam laboriosam accusamus beatae tempore.</t>
  </si>
  <si>
    <t>DISC5034</t>
  </si>
  <si>
    <t>Pedro da Matos</t>
  </si>
  <si>
    <t>Libero consequatur illum perspiciatis mollitia.</t>
  </si>
  <si>
    <t>DISC5035</t>
  </si>
  <si>
    <t>António Domingues</t>
  </si>
  <si>
    <t>Enim voluptate laudantium.</t>
  </si>
  <si>
    <t>DISC5036</t>
  </si>
  <si>
    <t>Ricardo Nogueira-Teixeira</t>
  </si>
  <si>
    <t>Optio vel facere eligendi cupiditate aliquam.</t>
  </si>
  <si>
    <t>DISC5037</t>
  </si>
  <si>
    <t>Mateus Ramos</t>
  </si>
  <si>
    <t>Eligendi molestiae aperiam rem explicabo laborum voluptates.</t>
  </si>
  <si>
    <t>DISC5038</t>
  </si>
  <si>
    <t>Vítor Fonseca</t>
  </si>
  <si>
    <t>Eos voluptas quae.</t>
  </si>
  <si>
    <t>DISC5039</t>
  </si>
  <si>
    <t>Pedro Magalhães</t>
  </si>
  <si>
    <t>Eaque officiis cumque.</t>
  </si>
  <si>
    <t>DISC5040</t>
  </si>
  <si>
    <t>Fabiana-Naiara Ribeiro</t>
  </si>
  <si>
    <t>Sit est dolores fuga.</t>
  </si>
  <si>
    <t>DISC5041</t>
  </si>
  <si>
    <t>Núria de Pinho</t>
  </si>
  <si>
    <t>Facilis a temporibus hic qui reiciendis veniam.</t>
  </si>
  <si>
    <t>DISC5042</t>
  </si>
  <si>
    <t>Ana Brito</t>
  </si>
  <si>
    <t>Animi eum vel sequi natus odio.</t>
  </si>
  <si>
    <t>DISC5043</t>
  </si>
  <si>
    <t>Álvaro Martins</t>
  </si>
  <si>
    <t>Eos ullam asperiores ullam tenetur corrupti.</t>
  </si>
  <si>
    <t>DISC5044</t>
  </si>
  <si>
    <t>Alexandre Nunes</t>
  </si>
  <si>
    <t>Accusamus adipisci quo.</t>
  </si>
  <si>
    <t>DISC5045</t>
  </si>
  <si>
    <t>Benjamim Ramos</t>
  </si>
  <si>
    <t>Reiciendis consequatur aliquam tenetur earum dolorem.</t>
  </si>
  <si>
    <t>DISC5046</t>
  </si>
  <si>
    <t>Lia Almeida</t>
  </si>
  <si>
    <t>Accusamus porro nostrum perferendis quod illo maxime.</t>
  </si>
  <si>
    <t>DISC5047</t>
  </si>
  <si>
    <t>Naiara da Garcia</t>
  </si>
  <si>
    <t>Cupiditate quos numquam facilis expedita laborum.</t>
  </si>
  <si>
    <t>DISC5048</t>
  </si>
  <si>
    <t>Mia Reis</t>
  </si>
  <si>
    <t>Perspiciatis iusto dolore blanditiis provident.</t>
  </si>
  <si>
    <t>DISC5049</t>
  </si>
  <si>
    <t>Vicente Nogueira</t>
  </si>
  <si>
    <t>At non reprehenderit quisquam ut suscipit ut.</t>
  </si>
  <si>
    <t>DISC5050</t>
  </si>
  <si>
    <t>Álvaro Pereira-Torres</t>
  </si>
  <si>
    <t>Quae consectetur dolorum quasi expedita reprehenderit magni quod.</t>
  </si>
  <si>
    <t>DISC5051</t>
  </si>
  <si>
    <t>Flor Barbosa</t>
  </si>
  <si>
    <t>Nobis possimus ducimus molestiae qui.</t>
  </si>
  <si>
    <t>DISC5052</t>
  </si>
  <si>
    <t>Ariana Sá</t>
  </si>
  <si>
    <t>Corrupti corporis officia similique a.</t>
  </si>
  <si>
    <t>DISC5053</t>
  </si>
  <si>
    <t>Alexandra Nunes</t>
  </si>
  <si>
    <t>Inventore nesciunt ea possimus nam aut exercitationem.</t>
  </si>
  <si>
    <t>DISC5054</t>
  </si>
  <si>
    <t>Carminho Ramos-Costa</t>
  </si>
  <si>
    <t>Ullam eveniet ea repudiandae iure ducimus.</t>
  </si>
  <si>
    <t>DISC5055</t>
  </si>
  <si>
    <t>Constança Coelho-Leal</t>
  </si>
  <si>
    <t>Sit necessitatibus sit nam sapiente exercitationem.</t>
  </si>
  <si>
    <t>DISC5056</t>
  </si>
  <si>
    <t>Clara Gonçalves</t>
  </si>
  <si>
    <t>Incidunt maiores nostrum aliquam odit suscipit.</t>
  </si>
  <si>
    <t>DISC5057</t>
  </si>
  <si>
    <t>Bernardo Figueiredo</t>
  </si>
  <si>
    <t>Quas enim tempore.</t>
  </si>
  <si>
    <t>DISC5058</t>
  </si>
  <si>
    <t>Mafalda-Camila Melo</t>
  </si>
  <si>
    <t>Impedit unde tenetur voluptatum.</t>
  </si>
  <si>
    <t>DISC5059</t>
  </si>
  <si>
    <t>Placeat rem ut corrupti.</t>
  </si>
  <si>
    <t>DISC5060</t>
  </si>
  <si>
    <t>Larissa-Rita Reis</t>
  </si>
  <si>
    <t>Voluptate exercitationem voluptatem iste facilis.</t>
  </si>
  <si>
    <t>DISC5061</t>
  </si>
  <si>
    <t>Gabriel Pacheco</t>
  </si>
  <si>
    <t>Dolor minus vel corrupti inventore.</t>
  </si>
  <si>
    <t>DISC5062</t>
  </si>
  <si>
    <t>Emanuel Gonçalves-Sá</t>
  </si>
  <si>
    <t>Cum id quasi consequatur fugit nostrum cum.</t>
  </si>
  <si>
    <t>DISC5063</t>
  </si>
  <si>
    <t>Alice Fonseca</t>
  </si>
  <si>
    <t>Reprehenderit aliquid et.</t>
  </si>
  <si>
    <t>DISC5064</t>
  </si>
  <si>
    <t>Eius culpa dolores voluptas eaque mollitia aperiam.</t>
  </si>
  <si>
    <t>DISC5065</t>
  </si>
  <si>
    <t>Miguel Paiva</t>
  </si>
  <si>
    <t>Totam sequi maiores.</t>
  </si>
  <si>
    <t>DISC5066</t>
  </si>
  <si>
    <t>Álvaro Loureiro</t>
  </si>
  <si>
    <t>Architecto sunt quisquam nihil.</t>
  </si>
  <si>
    <t>DISC5067</t>
  </si>
  <si>
    <t>Caetana Guerreiro</t>
  </si>
  <si>
    <t>Tempore laboriosam debitis animi est inventore.</t>
  </si>
  <si>
    <t>DISC5068</t>
  </si>
  <si>
    <t>Yara Leal</t>
  </si>
  <si>
    <t>Tempore harum et corporis et.</t>
  </si>
  <si>
    <t>DISC5069</t>
  </si>
  <si>
    <t>Clara Guerreiro-Teixeira</t>
  </si>
  <si>
    <t>Voluptate aspernatur fugit.</t>
  </si>
  <si>
    <t>DISC5070</t>
  </si>
  <si>
    <t>Cristiano do Costa</t>
  </si>
  <si>
    <t>Quia illo temporibus exercitationem beatae molestias dolores.</t>
  </si>
  <si>
    <t>DISC5071</t>
  </si>
  <si>
    <t>Joana-Tatiana Tavares</t>
  </si>
  <si>
    <t>Culpa incidunt unde dolor veritatis ipsum itaque.</t>
  </si>
  <si>
    <t>DISC5072</t>
  </si>
  <si>
    <t>Repudiandae ipsam asperiores corrupti omnis.</t>
  </si>
  <si>
    <t>DISC5073</t>
  </si>
  <si>
    <t>Adriana Machado</t>
  </si>
  <si>
    <t>Accusantium officiis cumque exercitationem.</t>
  </si>
  <si>
    <t>DISC5074</t>
  </si>
  <si>
    <t>Igor Machado</t>
  </si>
  <si>
    <t>Nobis voluptas quod iusto eos fugit.</t>
  </si>
  <si>
    <t>DISC5075</t>
  </si>
  <si>
    <t>Sandro Vicente</t>
  </si>
  <si>
    <t>Dolor corporis neque sunt.</t>
  </si>
  <si>
    <t>DISC5076</t>
  </si>
  <si>
    <t>Afonso Torres-Almeida</t>
  </si>
  <si>
    <t>Nobis itaque aut tenetur voluptate officia sint amet.</t>
  </si>
  <si>
    <t>DISC5077</t>
  </si>
  <si>
    <t>Mélanie Figueiredo</t>
  </si>
  <si>
    <t>Odit eaque fugit corporis deserunt architecto provident.</t>
  </si>
  <si>
    <t>DISC5078</t>
  </si>
  <si>
    <t>Fernando Ramos</t>
  </si>
  <si>
    <t>Exercitationem vitae vitae pariatur odit.</t>
  </si>
  <si>
    <t>DISC5079</t>
  </si>
  <si>
    <t>Larissa Castro</t>
  </si>
  <si>
    <t>Aperiam modi alias eos.</t>
  </si>
  <si>
    <t>DISC5080</t>
  </si>
  <si>
    <t>Repudiandae delectus facere odio voluptatem enim reiciendis.</t>
  </si>
  <si>
    <t>DISC5081</t>
  </si>
  <si>
    <t>Isaac da Barros</t>
  </si>
  <si>
    <t>Eaque aliquid molestiae quasi.</t>
  </si>
  <si>
    <t>DISC5082</t>
  </si>
  <si>
    <t>Alícia Cruz</t>
  </si>
  <si>
    <t>Recusandae natus dolorem praesentium iure.</t>
  </si>
  <si>
    <t>DISC5083</t>
  </si>
  <si>
    <t>Ema Paiva</t>
  </si>
  <si>
    <t>Exercitationem pariatur ea corrupti molestias odit.</t>
  </si>
  <si>
    <t>DISC5084</t>
  </si>
  <si>
    <t>Gaspar Freitas-Figueiredo</t>
  </si>
  <si>
    <t>Accusamus non consectetur numquam quod dolores doloribus.</t>
  </si>
  <si>
    <t>DISC5085</t>
  </si>
  <si>
    <t>Joana Garcia</t>
  </si>
  <si>
    <t>Neque aliquam beatae reiciendis sint.</t>
  </si>
  <si>
    <t>DISC5086</t>
  </si>
  <si>
    <t>Vera Neves-Soares</t>
  </si>
  <si>
    <t>Incidunt quo laborum repellat esse beatae quo.</t>
  </si>
  <si>
    <t>DISC5087</t>
  </si>
  <si>
    <t>Luís Carneiro-Matos</t>
  </si>
  <si>
    <t>Eveniet officia dolorum molestias repellat tempora vel beatae.</t>
  </si>
  <si>
    <t>DISC5088</t>
  </si>
  <si>
    <t>Renato Andrade</t>
  </si>
  <si>
    <t>Nemo ut voluptate fugiat dolores.</t>
  </si>
  <si>
    <t>DISC5089</t>
  </si>
  <si>
    <t>Denis Simões</t>
  </si>
  <si>
    <t>Cum ipsa assumenda totam soluta.</t>
  </si>
  <si>
    <t>DISC5090</t>
  </si>
  <si>
    <t>Luca Soares</t>
  </si>
  <si>
    <t>Quisquam reiciendis nostrum ipsam.</t>
  </si>
  <si>
    <t>DISC5091</t>
  </si>
  <si>
    <t>Débora Maia</t>
  </si>
  <si>
    <t>Nostrum dolor dolor delectus doloremque illum cum.</t>
  </si>
  <si>
    <t>DISC5092</t>
  </si>
  <si>
    <t>Pedro Batista</t>
  </si>
  <si>
    <t>Doloremque sequi recusandae.</t>
  </si>
  <si>
    <t>DISC5093</t>
  </si>
  <si>
    <t>Matilde Pinheiro</t>
  </si>
  <si>
    <t>Repellendus sint reprehenderit repellendus vitae quod a.</t>
  </si>
  <si>
    <t>DISC5094</t>
  </si>
  <si>
    <t>Mariana Marques</t>
  </si>
  <si>
    <t>Perspiciatis animi laborum eius expedita ab laboriosam.</t>
  </si>
  <si>
    <t>DISC5095</t>
  </si>
  <si>
    <t>Wilson Valente-Sá</t>
  </si>
  <si>
    <t>Mollitia animi totam perspiciatis iste.</t>
  </si>
  <si>
    <t>DISC5096</t>
  </si>
  <si>
    <t>Cristiano Barbosa</t>
  </si>
  <si>
    <t>Dolor fugiat non suscipit cumque aperiam.</t>
  </si>
  <si>
    <t>DISC5097</t>
  </si>
  <si>
    <t>Bruna Simões</t>
  </si>
  <si>
    <t>Illo occaecati quam sint.</t>
  </si>
  <si>
    <t>DISC5098</t>
  </si>
  <si>
    <t>Camila Faria</t>
  </si>
  <si>
    <t>Repudiandae deleniti laborum maxime magni quae.</t>
  </si>
  <si>
    <t>DISC5099</t>
  </si>
  <si>
    <t>Mia Assunção</t>
  </si>
  <si>
    <t>Tempore porro delectus commodi.</t>
  </si>
  <si>
    <t>DISC5100</t>
  </si>
  <si>
    <t>Mateus Cunha</t>
  </si>
  <si>
    <t>Et libero fugiat eveniet excepturi nulla quos culpa.</t>
  </si>
  <si>
    <t>DISC5101</t>
  </si>
  <si>
    <t>Ismael Castro</t>
  </si>
  <si>
    <t>Odit animi alias ab deserunt molestiae quia.</t>
  </si>
  <si>
    <t>DISC5102</t>
  </si>
  <si>
    <t>Francisco Baptista</t>
  </si>
  <si>
    <t>Asperiores tempore est quasi perspiciatis.</t>
  </si>
  <si>
    <t>DISC5103</t>
  </si>
  <si>
    <t>Salvador Barbosa</t>
  </si>
  <si>
    <t>Aperiam sequi voluptas alias aliquam inventore impedit.</t>
  </si>
  <si>
    <t>DISC5104</t>
  </si>
  <si>
    <t>Fabiana Barros</t>
  </si>
  <si>
    <t>Placeat libero error exercitationem.</t>
  </si>
  <si>
    <t>DISC5105</t>
  </si>
  <si>
    <t>Filipe Borges</t>
  </si>
  <si>
    <t>Aperiam nisi reprehenderit veniam.</t>
  </si>
  <si>
    <t>DISC5106</t>
  </si>
  <si>
    <t>Tatiana Amaral</t>
  </si>
  <si>
    <t>Delectus cupiditate nemo repudiandae.</t>
  </si>
  <si>
    <t>DISC5107</t>
  </si>
  <si>
    <t>Ariana Antunes</t>
  </si>
  <si>
    <t>Dolorum consequuntur exercitationem consequatur maxime perspiciatis.</t>
  </si>
  <si>
    <t>DISC5108</t>
  </si>
  <si>
    <t>Álvaro Barbosa</t>
  </si>
  <si>
    <t>Cum quam officia sunt dolores.</t>
  </si>
  <si>
    <t>DISC5109</t>
  </si>
  <si>
    <t>Ivo Branco</t>
  </si>
  <si>
    <t>Vitae corrupti cupiditate consectetur tenetur voluptatem.</t>
  </si>
  <si>
    <t>DISC5110</t>
  </si>
  <si>
    <t>Xavier Silva</t>
  </si>
  <si>
    <t>Harum corrupti laudantium fugiat cupiditate.</t>
  </si>
  <si>
    <t>DISC5111</t>
  </si>
  <si>
    <t>Tomás Amorim</t>
  </si>
  <si>
    <t>Nesciunt alias in vitae odio consequuntur.</t>
  </si>
  <si>
    <t>DISC5112</t>
  </si>
  <si>
    <t>Vitória Andrade</t>
  </si>
  <si>
    <t>Dicta explicabo consequuntur repellat recusandae minima magnam.</t>
  </si>
  <si>
    <t>DISC5113</t>
  </si>
  <si>
    <t>Anita Pinho</t>
  </si>
  <si>
    <t>Eligendi nulla ab porro.</t>
  </si>
  <si>
    <t>DISC5114</t>
  </si>
  <si>
    <t>Sofia Vieira</t>
  </si>
  <si>
    <t>Molestias cum dignissimos repellat.</t>
  </si>
  <si>
    <t>DISC5115</t>
  </si>
  <si>
    <t>Núria Leite</t>
  </si>
  <si>
    <t>Pariatur alias laboriosam perferendis.</t>
  </si>
  <si>
    <t>DISC5116</t>
  </si>
  <si>
    <t>Leonor-Luísa Correia</t>
  </si>
  <si>
    <t>Quasi soluta autem in alias.</t>
  </si>
  <si>
    <t>DISC5117</t>
  </si>
  <si>
    <t>Joel do Mendes</t>
  </si>
  <si>
    <t>Inventore consectetur similique mollitia corrupti.</t>
  </si>
  <si>
    <t>DISC5118</t>
  </si>
  <si>
    <t>Gil Pereira</t>
  </si>
  <si>
    <t>Magnam cupiditate occaecati vero ut quaerat.</t>
  </si>
  <si>
    <t>DISC5119</t>
  </si>
  <si>
    <t>Francisco Santos</t>
  </si>
  <si>
    <t>Exercitationem maxime nihil rem.</t>
  </si>
  <si>
    <t>DISC5120</t>
  </si>
  <si>
    <t>Luísa-Teresa Ferreira</t>
  </si>
  <si>
    <t>Esse cum placeat iste harum.</t>
  </si>
  <si>
    <t>DISC5121</t>
  </si>
  <si>
    <t>Inês Santos</t>
  </si>
  <si>
    <t>Molestias alias velit dolorem.</t>
  </si>
  <si>
    <t>DISC5122</t>
  </si>
  <si>
    <t>Violeta Vieira</t>
  </si>
  <si>
    <t>Illum eius blanditiis similique laborum modi reprehenderit.</t>
  </si>
  <si>
    <t>DISC5123</t>
  </si>
  <si>
    <t>Manuel Costa</t>
  </si>
  <si>
    <t>Ex magni ipsa excepturi recusandae velit dolore.</t>
  </si>
  <si>
    <t>DISC5124</t>
  </si>
  <si>
    <t>Marco Rocha</t>
  </si>
  <si>
    <t>Sed ducimus cumque veritatis reprehenderit suscipit dolorem.</t>
  </si>
  <si>
    <t>DISC5125</t>
  </si>
  <si>
    <t>Beatriz Castro</t>
  </si>
  <si>
    <t>Ratione optio consequuntur distinctio asperiores quam.</t>
  </si>
  <si>
    <t>DISC5126</t>
  </si>
  <si>
    <t>Ismael Amaral</t>
  </si>
  <si>
    <t>Eum eligendi sapiente incidunt.</t>
  </si>
  <si>
    <t>DISC5127</t>
  </si>
  <si>
    <t>Victória Lima</t>
  </si>
  <si>
    <t>Temporibus cumque voluptas quae.</t>
  </si>
  <si>
    <t>DISC5128</t>
  </si>
  <si>
    <t>Guilherme Vaz</t>
  </si>
  <si>
    <t>Distinctio minima saepe quos magni aut.</t>
  </si>
  <si>
    <t>DISC5129</t>
  </si>
  <si>
    <t>Ricardo Garcia-Andrade</t>
  </si>
  <si>
    <t>Deserunt libero eligendi nam perferendis illum debitis.</t>
  </si>
  <si>
    <t>DISC5130</t>
  </si>
  <si>
    <t>Carlota-Madalena Soares</t>
  </si>
  <si>
    <t>Tenetur laborum labore enim.</t>
  </si>
  <si>
    <t>DISC5131</t>
  </si>
  <si>
    <t>Santiago Nunes</t>
  </si>
  <si>
    <t>Iure vero sint corporis.</t>
  </si>
  <si>
    <t>DISC5132</t>
  </si>
  <si>
    <t>Mário Leal-Marques</t>
  </si>
  <si>
    <t>Minima illo tempora ad iure eos.</t>
  </si>
  <si>
    <t>DISC5133</t>
  </si>
  <si>
    <t>Kévim Machado</t>
  </si>
  <si>
    <t>Natus adipisci voluptatem ratione perferendis molestias quam provident.</t>
  </si>
  <si>
    <t>DISC5134</t>
  </si>
  <si>
    <t>Melissa Vieira</t>
  </si>
  <si>
    <t>Facilis consectetur atque omnis ipsam voluptatibus.</t>
  </si>
  <si>
    <t>DISC5135</t>
  </si>
  <si>
    <t>Mariana Lourenço</t>
  </si>
  <si>
    <t>Nemo nemo modi.</t>
  </si>
  <si>
    <t>DISC5136</t>
  </si>
  <si>
    <t>Tatiana Ribeiro</t>
  </si>
  <si>
    <t>Optio repellat modi modi fuga.</t>
  </si>
  <si>
    <t>DISC5137</t>
  </si>
  <si>
    <t>Lara Freitas</t>
  </si>
  <si>
    <t>Ab ipsum nisi quasi magnam.</t>
  </si>
  <si>
    <t>DISC5138</t>
  </si>
  <si>
    <t>Atque laborum sunt doloribus dignissimos similique enim.</t>
  </si>
  <si>
    <t>DISC5139</t>
  </si>
  <si>
    <t>Marcos Coelho</t>
  </si>
  <si>
    <t>Voluptatum aspernatur quis doloremque eligendi odio.</t>
  </si>
  <si>
    <t>DISC5140</t>
  </si>
  <si>
    <t>Jaime Nunes</t>
  </si>
  <si>
    <t>Officiis at alias.</t>
  </si>
  <si>
    <t>DISC5141</t>
  </si>
  <si>
    <t>Kelly-Carlota Lima</t>
  </si>
  <si>
    <t>Rem voluptatibus error illo ut quidem.</t>
  </si>
  <si>
    <t>DISC5142</t>
  </si>
  <si>
    <t>Carminho Rocha</t>
  </si>
  <si>
    <t>Nam doloremque iste doloremque labore nisi.</t>
  </si>
  <si>
    <t>DISC5143</t>
  </si>
  <si>
    <t>Mara de Oliveira</t>
  </si>
  <si>
    <t>Itaque cum corrupti quae ducimus sint id illum.</t>
  </si>
  <si>
    <t>DISC5144</t>
  </si>
  <si>
    <t>Helena Marques</t>
  </si>
  <si>
    <t>Quasi adipisci error.</t>
  </si>
  <si>
    <t>DISC5145</t>
  </si>
  <si>
    <t>Rita Freitas-Borges</t>
  </si>
  <si>
    <t>Sed officia asperiores atque voluptatibus quia incidunt sunt.</t>
  </si>
  <si>
    <t>DISC5146</t>
  </si>
  <si>
    <t>Artur Santos</t>
  </si>
  <si>
    <t>Laudantium atque commodi ipsa asperiores sit.</t>
  </si>
  <si>
    <t>DISC5147</t>
  </si>
  <si>
    <t>David Paiva</t>
  </si>
  <si>
    <t>Quo minus excepturi tempora vel laboriosam aliquam dolores.</t>
  </si>
  <si>
    <t>DISC5148</t>
  </si>
  <si>
    <t>Bárbara Tavares</t>
  </si>
  <si>
    <t>Modi laboriosam provident fugit.</t>
  </si>
  <si>
    <t>DISC5149</t>
  </si>
  <si>
    <t>Matias Pereira</t>
  </si>
  <si>
    <t>Magnam eum quas iure ex.</t>
  </si>
  <si>
    <t>DISC5150</t>
  </si>
  <si>
    <t>Fugiat aliquam eligendi.</t>
  </si>
  <si>
    <t>DISC5151</t>
  </si>
  <si>
    <t>Núria Pacheco</t>
  </si>
  <si>
    <t>Earum eius repellat enim molestias.</t>
  </si>
  <si>
    <t>DISC5152</t>
  </si>
  <si>
    <t>Júlia-Núria Magalhães</t>
  </si>
  <si>
    <t>Illo ad quidem ipsum quibusdam provident veritatis ab.</t>
  </si>
  <si>
    <t>DISC5153</t>
  </si>
  <si>
    <t>Carlota Costa</t>
  </si>
  <si>
    <t>Voluptas iure voluptates a.</t>
  </si>
  <si>
    <t>DISC5154</t>
  </si>
  <si>
    <t>Lorena Domingues</t>
  </si>
  <si>
    <t>Hic numquam omnis doloremque.</t>
  </si>
  <si>
    <t>DISC5155</t>
  </si>
  <si>
    <t>Gustavo Vaz</t>
  </si>
  <si>
    <t>Accusamus eaque deleniti aut eligendi eius architecto architecto.</t>
  </si>
  <si>
    <t>DISC5156</t>
  </si>
  <si>
    <t>Bruna Pereira</t>
  </si>
  <si>
    <t>Provident quos omnis error eius.</t>
  </si>
  <si>
    <t>DISC5157</t>
  </si>
  <si>
    <t>Filipe Moura</t>
  </si>
  <si>
    <t>Non modi debitis commodi.</t>
  </si>
  <si>
    <t>DISC5158</t>
  </si>
  <si>
    <t>Igor Antunes</t>
  </si>
  <si>
    <t>Incidunt voluptas eveniet modi.</t>
  </si>
  <si>
    <t>DISC5159</t>
  </si>
  <si>
    <t>Afonso Faria</t>
  </si>
  <si>
    <t>Commodi ea voluptates sed.</t>
  </si>
  <si>
    <t>DISC5160</t>
  </si>
  <si>
    <t>Mauro Rodrigues</t>
  </si>
  <si>
    <t>Quisquam molestiae eveniet beatae.</t>
  </si>
  <si>
    <t>DISC5161</t>
  </si>
  <si>
    <t>Ariana Machado</t>
  </si>
  <si>
    <t>Id dolores doloribus rerum ipsum.</t>
  </si>
  <si>
    <t>DISC5162</t>
  </si>
  <si>
    <t>Jaime Mota-Baptista</t>
  </si>
  <si>
    <t>Cumque mollitia id perspiciatis iusto sit.</t>
  </si>
  <si>
    <t>DISC5163</t>
  </si>
  <si>
    <t>Enzo Coelho-Ribeiro</t>
  </si>
  <si>
    <t>Ipsa consectetur voluptate maiores iure earum.</t>
  </si>
  <si>
    <t>DISC5164</t>
  </si>
  <si>
    <t>Officia reprehenderit modi temporibus.</t>
  </si>
  <si>
    <t>DISC5165</t>
  </si>
  <si>
    <t>Yara Garcia</t>
  </si>
  <si>
    <t>Voluptate quos sapiente tenetur.</t>
  </si>
  <si>
    <t>DISC5166</t>
  </si>
  <si>
    <t>Santiago Reis</t>
  </si>
  <si>
    <t>Officia veniam ratione veritatis debitis quas animi.</t>
  </si>
  <si>
    <t>DISC5167</t>
  </si>
  <si>
    <t>Quaerat dolore dolorem asperiores.</t>
  </si>
  <si>
    <t>DISC5168</t>
  </si>
  <si>
    <t>Alexandra Mendes-Martins</t>
  </si>
  <si>
    <t>Mollitia ipsum deserunt perferendis sed.</t>
  </si>
  <si>
    <t>DISC5169</t>
  </si>
  <si>
    <t>Alexandra Henriques</t>
  </si>
  <si>
    <t>Dignissimos qui reprehenderit dolore.</t>
  </si>
  <si>
    <t>DISC5170</t>
  </si>
  <si>
    <t>Fugiat eum illum hic.</t>
  </si>
  <si>
    <t>DISC5171</t>
  </si>
  <si>
    <t>Luís do Torres</t>
  </si>
  <si>
    <t>Dolore eum reprehenderit officiis.</t>
  </si>
  <si>
    <t>DISC5172</t>
  </si>
  <si>
    <t>Nuno Freitas</t>
  </si>
  <si>
    <t>Earum eveniet at quo amet provident officiis.</t>
  </si>
  <si>
    <t>DISC5173</t>
  </si>
  <si>
    <t>Ana Castro-Monteiro</t>
  </si>
  <si>
    <t>Omnis et nostrum fugiat fugiat.</t>
  </si>
  <si>
    <t>DISC5174</t>
  </si>
  <si>
    <t>Mateus Rodrigues</t>
  </si>
  <si>
    <t>Sit mollitia necessitatibus quam optio eligendi nostrum.</t>
  </si>
  <si>
    <t>DISC5175</t>
  </si>
  <si>
    <t>Micael Nogueira</t>
  </si>
  <si>
    <t>Atque ipsam quos pariatur consequuntur.</t>
  </si>
  <si>
    <t>DISC5176</t>
  </si>
  <si>
    <t>Nicole Moreira</t>
  </si>
  <si>
    <t>Laborum ipsa hic officia atque odit quam.</t>
  </si>
  <si>
    <t>DISC5177</t>
  </si>
  <si>
    <t>Diego Jesus-Mota</t>
  </si>
  <si>
    <t>Reiciendis ex beatae dolorem eaque.</t>
  </si>
  <si>
    <t>DISC5178</t>
  </si>
  <si>
    <t>Carlota Faria</t>
  </si>
  <si>
    <t>Minus totam doloribus labore facere neque.</t>
  </si>
  <si>
    <t>DISC5179</t>
  </si>
  <si>
    <t>Rúben Leal</t>
  </si>
  <si>
    <t>Nihil corrupti laboriosam quo nisi harum nobis.</t>
  </si>
  <si>
    <t>DISC5180</t>
  </si>
  <si>
    <t>Renato Correia</t>
  </si>
  <si>
    <t>Vitae cum molestias fugit.</t>
  </si>
  <si>
    <t>DISC5181</t>
  </si>
  <si>
    <t>Adriana Morais-Oliveira</t>
  </si>
  <si>
    <t>Sit consectetur sed est ab.</t>
  </si>
  <si>
    <t>DISC5182</t>
  </si>
  <si>
    <t>Alícia Martins</t>
  </si>
  <si>
    <t>Esse quas incidunt rerum.</t>
  </si>
  <si>
    <t>DISC5183</t>
  </si>
  <si>
    <t>Caetana Vicente</t>
  </si>
  <si>
    <t>Asperiores rem libero neque natus animi.</t>
  </si>
  <si>
    <t>DISC5184</t>
  </si>
  <si>
    <t>Cláudio Carvalho</t>
  </si>
  <si>
    <t>Vel nemo beatae.</t>
  </si>
  <si>
    <t>DISC5185</t>
  </si>
  <si>
    <t>Hugo Nunes-Morais</t>
  </si>
  <si>
    <t>Assumenda odio consequatur earum laboriosam.</t>
  </si>
  <si>
    <t>DISC5186</t>
  </si>
  <si>
    <t>Fernando Vieira</t>
  </si>
  <si>
    <t>Magni culpa libero sapiente repellendus sit.</t>
  </si>
  <si>
    <t>DISC5187</t>
  </si>
  <si>
    <t>Culpa consectetur excepturi quidem voluptatum.</t>
  </si>
  <si>
    <t>DISC5188</t>
  </si>
  <si>
    <t>Rafaela Amorim</t>
  </si>
  <si>
    <t>Reiciendis sequi minus molestiae quaerat numquam.</t>
  </si>
  <si>
    <t>DISC5189</t>
  </si>
  <si>
    <t>Tomás Correia</t>
  </si>
  <si>
    <t>Deserunt reprehenderit soluta iusto nesciunt labore consequatur veritatis.</t>
  </si>
  <si>
    <t>DISC5190</t>
  </si>
  <si>
    <t>Miguel Correia</t>
  </si>
  <si>
    <t>Quas exercitationem quod inventore.</t>
  </si>
  <si>
    <t>DISC5191</t>
  </si>
  <si>
    <t>Nelson Baptista</t>
  </si>
  <si>
    <t>Nam nostrum praesentium facilis laudantium facere.</t>
  </si>
  <si>
    <t>DISC5192</t>
  </si>
  <si>
    <t>Nádia de Mendes</t>
  </si>
  <si>
    <t>Vel molestiae aperiam perferendis dolor pariatur sunt atque.</t>
  </si>
  <si>
    <t>DISC5193</t>
  </si>
  <si>
    <t>Margarida Marques</t>
  </si>
  <si>
    <t>Laudantium omnis aut reprehenderit atque.</t>
  </si>
  <si>
    <t>DISC5194</t>
  </si>
  <si>
    <t>Gabriel Carvalho</t>
  </si>
  <si>
    <t>Omnis optio sunt quisquam repellendus aliquid.</t>
  </si>
  <si>
    <t>DISC5195</t>
  </si>
  <si>
    <t>Francisco Sá-Azevedo</t>
  </si>
  <si>
    <t>Excepturi dicta temporibus eum repellat dicta.</t>
  </si>
  <si>
    <t>DISC5196</t>
  </si>
  <si>
    <t>Tomás Neto</t>
  </si>
  <si>
    <t>Alias illo quisquam velit porro ratione.</t>
  </si>
  <si>
    <t>DISC5197</t>
  </si>
  <si>
    <t>Duarte Alves</t>
  </si>
  <si>
    <t>Reiciendis nulla ipsa fugiat a necessitatibus quidem.</t>
  </si>
  <si>
    <t>DISC5198</t>
  </si>
  <si>
    <t>Teresa Ramos</t>
  </si>
  <si>
    <t>Dolor molestiae voluptate tenetur.</t>
  </si>
  <si>
    <t>DISC5199</t>
  </si>
  <si>
    <t>Diego Andrade</t>
  </si>
  <si>
    <t>Molestiae placeat porro deserunt.</t>
  </si>
  <si>
    <t>DISC5200</t>
  </si>
  <si>
    <t>Nádia Cruz</t>
  </si>
  <si>
    <t>Temporibus ipsa architecto perspiciatis vel.</t>
  </si>
  <si>
    <t>DISC5201</t>
  </si>
  <si>
    <t>Rúben Santos</t>
  </si>
  <si>
    <t>Accusamus inventore sint quia.</t>
  </si>
  <si>
    <t>DISC5202</t>
  </si>
  <si>
    <t>Ariana Rodrigues</t>
  </si>
  <si>
    <t>Esse quibusdam temporibus laborum.</t>
  </si>
  <si>
    <t>DISC5203</t>
  </si>
  <si>
    <t>Marco Faria</t>
  </si>
  <si>
    <t>Deserunt quidem ullam magni quo eos.</t>
  </si>
  <si>
    <t>DISC5204</t>
  </si>
  <si>
    <t>Beatriz Alves</t>
  </si>
  <si>
    <t>Assumenda veniam perspiciatis temporibus nisi.</t>
  </si>
  <si>
    <t>DISC5205</t>
  </si>
  <si>
    <t>Helena Leal</t>
  </si>
  <si>
    <t>Tempora odio quam totam est labore.</t>
  </si>
  <si>
    <t>DISC5206</t>
  </si>
  <si>
    <t>Mafalda da Carvalho</t>
  </si>
  <si>
    <t>Sit animi voluptas deserunt quibusdam officia earum.</t>
  </si>
  <si>
    <t>DISC5207</t>
  </si>
  <si>
    <t>Pilar Oliveira</t>
  </si>
  <si>
    <t>Ipsam impedit maiores.</t>
  </si>
  <si>
    <t>DISC5208</t>
  </si>
  <si>
    <t>Joel Baptista</t>
  </si>
  <si>
    <t>Omnis rem quae quasi.</t>
  </si>
  <si>
    <t>DISC5209</t>
  </si>
  <si>
    <t>Martim Ferreira-Morais</t>
  </si>
  <si>
    <t>At corrupti repellat error ducimus.</t>
  </si>
  <si>
    <t>DISC5210</t>
  </si>
  <si>
    <t>Mariana de Miranda</t>
  </si>
  <si>
    <t>Maxime nostrum alias dolorum saepe quidem consequuntur.</t>
  </si>
  <si>
    <t>DISC5211</t>
  </si>
  <si>
    <t>Bárbara Ferreira-Vicente</t>
  </si>
  <si>
    <t>Deleniti quod corporis iure labore dolorem.</t>
  </si>
  <si>
    <t>DISC5212</t>
  </si>
  <si>
    <t>Amélia Esteves</t>
  </si>
  <si>
    <t>Sit itaque animi rem.</t>
  </si>
  <si>
    <t>DISC5213</t>
  </si>
  <si>
    <t>Gabriela-Camila Assunção</t>
  </si>
  <si>
    <t>Repudiandae maiores repudiandae nobis nulla debitis maiores.</t>
  </si>
  <si>
    <t>DISC5214</t>
  </si>
  <si>
    <t>Bruno Melo-Matos</t>
  </si>
  <si>
    <t>Eius iusto porro deleniti recusandae nostrum laborum.</t>
  </si>
  <si>
    <t>DISC5215</t>
  </si>
  <si>
    <t>Saepe saepe recusandae aspernatur.</t>
  </si>
  <si>
    <t>DISC5216</t>
  </si>
  <si>
    <t>Ricardo Cardoso</t>
  </si>
  <si>
    <t>Nam ullam et animi.</t>
  </si>
  <si>
    <t>DISC5217</t>
  </si>
  <si>
    <t>Joana Barros</t>
  </si>
  <si>
    <t>Aliquid voluptates quam quibusdam non dolor voluptatibus praesentium.</t>
  </si>
  <si>
    <t>DISC5218</t>
  </si>
  <si>
    <t>Francisca Simões</t>
  </si>
  <si>
    <t>Dignissimos sit sit odit.</t>
  </si>
  <si>
    <t>DISC5219</t>
  </si>
  <si>
    <t>Matilde Teixeira</t>
  </si>
  <si>
    <t>Vitae quam dignissimos natus.</t>
  </si>
  <si>
    <t>DISC5220</t>
  </si>
  <si>
    <t>Bruna-Sara Leite</t>
  </si>
  <si>
    <t>Quos rerum quas saepe in quis quaerat eveniet.</t>
  </si>
  <si>
    <t>DISC5221</t>
  </si>
  <si>
    <t>Emília Carvalho</t>
  </si>
  <si>
    <t>Voluptatibus esse laudantium recusandae.</t>
  </si>
  <si>
    <t>DISC5222</t>
  </si>
  <si>
    <t>Jaime Pereira</t>
  </si>
  <si>
    <t>Error quos doloribus velit non tenetur optio.</t>
  </si>
  <si>
    <t>DISC5223</t>
  </si>
  <si>
    <t>Manuel Jesus</t>
  </si>
  <si>
    <t>Veniam maxime cumque vel.</t>
  </si>
  <si>
    <t>DISC5224</t>
  </si>
  <si>
    <t>Maria do Baptista</t>
  </si>
  <si>
    <t>Modi officiis quibusdam reiciendis qui ipsum.</t>
  </si>
  <si>
    <t>DISC5225</t>
  </si>
  <si>
    <t>Mateus Pacheco</t>
  </si>
  <si>
    <t>Expedita molestias impedit soluta rerum quae.</t>
  </si>
  <si>
    <t>DISC5226</t>
  </si>
  <si>
    <t>Ismael Alves</t>
  </si>
  <si>
    <t>Aliquam doloribus repellat cum.</t>
  </si>
  <si>
    <t>DISC5227</t>
  </si>
  <si>
    <t>Ema-Yara Henriques</t>
  </si>
  <si>
    <t>Vitae sunt corporis debitis magnam sint maiores sed.</t>
  </si>
  <si>
    <t>DISC5228</t>
  </si>
  <si>
    <t>Alexandra Torres</t>
  </si>
  <si>
    <t>Maiores cumque explicabo sed.</t>
  </si>
  <si>
    <t>DISC5229</t>
  </si>
  <si>
    <t>Larissa Esteves</t>
  </si>
  <si>
    <t>Quidem officiis inventore qui autem autem.</t>
  </si>
  <si>
    <t>DISC5230</t>
  </si>
  <si>
    <t>Érica Soares</t>
  </si>
  <si>
    <t>Esse repellendus assumenda.</t>
  </si>
  <si>
    <t>DISC5231</t>
  </si>
  <si>
    <t>David Ribeiro-Amorim</t>
  </si>
  <si>
    <t>In illum corrupti ipsam.</t>
  </si>
  <si>
    <t>DISC5232</t>
  </si>
  <si>
    <t>Inês Pires</t>
  </si>
  <si>
    <t>Cumque occaecati dolorum ab vel eaque quaerat.</t>
  </si>
  <si>
    <t>DISC5233</t>
  </si>
  <si>
    <t>Benjamim Esteves</t>
  </si>
  <si>
    <t>Totam hic quae nemo tempora quas aliquam id.</t>
  </si>
  <si>
    <t>DISC5234</t>
  </si>
  <si>
    <t>Diego Gaspar</t>
  </si>
  <si>
    <t>Dolorem nemo magni fugit iste reiciendis.</t>
  </si>
  <si>
    <t>DISC5235</t>
  </si>
  <si>
    <t>Kyara Castro</t>
  </si>
  <si>
    <t>Numquam dolore deserunt est sapiente magni laudantium.</t>
  </si>
  <si>
    <t>DISC5236</t>
  </si>
  <si>
    <t>Leonardo Fernandes</t>
  </si>
  <si>
    <t>Assumenda eius id omnis eius.</t>
  </si>
  <si>
    <t>DISC5237</t>
  </si>
  <si>
    <t>Renato Leite</t>
  </si>
  <si>
    <t>Tenetur id amet quod nobis inventore.</t>
  </si>
  <si>
    <t>DISC5238</t>
  </si>
  <si>
    <t>Rui de Correia</t>
  </si>
  <si>
    <t>Sit doloremque excepturi harum temporibus quae.</t>
  </si>
  <si>
    <t>DISC5239</t>
  </si>
  <si>
    <t>Letícia Pires</t>
  </si>
  <si>
    <t>Tenetur totam pariatur in.</t>
  </si>
  <si>
    <t>DISC5240</t>
  </si>
  <si>
    <t>José Ribeiro</t>
  </si>
  <si>
    <t>Laboriosam aliquam repudiandae provident eligendi veniam.</t>
  </si>
  <si>
    <t>DISC5241</t>
  </si>
  <si>
    <t>Érica Cruz</t>
  </si>
  <si>
    <t>Modi repellat quos aliquid perferendis beatae.</t>
  </si>
  <si>
    <t>DISC5242</t>
  </si>
  <si>
    <t>Maria Pinho</t>
  </si>
  <si>
    <t>Minima deleniti aliquam corrupti nostrum facere at.</t>
  </si>
  <si>
    <t>DISC5243</t>
  </si>
  <si>
    <t>Fabiana Macedo</t>
  </si>
  <si>
    <t>Voluptas pariatur officia iure ab debitis ratione placeat.</t>
  </si>
  <si>
    <t>DISC5244</t>
  </si>
  <si>
    <t>Gonçalo da Machado</t>
  </si>
  <si>
    <t>Iste accusantium dolor hic similique iure molestias.</t>
  </si>
  <si>
    <t>DISC5245</t>
  </si>
  <si>
    <t>Júlia Moreira-Reis</t>
  </si>
  <si>
    <t>Nulla pariatur porro autem expedita odit fuga.</t>
  </si>
  <si>
    <t>DISC5246</t>
  </si>
  <si>
    <t>Fabiana Neves</t>
  </si>
  <si>
    <t>Eveniet consectetur nemo recusandae enim.</t>
  </si>
  <si>
    <t>DISC5247</t>
  </si>
  <si>
    <t>Lúcia Amaral</t>
  </si>
  <si>
    <t>Et possimus debitis fugiat sit facere illum.</t>
  </si>
  <si>
    <t>DISC5248</t>
  </si>
  <si>
    <t>Rui Maia</t>
  </si>
  <si>
    <t>Qui inventore perferendis inventore dolores accusantium ex.</t>
  </si>
  <si>
    <t>DISC5249</t>
  </si>
  <si>
    <t>Eveniet animi voluptatem excepturi.</t>
  </si>
  <si>
    <t>DISC5250</t>
  </si>
  <si>
    <t>Mafalda da Monteiro</t>
  </si>
  <si>
    <t>Provident tempora a minima enim nemo.</t>
  </si>
  <si>
    <t>DISC5251</t>
  </si>
  <si>
    <t>César Leal</t>
  </si>
  <si>
    <t>Delectus consectetur voluptates hic magni perspiciatis voluptatem.</t>
  </si>
  <si>
    <t>DISC5252</t>
  </si>
  <si>
    <t>Eduarda Freitas</t>
  </si>
  <si>
    <t>Veritatis nemo fugiat accusantium.</t>
  </si>
  <si>
    <t>DISC5253</t>
  </si>
  <si>
    <t>Jaime Mota</t>
  </si>
  <si>
    <t>Labore doloribus est libero.</t>
  </si>
  <si>
    <t>DISC5254</t>
  </si>
  <si>
    <t>Eva Freitas</t>
  </si>
  <si>
    <t>Qui cupiditate provident deserunt voluptatum.</t>
  </si>
  <si>
    <t>DISC5255</t>
  </si>
  <si>
    <t>Edgar Torres</t>
  </si>
  <si>
    <t>Culpa quae exercitationem qui.</t>
  </si>
  <si>
    <t>DISC5256</t>
  </si>
  <si>
    <t>Ana Pacheco-Paiva</t>
  </si>
  <si>
    <t>Quisquam a quis in.</t>
  </si>
  <si>
    <t>DISC5257</t>
  </si>
  <si>
    <t>Gabriel Tavares-Matos</t>
  </si>
  <si>
    <t>Eius error dolores repellendus.</t>
  </si>
  <si>
    <t>DISC5258</t>
  </si>
  <si>
    <t>Quisquam iste ex optio ea nobis.</t>
  </si>
  <si>
    <t>DISC5259</t>
  </si>
  <si>
    <t>Enzo Correia</t>
  </si>
  <si>
    <t>Cumque sed dolores deserunt qui animi dignissimos.</t>
  </si>
  <si>
    <t>DISC5260</t>
  </si>
  <si>
    <t>Micael Matos-Figueiredo</t>
  </si>
  <si>
    <t>Aliquam eos deserunt quia dolorem eum.</t>
  </si>
  <si>
    <t>DISC5261</t>
  </si>
  <si>
    <t>Valentina do Melo</t>
  </si>
  <si>
    <t>Velit pariatur corrupti dicta quo exercitationem quas.</t>
  </si>
  <si>
    <t>DISC5262</t>
  </si>
  <si>
    <t>Marco Araújo</t>
  </si>
  <si>
    <t>Repellendus iure facilis adipisci ipsam.</t>
  </si>
  <si>
    <t>DISC5263</t>
  </si>
  <si>
    <t>Temporibus nisi adipisci ipsum est.</t>
  </si>
  <si>
    <t>DISC5264</t>
  </si>
  <si>
    <t>Ricardo Pires-Simões</t>
  </si>
  <si>
    <t>Quas blanditiis qui veritatis eaque.</t>
  </si>
  <si>
    <t>DISC5265</t>
  </si>
  <si>
    <t>Carminho Nogueira-Gomes</t>
  </si>
  <si>
    <t>Dolores id molestias at recusandae.</t>
  </si>
  <si>
    <t>DISC5266</t>
  </si>
  <si>
    <t>Anita Carneiro</t>
  </si>
  <si>
    <t>Repudiandae blanditiis minima deserunt.</t>
  </si>
  <si>
    <t>DISC5267</t>
  </si>
  <si>
    <t>Laura Amaral-Leal</t>
  </si>
  <si>
    <t>Provident laboriosam itaque vitae natus libero.</t>
  </si>
  <si>
    <t>DISC5268</t>
  </si>
  <si>
    <t>Vitória Gonçalves</t>
  </si>
  <si>
    <t>Cum accusantium voluptas non quod reiciendis facilis.</t>
  </si>
  <si>
    <t>DISC5269</t>
  </si>
  <si>
    <t>Enzo do Gaspar</t>
  </si>
  <si>
    <t>Ipsum hic ad rem quia occaecati nulla.</t>
  </si>
  <si>
    <t>DISC5270</t>
  </si>
  <si>
    <t>Kyara Gomes-Pinheiro</t>
  </si>
  <si>
    <t>Sit aspernatur inventore animi quia.</t>
  </si>
  <si>
    <t>DISC5271</t>
  </si>
  <si>
    <t>Emília-Anita Pinto</t>
  </si>
  <si>
    <t>Est placeat neque eius laudantium minus expedita repellendus.</t>
  </si>
  <si>
    <t>DISC5272</t>
  </si>
  <si>
    <t>Anita Cunha</t>
  </si>
  <si>
    <t>Fuga nihil vero.</t>
  </si>
  <si>
    <t>DISC5273</t>
  </si>
  <si>
    <t>Mia Macedo</t>
  </si>
  <si>
    <t>Quod fugit impedit accusantium iure.</t>
  </si>
  <si>
    <t>DISC5274</t>
  </si>
  <si>
    <t>Anita Pinheiro</t>
  </si>
  <si>
    <t>Cumque officia blanditiis illum.</t>
  </si>
  <si>
    <t>DISC5275</t>
  </si>
  <si>
    <t>Letícia Magalhães</t>
  </si>
  <si>
    <t>Odit quas eaque atque numquam impedit.</t>
  </si>
  <si>
    <t>DISC5276</t>
  </si>
  <si>
    <t>Bernardo Tavares</t>
  </si>
  <si>
    <t>Eaque voluptatum est consequatur similique dolores soluta.</t>
  </si>
  <si>
    <t>DISC5277</t>
  </si>
  <si>
    <t>Debitis commodi porro.</t>
  </si>
  <si>
    <t>DISC5278</t>
  </si>
  <si>
    <t>Rafaela Teixeira</t>
  </si>
  <si>
    <t>Eaque quod iusto libero debitis distinctio occaecati.</t>
  </si>
  <si>
    <t>DISC5279</t>
  </si>
  <si>
    <t>Lisandro Soares</t>
  </si>
  <si>
    <t>Eaque voluptate sint animi.</t>
  </si>
  <si>
    <t>DISC5280</t>
  </si>
  <si>
    <t>Accusantium aperiam laborum eligendi nemo quae nisi.</t>
  </si>
  <si>
    <t>DISC5281</t>
  </si>
  <si>
    <t>Marta Garcia-Lopes</t>
  </si>
  <si>
    <t>Exercitationem accusantium quos rem ipsam.</t>
  </si>
  <si>
    <t>DISC5282</t>
  </si>
  <si>
    <t>Ângela Ferreira</t>
  </si>
  <si>
    <t>Aliquam blanditiis id consequuntur.</t>
  </si>
  <si>
    <t>DISC5283</t>
  </si>
  <si>
    <t>Nuno Moura</t>
  </si>
  <si>
    <t>Est exercitationem reprehenderit iusto.</t>
  </si>
  <si>
    <t>DISC5284</t>
  </si>
  <si>
    <t>Erica Santos</t>
  </si>
  <si>
    <t>Dolor vel minima ad.</t>
  </si>
  <si>
    <t>DISC5285</t>
  </si>
  <si>
    <t>Bruno Monteiro</t>
  </si>
  <si>
    <t>Consequatur temporibus quis sed corporis ex quasi expedita.</t>
  </si>
  <si>
    <t>DISC5286</t>
  </si>
  <si>
    <t>Larissa Antunes-Machado</t>
  </si>
  <si>
    <t>Deserunt ut beatae eaque voluptatum facilis.</t>
  </si>
  <si>
    <t>DISC5287</t>
  </si>
  <si>
    <t>Tatiana Macedo</t>
  </si>
  <si>
    <t>Officia modi quod soluta adipisci.</t>
  </si>
  <si>
    <t>DISC5288</t>
  </si>
  <si>
    <t>Cláudio Valente</t>
  </si>
  <si>
    <t>Iusto dolorem labore ratione quae eligendi repellendus.</t>
  </si>
  <si>
    <t>DISC5289</t>
  </si>
  <si>
    <t>Alexandra Ferreira</t>
  </si>
  <si>
    <t>Animi quod voluptatibus animi est.</t>
  </si>
  <si>
    <t>DISC5290</t>
  </si>
  <si>
    <t>Andreia Ramos</t>
  </si>
  <si>
    <t>Minus vitae culpa itaque.</t>
  </si>
  <si>
    <t>DISC5291</t>
  </si>
  <si>
    <t>Gabriel Nunes-Baptista</t>
  </si>
  <si>
    <t>Doloremque itaque modi quae.</t>
  </si>
  <si>
    <t>DISC5292</t>
  </si>
  <si>
    <t>Helena Antunes</t>
  </si>
  <si>
    <t>Cum nam quam amet nostrum.</t>
  </si>
  <si>
    <t>DISC5293</t>
  </si>
  <si>
    <t>Gabriela Freitas</t>
  </si>
  <si>
    <t>Aut asperiores sed earum asperiores natus assumenda.</t>
  </si>
  <si>
    <t>DISC5294</t>
  </si>
  <si>
    <t>Emília Esteves</t>
  </si>
  <si>
    <t>Ab perferendis exercitationem at iste nesciunt.</t>
  </si>
  <si>
    <t>DISC5295</t>
  </si>
  <si>
    <t>Nuno Araújo</t>
  </si>
  <si>
    <t>Itaque doloribus excepturi.</t>
  </si>
  <si>
    <t>DISC5296</t>
  </si>
  <si>
    <t>Atque quibusdam ducimus atque non.</t>
  </si>
  <si>
    <t>DISC5297</t>
  </si>
  <si>
    <t>Luís Pinto</t>
  </si>
  <si>
    <t>Ex blanditiis nostrum magni quod nesciunt expedita dignissimos.</t>
  </si>
  <si>
    <t>DISC5298</t>
  </si>
  <si>
    <t>Francisco Gaspar</t>
  </si>
  <si>
    <t>Sequi facere iusto neque maiores iure.</t>
  </si>
  <si>
    <t>DISC5299</t>
  </si>
  <si>
    <t>Ismael Torres</t>
  </si>
  <si>
    <t>Fugit voluptas fugit ab.</t>
  </si>
  <si>
    <t>Novas Contratações</t>
  </si>
  <si>
    <t>Demissões</t>
  </si>
  <si>
    <t>Formações</t>
  </si>
  <si>
    <t>Período</t>
  </si>
  <si>
    <t>Mensal</t>
  </si>
  <si>
    <t>Trimestral</t>
  </si>
  <si>
    <t>Semestral</t>
  </si>
  <si>
    <t>Instruções</t>
  </si>
  <si>
    <t>Formate os dados como Tabela para facilitar a organização  e define os tipos de dados correspondente em cada coluna.</t>
  </si>
  <si>
    <t>1. PAGAMENTOS DE SALÁRIOS</t>
  </si>
  <si>
    <t>Soma total dos salários pagos no mês</t>
  </si>
  <si>
    <t>Soma total dos bônus</t>
  </si>
  <si>
    <t>Soma total dos descontos</t>
  </si>
  <si>
    <t>Total pago por departamento</t>
  </si>
  <si>
    <t>Total pago por província</t>
  </si>
  <si>
    <t>Média salarial da empresa</t>
  </si>
  <si>
    <t>Média salarial por departamento</t>
  </si>
  <si>
    <t>Média dos bônus</t>
  </si>
  <si>
    <t>Média dos descontos</t>
  </si>
  <si>
    <t>Com SOMA</t>
  </si>
  <si>
    <t>Com MÉDIA</t>
  </si>
  <si>
    <t>Com SE</t>
  </si>
  <si>
    <r>
      <t>Classificar salários</t>
    </r>
    <r>
      <rPr>
        <u/>
        <sz val="11"/>
        <color theme="1"/>
        <rFont val="Calibri"/>
        <family val="2"/>
        <scheme val="minor"/>
      </rPr>
      <t xml:space="preserve"> (Salário Alto / Salário Normal)</t>
    </r>
  </si>
  <si>
    <r>
      <t xml:space="preserve">Verificar desconto elevado </t>
    </r>
    <r>
      <rPr>
        <u/>
        <sz val="11"/>
        <color theme="1"/>
        <rFont val="Calibri"/>
        <family val="2"/>
        <scheme val="minor"/>
      </rPr>
      <t>(Verificar / OK)</t>
    </r>
  </si>
  <si>
    <r>
      <t xml:space="preserve">Identificar bônus alto </t>
    </r>
    <r>
      <rPr>
        <u/>
        <sz val="11"/>
        <color theme="1"/>
        <rFont val="Calibri"/>
        <family val="2"/>
        <scheme val="minor"/>
      </rPr>
      <t>(Bónus Alto / Normal)</t>
    </r>
  </si>
  <si>
    <t>Com TABELA DINÂMICA</t>
  </si>
  <si>
    <t>Análises:</t>
  </si>
  <si>
    <t>Total salarial por departamento</t>
  </si>
  <si>
    <t>Total salarial por província</t>
  </si>
  <si>
    <t>Média salarial por cargo</t>
  </si>
  <si>
    <t>Quantidade de funcionários por departamento</t>
  </si>
  <si>
    <t>Soma dos bônus por província</t>
  </si>
  <si>
    <t>Gráficos:</t>
  </si>
  <si>
    <t>Pizza de salários por departamento</t>
  </si>
  <si>
    <t>Colunas de bônus por província</t>
  </si>
  <si>
    <t>Linha de evolução salarial</t>
  </si>
  <si>
    <t>2. PRESENÇAS</t>
  </si>
  <si>
    <t>Total de horas extras</t>
  </si>
  <si>
    <t>Total de faltas</t>
  </si>
  <si>
    <t>Total de presenças</t>
  </si>
  <si>
    <t>Média de horas extras por colaborador</t>
  </si>
  <si>
    <t>Média mensal de presença</t>
  </si>
  <si>
    <t>SOMA</t>
  </si>
  <si>
    <t>MÉDIA</t>
  </si>
  <si>
    <t>SE</t>
  </si>
  <si>
    <t>Detectar excesso de horas extras (Excesso / Normal)</t>
  </si>
  <si>
    <t>Identificar faltas (Desconto / OK)</t>
  </si>
  <si>
    <t>TABELA DINÂMICA</t>
  </si>
  <si>
    <t>Funcionários com mais faltas</t>
  </si>
  <si>
    <t>Horas extras por departamento</t>
  </si>
  <si>
    <t>Presença por mês</t>
  </si>
  <si>
    <t>Férias por área</t>
  </si>
  <si>
    <t>3. PERFIL DO COLABORADOR</t>
  </si>
  <si>
    <t>Total de colaboradores</t>
  </si>
  <si>
    <t>Total por género</t>
  </si>
  <si>
    <t>Total por departamento</t>
  </si>
  <si>
    <t>Média de idade</t>
  </si>
  <si>
    <t>Média de idade por departamento</t>
  </si>
  <si>
    <t>Classificar idade (Próximo Reforma / Activo)</t>
  </si>
  <si>
    <t>Tempo de casa (Antigo / Recente)</t>
  </si>
  <si>
    <t>Quantidade de colaboradores por província</t>
  </si>
  <si>
    <t>Distribuição por género</t>
  </si>
  <si>
    <t>Colaboradores por cargo</t>
  </si>
  <si>
    <t>Admissões por ano</t>
  </si>
  <si>
    <t>4. SEGUROS</t>
  </si>
  <si>
    <t>Total de prémios pagos</t>
  </si>
  <si>
    <t>Total por seguradora</t>
  </si>
  <si>
    <t>Média de valor do seguro</t>
  </si>
  <si>
    <t>Média por tipo de seguro</t>
  </si>
  <si>
    <t>Seguro caro (Seguro Alto / Normal)</t>
  </si>
  <si>
    <t>Seguro expirado (Expirado / Activo)</t>
  </si>
  <si>
    <t>Seguros por tipo</t>
  </si>
  <si>
    <t>Seguradora mais usada</t>
  </si>
  <si>
    <t>Valor total por seguradora</t>
  </si>
  <si>
    <t>Seguros activos vs expirados</t>
  </si>
  <si>
    <t>5. HIGIENE E SEGURANÇA</t>
  </si>
  <si>
    <t>Total de acidentes</t>
  </si>
  <si>
    <t>Total de incidentes</t>
  </si>
  <si>
    <t>Total resolvido</t>
  </si>
  <si>
    <t>Média de ocorrências por departamento</t>
  </si>
  <si>
    <t xml:space="preserve"> SE</t>
  </si>
  <si>
    <t>Classificar risco (Urgente / Normal)</t>
  </si>
  <si>
    <t>Acidentes por província</t>
  </si>
  <si>
    <t>Risco por departamento</t>
  </si>
  <si>
    <t>Ocorrências resolvidas vs pendentes</t>
  </si>
  <si>
    <t>Rótulos de Linha</t>
  </si>
  <si>
    <t>Soma de Bónus</t>
  </si>
  <si>
    <t>Total Geral</t>
  </si>
  <si>
    <t>Soma de Salário Líquido</t>
  </si>
  <si>
    <t>Média de Salário Base</t>
  </si>
  <si>
    <t>Média de Bónus</t>
  </si>
  <si>
    <t>Média de Desconto</t>
  </si>
  <si>
    <t>Coluna1</t>
  </si>
  <si>
    <t>Coluna2</t>
  </si>
  <si>
    <t>Coluna3</t>
  </si>
  <si>
    <t>Média de Salário Líquido</t>
  </si>
  <si>
    <t>Contagem de 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</si>
</sst>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DCE6F1"/>
        <bgColor rgb="FFDCE6F1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2" borderId="2" xfId="0" applyFill="1" applyBorder="1"/>
    <xf numFmtId="0" fontId="1" fillId="2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4" fillId="0" borderId="3" xfId="0" applyFont="1" applyBorder="1" applyAlignment="1">
      <alignment vertical="center"/>
    </xf>
    <xf numFmtId="0" fontId="2" fillId="2" borderId="4" xfId="0" applyFont="1" applyFill="1" applyBorder="1"/>
    <xf numFmtId="0" fontId="0" fillId="2" borderId="4" xfId="0" applyFill="1" applyBorder="1"/>
    <xf numFmtId="0" fontId="4" fillId="0" borderId="5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3" fontId="1" fillId="0" borderId="0" xfId="1" applyFont="1"/>
    <xf numFmtId="43" fontId="0" fillId="0" borderId="0" xfId="1" applyFon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9" fillId="3" borderId="6" xfId="0" applyFont="1" applyFill="1" applyBorder="1"/>
    <xf numFmtId="0" fontId="10" fillId="0" borderId="0" xfId="0" applyFont="1" applyAlignment="1">
      <alignment horizontal="left"/>
    </xf>
    <xf numFmtId="43" fontId="10" fillId="0" borderId="0" xfId="0" applyNumberFormat="1" applyFont="1"/>
    <xf numFmtId="0" fontId="9" fillId="3" borderId="7" xfId="0" applyFont="1" applyFill="1" applyBorder="1" applyAlignment="1">
      <alignment horizontal="left"/>
    </xf>
    <xf numFmtId="43" fontId="9" fillId="3" borderId="7" xfId="0" applyNumberFormat="1" applyFont="1" applyFill="1" applyBorder="1"/>
  </cellXfs>
  <cellStyles count="2">
    <cellStyle name="Normal" xfId="0" builtinId="0"/>
    <cellStyle name="Vírgula" xfId="1" builtinId="3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AULA -11-06-2026.xlsx]Pagamentos_Salarios!Tabela Dinâmica3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Pagamentos_Salarios!$D$310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71-48B4-800C-1FEFAF6886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71-48B4-800C-1FEFAF6886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71-48B4-800C-1FEFAF6886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71-48B4-800C-1FEFAF6886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71-48B4-800C-1FEFAF6886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71-48B4-800C-1FEFAF6886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571-48B4-800C-1FEFAF6886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Pagamentos_Salarios!$C$311:$C$318</c:f>
              <c:strCache>
                <c:ptCount val="7"/>
                <c:pt idx="0">
                  <c:v>Administrativo</c:v>
                </c:pt>
                <c:pt idx="1">
                  <c:v>Comercial</c:v>
                </c:pt>
                <c:pt idx="2">
                  <c:v>Financeiro</c:v>
                </c:pt>
                <c:pt idx="3">
                  <c:v>Logística</c:v>
                </c:pt>
                <c:pt idx="4">
                  <c:v>Operações</c:v>
                </c:pt>
                <c:pt idx="5">
                  <c:v>RH</c:v>
                </c:pt>
                <c:pt idx="6">
                  <c:v>TI</c:v>
                </c:pt>
              </c:strCache>
            </c:strRef>
          </c:cat>
          <c:val>
            <c:numRef>
              <c:f>Pagamentos_Salarios!$D$311:$D$318</c:f>
              <c:numCache>
                <c:formatCode>_(* #,##0.00_);_(* \(#,##0.00\);_(* "-"??_);_(@_)</c:formatCode>
                <c:ptCount val="7"/>
                <c:pt idx="0">
                  <c:v>75168467.229999989</c:v>
                </c:pt>
                <c:pt idx="1">
                  <c:v>52546432.630000003</c:v>
                </c:pt>
                <c:pt idx="2">
                  <c:v>58765509.630000003</c:v>
                </c:pt>
                <c:pt idx="3">
                  <c:v>57547030.449999996</c:v>
                </c:pt>
                <c:pt idx="4">
                  <c:v>55132376.69000002</c:v>
                </c:pt>
                <c:pt idx="5">
                  <c:v>63553941.610000014</c:v>
                </c:pt>
                <c:pt idx="6">
                  <c:v>65538223.739999987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571-48B4-800C-1FEFAF6886E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AULA -11-06-2026.xlsx]Folha1!Tabela Dinâmica2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Folha1!$A$4:$A$14</c:f>
              <c:strCache>
                <c:ptCount val="10"/>
                <c:pt idx="0">
                  <c:v>Benguela</c:v>
                </c:pt>
                <c:pt idx="1">
                  <c:v>Bié</c:v>
                </c:pt>
                <c:pt idx="2">
                  <c:v>Cabinda</c:v>
                </c:pt>
                <c:pt idx="3">
                  <c:v>Cunene</c:v>
                </c:pt>
                <c:pt idx="4">
                  <c:v>Huambo</c:v>
                </c:pt>
                <c:pt idx="5">
                  <c:v>Huíla</c:v>
                </c:pt>
                <c:pt idx="6">
                  <c:v>Luanda</c:v>
                </c:pt>
                <c:pt idx="7">
                  <c:v>Malanje</c:v>
                </c:pt>
                <c:pt idx="8">
                  <c:v>Namibe</c:v>
                </c:pt>
                <c:pt idx="9">
                  <c:v>Uíge</c:v>
                </c:pt>
              </c:strCache>
            </c:strRef>
          </c:cat>
          <c:val>
            <c:numRef>
              <c:f>Folha1!$B$4:$B$14</c:f>
              <c:numCache>
                <c:formatCode>_(* #,##0.00_);_(* \(#,##0.00\);_(* "-"??_);_(@_)</c:formatCode>
                <c:ptCount val="10"/>
                <c:pt idx="0">
                  <c:v>52342067.600000001</c:v>
                </c:pt>
                <c:pt idx="1">
                  <c:v>51487459.619999997</c:v>
                </c:pt>
                <c:pt idx="2">
                  <c:v>61804220.440000005</c:v>
                </c:pt>
                <c:pt idx="3">
                  <c:v>41385705.609999985</c:v>
                </c:pt>
                <c:pt idx="4">
                  <c:v>39472482.839999996</c:v>
                </c:pt>
                <c:pt idx="5">
                  <c:v>28468820.849999998</c:v>
                </c:pt>
                <c:pt idx="6">
                  <c:v>30045536.490000002</c:v>
                </c:pt>
                <c:pt idx="7">
                  <c:v>44407405.190000013</c:v>
                </c:pt>
                <c:pt idx="8">
                  <c:v>41468121.410000011</c:v>
                </c:pt>
                <c:pt idx="9">
                  <c:v>37370161.93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3-43DE-A84A-EFB295942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19680"/>
        <c:axId val="53721120"/>
      </c:barChart>
      <c:catAx>
        <c:axId val="537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3721120"/>
        <c:crosses val="autoZero"/>
        <c:auto val="1"/>
        <c:lblAlgn val="ctr"/>
        <c:lblOffset val="100"/>
        <c:noMultiLvlLbl val="0"/>
      </c:catAx>
      <c:valAx>
        <c:axId val="5372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37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AULA -11-06-2026.xlsx]Folha1!Tabela Dinâmica2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Folha1!$B$3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Folha1!$A$4:$A$14</c:f>
              <c:strCache>
                <c:ptCount val="10"/>
                <c:pt idx="0">
                  <c:v>Benguela</c:v>
                </c:pt>
                <c:pt idx="1">
                  <c:v>Bié</c:v>
                </c:pt>
                <c:pt idx="2">
                  <c:v>Cabinda</c:v>
                </c:pt>
                <c:pt idx="3">
                  <c:v>Cunene</c:v>
                </c:pt>
                <c:pt idx="4">
                  <c:v>Huambo</c:v>
                </c:pt>
                <c:pt idx="5">
                  <c:v>Huíla</c:v>
                </c:pt>
                <c:pt idx="6">
                  <c:v>Luanda</c:v>
                </c:pt>
                <c:pt idx="7">
                  <c:v>Malanje</c:v>
                </c:pt>
                <c:pt idx="8">
                  <c:v>Namibe</c:v>
                </c:pt>
                <c:pt idx="9">
                  <c:v>Uíge</c:v>
                </c:pt>
              </c:strCache>
            </c:strRef>
          </c:cat>
          <c:val>
            <c:numRef>
              <c:f>Folha1!$B$4:$B$14</c:f>
              <c:numCache>
                <c:formatCode>_(* #,##0.00_);_(* \(#,##0.00\);_(* "-"??_);_(@_)</c:formatCode>
                <c:ptCount val="10"/>
                <c:pt idx="0">
                  <c:v>52342067.600000001</c:v>
                </c:pt>
                <c:pt idx="1">
                  <c:v>51487459.619999997</c:v>
                </c:pt>
                <c:pt idx="2">
                  <c:v>61804220.440000005</c:v>
                </c:pt>
                <c:pt idx="3">
                  <c:v>41385705.609999985</c:v>
                </c:pt>
                <c:pt idx="4">
                  <c:v>39472482.839999996</c:v>
                </c:pt>
                <c:pt idx="5">
                  <c:v>28468820.849999998</c:v>
                </c:pt>
                <c:pt idx="6">
                  <c:v>30045536.490000002</c:v>
                </c:pt>
                <c:pt idx="7">
                  <c:v>44407405.190000013</c:v>
                </c:pt>
                <c:pt idx="8">
                  <c:v>41468121.410000011</c:v>
                </c:pt>
                <c:pt idx="9">
                  <c:v>37370161.93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6-4DAC-A14E-C6307E8C3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528432"/>
        <c:axId val="1697524112"/>
      </c:lineChart>
      <c:catAx>
        <c:axId val="169752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97524112"/>
        <c:crosses val="autoZero"/>
        <c:auto val="1"/>
        <c:lblAlgn val="ctr"/>
        <c:lblOffset val="100"/>
        <c:noMultiLvlLbl val="0"/>
      </c:catAx>
      <c:valAx>
        <c:axId val="16975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9752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1</xdr:row>
      <xdr:rowOff>76199</xdr:rowOff>
    </xdr:from>
    <xdr:to>
      <xdr:col>1</xdr:col>
      <xdr:colOff>95250</xdr:colOff>
      <xdr:row>3</xdr:row>
      <xdr:rowOff>19049</xdr:rowOff>
    </xdr:to>
    <xdr:sp macro="" textlink="">
      <xdr:nvSpPr>
        <xdr:cNvPr id="2" name="Fluxograma: Armazenamento de Acesso Sequenci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576" y="371474"/>
          <a:ext cx="333374" cy="333375"/>
        </a:xfrm>
        <a:prstGeom prst="flowChartMagneticTape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11</xdr:col>
      <xdr:colOff>57150</xdr:colOff>
      <xdr:row>21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5CE9D8-DB40-4C7B-8D82-524CB4DA6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20</xdr:col>
      <xdr:colOff>304800</xdr:colOff>
      <xdr:row>20</xdr:row>
      <xdr:rowOff>177800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0D87524-AB0B-4734-8938-07302FD04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2</xdr:row>
      <xdr:rowOff>0</xdr:rowOff>
    </xdr:from>
    <xdr:to>
      <xdr:col>30</xdr:col>
      <xdr:colOff>190500</xdr:colOff>
      <xdr:row>16</xdr:row>
      <xdr:rowOff>165100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26C2A3-9B79-442E-98E4-D47C71A10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di Constantino" refreshedDate="46184.461857638889" createdVersion="8" refreshedVersion="8" minRefreshableVersion="3" recordCount="300" xr:uid="{D04783EE-9FD2-4604-9C7C-12BC92C05199}">
  <cacheSource type="worksheet">
    <worksheetSource name="Tabela1"/>
  </cacheSource>
  <cacheFields count="11">
    <cacheField name="Código" numFmtId="0">
      <sharedItems/>
    </cacheField>
    <cacheField name="Nome" numFmtId="0">
      <sharedItems count="299">
        <s v="Luna Branco-Neto"/>
        <s v="Vítor de Ferreira"/>
        <s v="Alexandre Carneiro"/>
        <s v="Alícia-Salomé Cardoso"/>
        <s v="Fabiana Nunes"/>
        <s v="Flor Barros"/>
        <s v="Gabriel Almeida-Coelho"/>
        <s v="Sandro Brito"/>
        <s v="Letícia Abreu"/>
        <s v="Ângela Costa"/>
        <s v="Maria Teixeira"/>
        <s v="Alice Amaral"/>
        <s v="Álvaro Nunes"/>
        <s v="João Andrade-Pacheco"/>
        <s v="Tiago Vieira"/>
        <s v="Ângela da Fonseca"/>
        <s v="Nicole Mendes-Antunes"/>
        <s v="Luca Pinto"/>
        <s v="Cristiano do Pinheiro"/>
        <s v="Marco Monteiro"/>
        <s v="Bruno Pires"/>
        <s v="Benedita Castro"/>
        <s v="Ângelo Assunção"/>
        <s v="Maria Gomes"/>
        <s v="Matias Melo"/>
        <s v="Melissa Jesus"/>
        <s v="Guilherme Gonçalves"/>
        <s v="Miguel Branco"/>
        <s v="Yara Leite-Jesus"/>
        <s v="Caetana Maia"/>
        <s v="Júlia Pires"/>
        <s v="Carolina Lopes"/>
        <s v="Ana Coelho"/>
        <s v="Miguel do Jesus"/>
        <s v="Ricardo Jesus"/>
        <s v="Carlos Ramos"/>
        <s v="Carlos Jesus"/>
        <s v="Mateus Teixeira"/>
        <s v="Bryan Vieira"/>
        <s v="Tatiana Santos"/>
        <s v="Vera-Alícia Barros"/>
        <s v="Vitória Sá"/>
        <s v="Victória Alves"/>
        <s v="Frederico Vicente"/>
        <s v="Manuel Amaral"/>
        <s v="Constança Faria"/>
        <s v="Sara Leite"/>
        <s v="Irina Cunha"/>
        <s v="Marta Gonçalves"/>
        <s v="Madalena Lima"/>
        <s v="Pilar-Renata Andrade"/>
        <s v="António do Mendes"/>
        <s v="Renata Batista"/>
        <s v="Manuel Castro"/>
        <s v="Madalena Freitas"/>
        <s v="Diogo Lourenço"/>
        <s v="Camila Moreira-Nogueira"/>
        <s v="Gaspar Carvalho"/>
        <s v="Mateus Lourenço"/>
        <s v="Beatriz Torres"/>
        <s v="Carlota-Raquel Silva"/>
        <s v="José Silva"/>
        <s v="Salomé Machado"/>
        <s v="Rodrigo Amorim"/>
        <s v="Ismael Lourenço"/>
        <s v="Leonor Ribeiro"/>
        <s v="Afonso Nascimento"/>
        <s v="Leandro do Fonseca"/>
        <s v="Duarte Mendes"/>
        <s v="Joana Neto-Soares"/>
        <s v="Lourenço Neves"/>
        <s v="Afonso Pinto"/>
        <s v="Brian do Coelho"/>
        <s v="Mafalda-Luciana Alves"/>
        <s v="Naiara Torres"/>
        <s v="Teresa Freitas"/>
        <s v="Bernardo do Anjos"/>
        <s v="Nicole Sá"/>
        <s v="Márcio Esteves"/>
        <s v="Nair Cruz-Lourenço"/>
        <s v="Sandro Andrade"/>
        <s v="Mafalda da Barros"/>
        <s v="Constança Guerreiro"/>
        <s v="Petra Faria"/>
        <s v="João Cunha"/>
        <s v="Eduardo Lourenço"/>
        <s v="Ricardo Cunha"/>
        <s v="Emília Matias"/>
        <s v="Eduarda Costa"/>
        <s v="Sebastião Pinho"/>
        <s v="Clara Castro"/>
        <s v="Diogo Almeida"/>
        <s v="Eduarda Neto"/>
        <s v="Patrícia Cunha"/>
        <s v="Tiago do Simões"/>
        <s v="António Castro"/>
        <s v="Ariana Oliveira-Silva"/>
        <s v="Camila Machado-Sá"/>
        <s v="Nair Ramos-Matos"/>
        <s v="Filipe Sousa-Amaral"/>
        <s v="Gabriel Leite"/>
        <s v="Paulo Miranda"/>
        <s v="David Figueiredo"/>
        <s v="Sara de Neves"/>
        <s v="Irina Soares-Pinto"/>
        <s v="Flor Lopes"/>
        <s v="Letícia Leal"/>
        <s v="Xavier Pinho"/>
        <s v="Kevin Simões"/>
        <s v="Hugo Rodrigues"/>
        <s v="Lorena Azevedo"/>
        <s v="Carminho Matias"/>
        <s v="Diana Carneiro"/>
        <s v="Amélia Azevedo"/>
        <s v="Xavier Castro"/>
        <s v="Vera Matos"/>
        <s v="Mateus Almeida"/>
        <s v="Bárbara-Juliana Castro"/>
        <s v="Laura Coelho"/>
        <s v="Adriana do Anjos"/>
        <s v="Filipa Martins"/>
        <s v="Fernando Miranda"/>
        <s v="Mariana Vieira"/>
        <s v="Afonso do Vieira"/>
        <s v="Victória Vieira"/>
        <s v="Frederico do Simões"/>
        <s v="Ricardo Torres"/>
        <s v="Salvador da Rodrigues"/>
        <s v="Diana-Carlota Silva"/>
        <s v="João de Valente"/>
        <s v="João Lourenço-Matias"/>
        <s v="Brian Morais"/>
        <s v="Valentina Simões"/>
        <s v="Ariana Nascimento"/>
        <s v="Nair Mota"/>
        <s v="Gabriela Santos"/>
        <s v="Mélanie Vicente-Barbosa"/>
        <s v="Bruno Carvalho"/>
        <s v="Alícia Lourenço-Figueiredo"/>
        <s v="Guilherme Batista"/>
        <s v="Erika Anjos"/>
        <s v="Márcio Loureiro"/>
        <s v="Larissa Batista"/>
        <s v="Bianca Ramos-Pacheco"/>
        <s v="Diana Araújo"/>
        <s v="Valentina Melo-Miranda"/>
        <s v="Bryan Magalhães"/>
        <s v="Bruna Leite-Branco"/>
        <s v="Gustavo Nunes"/>
        <s v="Madalena Castro"/>
        <s v="Isabela Vicente"/>
        <s v="Caetana Ribeiro"/>
        <s v="Valentim de Soares"/>
        <s v="Débora Machado"/>
        <s v="Larissa Brito"/>
        <s v="Eduarda-Bruna Machado"/>
        <s v="Helena Nascimento"/>
        <s v="Valentim Nogueira"/>
        <s v="Vítor Silva"/>
        <s v="Carlos Matos"/>
        <s v="Luna Antunes"/>
        <s v="Luísa de Figueiredo"/>
        <s v="Ivo Marques"/>
        <s v="Beatriz Freitas"/>
        <s v="Petra Lima"/>
        <s v="Iara Esteves"/>
        <s v="Vicente do Soares"/>
        <s v="Lúcia Leal-Lourenço"/>
        <s v="Afonso Tavares"/>
        <s v="Vitória Pinho"/>
        <s v="Adriana Correia"/>
        <s v="Hugo Sá"/>
        <s v="Nair Gomes"/>
        <s v="Adriana Cruz"/>
        <s v="Isabel Gomes-Henriques"/>
        <s v="Matilde da Marques"/>
        <s v="Flor Henriques"/>
        <s v="Eduarda Pinho"/>
        <s v="Teresa Rodrigues"/>
        <s v="Emília Ferreira"/>
        <s v="Márcio da Ribeiro"/>
        <s v="Juliana Nascimento"/>
        <s v="Rita Domingues"/>
        <s v="Kelly Castro"/>
        <s v="Rafael Ribeiro"/>
        <s v="Vera da Correia"/>
        <s v="Juliana Rocha"/>
        <s v="Nicole Nogueira"/>
        <s v="Teresa Amorim"/>
        <s v="Mateus Soares"/>
        <s v="Naiara do Leal"/>
        <s v="Marcos Guerreiro"/>
        <s v="Lia Pinho"/>
        <s v="Catarina Assunção"/>
        <s v="Vasco da Brito"/>
        <s v="Madalena-Isabel Jesus"/>
        <s v="Mariana Faria"/>
        <s v="Ivo Cunha"/>
        <s v="Rui Pinto"/>
        <s v="Júlia-Yasmin Silva"/>
        <s v="Rafael Paiva"/>
        <s v="Mara Lopes"/>
        <s v="Yara Abreu"/>
        <s v="Mélanie Leal-Pires"/>
        <s v="Lisandro Paiva"/>
        <s v="Wilson Ribeiro"/>
        <s v="Rafaela do Vaz"/>
        <s v="Mara Pacheco"/>
        <s v="Fábio Marques"/>
        <s v="César do Nunes"/>
        <s v="Inês Baptista"/>
        <s v="Petra Carneiro"/>
        <s v="Kévim Branco"/>
        <s v="Jaime Jesus"/>
        <s v="Tomás Leal"/>
        <s v="Edgar Vaz"/>
        <s v="Ismael Neto-Carneiro"/>
        <s v="Francisca Ferreira"/>
        <s v="Isabela Pereira"/>
        <s v="Inês Oliveira"/>
        <s v="Lorena da Andrade"/>
        <s v="Alexandra Jesus"/>
        <s v="Alice Marques"/>
        <s v="Fábio de Campos"/>
        <s v="Mário Correia"/>
        <s v="Alice Loureiro"/>
        <s v="Guilherme Barros"/>
        <s v="Bárbara-Luciana Pires"/>
        <s v="Dinis Loureiro"/>
        <s v="Henrique Correia"/>
        <s v="Iara Batista-Nogueira"/>
        <s v="Vitória Martins"/>
        <s v="Mariana-Benedita Sá"/>
        <s v="Nicole Nunes"/>
        <s v="Kelly Macedo"/>
        <s v="Erica Melo"/>
        <s v="Margarida-Nicole Gaspar"/>
        <s v="Filipa Esteves-Cunha"/>
        <s v="Alice Pereira-Pereira"/>
        <s v="César Lopes-Valente"/>
        <s v="Amélia Melo"/>
        <s v="Inês Cardoso-Marques"/>
        <s v="Lourenço Moreira"/>
        <s v="Marco Amaral"/>
        <s v="Leandro Borges"/>
        <s v="Alexandra Correia"/>
        <s v="Débora Coelho"/>
        <s v="Ângelo Esteves"/>
        <s v="Yara-Íris Moreira"/>
        <s v="William Miranda"/>
        <s v="Igor Santos"/>
        <s v="Vítor Mota"/>
        <s v="Laura do Batista"/>
        <s v="Rafaela Coelho"/>
        <s v="Rúben de Henriques"/>
        <s v="Sara Branco"/>
        <s v="Guilherme Fernandes"/>
        <s v="Jéssica Almeida"/>
        <s v="Benjamim Mota"/>
        <s v="Marta do Branco"/>
        <s v="Eva Leal"/>
        <s v="Diogo Castro"/>
        <s v="Catarina do Coelho"/>
        <s v="Camila Esteves"/>
        <s v="Ema Araújo"/>
        <s v="Renato Abreu"/>
        <s v="Benedita Antunes-Amaral"/>
        <s v="Fernando Carneiro-Correia"/>
        <s v="Salomé Guerreiro"/>
        <s v="Sara Cardoso"/>
        <s v="Soraia Lourenço"/>
        <s v="Débora Barbosa"/>
        <s v="João Antunes"/>
        <s v="Sara Vieira"/>
        <s v="Artur Nascimento"/>
        <s v="Eduardo Branco"/>
        <s v="Mateus Nunes"/>
        <s v="Núria Soares-Sá"/>
        <s v="Rúben Lopes"/>
        <s v="Violeta Pereira"/>
        <s v="Jéssica Martins"/>
        <s v="Melissa Antunes"/>
        <s v="Cristiano Mota"/>
        <s v="Salomé Campos"/>
        <s v="Melissa Costa"/>
        <s v="Fabiana-Núria Ramos"/>
        <s v="Rui Loureiro"/>
        <s v="Tomás Guerreiro"/>
        <s v="Álvaro Tavares"/>
        <s v="Luna Cardoso"/>
        <s v="Jéssica de Moura"/>
        <s v="Larissa Mota-Garcia"/>
        <s v="Beatriz Sá"/>
        <s v="Naiara Almeida-Simões"/>
        <s v="Mia Paiva-Mota"/>
        <s v="Bruna Oliveira"/>
        <s v="Nelson Ramos"/>
        <s v="António Vieira-Morais"/>
        <s v="Ivan Castro"/>
      </sharedItems>
    </cacheField>
    <cacheField name="Departamento" numFmtId="0">
      <sharedItems count="7">
        <s v="Financeiro"/>
        <s v="RH"/>
        <s v="Comercial"/>
        <s v="TI"/>
        <s v="Operações"/>
        <s v="Administrativo"/>
        <s v="Logística"/>
      </sharedItems>
    </cacheField>
    <cacheField name="Cargo" numFmtId="0">
      <sharedItems count="6">
        <s v="Analista"/>
        <s v="Assistente"/>
        <s v="Coordenador"/>
        <s v="Supervisor"/>
        <s v="Técnico"/>
        <s v="Gestor"/>
      </sharedItems>
    </cacheField>
    <cacheField name="Província" numFmtId="0">
      <sharedItems count="10">
        <s v="Benguela"/>
        <s v="Huambo"/>
        <s v="Malanje"/>
        <s v="Bié"/>
        <s v="Cunene"/>
        <s v="Uíge"/>
        <s v="Huíla"/>
        <s v="Cabinda"/>
        <s v="Luanda"/>
        <s v="Namibe"/>
      </sharedItems>
    </cacheField>
    <cacheField name="Data Pagamento" numFmtId="164">
      <sharedItems containsSemiMixedTypes="0" containsNonDate="0" containsDate="1" containsString="0" minDate="2022-01-17T00:00:00" maxDate="2026-12-29T00:00:00"/>
    </cacheField>
    <cacheField name="Salário Base" numFmtId="0">
      <sharedItems containsSemiMixedTypes="0" containsString="0" containsNumber="1" containsInteger="1" minValue="124827" maxValue="2499667" count="300">
        <n v="586956"/>
        <n v="2407433"/>
        <n v="231299"/>
        <n v="1286816"/>
        <n v="772128"/>
        <n v="1562654"/>
        <n v="450511"/>
        <n v="411735"/>
        <n v="1714364"/>
        <n v="1239786"/>
        <n v="1146811"/>
        <n v="1480140"/>
        <n v="397615"/>
        <n v="1779400"/>
        <n v="2474548"/>
        <n v="700205"/>
        <n v="1890667"/>
        <n v="168154"/>
        <n v="1943537"/>
        <n v="2249371"/>
        <n v="761054"/>
        <n v="2169360"/>
        <n v="2499667"/>
        <n v="658512"/>
        <n v="1894769"/>
        <n v="1793494"/>
        <n v="1062448"/>
        <n v="417766"/>
        <n v="1118263"/>
        <n v="1139204"/>
        <n v="1606031"/>
        <n v="1543138"/>
        <n v="1889499"/>
        <n v="530658"/>
        <n v="817559"/>
        <n v="129040"/>
        <n v="2451061"/>
        <n v="2394131"/>
        <n v="780320"/>
        <n v="1106516"/>
        <n v="463863"/>
        <n v="1437782"/>
        <n v="424267"/>
        <n v="2241834"/>
        <n v="1957879"/>
        <n v="2446170"/>
        <n v="2440388"/>
        <n v="1227228"/>
        <n v="1280480"/>
        <n v="1973192"/>
        <n v="745178"/>
        <n v="295442"/>
        <n v="1166603"/>
        <n v="1112948"/>
        <n v="1513286"/>
        <n v="573385"/>
        <n v="1586573"/>
        <n v="1791287"/>
        <n v="1796372"/>
        <n v="868967"/>
        <n v="1435658"/>
        <n v="306170"/>
        <n v="413491"/>
        <n v="2247025"/>
        <n v="924635"/>
        <n v="1382275"/>
        <n v="1471611"/>
        <n v="831737"/>
        <n v="1105110"/>
        <n v="2112866"/>
        <n v="1730522"/>
        <n v="1903192"/>
        <n v="1165213"/>
        <n v="1450844"/>
        <n v="1990297"/>
        <n v="1283128"/>
        <n v="1318430"/>
        <n v="1726566"/>
        <n v="2074228"/>
        <n v="1715433"/>
        <n v="2410644"/>
        <n v="241738"/>
        <n v="655309"/>
        <n v="472101"/>
        <n v="1493016"/>
        <n v="1178103"/>
        <n v="407806"/>
        <n v="759137"/>
        <n v="1194763"/>
        <n v="1424591"/>
        <n v="951855"/>
        <n v="627741"/>
        <n v="1674286"/>
        <n v="1639126"/>
        <n v="2308364"/>
        <n v="1245732"/>
        <n v="1709596"/>
        <n v="1203608"/>
        <n v="921348"/>
        <n v="2178653"/>
        <n v="1404321"/>
        <n v="2428496"/>
        <n v="927757"/>
        <n v="2150876"/>
        <n v="934188"/>
        <n v="310906"/>
        <n v="1312605"/>
        <n v="598516"/>
        <n v="2480720"/>
        <n v="1066600"/>
        <n v="372624"/>
        <n v="460524"/>
        <n v="2090955"/>
        <n v="1099050"/>
        <n v="2404060"/>
        <n v="1410217"/>
        <n v="1395450"/>
        <n v="287188"/>
        <n v="207012"/>
        <n v="2093423"/>
        <n v="2182447"/>
        <n v="794548"/>
        <n v="273918"/>
        <n v="124827"/>
        <n v="2210831"/>
        <n v="1957592"/>
        <n v="784286"/>
        <n v="2055452"/>
        <n v="1266827"/>
        <n v="1728876"/>
        <n v="1545540"/>
        <n v="2173700"/>
        <n v="1702133"/>
        <n v="1099631"/>
        <n v="1739331"/>
        <n v="2226761"/>
        <n v="184372"/>
        <n v="1540028"/>
        <n v="2166600"/>
        <n v="499078"/>
        <n v="1376051"/>
        <n v="1926431"/>
        <n v="451217"/>
        <n v="1093868"/>
        <n v="1326414"/>
        <n v="1899680"/>
        <n v="567336"/>
        <n v="1780129"/>
        <n v="2203425"/>
        <n v="1038571"/>
        <n v="285350"/>
        <n v="1490359"/>
        <n v="1263062"/>
        <n v="603056"/>
        <n v="1654171"/>
        <n v="1219584"/>
        <n v="2474713"/>
        <n v="1832516"/>
        <n v="1104822"/>
        <n v="768116"/>
        <n v="257222"/>
        <n v="1660714"/>
        <n v="632374"/>
        <n v="209579"/>
        <n v="988880"/>
        <n v="131893"/>
        <n v="581064"/>
        <n v="186190"/>
        <n v="386581"/>
        <n v="1049247"/>
        <n v="250655"/>
        <n v="1980435"/>
        <n v="2419973"/>
        <n v="1924386"/>
        <n v="1923844"/>
        <n v="518818"/>
        <n v="401577"/>
        <n v="2453588"/>
        <n v="1893925"/>
        <n v="2248242"/>
        <n v="1661662"/>
        <n v="2455135"/>
        <n v="1266179"/>
        <n v="2495322"/>
        <n v="2345005"/>
        <n v="1480560"/>
        <n v="328719"/>
        <n v="1857212"/>
        <n v="2161085"/>
        <n v="977412"/>
        <n v="152421"/>
        <n v="2218252"/>
        <n v="297428"/>
        <n v="1816272"/>
        <n v="2049786"/>
        <n v="1799608"/>
        <n v="825199"/>
        <n v="1592619"/>
        <n v="1193608"/>
        <n v="2192477"/>
        <n v="1475633"/>
        <n v="1390120"/>
        <n v="2015464"/>
        <n v="2246796"/>
        <n v="909533"/>
        <n v="473702"/>
        <n v="2312564"/>
        <n v="339636"/>
        <n v="1741367"/>
        <n v="713193"/>
        <n v="475337"/>
        <n v="2327853"/>
        <n v="876077"/>
        <n v="769887"/>
        <n v="2328433"/>
        <n v="766982"/>
        <n v="303259"/>
        <n v="2002940"/>
        <n v="1967999"/>
        <n v="957592"/>
        <n v="2445912"/>
        <n v="1264169"/>
        <n v="1586266"/>
        <n v="462278"/>
        <n v="697134"/>
        <n v="2087590"/>
        <n v="2421851"/>
        <n v="631069"/>
        <n v="2216435"/>
        <n v="1341683"/>
        <n v="479090"/>
        <n v="2444281"/>
        <n v="188124"/>
        <n v="1514684"/>
        <n v="2068769"/>
        <n v="275121"/>
        <n v="1790272"/>
        <n v="320504"/>
        <n v="1964389"/>
        <n v="1238707"/>
        <n v="2407885"/>
        <n v="1907260"/>
        <n v="1271568"/>
        <n v="791032"/>
        <n v="401997"/>
        <n v="763566"/>
        <n v="2340715"/>
        <n v="900342"/>
        <n v="1991805"/>
        <n v="430596"/>
        <n v="392374"/>
        <n v="2253876"/>
        <n v="230243"/>
        <n v="395767"/>
        <n v="429332"/>
        <n v="1564999"/>
        <n v="1934532"/>
        <n v="810621"/>
        <n v="1171114"/>
        <n v="511867"/>
        <n v="1536079"/>
        <n v="1230047"/>
        <n v="2408317"/>
        <n v="426071"/>
        <n v="722590"/>
        <n v="2279983"/>
        <n v="710883"/>
        <n v="1493365"/>
        <n v="2211949"/>
        <n v="1022381"/>
        <n v="2093784"/>
        <n v="1654182"/>
        <n v="1640534"/>
        <n v="618329"/>
        <n v="954909"/>
        <n v="1516873"/>
        <n v="1456011"/>
        <n v="2257895"/>
        <n v="579714"/>
        <n v="1233715"/>
        <n v="335399"/>
        <n v="739816"/>
        <n v="1969849"/>
        <n v="2098056"/>
        <n v="2472529"/>
        <n v="2356096"/>
        <n v="926414"/>
        <n v="989386"/>
        <n v="1266964"/>
        <n v="734365"/>
        <n v="1195603"/>
        <n v="1259263"/>
        <n v="2347349"/>
        <n v="541715"/>
        <n v="2122564"/>
        <n v="495225"/>
        <n v="857311"/>
        <n v="1334112"/>
        <n v="2025678"/>
        <n v="928709"/>
      </sharedItems>
    </cacheField>
    <cacheField name="Bónus" numFmtId="43">
      <sharedItems containsSemiMixedTypes="0" containsString="0" containsNumber="1" minValue="12598.99" maxValue="598395.01"/>
    </cacheField>
    <cacheField name="Desconto" numFmtId="43">
      <sharedItems containsSemiMixedTypes="0" containsString="0" containsNumber="1" minValue="6463.76" maxValue="284852.28000000003"/>
    </cacheField>
    <cacheField name="Salário Líquido" numFmtId="43">
      <sharedItems containsSemiMixedTypes="0" containsString="0" containsNumber="1" minValue="130164.2" maxValue="3003802.54" count="300">
        <n v="587102.44999999995"/>
        <n v="2406024.17"/>
        <n v="246982.74"/>
        <n v="1520117.29"/>
        <n v="767764.15"/>
        <n v="1669076.46"/>
        <n v="475632.27"/>
        <n v="415298.17"/>
        <n v="1745879.36"/>
        <n v="1362332.37"/>
        <n v="1168060.8500000001"/>
        <n v="1655877.6"/>
        <n v="388602.94"/>
        <n v="2026878.88"/>
        <n v="2624417.0499999998"/>
        <n v="779834.70000000007"/>
        <n v="2088530.49"/>
        <n v="192661.95"/>
        <n v="2043317.16"/>
        <n v="2528695.41"/>
        <n v="822123.52999999991"/>
        <n v="2039798.17"/>
        <n v="3003802.54"/>
        <n v="702457"/>
        <n v="2139706.4900000002"/>
        <n v="2081423.04"/>
        <n v="1095290.5"/>
        <n v="483050.11"/>
        <n v="1154056.52"/>
        <n v="1257965.06"/>
        <n v="1706702.65"/>
        <n v="1805910.16"/>
        <n v="1917956.9"/>
        <n v="498915.23"/>
        <n v="864945.16999999993"/>
        <n v="153969.69"/>
        <n v="2717182.09"/>
        <n v="2403628.71"/>
        <n v="769139.05999999994"/>
        <n v="1124232.93"/>
        <n v="487665.89"/>
        <n v="1483958.47"/>
        <n v="409824.43"/>
        <n v="2217278.61"/>
        <n v="2199540.79"/>
        <n v="2495511.12"/>
        <n v="2503182.88"/>
        <n v="1348086.52"/>
        <n v="1278939.92"/>
        <n v="2154418.36"/>
        <n v="785420.97"/>
        <n v="295661.61"/>
        <n v="1308410.1299999999"/>
        <n v="1229877.21"/>
        <n v="1724273.05"/>
        <n v="626723.06999999995"/>
        <n v="1601577.35"/>
        <n v="1805367.63"/>
        <n v="1940035.26"/>
        <n v="910328.43"/>
        <n v="1462501.28"/>
        <n v="355648.56"/>
        <n v="465965.29"/>
        <n v="2348369.35"/>
        <n v="942625.2"/>
        <n v="1418462.64"/>
        <n v="1579337.72"/>
        <n v="936726.64"/>
        <n v="1253572.1000000001"/>
        <n v="2267296.9700000002"/>
        <n v="1898238.71"/>
        <n v="1886821.39"/>
        <n v="1389600.08"/>
        <n v="1639133.93"/>
        <n v="2254036.4900000002"/>
        <n v="1445117.47"/>
        <n v="1366780.04"/>
        <n v="1890956.22"/>
        <n v="2249582.7200000002"/>
        <n v="1767838.1"/>
        <n v="2649709.04"/>
        <n v="250820.77"/>
        <n v="765448.93"/>
        <n v="536465.81999999995"/>
        <n v="1542160.02"/>
        <n v="1348520.98"/>
        <n v="455759.38"/>
        <n v="778182.6"/>
        <n v="1383868.41"/>
        <n v="1480589.81"/>
        <n v="926196.8"/>
        <n v="708287.3899999999"/>
        <n v="1633286.85"/>
        <n v="1758017.32"/>
        <n v="2744153.88"/>
        <n v="1323423.76"/>
        <n v="1782752.58"/>
        <n v="1214246.6499999999"/>
        <n v="895841.29"/>
        <n v="2414128.39"/>
        <n v="1572249.93"/>
        <n v="2484111.75"/>
        <n v="942833.32"/>
        <n v="2198705.25"/>
        <n v="977879.97"/>
        <n v="362223.11"/>
        <n v="1410049.12"/>
        <n v="687311.51"/>
        <n v="2982219.49"/>
        <n v="1216888.94"/>
        <n v="400689.35"/>
        <n v="476996.11"/>
        <n v="2211015.5299999998"/>
        <n v="1246188.27"/>
        <n v="2527996.13"/>
        <n v="1501637.39"/>
        <n v="1500256.49"/>
        <n v="325032.64"/>
        <n v="240011.61"/>
        <n v="2269254.04"/>
        <n v="2556758.73"/>
        <n v="813243.8"/>
        <n v="296559.69"/>
        <n v="137646.56"/>
        <n v="2380363.27"/>
        <n v="2256213.39"/>
        <n v="847749.89999999991"/>
        <n v="2366068.36"/>
        <n v="1342422.51"/>
        <n v="1736099.4"/>
        <n v="1794608.85"/>
        <n v="2505977.98"/>
        <n v="1841893.37"/>
        <n v="1269230.21"/>
        <n v="1993912.3"/>
        <n v="2634684.0099999998"/>
        <n v="207896.15"/>
        <n v="1707703.76"/>
        <n v="2580952.9"/>
        <n v="547954.91"/>
        <n v="1646507.81"/>
        <n v="1928952.68"/>
        <n v="499709.01"/>
        <n v="1191629.2"/>
        <n v="1513842.09"/>
        <n v="2121842.7799999998"/>
        <n v="576395.28"/>
        <n v="1822785.28"/>
        <n v="2435453.67"/>
        <n v="1133541.43"/>
        <n v="297366.8"/>
        <n v="1719410.14"/>
        <n v="1468899.7"/>
        <n v="667516.25"/>
        <n v="1658387.26"/>
        <n v="1296289.08"/>
        <n v="2550671.4900000002"/>
        <n v="1904449.53"/>
        <n v="1309481.54"/>
        <n v="874223.38"/>
        <n v="292847.71999999997"/>
        <n v="1728616.19"/>
        <n v="718139.70000000007"/>
        <n v="209599.93"/>
        <n v="1052269.04"/>
        <n v="130164.2"/>
        <n v="668160.45000000007"/>
        <n v="195524.32"/>
        <n v="404065.16"/>
        <n v="1264531.79"/>
        <n v="247912.01"/>
        <n v="2034752.39"/>
        <n v="2730090.52"/>
        <n v="1879500.75"/>
        <n v="2096502.38"/>
        <n v="547032.64"/>
        <n v="413850.07"/>
        <n v="2320848.84"/>
        <n v="2137716.64"/>
        <n v="2255979.31"/>
        <n v="1691415.59"/>
        <n v="2311836.58"/>
        <n v="1434240.38"/>
        <n v="2857658.33"/>
        <n v="2404196.7999999998"/>
        <n v="1664569.48"/>
        <n v="371552.56"/>
        <n v="1869633.94"/>
        <n v="2372069.73"/>
        <n v="1037300.78"/>
        <n v="164724.13"/>
        <n v="2377124.04"/>
        <n v="317018.40000000002"/>
        <n v="2042047.93"/>
        <n v="2262196.9300000002"/>
        <n v="1960085.36"/>
        <n v="807280.35"/>
        <n v="1738774.36"/>
        <n v="1199860.6599999999"/>
        <n v="2328529.89"/>
        <n v="1676909.06"/>
        <n v="1565328.16"/>
        <n v="2004046.53"/>
        <n v="2347153.2999999998"/>
        <n v="947277.47"/>
        <n v="523620.47"/>
        <n v="2565119.73"/>
        <n v="380252.36"/>
        <n v="1761729.44"/>
        <n v="838307.33"/>
        <n v="498160.42"/>
        <n v="2277453.9300000002"/>
        <n v="1033313.5"/>
        <n v="738656.12"/>
        <n v="2322008.17"/>
        <n v="749823.38"/>
        <n v="315783.31"/>
        <n v="2093623.96"/>
        <n v="2139168.75"/>
        <n v="1118272.08"/>
        <n v="2795268.02"/>
        <n v="1344648.65"/>
        <n v="1853954.2"/>
        <n v="505013.6"/>
        <n v="658857.84"/>
        <n v="2315654.38"/>
        <n v="2792989.93"/>
        <n v="625872.52"/>
        <n v="2522011.85"/>
        <n v="1409458.01"/>
        <n v="523282.49"/>
        <n v="2310987.1"/>
        <n v="204178.21"/>
        <n v="1537366.39"/>
        <n v="2426864.71"/>
        <n v="295685.18"/>
        <n v="2092741.64"/>
        <n v="372837.95"/>
        <n v="2286803.12"/>
        <n v="1380901.02"/>
        <n v="2575279.89"/>
        <n v="1932773.8"/>
        <n v="1369047.49"/>
        <n v="947425.14"/>
        <n v="405669.01"/>
        <n v="817335.02"/>
        <n v="2493084.5499999998"/>
        <n v="976853"/>
        <n v="2007430.99"/>
        <n v="443310.39"/>
        <n v="433128.65"/>
        <n v="2200203.09"/>
        <n v="239607.98"/>
        <n v="392559.14"/>
        <n v="436430.09"/>
        <n v="1519695.55"/>
        <n v="2016621.37"/>
        <n v="784897.55"/>
        <n v="1139714.96"/>
        <n v="565785.74"/>
        <n v="1747720.55"/>
        <n v="1329926.43"/>
        <n v="2388655.06"/>
        <n v="487210.26"/>
        <n v="735498.23"/>
        <n v="2516211.61"/>
        <n v="720297.4"/>
        <n v="1705196.95"/>
        <n v="2546067.9"/>
        <n v="1157631.3700000001"/>
        <n v="2253777.81"/>
        <n v="1885497.83"/>
        <n v="1844004.06"/>
        <n v="641226.54999999993"/>
        <n v="1054570.71"/>
        <n v="1720214.72"/>
        <n v="1402640.9"/>
        <n v="2399422.98"/>
        <n v="674466.17"/>
        <n v="1410077.98"/>
        <n v="376102.54"/>
        <n v="860061.66999999993"/>
        <n v="2105984.64"/>
        <n v="2367316.71"/>
        <n v="2535354.71"/>
        <n v="2489402.91"/>
        <n v="1099057.6399999999"/>
        <n v="1102213.31"/>
        <n v="1299835.3400000001"/>
        <n v="772701.64"/>
        <n v="1375193.2"/>
        <n v="1249243.8700000001"/>
        <n v="2451052.62"/>
        <n v="619649.56000000006"/>
        <n v="2296775.02"/>
        <n v="559386.31999999995"/>
        <n v="1031785.74"/>
        <n v="1593616.25"/>
        <n v="2367861.2999999998"/>
        <n v="1069873.8899999999"/>
      </sharedItems>
    </cacheField>
    <cacheField name="Forma Paga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EMP1000"/>
    <x v="0"/>
    <x v="0"/>
    <x v="0"/>
    <x v="0"/>
    <d v="2025-10-17T00:00:00"/>
    <x v="0"/>
    <n v="32283.84"/>
    <n v="32137.39"/>
    <x v="0"/>
    <s v="Banco"/>
  </r>
  <r>
    <s v="EMP1001"/>
    <x v="1"/>
    <x v="1"/>
    <x v="1"/>
    <x v="1"/>
    <d v="2023-04-22T00:00:00"/>
    <x v="1"/>
    <n v="162231.53"/>
    <n v="163640.35999999999"/>
    <x v="1"/>
    <s v="Banco"/>
  </r>
  <r>
    <s v="EMP1002"/>
    <x v="2"/>
    <x v="2"/>
    <x v="2"/>
    <x v="2"/>
    <d v="2023-03-28T00:00:00"/>
    <x v="2"/>
    <n v="37528.03"/>
    <n v="21844.29"/>
    <x v="2"/>
    <s v="Caixa"/>
  </r>
  <r>
    <s v="EMP1003"/>
    <x v="3"/>
    <x v="3"/>
    <x v="0"/>
    <x v="2"/>
    <d v="2023-11-28T00:00:00"/>
    <x v="3"/>
    <n v="272658.40999999997"/>
    <n v="39357.120000000003"/>
    <x v="3"/>
    <s v="Caixa"/>
  </r>
  <r>
    <s v="EMP1004"/>
    <x v="4"/>
    <x v="1"/>
    <x v="1"/>
    <x v="2"/>
    <d v="2022-07-18T00:00:00"/>
    <x v="4"/>
    <n v="71856.36"/>
    <n v="76220.210000000006"/>
    <x v="4"/>
    <s v="Caixa"/>
  </r>
  <r>
    <s v="EMP1005"/>
    <x v="5"/>
    <x v="2"/>
    <x v="3"/>
    <x v="3"/>
    <d v="2022-09-13T00:00:00"/>
    <x v="5"/>
    <n v="266815.68"/>
    <n v="160393.22"/>
    <x v="5"/>
    <s v="Caixa"/>
  </r>
  <r>
    <s v="EMP1006"/>
    <x v="6"/>
    <x v="4"/>
    <x v="4"/>
    <x v="4"/>
    <d v="2023-01-29T00:00:00"/>
    <x v="6"/>
    <n v="72265.63"/>
    <n v="47144.36"/>
    <x v="6"/>
    <s v="Banco"/>
  </r>
  <r>
    <s v="EMP1007"/>
    <x v="7"/>
    <x v="5"/>
    <x v="1"/>
    <x v="1"/>
    <d v="2026-11-10T00:00:00"/>
    <x v="7"/>
    <n v="24360.25"/>
    <n v="20797.080000000002"/>
    <x v="7"/>
    <s v="Transferência"/>
  </r>
  <r>
    <s v="EMP1008"/>
    <x v="8"/>
    <x v="5"/>
    <x v="0"/>
    <x v="5"/>
    <d v="2023-12-29T00:00:00"/>
    <x v="8"/>
    <n v="181027.79"/>
    <n v="149512.43"/>
    <x v="8"/>
    <s v="Transferência"/>
  </r>
  <r>
    <s v="EMP1009"/>
    <x v="9"/>
    <x v="1"/>
    <x v="2"/>
    <x v="6"/>
    <d v="2024-12-29T00:00:00"/>
    <x v="9"/>
    <n v="236010.7"/>
    <n v="113464.33"/>
    <x v="9"/>
    <s v="Banco"/>
  </r>
  <r>
    <s v="EMP1010"/>
    <x v="10"/>
    <x v="2"/>
    <x v="5"/>
    <x v="3"/>
    <d v="2023-03-26T00:00:00"/>
    <x v="10"/>
    <n v="94818.91"/>
    <n v="73569.06"/>
    <x v="10"/>
    <s v="Banco"/>
  </r>
  <r>
    <s v="EMP1011"/>
    <x v="11"/>
    <x v="0"/>
    <x v="1"/>
    <x v="5"/>
    <d v="2024-04-01T00:00:00"/>
    <x v="11"/>
    <n v="323514.77"/>
    <n v="147777.17000000001"/>
    <x v="11"/>
    <s v="Caixa"/>
  </r>
  <r>
    <s v="EMP1012"/>
    <x v="12"/>
    <x v="2"/>
    <x v="4"/>
    <x v="1"/>
    <d v="2025-09-04T00:00:00"/>
    <x v="12"/>
    <n v="36658.74"/>
    <n v="45670.8"/>
    <x v="12"/>
    <s v="Caixa"/>
  </r>
  <r>
    <s v="EMP1013"/>
    <x v="13"/>
    <x v="0"/>
    <x v="4"/>
    <x v="6"/>
    <d v="2023-05-21T00:00:00"/>
    <x v="13"/>
    <n v="403811.04"/>
    <n v="156332.16"/>
    <x v="13"/>
    <s v="Banco"/>
  </r>
  <r>
    <s v="EMP1014"/>
    <x v="14"/>
    <x v="6"/>
    <x v="2"/>
    <x v="2"/>
    <d v="2024-01-12T00:00:00"/>
    <x v="14"/>
    <n v="390472.43"/>
    <n v="240603.38"/>
    <x v="14"/>
    <s v="Transferência"/>
  </r>
  <r>
    <s v="EMP1015"/>
    <x v="15"/>
    <x v="1"/>
    <x v="1"/>
    <x v="6"/>
    <d v="2025-07-09T00:00:00"/>
    <x v="15"/>
    <n v="106364.82"/>
    <n v="26735.119999999999"/>
    <x v="15"/>
    <s v="Transferência"/>
  </r>
  <r>
    <s v="EMP1016"/>
    <x v="16"/>
    <x v="4"/>
    <x v="3"/>
    <x v="3"/>
    <d v="2023-05-30T00:00:00"/>
    <x v="16"/>
    <n v="320055.52"/>
    <n v="122192.03"/>
    <x v="16"/>
    <s v="Banco"/>
  </r>
  <r>
    <s v="EMP1017"/>
    <x v="17"/>
    <x v="4"/>
    <x v="4"/>
    <x v="5"/>
    <d v="2022-08-17T00:00:00"/>
    <x v="17"/>
    <n v="31286.18"/>
    <n v="6778.23"/>
    <x v="17"/>
    <s v="Caixa"/>
  </r>
  <r>
    <s v="EMP1018"/>
    <x v="18"/>
    <x v="2"/>
    <x v="5"/>
    <x v="7"/>
    <d v="2024-10-22T00:00:00"/>
    <x v="18"/>
    <n v="158653.94"/>
    <n v="58873.78"/>
    <x v="18"/>
    <s v="Transferência"/>
  </r>
  <r>
    <s v="EMP1019"/>
    <x v="19"/>
    <x v="5"/>
    <x v="5"/>
    <x v="3"/>
    <d v="2025-06-01T00:00:00"/>
    <x v="19"/>
    <n v="523036.27"/>
    <n v="243711.86"/>
    <x v="19"/>
    <s v="Transferência"/>
  </r>
  <r>
    <s v="EMP1020"/>
    <x v="20"/>
    <x v="3"/>
    <x v="2"/>
    <x v="8"/>
    <d v="2025-05-11T00:00:00"/>
    <x v="20"/>
    <n v="94966.43"/>
    <n v="33896.9"/>
    <x v="20"/>
    <s v="Caixa"/>
  </r>
  <r>
    <s v="EMP1021"/>
    <x v="21"/>
    <x v="3"/>
    <x v="4"/>
    <x v="1"/>
    <d v="2022-04-29T00:00:00"/>
    <x v="21"/>
    <n v="116918.41"/>
    <n v="246480.24"/>
    <x v="21"/>
    <s v="Transferência"/>
  </r>
  <r>
    <s v="EMP1022"/>
    <x v="22"/>
    <x v="6"/>
    <x v="1"/>
    <x v="3"/>
    <d v="2026-04-18T00:00:00"/>
    <x v="22"/>
    <n v="598395.01"/>
    <n v="94259.47"/>
    <x v="22"/>
    <s v="Transferência"/>
  </r>
  <r>
    <s v="EMP1023"/>
    <x v="23"/>
    <x v="0"/>
    <x v="4"/>
    <x v="3"/>
    <d v="2026-11-22T00:00:00"/>
    <x v="23"/>
    <n v="119816.37"/>
    <n v="75871.37"/>
    <x v="23"/>
    <s v="Banco"/>
  </r>
  <r>
    <s v="EMP1024"/>
    <x v="24"/>
    <x v="3"/>
    <x v="5"/>
    <x v="1"/>
    <d v="2025-12-31T00:00:00"/>
    <x v="24"/>
    <n v="460187.44"/>
    <n v="215249.95"/>
    <x v="24"/>
    <s v="Caixa"/>
  </r>
  <r>
    <s v="EMP1025"/>
    <x v="25"/>
    <x v="6"/>
    <x v="2"/>
    <x v="9"/>
    <d v="2022-09-05T00:00:00"/>
    <x v="25"/>
    <n v="446633.58"/>
    <n v="158704.54"/>
    <x v="25"/>
    <s v="Transferência"/>
  </r>
  <r>
    <s v="EMP1026"/>
    <x v="26"/>
    <x v="4"/>
    <x v="0"/>
    <x v="4"/>
    <d v="2023-03-28T00:00:00"/>
    <x v="26"/>
    <n v="66727.240000000005"/>
    <n v="33884.74"/>
    <x v="26"/>
    <s v="Transferência"/>
  </r>
  <r>
    <s v="EMP1027"/>
    <x v="27"/>
    <x v="1"/>
    <x v="1"/>
    <x v="5"/>
    <d v="2022-05-26T00:00:00"/>
    <x v="27"/>
    <n v="80030.679999999993"/>
    <n v="14746.57"/>
    <x v="27"/>
    <s v="Banco"/>
  </r>
  <r>
    <s v="EMP1028"/>
    <x v="28"/>
    <x v="4"/>
    <x v="0"/>
    <x v="4"/>
    <d v="2025-03-26T00:00:00"/>
    <x v="28"/>
    <n v="118195.31"/>
    <n v="82401.789999999994"/>
    <x v="28"/>
    <s v="Caixa"/>
  </r>
  <r>
    <s v="EMP1029"/>
    <x v="29"/>
    <x v="0"/>
    <x v="1"/>
    <x v="0"/>
    <d v="2025-09-11T00:00:00"/>
    <x v="29"/>
    <n v="235728.52"/>
    <n v="116967.46"/>
    <x v="29"/>
    <s v="Caixa"/>
  </r>
  <r>
    <s v="EMP1030"/>
    <x v="30"/>
    <x v="2"/>
    <x v="1"/>
    <x v="0"/>
    <d v="2022-05-05T00:00:00"/>
    <x v="30"/>
    <n v="216357.63"/>
    <n v="115685.98"/>
    <x v="30"/>
    <s v="Caixa"/>
  </r>
  <r>
    <s v="EMP1031"/>
    <x v="31"/>
    <x v="0"/>
    <x v="0"/>
    <x v="3"/>
    <d v="2024-07-07T00:00:00"/>
    <x v="31"/>
    <n v="324241.84999999998"/>
    <n v="61469.69"/>
    <x v="31"/>
    <s v="Transferência"/>
  </r>
  <r>
    <s v="EMP1032"/>
    <x v="32"/>
    <x v="3"/>
    <x v="1"/>
    <x v="9"/>
    <d v="2026-07-13T00:00:00"/>
    <x v="32"/>
    <n v="163815.04000000001"/>
    <n v="135357.14000000001"/>
    <x v="32"/>
    <s v="Banco"/>
  </r>
  <r>
    <s v="EMP1033"/>
    <x v="33"/>
    <x v="3"/>
    <x v="1"/>
    <x v="0"/>
    <d v="2026-03-24T00:00:00"/>
    <x v="33"/>
    <n v="31901.919999999998"/>
    <n v="63644.69"/>
    <x v="33"/>
    <s v="Transferência"/>
  </r>
  <r>
    <s v="EMP1034"/>
    <x v="34"/>
    <x v="3"/>
    <x v="3"/>
    <x v="8"/>
    <d v="2022-12-04T00:00:00"/>
    <x v="34"/>
    <n v="107331.44"/>
    <n v="59945.27"/>
    <x v="34"/>
    <s v="Caixa"/>
  </r>
  <r>
    <s v="EMP1035"/>
    <x v="35"/>
    <x v="3"/>
    <x v="3"/>
    <x v="7"/>
    <d v="2024-05-16T00:00:00"/>
    <x v="35"/>
    <n v="31880.85"/>
    <n v="6951.16"/>
    <x v="35"/>
    <s v="Banco"/>
  </r>
  <r>
    <s v="EMP1036"/>
    <x v="36"/>
    <x v="0"/>
    <x v="4"/>
    <x v="1"/>
    <d v="2022-04-30T00:00:00"/>
    <x v="36"/>
    <n v="447010.44"/>
    <n v="180889.35"/>
    <x v="36"/>
    <s v="Banco"/>
  </r>
  <r>
    <s v="EMP1037"/>
    <x v="37"/>
    <x v="1"/>
    <x v="2"/>
    <x v="9"/>
    <d v="2024-10-26T00:00:00"/>
    <x v="37"/>
    <n v="148894.63"/>
    <n v="139396.92000000001"/>
    <x v="37"/>
    <s v="Banco"/>
  </r>
  <r>
    <s v="EMP1038"/>
    <x v="38"/>
    <x v="3"/>
    <x v="0"/>
    <x v="0"/>
    <d v="2025-05-03T00:00:00"/>
    <x v="38"/>
    <n v="47892.85"/>
    <n v="59073.79"/>
    <x v="38"/>
    <s v="Transferência"/>
  </r>
  <r>
    <s v="EMP1039"/>
    <x v="39"/>
    <x v="4"/>
    <x v="0"/>
    <x v="4"/>
    <d v="2025-05-02T00:00:00"/>
    <x v="39"/>
    <n v="144682.62"/>
    <n v="126965.69"/>
    <x v="39"/>
    <s v="Transferência"/>
  </r>
  <r>
    <s v="EMP1040"/>
    <x v="40"/>
    <x v="4"/>
    <x v="4"/>
    <x v="7"/>
    <d v="2023-02-23T00:00:00"/>
    <x v="40"/>
    <n v="62085.74"/>
    <n v="38282.85"/>
    <x v="40"/>
    <s v="Banco"/>
  </r>
  <r>
    <s v="EMP1041"/>
    <x v="41"/>
    <x v="2"/>
    <x v="5"/>
    <x v="7"/>
    <d v="2024-07-25T00:00:00"/>
    <x v="41"/>
    <n v="140524.76999999999"/>
    <n v="94348.3"/>
    <x v="41"/>
    <s v="Caixa"/>
  </r>
  <r>
    <s v="EMP1042"/>
    <x v="42"/>
    <x v="4"/>
    <x v="1"/>
    <x v="0"/>
    <d v="2025-01-06T00:00:00"/>
    <x v="42"/>
    <n v="22003.8"/>
    <n v="36446.370000000003"/>
    <x v="42"/>
    <s v="Transferência"/>
  </r>
  <r>
    <s v="EMP1043"/>
    <x v="43"/>
    <x v="1"/>
    <x v="0"/>
    <x v="5"/>
    <d v="2023-08-07T00:00:00"/>
    <x v="43"/>
    <n v="230998.76"/>
    <n v="255554.15"/>
    <x v="43"/>
    <s v="Transferência"/>
  </r>
  <r>
    <s v="EMP1044"/>
    <x v="44"/>
    <x v="4"/>
    <x v="5"/>
    <x v="3"/>
    <d v="2022-01-17T00:00:00"/>
    <x v="44"/>
    <n v="424368.3"/>
    <n v="182706.51"/>
    <x v="44"/>
    <s v="Banco"/>
  </r>
  <r>
    <s v="EMP1045"/>
    <x v="45"/>
    <x v="0"/>
    <x v="4"/>
    <x v="0"/>
    <d v="2026-12-28T00:00:00"/>
    <x v="45"/>
    <n v="268774.76"/>
    <n v="219433.64"/>
    <x v="45"/>
    <s v="Transferência"/>
  </r>
  <r>
    <s v="EMP1046"/>
    <x v="46"/>
    <x v="0"/>
    <x v="5"/>
    <x v="5"/>
    <d v="2023-02-21T00:00:00"/>
    <x v="46"/>
    <n v="197890.04"/>
    <n v="135095.16"/>
    <x v="46"/>
    <s v="Banco"/>
  </r>
  <r>
    <s v="EMP1047"/>
    <x v="47"/>
    <x v="3"/>
    <x v="1"/>
    <x v="0"/>
    <d v="2025-07-23T00:00:00"/>
    <x v="47"/>
    <n v="185411.83"/>
    <n v="64553.31"/>
    <x v="47"/>
    <s v="Caixa"/>
  </r>
  <r>
    <s v="EMP1048"/>
    <x v="48"/>
    <x v="0"/>
    <x v="5"/>
    <x v="7"/>
    <d v="2022-11-27T00:00:00"/>
    <x v="48"/>
    <n v="75314.44"/>
    <n v="76854.52"/>
    <x v="48"/>
    <s v="Banco"/>
  </r>
  <r>
    <s v="EMP1049"/>
    <x v="49"/>
    <x v="1"/>
    <x v="1"/>
    <x v="0"/>
    <d v="2026-12-14T00:00:00"/>
    <x v="49"/>
    <n v="316373.88"/>
    <n v="135147.51999999999"/>
    <x v="49"/>
    <s v="Banco"/>
  </r>
  <r>
    <s v="EMP1050"/>
    <x v="50"/>
    <x v="4"/>
    <x v="2"/>
    <x v="6"/>
    <d v="2024-05-30T00:00:00"/>
    <x v="50"/>
    <n v="118571.28"/>
    <n v="78328.31"/>
    <x v="50"/>
    <s v="Transferência"/>
  </r>
  <r>
    <s v="EMP1051"/>
    <x v="51"/>
    <x v="3"/>
    <x v="1"/>
    <x v="5"/>
    <d v="2023-03-07T00:00:00"/>
    <x v="51"/>
    <n v="32986.589999999997"/>
    <n v="32766.98"/>
    <x v="51"/>
    <s v="Banco"/>
  </r>
  <r>
    <s v="EMP1052"/>
    <x v="52"/>
    <x v="4"/>
    <x v="3"/>
    <x v="4"/>
    <d v="2026-03-15T00:00:00"/>
    <x v="52"/>
    <n v="213939.45"/>
    <n v="72132.320000000007"/>
    <x v="52"/>
    <s v="Transferência"/>
  </r>
  <r>
    <s v="EMP1053"/>
    <x v="53"/>
    <x v="3"/>
    <x v="0"/>
    <x v="2"/>
    <d v="2022-02-20T00:00:00"/>
    <x v="53"/>
    <n v="248099.64"/>
    <n v="131170.43"/>
    <x v="53"/>
    <s v="Transferência"/>
  </r>
  <r>
    <s v="EMP1054"/>
    <x v="54"/>
    <x v="2"/>
    <x v="5"/>
    <x v="1"/>
    <d v="2023-07-01T00:00:00"/>
    <x v="54"/>
    <n v="312459.21000000002"/>
    <n v="101472.16"/>
    <x v="54"/>
    <s v="Transferência"/>
  </r>
  <r>
    <s v="EMP1055"/>
    <x v="55"/>
    <x v="6"/>
    <x v="0"/>
    <x v="1"/>
    <d v="2026-07-31T00:00:00"/>
    <x v="55"/>
    <n v="72537.990000000005"/>
    <n v="19199.919999999998"/>
    <x v="55"/>
    <s v="Caixa"/>
  </r>
  <r>
    <s v="EMP1056"/>
    <x v="56"/>
    <x v="0"/>
    <x v="0"/>
    <x v="8"/>
    <d v="2025-09-13T00:00:00"/>
    <x v="56"/>
    <n v="176170.17"/>
    <n v="161165.82"/>
    <x v="56"/>
    <s v="Transferência"/>
  </r>
  <r>
    <s v="EMP1057"/>
    <x v="57"/>
    <x v="3"/>
    <x v="4"/>
    <x v="5"/>
    <d v="2025-08-06T00:00:00"/>
    <x v="57"/>
    <n v="207166.62"/>
    <n v="193085.99"/>
    <x v="57"/>
    <s v="Banco"/>
  </r>
  <r>
    <s v="EMP1058"/>
    <x v="58"/>
    <x v="5"/>
    <x v="1"/>
    <x v="0"/>
    <d v="2026-12-02T00:00:00"/>
    <x v="58"/>
    <n v="333952.06"/>
    <n v="190288.8"/>
    <x v="58"/>
    <s v="Caixa"/>
  </r>
  <r>
    <s v="EMP1059"/>
    <x v="59"/>
    <x v="1"/>
    <x v="1"/>
    <x v="4"/>
    <d v="2024-06-08T00:00:00"/>
    <x v="59"/>
    <n v="144351.01"/>
    <n v="102989.58"/>
    <x v="59"/>
    <s v="Caixa"/>
  </r>
  <r>
    <s v="EMP1060"/>
    <x v="60"/>
    <x v="1"/>
    <x v="3"/>
    <x v="4"/>
    <d v="2023-01-25T00:00:00"/>
    <x v="60"/>
    <n v="197085.37"/>
    <n v="170242.09"/>
    <x v="60"/>
    <s v="Caixa"/>
  </r>
  <r>
    <s v="EMP1061"/>
    <x v="61"/>
    <x v="3"/>
    <x v="2"/>
    <x v="1"/>
    <d v="2024-01-16T00:00:00"/>
    <x v="61"/>
    <n v="58710.26"/>
    <n v="9231.7000000000007"/>
    <x v="61"/>
    <s v="Caixa"/>
  </r>
  <r>
    <s v="EMP1062"/>
    <x v="62"/>
    <x v="4"/>
    <x v="4"/>
    <x v="0"/>
    <d v="2026-01-14T00:00:00"/>
    <x v="62"/>
    <n v="99144.76"/>
    <n v="46670.47"/>
    <x v="62"/>
    <s v="Caixa"/>
  </r>
  <r>
    <s v="EMP1063"/>
    <x v="63"/>
    <x v="6"/>
    <x v="5"/>
    <x v="7"/>
    <d v="2025-02-09T00:00:00"/>
    <x v="63"/>
    <n v="251345.32"/>
    <n v="150000.97"/>
    <x v="63"/>
    <s v="Transferência"/>
  </r>
  <r>
    <s v="EMP1064"/>
    <x v="64"/>
    <x v="2"/>
    <x v="5"/>
    <x v="6"/>
    <d v="2025-06-14T00:00:00"/>
    <x v="64"/>
    <n v="123983.63"/>
    <n v="105993.43"/>
    <x v="64"/>
    <s v="Banco"/>
  </r>
  <r>
    <s v="EMP1065"/>
    <x v="65"/>
    <x v="5"/>
    <x v="4"/>
    <x v="1"/>
    <d v="2024-05-30T00:00:00"/>
    <x v="65"/>
    <n v="181375.26"/>
    <n v="145187.62"/>
    <x v="65"/>
    <s v="Banco"/>
  </r>
  <r>
    <s v="EMP1066"/>
    <x v="66"/>
    <x v="0"/>
    <x v="2"/>
    <x v="9"/>
    <d v="2026-06-14T00:00:00"/>
    <x v="66"/>
    <n v="210436.9"/>
    <n v="102710.18"/>
    <x v="66"/>
    <s v="Banco"/>
  </r>
  <r>
    <s v="EMP1067"/>
    <x v="67"/>
    <x v="2"/>
    <x v="5"/>
    <x v="4"/>
    <d v="2023-11-18T00:00:00"/>
    <x v="67"/>
    <n v="151184.95999999999"/>
    <n v="46195.32"/>
    <x v="67"/>
    <s v="Transferência"/>
  </r>
  <r>
    <s v="EMP1068"/>
    <x v="68"/>
    <x v="0"/>
    <x v="0"/>
    <x v="8"/>
    <d v="2022-04-05T00:00:00"/>
    <x v="68"/>
    <n v="203958.14"/>
    <n v="55496.04"/>
    <x v="68"/>
    <s v="Transferência"/>
  </r>
  <r>
    <s v="EMP1069"/>
    <x v="69"/>
    <x v="6"/>
    <x v="3"/>
    <x v="4"/>
    <d v="2023-02-03T00:00:00"/>
    <x v="69"/>
    <n v="363951.3"/>
    <n v="209520.33"/>
    <x v="69"/>
    <s v="Banco"/>
  </r>
  <r>
    <s v="EMP1070"/>
    <x v="70"/>
    <x v="2"/>
    <x v="5"/>
    <x v="8"/>
    <d v="2026-03-18T00:00:00"/>
    <x v="70"/>
    <n v="257632.21"/>
    <n v="89915.5"/>
    <x v="70"/>
    <s v="Transferência"/>
  </r>
  <r>
    <s v="EMP1071"/>
    <x v="71"/>
    <x v="2"/>
    <x v="2"/>
    <x v="9"/>
    <d v="2022-04-13T00:00:00"/>
    <x v="71"/>
    <n v="178458.94"/>
    <n v="194829.55"/>
    <x v="71"/>
    <s v="Banco"/>
  </r>
  <r>
    <s v="EMP1072"/>
    <x v="72"/>
    <x v="0"/>
    <x v="3"/>
    <x v="3"/>
    <d v="2025-02-18T00:00:00"/>
    <x v="72"/>
    <n v="272070.25"/>
    <n v="47683.17"/>
    <x v="72"/>
    <s v="Banco"/>
  </r>
  <r>
    <s v="EMP1073"/>
    <x v="73"/>
    <x v="4"/>
    <x v="5"/>
    <x v="3"/>
    <d v="2024-05-23T00:00:00"/>
    <x v="73"/>
    <n v="348214.05"/>
    <n v="159924.12"/>
    <x v="73"/>
    <s v="Banco"/>
  </r>
  <r>
    <s v="EMP1074"/>
    <x v="74"/>
    <x v="6"/>
    <x v="3"/>
    <x v="7"/>
    <d v="2026-03-20T00:00:00"/>
    <x v="74"/>
    <n v="456656.97"/>
    <n v="192917.48"/>
    <x v="74"/>
    <s v="Transferência"/>
  </r>
  <r>
    <s v="EMP1075"/>
    <x v="75"/>
    <x v="2"/>
    <x v="0"/>
    <x v="7"/>
    <d v="2024-06-19T00:00:00"/>
    <x v="75"/>
    <n v="260683.8"/>
    <n v="98694.33"/>
    <x v="75"/>
    <s v="Transferência"/>
  </r>
  <r>
    <s v="EMP1076"/>
    <x v="76"/>
    <x v="4"/>
    <x v="1"/>
    <x v="6"/>
    <d v="2022-11-05T00:00:00"/>
    <x v="76"/>
    <n v="127754.17"/>
    <n v="79404.13"/>
    <x v="76"/>
    <s v="Transferência"/>
  </r>
  <r>
    <s v="EMP1077"/>
    <x v="77"/>
    <x v="1"/>
    <x v="3"/>
    <x v="2"/>
    <d v="2023-11-09T00:00:00"/>
    <x v="77"/>
    <n v="325958.33"/>
    <n v="161568.10999999999"/>
    <x v="77"/>
    <s v="Banco"/>
  </r>
  <r>
    <s v="EMP1078"/>
    <x v="78"/>
    <x v="6"/>
    <x v="3"/>
    <x v="4"/>
    <d v="2025-11-25T00:00:00"/>
    <x v="78"/>
    <n v="276193.51"/>
    <n v="100838.79"/>
    <x v="78"/>
    <s v="Transferência"/>
  </r>
  <r>
    <s v="EMP1079"/>
    <x v="79"/>
    <x v="5"/>
    <x v="3"/>
    <x v="2"/>
    <d v="2025-01-07T00:00:00"/>
    <x v="79"/>
    <n v="249417"/>
    <n v="197011.9"/>
    <x v="79"/>
    <s v="Banco"/>
  </r>
  <r>
    <s v="EMP1080"/>
    <x v="80"/>
    <x v="6"/>
    <x v="0"/>
    <x v="7"/>
    <d v="2024-06-11T00:00:00"/>
    <x v="80"/>
    <n v="506171.68"/>
    <n v="267106.64"/>
    <x v="80"/>
    <s v="Caixa"/>
  </r>
  <r>
    <s v="EMP1081"/>
    <x v="81"/>
    <x v="3"/>
    <x v="3"/>
    <x v="6"/>
    <d v="2026-09-18T00:00:00"/>
    <x v="81"/>
    <n v="30887.21"/>
    <n v="21804.44"/>
    <x v="81"/>
    <s v="Caixa"/>
  </r>
  <r>
    <s v="EMP1082"/>
    <x v="82"/>
    <x v="6"/>
    <x v="2"/>
    <x v="4"/>
    <d v="2025-09-19T00:00:00"/>
    <x v="82"/>
    <n v="161300.64000000001"/>
    <n v="51160.71"/>
    <x v="82"/>
    <s v="Transferência"/>
  </r>
  <r>
    <s v="EMP1083"/>
    <x v="83"/>
    <x v="6"/>
    <x v="0"/>
    <x v="8"/>
    <d v="2023-06-17T00:00:00"/>
    <x v="83"/>
    <n v="84293.6"/>
    <n v="19928.78"/>
    <x v="83"/>
    <s v="Caixa"/>
  </r>
  <r>
    <s v="EMP1084"/>
    <x v="84"/>
    <x v="3"/>
    <x v="3"/>
    <x v="7"/>
    <d v="2026-03-21T00:00:00"/>
    <x v="84"/>
    <n v="137853.24"/>
    <n v="88709.22"/>
    <x v="84"/>
    <s v="Caixa"/>
  </r>
  <r>
    <s v="EMP1085"/>
    <x v="85"/>
    <x v="2"/>
    <x v="2"/>
    <x v="8"/>
    <d v="2023-12-18T00:00:00"/>
    <x v="85"/>
    <n v="255627.36"/>
    <n v="85209.38"/>
    <x v="85"/>
    <s v="Transferência"/>
  </r>
  <r>
    <s v="EMP1086"/>
    <x v="86"/>
    <x v="3"/>
    <x v="1"/>
    <x v="1"/>
    <d v="2023-02-13T00:00:00"/>
    <x v="86"/>
    <n v="84108.61"/>
    <n v="36155.230000000003"/>
    <x v="86"/>
    <s v="Transferência"/>
  </r>
  <r>
    <s v="EMP1087"/>
    <x v="87"/>
    <x v="1"/>
    <x v="2"/>
    <x v="1"/>
    <d v="2024-08-10T00:00:00"/>
    <x v="87"/>
    <n v="74174.509999999995"/>
    <n v="55128.91"/>
    <x v="87"/>
    <s v="Banco"/>
  </r>
  <r>
    <s v="EMP1088"/>
    <x v="88"/>
    <x v="4"/>
    <x v="5"/>
    <x v="0"/>
    <d v="2026-05-12T00:00:00"/>
    <x v="88"/>
    <n v="242990.44"/>
    <n v="53885.03"/>
    <x v="88"/>
    <s v="Transferência"/>
  </r>
  <r>
    <s v="EMP1089"/>
    <x v="89"/>
    <x v="5"/>
    <x v="2"/>
    <x v="2"/>
    <d v="2024-03-23T00:00:00"/>
    <x v="89"/>
    <n v="102028.85"/>
    <n v="46030.04"/>
    <x v="89"/>
    <s v="Banco"/>
  </r>
  <r>
    <s v="EMP1090"/>
    <x v="90"/>
    <x v="2"/>
    <x v="0"/>
    <x v="0"/>
    <d v="2025-11-28T00:00:00"/>
    <x v="90"/>
    <n v="62060.28"/>
    <n v="87718.48"/>
    <x v="90"/>
    <s v="Caixa"/>
  </r>
  <r>
    <s v="EMP1091"/>
    <x v="91"/>
    <x v="1"/>
    <x v="4"/>
    <x v="3"/>
    <d v="2024-05-27T00:00:00"/>
    <x v="91"/>
    <n v="131351.94"/>
    <n v="50805.55"/>
    <x v="91"/>
    <s v="Banco"/>
  </r>
  <r>
    <s v="EMP1092"/>
    <x v="92"/>
    <x v="1"/>
    <x v="3"/>
    <x v="9"/>
    <d v="2022-08-05T00:00:00"/>
    <x v="92"/>
    <n v="106804.96"/>
    <n v="147804.10999999999"/>
    <x v="92"/>
    <s v="Caixa"/>
  </r>
  <r>
    <s v="EMP1093"/>
    <x v="93"/>
    <x v="2"/>
    <x v="0"/>
    <x v="2"/>
    <d v="2022-12-27T00:00:00"/>
    <x v="93"/>
    <n v="290317.11"/>
    <n v="171425.79"/>
    <x v="93"/>
    <s v="Banco"/>
  </r>
  <r>
    <s v="EMP1094"/>
    <x v="94"/>
    <x v="3"/>
    <x v="2"/>
    <x v="9"/>
    <d v="2024-08-10T00:00:00"/>
    <x v="94"/>
    <n v="561151.16"/>
    <n v="125361.28"/>
    <x v="94"/>
    <s v="Caixa"/>
  </r>
  <r>
    <s v="EMP1095"/>
    <x v="95"/>
    <x v="1"/>
    <x v="4"/>
    <x v="9"/>
    <d v="2023-05-15T00:00:00"/>
    <x v="95"/>
    <n v="142587.63"/>
    <n v="64895.87"/>
    <x v="95"/>
    <s v="Caixa"/>
  </r>
  <r>
    <s v="EMP1096"/>
    <x v="96"/>
    <x v="5"/>
    <x v="0"/>
    <x v="9"/>
    <d v="2023-03-11T00:00:00"/>
    <x v="96"/>
    <n v="200500.26"/>
    <n v="127343.67999999999"/>
    <x v="96"/>
    <s v="Caixa"/>
  </r>
  <r>
    <s v="EMP1097"/>
    <x v="97"/>
    <x v="2"/>
    <x v="4"/>
    <x v="3"/>
    <d v="2022-01-21T00:00:00"/>
    <x v="97"/>
    <n v="142107.31"/>
    <n v="131468.66"/>
    <x v="97"/>
    <s v="Banco"/>
  </r>
  <r>
    <s v="EMP1098"/>
    <x v="98"/>
    <x v="6"/>
    <x v="2"/>
    <x v="1"/>
    <d v="2025-11-15T00:00:00"/>
    <x v="98"/>
    <n v="61843.27"/>
    <n v="87349.98"/>
    <x v="98"/>
    <s v="Caixa"/>
  </r>
  <r>
    <s v="EMP1099"/>
    <x v="99"/>
    <x v="5"/>
    <x v="0"/>
    <x v="2"/>
    <d v="2025-11-17T00:00:00"/>
    <x v="99"/>
    <n v="304216.02"/>
    <n v="68740.63"/>
    <x v="99"/>
    <s v="Transferência"/>
  </r>
  <r>
    <s v="EMP1100"/>
    <x v="100"/>
    <x v="4"/>
    <x v="2"/>
    <x v="5"/>
    <d v="2024-05-21T00:00:00"/>
    <x v="100"/>
    <n v="256698.65"/>
    <n v="88769.72"/>
    <x v="100"/>
    <s v="Banco"/>
  </r>
  <r>
    <s v="EMP1101"/>
    <x v="101"/>
    <x v="5"/>
    <x v="4"/>
    <x v="7"/>
    <d v="2023-04-18T00:00:00"/>
    <x v="101"/>
    <n v="282089.87"/>
    <n v="226474.12"/>
    <x v="101"/>
    <s v="Transferência"/>
  </r>
  <r>
    <s v="EMP1102"/>
    <x v="102"/>
    <x v="3"/>
    <x v="5"/>
    <x v="6"/>
    <d v="2023-01-28T00:00:00"/>
    <x v="102"/>
    <n v="104938.21"/>
    <n v="89861.89"/>
    <x v="102"/>
    <s v="Transferência"/>
  </r>
  <r>
    <s v="EMP1103"/>
    <x v="103"/>
    <x v="3"/>
    <x v="2"/>
    <x v="4"/>
    <d v="2023-08-03T00:00:00"/>
    <x v="103"/>
    <n v="226487.08"/>
    <n v="178657.83"/>
    <x v="103"/>
    <s v="Transferência"/>
  </r>
  <r>
    <s v="EMP1104"/>
    <x v="104"/>
    <x v="5"/>
    <x v="1"/>
    <x v="3"/>
    <d v="2022-09-17T00:00:00"/>
    <x v="104"/>
    <n v="102059.38"/>
    <n v="58367.41"/>
    <x v="104"/>
    <s v="Caixa"/>
  </r>
  <r>
    <s v="EMP1105"/>
    <x v="105"/>
    <x v="2"/>
    <x v="0"/>
    <x v="9"/>
    <d v="2022-07-30T00:00:00"/>
    <x v="105"/>
    <n v="76128.13"/>
    <n v="24811.02"/>
    <x v="105"/>
    <s v="Transferência"/>
  </r>
  <r>
    <s v="EMP1106"/>
    <x v="106"/>
    <x v="0"/>
    <x v="1"/>
    <x v="7"/>
    <d v="2026-10-31T00:00:00"/>
    <x v="106"/>
    <n v="188856.81"/>
    <n v="91412.69"/>
    <x v="106"/>
    <s v="Caixa"/>
  </r>
  <r>
    <s v="EMP1107"/>
    <x v="107"/>
    <x v="1"/>
    <x v="2"/>
    <x v="8"/>
    <d v="2022-11-07T00:00:00"/>
    <x v="107"/>
    <n v="128335.67"/>
    <n v="39540.160000000003"/>
    <x v="107"/>
    <s v="Transferência"/>
  </r>
  <r>
    <s v="EMP1108"/>
    <x v="108"/>
    <x v="0"/>
    <x v="1"/>
    <x v="3"/>
    <d v="2026-04-15T00:00:00"/>
    <x v="108"/>
    <n v="594938.99"/>
    <n v="93439.5"/>
    <x v="108"/>
    <s v="Caixa"/>
  </r>
  <r>
    <s v="EMP1109"/>
    <x v="109"/>
    <x v="6"/>
    <x v="4"/>
    <x v="4"/>
    <d v="2024-05-28T00:00:00"/>
    <x v="109"/>
    <n v="218800.95"/>
    <n v="68512.009999999995"/>
    <x v="109"/>
    <s v="Caixa"/>
  </r>
  <r>
    <s v="EMP1110"/>
    <x v="110"/>
    <x v="3"/>
    <x v="0"/>
    <x v="1"/>
    <d v="2023-06-26T00:00:00"/>
    <x v="110"/>
    <n v="64063.82"/>
    <n v="35998.47"/>
    <x v="110"/>
    <s v="Banco"/>
  </r>
  <r>
    <s v="EMP1111"/>
    <x v="111"/>
    <x v="1"/>
    <x v="0"/>
    <x v="8"/>
    <d v="2024-04-16T00:00:00"/>
    <x v="111"/>
    <n v="37491.910000000003"/>
    <n v="21019.8"/>
    <x v="111"/>
    <s v="Caixa"/>
  </r>
  <r>
    <s v="EMP1112"/>
    <x v="112"/>
    <x v="2"/>
    <x v="4"/>
    <x v="9"/>
    <d v="2022-05-26T00:00:00"/>
    <x v="112"/>
    <n v="226349.76"/>
    <n v="106289.23"/>
    <x v="112"/>
    <s v="Banco"/>
  </r>
  <r>
    <s v="EMP1113"/>
    <x v="113"/>
    <x v="2"/>
    <x v="2"/>
    <x v="1"/>
    <d v="2024-05-20T00:00:00"/>
    <x v="113"/>
    <n v="258037.39"/>
    <n v="110899.12"/>
    <x v="113"/>
    <s v="Transferência"/>
  </r>
  <r>
    <s v="EMP1114"/>
    <x v="114"/>
    <x v="5"/>
    <x v="0"/>
    <x v="0"/>
    <d v="2022-05-03T00:00:00"/>
    <x v="114"/>
    <n v="228294.08"/>
    <n v="104357.95"/>
    <x v="114"/>
    <s v="Transferência"/>
  </r>
  <r>
    <s v="EMP1115"/>
    <x v="115"/>
    <x v="5"/>
    <x v="3"/>
    <x v="0"/>
    <d v="2024-08-17T00:00:00"/>
    <x v="115"/>
    <n v="238339.09"/>
    <n v="146918.70000000001"/>
    <x v="115"/>
    <s v="Banco"/>
  </r>
  <r>
    <s v="EMP1116"/>
    <x v="116"/>
    <x v="4"/>
    <x v="2"/>
    <x v="9"/>
    <d v="2024-06-15T00:00:00"/>
    <x v="116"/>
    <n v="265061.17"/>
    <n v="160254.68"/>
    <x v="116"/>
    <s v="Transferência"/>
  </r>
  <r>
    <s v="EMP1117"/>
    <x v="117"/>
    <x v="4"/>
    <x v="4"/>
    <x v="8"/>
    <d v="2022-07-07T00:00:00"/>
    <x v="117"/>
    <n v="65445.72"/>
    <n v="27601.08"/>
    <x v="117"/>
    <s v="Transferência"/>
  </r>
  <r>
    <s v="EMP1118"/>
    <x v="118"/>
    <x v="5"/>
    <x v="2"/>
    <x v="8"/>
    <d v="2026-04-12T00:00:00"/>
    <x v="118"/>
    <n v="51735.3"/>
    <n v="18735.689999999999"/>
    <x v="118"/>
    <s v="Transferência"/>
  </r>
  <r>
    <s v="EMP1119"/>
    <x v="119"/>
    <x v="5"/>
    <x v="0"/>
    <x v="4"/>
    <d v="2024-06-11T00:00:00"/>
    <x v="119"/>
    <n v="321953.32"/>
    <n v="146122.28"/>
    <x v="119"/>
    <s v="Banco"/>
  </r>
  <r>
    <s v="EMP1120"/>
    <x v="120"/>
    <x v="6"/>
    <x v="4"/>
    <x v="5"/>
    <d v="2025-10-04T00:00:00"/>
    <x v="120"/>
    <n v="532104.68999999994"/>
    <n v="157792.95999999999"/>
    <x v="120"/>
    <s v="Transferência"/>
  </r>
  <r>
    <s v="EMP1121"/>
    <x v="121"/>
    <x v="5"/>
    <x v="5"/>
    <x v="2"/>
    <d v="2026-07-25T00:00:00"/>
    <x v="121"/>
    <n v="92136.37"/>
    <n v="73440.570000000007"/>
    <x v="121"/>
    <s v="Banco"/>
  </r>
  <r>
    <s v="EMP1122"/>
    <x v="122"/>
    <x v="5"/>
    <x v="1"/>
    <x v="2"/>
    <d v="2026-11-07T00:00:00"/>
    <x v="122"/>
    <n v="38612.9"/>
    <n v="15971.21"/>
    <x v="122"/>
    <s v="Banco"/>
  </r>
  <r>
    <s v="EMP1123"/>
    <x v="123"/>
    <x v="6"/>
    <x v="1"/>
    <x v="1"/>
    <d v="2024-11-27T00:00:00"/>
    <x v="123"/>
    <n v="22660.1"/>
    <n v="9840.5400000000009"/>
    <x v="123"/>
    <s v="Caixa"/>
  </r>
  <r>
    <s v="EMP1124"/>
    <x v="124"/>
    <x v="0"/>
    <x v="4"/>
    <x v="3"/>
    <d v="2022-09-26T00:00:00"/>
    <x v="124"/>
    <n v="387076.16"/>
    <n v="217543.89"/>
    <x v="124"/>
    <s v="Caixa"/>
  </r>
  <r>
    <s v="EMP1125"/>
    <x v="125"/>
    <x v="1"/>
    <x v="5"/>
    <x v="4"/>
    <d v="2026-06-25T00:00:00"/>
    <x v="125"/>
    <n v="442747.26"/>
    <n v="144125.87"/>
    <x v="125"/>
    <s v="Transferência"/>
  </r>
  <r>
    <s v="EMP1126"/>
    <x v="126"/>
    <x v="6"/>
    <x v="1"/>
    <x v="1"/>
    <d v="2026-09-20T00:00:00"/>
    <x v="126"/>
    <n v="87957.7"/>
    <n v="24493.8"/>
    <x v="126"/>
    <s v="Transferência"/>
  </r>
  <r>
    <s v="EMP1127"/>
    <x v="127"/>
    <x v="0"/>
    <x v="3"/>
    <x v="7"/>
    <d v="2024-11-08T00:00:00"/>
    <x v="127"/>
    <n v="492100.18"/>
    <n v="181483.82"/>
    <x v="127"/>
    <s v="Banco"/>
  </r>
  <r>
    <s v="EMP1128"/>
    <x v="128"/>
    <x v="6"/>
    <x v="0"/>
    <x v="9"/>
    <d v="2025-02-02T00:00:00"/>
    <x v="128"/>
    <n v="168612.23"/>
    <n v="93016.72"/>
    <x v="128"/>
    <s v="Transferência"/>
  </r>
  <r>
    <s v="EMP1129"/>
    <x v="129"/>
    <x v="2"/>
    <x v="0"/>
    <x v="0"/>
    <d v="2023-07-20T00:00:00"/>
    <x v="129"/>
    <n v="152352.14000000001"/>
    <n v="145128.74"/>
    <x v="129"/>
    <s v="Caixa"/>
  </r>
  <r>
    <s v="EMP1130"/>
    <x v="130"/>
    <x v="3"/>
    <x v="1"/>
    <x v="7"/>
    <d v="2026-01-26T00:00:00"/>
    <x v="130"/>
    <n v="366060.65"/>
    <n v="116991.8"/>
    <x v="130"/>
    <s v="Caixa"/>
  </r>
  <r>
    <s v="EMP1131"/>
    <x v="131"/>
    <x v="6"/>
    <x v="4"/>
    <x v="5"/>
    <d v="2025-02-04T00:00:00"/>
    <x v="131"/>
    <n v="484848.39"/>
    <n v="152570.41"/>
    <x v="131"/>
    <s v="Banco"/>
  </r>
  <r>
    <s v="EMP1132"/>
    <x v="132"/>
    <x v="0"/>
    <x v="5"/>
    <x v="1"/>
    <d v="2025-03-17T00:00:00"/>
    <x v="132"/>
    <n v="240118.07"/>
    <n v="100357.7"/>
    <x v="132"/>
    <s v="Caixa"/>
  </r>
  <r>
    <s v="EMP1133"/>
    <x v="133"/>
    <x v="5"/>
    <x v="5"/>
    <x v="9"/>
    <d v="2025-12-15T00:00:00"/>
    <x v="133"/>
    <n v="243241.23"/>
    <n v="73642.02"/>
    <x v="133"/>
    <s v="Caixa"/>
  </r>
  <r>
    <s v="EMP1134"/>
    <x v="134"/>
    <x v="2"/>
    <x v="0"/>
    <x v="9"/>
    <d v="2022-03-17T00:00:00"/>
    <x v="134"/>
    <n v="430802.37"/>
    <n v="176221.07"/>
    <x v="134"/>
    <s v="Transferência"/>
  </r>
  <r>
    <s v="EMP1135"/>
    <x v="135"/>
    <x v="1"/>
    <x v="3"/>
    <x v="0"/>
    <d v="2024-12-13T00:00:00"/>
    <x v="135"/>
    <n v="541260.4"/>
    <n v="133337.39000000001"/>
    <x v="135"/>
    <s v="Caixa"/>
  </r>
  <r>
    <s v="EMP1136"/>
    <x v="136"/>
    <x v="2"/>
    <x v="0"/>
    <x v="0"/>
    <d v="2024-08-19T00:00:00"/>
    <x v="136"/>
    <n v="35858.28"/>
    <n v="12334.13"/>
    <x v="136"/>
    <s v="Caixa"/>
  </r>
  <r>
    <s v="EMP1137"/>
    <x v="137"/>
    <x v="1"/>
    <x v="4"/>
    <x v="3"/>
    <d v="2024-02-18T00:00:00"/>
    <x v="137"/>
    <n v="268968.78999999998"/>
    <n v="101293.03"/>
    <x v="137"/>
    <s v="Caixa"/>
  </r>
  <r>
    <s v="EMP1138"/>
    <x v="138"/>
    <x v="1"/>
    <x v="0"/>
    <x v="7"/>
    <d v="2023-04-11T00:00:00"/>
    <x v="138"/>
    <n v="486351.01"/>
    <n v="71998.11"/>
    <x v="138"/>
    <s v="Banco"/>
  </r>
  <r>
    <s v="EMP1139"/>
    <x v="139"/>
    <x v="2"/>
    <x v="5"/>
    <x v="0"/>
    <d v="2024-06-27T00:00:00"/>
    <x v="139"/>
    <n v="68271.02"/>
    <n v="19394.11"/>
    <x v="139"/>
    <s v="Transferência"/>
  </r>
  <r>
    <s v="EMP1140"/>
    <x v="140"/>
    <x v="3"/>
    <x v="1"/>
    <x v="7"/>
    <d v="2024-01-05T00:00:00"/>
    <x v="140"/>
    <n v="317434.07"/>
    <n v="46977.26"/>
    <x v="140"/>
    <s v="Caixa"/>
  </r>
  <r>
    <s v="EMP1141"/>
    <x v="141"/>
    <x v="4"/>
    <x v="5"/>
    <x v="6"/>
    <d v="2022-12-15T00:00:00"/>
    <x v="141"/>
    <n v="152407.57999999999"/>
    <n v="149885.9"/>
    <x v="141"/>
    <s v="Transferência"/>
  </r>
  <r>
    <s v="EMP1142"/>
    <x v="142"/>
    <x v="2"/>
    <x v="0"/>
    <x v="9"/>
    <d v="2025-04-09T00:00:00"/>
    <x v="142"/>
    <n v="77563.460000000006"/>
    <n v="29071.45"/>
    <x v="142"/>
    <s v="Transferência"/>
  </r>
  <r>
    <s v="EMP1143"/>
    <x v="143"/>
    <x v="5"/>
    <x v="5"/>
    <x v="8"/>
    <d v="2026-07-06T00:00:00"/>
    <x v="143"/>
    <n v="155580.82999999999"/>
    <n v="57819.63"/>
    <x v="143"/>
    <s v="Caixa"/>
  </r>
  <r>
    <s v="EMP1144"/>
    <x v="144"/>
    <x v="6"/>
    <x v="4"/>
    <x v="4"/>
    <d v="2023-09-05T00:00:00"/>
    <x v="144"/>
    <n v="246079.21"/>
    <n v="58651.12"/>
    <x v="144"/>
    <s v="Banco"/>
  </r>
  <r>
    <s v="EMP1145"/>
    <x v="145"/>
    <x v="5"/>
    <x v="0"/>
    <x v="2"/>
    <d v="2026-10-14T00:00:00"/>
    <x v="145"/>
    <n v="357258.95"/>
    <n v="135096.17000000001"/>
    <x v="145"/>
    <s v="Caixa"/>
  </r>
  <r>
    <s v="EMP1146"/>
    <x v="146"/>
    <x v="4"/>
    <x v="4"/>
    <x v="7"/>
    <d v="2022-02-14T00:00:00"/>
    <x v="146"/>
    <n v="55281.87"/>
    <n v="46222.59"/>
    <x v="146"/>
    <s v="Banco"/>
  </r>
  <r>
    <s v="EMP1147"/>
    <x v="147"/>
    <x v="2"/>
    <x v="5"/>
    <x v="8"/>
    <d v="2025-05-26T00:00:00"/>
    <x v="147"/>
    <n v="186728.55"/>
    <n v="144072.26999999999"/>
    <x v="147"/>
    <s v="Banco"/>
  </r>
  <r>
    <s v="EMP1148"/>
    <x v="148"/>
    <x v="3"/>
    <x v="0"/>
    <x v="4"/>
    <d v="2026-07-01T00:00:00"/>
    <x v="148"/>
    <n v="477190.86"/>
    <n v="245162.19"/>
    <x v="148"/>
    <s v="Caixa"/>
  </r>
  <r>
    <s v="EMP1149"/>
    <x v="149"/>
    <x v="2"/>
    <x v="5"/>
    <x v="6"/>
    <d v="2025-07-10T00:00:00"/>
    <x v="149"/>
    <n v="184163.12"/>
    <n v="89192.69"/>
    <x v="149"/>
    <s v="Transferência"/>
  </r>
  <r>
    <s v="EMP1150"/>
    <x v="150"/>
    <x v="4"/>
    <x v="4"/>
    <x v="6"/>
    <d v="2022-07-04T00:00:00"/>
    <x v="150"/>
    <n v="31898.3"/>
    <n v="19881.5"/>
    <x v="150"/>
    <s v="Caixa"/>
  </r>
  <r>
    <s v="EMP1151"/>
    <x v="151"/>
    <x v="0"/>
    <x v="2"/>
    <x v="5"/>
    <d v="2024-12-23T00:00:00"/>
    <x v="151"/>
    <n v="297320.92"/>
    <n v="68269.78"/>
    <x v="151"/>
    <s v="Banco"/>
  </r>
  <r>
    <s v="EMP1152"/>
    <x v="152"/>
    <x v="3"/>
    <x v="3"/>
    <x v="7"/>
    <d v="2026-03-09T00:00:00"/>
    <x v="152"/>
    <n v="272940.78000000003"/>
    <n v="67103.08"/>
    <x v="152"/>
    <s v="Caixa"/>
  </r>
  <r>
    <s v="EMP1153"/>
    <x v="153"/>
    <x v="3"/>
    <x v="0"/>
    <x v="2"/>
    <d v="2026-09-29T00:00:00"/>
    <x v="153"/>
    <n v="86638.81"/>
    <n v="22178.560000000001"/>
    <x v="153"/>
    <s v="Banco"/>
  </r>
  <r>
    <s v="EMP1154"/>
    <x v="154"/>
    <x v="5"/>
    <x v="2"/>
    <x v="0"/>
    <d v="2024-07-20T00:00:00"/>
    <x v="154"/>
    <n v="112583.83"/>
    <n v="108367.57"/>
    <x v="154"/>
    <s v="Caixa"/>
  </r>
  <r>
    <s v="EMP1155"/>
    <x v="155"/>
    <x v="5"/>
    <x v="1"/>
    <x v="1"/>
    <d v="2024-08-23T00:00:00"/>
    <x v="155"/>
    <n v="203563.23"/>
    <n v="126858.15"/>
    <x v="155"/>
    <s v="Transferência"/>
  </r>
  <r>
    <s v="EMP1156"/>
    <x v="156"/>
    <x v="2"/>
    <x v="1"/>
    <x v="9"/>
    <d v="2025-12-06T00:00:00"/>
    <x v="156"/>
    <n v="286079.93"/>
    <n v="210121.44"/>
    <x v="156"/>
    <s v="Caixa"/>
  </r>
  <r>
    <s v="EMP1157"/>
    <x v="157"/>
    <x v="1"/>
    <x v="4"/>
    <x v="9"/>
    <d v="2022-08-26T00:00:00"/>
    <x v="157"/>
    <n v="134387.9"/>
    <n v="62454.37"/>
    <x v="157"/>
    <s v="Transferência"/>
  </r>
  <r>
    <s v="EMP1158"/>
    <x v="158"/>
    <x v="6"/>
    <x v="4"/>
    <x v="3"/>
    <d v="2024-05-08T00:00:00"/>
    <x v="158"/>
    <n v="251293.82"/>
    <n v="46634.28"/>
    <x v="158"/>
    <s v="Banco"/>
  </r>
  <r>
    <s v="EMP1159"/>
    <x v="159"/>
    <x v="3"/>
    <x v="3"/>
    <x v="4"/>
    <d v="2024-04-15T00:00:00"/>
    <x v="159"/>
    <n v="174425.9"/>
    <n v="68318.52"/>
    <x v="159"/>
    <s v="Caixa"/>
  </r>
  <r>
    <s v="EMP1160"/>
    <x v="160"/>
    <x v="6"/>
    <x v="0"/>
    <x v="5"/>
    <d v="2022-07-23T00:00:00"/>
    <x v="160"/>
    <n v="48372.17"/>
    <n v="12746.45"/>
    <x v="160"/>
    <s v="Banco"/>
  </r>
  <r>
    <s v="EMP1161"/>
    <x v="161"/>
    <x v="5"/>
    <x v="1"/>
    <x v="2"/>
    <d v="2023-07-20T00:00:00"/>
    <x v="161"/>
    <n v="263876.12"/>
    <n v="195973.93"/>
    <x v="161"/>
    <s v="Transferência"/>
  </r>
  <r>
    <s v="EMP1162"/>
    <x v="162"/>
    <x v="1"/>
    <x v="5"/>
    <x v="1"/>
    <d v="2025-08-07T00:00:00"/>
    <x v="162"/>
    <n v="151644.65"/>
    <n v="65878.95"/>
    <x v="162"/>
    <s v="Banco"/>
  </r>
  <r>
    <s v="EMP1163"/>
    <x v="163"/>
    <x v="0"/>
    <x v="2"/>
    <x v="1"/>
    <d v="2022-05-21T00:00:00"/>
    <x v="163"/>
    <n v="12598.99"/>
    <n v="12578.06"/>
    <x v="163"/>
    <s v="Banco"/>
  </r>
  <r>
    <s v="EMP1164"/>
    <x v="164"/>
    <x v="0"/>
    <x v="4"/>
    <x v="6"/>
    <d v="2026-06-04T00:00:00"/>
    <x v="164"/>
    <n v="165416.5"/>
    <n v="102027.46"/>
    <x v="164"/>
    <s v="Banco"/>
  </r>
  <r>
    <s v="EMP1165"/>
    <x v="165"/>
    <x v="0"/>
    <x v="2"/>
    <x v="7"/>
    <d v="2026-06-24T00:00:00"/>
    <x v="165"/>
    <n v="13908.77"/>
    <n v="15637.57"/>
    <x v="165"/>
    <s v="Transferência"/>
  </r>
  <r>
    <s v="EMP1166"/>
    <x v="166"/>
    <x v="1"/>
    <x v="4"/>
    <x v="1"/>
    <d v="2025-04-20T00:00:00"/>
    <x v="166"/>
    <n v="105876.56"/>
    <n v="18780.11"/>
    <x v="166"/>
    <s v="Caixa"/>
  </r>
  <r>
    <s v="EMP1167"/>
    <x v="167"/>
    <x v="2"/>
    <x v="3"/>
    <x v="3"/>
    <d v="2022-08-21T00:00:00"/>
    <x v="167"/>
    <n v="15798.08"/>
    <n v="6463.76"/>
    <x v="167"/>
    <s v="Banco"/>
  </r>
  <r>
    <s v="EMP1168"/>
    <x v="168"/>
    <x v="4"/>
    <x v="2"/>
    <x v="0"/>
    <d v="2024-07-14T00:00:00"/>
    <x v="168"/>
    <n v="56150.58"/>
    <n v="38666.42"/>
    <x v="168"/>
    <s v="Banco"/>
  </r>
  <r>
    <s v="EMP1169"/>
    <x v="169"/>
    <x v="3"/>
    <x v="5"/>
    <x v="3"/>
    <d v="2023-09-10T00:00:00"/>
    <x v="169"/>
    <n v="250857.26"/>
    <n v="35572.47"/>
    <x v="169"/>
    <s v="Caixa"/>
  </r>
  <r>
    <s v="EMP1170"/>
    <x v="170"/>
    <x v="6"/>
    <x v="3"/>
    <x v="0"/>
    <d v="2024-10-01T00:00:00"/>
    <x v="170"/>
    <n v="15581.99"/>
    <n v="18324.98"/>
    <x v="170"/>
    <s v="Banco"/>
  </r>
  <r>
    <s v="EMP1171"/>
    <x v="171"/>
    <x v="4"/>
    <x v="0"/>
    <x v="0"/>
    <d v="2022-09-16T00:00:00"/>
    <x v="171"/>
    <n v="128130.47"/>
    <n v="73813.08"/>
    <x v="171"/>
    <s v="Caixa"/>
  </r>
  <r>
    <s v="EMP1172"/>
    <x v="172"/>
    <x v="4"/>
    <x v="2"/>
    <x v="7"/>
    <d v="2024-07-18T00:00:00"/>
    <x v="172"/>
    <n v="465676.76"/>
    <n v="155559.24"/>
    <x v="172"/>
    <s v="Banco"/>
  </r>
  <r>
    <s v="EMP1173"/>
    <x v="173"/>
    <x v="3"/>
    <x v="5"/>
    <x v="3"/>
    <d v="2026-01-16T00:00:00"/>
    <x v="173"/>
    <n v="134390.82999999999"/>
    <n v="179276.08"/>
    <x v="173"/>
    <s v="Transferência"/>
  </r>
  <r>
    <s v="EMP1174"/>
    <x v="174"/>
    <x v="5"/>
    <x v="3"/>
    <x v="2"/>
    <d v="2024-05-01T00:00:00"/>
    <x v="174"/>
    <n v="269936.44"/>
    <n v="97278.06"/>
    <x v="174"/>
    <s v="Banco"/>
  </r>
  <r>
    <s v="EMP1175"/>
    <x v="175"/>
    <x v="5"/>
    <x v="4"/>
    <x v="6"/>
    <d v="2025-11-07T00:00:00"/>
    <x v="175"/>
    <n v="58372.04"/>
    <n v="30157.4"/>
    <x v="175"/>
    <s v="Caixa"/>
  </r>
  <r>
    <s v="EMP1176"/>
    <x v="176"/>
    <x v="6"/>
    <x v="1"/>
    <x v="5"/>
    <d v="2026-07-21T00:00:00"/>
    <x v="176"/>
    <n v="27405.61"/>
    <n v="15132.54"/>
    <x v="176"/>
    <s v="Transferência"/>
  </r>
  <r>
    <s v="EMP1177"/>
    <x v="177"/>
    <x v="4"/>
    <x v="4"/>
    <x v="0"/>
    <d v="2024-04-21T00:00:00"/>
    <x v="177"/>
    <n v="152113.12"/>
    <n v="284852.28000000003"/>
    <x v="177"/>
    <s v="Caixa"/>
  </r>
  <r>
    <s v="EMP1178"/>
    <x v="178"/>
    <x v="5"/>
    <x v="2"/>
    <x v="7"/>
    <d v="2023-12-22T00:00:00"/>
    <x v="178"/>
    <n v="423516.53"/>
    <n v="179724.89"/>
    <x v="178"/>
    <s v="Transferência"/>
  </r>
  <r>
    <s v="EMP1179"/>
    <x v="179"/>
    <x v="0"/>
    <x v="1"/>
    <x v="5"/>
    <d v="2026-09-28T00:00:00"/>
    <x v="179"/>
    <n v="208069.76000000001"/>
    <n v="200332.45"/>
    <x v="179"/>
    <s v="Banco"/>
  </r>
  <r>
    <s v="EMP1180"/>
    <x v="180"/>
    <x v="0"/>
    <x v="3"/>
    <x v="3"/>
    <d v="2026-04-21T00:00:00"/>
    <x v="180"/>
    <n v="121263.21"/>
    <n v="91509.62"/>
    <x v="180"/>
    <s v="Banco"/>
  </r>
  <r>
    <s v="EMP1181"/>
    <x v="181"/>
    <x v="3"/>
    <x v="5"/>
    <x v="7"/>
    <d v="2022-03-01T00:00:00"/>
    <x v="181"/>
    <n v="135648.09"/>
    <n v="278946.51"/>
    <x v="181"/>
    <s v="Transferência"/>
  </r>
  <r>
    <s v="EMP1182"/>
    <x v="182"/>
    <x v="5"/>
    <x v="4"/>
    <x v="8"/>
    <d v="2023-01-07T00:00:00"/>
    <x v="182"/>
    <n v="241257.44"/>
    <n v="73196.06"/>
    <x v="182"/>
    <s v="Transferência"/>
  </r>
  <r>
    <s v="EMP1183"/>
    <x v="183"/>
    <x v="2"/>
    <x v="5"/>
    <x v="8"/>
    <d v="2022-07-07T00:00:00"/>
    <x v="183"/>
    <n v="452823.41"/>
    <n v="90487.08"/>
    <x v="183"/>
    <s v="Banco"/>
  </r>
  <r>
    <s v="EMP1184"/>
    <x v="184"/>
    <x v="5"/>
    <x v="0"/>
    <x v="5"/>
    <d v="2023-10-01T00:00:00"/>
    <x v="184"/>
    <n v="218147.79"/>
    <n v="158955.99"/>
    <x v="184"/>
    <s v="Banco"/>
  </r>
  <r>
    <s v="EMP1185"/>
    <x v="185"/>
    <x v="1"/>
    <x v="1"/>
    <x v="6"/>
    <d v="2022-11-19T00:00:00"/>
    <x v="185"/>
    <n v="304058.34999999998"/>
    <n v="120048.87"/>
    <x v="185"/>
    <s v="Banco"/>
  </r>
  <r>
    <s v="EMP1186"/>
    <x v="186"/>
    <x v="2"/>
    <x v="3"/>
    <x v="9"/>
    <d v="2025-05-28T00:00:00"/>
    <x v="186"/>
    <n v="60745.21"/>
    <n v="17911.650000000001"/>
    <x v="186"/>
    <s v="Caixa"/>
  </r>
  <r>
    <s v="EMP1187"/>
    <x v="187"/>
    <x v="1"/>
    <x v="4"/>
    <x v="2"/>
    <d v="2022-08-16T00:00:00"/>
    <x v="187"/>
    <n v="194326.35"/>
    <n v="181904.41"/>
    <x v="187"/>
    <s v="Caixa"/>
  </r>
  <r>
    <s v="EMP1188"/>
    <x v="188"/>
    <x v="0"/>
    <x v="3"/>
    <x v="4"/>
    <d v="2022-04-23T00:00:00"/>
    <x v="188"/>
    <n v="335804.13"/>
    <n v="124819.4"/>
    <x v="188"/>
    <s v="Transferência"/>
  </r>
  <r>
    <s v="EMP1189"/>
    <x v="189"/>
    <x v="0"/>
    <x v="4"/>
    <x v="7"/>
    <d v="2023-11-03T00:00:00"/>
    <x v="189"/>
    <n v="107792.78"/>
    <n v="47904"/>
    <x v="189"/>
    <s v="Transferência"/>
  </r>
  <r>
    <s v="EMP1190"/>
    <x v="190"/>
    <x v="0"/>
    <x v="3"/>
    <x v="3"/>
    <d v="2025-12-12T00:00:00"/>
    <x v="190"/>
    <n v="22783.439999999999"/>
    <n v="10480.31"/>
    <x v="190"/>
    <s v="Transferência"/>
  </r>
  <r>
    <s v="EMP1191"/>
    <x v="191"/>
    <x v="5"/>
    <x v="1"/>
    <x v="2"/>
    <d v="2026-10-31T00:00:00"/>
    <x v="191"/>
    <n v="358790.53"/>
    <n v="199918.49"/>
    <x v="191"/>
    <s v="Banco"/>
  </r>
  <r>
    <s v="EMP1192"/>
    <x v="192"/>
    <x v="1"/>
    <x v="4"/>
    <x v="4"/>
    <d v="2024-05-29T00:00:00"/>
    <x v="192"/>
    <n v="40820.18"/>
    <n v="21229.78"/>
    <x v="192"/>
    <s v="Banco"/>
  </r>
  <r>
    <s v="EMP1193"/>
    <x v="193"/>
    <x v="1"/>
    <x v="3"/>
    <x v="8"/>
    <d v="2023-10-28T00:00:00"/>
    <x v="193"/>
    <n v="348542.22"/>
    <n v="122766.29"/>
    <x v="193"/>
    <s v="Transferência"/>
  </r>
  <r>
    <s v="EMP1194"/>
    <x v="194"/>
    <x v="1"/>
    <x v="3"/>
    <x v="0"/>
    <d v="2023-05-14T00:00:00"/>
    <x v="194"/>
    <n v="443584.31"/>
    <n v="231173.38"/>
    <x v="194"/>
    <s v="Caixa"/>
  </r>
  <r>
    <s v="EMP1195"/>
    <x v="195"/>
    <x v="5"/>
    <x v="5"/>
    <x v="5"/>
    <d v="2023-03-30T00:00:00"/>
    <x v="195"/>
    <n v="278565.84000000003"/>
    <n v="118088.48"/>
    <x v="195"/>
    <s v="Caixa"/>
  </r>
  <r>
    <s v="EMP1196"/>
    <x v="196"/>
    <x v="4"/>
    <x v="2"/>
    <x v="1"/>
    <d v="2026-05-09T00:00:00"/>
    <x v="196"/>
    <n v="53865.59"/>
    <n v="71784.240000000005"/>
    <x v="196"/>
    <s v="Caixa"/>
  </r>
  <r>
    <s v="EMP1197"/>
    <x v="197"/>
    <x v="3"/>
    <x v="0"/>
    <x v="1"/>
    <d v="2022-07-30T00:00:00"/>
    <x v="197"/>
    <n v="311318.51"/>
    <n v="165163.15"/>
    <x v="197"/>
    <s v="Transferência"/>
  </r>
  <r>
    <s v="EMP1198"/>
    <x v="198"/>
    <x v="3"/>
    <x v="5"/>
    <x v="0"/>
    <d v="2022-12-29T00:00:00"/>
    <x v="198"/>
    <n v="106773.44"/>
    <n v="100520.78"/>
    <x v="198"/>
    <s v="Banco"/>
  </r>
  <r>
    <s v="EMP1199"/>
    <x v="199"/>
    <x v="4"/>
    <x v="3"/>
    <x v="4"/>
    <d v="2025-08-09T00:00:00"/>
    <x v="199"/>
    <n v="313065.14"/>
    <n v="177012.25"/>
    <x v="199"/>
    <s v="Banco"/>
  </r>
  <r>
    <s v="EMP1200"/>
    <x v="200"/>
    <x v="0"/>
    <x v="3"/>
    <x v="0"/>
    <d v="2024-08-18T00:00:00"/>
    <x v="200"/>
    <n v="328843.89"/>
    <n v="127567.83"/>
    <x v="200"/>
    <s v="Caixa"/>
  </r>
  <r>
    <s v="EMP1201"/>
    <x v="201"/>
    <x v="5"/>
    <x v="2"/>
    <x v="0"/>
    <d v="2023-09-28T00:00:00"/>
    <x v="201"/>
    <n v="290904.76"/>
    <n v="115696.6"/>
    <x v="201"/>
    <s v="Caixa"/>
  </r>
  <r>
    <s v="EMP1202"/>
    <x v="202"/>
    <x v="5"/>
    <x v="1"/>
    <x v="0"/>
    <d v="2025-06-13T00:00:00"/>
    <x v="202"/>
    <n v="115932.41"/>
    <n v="127349.88"/>
    <x v="202"/>
    <s v="Banco"/>
  </r>
  <r>
    <s v="EMP1203"/>
    <x v="203"/>
    <x v="3"/>
    <x v="5"/>
    <x v="8"/>
    <d v="2024-07-10T00:00:00"/>
    <x v="203"/>
    <n v="285110.53999999998"/>
    <n v="184753.24"/>
    <x v="203"/>
    <s v="Banco"/>
  </r>
  <r>
    <s v="EMP1204"/>
    <x v="204"/>
    <x v="0"/>
    <x v="1"/>
    <x v="9"/>
    <d v="2022-07-31T00:00:00"/>
    <x v="204"/>
    <n v="103964.49"/>
    <n v="66220.02"/>
    <x v="204"/>
    <s v="Caixa"/>
  </r>
  <r>
    <s v="EMP1205"/>
    <x v="205"/>
    <x v="0"/>
    <x v="5"/>
    <x v="9"/>
    <d v="2024-06-18T00:00:00"/>
    <x v="205"/>
    <n v="71486.27"/>
    <n v="21567.8"/>
    <x v="205"/>
    <s v="Banco"/>
  </r>
  <r>
    <s v="EMP1206"/>
    <x v="206"/>
    <x v="5"/>
    <x v="3"/>
    <x v="2"/>
    <d v="2026-05-06T00:00:00"/>
    <x v="206"/>
    <n v="397671.01"/>
    <n v="145115.28"/>
    <x v="206"/>
    <s v="Caixa"/>
  </r>
  <r>
    <s v="EMP1207"/>
    <x v="207"/>
    <x v="1"/>
    <x v="4"/>
    <x v="0"/>
    <d v="2025-02-16T00:00:00"/>
    <x v="207"/>
    <n v="70591.78"/>
    <n v="29975.42"/>
    <x v="207"/>
    <s v="Banco"/>
  </r>
  <r>
    <s v="EMP1208"/>
    <x v="208"/>
    <x v="2"/>
    <x v="2"/>
    <x v="6"/>
    <d v="2023-11-14T00:00:00"/>
    <x v="208"/>
    <n v="186029.18"/>
    <n v="165666.74"/>
    <x v="208"/>
    <s v="Transferência"/>
  </r>
  <r>
    <s v="EMP1209"/>
    <x v="209"/>
    <x v="2"/>
    <x v="5"/>
    <x v="2"/>
    <d v="2022-09-22T00:00:00"/>
    <x v="209"/>
    <n v="166423.07999999999"/>
    <n v="41308.75"/>
    <x v="209"/>
    <s v="Banco"/>
  </r>
  <r>
    <s v="EMP1210"/>
    <x v="210"/>
    <x v="3"/>
    <x v="4"/>
    <x v="6"/>
    <d v="2025-10-04T00:00:00"/>
    <x v="210"/>
    <n v="53198"/>
    <n v="30374.58"/>
    <x v="210"/>
    <s v="Banco"/>
  </r>
  <r>
    <s v="EMP1211"/>
    <x v="211"/>
    <x v="4"/>
    <x v="4"/>
    <x v="8"/>
    <d v="2024-01-13T00:00:00"/>
    <x v="211"/>
    <n v="159901.6"/>
    <n v="210300.67"/>
    <x v="211"/>
    <s v="Caixa"/>
  </r>
  <r>
    <s v="EMP1212"/>
    <x v="212"/>
    <x v="3"/>
    <x v="3"/>
    <x v="1"/>
    <d v="2023-04-09T00:00:00"/>
    <x v="212"/>
    <n v="210463.35999999999"/>
    <n v="53226.86"/>
    <x v="212"/>
    <s v="Transferência"/>
  </r>
  <r>
    <s v="EMP1213"/>
    <x v="213"/>
    <x v="1"/>
    <x v="2"/>
    <x v="3"/>
    <d v="2026-09-07T00:00:00"/>
    <x v="213"/>
    <n v="50376.03"/>
    <n v="81606.91"/>
    <x v="213"/>
    <s v="Banco"/>
  </r>
  <r>
    <s v="EMP1214"/>
    <x v="214"/>
    <x v="3"/>
    <x v="2"/>
    <x v="6"/>
    <d v="2025-05-08T00:00:00"/>
    <x v="214"/>
    <n v="134000.15"/>
    <n v="140424.98000000001"/>
    <x v="214"/>
    <s v="Caixa"/>
  </r>
  <r>
    <s v="EMP1215"/>
    <x v="215"/>
    <x v="3"/>
    <x v="2"/>
    <x v="6"/>
    <d v="2026-01-16T00:00:00"/>
    <x v="215"/>
    <n v="63237.24"/>
    <n v="80395.86"/>
    <x v="215"/>
    <s v="Caixa"/>
  </r>
  <r>
    <s v="EMP1216"/>
    <x v="216"/>
    <x v="0"/>
    <x v="3"/>
    <x v="4"/>
    <d v="2023-08-07T00:00:00"/>
    <x v="216"/>
    <n v="40082.26"/>
    <n v="27557.95"/>
    <x v="216"/>
    <s v="Banco"/>
  </r>
  <r>
    <s v="EMP1217"/>
    <x v="217"/>
    <x v="3"/>
    <x v="3"/>
    <x v="1"/>
    <d v="2024-01-24T00:00:00"/>
    <x v="217"/>
    <n v="193885.77"/>
    <n v="103201.81"/>
    <x v="217"/>
    <s v="Banco"/>
  </r>
  <r>
    <s v="EMP1218"/>
    <x v="218"/>
    <x v="6"/>
    <x v="2"/>
    <x v="3"/>
    <d v="2024-05-07T00:00:00"/>
    <x v="218"/>
    <n v="280117.09999999998"/>
    <n v="108947.35"/>
    <x v="218"/>
    <s v="Transferência"/>
  </r>
  <r>
    <s v="EMP1219"/>
    <x v="219"/>
    <x v="5"/>
    <x v="1"/>
    <x v="9"/>
    <d v="2026-11-26T00:00:00"/>
    <x v="219"/>
    <n v="201335.48"/>
    <n v="40655.4"/>
    <x v="219"/>
    <s v="Caixa"/>
  </r>
  <r>
    <s v="EMP1220"/>
    <x v="220"/>
    <x v="4"/>
    <x v="1"/>
    <x v="7"/>
    <d v="2022-06-21T00:00:00"/>
    <x v="220"/>
    <n v="579335.56000000006"/>
    <n v="229979.54"/>
    <x v="220"/>
    <s v="Transferência"/>
  </r>
  <r>
    <s v="EMP1221"/>
    <x v="221"/>
    <x v="3"/>
    <x v="3"/>
    <x v="0"/>
    <d v="2023-03-31T00:00:00"/>
    <x v="221"/>
    <n v="176811.54"/>
    <n v="96331.89"/>
    <x v="221"/>
    <s v="Caixa"/>
  </r>
  <r>
    <s v="EMP1222"/>
    <x v="27"/>
    <x v="6"/>
    <x v="2"/>
    <x v="5"/>
    <d v="2023-04-28T00:00:00"/>
    <x v="222"/>
    <n v="374508.5"/>
    <n v="106820.3"/>
    <x v="222"/>
    <s v="Caixa"/>
  </r>
  <r>
    <s v="EMP1223"/>
    <x v="222"/>
    <x v="1"/>
    <x v="5"/>
    <x v="5"/>
    <d v="2026-06-09T00:00:00"/>
    <x v="223"/>
    <n v="57776.68"/>
    <n v="15041.08"/>
    <x v="223"/>
    <s v="Transferência"/>
  </r>
  <r>
    <s v="EMP1224"/>
    <x v="223"/>
    <x v="6"/>
    <x v="5"/>
    <x v="6"/>
    <d v="2026-04-04T00:00:00"/>
    <x v="224"/>
    <n v="40197.19"/>
    <n v="78473.350000000006"/>
    <x v="224"/>
    <s v="Banco"/>
  </r>
  <r>
    <s v="EMP1225"/>
    <x v="224"/>
    <x v="1"/>
    <x v="1"/>
    <x v="7"/>
    <d v="2023-03-18T00:00:00"/>
    <x v="225"/>
    <n v="291678.69"/>
    <n v="63614.31"/>
    <x v="225"/>
    <s v="Transferência"/>
  </r>
  <r>
    <s v="EMP1226"/>
    <x v="225"/>
    <x v="6"/>
    <x v="1"/>
    <x v="7"/>
    <d v="2023-05-02T00:00:00"/>
    <x v="226"/>
    <n v="576509.98"/>
    <n v="205371.05"/>
    <x v="226"/>
    <s v="Caixa"/>
  </r>
  <r>
    <s v="EMP1227"/>
    <x v="226"/>
    <x v="3"/>
    <x v="2"/>
    <x v="9"/>
    <d v="2022-05-09T00:00:00"/>
    <x v="227"/>
    <n v="37580.089999999997"/>
    <n v="42776.57"/>
    <x v="227"/>
    <s v="Transferência"/>
  </r>
  <r>
    <s v="EMP1228"/>
    <x v="227"/>
    <x v="4"/>
    <x v="2"/>
    <x v="1"/>
    <d v="2026-01-11T00:00:00"/>
    <x v="228"/>
    <n v="375348.41"/>
    <n v="69771.56"/>
    <x v="228"/>
    <s v="Transferência"/>
  </r>
  <r>
    <s v="EMP1229"/>
    <x v="228"/>
    <x v="0"/>
    <x v="2"/>
    <x v="2"/>
    <d v="2023-01-19T00:00:00"/>
    <x v="229"/>
    <n v="182264.66"/>
    <n v="114489.65"/>
    <x v="229"/>
    <s v="Banco"/>
  </r>
  <r>
    <s v="EMP1230"/>
    <x v="229"/>
    <x v="4"/>
    <x v="2"/>
    <x v="3"/>
    <d v="2026-05-30T00:00:00"/>
    <x v="230"/>
    <n v="74113.740000000005"/>
    <n v="29921.25"/>
    <x v="230"/>
    <s v="Banco"/>
  </r>
  <r>
    <s v="EMP1231"/>
    <x v="230"/>
    <x v="1"/>
    <x v="5"/>
    <x v="2"/>
    <d v="2024-02-04T00:00:00"/>
    <x v="231"/>
    <n v="132154.6"/>
    <n v="265448.5"/>
    <x v="231"/>
    <s v="Caixa"/>
  </r>
  <r>
    <s v="EMP1232"/>
    <x v="231"/>
    <x v="0"/>
    <x v="5"/>
    <x v="0"/>
    <d v="2026-04-30T00:00:00"/>
    <x v="232"/>
    <n v="22841.79"/>
    <n v="6787.58"/>
    <x v="232"/>
    <s v="Banco"/>
  </r>
  <r>
    <s v="EMP1233"/>
    <x v="232"/>
    <x v="5"/>
    <x v="5"/>
    <x v="6"/>
    <d v="2026-08-28T00:00:00"/>
    <x v="233"/>
    <n v="116148.87"/>
    <n v="93466.48"/>
    <x v="233"/>
    <s v="Banco"/>
  </r>
  <r>
    <s v="EMP1234"/>
    <x v="233"/>
    <x v="0"/>
    <x v="0"/>
    <x v="0"/>
    <d v="2026-01-06T00:00:00"/>
    <x v="234"/>
    <n v="509256.12"/>
    <n v="151160.41"/>
    <x v="234"/>
    <s v="Caixa"/>
  </r>
  <r>
    <s v="EMP1235"/>
    <x v="234"/>
    <x v="0"/>
    <x v="1"/>
    <x v="5"/>
    <d v="2023-09-28T00:00:00"/>
    <x v="235"/>
    <n v="29902.49"/>
    <n v="9338.31"/>
    <x v="235"/>
    <s v="Banco"/>
  </r>
  <r>
    <s v="EMP1236"/>
    <x v="235"/>
    <x v="5"/>
    <x v="1"/>
    <x v="1"/>
    <d v="2023-08-09T00:00:00"/>
    <x v="236"/>
    <n v="443673.34"/>
    <n v="141203.70000000001"/>
    <x v="236"/>
    <s v="Caixa"/>
  </r>
  <r>
    <s v="EMP1237"/>
    <x v="236"/>
    <x v="1"/>
    <x v="4"/>
    <x v="2"/>
    <d v="2026-12-27T00:00:00"/>
    <x v="237"/>
    <n v="71523.56"/>
    <n v="19189.61"/>
    <x v="237"/>
    <s v="Caixa"/>
  </r>
  <r>
    <s v="EMP1238"/>
    <x v="237"/>
    <x v="0"/>
    <x v="3"/>
    <x v="9"/>
    <d v="2024-01-23T00:00:00"/>
    <x v="238"/>
    <n v="449702.66"/>
    <n v="127288.54"/>
    <x v="238"/>
    <s v="Banco"/>
  </r>
  <r>
    <s v="EMP1239"/>
    <x v="238"/>
    <x v="1"/>
    <x v="3"/>
    <x v="4"/>
    <d v="2026-08-12T00:00:00"/>
    <x v="239"/>
    <n v="260412.9"/>
    <n v="118218.88"/>
    <x v="239"/>
    <s v="Transferência"/>
  </r>
  <r>
    <s v="EMP1240"/>
    <x v="239"/>
    <x v="5"/>
    <x v="5"/>
    <x v="7"/>
    <d v="2023-09-20T00:00:00"/>
    <x v="240"/>
    <n v="261865.4"/>
    <n v="94470.51"/>
    <x v="240"/>
    <s v="Caixa"/>
  </r>
  <r>
    <s v="EMP1241"/>
    <x v="240"/>
    <x v="6"/>
    <x v="1"/>
    <x v="5"/>
    <d v="2025-06-13T00:00:00"/>
    <x v="241"/>
    <n v="158929.98000000001"/>
    <n v="133416.18"/>
    <x v="241"/>
    <s v="Caixa"/>
  </r>
  <r>
    <s v="EMP1242"/>
    <x v="241"/>
    <x v="1"/>
    <x v="1"/>
    <x v="2"/>
    <d v="2024-01-15T00:00:00"/>
    <x v="242"/>
    <n v="226204.14"/>
    <n v="128724.65"/>
    <x v="242"/>
    <s v="Banco"/>
  </r>
  <r>
    <s v="EMP1243"/>
    <x v="242"/>
    <x v="4"/>
    <x v="5"/>
    <x v="9"/>
    <d v="2022-03-13T00:00:00"/>
    <x v="243"/>
    <n v="190288.98"/>
    <n v="33895.839999999997"/>
    <x v="243"/>
    <s v="Transferência"/>
  </r>
  <r>
    <s v="EMP1244"/>
    <x v="243"/>
    <x v="5"/>
    <x v="3"/>
    <x v="4"/>
    <d v="2022-03-08T00:00:00"/>
    <x v="244"/>
    <n v="39073.74"/>
    <n v="35401.730000000003"/>
    <x v="244"/>
    <s v="Banco"/>
  </r>
  <r>
    <s v="EMP1245"/>
    <x v="244"/>
    <x v="5"/>
    <x v="3"/>
    <x v="0"/>
    <d v="2025-03-21T00:00:00"/>
    <x v="245"/>
    <n v="141880.04"/>
    <n v="88111.02"/>
    <x v="245"/>
    <s v="Transferência"/>
  </r>
  <r>
    <s v="EMP1246"/>
    <x v="245"/>
    <x v="5"/>
    <x v="0"/>
    <x v="0"/>
    <d v="2022-02-23T00:00:00"/>
    <x v="246"/>
    <n v="288820.8"/>
    <n v="136451.25"/>
    <x v="246"/>
    <s v="Banco"/>
  </r>
  <r>
    <s v="EMP1247"/>
    <x v="246"/>
    <x v="4"/>
    <x v="1"/>
    <x v="7"/>
    <d v="2026-05-07T00:00:00"/>
    <x v="247"/>
    <n v="134879.15"/>
    <n v="58368.15"/>
    <x v="247"/>
    <s v="Caixa"/>
  </r>
  <r>
    <s v="EMP1248"/>
    <x v="247"/>
    <x v="2"/>
    <x v="3"/>
    <x v="1"/>
    <d v="2022-09-09T00:00:00"/>
    <x v="248"/>
    <n v="185066.74"/>
    <n v="169440.75"/>
    <x v="248"/>
    <s v="Transferência"/>
  </r>
  <r>
    <s v="EMP1249"/>
    <x v="248"/>
    <x v="6"/>
    <x v="1"/>
    <x v="5"/>
    <d v="2025-09-29T00:00:00"/>
    <x v="249"/>
    <n v="60459.35"/>
    <n v="47744.959999999999"/>
    <x v="249"/>
    <s v="Caixa"/>
  </r>
  <r>
    <s v="EMP1250"/>
    <x v="249"/>
    <x v="5"/>
    <x v="0"/>
    <x v="6"/>
    <d v="2026-06-14T00:00:00"/>
    <x v="250"/>
    <n v="62779.62"/>
    <n v="22024.97"/>
    <x v="250"/>
    <s v="Caixa"/>
  </r>
  <r>
    <s v="EMP1251"/>
    <x v="250"/>
    <x v="3"/>
    <x v="0"/>
    <x v="1"/>
    <d v="2026-06-07T00:00:00"/>
    <x v="251"/>
    <n v="213776.36"/>
    <n v="267449.27"/>
    <x v="251"/>
    <s v="Caixa"/>
  </r>
  <r>
    <s v="EMP1252"/>
    <x v="251"/>
    <x v="6"/>
    <x v="2"/>
    <x v="6"/>
    <d v="2025-06-07T00:00:00"/>
    <x v="252"/>
    <n v="28130.93"/>
    <n v="18765.95"/>
    <x v="252"/>
    <s v="Transferência"/>
  </r>
  <r>
    <s v="EMP1253"/>
    <x v="252"/>
    <x v="2"/>
    <x v="3"/>
    <x v="3"/>
    <d v="2024-04-21T00:00:00"/>
    <x v="253"/>
    <n v="44269.760000000002"/>
    <n v="47477.62"/>
    <x v="253"/>
    <s v="Caixa"/>
  </r>
  <r>
    <s v="EMP1254"/>
    <x v="253"/>
    <x v="1"/>
    <x v="3"/>
    <x v="9"/>
    <d v="2025-10-24T00:00:00"/>
    <x v="254"/>
    <n v="32227.96"/>
    <n v="25129.87"/>
    <x v="254"/>
    <s v="Banco"/>
  </r>
  <r>
    <s v="EMP1255"/>
    <x v="254"/>
    <x v="4"/>
    <x v="5"/>
    <x v="4"/>
    <d v="2023-01-08T00:00:00"/>
    <x v="255"/>
    <n v="118418.66"/>
    <n v="163722.10999999999"/>
    <x v="255"/>
    <s v="Transferência"/>
  </r>
  <r>
    <s v="EMP1256"/>
    <x v="255"/>
    <x v="3"/>
    <x v="1"/>
    <x v="3"/>
    <d v="2022-11-10T00:00:00"/>
    <x v="256"/>
    <n v="291287.82"/>
    <n v="209198.45"/>
    <x v="256"/>
    <s v="Caixa"/>
  </r>
  <r>
    <s v="EMP1257"/>
    <x v="256"/>
    <x v="0"/>
    <x v="4"/>
    <x v="3"/>
    <d v="2023-08-05T00:00:00"/>
    <x v="257"/>
    <n v="66789.81"/>
    <n v="92513.26"/>
    <x v="257"/>
    <s v="Transferência"/>
  </r>
  <r>
    <s v="EMP1258"/>
    <x v="257"/>
    <x v="5"/>
    <x v="0"/>
    <x v="7"/>
    <d v="2025-06-12T00:00:00"/>
    <x v="258"/>
    <n v="104534.09"/>
    <n v="135933.13"/>
    <x v="258"/>
    <s v="Banco"/>
  </r>
  <r>
    <s v="EMP1259"/>
    <x v="258"/>
    <x v="4"/>
    <x v="0"/>
    <x v="6"/>
    <d v="2025-09-11T00:00:00"/>
    <x v="259"/>
    <n v="77043.47"/>
    <n v="23124.73"/>
    <x v="259"/>
    <s v="Banco"/>
  </r>
  <r>
    <s v="EMP1260"/>
    <x v="259"/>
    <x v="3"/>
    <x v="1"/>
    <x v="0"/>
    <d v="2022-04-04T00:00:00"/>
    <x v="260"/>
    <n v="335642.48"/>
    <n v="124000.93"/>
    <x v="260"/>
    <s v="Banco"/>
  </r>
  <r>
    <s v="EMP1261"/>
    <x v="260"/>
    <x v="6"/>
    <x v="2"/>
    <x v="8"/>
    <d v="2024-10-16T00:00:00"/>
    <x v="261"/>
    <n v="221686.45"/>
    <n v="121807.02"/>
    <x v="261"/>
    <s v="Banco"/>
  </r>
  <r>
    <s v="EMP1262"/>
    <x v="261"/>
    <x v="6"/>
    <x v="0"/>
    <x v="2"/>
    <d v="2023-09-02T00:00:00"/>
    <x v="262"/>
    <n v="259940.09"/>
    <n v="279602.03000000003"/>
    <x v="262"/>
    <s v="Caixa"/>
  </r>
  <r>
    <s v="EMP1263"/>
    <x v="262"/>
    <x v="6"/>
    <x v="3"/>
    <x v="9"/>
    <d v="2023-02-22T00:00:00"/>
    <x v="263"/>
    <n v="79983.199999999997"/>
    <n v="18843.939999999999"/>
    <x v="263"/>
    <s v="Caixa"/>
  </r>
  <r>
    <s v="EMP1264"/>
    <x v="263"/>
    <x v="2"/>
    <x v="4"/>
    <x v="2"/>
    <d v="2022-09-25T00:00:00"/>
    <x v="264"/>
    <n v="81303.3"/>
    <n v="68395.070000000007"/>
    <x v="264"/>
    <s v="Caixa"/>
  </r>
  <r>
    <s v="EMP1265"/>
    <x v="264"/>
    <x v="6"/>
    <x v="1"/>
    <x v="7"/>
    <d v="2024-07-09T00:00:00"/>
    <x v="265"/>
    <n v="370110.19"/>
    <n v="133881.57999999999"/>
    <x v="265"/>
    <s v="Transferência"/>
  </r>
  <r>
    <s v="EMP1266"/>
    <x v="265"/>
    <x v="6"/>
    <x v="2"/>
    <x v="2"/>
    <d v="2023-05-24T00:00:00"/>
    <x v="266"/>
    <n v="49308.5"/>
    <n v="39894.1"/>
    <x v="266"/>
    <s v="Transferência"/>
  </r>
  <r>
    <s v="EMP1267"/>
    <x v="266"/>
    <x v="0"/>
    <x v="0"/>
    <x v="9"/>
    <d v="2024-11-20T00:00:00"/>
    <x v="267"/>
    <n v="353554.62"/>
    <n v="141722.67000000001"/>
    <x v="267"/>
    <s v="Caixa"/>
  </r>
  <r>
    <s v="EMP1268"/>
    <x v="267"/>
    <x v="1"/>
    <x v="3"/>
    <x v="3"/>
    <d v="2024-07-25T00:00:00"/>
    <x v="268"/>
    <n v="499491.56"/>
    <n v="165372.66"/>
    <x v="268"/>
    <s v="Transferência"/>
  </r>
  <r>
    <s v="EMP1269"/>
    <x v="268"/>
    <x v="5"/>
    <x v="3"/>
    <x v="4"/>
    <d v="2026-12-13T00:00:00"/>
    <x v="269"/>
    <n v="170399.04"/>
    <n v="35148.67"/>
    <x v="269"/>
    <s v="Banco"/>
  </r>
  <r>
    <s v="EMP1270"/>
    <x v="269"/>
    <x v="1"/>
    <x v="3"/>
    <x v="6"/>
    <d v="2026-12-13T00:00:00"/>
    <x v="270"/>
    <n v="224348.28"/>
    <n v="64354.47"/>
    <x v="270"/>
    <s v="Caixa"/>
  </r>
  <r>
    <s v="EMP1271"/>
    <x v="270"/>
    <x v="6"/>
    <x v="1"/>
    <x v="4"/>
    <d v="2025-02-24T00:00:00"/>
    <x v="271"/>
    <n v="335420.71999999997"/>
    <n v="104104.89"/>
    <x v="271"/>
    <s v="Transferência"/>
  </r>
  <r>
    <s v="EMP1272"/>
    <x v="271"/>
    <x v="4"/>
    <x v="3"/>
    <x v="3"/>
    <d v="2023-07-27T00:00:00"/>
    <x v="272"/>
    <n v="263542.90000000002"/>
    <n v="60072.84"/>
    <x v="272"/>
    <s v="Banco"/>
  </r>
  <r>
    <s v="EMP1273"/>
    <x v="272"/>
    <x v="5"/>
    <x v="4"/>
    <x v="3"/>
    <d v="2024-01-19T00:00:00"/>
    <x v="273"/>
    <n v="46827.71"/>
    <n v="23930.16"/>
    <x v="273"/>
    <s v="Transferência"/>
  </r>
  <r>
    <s v="EMP1274"/>
    <x v="273"/>
    <x v="1"/>
    <x v="1"/>
    <x v="8"/>
    <d v="2022-10-08T00:00:00"/>
    <x v="274"/>
    <n v="162804.91"/>
    <n v="63143.199999999997"/>
    <x v="274"/>
    <s v="Banco"/>
  </r>
  <r>
    <s v="EMP1275"/>
    <x v="274"/>
    <x v="0"/>
    <x v="2"/>
    <x v="3"/>
    <d v="2022-10-14T00:00:00"/>
    <x v="275"/>
    <n v="319746.46999999997"/>
    <n v="116404.75"/>
    <x v="275"/>
    <s v="Caixa"/>
  </r>
  <r>
    <s v="EMP1276"/>
    <x v="275"/>
    <x v="2"/>
    <x v="4"/>
    <x v="4"/>
    <d v="2023-11-20T00:00:00"/>
    <x v="276"/>
    <n v="120121.5"/>
    <n v="173491.6"/>
    <x v="276"/>
    <s v="Banco"/>
  </r>
  <r>
    <s v="EMP1277"/>
    <x v="276"/>
    <x v="5"/>
    <x v="3"/>
    <x v="8"/>
    <d v="2024-01-25T00:00:00"/>
    <x v="277"/>
    <n v="353288.24"/>
    <n v="211760.26"/>
    <x v="277"/>
    <s v="Caixa"/>
  </r>
  <r>
    <s v="EMP1278"/>
    <x v="277"/>
    <x v="3"/>
    <x v="5"/>
    <x v="8"/>
    <d v="2025-05-07T00:00:00"/>
    <x v="278"/>
    <n v="142597.82"/>
    <n v="47845.65"/>
    <x v="278"/>
    <s v="Caixa"/>
  </r>
  <r>
    <s v="EMP1279"/>
    <x v="278"/>
    <x v="3"/>
    <x v="2"/>
    <x v="4"/>
    <d v="2023-04-12T00:00:00"/>
    <x v="279"/>
    <n v="300303.67"/>
    <n v="123940.69"/>
    <x v="279"/>
    <s v="Banco"/>
  </r>
  <r>
    <s v="EMP1280"/>
    <x v="279"/>
    <x v="2"/>
    <x v="5"/>
    <x v="4"/>
    <d v="2026-05-06T00:00:00"/>
    <x v="280"/>
    <n v="55912.57"/>
    <n v="15209.03"/>
    <x v="280"/>
    <s v="Caixa"/>
  </r>
  <r>
    <s v="EMP1281"/>
    <x v="280"/>
    <x v="4"/>
    <x v="5"/>
    <x v="0"/>
    <d v="2023-01-26T00:00:00"/>
    <x v="281"/>
    <n v="158566.43"/>
    <n v="38320.76"/>
    <x v="281"/>
    <s v="Transferência"/>
  </r>
  <r>
    <s v="EMP1282"/>
    <x v="281"/>
    <x v="2"/>
    <x v="0"/>
    <x v="2"/>
    <d v="2024-10-24T00:00:00"/>
    <x v="282"/>
    <n v="222077.81"/>
    <n v="85942.17"/>
    <x v="282"/>
    <s v="Banco"/>
  </r>
  <r>
    <s v="EMP1283"/>
    <x v="282"/>
    <x v="1"/>
    <x v="5"/>
    <x v="6"/>
    <d v="2024-11-28T00:00:00"/>
    <x v="283"/>
    <n v="471146.89"/>
    <n v="201886.18"/>
    <x v="283"/>
    <s v="Transferência"/>
  </r>
  <r>
    <s v="EMP1284"/>
    <x v="283"/>
    <x v="4"/>
    <x v="3"/>
    <x v="5"/>
    <d v="2022-12-21T00:00:00"/>
    <x v="284"/>
    <n v="284365.33"/>
    <n v="221539.62"/>
    <x v="284"/>
    <s v="Caixa"/>
  </r>
  <r>
    <s v="EMP1285"/>
    <x v="284"/>
    <x v="3"/>
    <x v="5"/>
    <x v="7"/>
    <d v="2025-06-03T00:00:00"/>
    <x v="285"/>
    <n v="279115.86"/>
    <n v="145808.95000000001"/>
    <x v="285"/>
    <s v="Caixa"/>
  </r>
  <r>
    <s v="EMP1286"/>
    <x v="285"/>
    <x v="5"/>
    <x v="0"/>
    <x v="7"/>
    <d v="2026-04-29T00:00:00"/>
    <x v="286"/>
    <n v="223698.85"/>
    <n v="51055.21"/>
    <x v="286"/>
    <s v="Caixa"/>
  </r>
  <r>
    <s v="EMP1287"/>
    <x v="286"/>
    <x v="6"/>
    <x v="4"/>
    <x v="3"/>
    <d v="2026-06-17T00:00:00"/>
    <x v="287"/>
    <n v="186052.04"/>
    <n v="73224.73"/>
    <x v="287"/>
    <s v="Banco"/>
  </r>
  <r>
    <s v="EMP1288"/>
    <x v="287"/>
    <x v="4"/>
    <x v="3"/>
    <x v="2"/>
    <d v="2026-08-04T00:00:00"/>
    <x v="288"/>
    <n v="136271.96"/>
    <n v="103400.62"/>
    <x v="288"/>
    <s v="Caixa"/>
  </r>
  <r>
    <s v="EMP1289"/>
    <x v="288"/>
    <x v="2"/>
    <x v="1"/>
    <x v="5"/>
    <d v="2024-06-24T00:00:00"/>
    <x v="289"/>
    <n v="79377.899999999994"/>
    <n v="41041.26"/>
    <x v="289"/>
    <s v="Banco"/>
  </r>
  <r>
    <s v="EMP1290"/>
    <x v="289"/>
    <x v="3"/>
    <x v="2"/>
    <x v="7"/>
    <d v="2025-02-25T00:00:00"/>
    <x v="290"/>
    <n v="238484.18"/>
    <n v="58893.98"/>
    <x v="290"/>
    <s v="Banco"/>
  </r>
  <r>
    <s v="EMP1291"/>
    <x v="290"/>
    <x v="4"/>
    <x v="0"/>
    <x v="1"/>
    <d v="2022-04-14T00:00:00"/>
    <x v="291"/>
    <n v="97535.7"/>
    <n v="107554.83"/>
    <x v="291"/>
    <s v="Banco"/>
  </r>
  <r>
    <s v="EMP1292"/>
    <x v="291"/>
    <x v="1"/>
    <x v="3"/>
    <x v="5"/>
    <d v="2026-01-09T00:00:00"/>
    <x v="292"/>
    <n v="223313.47"/>
    <n v="119609.85"/>
    <x v="292"/>
    <s v="Caixa"/>
  </r>
  <r>
    <s v="EMP1293"/>
    <x v="292"/>
    <x v="4"/>
    <x v="0"/>
    <x v="2"/>
    <d v="2025-08-30T00:00:00"/>
    <x v="293"/>
    <n v="100888.13"/>
    <n v="22953.57"/>
    <x v="293"/>
    <s v="Caixa"/>
  </r>
  <r>
    <s v="EMP1294"/>
    <x v="293"/>
    <x v="5"/>
    <x v="4"/>
    <x v="7"/>
    <d v="2025-08-15T00:00:00"/>
    <x v="294"/>
    <n v="382290.2"/>
    <n v="208079.18"/>
    <x v="294"/>
    <s v="Transferência"/>
  </r>
  <r>
    <s v="EMP1295"/>
    <x v="294"/>
    <x v="2"/>
    <x v="5"/>
    <x v="8"/>
    <d v="2022-12-25T00:00:00"/>
    <x v="295"/>
    <n v="89368.18"/>
    <n v="25206.86"/>
    <x v="295"/>
    <s v="Caixa"/>
  </r>
  <r>
    <s v="EMP1296"/>
    <x v="295"/>
    <x v="3"/>
    <x v="3"/>
    <x v="9"/>
    <d v="2023-01-17T00:00:00"/>
    <x v="296"/>
    <n v="202997.98"/>
    <n v="28523.24"/>
    <x v="296"/>
    <s v="Banco"/>
  </r>
  <r>
    <s v="EMP1297"/>
    <x v="296"/>
    <x v="4"/>
    <x v="2"/>
    <x v="0"/>
    <d v="2023-11-18T00:00:00"/>
    <x v="297"/>
    <n v="300640.32"/>
    <n v="41136.07"/>
    <x v="297"/>
    <s v="Caixa"/>
  </r>
  <r>
    <s v="EMP1298"/>
    <x v="297"/>
    <x v="6"/>
    <x v="0"/>
    <x v="3"/>
    <d v="2024-08-16T00:00:00"/>
    <x v="298"/>
    <n v="502003.31"/>
    <n v="159820.01"/>
    <x v="298"/>
    <s v="Caixa"/>
  </r>
  <r>
    <s v="EMP1299"/>
    <x v="298"/>
    <x v="2"/>
    <x v="3"/>
    <x v="7"/>
    <d v="2026-01-11T00:00:00"/>
    <x v="299"/>
    <n v="196666"/>
    <n v="55501.11"/>
    <x v="299"/>
    <s v="Transferênc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DBB28-D4D7-407D-8680-FF815C63FBD8}" name="Tabela Dinâ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1">
    <pivotField showAll="0"/>
    <pivotField showAll="0">
      <items count="300">
        <item x="170"/>
        <item x="173"/>
        <item x="119"/>
        <item x="123"/>
        <item x="66"/>
        <item x="71"/>
        <item x="168"/>
        <item x="245"/>
        <item x="221"/>
        <item x="2"/>
        <item x="11"/>
        <item x="225"/>
        <item x="222"/>
        <item x="238"/>
        <item x="138"/>
        <item x="3"/>
        <item x="12"/>
        <item x="288"/>
        <item x="113"/>
        <item x="240"/>
        <item x="32"/>
        <item x="9"/>
        <item x="15"/>
        <item x="22"/>
        <item x="247"/>
        <item x="95"/>
        <item x="51"/>
        <item x="297"/>
        <item x="133"/>
        <item x="96"/>
        <item x="274"/>
        <item x="117"/>
        <item x="227"/>
        <item x="163"/>
        <item x="292"/>
        <item x="59"/>
        <item x="266"/>
        <item x="21"/>
        <item x="258"/>
        <item x="76"/>
        <item x="143"/>
        <item x="72"/>
        <item x="131"/>
        <item x="147"/>
        <item x="295"/>
        <item x="137"/>
        <item x="20"/>
        <item x="146"/>
        <item x="38"/>
        <item x="29"/>
        <item x="151"/>
        <item x="263"/>
        <item x="97"/>
        <item x="56"/>
        <item x="36"/>
        <item x="159"/>
        <item x="35"/>
        <item x="60"/>
        <item x="111"/>
        <item x="31"/>
        <item x="193"/>
        <item x="262"/>
        <item x="209"/>
        <item x="239"/>
        <item x="90"/>
        <item x="45"/>
        <item x="82"/>
        <item x="18"/>
        <item x="282"/>
        <item x="102"/>
        <item x="271"/>
        <item x="246"/>
        <item x="153"/>
        <item x="144"/>
        <item x="112"/>
        <item x="128"/>
        <item x="228"/>
        <item x="91"/>
        <item x="261"/>
        <item x="55"/>
        <item x="68"/>
        <item x="215"/>
        <item x="88"/>
        <item x="92"/>
        <item x="177"/>
        <item x="155"/>
        <item x="275"/>
        <item x="85"/>
        <item x="264"/>
        <item x="179"/>
        <item x="87"/>
        <item x="235"/>
        <item x="140"/>
        <item x="260"/>
        <item x="4"/>
        <item x="285"/>
        <item x="223"/>
        <item x="208"/>
        <item x="267"/>
        <item x="121"/>
        <item x="237"/>
        <item x="120"/>
        <item x="99"/>
        <item x="5"/>
        <item x="176"/>
        <item x="105"/>
        <item x="217"/>
        <item x="125"/>
        <item x="43"/>
        <item x="6"/>
        <item x="100"/>
        <item x="135"/>
        <item x="57"/>
        <item x="226"/>
        <item x="139"/>
        <item x="256"/>
        <item x="26"/>
        <item x="148"/>
        <item x="156"/>
        <item x="229"/>
        <item x="109"/>
        <item x="171"/>
        <item x="230"/>
        <item x="165"/>
        <item x="250"/>
        <item x="210"/>
        <item x="241"/>
        <item x="219"/>
        <item x="47"/>
        <item x="104"/>
        <item x="174"/>
        <item x="218"/>
        <item x="150"/>
        <item x="64"/>
        <item x="216"/>
        <item x="298"/>
        <item x="197"/>
        <item x="162"/>
        <item x="213"/>
        <item x="257"/>
        <item x="290"/>
        <item x="280"/>
        <item x="69"/>
        <item x="13"/>
        <item x="272"/>
        <item x="84"/>
        <item x="129"/>
        <item x="130"/>
        <item x="61"/>
        <item x="30"/>
        <item x="181"/>
        <item x="186"/>
        <item x="199"/>
        <item x="183"/>
        <item x="234"/>
        <item x="212"/>
        <item x="108"/>
        <item x="142"/>
        <item x="154"/>
        <item x="291"/>
        <item x="118"/>
        <item x="252"/>
        <item x="244"/>
        <item x="67"/>
        <item x="65"/>
        <item x="8"/>
        <item x="106"/>
        <item x="192"/>
        <item x="204"/>
        <item x="110"/>
        <item x="220"/>
        <item x="242"/>
        <item x="70"/>
        <item x="17"/>
        <item x="167"/>
        <item x="161"/>
        <item x="160"/>
        <item x="0"/>
        <item x="289"/>
        <item x="149"/>
        <item x="54"/>
        <item x="49"/>
        <item x="195"/>
        <item x="81"/>
        <item x="73"/>
        <item x="44"/>
        <item x="53"/>
        <item x="201"/>
        <item x="207"/>
        <item x="180"/>
        <item x="78"/>
        <item x="141"/>
        <item x="243"/>
        <item x="19"/>
        <item x="191"/>
        <item x="236"/>
        <item x="23"/>
        <item x="10"/>
        <item x="196"/>
        <item x="122"/>
        <item x="232"/>
        <item x="224"/>
        <item x="259"/>
        <item x="48"/>
        <item x="116"/>
        <item x="58"/>
        <item x="276"/>
        <item x="189"/>
        <item x="37"/>
        <item x="24"/>
        <item x="175"/>
        <item x="203"/>
        <item x="136"/>
        <item x="281"/>
        <item x="284"/>
        <item x="25"/>
        <item x="294"/>
        <item x="27"/>
        <item x="33"/>
        <item x="293"/>
        <item x="190"/>
        <item x="74"/>
        <item x="79"/>
        <item x="172"/>
        <item x="134"/>
        <item x="98"/>
        <item x="296"/>
        <item x="16"/>
        <item x="187"/>
        <item x="233"/>
        <item x="77"/>
        <item x="277"/>
        <item x="93"/>
        <item x="101"/>
        <item x="211"/>
        <item x="83"/>
        <item x="164"/>
        <item x="50"/>
        <item x="200"/>
        <item x="184"/>
        <item x="253"/>
        <item x="206"/>
        <item x="52"/>
        <item x="265"/>
        <item x="86"/>
        <item x="34"/>
        <item x="126"/>
        <item x="182"/>
        <item x="63"/>
        <item x="254"/>
        <item x="278"/>
        <item x="286"/>
        <item x="198"/>
        <item x="283"/>
        <item x="268"/>
        <item x="62"/>
        <item x="127"/>
        <item x="80"/>
        <item x="7"/>
        <item x="255"/>
        <item x="269"/>
        <item x="103"/>
        <item x="46"/>
        <item x="273"/>
        <item x="89"/>
        <item x="270"/>
        <item x="39"/>
        <item x="188"/>
        <item x="75"/>
        <item x="178"/>
        <item x="94"/>
        <item x="14"/>
        <item x="287"/>
        <item x="214"/>
        <item x="152"/>
        <item x="157"/>
        <item x="145"/>
        <item x="132"/>
        <item x="194"/>
        <item x="185"/>
        <item x="115"/>
        <item x="40"/>
        <item x="166"/>
        <item x="42"/>
        <item x="124"/>
        <item x="279"/>
        <item x="1"/>
        <item x="251"/>
        <item x="158"/>
        <item x="231"/>
        <item x="169"/>
        <item x="41"/>
        <item x="249"/>
        <item x="205"/>
        <item x="114"/>
        <item x="107"/>
        <item x="202"/>
        <item x="28"/>
        <item x="248"/>
        <item t="default"/>
      </items>
    </pivotField>
    <pivotField showAll="0">
      <items count="8">
        <item x="5"/>
        <item x="2"/>
        <item x="0"/>
        <item x="6"/>
        <item x="4"/>
        <item x="1"/>
        <item x="3"/>
        <item t="default"/>
      </items>
    </pivotField>
    <pivotField showAll="0">
      <items count="7">
        <item x="0"/>
        <item x="1"/>
        <item x="2"/>
        <item x="5"/>
        <item x="3"/>
        <item x="4"/>
        <item t="default"/>
      </items>
    </pivotField>
    <pivotField axis="axisRow" showAll="0">
      <items count="11">
        <item x="0"/>
        <item x="3"/>
        <item x="7"/>
        <item x="4"/>
        <item x="1"/>
        <item x="6"/>
        <item x="8"/>
        <item x="2"/>
        <item x="9"/>
        <item x="5"/>
        <item t="default"/>
      </items>
    </pivotField>
    <pivotField numFmtId="164" showAll="0"/>
    <pivotField showAll="0">
      <items count="301">
        <item x="123"/>
        <item x="35"/>
        <item x="165"/>
        <item x="190"/>
        <item x="17"/>
        <item x="136"/>
        <item x="167"/>
        <item x="232"/>
        <item x="118"/>
        <item x="163"/>
        <item x="252"/>
        <item x="2"/>
        <item x="81"/>
        <item x="170"/>
        <item x="160"/>
        <item x="122"/>
        <item x="235"/>
        <item x="150"/>
        <item x="117"/>
        <item x="51"/>
        <item x="192"/>
        <item x="216"/>
        <item x="61"/>
        <item x="105"/>
        <item x="237"/>
        <item x="186"/>
        <item x="280"/>
        <item x="207"/>
        <item x="110"/>
        <item x="168"/>
        <item x="250"/>
        <item x="253"/>
        <item x="12"/>
        <item x="176"/>
        <item x="244"/>
        <item x="86"/>
        <item x="7"/>
        <item x="62"/>
        <item x="27"/>
        <item x="42"/>
        <item x="263"/>
        <item x="254"/>
        <item x="249"/>
        <item x="6"/>
        <item x="142"/>
        <item x="111"/>
        <item x="223"/>
        <item x="40"/>
        <item x="83"/>
        <item x="205"/>
        <item x="210"/>
        <item x="230"/>
        <item x="295"/>
        <item x="139"/>
        <item x="259"/>
        <item x="175"/>
        <item x="33"/>
        <item x="293"/>
        <item x="146"/>
        <item x="55"/>
        <item x="278"/>
        <item x="166"/>
        <item x="0"/>
        <item x="107"/>
        <item x="153"/>
        <item x="273"/>
        <item x="91"/>
        <item x="227"/>
        <item x="162"/>
        <item x="82"/>
        <item x="23"/>
        <item x="224"/>
        <item x="15"/>
        <item x="266"/>
        <item x="209"/>
        <item x="264"/>
        <item x="289"/>
        <item x="281"/>
        <item x="50"/>
        <item x="87"/>
        <item x="20"/>
        <item x="245"/>
        <item x="215"/>
        <item x="159"/>
        <item x="213"/>
        <item x="4"/>
        <item x="38"/>
        <item x="126"/>
        <item x="243"/>
        <item x="121"/>
        <item x="257"/>
        <item x="34"/>
        <item x="196"/>
        <item x="67"/>
        <item x="296"/>
        <item x="59"/>
        <item x="212"/>
        <item x="247"/>
        <item x="204"/>
        <item x="98"/>
        <item x="64"/>
        <item x="286"/>
        <item x="102"/>
        <item x="299"/>
        <item x="104"/>
        <item x="90"/>
        <item x="274"/>
        <item x="219"/>
        <item x="189"/>
        <item x="164"/>
        <item x="287"/>
        <item x="269"/>
        <item x="149"/>
        <item x="169"/>
        <item x="26"/>
        <item x="109"/>
        <item x="143"/>
        <item x="113"/>
        <item x="133"/>
        <item x="158"/>
        <item x="68"/>
        <item x="39"/>
        <item x="53"/>
        <item x="28"/>
        <item x="29"/>
        <item x="10"/>
        <item x="72"/>
        <item x="52"/>
        <item x="258"/>
        <item x="85"/>
        <item x="198"/>
        <item x="88"/>
        <item x="290"/>
        <item x="97"/>
        <item x="155"/>
        <item x="47"/>
        <item x="261"/>
        <item x="279"/>
        <item x="239"/>
        <item x="9"/>
        <item x="95"/>
        <item x="291"/>
        <item x="152"/>
        <item x="221"/>
        <item x="182"/>
        <item x="128"/>
        <item x="288"/>
        <item x="242"/>
        <item x="48"/>
        <item x="75"/>
        <item x="3"/>
        <item x="106"/>
        <item x="76"/>
        <item x="144"/>
        <item x="297"/>
        <item x="229"/>
        <item x="140"/>
        <item x="65"/>
        <item x="201"/>
        <item x="116"/>
        <item x="100"/>
        <item x="115"/>
        <item x="89"/>
        <item x="60"/>
        <item x="41"/>
        <item x="73"/>
        <item x="276"/>
        <item x="66"/>
        <item x="200"/>
        <item x="11"/>
        <item x="185"/>
        <item x="151"/>
        <item x="84"/>
        <item x="267"/>
        <item x="54"/>
        <item x="233"/>
        <item x="275"/>
        <item x="260"/>
        <item x="137"/>
        <item x="31"/>
        <item x="130"/>
        <item x="5"/>
        <item x="255"/>
        <item x="222"/>
        <item x="56"/>
        <item x="197"/>
        <item x="30"/>
        <item x="93"/>
        <item x="272"/>
        <item x="154"/>
        <item x="271"/>
        <item x="161"/>
        <item x="180"/>
        <item x="92"/>
        <item x="132"/>
        <item x="96"/>
        <item x="8"/>
        <item x="79"/>
        <item x="77"/>
        <item x="129"/>
        <item x="70"/>
        <item x="134"/>
        <item x="208"/>
        <item x="13"/>
        <item x="147"/>
        <item x="236"/>
        <item x="57"/>
        <item x="25"/>
        <item x="58"/>
        <item x="195"/>
        <item x="193"/>
        <item x="157"/>
        <item x="187"/>
        <item x="32"/>
        <item x="16"/>
        <item x="178"/>
        <item x="24"/>
        <item x="145"/>
        <item x="71"/>
        <item x="241"/>
        <item x="174"/>
        <item x="173"/>
        <item x="141"/>
        <item x="256"/>
        <item x="18"/>
        <item x="125"/>
        <item x="44"/>
        <item x="238"/>
        <item x="218"/>
        <item x="282"/>
        <item x="49"/>
        <item x="171"/>
        <item x="74"/>
        <item x="248"/>
        <item x="217"/>
        <item x="202"/>
        <item x="298"/>
        <item x="194"/>
        <item x="127"/>
        <item x="234"/>
        <item x="78"/>
        <item x="225"/>
        <item x="112"/>
        <item x="119"/>
        <item x="270"/>
        <item x="283"/>
        <item x="69"/>
        <item x="294"/>
        <item x="103"/>
        <item x="188"/>
        <item x="138"/>
        <item x="21"/>
        <item x="131"/>
        <item x="99"/>
        <item x="120"/>
        <item x="199"/>
        <item x="148"/>
        <item x="124"/>
        <item x="268"/>
        <item x="228"/>
        <item x="191"/>
        <item x="135"/>
        <item x="43"/>
        <item x="203"/>
        <item x="63"/>
        <item x="179"/>
        <item x="19"/>
        <item x="251"/>
        <item x="277"/>
        <item x="265"/>
        <item x="94"/>
        <item x="206"/>
        <item x="211"/>
        <item x="214"/>
        <item x="246"/>
        <item x="184"/>
        <item x="292"/>
        <item x="285"/>
        <item x="37"/>
        <item x="114"/>
        <item x="1"/>
        <item x="240"/>
        <item x="262"/>
        <item x="80"/>
        <item x="172"/>
        <item x="226"/>
        <item x="101"/>
        <item x="46"/>
        <item x="231"/>
        <item x="220"/>
        <item x="45"/>
        <item x="36"/>
        <item x="177"/>
        <item x="181"/>
        <item x="284"/>
        <item x="14"/>
        <item x="156"/>
        <item x="108"/>
        <item x="183"/>
        <item x="22"/>
        <item t="default"/>
      </items>
    </pivotField>
    <pivotField numFmtId="43" showAll="0"/>
    <pivotField numFmtId="43" showAll="0"/>
    <pivotField dataField="1" numFmtId="43" showAll="0">
      <items count="301">
        <item x="165"/>
        <item x="123"/>
        <item x="35"/>
        <item x="190"/>
        <item x="17"/>
        <item x="167"/>
        <item x="232"/>
        <item x="136"/>
        <item x="163"/>
        <item x="252"/>
        <item x="118"/>
        <item x="2"/>
        <item x="170"/>
        <item x="81"/>
        <item x="160"/>
        <item x="51"/>
        <item x="235"/>
        <item x="122"/>
        <item x="150"/>
        <item x="216"/>
        <item x="192"/>
        <item x="117"/>
        <item x="61"/>
        <item x="105"/>
        <item x="186"/>
        <item x="237"/>
        <item x="280"/>
        <item x="207"/>
        <item x="12"/>
        <item x="253"/>
        <item x="110"/>
        <item x="168"/>
        <item x="244"/>
        <item x="42"/>
        <item x="176"/>
        <item x="7"/>
        <item x="250"/>
        <item x="254"/>
        <item x="249"/>
        <item x="86"/>
        <item x="62"/>
        <item x="6"/>
        <item x="111"/>
        <item x="27"/>
        <item x="263"/>
        <item x="40"/>
        <item x="210"/>
        <item x="33"/>
        <item x="142"/>
        <item x="223"/>
        <item x="230"/>
        <item x="205"/>
        <item x="83"/>
        <item x="175"/>
        <item x="139"/>
        <item x="295"/>
        <item x="259"/>
        <item x="146"/>
        <item x="0"/>
        <item x="293"/>
        <item x="227"/>
        <item x="55"/>
        <item x="273"/>
        <item x="224"/>
        <item x="153"/>
        <item x="166"/>
        <item x="278"/>
        <item x="107"/>
        <item x="23"/>
        <item x="91"/>
        <item x="162"/>
        <item x="266"/>
        <item x="264"/>
        <item x="213"/>
        <item x="215"/>
        <item x="82"/>
        <item x="4"/>
        <item x="38"/>
        <item x="289"/>
        <item x="87"/>
        <item x="15"/>
        <item x="257"/>
        <item x="50"/>
        <item x="196"/>
        <item x="121"/>
        <item x="245"/>
        <item x="20"/>
        <item x="209"/>
        <item x="126"/>
        <item x="281"/>
        <item x="34"/>
        <item x="159"/>
        <item x="98"/>
        <item x="59"/>
        <item x="90"/>
        <item x="67"/>
        <item x="64"/>
        <item x="102"/>
        <item x="204"/>
        <item x="243"/>
        <item x="247"/>
        <item x="104"/>
        <item x="296"/>
        <item x="212"/>
        <item x="189"/>
        <item x="164"/>
        <item x="274"/>
        <item x="299"/>
        <item x="26"/>
        <item x="286"/>
        <item x="287"/>
        <item x="219"/>
        <item x="39"/>
        <item x="149"/>
        <item x="258"/>
        <item x="28"/>
        <item x="269"/>
        <item x="10"/>
        <item x="143"/>
        <item x="198"/>
        <item x="97"/>
        <item x="109"/>
        <item x="53"/>
        <item x="113"/>
        <item x="291"/>
        <item x="68"/>
        <item x="29"/>
        <item x="169"/>
        <item x="133"/>
        <item x="48"/>
        <item x="155"/>
        <item x="288"/>
        <item x="52"/>
        <item x="158"/>
        <item x="95"/>
        <item x="261"/>
        <item x="128"/>
        <item x="221"/>
        <item x="47"/>
        <item x="85"/>
        <item x="9"/>
        <item x="76"/>
        <item x="242"/>
        <item x="290"/>
        <item x="239"/>
        <item x="88"/>
        <item x="72"/>
        <item x="276"/>
        <item x="229"/>
        <item x="106"/>
        <item x="279"/>
        <item x="65"/>
        <item x="182"/>
        <item x="75"/>
        <item x="60"/>
        <item x="152"/>
        <item x="89"/>
        <item x="41"/>
        <item x="116"/>
        <item x="115"/>
        <item x="144"/>
        <item x="255"/>
        <item x="3"/>
        <item x="233"/>
        <item x="84"/>
        <item x="201"/>
        <item x="100"/>
        <item x="66"/>
        <item x="297"/>
        <item x="56"/>
        <item x="92"/>
        <item x="73"/>
        <item x="140"/>
        <item x="11"/>
        <item x="154"/>
        <item x="185"/>
        <item x="5"/>
        <item x="200"/>
        <item x="180"/>
        <item x="267"/>
        <item x="30"/>
        <item x="137"/>
        <item x="151"/>
        <item x="275"/>
        <item x="54"/>
        <item x="161"/>
        <item x="129"/>
        <item x="197"/>
        <item x="8"/>
        <item x="260"/>
        <item x="93"/>
        <item x="208"/>
        <item x="79"/>
        <item x="96"/>
        <item x="130"/>
        <item x="57"/>
        <item x="31"/>
        <item x="147"/>
        <item x="132"/>
        <item x="272"/>
        <item x="222"/>
        <item x="187"/>
        <item x="173"/>
        <item x="271"/>
        <item x="71"/>
        <item x="77"/>
        <item x="70"/>
        <item x="157"/>
        <item x="32"/>
        <item x="141"/>
        <item x="241"/>
        <item x="58"/>
        <item x="195"/>
        <item x="134"/>
        <item x="202"/>
        <item x="248"/>
        <item x="256"/>
        <item x="13"/>
        <item x="171"/>
        <item x="21"/>
        <item x="193"/>
        <item x="18"/>
        <item x="25"/>
        <item x="16"/>
        <item x="236"/>
        <item x="217"/>
        <item x="174"/>
        <item x="282"/>
        <item x="145"/>
        <item x="178"/>
        <item x="218"/>
        <item x="24"/>
        <item x="49"/>
        <item x="103"/>
        <item x="44"/>
        <item x="251"/>
        <item x="112"/>
        <item x="43"/>
        <item x="78"/>
        <item x="270"/>
        <item x="74"/>
        <item x="179"/>
        <item x="125"/>
        <item x="194"/>
        <item x="69"/>
        <item x="119"/>
        <item x="211"/>
        <item x="238"/>
        <item x="294"/>
        <item x="231"/>
        <item x="181"/>
        <item x="225"/>
        <item x="177"/>
        <item x="214"/>
        <item x="199"/>
        <item x="203"/>
        <item x="63"/>
        <item x="127"/>
        <item x="283"/>
        <item x="298"/>
        <item x="188"/>
        <item x="191"/>
        <item x="124"/>
        <item x="262"/>
        <item x="277"/>
        <item x="37"/>
        <item x="184"/>
        <item x="1"/>
        <item x="99"/>
        <item x="234"/>
        <item x="148"/>
        <item x="292"/>
        <item x="101"/>
        <item x="285"/>
        <item x="246"/>
        <item x="45"/>
        <item x="46"/>
        <item x="131"/>
        <item x="265"/>
        <item x="228"/>
        <item x="114"/>
        <item x="19"/>
        <item x="284"/>
        <item x="268"/>
        <item x="156"/>
        <item x="120"/>
        <item x="206"/>
        <item x="240"/>
        <item x="138"/>
        <item x="14"/>
        <item x="135"/>
        <item x="80"/>
        <item x="36"/>
        <item x="172"/>
        <item x="94"/>
        <item x="226"/>
        <item x="220"/>
        <item x="183"/>
        <item x="108"/>
        <item x="22"/>
        <item t="default"/>
      </items>
    </pivotField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Salário Líquido" fld="9" baseField="0" baseItem="0" numFmtId="43"/>
  </dataFields>
  <chartFormats count="6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E3D85-928C-4A28-A12A-7AE7CD6C49E8}" name="Tabela Dinâmica1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00:D411" firstHeaderRow="1" firstDataRow="1" firstDataCol="1"/>
  <pivotFields count="11">
    <pivotField showAll="0"/>
    <pivotField showAll="0">
      <items count="300">
        <item x="170"/>
        <item x="173"/>
        <item x="119"/>
        <item x="123"/>
        <item x="66"/>
        <item x="71"/>
        <item x="168"/>
        <item x="245"/>
        <item x="221"/>
        <item x="2"/>
        <item x="11"/>
        <item x="225"/>
        <item x="222"/>
        <item x="238"/>
        <item x="138"/>
        <item x="3"/>
        <item x="12"/>
        <item x="288"/>
        <item x="113"/>
        <item x="240"/>
        <item x="32"/>
        <item x="9"/>
        <item x="15"/>
        <item x="22"/>
        <item x="247"/>
        <item x="95"/>
        <item x="51"/>
        <item x="297"/>
        <item x="133"/>
        <item x="96"/>
        <item x="274"/>
        <item x="117"/>
        <item x="227"/>
        <item x="163"/>
        <item x="292"/>
        <item x="59"/>
        <item x="266"/>
        <item x="21"/>
        <item x="258"/>
        <item x="76"/>
        <item x="143"/>
        <item x="72"/>
        <item x="131"/>
        <item x="147"/>
        <item x="295"/>
        <item x="137"/>
        <item x="20"/>
        <item x="146"/>
        <item x="38"/>
        <item x="29"/>
        <item x="151"/>
        <item x="263"/>
        <item x="97"/>
        <item x="56"/>
        <item x="36"/>
        <item x="159"/>
        <item x="35"/>
        <item x="60"/>
        <item x="111"/>
        <item x="31"/>
        <item x="193"/>
        <item x="262"/>
        <item x="209"/>
        <item x="239"/>
        <item x="90"/>
        <item x="45"/>
        <item x="82"/>
        <item x="18"/>
        <item x="282"/>
        <item x="102"/>
        <item x="271"/>
        <item x="246"/>
        <item x="153"/>
        <item x="144"/>
        <item x="112"/>
        <item x="128"/>
        <item x="228"/>
        <item x="91"/>
        <item x="261"/>
        <item x="55"/>
        <item x="68"/>
        <item x="215"/>
        <item x="88"/>
        <item x="92"/>
        <item x="177"/>
        <item x="155"/>
        <item x="275"/>
        <item x="85"/>
        <item x="264"/>
        <item x="179"/>
        <item x="87"/>
        <item x="235"/>
        <item x="140"/>
        <item x="260"/>
        <item x="4"/>
        <item x="285"/>
        <item x="223"/>
        <item x="208"/>
        <item x="267"/>
        <item x="121"/>
        <item x="237"/>
        <item x="120"/>
        <item x="99"/>
        <item x="5"/>
        <item x="176"/>
        <item x="105"/>
        <item x="217"/>
        <item x="125"/>
        <item x="43"/>
        <item x="6"/>
        <item x="100"/>
        <item x="135"/>
        <item x="57"/>
        <item x="226"/>
        <item x="139"/>
        <item x="256"/>
        <item x="26"/>
        <item x="148"/>
        <item x="156"/>
        <item x="229"/>
        <item x="109"/>
        <item x="171"/>
        <item x="230"/>
        <item x="165"/>
        <item x="250"/>
        <item x="210"/>
        <item x="241"/>
        <item x="219"/>
        <item x="47"/>
        <item x="104"/>
        <item x="174"/>
        <item x="218"/>
        <item x="150"/>
        <item x="64"/>
        <item x="216"/>
        <item x="298"/>
        <item x="197"/>
        <item x="162"/>
        <item x="213"/>
        <item x="257"/>
        <item x="290"/>
        <item x="280"/>
        <item x="69"/>
        <item x="13"/>
        <item x="272"/>
        <item x="84"/>
        <item x="129"/>
        <item x="130"/>
        <item x="61"/>
        <item x="30"/>
        <item x="181"/>
        <item x="186"/>
        <item x="199"/>
        <item x="183"/>
        <item x="234"/>
        <item x="212"/>
        <item x="108"/>
        <item x="142"/>
        <item x="154"/>
        <item x="291"/>
        <item x="118"/>
        <item x="252"/>
        <item x="244"/>
        <item x="67"/>
        <item x="65"/>
        <item x="8"/>
        <item x="106"/>
        <item x="192"/>
        <item x="204"/>
        <item x="110"/>
        <item x="220"/>
        <item x="242"/>
        <item x="70"/>
        <item x="17"/>
        <item x="167"/>
        <item x="161"/>
        <item x="160"/>
        <item x="0"/>
        <item x="289"/>
        <item x="149"/>
        <item x="54"/>
        <item x="49"/>
        <item x="195"/>
        <item x="81"/>
        <item x="73"/>
        <item x="44"/>
        <item x="53"/>
        <item x="201"/>
        <item x="207"/>
        <item x="180"/>
        <item x="78"/>
        <item x="141"/>
        <item x="243"/>
        <item x="19"/>
        <item x="191"/>
        <item x="236"/>
        <item x="23"/>
        <item x="10"/>
        <item x="196"/>
        <item x="122"/>
        <item x="232"/>
        <item x="224"/>
        <item x="259"/>
        <item x="48"/>
        <item x="116"/>
        <item x="58"/>
        <item x="276"/>
        <item x="189"/>
        <item x="37"/>
        <item x="24"/>
        <item x="175"/>
        <item x="203"/>
        <item x="136"/>
        <item x="281"/>
        <item x="284"/>
        <item x="25"/>
        <item x="294"/>
        <item x="27"/>
        <item x="33"/>
        <item x="293"/>
        <item x="190"/>
        <item x="74"/>
        <item x="79"/>
        <item x="172"/>
        <item x="134"/>
        <item x="98"/>
        <item x="296"/>
        <item x="16"/>
        <item x="187"/>
        <item x="233"/>
        <item x="77"/>
        <item x="277"/>
        <item x="93"/>
        <item x="101"/>
        <item x="211"/>
        <item x="83"/>
        <item x="164"/>
        <item x="50"/>
        <item x="200"/>
        <item x="184"/>
        <item x="253"/>
        <item x="206"/>
        <item x="52"/>
        <item x="265"/>
        <item x="86"/>
        <item x="34"/>
        <item x="126"/>
        <item x="182"/>
        <item x="63"/>
        <item x="254"/>
        <item x="278"/>
        <item x="286"/>
        <item x="198"/>
        <item x="283"/>
        <item x="268"/>
        <item x="62"/>
        <item x="127"/>
        <item x="80"/>
        <item x="7"/>
        <item x="255"/>
        <item x="269"/>
        <item x="103"/>
        <item x="46"/>
        <item x="273"/>
        <item x="89"/>
        <item x="270"/>
        <item x="39"/>
        <item x="188"/>
        <item x="75"/>
        <item x="178"/>
        <item x="94"/>
        <item x="14"/>
        <item x="287"/>
        <item x="214"/>
        <item x="152"/>
        <item x="157"/>
        <item x="145"/>
        <item x="132"/>
        <item x="194"/>
        <item x="185"/>
        <item x="115"/>
        <item x="40"/>
        <item x="166"/>
        <item x="42"/>
        <item x="124"/>
        <item x="279"/>
        <item x="1"/>
        <item x="251"/>
        <item x="158"/>
        <item x="231"/>
        <item x="169"/>
        <item x="41"/>
        <item x="249"/>
        <item x="205"/>
        <item x="114"/>
        <item x="107"/>
        <item x="202"/>
        <item x="28"/>
        <item x="248"/>
        <item t="default"/>
      </items>
    </pivotField>
    <pivotField showAll="0">
      <items count="8">
        <item x="5"/>
        <item x="2"/>
        <item x="0"/>
        <item x="6"/>
        <item x="4"/>
        <item x="1"/>
        <item x="3"/>
        <item t="default"/>
      </items>
    </pivotField>
    <pivotField showAll="0">
      <items count="7">
        <item x="0"/>
        <item x="1"/>
        <item x="2"/>
        <item x="5"/>
        <item x="3"/>
        <item x="4"/>
        <item t="default"/>
      </items>
    </pivotField>
    <pivotField axis="axisRow" showAll="0">
      <items count="11">
        <item x="0"/>
        <item x="3"/>
        <item x="7"/>
        <item x="4"/>
        <item x="1"/>
        <item x="6"/>
        <item x="8"/>
        <item x="2"/>
        <item x="9"/>
        <item x="5"/>
        <item t="default"/>
      </items>
    </pivotField>
    <pivotField numFmtId="164" showAll="0"/>
    <pivotField showAll="0">
      <items count="301">
        <item x="123"/>
        <item x="35"/>
        <item x="165"/>
        <item x="190"/>
        <item x="17"/>
        <item x="136"/>
        <item x="167"/>
        <item x="232"/>
        <item x="118"/>
        <item x="163"/>
        <item x="252"/>
        <item x="2"/>
        <item x="81"/>
        <item x="170"/>
        <item x="160"/>
        <item x="122"/>
        <item x="235"/>
        <item x="150"/>
        <item x="117"/>
        <item x="51"/>
        <item x="192"/>
        <item x="216"/>
        <item x="61"/>
        <item x="105"/>
        <item x="237"/>
        <item x="186"/>
        <item x="280"/>
        <item x="207"/>
        <item x="110"/>
        <item x="168"/>
        <item x="250"/>
        <item x="253"/>
        <item x="12"/>
        <item x="176"/>
        <item x="244"/>
        <item x="86"/>
        <item x="7"/>
        <item x="62"/>
        <item x="27"/>
        <item x="42"/>
        <item x="263"/>
        <item x="254"/>
        <item x="249"/>
        <item x="6"/>
        <item x="142"/>
        <item x="111"/>
        <item x="223"/>
        <item x="40"/>
        <item x="83"/>
        <item x="205"/>
        <item x="210"/>
        <item x="230"/>
        <item x="295"/>
        <item x="139"/>
        <item x="259"/>
        <item x="175"/>
        <item x="33"/>
        <item x="293"/>
        <item x="146"/>
        <item x="55"/>
        <item x="278"/>
        <item x="166"/>
        <item x="0"/>
        <item x="107"/>
        <item x="153"/>
        <item x="273"/>
        <item x="91"/>
        <item x="227"/>
        <item x="162"/>
        <item x="82"/>
        <item x="23"/>
        <item x="224"/>
        <item x="15"/>
        <item x="266"/>
        <item x="209"/>
        <item x="264"/>
        <item x="289"/>
        <item x="281"/>
        <item x="50"/>
        <item x="87"/>
        <item x="20"/>
        <item x="245"/>
        <item x="215"/>
        <item x="159"/>
        <item x="213"/>
        <item x="4"/>
        <item x="38"/>
        <item x="126"/>
        <item x="243"/>
        <item x="121"/>
        <item x="257"/>
        <item x="34"/>
        <item x="196"/>
        <item x="67"/>
        <item x="296"/>
        <item x="59"/>
        <item x="212"/>
        <item x="247"/>
        <item x="204"/>
        <item x="98"/>
        <item x="64"/>
        <item x="286"/>
        <item x="102"/>
        <item x="299"/>
        <item x="104"/>
        <item x="90"/>
        <item x="274"/>
        <item x="219"/>
        <item x="189"/>
        <item x="164"/>
        <item x="287"/>
        <item x="269"/>
        <item x="149"/>
        <item x="169"/>
        <item x="26"/>
        <item x="109"/>
        <item x="143"/>
        <item x="113"/>
        <item x="133"/>
        <item x="158"/>
        <item x="68"/>
        <item x="39"/>
        <item x="53"/>
        <item x="28"/>
        <item x="29"/>
        <item x="10"/>
        <item x="72"/>
        <item x="52"/>
        <item x="258"/>
        <item x="85"/>
        <item x="198"/>
        <item x="88"/>
        <item x="290"/>
        <item x="97"/>
        <item x="155"/>
        <item x="47"/>
        <item x="261"/>
        <item x="279"/>
        <item x="239"/>
        <item x="9"/>
        <item x="95"/>
        <item x="291"/>
        <item x="152"/>
        <item x="221"/>
        <item x="182"/>
        <item x="128"/>
        <item x="288"/>
        <item x="242"/>
        <item x="48"/>
        <item x="75"/>
        <item x="3"/>
        <item x="106"/>
        <item x="76"/>
        <item x="144"/>
        <item x="297"/>
        <item x="229"/>
        <item x="140"/>
        <item x="65"/>
        <item x="201"/>
        <item x="116"/>
        <item x="100"/>
        <item x="115"/>
        <item x="89"/>
        <item x="60"/>
        <item x="41"/>
        <item x="73"/>
        <item x="276"/>
        <item x="66"/>
        <item x="200"/>
        <item x="11"/>
        <item x="185"/>
        <item x="151"/>
        <item x="84"/>
        <item x="267"/>
        <item x="54"/>
        <item x="233"/>
        <item x="275"/>
        <item x="260"/>
        <item x="137"/>
        <item x="31"/>
        <item x="130"/>
        <item x="5"/>
        <item x="255"/>
        <item x="222"/>
        <item x="56"/>
        <item x="197"/>
        <item x="30"/>
        <item x="93"/>
        <item x="272"/>
        <item x="154"/>
        <item x="271"/>
        <item x="161"/>
        <item x="180"/>
        <item x="92"/>
        <item x="132"/>
        <item x="96"/>
        <item x="8"/>
        <item x="79"/>
        <item x="77"/>
        <item x="129"/>
        <item x="70"/>
        <item x="134"/>
        <item x="208"/>
        <item x="13"/>
        <item x="147"/>
        <item x="236"/>
        <item x="57"/>
        <item x="25"/>
        <item x="58"/>
        <item x="195"/>
        <item x="193"/>
        <item x="157"/>
        <item x="187"/>
        <item x="32"/>
        <item x="16"/>
        <item x="178"/>
        <item x="24"/>
        <item x="145"/>
        <item x="71"/>
        <item x="241"/>
        <item x="174"/>
        <item x="173"/>
        <item x="141"/>
        <item x="256"/>
        <item x="18"/>
        <item x="125"/>
        <item x="44"/>
        <item x="238"/>
        <item x="218"/>
        <item x="282"/>
        <item x="49"/>
        <item x="171"/>
        <item x="74"/>
        <item x="248"/>
        <item x="217"/>
        <item x="202"/>
        <item x="298"/>
        <item x="194"/>
        <item x="127"/>
        <item x="234"/>
        <item x="78"/>
        <item x="225"/>
        <item x="112"/>
        <item x="119"/>
        <item x="270"/>
        <item x="283"/>
        <item x="69"/>
        <item x="294"/>
        <item x="103"/>
        <item x="188"/>
        <item x="138"/>
        <item x="21"/>
        <item x="131"/>
        <item x="99"/>
        <item x="120"/>
        <item x="199"/>
        <item x="148"/>
        <item x="124"/>
        <item x="268"/>
        <item x="228"/>
        <item x="191"/>
        <item x="135"/>
        <item x="43"/>
        <item x="203"/>
        <item x="63"/>
        <item x="179"/>
        <item x="19"/>
        <item x="251"/>
        <item x="277"/>
        <item x="265"/>
        <item x="94"/>
        <item x="206"/>
        <item x="211"/>
        <item x="214"/>
        <item x="246"/>
        <item x="184"/>
        <item x="292"/>
        <item x="285"/>
        <item x="37"/>
        <item x="114"/>
        <item x="1"/>
        <item x="240"/>
        <item x="262"/>
        <item x="80"/>
        <item x="172"/>
        <item x="226"/>
        <item x="101"/>
        <item x="46"/>
        <item x="231"/>
        <item x="220"/>
        <item x="45"/>
        <item x="36"/>
        <item x="177"/>
        <item x="181"/>
        <item x="284"/>
        <item x="14"/>
        <item x="156"/>
        <item x="108"/>
        <item x="183"/>
        <item x="22"/>
        <item t="default"/>
      </items>
    </pivotField>
    <pivotField dataField="1" numFmtId="43" showAll="0"/>
    <pivotField numFmtId="43" showAll="0"/>
    <pivotField numFmtId="43" showAll="0">
      <items count="301">
        <item x="165"/>
        <item x="123"/>
        <item x="35"/>
        <item x="190"/>
        <item x="17"/>
        <item x="167"/>
        <item x="232"/>
        <item x="136"/>
        <item x="163"/>
        <item x="252"/>
        <item x="118"/>
        <item x="2"/>
        <item x="170"/>
        <item x="81"/>
        <item x="160"/>
        <item x="51"/>
        <item x="235"/>
        <item x="122"/>
        <item x="150"/>
        <item x="216"/>
        <item x="192"/>
        <item x="117"/>
        <item x="61"/>
        <item x="105"/>
        <item x="186"/>
        <item x="237"/>
        <item x="280"/>
        <item x="207"/>
        <item x="12"/>
        <item x="253"/>
        <item x="110"/>
        <item x="168"/>
        <item x="244"/>
        <item x="42"/>
        <item x="176"/>
        <item x="7"/>
        <item x="250"/>
        <item x="254"/>
        <item x="249"/>
        <item x="86"/>
        <item x="62"/>
        <item x="6"/>
        <item x="111"/>
        <item x="27"/>
        <item x="263"/>
        <item x="40"/>
        <item x="210"/>
        <item x="33"/>
        <item x="142"/>
        <item x="223"/>
        <item x="230"/>
        <item x="205"/>
        <item x="83"/>
        <item x="175"/>
        <item x="139"/>
        <item x="295"/>
        <item x="259"/>
        <item x="146"/>
        <item x="0"/>
        <item x="293"/>
        <item x="227"/>
        <item x="55"/>
        <item x="273"/>
        <item x="224"/>
        <item x="153"/>
        <item x="166"/>
        <item x="278"/>
        <item x="107"/>
        <item x="23"/>
        <item x="91"/>
        <item x="162"/>
        <item x="266"/>
        <item x="264"/>
        <item x="213"/>
        <item x="215"/>
        <item x="82"/>
        <item x="4"/>
        <item x="38"/>
        <item x="289"/>
        <item x="87"/>
        <item x="15"/>
        <item x="257"/>
        <item x="50"/>
        <item x="196"/>
        <item x="121"/>
        <item x="245"/>
        <item x="20"/>
        <item x="209"/>
        <item x="126"/>
        <item x="281"/>
        <item x="34"/>
        <item x="159"/>
        <item x="98"/>
        <item x="59"/>
        <item x="90"/>
        <item x="67"/>
        <item x="64"/>
        <item x="102"/>
        <item x="204"/>
        <item x="243"/>
        <item x="247"/>
        <item x="104"/>
        <item x="296"/>
        <item x="212"/>
        <item x="189"/>
        <item x="164"/>
        <item x="274"/>
        <item x="299"/>
        <item x="26"/>
        <item x="286"/>
        <item x="287"/>
        <item x="219"/>
        <item x="39"/>
        <item x="149"/>
        <item x="258"/>
        <item x="28"/>
        <item x="269"/>
        <item x="10"/>
        <item x="143"/>
        <item x="198"/>
        <item x="97"/>
        <item x="109"/>
        <item x="53"/>
        <item x="113"/>
        <item x="291"/>
        <item x="68"/>
        <item x="29"/>
        <item x="169"/>
        <item x="133"/>
        <item x="48"/>
        <item x="155"/>
        <item x="288"/>
        <item x="52"/>
        <item x="158"/>
        <item x="95"/>
        <item x="261"/>
        <item x="128"/>
        <item x="221"/>
        <item x="47"/>
        <item x="85"/>
        <item x="9"/>
        <item x="76"/>
        <item x="242"/>
        <item x="290"/>
        <item x="239"/>
        <item x="88"/>
        <item x="72"/>
        <item x="276"/>
        <item x="229"/>
        <item x="106"/>
        <item x="279"/>
        <item x="65"/>
        <item x="182"/>
        <item x="75"/>
        <item x="60"/>
        <item x="152"/>
        <item x="89"/>
        <item x="41"/>
        <item x="116"/>
        <item x="115"/>
        <item x="144"/>
        <item x="255"/>
        <item x="3"/>
        <item x="233"/>
        <item x="84"/>
        <item x="201"/>
        <item x="100"/>
        <item x="66"/>
        <item x="297"/>
        <item x="56"/>
        <item x="92"/>
        <item x="73"/>
        <item x="140"/>
        <item x="11"/>
        <item x="154"/>
        <item x="185"/>
        <item x="5"/>
        <item x="200"/>
        <item x="180"/>
        <item x="267"/>
        <item x="30"/>
        <item x="137"/>
        <item x="151"/>
        <item x="275"/>
        <item x="54"/>
        <item x="161"/>
        <item x="129"/>
        <item x="197"/>
        <item x="8"/>
        <item x="260"/>
        <item x="93"/>
        <item x="208"/>
        <item x="79"/>
        <item x="96"/>
        <item x="130"/>
        <item x="57"/>
        <item x="31"/>
        <item x="147"/>
        <item x="132"/>
        <item x="272"/>
        <item x="222"/>
        <item x="187"/>
        <item x="173"/>
        <item x="271"/>
        <item x="71"/>
        <item x="77"/>
        <item x="70"/>
        <item x="157"/>
        <item x="32"/>
        <item x="141"/>
        <item x="241"/>
        <item x="58"/>
        <item x="195"/>
        <item x="134"/>
        <item x="202"/>
        <item x="248"/>
        <item x="256"/>
        <item x="13"/>
        <item x="171"/>
        <item x="21"/>
        <item x="193"/>
        <item x="18"/>
        <item x="25"/>
        <item x="16"/>
        <item x="236"/>
        <item x="217"/>
        <item x="174"/>
        <item x="282"/>
        <item x="145"/>
        <item x="178"/>
        <item x="218"/>
        <item x="24"/>
        <item x="49"/>
        <item x="103"/>
        <item x="44"/>
        <item x="251"/>
        <item x="112"/>
        <item x="43"/>
        <item x="78"/>
        <item x="270"/>
        <item x="74"/>
        <item x="179"/>
        <item x="125"/>
        <item x="194"/>
        <item x="69"/>
        <item x="119"/>
        <item x="211"/>
        <item x="238"/>
        <item x="294"/>
        <item x="231"/>
        <item x="181"/>
        <item x="225"/>
        <item x="177"/>
        <item x="214"/>
        <item x="199"/>
        <item x="203"/>
        <item x="63"/>
        <item x="127"/>
        <item x="283"/>
        <item x="298"/>
        <item x="188"/>
        <item x="191"/>
        <item x="124"/>
        <item x="262"/>
        <item x="277"/>
        <item x="37"/>
        <item x="184"/>
        <item x="1"/>
        <item x="99"/>
        <item x="234"/>
        <item x="148"/>
        <item x="292"/>
        <item x="101"/>
        <item x="285"/>
        <item x="246"/>
        <item x="45"/>
        <item x="46"/>
        <item x="131"/>
        <item x="265"/>
        <item x="228"/>
        <item x="114"/>
        <item x="19"/>
        <item x="284"/>
        <item x="268"/>
        <item x="156"/>
        <item x="120"/>
        <item x="206"/>
        <item x="240"/>
        <item x="138"/>
        <item x="14"/>
        <item x="135"/>
        <item x="80"/>
        <item x="36"/>
        <item x="172"/>
        <item x="94"/>
        <item x="226"/>
        <item x="220"/>
        <item x="183"/>
        <item x="108"/>
        <item x="22"/>
        <item t="default"/>
      </items>
    </pivotField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Bónus" fld="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B5941-C4C8-4AC3-8EDD-2357C83A9E23}" name="Tabela Dinâmica1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90:D398" firstHeaderRow="1" firstDataRow="1" firstDataCol="1"/>
  <pivotFields count="11">
    <pivotField showAll="0"/>
    <pivotField dataField="1" showAll="0">
      <items count="300">
        <item x="170"/>
        <item x="173"/>
        <item x="119"/>
        <item x="123"/>
        <item x="66"/>
        <item x="71"/>
        <item x="168"/>
        <item x="245"/>
        <item x="221"/>
        <item x="2"/>
        <item x="11"/>
        <item x="225"/>
        <item x="222"/>
        <item x="238"/>
        <item x="138"/>
        <item x="3"/>
        <item x="12"/>
        <item x="288"/>
        <item x="113"/>
        <item x="240"/>
        <item x="32"/>
        <item x="9"/>
        <item x="15"/>
        <item x="22"/>
        <item x="247"/>
        <item x="95"/>
        <item x="51"/>
        <item x="297"/>
        <item x="133"/>
        <item x="96"/>
        <item x="274"/>
        <item x="117"/>
        <item x="227"/>
        <item x="163"/>
        <item x="292"/>
        <item x="59"/>
        <item x="266"/>
        <item x="21"/>
        <item x="258"/>
        <item x="76"/>
        <item x="143"/>
        <item x="72"/>
        <item x="131"/>
        <item x="147"/>
        <item x="295"/>
        <item x="137"/>
        <item x="20"/>
        <item x="146"/>
        <item x="38"/>
        <item x="29"/>
        <item x="151"/>
        <item x="263"/>
        <item x="97"/>
        <item x="56"/>
        <item x="36"/>
        <item x="159"/>
        <item x="35"/>
        <item x="60"/>
        <item x="111"/>
        <item x="31"/>
        <item x="193"/>
        <item x="262"/>
        <item x="209"/>
        <item x="239"/>
        <item x="90"/>
        <item x="45"/>
        <item x="82"/>
        <item x="18"/>
        <item x="282"/>
        <item x="102"/>
        <item x="271"/>
        <item x="246"/>
        <item x="153"/>
        <item x="144"/>
        <item x="112"/>
        <item x="128"/>
        <item x="228"/>
        <item x="91"/>
        <item x="261"/>
        <item x="55"/>
        <item x="68"/>
        <item x="215"/>
        <item x="88"/>
        <item x="92"/>
        <item x="177"/>
        <item x="155"/>
        <item x="275"/>
        <item x="85"/>
        <item x="264"/>
        <item x="179"/>
        <item x="87"/>
        <item x="235"/>
        <item x="140"/>
        <item x="260"/>
        <item x="4"/>
        <item x="285"/>
        <item x="223"/>
        <item x="208"/>
        <item x="267"/>
        <item x="121"/>
        <item x="237"/>
        <item x="120"/>
        <item x="99"/>
        <item x="5"/>
        <item x="176"/>
        <item x="105"/>
        <item x="217"/>
        <item x="125"/>
        <item x="43"/>
        <item x="6"/>
        <item x="100"/>
        <item x="135"/>
        <item x="57"/>
        <item x="226"/>
        <item x="139"/>
        <item x="256"/>
        <item x="26"/>
        <item x="148"/>
        <item x="156"/>
        <item x="229"/>
        <item x="109"/>
        <item x="171"/>
        <item x="230"/>
        <item x="165"/>
        <item x="250"/>
        <item x="210"/>
        <item x="241"/>
        <item x="219"/>
        <item x="47"/>
        <item x="104"/>
        <item x="174"/>
        <item x="218"/>
        <item x="150"/>
        <item x="64"/>
        <item x="216"/>
        <item x="298"/>
        <item x="197"/>
        <item x="162"/>
        <item x="213"/>
        <item x="257"/>
        <item x="290"/>
        <item x="280"/>
        <item x="69"/>
        <item x="13"/>
        <item x="272"/>
        <item x="84"/>
        <item x="129"/>
        <item x="130"/>
        <item x="61"/>
        <item x="30"/>
        <item x="181"/>
        <item x="186"/>
        <item x="199"/>
        <item x="183"/>
        <item x="234"/>
        <item x="212"/>
        <item x="108"/>
        <item x="142"/>
        <item x="154"/>
        <item x="291"/>
        <item x="118"/>
        <item x="252"/>
        <item x="244"/>
        <item x="67"/>
        <item x="65"/>
        <item x="8"/>
        <item x="106"/>
        <item x="192"/>
        <item x="204"/>
        <item x="110"/>
        <item x="220"/>
        <item x="242"/>
        <item x="70"/>
        <item x="17"/>
        <item x="167"/>
        <item x="161"/>
        <item x="160"/>
        <item x="0"/>
        <item x="289"/>
        <item x="149"/>
        <item x="54"/>
        <item x="49"/>
        <item x="195"/>
        <item x="81"/>
        <item x="73"/>
        <item x="44"/>
        <item x="53"/>
        <item x="201"/>
        <item x="207"/>
        <item x="180"/>
        <item x="78"/>
        <item x="141"/>
        <item x="243"/>
        <item x="19"/>
        <item x="191"/>
        <item x="236"/>
        <item x="23"/>
        <item x="10"/>
        <item x="196"/>
        <item x="122"/>
        <item x="232"/>
        <item x="224"/>
        <item x="259"/>
        <item x="48"/>
        <item x="116"/>
        <item x="58"/>
        <item x="276"/>
        <item x="189"/>
        <item x="37"/>
        <item x="24"/>
        <item x="175"/>
        <item x="203"/>
        <item x="136"/>
        <item x="281"/>
        <item x="284"/>
        <item x="25"/>
        <item x="294"/>
        <item x="27"/>
        <item x="33"/>
        <item x="293"/>
        <item x="190"/>
        <item x="74"/>
        <item x="79"/>
        <item x="172"/>
        <item x="134"/>
        <item x="98"/>
        <item x="296"/>
        <item x="16"/>
        <item x="187"/>
        <item x="233"/>
        <item x="77"/>
        <item x="277"/>
        <item x="93"/>
        <item x="101"/>
        <item x="211"/>
        <item x="83"/>
        <item x="164"/>
        <item x="50"/>
        <item x="200"/>
        <item x="184"/>
        <item x="253"/>
        <item x="206"/>
        <item x="52"/>
        <item x="265"/>
        <item x="86"/>
        <item x="34"/>
        <item x="126"/>
        <item x="182"/>
        <item x="63"/>
        <item x="254"/>
        <item x="278"/>
        <item x="286"/>
        <item x="198"/>
        <item x="283"/>
        <item x="268"/>
        <item x="62"/>
        <item x="127"/>
        <item x="80"/>
        <item x="7"/>
        <item x="255"/>
        <item x="269"/>
        <item x="103"/>
        <item x="46"/>
        <item x="273"/>
        <item x="89"/>
        <item x="270"/>
        <item x="39"/>
        <item x="188"/>
        <item x="75"/>
        <item x="178"/>
        <item x="94"/>
        <item x="14"/>
        <item x="287"/>
        <item x="214"/>
        <item x="152"/>
        <item x="157"/>
        <item x="145"/>
        <item x="132"/>
        <item x="194"/>
        <item x="185"/>
        <item x="115"/>
        <item x="40"/>
        <item x="166"/>
        <item x="42"/>
        <item x="124"/>
        <item x="279"/>
        <item x="1"/>
        <item x="251"/>
        <item x="158"/>
        <item x="231"/>
        <item x="169"/>
        <item x="41"/>
        <item x="249"/>
        <item x="205"/>
        <item x="114"/>
        <item x="107"/>
        <item x="202"/>
        <item x="28"/>
        <item x="248"/>
        <item t="default"/>
      </items>
    </pivotField>
    <pivotField axis="axisRow" showAll="0">
      <items count="8">
        <item x="5"/>
        <item x="2"/>
        <item x="0"/>
        <item x="6"/>
        <item x="4"/>
        <item x="1"/>
        <item x="3"/>
        <item t="default"/>
      </items>
    </pivotField>
    <pivotField showAll="0">
      <items count="7">
        <item x="0"/>
        <item x="1"/>
        <item x="2"/>
        <item x="5"/>
        <item x="3"/>
        <item x="4"/>
        <item t="default"/>
      </items>
    </pivotField>
    <pivotField showAll="0">
      <items count="11">
        <item x="0"/>
        <item x="3"/>
        <item x="7"/>
        <item x="4"/>
        <item x="1"/>
        <item x="6"/>
        <item x="8"/>
        <item x="2"/>
        <item x="9"/>
        <item x="5"/>
        <item t="default"/>
      </items>
    </pivotField>
    <pivotField numFmtId="164" showAll="0"/>
    <pivotField showAll="0">
      <items count="301">
        <item x="123"/>
        <item x="35"/>
        <item x="165"/>
        <item x="190"/>
        <item x="17"/>
        <item x="136"/>
        <item x="167"/>
        <item x="232"/>
        <item x="118"/>
        <item x="163"/>
        <item x="252"/>
        <item x="2"/>
        <item x="81"/>
        <item x="170"/>
        <item x="160"/>
        <item x="122"/>
        <item x="235"/>
        <item x="150"/>
        <item x="117"/>
        <item x="51"/>
        <item x="192"/>
        <item x="216"/>
        <item x="61"/>
        <item x="105"/>
        <item x="237"/>
        <item x="186"/>
        <item x="280"/>
        <item x="207"/>
        <item x="110"/>
        <item x="168"/>
        <item x="250"/>
        <item x="253"/>
        <item x="12"/>
        <item x="176"/>
        <item x="244"/>
        <item x="86"/>
        <item x="7"/>
        <item x="62"/>
        <item x="27"/>
        <item x="42"/>
        <item x="263"/>
        <item x="254"/>
        <item x="249"/>
        <item x="6"/>
        <item x="142"/>
        <item x="111"/>
        <item x="223"/>
        <item x="40"/>
        <item x="83"/>
        <item x="205"/>
        <item x="210"/>
        <item x="230"/>
        <item x="295"/>
        <item x="139"/>
        <item x="259"/>
        <item x="175"/>
        <item x="33"/>
        <item x="293"/>
        <item x="146"/>
        <item x="55"/>
        <item x="278"/>
        <item x="166"/>
        <item x="0"/>
        <item x="107"/>
        <item x="153"/>
        <item x="273"/>
        <item x="91"/>
        <item x="227"/>
        <item x="162"/>
        <item x="82"/>
        <item x="23"/>
        <item x="224"/>
        <item x="15"/>
        <item x="266"/>
        <item x="209"/>
        <item x="264"/>
        <item x="289"/>
        <item x="281"/>
        <item x="50"/>
        <item x="87"/>
        <item x="20"/>
        <item x="245"/>
        <item x="215"/>
        <item x="159"/>
        <item x="213"/>
        <item x="4"/>
        <item x="38"/>
        <item x="126"/>
        <item x="243"/>
        <item x="121"/>
        <item x="257"/>
        <item x="34"/>
        <item x="196"/>
        <item x="67"/>
        <item x="296"/>
        <item x="59"/>
        <item x="212"/>
        <item x="247"/>
        <item x="204"/>
        <item x="98"/>
        <item x="64"/>
        <item x="286"/>
        <item x="102"/>
        <item x="299"/>
        <item x="104"/>
        <item x="90"/>
        <item x="274"/>
        <item x="219"/>
        <item x="189"/>
        <item x="164"/>
        <item x="287"/>
        <item x="269"/>
        <item x="149"/>
        <item x="169"/>
        <item x="26"/>
        <item x="109"/>
        <item x="143"/>
        <item x="113"/>
        <item x="133"/>
        <item x="158"/>
        <item x="68"/>
        <item x="39"/>
        <item x="53"/>
        <item x="28"/>
        <item x="29"/>
        <item x="10"/>
        <item x="72"/>
        <item x="52"/>
        <item x="258"/>
        <item x="85"/>
        <item x="198"/>
        <item x="88"/>
        <item x="290"/>
        <item x="97"/>
        <item x="155"/>
        <item x="47"/>
        <item x="261"/>
        <item x="279"/>
        <item x="239"/>
        <item x="9"/>
        <item x="95"/>
        <item x="291"/>
        <item x="152"/>
        <item x="221"/>
        <item x="182"/>
        <item x="128"/>
        <item x="288"/>
        <item x="242"/>
        <item x="48"/>
        <item x="75"/>
        <item x="3"/>
        <item x="106"/>
        <item x="76"/>
        <item x="144"/>
        <item x="297"/>
        <item x="229"/>
        <item x="140"/>
        <item x="65"/>
        <item x="201"/>
        <item x="116"/>
        <item x="100"/>
        <item x="115"/>
        <item x="89"/>
        <item x="60"/>
        <item x="41"/>
        <item x="73"/>
        <item x="276"/>
        <item x="66"/>
        <item x="200"/>
        <item x="11"/>
        <item x="185"/>
        <item x="151"/>
        <item x="84"/>
        <item x="267"/>
        <item x="54"/>
        <item x="233"/>
        <item x="275"/>
        <item x="260"/>
        <item x="137"/>
        <item x="31"/>
        <item x="130"/>
        <item x="5"/>
        <item x="255"/>
        <item x="222"/>
        <item x="56"/>
        <item x="197"/>
        <item x="30"/>
        <item x="93"/>
        <item x="272"/>
        <item x="154"/>
        <item x="271"/>
        <item x="161"/>
        <item x="180"/>
        <item x="92"/>
        <item x="132"/>
        <item x="96"/>
        <item x="8"/>
        <item x="79"/>
        <item x="77"/>
        <item x="129"/>
        <item x="70"/>
        <item x="134"/>
        <item x="208"/>
        <item x="13"/>
        <item x="147"/>
        <item x="236"/>
        <item x="57"/>
        <item x="25"/>
        <item x="58"/>
        <item x="195"/>
        <item x="193"/>
        <item x="157"/>
        <item x="187"/>
        <item x="32"/>
        <item x="16"/>
        <item x="178"/>
        <item x="24"/>
        <item x="145"/>
        <item x="71"/>
        <item x="241"/>
        <item x="174"/>
        <item x="173"/>
        <item x="141"/>
        <item x="256"/>
        <item x="18"/>
        <item x="125"/>
        <item x="44"/>
        <item x="238"/>
        <item x="218"/>
        <item x="282"/>
        <item x="49"/>
        <item x="171"/>
        <item x="74"/>
        <item x="248"/>
        <item x="217"/>
        <item x="202"/>
        <item x="298"/>
        <item x="194"/>
        <item x="127"/>
        <item x="234"/>
        <item x="78"/>
        <item x="225"/>
        <item x="112"/>
        <item x="119"/>
        <item x="270"/>
        <item x="283"/>
        <item x="69"/>
        <item x="294"/>
        <item x="103"/>
        <item x="188"/>
        <item x="138"/>
        <item x="21"/>
        <item x="131"/>
        <item x="99"/>
        <item x="120"/>
        <item x="199"/>
        <item x="148"/>
        <item x="124"/>
        <item x="268"/>
        <item x="228"/>
        <item x="191"/>
        <item x="135"/>
        <item x="43"/>
        <item x="203"/>
        <item x="63"/>
        <item x="179"/>
        <item x="19"/>
        <item x="251"/>
        <item x="277"/>
        <item x="265"/>
        <item x="94"/>
        <item x="206"/>
        <item x="211"/>
        <item x="214"/>
        <item x="246"/>
        <item x="184"/>
        <item x="292"/>
        <item x="285"/>
        <item x="37"/>
        <item x="114"/>
        <item x="1"/>
        <item x="240"/>
        <item x="262"/>
        <item x="80"/>
        <item x="172"/>
        <item x="226"/>
        <item x="101"/>
        <item x="46"/>
        <item x="231"/>
        <item x="220"/>
        <item x="45"/>
        <item x="36"/>
        <item x="177"/>
        <item x="181"/>
        <item x="284"/>
        <item x="14"/>
        <item x="156"/>
        <item x="108"/>
        <item x="183"/>
        <item x="22"/>
        <item t="default"/>
      </items>
    </pivotField>
    <pivotField numFmtId="43" showAll="0"/>
    <pivotField numFmtId="43" showAll="0"/>
    <pivotField numFmtId="43" showAll="0">
      <items count="301">
        <item x="165"/>
        <item x="123"/>
        <item x="35"/>
        <item x="190"/>
        <item x="17"/>
        <item x="167"/>
        <item x="232"/>
        <item x="136"/>
        <item x="163"/>
        <item x="252"/>
        <item x="118"/>
        <item x="2"/>
        <item x="170"/>
        <item x="81"/>
        <item x="160"/>
        <item x="51"/>
        <item x="235"/>
        <item x="122"/>
        <item x="150"/>
        <item x="216"/>
        <item x="192"/>
        <item x="117"/>
        <item x="61"/>
        <item x="105"/>
        <item x="186"/>
        <item x="237"/>
        <item x="280"/>
        <item x="207"/>
        <item x="12"/>
        <item x="253"/>
        <item x="110"/>
        <item x="168"/>
        <item x="244"/>
        <item x="42"/>
        <item x="176"/>
        <item x="7"/>
        <item x="250"/>
        <item x="254"/>
        <item x="249"/>
        <item x="86"/>
        <item x="62"/>
        <item x="6"/>
        <item x="111"/>
        <item x="27"/>
        <item x="263"/>
        <item x="40"/>
        <item x="210"/>
        <item x="33"/>
        <item x="142"/>
        <item x="223"/>
        <item x="230"/>
        <item x="205"/>
        <item x="83"/>
        <item x="175"/>
        <item x="139"/>
        <item x="295"/>
        <item x="259"/>
        <item x="146"/>
        <item x="0"/>
        <item x="293"/>
        <item x="227"/>
        <item x="55"/>
        <item x="273"/>
        <item x="224"/>
        <item x="153"/>
        <item x="166"/>
        <item x="278"/>
        <item x="107"/>
        <item x="23"/>
        <item x="91"/>
        <item x="162"/>
        <item x="266"/>
        <item x="264"/>
        <item x="213"/>
        <item x="215"/>
        <item x="82"/>
        <item x="4"/>
        <item x="38"/>
        <item x="289"/>
        <item x="87"/>
        <item x="15"/>
        <item x="257"/>
        <item x="50"/>
        <item x="196"/>
        <item x="121"/>
        <item x="245"/>
        <item x="20"/>
        <item x="209"/>
        <item x="126"/>
        <item x="281"/>
        <item x="34"/>
        <item x="159"/>
        <item x="98"/>
        <item x="59"/>
        <item x="90"/>
        <item x="67"/>
        <item x="64"/>
        <item x="102"/>
        <item x="204"/>
        <item x="243"/>
        <item x="247"/>
        <item x="104"/>
        <item x="296"/>
        <item x="212"/>
        <item x="189"/>
        <item x="164"/>
        <item x="274"/>
        <item x="299"/>
        <item x="26"/>
        <item x="286"/>
        <item x="287"/>
        <item x="219"/>
        <item x="39"/>
        <item x="149"/>
        <item x="258"/>
        <item x="28"/>
        <item x="269"/>
        <item x="10"/>
        <item x="143"/>
        <item x="198"/>
        <item x="97"/>
        <item x="109"/>
        <item x="53"/>
        <item x="113"/>
        <item x="291"/>
        <item x="68"/>
        <item x="29"/>
        <item x="169"/>
        <item x="133"/>
        <item x="48"/>
        <item x="155"/>
        <item x="288"/>
        <item x="52"/>
        <item x="158"/>
        <item x="95"/>
        <item x="261"/>
        <item x="128"/>
        <item x="221"/>
        <item x="47"/>
        <item x="85"/>
        <item x="9"/>
        <item x="76"/>
        <item x="242"/>
        <item x="290"/>
        <item x="239"/>
        <item x="88"/>
        <item x="72"/>
        <item x="276"/>
        <item x="229"/>
        <item x="106"/>
        <item x="279"/>
        <item x="65"/>
        <item x="182"/>
        <item x="75"/>
        <item x="60"/>
        <item x="152"/>
        <item x="89"/>
        <item x="41"/>
        <item x="116"/>
        <item x="115"/>
        <item x="144"/>
        <item x="255"/>
        <item x="3"/>
        <item x="233"/>
        <item x="84"/>
        <item x="201"/>
        <item x="100"/>
        <item x="66"/>
        <item x="297"/>
        <item x="56"/>
        <item x="92"/>
        <item x="73"/>
        <item x="140"/>
        <item x="11"/>
        <item x="154"/>
        <item x="185"/>
        <item x="5"/>
        <item x="200"/>
        <item x="180"/>
        <item x="267"/>
        <item x="30"/>
        <item x="137"/>
        <item x="151"/>
        <item x="275"/>
        <item x="54"/>
        <item x="161"/>
        <item x="129"/>
        <item x="197"/>
        <item x="8"/>
        <item x="260"/>
        <item x="93"/>
        <item x="208"/>
        <item x="79"/>
        <item x="96"/>
        <item x="130"/>
        <item x="57"/>
        <item x="31"/>
        <item x="147"/>
        <item x="132"/>
        <item x="272"/>
        <item x="222"/>
        <item x="187"/>
        <item x="173"/>
        <item x="271"/>
        <item x="71"/>
        <item x="77"/>
        <item x="70"/>
        <item x="157"/>
        <item x="32"/>
        <item x="141"/>
        <item x="241"/>
        <item x="58"/>
        <item x="195"/>
        <item x="134"/>
        <item x="202"/>
        <item x="248"/>
        <item x="256"/>
        <item x="13"/>
        <item x="171"/>
        <item x="21"/>
        <item x="193"/>
        <item x="18"/>
        <item x="25"/>
        <item x="16"/>
        <item x="236"/>
        <item x="217"/>
        <item x="174"/>
        <item x="282"/>
        <item x="145"/>
        <item x="178"/>
        <item x="218"/>
        <item x="24"/>
        <item x="49"/>
        <item x="103"/>
        <item x="44"/>
        <item x="251"/>
        <item x="112"/>
        <item x="43"/>
        <item x="78"/>
        <item x="270"/>
        <item x="74"/>
        <item x="179"/>
        <item x="125"/>
        <item x="194"/>
        <item x="69"/>
        <item x="119"/>
        <item x="211"/>
        <item x="238"/>
        <item x="294"/>
        <item x="231"/>
        <item x="181"/>
        <item x="225"/>
        <item x="177"/>
        <item x="214"/>
        <item x="199"/>
        <item x="203"/>
        <item x="63"/>
        <item x="127"/>
        <item x="283"/>
        <item x="298"/>
        <item x="188"/>
        <item x="191"/>
        <item x="124"/>
        <item x="262"/>
        <item x="277"/>
        <item x="37"/>
        <item x="184"/>
        <item x="1"/>
        <item x="99"/>
        <item x="234"/>
        <item x="148"/>
        <item x="292"/>
        <item x="101"/>
        <item x="285"/>
        <item x="246"/>
        <item x="45"/>
        <item x="46"/>
        <item x="131"/>
        <item x="265"/>
        <item x="228"/>
        <item x="114"/>
        <item x="19"/>
        <item x="284"/>
        <item x="268"/>
        <item x="156"/>
        <item x="120"/>
        <item x="206"/>
        <item x="240"/>
        <item x="138"/>
        <item x="14"/>
        <item x="135"/>
        <item x="80"/>
        <item x="36"/>
        <item x="172"/>
        <item x="94"/>
        <item x="226"/>
        <item x="220"/>
        <item x="183"/>
        <item x="108"/>
        <item x="22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No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577D5-E0BA-4DDB-8EFD-1545155A256C}" name="Tabela Dinâmica10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78:D385" firstHeaderRow="1" firstDataRow="1" firstDataCol="1"/>
  <pivotFields count="11">
    <pivotField showAll="0"/>
    <pivotField showAll="0"/>
    <pivotField showAll="0">
      <items count="8">
        <item x="5"/>
        <item x="2"/>
        <item x="0"/>
        <item x="6"/>
        <item x="4"/>
        <item x="1"/>
        <item x="3"/>
        <item t="default"/>
      </items>
    </pivotField>
    <pivotField axis="axisRow" showAll="0">
      <items count="7">
        <item x="0"/>
        <item x="1"/>
        <item x="2"/>
        <item x="5"/>
        <item x="3"/>
        <item x="4"/>
        <item t="default"/>
      </items>
    </pivotField>
    <pivotField showAll="0">
      <items count="11">
        <item x="0"/>
        <item x="3"/>
        <item x="7"/>
        <item x="4"/>
        <item x="1"/>
        <item x="6"/>
        <item x="8"/>
        <item x="2"/>
        <item x="9"/>
        <item x="5"/>
        <item t="default"/>
      </items>
    </pivotField>
    <pivotField numFmtId="164" showAll="0"/>
    <pivotField showAll="0">
      <items count="301">
        <item x="123"/>
        <item x="35"/>
        <item x="165"/>
        <item x="190"/>
        <item x="17"/>
        <item x="136"/>
        <item x="167"/>
        <item x="232"/>
        <item x="118"/>
        <item x="163"/>
        <item x="252"/>
        <item x="2"/>
        <item x="81"/>
        <item x="170"/>
        <item x="160"/>
        <item x="122"/>
        <item x="235"/>
        <item x="150"/>
        <item x="117"/>
        <item x="51"/>
        <item x="192"/>
        <item x="216"/>
        <item x="61"/>
        <item x="105"/>
        <item x="237"/>
        <item x="186"/>
        <item x="280"/>
        <item x="207"/>
        <item x="110"/>
        <item x="168"/>
        <item x="250"/>
        <item x="253"/>
        <item x="12"/>
        <item x="176"/>
        <item x="244"/>
        <item x="86"/>
        <item x="7"/>
        <item x="62"/>
        <item x="27"/>
        <item x="42"/>
        <item x="263"/>
        <item x="254"/>
        <item x="249"/>
        <item x="6"/>
        <item x="142"/>
        <item x="111"/>
        <item x="223"/>
        <item x="40"/>
        <item x="83"/>
        <item x="205"/>
        <item x="210"/>
        <item x="230"/>
        <item x="295"/>
        <item x="139"/>
        <item x="259"/>
        <item x="175"/>
        <item x="33"/>
        <item x="293"/>
        <item x="146"/>
        <item x="55"/>
        <item x="278"/>
        <item x="166"/>
        <item x="0"/>
        <item x="107"/>
        <item x="153"/>
        <item x="273"/>
        <item x="91"/>
        <item x="227"/>
        <item x="162"/>
        <item x="82"/>
        <item x="23"/>
        <item x="224"/>
        <item x="15"/>
        <item x="266"/>
        <item x="209"/>
        <item x="264"/>
        <item x="289"/>
        <item x="281"/>
        <item x="50"/>
        <item x="87"/>
        <item x="20"/>
        <item x="245"/>
        <item x="215"/>
        <item x="159"/>
        <item x="213"/>
        <item x="4"/>
        <item x="38"/>
        <item x="126"/>
        <item x="243"/>
        <item x="121"/>
        <item x="257"/>
        <item x="34"/>
        <item x="196"/>
        <item x="67"/>
        <item x="296"/>
        <item x="59"/>
        <item x="212"/>
        <item x="247"/>
        <item x="204"/>
        <item x="98"/>
        <item x="64"/>
        <item x="286"/>
        <item x="102"/>
        <item x="299"/>
        <item x="104"/>
        <item x="90"/>
        <item x="274"/>
        <item x="219"/>
        <item x="189"/>
        <item x="164"/>
        <item x="287"/>
        <item x="269"/>
        <item x="149"/>
        <item x="169"/>
        <item x="26"/>
        <item x="109"/>
        <item x="143"/>
        <item x="113"/>
        <item x="133"/>
        <item x="158"/>
        <item x="68"/>
        <item x="39"/>
        <item x="53"/>
        <item x="28"/>
        <item x="29"/>
        <item x="10"/>
        <item x="72"/>
        <item x="52"/>
        <item x="258"/>
        <item x="85"/>
        <item x="198"/>
        <item x="88"/>
        <item x="290"/>
        <item x="97"/>
        <item x="155"/>
        <item x="47"/>
        <item x="261"/>
        <item x="279"/>
        <item x="239"/>
        <item x="9"/>
        <item x="95"/>
        <item x="291"/>
        <item x="152"/>
        <item x="221"/>
        <item x="182"/>
        <item x="128"/>
        <item x="288"/>
        <item x="242"/>
        <item x="48"/>
        <item x="75"/>
        <item x="3"/>
        <item x="106"/>
        <item x="76"/>
        <item x="144"/>
        <item x="297"/>
        <item x="229"/>
        <item x="140"/>
        <item x="65"/>
        <item x="201"/>
        <item x="116"/>
        <item x="100"/>
        <item x="115"/>
        <item x="89"/>
        <item x="60"/>
        <item x="41"/>
        <item x="73"/>
        <item x="276"/>
        <item x="66"/>
        <item x="200"/>
        <item x="11"/>
        <item x="185"/>
        <item x="151"/>
        <item x="84"/>
        <item x="267"/>
        <item x="54"/>
        <item x="233"/>
        <item x="275"/>
        <item x="260"/>
        <item x="137"/>
        <item x="31"/>
        <item x="130"/>
        <item x="5"/>
        <item x="255"/>
        <item x="222"/>
        <item x="56"/>
        <item x="197"/>
        <item x="30"/>
        <item x="93"/>
        <item x="272"/>
        <item x="154"/>
        <item x="271"/>
        <item x="161"/>
        <item x="180"/>
        <item x="92"/>
        <item x="132"/>
        <item x="96"/>
        <item x="8"/>
        <item x="79"/>
        <item x="77"/>
        <item x="129"/>
        <item x="70"/>
        <item x="134"/>
        <item x="208"/>
        <item x="13"/>
        <item x="147"/>
        <item x="236"/>
        <item x="57"/>
        <item x="25"/>
        <item x="58"/>
        <item x="195"/>
        <item x="193"/>
        <item x="157"/>
        <item x="187"/>
        <item x="32"/>
        <item x="16"/>
        <item x="178"/>
        <item x="24"/>
        <item x="145"/>
        <item x="71"/>
        <item x="241"/>
        <item x="174"/>
        <item x="173"/>
        <item x="141"/>
        <item x="256"/>
        <item x="18"/>
        <item x="125"/>
        <item x="44"/>
        <item x="238"/>
        <item x="218"/>
        <item x="282"/>
        <item x="49"/>
        <item x="171"/>
        <item x="74"/>
        <item x="248"/>
        <item x="217"/>
        <item x="202"/>
        <item x="298"/>
        <item x="194"/>
        <item x="127"/>
        <item x="234"/>
        <item x="78"/>
        <item x="225"/>
        <item x="112"/>
        <item x="119"/>
        <item x="270"/>
        <item x="283"/>
        <item x="69"/>
        <item x="294"/>
        <item x="103"/>
        <item x="188"/>
        <item x="138"/>
        <item x="21"/>
        <item x="131"/>
        <item x="99"/>
        <item x="120"/>
        <item x="199"/>
        <item x="148"/>
        <item x="124"/>
        <item x="268"/>
        <item x="228"/>
        <item x="191"/>
        <item x="135"/>
        <item x="43"/>
        <item x="203"/>
        <item x="63"/>
        <item x="179"/>
        <item x="19"/>
        <item x="251"/>
        <item x="277"/>
        <item x="265"/>
        <item x="94"/>
        <item x="206"/>
        <item x="211"/>
        <item x="214"/>
        <item x="246"/>
        <item x="184"/>
        <item x="292"/>
        <item x="285"/>
        <item x="37"/>
        <item x="114"/>
        <item x="1"/>
        <item x="240"/>
        <item x="262"/>
        <item x="80"/>
        <item x="172"/>
        <item x="226"/>
        <item x="101"/>
        <item x="46"/>
        <item x="231"/>
        <item x="220"/>
        <item x="45"/>
        <item x="36"/>
        <item x="177"/>
        <item x="181"/>
        <item x="284"/>
        <item x="14"/>
        <item x="156"/>
        <item x="108"/>
        <item x="183"/>
        <item x="22"/>
        <item t="default"/>
      </items>
    </pivotField>
    <pivotField numFmtId="43" showAll="0"/>
    <pivotField numFmtId="43" showAll="0"/>
    <pivotField dataField="1" numFmtId="43" showAll="0">
      <items count="301">
        <item x="165"/>
        <item x="123"/>
        <item x="35"/>
        <item x="190"/>
        <item x="17"/>
        <item x="167"/>
        <item x="232"/>
        <item x="136"/>
        <item x="163"/>
        <item x="252"/>
        <item x="118"/>
        <item x="2"/>
        <item x="170"/>
        <item x="81"/>
        <item x="160"/>
        <item x="51"/>
        <item x="235"/>
        <item x="122"/>
        <item x="150"/>
        <item x="216"/>
        <item x="192"/>
        <item x="117"/>
        <item x="61"/>
        <item x="105"/>
        <item x="186"/>
        <item x="237"/>
        <item x="280"/>
        <item x="207"/>
        <item x="12"/>
        <item x="253"/>
        <item x="110"/>
        <item x="168"/>
        <item x="244"/>
        <item x="42"/>
        <item x="176"/>
        <item x="7"/>
        <item x="250"/>
        <item x="254"/>
        <item x="249"/>
        <item x="86"/>
        <item x="62"/>
        <item x="6"/>
        <item x="111"/>
        <item x="27"/>
        <item x="263"/>
        <item x="40"/>
        <item x="210"/>
        <item x="33"/>
        <item x="142"/>
        <item x="223"/>
        <item x="230"/>
        <item x="205"/>
        <item x="83"/>
        <item x="175"/>
        <item x="139"/>
        <item x="295"/>
        <item x="259"/>
        <item x="146"/>
        <item x="0"/>
        <item x="293"/>
        <item x="227"/>
        <item x="55"/>
        <item x="273"/>
        <item x="224"/>
        <item x="153"/>
        <item x="166"/>
        <item x="278"/>
        <item x="107"/>
        <item x="23"/>
        <item x="91"/>
        <item x="162"/>
        <item x="266"/>
        <item x="264"/>
        <item x="213"/>
        <item x="215"/>
        <item x="82"/>
        <item x="4"/>
        <item x="38"/>
        <item x="289"/>
        <item x="87"/>
        <item x="15"/>
        <item x="257"/>
        <item x="50"/>
        <item x="196"/>
        <item x="121"/>
        <item x="245"/>
        <item x="20"/>
        <item x="209"/>
        <item x="126"/>
        <item x="281"/>
        <item x="34"/>
        <item x="159"/>
        <item x="98"/>
        <item x="59"/>
        <item x="90"/>
        <item x="67"/>
        <item x="64"/>
        <item x="102"/>
        <item x="204"/>
        <item x="243"/>
        <item x="247"/>
        <item x="104"/>
        <item x="296"/>
        <item x="212"/>
        <item x="189"/>
        <item x="164"/>
        <item x="274"/>
        <item x="299"/>
        <item x="26"/>
        <item x="286"/>
        <item x="287"/>
        <item x="219"/>
        <item x="39"/>
        <item x="149"/>
        <item x="258"/>
        <item x="28"/>
        <item x="269"/>
        <item x="10"/>
        <item x="143"/>
        <item x="198"/>
        <item x="97"/>
        <item x="109"/>
        <item x="53"/>
        <item x="113"/>
        <item x="291"/>
        <item x="68"/>
        <item x="29"/>
        <item x="169"/>
        <item x="133"/>
        <item x="48"/>
        <item x="155"/>
        <item x="288"/>
        <item x="52"/>
        <item x="158"/>
        <item x="95"/>
        <item x="261"/>
        <item x="128"/>
        <item x="221"/>
        <item x="47"/>
        <item x="85"/>
        <item x="9"/>
        <item x="76"/>
        <item x="242"/>
        <item x="290"/>
        <item x="239"/>
        <item x="88"/>
        <item x="72"/>
        <item x="276"/>
        <item x="229"/>
        <item x="106"/>
        <item x="279"/>
        <item x="65"/>
        <item x="182"/>
        <item x="75"/>
        <item x="60"/>
        <item x="152"/>
        <item x="89"/>
        <item x="41"/>
        <item x="116"/>
        <item x="115"/>
        <item x="144"/>
        <item x="255"/>
        <item x="3"/>
        <item x="233"/>
        <item x="84"/>
        <item x="201"/>
        <item x="100"/>
        <item x="66"/>
        <item x="297"/>
        <item x="56"/>
        <item x="92"/>
        <item x="73"/>
        <item x="140"/>
        <item x="11"/>
        <item x="154"/>
        <item x="185"/>
        <item x="5"/>
        <item x="200"/>
        <item x="180"/>
        <item x="267"/>
        <item x="30"/>
        <item x="137"/>
        <item x="151"/>
        <item x="275"/>
        <item x="54"/>
        <item x="161"/>
        <item x="129"/>
        <item x="197"/>
        <item x="8"/>
        <item x="260"/>
        <item x="93"/>
        <item x="208"/>
        <item x="79"/>
        <item x="96"/>
        <item x="130"/>
        <item x="57"/>
        <item x="31"/>
        <item x="147"/>
        <item x="132"/>
        <item x="272"/>
        <item x="222"/>
        <item x="187"/>
        <item x="173"/>
        <item x="271"/>
        <item x="71"/>
        <item x="77"/>
        <item x="70"/>
        <item x="157"/>
        <item x="32"/>
        <item x="141"/>
        <item x="241"/>
        <item x="58"/>
        <item x="195"/>
        <item x="134"/>
        <item x="202"/>
        <item x="248"/>
        <item x="256"/>
        <item x="13"/>
        <item x="171"/>
        <item x="21"/>
        <item x="193"/>
        <item x="18"/>
        <item x="25"/>
        <item x="16"/>
        <item x="236"/>
        <item x="217"/>
        <item x="174"/>
        <item x="282"/>
        <item x="145"/>
        <item x="178"/>
        <item x="218"/>
        <item x="24"/>
        <item x="49"/>
        <item x="103"/>
        <item x="44"/>
        <item x="251"/>
        <item x="112"/>
        <item x="43"/>
        <item x="78"/>
        <item x="270"/>
        <item x="74"/>
        <item x="179"/>
        <item x="125"/>
        <item x="194"/>
        <item x="69"/>
        <item x="119"/>
        <item x="211"/>
        <item x="238"/>
        <item x="294"/>
        <item x="231"/>
        <item x="181"/>
        <item x="225"/>
        <item x="177"/>
        <item x="214"/>
        <item x="199"/>
        <item x="203"/>
        <item x="63"/>
        <item x="127"/>
        <item x="283"/>
        <item x="298"/>
        <item x="188"/>
        <item x="191"/>
        <item x="124"/>
        <item x="262"/>
        <item x="277"/>
        <item x="37"/>
        <item x="184"/>
        <item x="1"/>
        <item x="99"/>
        <item x="234"/>
        <item x="148"/>
        <item x="292"/>
        <item x="101"/>
        <item x="285"/>
        <item x="246"/>
        <item x="45"/>
        <item x="46"/>
        <item x="131"/>
        <item x="265"/>
        <item x="228"/>
        <item x="114"/>
        <item x="19"/>
        <item x="284"/>
        <item x="268"/>
        <item x="156"/>
        <item x="120"/>
        <item x="206"/>
        <item x="240"/>
        <item x="138"/>
        <item x="14"/>
        <item x="135"/>
        <item x="80"/>
        <item x="36"/>
        <item x="172"/>
        <item x="94"/>
        <item x="226"/>
        <item x="220"/>
        <item x="183"/>
        <item x="108"/>
        <item x="2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édia de Salário Líquido" fld="9" subtotal="average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E1B3F-3BDF-4B62-AB3E-F37C2C011DF8}" name="Tabela Dinâmica7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49:D357" firstHeaderRow="1" firstDataRow="1" firstDataCol="1"/>
  <pivotFields count="11">
    <pivotField showAll="0"/>
    <pivotField showAll="0"/>
    <pivotField axis="axisRow" showAll="0">
      <items count="8">
        <item x="5"/>
        <item x="2"/>
        <item x="0"/>
        <item x="6"/>
        <item x="4"/>
        <item x="1"/>
        <item x="3"/>
        <item t="default"/>
      </items>
    </pivotField>
    <pivotField showAll="0"/>
    <pivotField showAll="0">
      <items count="11">
        <item x="0"/>
        <item x="3"/>
        <item x="7"/>
        <item x="4"/>
        <item x="1"/>
        <item x="6"/>
        <item x="8"/>
        <item x="2"/>
        <item x="9"/>
        <item x="5"/>
        <item t="default"/>
      </items>
    </pivotField>
    <pivotField numFmtId="164" showAll="0"/>
    <pivotField showAll="0">
      <items count="301">
        <item x="123"/>
        <item x="35"/>
        <item x="165"/>
        <item x="190"/>
        <item x="17"/>
        <item x="136"/>
        <item x="167"/>
        <item x="232"/>
        <item x="118"/>
        <item x="163"/>
        <item x="252"/>
        <item x="2"/>
        <item x="81"/>
        <item x="170"/>
        <item x="160"/>
        <item x="122"/>
        <item x="235"/>
        <item x="150"/>
        <item x="117"/>
        <item x="51"/>
        <item x="192"/>
        <item x="216"/>
        <item x="61"/>
        <item x="105"/>
        <item x="237"/>
        <item x="186"/>
        <item x="280"/>
        <item x="207"/>
        <item x="110"/>
        <item x="168"/>
        <item x="250"/>
        <item x="253"/>
        <item x="12"/>
        <item x="176"/>
        <item x="244"/>
        <item x="86"/>
        <item x="7"/>
        <item x="62"/>
        <item x="27"/>
        <item x="42"/>
        <item x="263"/>
        <item x="254"/>
        <item x="249"/>
        <item x="6"/>
        <item x="142"/>
        <item x="111"/>
        <item x="223"/>
        <item x="40"/>
        <item x="83"/>
        <item x="205"/>
        <item x="210"/>
        <item x="230"/>
        <item x="295"/>
        <item x="139"/>
        <item x="259"/>
        <item x="175"/>
        <item x="33"/>
        <item x="293"/>
        <item x="146"/>
        <item x="55"/>
        <item x="278"/>
        <item x="166"/>
        <item x="0"/>
        <item x="107"/>
        <item x="153"/>
        <item x="273"/>
        <item x="91"/>
        <item x="227"/>
        <item x="162"/>
        <item x="82"/>
        <item x="23"/>
        <item x="224"/>
        <item x="15"/>
        <item x="266"/>
        <item x="209"/>
        <item x="264"/>
        <item x="289"/>
        <item x="281"/>
        <item x="50"/>
        <item x="87"/>
        <item x="20"/>
        <item x="245"/>
        <item x="215"/>
        <item x="159"/>
        <item x="213"/>
        <item x="4"/>
        <item x="38"/>
        <item x="126"/>
        <item x="243"/>
        <item x="121"/>
        <item x="257"/>
        <item x="34"/>
        <item x="196"/>
        <item x="67"/>
        <item x="296"/>
        <item x="59"/>
        <item x="212"/>
        <item x="247"/>
        <item x="204"/>
        <item x="98"/>
        <item x="64"/>
        <item x="286"/>
        <item x="102"/>
        <item x="299"/>
        <item x="104"/>
        <item x="90"/>
        <item x="274"/>
        <item x="219"/>
        <item x="189"/>
        <item x="164"/>
        <item x="287"/>
        <item x="269"/>
        <item x="149"/>
        <item x="169"/>
        <item x="26"/>
        <item x="109"/>
        <item x="143"/>
        <item x="113"/>
        <item x="133"/>
        <item x="158"/>
        <item x="68"/>
        <item x="39"/>
        <item x="53"/>
        <item x="28"/>
        <item x="29"/>
        <item x="10"/>
        <item x="72"/>
        <item x="52"/>
        <item x="258"/>
        <item x="85"/>
        <item x="198"/>
        <item x="88"/>
        <item x="290"/>
        <item x="97"/>
        <item x="155"/>
        <item x="47"/>
        <item x="261"/>
        <item x="279"/>
        <item x="239"/>
        <item x="9"/>
        <item x="95"/>
        <item x="291"/>
        <item x="152"/>
        <item x="221"/>
        <item x="182"/>
        <item x="128"/>
        <item x="288"/>
        <item x="242"/>
        <item x="48"/>
        <item x="75"/>
        <item x="3"/>
        <item x="106"/>
        <item x="76"/>
        <item x="144"/>
        <item x="297"/>
        <item x="229"/>
        <item x="140"/>
        <item x="65"/>
        <item x="201"/>
        <item x="116"/>
        <item x="100"/>
        <item x="115"/>
        <item x="89"/>
        <item x="60"/>
        <item x="41"/>
        <item x="73"/>
        <item x="276"/>
        <item x="66"/>
        <item x="200"/>
        <item x="11"/>
        <item x="185"/>
        <item x="151"/>
        <item x="84"/>
        <item x="267"/>
        <item x="54"/>
        <item x="233"/>
        <item x="275"/>
        <item x="260"/>
        <item x="137"/>
        <item x="31"/>
        <item x="130"/>
        <item x="5"/>
        <item x="255"/>
        <item x="222"/>
        <item x="56"/>
        <item x="197"/>
        <item x="30"/>
        <item x="93"/>
        <item x="272"/>
        <item x="154"/>
        <item x="271"/>
        <item x="161"/>
        <item x="180"/>
        <item x="92"/>
        <item x="132"/>
        <item x="96"/>
        <item x="8"/>
        <item x="79"/>
        <item x="77"/>
        <item x="129"/>
        <item x="70"/>
        <item x="134"/>
        <item x="208"/>
        <item x="13"/>
        <item x="147"/>
        <item x="236"/>
        <item x="57"/>
        <item x="25"/>
        <item x="58"/>
        <item x="195"/>
        <item x="193"/>
        <item x="157"/>
        <item x="187"/>
        <item x="32"/>
        <item x="16"/>
        <item x="178"/>
        <item x="24"/>
        <item x="145"/>
        <item x="71"/>
        <item x="241"/>
        <item x="174"/>
        <item x="173"/>
        <item x="141"/>
        <item x="256"/>
        <item x="18"/>
        <item x="125"/>
        <item x="44"/>
        <item x="238"/>
        <item x="218"/>
        <item x="282"/>
        <item x="49"/>
        <item x="171"/>
        <item x="74"/>
        <item x="248"/>
        <item x="217"/>
        <item x="202"/>
        <item x="298"/>
        <item x="194"/>
        <item x="127"/>
        <item x="234"/>
        <item x="78"/>
        <item x="225"/>
        <item x="112"/>
        <item x="119"/>
        <item x="270"/>
        <item x="283"/>
        <item x="69"/>
        <item x="294"/>
        <item x="103"/>
        <item x="188"/>
        <item x="138"/>
        <item x="21"/>
        <item x="131"/>
        <item x="99"/>
        <item x="120"/>
        <item x="199"/>
        <item x="148"/>
        <item x="124"/>
        <item x="268"/>
        <item x="228"/>
        <item x="191"/>
        <item x="135"/>
        <item x="43"/>
        <item x="203"/>
        <item x="63"/>
        <item x="179"/>
        <item x="19"/>
        <item x="251"/>
        <item x="277"/>
        <item x="265"/>
        <item x="94"/>
        <item x="206"/>
        <item x="211"/>
        <item x="214"/>
        <item x="246"/>
        <item x="184"/>
        <item x="292"/>
        <item x="285"/>
        <item x="37"/>
        <item x="114"/>
        <item x="1"/>
        <item x="240"/>
        <item x="262"/>
        <item x="80"/>
        <item x="172"/>
        <item x="226"/>
        <item x="101"/>
        <item x="46"/>
        <item x="231"/>
        <item x="220"/>
        <item x="45"/>
        <item x="36"/>
        <item x="177"/>
        <item x="181"/>
        <item x="284"/>
        <item x="14"/>
        <item x="156"/>
        <item x="108"/>
        <item x="183"/>
        <item x="22"/>
        <item t="default"/>
      </items>
    </pivotField>
    <pivotField dataField="1" numFmtId="43" showAll="0"/>
    <pivotField numFmtId="43" showAll="0"/>
    <pivotField numFmtId="43" showAll="0">
      <items count="301">
        <item x="165"/>
        <item x="123"/>
        <item x="35"/>
        <item x="190"/>
        <item x="17"/>
        <item x="167"/>
        <item x="232"/>
        <item x="136"/>
        <item x="163"/>
        <item x="252"/>
        <item x="118"/>
        <item x="2"/>
        <item x="170"/>
        <item x="81"/>
        <item x="160"/>
        <item x="51"/>
        <item x="235"/>
        <item x="122"/>
        <item x="150"/>
        <item x="216"/>
        <item x="192"/>
        <item x="117"/>
        <item x="61"/>
        <item x="105"/>
        <item x="186"/>
        <item x="237"/>
        <item x="280"/>
        <item x="207"/>
        <item x="12"/>
        <item x="253"/>
        <item x="110"/>
        <item x="168"/>
        <item x="244"/>
        <item x="42"/>
        <item x="176"/>
        <item x="7"/>
        <item x="250"/>
        <item x="254"/>
        <item x="249"/>
        <item x="86"/>
        <item x="62"/>
        <item x="6"/>
        <item x="111"/>
        <item x="27"/>
        <item x="263"/>
        <item x="40"/>
        <item x="210"/>
        <item x="33"/>
        <item x="142"/>
        <item x="223"/>
        <item x="230"/>
        <item x="205"/>
        <item x="83"/>
        <item x="175"/>
        <item x="139"/>
        <item x="295"/>
        <item x="259"/>
        <item x="146"/>
        <item x="0"/>
        <item x="293"/>
        <item x="227"/>
        <item x="55"/>
        <item x="273"/>
        <item x="224"/>
        <item x="153"/>
        <item x="166"/>
        <item x="278"/>
        <item x="107"/>
        <item x="23"/>
        <item x="91"/>
        <item x="162"/>
        <item x="266"/>
        <item x="264"/>
        <item x="213"/>
        <item x="215"/>
        <item x="82"/>
        <item x="4"/>
        <item x="38"/>
        <item x="289"/>
        <item x="87"/>
        <item x="15"/>
        <item x="257"/>
        <item x="50"/>
        <item x="196"/>
        <item x="121"/>
        <item x="245"/>
        <item x="20"/>
        <item x="209"/>
        <item x="126"/>
        <item x="281"/>
        <item x="34"/>
        <item x="159"/>
        <item x="98"/>
        <item x="59"/>
        <item x="90"/>
        <item x="67"/>
        <item x="64"/>
        <item x="102"/>
        <item x="204"/>
        <item x="243"/>
        <item x="247"/>
        <item x="104"/>
        <item x="296"/>
        <item x="212"/>
        <item x="189"/>
        <item x="164"/>
        <item x="274"/>
        <item x="299"/>
        <item x="26"/>
        <item x="286"/>
        <item x="287"/>
        <item x="219"/>
        <item x="39"/>
        <item x="149"/>
        <item x="258"/>
        <item x="28"/>
        <item x="269"/>
        <item x="10"/>
        <item x="143"/>
        <item x="198"/>
        <item x="97"/>
        <item x="109"/>
        <item x="53"/>
        <item x="113"/>
        <item x="291"/>
        <item x="68"/>
        <item x="29"/>
        <item x="169"/>
        <item x="133"/>
        <item x="48"/>
        <item x="155"/>
        <item x="288"/>
        <item x="52"/>
        <item x="158"/>
        <item x="95"/>
        <item x="261"/>
        <item x="128"/>
        <item x="221"/>
        <item x="47"/>
        <item x="85"/>
        <item x="9"/>
        <item x="76"/>
        <item x="242"/>
        <item x="290"/>
        <item x="239"/>
        <item x="88"/>
        <item x="72"/>
        <item x="276"/>
        <item x="229"/>
        <item x="106"/>
        <item x="279"/>
        <item x="65"/>
        <item x="182"/>
        <item x="75"/>
        <item x="60"/>
        <item x="152"/>
        <item x="89"/>
        <item x="41"/>
        <item x="116"/>
        <item x="115"/>
        <item x="144"/>
        <item x="255"/>
        <item x="3"/>
        <item x="233"/>
        <item x="84"/>
        <item x="201"/>
        <item x="100"/>
        <item x="66"/>
        <item x="297"/>
        <item x="56"/>
        <item x="92"/>
        <item x="73"/>
        <item x="140"/>
        <item x="11"/>
        <item x="154"/>
        <item x="185"/>
        <item x="5"/>
        <item x="200"/>
        <item x="180"/>
        <item x="267"/>
        <item x="30"/>
        <item x="137"/>
        <item x="151"/>
        <item x="275"/>
        <item x="54"/>
        <item x="161"/>
        <item x="129"/>
        <item x="197"/>
        <item x="8"/>
        <item x="260"/>
        <item x="93"/>
        <item x="208"/>
        <item x="79"/>
        <item x="96"/>
        <item x="130"/>
        <item x="57"/>
        <item x="31"/>
        <item x="147"/>
        <item x="132"/>
        <item x="272"/>
        <item x="222"/>
        <item x="187"/>
        <item x="173"/>
        <item x="271"/>
        <item x="71"/>
        <item x="77"/>
        <item x="70"/>
        <item x="157"/>
        <item x="32"/>
        <item x="141"/>
        <item x="241"/>
        <item x="58"/>
        <item x="195"/>
        <item x="134"/>
        <item x="202"/>
        <item x="248"/>
        <item x="256"/>
        <item x="13"/>
        <item x="171"/>
        <item x="21"/>
        <item x="193"/>
        <item x="18"/>
        <item x="25"/>
        <item x="16"/>
        <item x="236"/>
        <item x="217"/>
        <item x="174"/>
        <item x="282"/>
        <item x="145"/>
        <item x="178"/>
        <item x="218"/>
        <item x="24"/>
        <item x="49"/>
        <item x="103"/>
        <item x="44"/>
        <item x="251"/>
        <item x="112"/>
        <item x="43"/>
        <item x="78"/>
        <item x="270"/>
        <item x="74"/>
        <item x="179"/>
        <item x="125"/>
        <item x="194"/>
        <item x="69"/>
        <item x="119"/>
        <item x="211"/>
        <item x="238"/>
        <item x="294"/>
        <item x="231"/>
        <item x="181"/>
        <item x="225"/>
        <item x="177"/>
        <item x="214"/>
        <item x="199"/>
        <item x="203"/>
        <item x="63"/>
        <item x="127"/>
        <item x="283"/>
        <item x="298"/>
        <item x="188"/>
        <item x="191"/>
        <item x="124"/>
        <item x="262"/>
        <item x="277"/>
        <item x="37"/>
        <item x="184"/>
        <item x="1"/>
        <item x="99"/>
        <item x="234"/>
        <item x="148"/>
        <item x="292"/>
        <item x="101"/>
        <item x="285"/>
        <item x="246"/>
        <item x="45"/>
        <item x="46"/>
        <item x="131"/>
        <item x="265"/>
        <item x="228"/>
        <item x="114"/>
        <item x="19"/>
        <item x="284"/>
        <item x="268"/>
        <item x="156"/>
        <item x="120"/>
        <item x="206"/>
        <item x="240"/>
        <item x="138"/>
        <item x="14"/>
        <item x="135"/>
        <item x="80"/>
        <item x="36"/>
        <item x="172"/>
        <item x="94"/>
        <item x="226"/>
        <item x="220"/>
        <item x="183"/>
        <item x="108"/>
        <item x="22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édia de Bónus" fld="7" subtotal="average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07DE5-D80D-458F-A8F4-7F40EEAFC60A}" name="Tabela Dinâmica6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38:D346" firstHeaderRow="1" firstDataRow="1" firstDataCol="1"/>
  <pivotFields count="11">
    <pivotField showAll="0"/>
    <pivotField showAll="0"/>
    <pivotField axis="axisRow" showAll="0">
      <items count="8">
        <item x="5"/>
        <item x="2"/>
        <item x="0"/>
        <item x="6"/>
        <item x="4"/>
        <item x="1"/>
        <item x="3"/>
        <item t="default"/>
      </items>
    </pivotField>
    <pivotField showAll="0"/>
    <pivotField showAll="0">
      <items count="11">
        <item x="0"/>
        <item x="3"/>
        <item x="7"/>
        <item x="4"/>
        <item x="1"/>
        <item x="6"/>
        <item x="8"/>
        <item x="2"/>
        <item x="9"/>
        <item x="5"/>
        <item t="default"/>
      </items>
    </pivotField>
    <pivotField numFmtId="164" showAll="0"/>
    <pivotField dataField="1" showAll="0">
      <items count="301">
        <item x="123"/>
        <item x="35"/>
        <item x="165"/>
        <item x="190"/>
        <item x="17"/>
        <item x="136"/>
        <item x="167"/>
        <item x="232"/>
        <item x="118"/>
        <item x="163"/>
        <item x="252"/>
        <item x="2"/>
        <item x="81"/>
        <item x="170"/>
        <item x="160"/>
        <item x="122"/>
        <item x="235"/>
        <item x="150"/>
        <item x="117"/>
        <item x="51"/>
        <item x="192"/>
        <item x="216"/>
        <item x="61"/>
        <item x="105"/>
        <item x="237"/>
        <item x="186"/>
        <item x="280"/>
        <item x="207"/>
        <item x="110"/>
        <item x="168"/>
        <item x="250"/>
        <item x="253"/>
        <item x="12"/>
        <item x="176"/>
        <item x="244"/>
        <item x="86"/>
        <item x="7"/>
        <item x="62"/>
        <item x="27"/>
        <item x="42"/>
        <item x="263"/>
        <item x="254"/>
        <item x="249"/>
        <item x="6"/>
        <item x="142"/>
        <item x="111"/>
        <item x="223"/>
        <item x="40"/>
        <item x="83"/>
        <item x="205"/>
        <item x="210"/>
        <item x="230"/>
        <item x="295"/>
        <item x="139"/>
        <item x="259"/>
        <item x="175"/>
        <item x="33"/>
        <item x="293"/>
        <item x="146"/>
        <item x="55"/>
        <item x="278"/>
        <item x="166"/>
        <item x="0"/>
        <item x="107"/>
        <item x="153"/>
        <item x="273"/>
        <item x="91"/>
        <item x="227"/>
        <item x="162"/>
        <item x="82"/>
        <item x="23"/>
        <item x="224"/>
        <item x="15"/>
        <item x="266"/>
        <item x="209"/>
        <item x="264"/>
        <item x="289"/>
        <item x="281"/>
        <item x="50"/>
        <item x="87"/>
        <item x="20"/>
        <item x="245"/>
        <item x="215"/>
        <item x="159"/>
        <item x="213"/>
        <item x="4"/>
        <item x="38"/>
        <item x="126"/>
        <item x="243"/>
        <item x="121"/>
        <item x="257"/>
        <item x="34"/>
        <item x="196"/>
        <item x="67"/>
        <item x="296"/>
        <item x="59"/>
        <item x="212"/>
        <item x="247"/>
        <item x="204"/>
        <item x="98"/>
        <item x="64"/>
        <item x="286"/>
        <item x="102"/>
        <item x="299"/>
        <item x="104"/>
        <item x="90"/>
        <item x="274"/>
        <item x="219"/>
        <item x="189"/>
        <item x="164"/>
        <item x="287"/>
        <item x="269"/>
        <item x="149"/>
        <item x="169"/>
        <item x="26"/>
        <item x="109"/>
        <item x="143"/>
        <item x="113"/>
        <item x="133"/>
        <item x="158"/>
        <item x="68"/>
        <item x="39"/>
        <item x="53"/>
        <item x="28"/>
        <item x="29"/>
        <item x="10"/>
        <item x="72"/>
        <item x="52"/>
        <item x="258"/>
        <item x="85"/>
        <item x="198"/>
        <item x="88"/>
        <item x="290"/>
        <item x="97"/>
        <item x="155"/>
        <item x="47"/>
        <item x="261"/>
        <item x="279"/>
        <item x="239"/>
        <item x="9"/>
        <item x="95"/>
        <item x="291"/>
        <item x="152"/>
        <item x="221"/>
        <item x="182"/>
        <item x="128"/>
        <item x="288"/>
        <item x="242"/>
        <item x="48"/>
        <item x="75"/>
        <item x="3"/>
        <item x="106"/>
        <item x="76"/>
        <item x="144"/>
        <item x="297"/>
        <item x="229"/>
        <item x="140"/>
        <item x="65"/>
        <item x="201"/>
        <item x="116"/>
        <item x="100"/>
        <item x="115"/>
        <item x="89"/>
        <item x="60"/>
        <item x="41"/>
        <item x="73"/>
        <item x="276"/>
        <item x="66"/>
        <item x="200"/>
        <item x="11"/>
        <item x="185"/>
        <item x="151"/>
        <item x="84"/>
        <item x="267"/>
        <item x="54"/>
        <item x="233"/>
        <item x="275"/>
        <item x="260"/>
        <item x="137"/>
        <item x="31"/>
        <item x="130"/>
        <item x="5"/>
        <item x="255"/>
        <item x="222"/>
        <item x="56"/>
        <item x="197"/>
        <item x="30"/>
        <item x="93"/>
        <item x="272"/>
        <item x="154"/>
        <item x="271"/>
        <item x="161"/>
        <item x="180"/>
        <item x="92"/>
        <item x="132"/>
        <item x="96"/>
        <item x="8"/>
        <item x="79"/>
        <item x="77"/>
        <item x="129"/>
        <item x="70"/>
        <item x="134"/>
        <item x="208"/>
        <item x="13"/>
        <item x="147"/>
        <item x="236"/>
        <item x="57"/>
        <item x="25"/>
        <item x="58"/>
        <item x="195"/>
        <item x="193"/>
        <item x="157"/>
        <item x="187"/>
        <item x="32"/>
        <item x="16"/>
        <item x="178"/>
        <item x="24"/>
        <item x="145"/>
        <item x="71"/>
        <item x="241"/>
        <item x="174"/>
        <item x="173"/>
        <item x="141"/>
        <item x="256"/>
        <item x="18"/>
        <item x="125"/>
        <item x="44"/>
        <item x="238"/>
        <item x="218"/>
        <item x="282"/>
        <item x="49"/>
        <item x="171"/>
        <item x="74"/>
        <item x="248"/>
        <item x="217"/>
        <item x="202"/>
        <item x="298"/>
        <item x="194"/>
        <item x="127"/>
        <item x="234"/>
        <item x="78"/>
        <item x="225"/>
        <item x="112"/>
        <item x="119"/>
        <item x="270"/>
        <item x="283"/>
        <item x="69"/>
        <item x="294"/>
        <item x="103"/>
        <item x="188"/>
        <item x="138"/>
        <item x="21"/>
        <item x="131"/>
        <item x="99"/>
        <item x="120"/>
        <item x="199"/>
        <item x="148"/>
        <item x="124"/>
        <item x="268"/>
        <item x="228"/>
        <item x="191"/>
        <item x="135"/>
        <item x="43"/>
        <item x="203"/>
        <item x="63"/>
        <item x="179"/>
        <item x="19"/>
        <item x="251"/>
        <item x="277"/>
        <item x="265"/>
        <item x="94"/>
        <item x="206"/>
        <item x="211"/>
        <item x="214"/>
        <item x="246"/>
        <item x="184"/>
        <item x="292"/>
        <item x="285"/>
        <item x="37"/>
        <item x="114"/>
        <item x="1"/>
        <item x="240"/>
        <item x="262"/>
        <item x="80"/>
        <item x="172"/>
        <item x="226"/>
        <item x="101"/>
        <item x="46"/>
        <item x="231"/>
        <item x="220"/>
        <item x="45"/>
        <item x="36"/>
        <item x="177"/>
        <item x="181"/>
        <item x="284"/>
        <item x="14"/>
        <item x="156"/>
        <item x="108"/>
        <item x="183"/>
        <item x="22"/>
        <item t="default"/>
      </items>
    </pivotField>
    <pivotField numFmtId="43" showAll="0"/>
    <pivotField numFmtId="43" showAll="0"/>
    <pivotField numFmtId="43" showAll="0">
      <items count="301">
        <item x="165"/>
        <item x="123"/>
        <item x="35"/>
        <item x="190"/>
        <item x="17"/>
        <item x="167"/>
        <item x="232"/>
        <item x="136"/>
        <item x="163"/>
        <item x="252"/>
        <item x="118"/>
        <item x="2"/>
        <item x="170"/>
        <item x="81"/>
        <item x="160"/>
        <item x="51"/>
        <item x="235"/>
        <item x="122"/>
        <item x="150"/>
        <item x="216"/>
        <item x="192"/>
        <item x="117"/>
        <item x="61"/>
        <item x="105"/>
        <item x="186"/>
        <item x="237"/>
        <item x="280"/>
        <item x="207"/>
        <item x="12"/>
        <item x="253"/>
        <item x="110"/>
        <item x="168"/>
        <item x="244"/>
        <item x="42"/>
        <item x="176"/>
        <item x="7"/>
        <item x="250"/>
        <item x="254"/>
        <item x="249"/>
        <item x="86"/>
        <item x="62"/>
        <item x="6"/>
        <item x="111"/>
        <item x="27"/>
        <item x="263"/>
        <item x="40"/>
        <item x="210"/>
        <item x="33"/>
        <item x="142"/>
        <item x="223"/>
        <item x="230"/>
        <item x="205"/>
        <item x="83"/>
        <item x="175"/>
        <item x="139"/>
        <item x="295"/>
        <item x="259"/>
        <item x="146"/>
        <item x="0"/>
        <item x="293"/>
        <item x="227"/>
        <item x="55"/>
        <item x="273"/>
        <item x="224"/>
        <item x="153"/>
        <item x="166"/>
        <item x="278"/>
        <item x="107"/>
        <item x="23"/>
        <item x="91"/>
        <item x="162"/>
        <item x="266"/>
        <item x="264"/>
        <item x="213"/>
        <item x="215"/>
        <item x="82"/>
        <item x="4"/>
        <item x="38"/>
        <item x="289"/>
        <item x="87"/>
        <item x="15"/>
        <item x="257"/>
        <item x="50"/>
        <item x="196"/>
        <item x="121"/>
        <item x="245"/>
        <item x="20"/>
        <item x="209"/>
        <item x="126"/>
        <item x="281"/>
        <item x="34"/>
        <item x="159"/>
        <item x="98"/>
        <item x="59"/>
        <item x="90"/>
        <item x="67"/>
        <item x="64"/>
        <item x="102"/>
        <item x="204"/>
        <item x="243"/>
        <item x="247"/>
        <item x="104"/>
        <item x="296"/>
        <item x="212"/>
        <item x="189"/>
        <item x="164"/>
        <item x="274"/>
        <item x="299"/>
        <item x="26"/>
        <item x="286"/>
        <item x="287"/>
        <item x="219"/>
        <item x="39"/>
        <item x="149"/>
        <item x="258"/>
        <item x="28"/>
        <item x="269"/>
        <item x="10"/>
        <item x="143"/>
        <item x="198"/>
        <item x="97"/>
        <item x="109"/>
        <item x="53"/>
        <item x="113"/>
        <item x="291"/>
        <item x="68"/>
        <item x="29"/>
        <item x="169"/>
        <item x="133"/>
        <item x="48"/>
        <item x="155"/>
        <item x="288"/>
        <item x="52"/>
        <item x="158"/>
        <item x="95"/>
        <item x="261"/>
        <item x="128"/>
        <item x="221"/>
        <item x="47"/>
        <item x="85"/>
        <item x="9"/>
        <item x="76"/>
        <item x="242"/>
        <item x="290"/>
        <item x="239"/>
        <item x="88"/>
        <item x="72"/>
        <item x="276"/>
        <item x="229"/>
        <item x="106"/>
        <item x="279"/>
        <item x="65"/>
        <item x="182"/>
        <item x="75"/>
        <item x="60"/>
        <item x="152"/>
        <item x="89"/>
        <item x="41"/>
        <item x="116"/>
        <item x="115"/>
        <item x="144"/>
        <item x="255"/>
        <item x="3"/>
        <item x="233"/>
        <item x="84"/>
        <item x="201"/>
        <item x="100"/>
        <item x="66"/>
        <item x="297"/>
        <item x="56"/>
        <item x="92"/>
        <item x="73"/>
        <item x="140"/>
        <item x="11"/>
        <item x="154"/>
        <item x="185"/>
        <item x="5"/>
        <item x="200"/>
        <item x="180"/>
        <item x="267"/>
        <item x="30"/>
        <item x="137"/>
        <item x="151"/>
        <item x="275"/>
        <item x="54"/>
        <item x="161"/>
        <item x="129"/>
        <item x="197"/>
        <item x="8"/>
        <item x="260"/>
        <item x="93"/>
        <item x="208"/>
        <item x="79"/>
        <item x="96"/>
        <item x="130"/>
        <item x="57"/>
        <item x="31"/>
        <item x="147"/>
        <item x="132"/>
        <item x="272"/>
        <item x="222"/>
        <item x="187"/>
        <item x="173"/>
        <item x="271"/>
        <item x="71"/>
        <item x="77"/>
        <item x="70"/>
        <item x="157"/>
        <item x="32"/>
        <item x="141"/>
        <item x="241"/>
        <item x="58"/>
        <item x="195"/>
        <item x="134"/>
        <item x="202"/>
        <item x="248"/>
        <item x="256"/>
        <item x="13"/>
        <item x="171"/>
        <item x="21"/>
        <item x="193"/>
        <item x="18"/>
        <item x="25"/>
        <item x="16"/>
        <item x="236"/>
        <item x="217"/>
        <item x="174"/>
        <item x="282"/>
        <item x="145"/>
        <item x="178"/>
        <item x="218"/>
        <item x="24"/>
        <item x="49"/>
        <item x="103"/>
        <item x="44"/>
        <item x="251"/>
        <item x="112"/>
        <item x="43"/>
        <item x="78"/>
        <item x="270"/>
        <item x="74"/>
        <item x="179"/>
        <item x="125"/>
        <item x="194"/>
        <item x="69"/>
        <item x="119"/>
        <item x="211"/>
        <item x="238"/>
        <item x="294"/>
        <item x="231"/>
        <item x="181"/>
        <item x="225"/>
        <item x="177"/>
        <item x="214"/>
        <item x="199"/>
        <item x="203"/>
        <item x="63"/>
        <item x="127"/>
        <item x="283"/>
        <item x="298"/>
        <item x="188"/>
        <item x="191"/>
        <item x="124"/>
        <item x="262"/>
        <item x="277"/>
        <item x="37"/>
        <item x="184"/>
        <item x="1"/>
        <item x="99"/>
        <item x="234"/>
        <item x="148"/>
        <item x="292"/>
        <item x="101"/>
        <item x="285"/>
        <item x="246"/>
        <item x="45"/>
        <item x="46"/>
        <item x="131"/>
        <item x="265"/>
        <item x="228"/>
        <item x="114"/>
        <item x="19"/>
        <item x="284"/>
        <item x="268"/>
        <item x="156"/>
        <item x="120"/>
        <item x="206"/>
        <item x="240"/>
        <item x="138"/>
        <item x="14"/>
        <item x="135"/>
        <item x="80"/>
        <item x="36"/>
        <item x="172"/>
        <item x="94"/>
        <item x="226"/>
        <item x="220"/>
        <item x="183"/>
        <item x="108"/>
        <item x="22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édia de Salário Base" fld="6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99FF0-CC33-490E-A8B1-291E3C6617D6}" name="Tabela Dinâmica4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21:D332" firstHeaderRow="1" firstDataRow="1" firstDataCol="1"/>
  <pivotFields count="11">
    <pivotField showAll="0"/>
    <pivotField showAll="0"/>
    <pivotField showAll="0">
      <items count="8">
        <item x="5"/>
        <item x="2"/>
        <item x="0"/>
        <item x="6"/>
        <item x="4"/>
        <item x="1"/>
        <item x="3"/>
        <item t="default"/>
      </items>
    </pivotField>
    <pivotField showAll="0"/>
    <pivotField axis="axisRow" showAll="0">
      <items count="11">
        <item x="0"/>
        <item x="3"/>
        <item x="7"/>
        <item x="4"/>
        <item x="1"/>
        <item x="6"/>
        <item x="8"/>
        <item x="2"/>
        <item x="9"/>
        <item x="5"/>
        <item t="default"/>
      </items>
    </pivotField>
    <pivotField numFmtId="164" showAll="0"/>
    <pivotField showAll="0"/>
    <pivotField numFmtId="43" showAll="0"/>
    <pivotField numFmtId="43" showAll="0"/>
    <pivotField dataField="1" numFmtId="43"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Salário Líquido" fld="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B460F-B69E-4850-9CC1-79FC4FA6053A}" name="Tabela Dinâmica3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310:D318" firstHeaderRow="1" firstDataRow="1" firstDataCol="1"/>
  <pivotFields count="11">
    <pivotField showAll="0"/>
    <pivotField showAll="0"/>
    <pivotField axis="axisRow" showAll="0">
      <items count="8">
        <item x="5"/>
        <item x="2"/>
        <item x="0"/>
        <item x="6"/>
        <item x="4"/>
        <item x="1"/>
        <item x="3"/>
        <item t="default"/>
      </items>
    </pivotField>
    <pivotField showAll="0"/>
    <pivotField showAll="0"/>
    <pivotField numFmtId="164" showAll="0"/>
    <pivotField showAll="0"/>
    <pivotField numFmtId="43" showAll="0"/>
    <pivotField numFmtId="43" showAll="0"/>
    <pivotField dataField="1" numFmtId="43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Salário Líquido" fld="9" baseField="0" baseItem="0" numFmtId="43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BF82F-69BE-4611-9D94-701A5F87B5D9}" name="Tabela1" displayName="Tabela1" ref="A1:N301" totalsRowShown="0" headerRowDxfId="3">
  <autoFilter ref="A1:N301" xr:uid="{9CCBF82F-69BE-4611-9D94-701A5F87B5D9}"/>
  <tableColumns count="14">
    <tableColumn id="1" xr3:uid="{FE1CE73F-A804-450F-9092-4A46CEF422E5}" name="Código"/>
    <tableColumn id="2" xr3:uid="{DCDC0D9F-2F3C-4A10-A1C3-E2A2D583B348}" name="Nome"/>
    <tableColumn id="3" xr3:uid="{74C82D41-1BC0-4862-BB52-CE4900A14AFC}" name="Departamento"/>
    <tableColumn id="4" xr3:uid="{F547ACBB-2F8D-4648-B8A5-7D715D2006AA}" name="Cargo"/>
    <tableColumn id="5" xr3:uid="{F415232A-46B4-461A-88AC-0C4E4B244693}" name="Província"/>
    <tableColumn id="6" xr3:uid="{FAA6F53B-012D-4187-8BBD-E1D94EEAE44B}" name="Data Pagamento" dataDxfId="4"/>
    <tableColumn id="7" xr3:uid="{D5205FCC-6EA1-41D3-AED7-6F31B4100E48}" name="Salário Base"/>
    <tableColumn id="8" xr3:uid="{30FC4AE9-4F34-40A6-B29F-1ABF400026DF}" name="Bónus" dataCellStyle="Vírgula"/>
    <tableColumn id="14" xr3:uid="{844C2765-BF01-4625-87CE-B46C2C3A8B03}" name="Coluna3" dataDxfId="2" dataCellStyle="Vírgula">
      <calculatedColumnFormula>IF(Tabela1[[#This Row],[Bónus]]&gt;=50000,"correcto","por verificar")</calculatedColumnFormula>
    </tableColumn>
    <tableColumn id="9" xr3:uid="{3819B72E-1C7C-40A3-8940-46F9F43AC9D7}" name="Desconto" dataCellStyle="Vírgula"/>
    <tableColumn id="13" xr3:uid="{9F3F1DF6-A8C2-4301-BC95-26030FC0ACF9}" name="Coluna2" dataDxfId="1" dataCellStyle="Vírgula">
      <calculatedColumnFormula>IF(Tabela1[[#This Row],[Desconto]]&lt;=30000,"Por verificar","correcto")</calculatedColumnFormula>
    </tableColumn>
    <tableColumn id="10" xr3:uid="{F2E1E900-4D0B-4F00-8B67-ABD9A5CF8A63}" name="Salário Líquido" dataCellStyle="Vírgula"/>
    <tableColumn id="12" xr3:uid="{938CA5B8-D4DC-4DEE-BB78-4D1D7C1687E4}" name="Coluna1" dataDxfId="0" dataCellStyle="Vírgula">
      <calculatedColumnFormula>IF(Tabela1[[#This Row],[Salário Líquido]]&gt;=500000,"correcto","por verificar")</calculatedColumnFormula>
    </tableColumn>
    <tableColumn id="11" xr3:uid="{AD7ED258-F9C3-4EAC-AAB5-A771DB2CC3E6}" name="Forma Paga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showGridLines="0" tabSelected="1" topLeftCell="A78" workbookViewId="0">
      <selection activeCell="B8" sqref="B8:B37"/>
    </sheetView>
  </sheetViews>
  <sheetFormatPr defaultRowHeight="14.5" x14ac:dyDescent="0.35"/>
  <cols>
    <col min="1" max="1" width="4" customWidth="1"/>
    <col min="2" max="2" width="60" customWidth="1"/>
  </cols>
  <sheetData>
    <row r="1" spans="1:7" ht="23.25" customHeight="1" x14ac:dyDescent="0.35">
      <c r="A1" s="17" t="s">
        <v>4257</v>
      </c>
      <c r="B1" s="17"/>
      <c r="C1" s="17"/>
      <c r="D1" s="17"/>
      <c r="E1" s="17"/>
      <c r="F1" s="17"/>
      <c r="G1" s="17"/>
    </row>
    <row r="2" spans="1:7" ht="9.75" customHeight="1" x14ac:dyDescent="0.5">
      <c r="A2" s="6"/>
      <c r="B2" s="14"/>
      <c r="C2" s="15"/>
      <c r="D2" s="15"/>
      <c r="E2" s="15"/>
      <c r="F2" s="15"/>
      <c r="G2" s="15"/>
    </row>
    <row r="3" spans="1:7" ht="21" x14ac:dyDescent="0.5">
      <c r="A3" s="6"/>
      <c r="B3" s="3"/>
    </row>
    <row r="4" spans="1:7" x14ac:dyDescent="0.35">
      <c r="A4" s="5"/>
      <c r="B4" t="s">
        <v>4258</v>
      </c>
    </row>
    <row r="5" spans="1:7" x14ac:dyDescent="0.35">
      <c r="A5" s="5"/>
    </row>
    <row r="6" spans="1:7" ht="31.5" thickBot="1" x14ac:dyDescent="0.4">
      <c r="A6" s="5"/>
      <c r="B6" s="13" t="s">
        <v>4259</v>
      </c>
    </row>
    <row r="7" spans="1:7" ht="15" thickTop="1" x14ac:dyDescent="0.35">
      <c r="A7" s="5"/>
    </row>
    <row r="8" spans="1:7" ht="23.5" x14ac:dyDescent="0.35">
      <c r="A8" s="5"/>
      <c r="B8" s="8" t="s">
        <v>4269</v>
      </c>
    </row>
    <row r="9" spans="1:7" x14ac:dyDescent="0.35">
      <c r="A9" s="5"/>
      <c r="B9" s="9" t="s">
        <v>4260</v>
      </c>
    </row>
    <row r="10" spans="1:7" x14ac:dyDescent="0.35">
      <c r="A10" s="5"/>
      <c r="B10" s="9" t="s">
        <v>4261</v>
      </c>
    </row>
    <row r="11" spans="1:7" x14ac:dyDescent="0.35">
      <c r="A11" s="5"/>
      <c r="B11" s="9" t="s">
        <v>4262</v>
      </c>
    </row>
    <row r="12" spans="1:7" x14ac:dyDescent="0.35">
      <c r="A12" s="5"/>
      <c r="B12" s="9" t="s">
        <v>4263</v>
      </c>
    </row>
    <row r="13" spans="1:7" x14ac:dyDescent="0.35">
      <c r="A13" s="5"/>
      <c r="B13" s="9" t="s">
        <v>4264</v>
      </c>
    </row>
    <row r="14" spans="1:7" x14ac:dyDescent="0.35">
      <c r="A14" s="5"/>
    </row>
    <row r="15" spans="1:7" ht="23.5" x14ac:dyDescent="0.35">
      <c r="A15" s="5"/>
      <c r="B15" s="8" t="s">
        <v>4270</v>
      </c>
    </row>
    <row r="16" spans="1:7" x14ac:dyDescent="0.35">
      <c r="A16" s="5"/>
      <c r="B16" t="s">
        <v>4265</v>
      </c>
    </row>
    <row r="17" spans="1:2" x14ac:dyDescent="0.35">
      <c r="A17" s="5"/>
      <c r="B17" t="s">
        <v>4266</v>
      </c>
    </row>
    <row r="18" spans="1:2" x14ac:dyDescent="0.35">
      <c r="A18" s="5"/>
      <c r="B18" t="s">
        <v>4267</v>
      </c>
    </row>
    <row r="19" spans="1:2" x14ac:dyDescent="0.35">
      <c r="A19" s="5"/>
      <c r="B19" t="s">
        <v>4268</v>
      </c>
    </row>
    <row r="20" spans="1:2" x14ac:dyDescent="0.35">
      <c r="A20" s="5"/>
    </row>
    <row r="21" spans="1:2" ht="23.5" x14ac:dyDescent="0.35">
      <c r="A21" s="5"/>
      <c r="B21" s="8" t="s">
        <v>4271</v>
      </c>
    </row>
    <row r="22" spans="1:2" x14ac:dyDescent="0.35">
      <c r="A22" s="5"/>
      <c r="B22" s="11" t="s">
        <v>4272</v>
      </c>
    </row>
    <row r="23" spans="1:2" x14ac:dyDescent="0.35">
      <c r="A23" s="5"/>
      <c r="B23" t="s">
        <v>4273</v>
      </c>
    </row>
    <row r="24" spans="1:2" x14ac:dyDescent="0.35">
      <c r="A24" s="5"/>
      <c r="B24" t="s">
        <v>4274</v>
      </c>
    </row>
    <row r="25" spans="1:2" x14ac:dyDescent="0.35">
      <c r="A25" s="5"/>
    </row>
    <row r="26" spans="1:2" ht="23.5" x14ac:dyDescent="0.55000000000000004">
      <c r="A26" s="5"/>
      <c r="B26" s="12" t="s">
        <v>4275</v>
      </c>
    </row>
    <row r="27" spans="1:2" ht="17.5" x14ac:dyDescent="0.35">
      <c r="A27" s="5"/>
      <c r="B27" s="10" t="s">
        <v>4276</v>
      </c>
    </row>
    <row r="28" spans="1:2" x14ac:dyDescent="0.35">
      <c r="A28" s="5"/>
      <c r="B28" s="9" t="s">
        <v>4277</v>
      </c>
    </row>
    <row r="29" spans="1:2" x14ac:dyDescent="0.35">
      <c r="A29" s="5"/>
      <c r="B29" s="9" t="s">
        <v>4278</v>
      </c>
    </row>
    <row r="30" spans="1:2" x14ac:dyDescent="0.35">
      <c r="A30" s="5"/>
      <c r="B30" s="9" t="s">
        <v>4279</v>
      </c>
    </row>
    <row r="31" spans="1:2" x14ac:dyDescent="0.35">
      <c r="A31" s="5"/>
      <c r="B31" s="9" t="s">
        <v>4280</v>
      </c>
    </row>
    <row r="32" spans="1:2" x14ac:dyDescent="0.35">
      <c r="A32" s="5"/>
      <c r="B32" s="9" t="s">
        <v>4281</v>
      </c>
    </row>
    <row r="33" spans="1:2" x14ac:dyDescent="0.35">
      <c r="A33" s="5"/>
    </row>
    <row r="34" spans="1:2" ht="17.5" x14ac:dyDescent="0.35">
      <c r="A34" s="5"/>
      <c r="B34" s="10" t="s">
        <v>4282</v>
      </c>
    </row>
    <row r="35" spans="1:2" x14ac:dyDescent="0.35">
      <c r="A35" s="5"/>
      <c r="B35" s="9" t="s">
        <v>4283</v>
      </c>
    </row>
    <row r="36" spans="1:2" x14ac:dyDescent="0.35">
      <c r="A36" s="5"/>
      <c r="B36" s="9" t="s">
        <v>4284</v>
      </c>
    </row>
    <row r="37" spans="1:2" x14ac:dyDescent="0.35">
      <c r="A37" s="5"/>
      <c r="B37" s="9" t="s">
        <v>4285</v>
      </c>
    </row>
    <row r="38" spans="1:2" x14ac:dyDescent="0.35">
      <c r="A38" s="5"/>
    </row>
    <row r="39" spans="1:2" ht="31.5" thickBot="1" x14ac:dyDescent="0.4">
      <c r="A39" s="5"/>
      <c r="B39" s="13" t="s">
        <v>4286</v>
      </c>
    </row>
    <row r="40" spans="1:2" ht="15" thickTop="1" x14ac:dyDescent="0.35">
      <c r="A40" s="5"/>
    </row>
    <row r="41" spans="1:2" ht="23.5" x14ac:dyDescent="0.35">
      <c r="A41" s="5"/>
      <c r="B41" s="8" t="s">
        <v>4292</v>
      </c>
    </row>
    <row r="42" spans="1:2" x14ac:dyDescent="0.35">
      <c r="A42" s="5"/>
      <c r="B42" s="9" t="s">
        <v>4287</v>
      </c>
    </row>
    <row r="43" spans="1:2" x14ac:dyDescent="0.35">
      <c r="A43" s="5"/>
      <c r="B43" s="9" t="s">
        <v>4288</v>
      </c>
    </row>
    <row r="44" spans="1:2" x14ac:dyDescent="0.35">
      <c r="A44" s="5"/>
      <c r="B44" s="9" t="s">
        <v>4289</v>
      </c>
    </row>
    <row r="45" spans="1:2" ht="23.5" x14ac:dyDescent="0.35">
      <c r="A45" s="5"/>
      <c r="B45" s="8" t="s">
        <v>4293</v>
      </c>
    </row>
    <row r="46" spans="1:2" x14ac:dyDescent="0.35">
      <c r="A46" s="5"/>
      <c r="B46" s="9" t="s">
        <v>4290</v>
      </c>
    </row>
    <row r="47" spans="1:2" x14ac:dyDescent="0.35">
      <c r="A47" s="5"/>
      <c r="B47" s="9" t="s">
        <v>4291</v>
      </c>
    </row>
    <row r="48" spans="1:2" ht="23.5" x14ac:dyDescent="0.35">
      <c r="A48" s="5"/>
      <c r="B48" s="8" t="s">
        <v>4294</v>
      </c>
    </row>
    <row r="49" spans="1:2" x14ac:dyDescent="0.35">
      <c r="A49" s="5"/>
      <c r="B49" s="11" t="s">
        <v>4295</v>
      </c>
    </row>
    <row r="50" spans="1:2" x14ac:dyDescent="0.35">
      <c r="A50" s="5"/>
      <c r="B50" t="s">
        <v>4296</v>
      </c>
    </row>
    <row r="51" spans="1:2" x14ac:dyDescent="0.35">
      <c r="A51" s="5"/>
    </row>
    <row r="52" spans="1:2" ht="23.5" x14ac:dyDescent="0.35">
      <c r="A52" s="5"/>
      <c r="B52" s="8" t="s">
        <v>4297</v>
      </c>
    </row>
    <row r="53" spans="1:2" ht="17.5" x14ac:dyDescent="0.35">
      <c r="A53" s="5"/>
      <c r="B53" s="10" t="s">
        <v>4276</v>
      </c>
    </row>
    <row r="54" spans="1:2" x14ac:dyDescent="0.35">
      <c r="A54" s="5"/>
      <c r="B54" s="9" t="s">
        <v>4298</v>
      </c>
    </row>
    <row r="55" spans="1:2" x14ac:dyDescent="0.35">
      <c r="A55" s="5"/>
      <c r="B55" s="9" t="s">
        <v>4299</v>
      </c>
    </row>
    <row r="56" spans="1:2" x14ac:dyDescent="0.35">
      <c r="A56" s="5"/>
      <c r="B56" s="9" t="s">
        <v>4300</v>
      </c>
    </row>
    <row r="57" spans="1:2" x14ac:dyDescent="0.35">
      <c r="A57" s="5"/>
      <c r="B57" s="9" t="s">
        <v>4301</v>
      </c>
    </row>
    <row r="58" spans="1:2" x14ac:dyDescent="0.35">
      <c r="A58" s="5"/>
    </row>
    <row r="59" spans="1:2" ht="31.5" thickBot="1" x14ac:dyDescent="0.4">
      <c r="A59" s="5"/>
      <c r="B59" s="16" t="s">
        <v>4302</v>
      </c>
    </row>
    <row r="60" spans="1:2" ht="15" thickTop="1" x14ac:dyDescent="0.35">
      <c r="A60" s="5"/>
    </row>
    <row r="61" spans="1:2" ht="23.5" x14ac:dyDescent="0.35">
      <c r="A61" s="5"/>
      <c r="B61" s="8" t="s">
        <v>4292</v>
      </c>
    </row>
    <row r="62" spans="1:2" x14ac:dyDescent="0.35">
      <c r="A62" s="5"/>
      <c r="B62" s="9" t="s">
        <v>4303</v>
      </c>
    </row>
    <row r="63" spans="1:2" x14ac:dyDescent="0.35">
      <c r="A63" s="5"/>
      <c r="B63" s="9" t="s">
        <v>4304</v>
      </c>
    </row>
    <row r="64" spans="1:2" x14ac:dyDescent="0.35">
      <c r="A64" s="5"/>
      <c r="B64" s="9" t="s">
        <v>4305</v>
      </c>
    </row>
    <row r="65" spans="1:2" ht="23.5" x14ac:dyDescent="0.35">
      <c r="A65" s="5"/>
      <c r="B65" s="8" t="s">
        <v>4293</v>
      </c>
    </row>
    <row r="66" spans="1:2" x14ac:dyDescent="0.35">
      <c r="A66" s="5"/>
      <c r="B66" s="9" t="s">
        <v>4306</v>
      </c>
    </row>
    <row r="67" spans="1:2" x14ac:dyDescent="0.35">
      <c r="A67" s="5"/>
      <c r="B67" s="9" t="s">
        <v>4307</v>
      </c>
    </row>
    <row r="68" spans="1:2" ht="23.5" x14ac:dyDescent="0.35">
      <c r="A68" s="5"/>
      <c r="B68" s="8" t="s">
        <v>4294</v>
      </c>
    </row>
    <row r="69" spans="1:2" x14ac:dyDescent="0.35">
      <c r="A69" s="5"/>
      <c r="B69" s="11" t="s">
        <v>4308</v>
      </c>
    </row>
    <row r="70" spans="1:2" x14ac:dyDescent="0.35">
      <c r="A70" s="5"/>
      <c r="B70" t="s">
        <v>4309</v>
      </c>
    </row>
    <row r="71" spans="1:2" x14ac:dyDescent="0.35">
      <c r="A71" s="5"/>
    </row>
    <row r="72" spans="1:2" ht="23.5" x14ac:dyDescent="0.35">
      <c r="A72" s="5"/>
      <c r="B72" s="8" t="s">
        <v>4297</v>
      </c>
    </row>
    <row r="73" spans="1:2" ht="17.5" x14ac:dyDescent="0.35">
      <c r="A73" s="5"/>
      <c r="B73" s="10" t="s">
        <v>4276</v>
      </c>
    </row>
    <row r="74" spans="1:2" x14ac:dyDescent="0.35">
      <c r="A74" s="5"/>
      <c r="B74" s="9" t="s">
        <v>4310</v>
      </c>
    </row>
    <row r="75" spans="1:2" x14ac:dyDescent="0.35">
      <c r="A75" s="5"/>
      <c r="B75" s="9" t="s">
        <v>4311</v>
      </c>
    </row>
    <row r="76" spans="1:2" x14ac:dyDescent="0.35">
      <c r="A76" s="5"/>
      <c r="B76" s="9" t="s">
        <v>4312</v>
      </c>
    </row>
    <row r="77" spans="1:2" x14ac:dyDescent="0.35">
      <c r="A77" s="5"/>
      <c r="B77" s="9" t="s">
        <v>4313</v>
      </c>
    </row>
    <row r="78" spans="1:2" x14ac:dyDescent="0.35">
      <c r="A78" s="5"/>
    </row>
    <row r="79" spans="1:2" ht="31" x14ac:dyDescent="0.35">
      <c r="A79" s="5"/>
      <c r="B79" s="7" t="s">
        <v>4314</v>
      </c>
    </row>
    <row r="80" spans="1:2" x14ac:dyDescent="0.35">
      <c r="A80" s="5"/>
    </row>
    <row r="81" spans="1:2" ht="23.5" x14ac:dyDescent="0.35">
      <c r="A81" s="5"/>
      <c r="B81" s="8" t="s">
        <v>4292</v>
      </c>
    </row>
    <row r="82" spans="1:2" x14ac:dyDescent="0.35">
      <c r="A82" s="5"/>
      <c r="B82" s="9" t="s">
        <v>4315</v>
      </c>
    </row>
    <row r="83" spans="1:2" x14ac:dyDescent="0.35">
      <c r="A83" s="5"/>
      <c r="B83" s="9" t="s">
        <v>4316</v>
      </c>
    </row>
    <row r="84" spans="1:2" ht="23.5" x14ac:dyDescent="0.35">
      <c r="A84" s="5"/>
      <c r="B84" s="8" t="s">
        <v>4293</v>
      </c>
    </row>
    <row r="85" spans="1:2" x14ac:dyDescent="0.35">
      <c r="A85" s="5"/>
      <c r="B85" s="9" t="s">
        <v>4317</v>
      </c>
    </row>
    <row r="86" spans="1:2" x14ac:dyDescent="0.35">
      <c r="A86" s="5"/>
      <c r="B86" s="9" t="s">
        <v>4318</v>
      </c>
    </row>
    <row r="87" spans="1:2" ht="23.5" x14ac:dyDescent="0.35">
      <c r="A87" s="5"/>
      <c r="B87" s="8" t="s">
        <v>4294</v>
      </c>
    </row>
    <row r="88" spans="1:2" x14ac:dyDescent="0.35">
      <c r="A88" s="5"/>
      <c r="B88" s="11" t="s">
        <v>4319</v>
      </c>
    </row>
    <row r="89" spans="1:2" x14ac:dyDescent="0.35">
      <c r="A89" s="5"/>
      <c r="B89" t="s">
        <v>4320</v>
      </c>
    </row>
    <row r="90" spans="1:2" x14ac:dyDescent="0.35">
      <c r="A90" s="5"/>
    </row>
    <row r="91" spans="1:2" ht="23.5" x14ac:dyDescent="0.35">
      <c r="A91" s="5"/>
      <c r="B91" s="8" t="s">
        <v>4297</v>
      </c>
    </row>
    <row r="92" spans="1:2" ht="17.5" x14ac:dyDescent="0.35">
      <c r="A92" s="5"/>
      <c r="B92" s="10" t="s">
        <v>4276</v>
      </c>
    </row>
    <row r="93" spans="1:2" x14ac:dyDescent="0.35">
      <c r="A93" s="5"/>
      <c r="B93" s="9" t="s">
        <v>4321</v>
      </c>
    </row>
    <row r="94" spans="1:2" x14ac:dyDescent="0.35">
      <c r="A94" s="5"/>
      <c r="B94" s="9" t="s">
        <v>4322</v>
      </c>
    </row>
    <row r="95" spans="1:2" x14ac:dyDescent="0.35">
      <c r="A95" s="5"/>
      <c r="B95" s="9" t="s">
        <v>4323</v>
      </c>
    </row>
    <row r="96" spans="1:2" x14ac:dyDescent="0.35">
      <c r="A96" s="5"/>
      <c r="B96" s="9" t="s">
        <v>4324</v>
      </c>
    </row>
    <row r="97" spans="1:2" x14ac:dyDescent="0.35">
      <c r="A97" s="5"/>
    </row>
    <row r="98" spans="1:2" ht="31" x14ac:dyDescent="0.35">
      <c r="A98" s="5"/>
      <c r="B98" s="7" t="s">
        <v>4325</v>
      </c>
    </row>
    <row r="99" spans="1:2" x14ac:dyDescent="0.35">
      <c r="A99" s="5"/>
    </row>
    <row r="100" spans="1:2" ht="23.5" x14ac:dyDescent="0.35">
      <c r="A100" s="5"/>
      <c r="B100" s="8" t="s">
        <v>4292</v>
      </c>
    </row>
    <row r="101" spans="1:2" x14ac:dyDescent="0.35">
      <c r="A101" s="5"/>
      <c r="B101" s="9" t="s">
        <v>4326</v>
      </c>
    </row>
    <row r="102" spans="1:2" x14ac:dyDescent="0.35">
      <c r="A102" s="5"/>
      <c r="B102" s="9" t="s">
        <v>4327</v>
      </c>
    </row>
    <row r="103" spans="1:2" x14ac:dyDescent="0.35">
      <c r="A103" s="5"/>
      <c r="B103" s="9" t="s">
        <v>4328</v>
      </c>
    </row>
    <row r="104" spans="1:2" ht="23.5" x14ac:dyDescent="0.35">
      <c r="A104" s="5"/>
      <c r="B104" s="8" t="s">
        <v>4293</v>
      </c>
    </row>
    <row r="105" spans="1:2" x14ac:dyDescent="0.35">
      <c r="A105" s="5"/>
      <c r="B105" s="9" t="s">
        <v>4329</v>
      </c>
    </row>
    <row r="106" spans="1:2" ht="23.5" x14ac:dyDescent="0.35">
      <c r="A106" s="5"/>
      <c r="B106" s="8" t="s">
        <v>4330</v>
      </c>
    </row>
    <row r="107" spans="1:2" x14ac:dyDescent="0.35">
      <c r="A107" s="5"/>
      <c r="B107" s="11" t="s">
        <v>4331</v>
      </c>
    </row>
    <row r="108" spans="1:2" x14ac:dyDescent="0.35">
      <c r="A108" s="5"/>
    </row>
    <row r="109" spans="1:2" ht="23.5" x14ac:dyDescent="0.35">
      <c r="A109" s="5"/>
      <c r="B109" s="8" t="s">
        <v>4297</v>
      </c>
    </row>
    <row r="110" spans="1:2" ht="17.5" x14ac:dyDescent="0.35">
      <c r="A110" s="5"/>
      <c r="B110" s="10" t="s">
        <v>4276</v>
      </c>
    </row>
    <row r="111" spans="1:2" x14ac:dyDescent="0.35">
      <c r="A111" s="5"/>
      <c r="B111" s="9" t="s">
        <v>4332</v>
      </c>
    </row>
    <row r="112" spans="1:2" x14ac:dyDescent="0.35">
      <c r="A112" s="5"/>
      <c r="B112" s="9" t="s">
        <v>4333</v>
      </c>
    </row>
    <row r="113" spans="1:2" x14ac:dyDescent="0.35">
      <c r="A113" s="5"/>
      <c r="B113" s="9" t="s">
        <v>4334</v>
      </c>
    </row>
    <row r="114" spans="1:2" x14ac:dyDescent="0.35">
      <c r="A114" s="5"/>
    </row>
    <row r="115" spans="1:2" x14ac:dyDescent="0.35">
      <c r="A115" s="5"/>
    </row>
  </sheetData>
  <mergeCells count="1">
    <mergeCell ref="A1:G1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2:B25"/>
  <sheetViews>
    <sheetView topLeftCell="L1" workbookViewId="0">
      <selection activeCell="V21" sqref="V21"/>
    </sheetView>
  </sheetViews>
  <sheetFormatPr defaultRowHeight="14.5" x14ac:dyDescent="0.35"/>
  <sheetData>
    <row r="22" spans="2:2" ht="17.5" x14ac:dyDescent="0.35">
      <c r="B22" s="10" t="s">
        <v>4282</v>
      </c>
    </row>
    <row r="23" spans="2:2" x14ac:dyDescent="0.35">
      <c r="B23" s="9" t="s">
        <v>4283</v>
      </c>
    </row>
    <row r="24" spans="2:2" x14ac:dyDescent="0.35">
      <c r="B24" s="9" t="s">
        <v>4284</v>
      </c>
    </row>
    <row r="25" spans="2:2" x14ac:dyDescent="0.35">
      <c r="B25" s="9" t="s">
        <v>4285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FEF0-5079-4C5F-A686-61647DCDFCCD}">
  <dimension ref="A3:B14"/>
  <sheetViews>
    <sheetView workbookViewId="0">
      <selection activeCell="A3" sqref="A3:B14"/>
    </sheetView>
  </sheetViews>
  <sheetFormatPr defaultRowHeight="14.5" x14ac:dyDescent="0.35"/>
  <cols>
    <col min="1" max="1" width="17" bestFit="1" customWidth="1"/>
    <col min="2" max="2" width="20.81640625" bestFit="1" customWidth="1"/>
    <col min="3" max="3" width="18.6328125" bestFit="1" customWidth="1"/>
  </cols>
  <sheetData>
    <row r="3" spans="1:2" x14ac:dyDescent="0.35">
      <c r="A3" s="21" t="s">
        <v>4335</v>
      </c>
      <c r="B3" t="s">
        <v>4338</v>
      </c>
    </row>
    <row r="4" spans="1:2" x14ac:dyDescent="0.35">
      <c r="A4" s="22" t="s">
        <v>15</v>
      </c>
      <c r="B4" s="20">
        <v>52342067.600000001</v>
      </c>
    </row>
    <row r="5" spans="1:2" x14ac:dyDescent="0.35">
      <c r="A5" s="22" t="s">
        <v>36</v>
      </c>
      <c r="B5" s="20">
        <v>51487459.619999997</v>
      </c>
    </row>
    <row r="6" spans="1:2" x14ac:dyDescent="0.35">
      <c r="A6" s="22" t="s">
        <v>72</v>
      </c>
      <c r="B6" s="20">
        <v>61804220.440000005</v>
      </c>
    </row>
    <row r="7" spans="1:2" x14ac:dyDescent="0.35">
      <c r="A7" s="22" t="s">
        <v>41</v>
      </c>
      <c r="B7" s="20">
        <v>41385705.609999985</v>
      </c>
    </row>
    <row r="8" spans="1:2" x14ac:dyDescent="0.35">
      <c r="A8" s="22" t="s">
        <v>21</v>
      </c>
      <c r="B8" s="20">
        <v>39472482.839999996</v>
      </c>
    </row>
    <row r="9" spans="1:2" x14ac:dyDescent="0.35">
      <c r="A9" s="22" t="s">
        <v>51</v>
      </c>
      <c r="B9" s="20">
        <v>28468820.849999998</v>
      </c>
    </row>
    <row r="10" spans="1:2" x14ac:dyDescent="0.35">
      <c r="A10" s="22" t="s">
        <v>77</v>
      </c>
      <c r="B10" s="20">
        <v>30045536.490000002</v>
      </c>
    </row>
    <row r="11" spans="1:2" x14ac:dyDescent="0.35">
      <c r="A11" s="22" t="s">
        <v>26</v>
      </c>
      <c r="B11" s="20">
        <v>44407405.190000013</v>
      </c>
    </row>
    <row r="12" spans="1:2" x14ac:dyDescent="0.35">
      <c r="A12" s="22" t="s">
        <v>88</v>
      </c>
      <c r="B12" s="20">
        <v>41468121.410000011</v>
      </c>
    </row>
    <row r="13" spans="1:2" x14ac:dyDescent="0.35">
      <c r="A13" s="22" t="s">
        <v>48</v>
      </c>
      <c r="B13" s="20">
        <v>37370161.93</v>
      </c>
    </row>
    <row r="14" spans="1:2" x14ac:dyDescent="0.35">
      <c r="A14" s="22" t="s">
        <v>4337</v>
      </c>
      <c r="B14" s="20">
        <v>428251981.98000002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1"/>
  <sheetViews>
    <sheetView topLeftCell="A298" workbookViewId="0">
      <selection activeCell="C310" sqref="C310:D318"/>
    </sheetView>
  </sheetViews>
  <sheetFormatPr defaultRowHeight="14.5" x14ac:dyDescent="0.35"/>
  <cols>
    <col min="1" max="1" width="10" customWidth="1"/>
    <col min="2" max="2" width="29" customWidth="1"/>
    <col min="3" max="3" width="17" customWidth="1"/>
    <col min="4" max="4" width="20.81640625" bestFit="1" customWidth="1"/>
    <col min="5" max="5" width="12" customWidth="1"/>
    <col min="6" max="6" width="17" customWidth="1"/>
    <col min="7" max="7" width="15" customWidth="1"/>
    <col min="8" max="11" width="12" style="19" customWidth="1"/>
    <col min="12" max="13" width="21" style="19" customWidth="1"/>
    <col min="14" max="14" width="18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8" t="s">
        <v>7</v>
      </c>
      <c r="I1" s="18" t="s">
        <v>4344</v>
      </c>
      <c r="J1" s="18" t="s">
        <v>8</v>
      </c>
      <c r="K1" s="18" t="s">
        <v>4343</v>
      </c>
      <c r="L1" s="18" t="s">
        <v>9</v>
      </c>
      <c r="M1" s="18" t="s">
        <v>4342</v>
      </c>
      <c r="N1" s="1" t="s">
        <v>10</v>
      </c>
    </row>
    <row r="2" spans="1:14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45947</v>
      </c>
      <c r="G2">
        <v>586956</v>
      </c>
      <c r="H2" s="19">
        <v>32283.84</v>
      </c>
      <c r="I2" s="19" t="str">
        <f>IF(Tabela1[[#This Row],[Bónus]]&gt;=50000,"correcto","por verificar")</f>
        <v>por verificar</v>
      </c>
      <c r="J2" s="19">
        <v>32137.39</v>
      </c>
      <c r="K2" s="19" t="str">
        <f>IF(Tabela1[[#This Row],[Desconto]]&lt;=30000,"Por verificar","correcto")</f>
        <v>correcto</v>
      </c>
      <c r="L2" s="19">
        <v>587102.44999999995</v>
      </c>
      <c r="M2" s="19" t="str">
        <f>IF(Tabela1[[#This Row],[Salário Líquido]]&gt;=500000,"correcto","por verificar")</f>
        <v>correcto</v>
      </c>
      <c r="N2" t="s">
        <v>16</v>
      </c>
    </row>
    <row r="3" spans="1:14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2">
        <v>45038</v>
      </c>
      <c r="G3">
        <v>2407433</v>
      </c>
      <c r="H3" s="19">
        <v>162231.53</v>
      </c>
      <c r="I3" s="19" t="str">
        <f>IF(Tabela1[[#This Row],[Bónus]]&gt;=50000,"correcto","por verificar")</f>
        <v>correcto</v>
      </c>
      <c r="J3" s="19">
        <v>163640.35999999999</v>
      </c>
      <c r="K3" s="19" t="str">
        <f>IF(Tabela1[[#This Row],[Desconto]]&lt;=30000,"Por verificar","correcto")</f>
        <v>correcto</v>
      </c>
      <c r="L3" s="19">
        <v>2406024.17</v>
      </c>
      <c r="M3" s="19" t="str">
        <f>IF(Tabela1[[#This Row],[Salário Líquido]]&gt;=500000,"correcto","por verificar")</f>
        <v>correcto</v>
      </c>
      <c r="N3" t="s">
        <v>16</v>
      </c>
    </row>
    <row r="4" spans="1:14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s="2">
        <v>45013</v>
      </c>
      <c r="G4">
        <v>231299</v>
      </c>
      <c r="H4" s="19">
        <v>37528.03</v>
      </c>
      <c r="I4" s="19" t="str">
        <f>IF(Tabela1[[#This Row],[Bónus]]&gt;=50000,"correcto","por verificar")</f>
        <v>por verificar</v>
      </c>
      <c r="J4" s="19">
        <v>21844.29</v>
      </c>
      <c r="K4" s="19" t="str">
        <f>IF(Tabela1[[#This Row],[Desconto]]&lt;=30000,"Por verificar","correcto")</f>
        <v>Por verificar</v>
      </c>
      <c r="L4" s="19">
        <v>246982.74</v>
      </c>
      <c r="M4" s="19" t="str">
        <f>IF(Tabela1[[#This Row],[Salário Líquido]]&gt;=500000,"correcto","por verificar")</f>
        <v>por verificar</v>
      </c>
      <c r="N4" t="s">
        <v>27</v>
      </c>
    </row>
    <row r="5" spans="1:14" x14ac:dyDescent="0.35">
      <c r="A5" t="s">
        <v>28</v>
      </c>
      <c r="B5" t="s">
        <v>29</v>
      </c>
      <c r="C5" t="s">
        <v>30</v>
      </c>
      <c r="D5" t="s">
        <v>14</v>
      </c>
      <c r="E5" t="s">
        <v>26</v>
      </c>
      <c r="F5" s="2">
        <v>45258</v>
      </c>
      <c r="G5">
        <v>1286816</v>
      </c>
      <c r="H5" s="19">
        <v>272658.40999999997</v>
      </c>
      <c r="I5" s="19" t="str">
        <f>IF(Tabela1[[#This Row],[Bónus]]&gt;=50000,"correcto","por verificar")</f>
        <v>correcto</v>
      </c>
      <c r="J5" s="19">
        <v>39357.120000000003</v>
      </c>
      <c r="K5" s="19" t="str">
        <f>IF(Tabela1[[#This Row],[Desconto]]&lt;=30000,"Por verificar","correcto")</f>
        <v>correcto</v>
      </c>
      <c r="L5" s="19">
        <v>1520117.29</v>
      </c>
      <c r="M5" s="19" t="str">
        <f>IF(Tabela1[[#This Row],[Salário Líquido]]&gt;=500000,"correcto","por verificar")</f>
        <v>correcto</v>
      </c>
      <c r="N5" t="s">
        <v>27</v>
      </c>
    </row>
    <row r="6" spans="1:14" x14ac:dyDescent="0.35">
      <c r="A6" t="s">
        <v>31</v>
      </c>
      <c r="B6" t="s">
        <v>32</v>
      </c>
      <c r="C6" t="s">
        <v>19</v>
      </c>
      <c r="D6" t="s">
        <v>20</v>
      </c>
      <c r="E6" t="s">
        <v>26</v>
      </c>
      <c r="F6" s="2">
        <v>44760</v>
      </c>
      <c r="G6">
        <v>772128</v>
      </c>
      <c r="H6" s="19">
        <v>71856.36</v>
      </c>
      <c r="I6" s="19" t="str">
        <f>IF(Tabela1[[#This Row],[Bónus]]&gt;=50000,"correcto","por verificar")</f>
        <v>correcto</v>
      </c>
      <c r="J6" s="19">
        <v>76220.210000000006</v>
      </c>
      <c r="K6" s="19" t="str">
        <f>IF(Tabela1[[#This Row],[Desconto]]&lt;=30000,"Por verificar","correcto")</f>
        <v>correcto</v>
      </c>
      <c r="L6" s="19">
        <v>767764.15</v>
      </c>
      <c r="M6" s="19" t="str">
        <f>IF(Tabela1[[#This Row],[Salário Líquido]]&gt;=500000,"correcto","por verificar")</f>
        <v>correcto</v>
      </c>
      <c r="N6" t="s">
        <v>27</v>
      </c>
    </row>
    <row r="7" spans="1:14" x14ac:dyDescent="0.35">
      <c r="A7" t="s">
        <v>33</v>
      </c>
      <c r="B7" t="s">
        <v>34</v>
      </c>
      <c r="C7" t="s">
        <v>24</v>
      </c>
      <c r="D7" t="s">
        <v>35</v>
      </c>
      <c r="E7" t="s">
        <v>36</v>
      </c>
      <c r="F7" s="2">
        <v>44817</v>
      </c>
      <c r="G7">
        <v>1562654</v>
      </c>
      <c r="H7" s="19">
        <v>266815.68</v>
      </c>
      <c r="I7" s="19" t="str">
        <f>IF(Tabela1[[#This Row],[Bónus]]&gt;=50000,"correcto","por verificar")</f>
        <v>correcto</v>
      </c>
      <c r="J7" s="19">
        <v>160393.22</v>
      </c>
      <c r="K7" s="19" t="str">
        <f>IF(Tabela1[[#This Row],[Desconto]]&lt;=30000,"Por verificar","correcto")</f>
        <v>correcto</v>
      </c>
      <c r="L7" s="19">
        <v>1669076.46</v>
      </c>
      <c r="M7" s="19" t="str">
        <f>IF(Tabela1[[#This Row],[Salário Líquido]]&gt;=500000,"correcto","por verificar")</f>
        <v>correcto</v>
      </c>
      <c r="N7" t="s">
        <v>27</v>
      </c>
    </row>
    <row r="8" spans="1:14" x14ac:dyDescent="0.3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2">
        <v>44955</v>
      </c>
      <c r="G8">
        <v>450511</v>
      </c>
      <c r="H8" s="19">
        <v>72265.63</v>
      </c>
      <c r="I8" s="19" t="str">
        <f>IF(Tabela1[[#This Row],[Bónus]]&gt;=50000,"correcto","por verificar")</f>
        <v>correcto</v>
      </c>
      <c r="J8" s="19">
        <v>47144.36</v>
      </c>
      <c r="K8" s="19" t="str">
        <f>IF(Tabela1[[#This Row],[Desconto]]&lt;=30000,"Por verificar","correcto")</f>
        <v>correcto</v>
      </c>
      <c r="L8" s="19">
        <v>475632.27</v>
      </c>
      <c r="M8" s="19" t="str">
        <f>IF(Tabela1[[#This Row],[Salário Líquido]]&gt;=500000,"correcto","por verificar")</f>
        <v>por verificar</v>
      </c>
      <c r="N8" t="s">
        <v>16</v>
      </c>
    </row>
    <row r="9" spans="1:14" x14ac:dyDescent="0.35">
      <c r="A9" t="s">
        <v>42</v>
      </c>
      <c r="B9" t="s">
        <v>43</v>
      </c>
      <c r="C9" t="s">
        <v>44</v>
      </c>
      <c r="D9" t="s">
        <v>20</v>
      </c>
      <c r="E9" t="s">
        <v>21</v>
      </c>
      <c r="F9" s="2">
        <v>46336</v>
      </c>
      <c r="G9">
        <v>411735</v>
      </c>
      <c r="H9" s="19">
        <v>24360.25</v>
      </c>
      <c r="I9" s="19" t="str">
        <f>IF(Tabela1[[#This Row],[Bónus]]&gt;=50000,"correcto","por verificar")</f>
        <v>por verificar</v>
      </c>
      <c r="J9" s="19">
        <v>20797.080000000002</v>
      </c>
      <c r="K9" s="19" t="str">
        <f>IF(Tabela1[[#This Row],[Desconto]]&lt;=30000,"Por verificar","correcto")</f>
        <v>Por verificar</v>
      </c>
      <c r="L9" s="19">
        <v>415298.17</v>
      </c>
      <c r="M9" s="19" t="str">
        <f>IF(Tabela1[[#This Row],[Salário Líquido]]&gt;=500000,"correcto","por verificar")</f>
        <v>por verificar</v>
      </c>
      <c r="N9" t="s">
        <v>45</v>
      </c>
    </row>
    <row r="10" spans="1:14" x14ac:dyDescent="0.35">
      <c r="A10" t="s">
        <v>46</v>
      </c>
      <c r="B10" t="s">
        <v>47</v>
      </c>
      <c r="C10" t="s">
        <v>44</v>
      </c>
      <c r="D10" t="s">
        <v>14</v>
      </c>
      <c r="E10" t="s">
        <v>48</v>
      </c>
      <c r="F10" s="2">
        <v>45289</v>
      </c>
      <c r="G10">
        <v>1714364</v>
      </c>
      <c r="H10" s="19">
        <v>181027.79</v>
      </c>
      <c r="I10" s="19" t="str">
        <f>IF(Tabela1[[#This Row],[Bónus]]&gt;=50000,"correcto","por verificar")</f>
        <v>correcto</v>
      </c>
      <c r="J10" s="19">
        <v>149512.43</v>
      </c>
      <c r="K10" s="19" t="str">
        <f>IF(Tabela1[[#This Row],[Desconto]]&lt;=30000,"Por verificar","correcto")</f>
        <v>correcto</v>
      </c>
      <c r="L10" s="19">
        <v>1745879.36</v>
      </c>
      <c r="M10" s="19" t="str">
        <f>IF(Tabela1[[#This Row],[Salário Líquido]]&gt;=500000,"correcto","por verificar")</f>
        <v>correcto</v>
      </c>
      <c r="N10" t="s">
        <v>45</v>
      </c>
    </row>
    <row r="11" spans="1:14" x14ac:dyDescent="0.35">
      <c r="A11" t="s">
        <v>49</v>
      </c>
      <c r="B11" t="s">
        <v>50</v>
      </c>
      <c r="C11" t="s">
        <v>19</v>
      </c>
      <c r="D11" t="s">
        <v>25</v>
      </c>
      <c r="E11" t="s">
        <v>51</v>
      </c>
      <c r="F11" s="2">
        <v>45655</v>
      </c>
      <c r="G11">
        <v>1239786</v>
      </c>
      <c r="H11" s="19">
        <v>236010.7</v>
      </c>
      <c r="I11" s="19" t="str">
        <f>IF(Tabela1[[#This Row],[Bónus]]&gt;=50000,"correcto","por verificar")</f>
        <v>correcto</v>
      </c>
      <c r="J11" s="19">
        <v>113464.33</v>
      </c>
      <c r="K11" s="19" t="str">
        <f>IF(Tabela1[[#This Row],[Desconto]]&lt;=30000,"Por verificar","correcto")</f>
        <v>correcto</v>
      </c>
      <c r="L11" s="19">
        <v>1362332.37</v>
      </c>
      <c r="M11" s="19" t="str">
        <f>IF(Tabela1[[#This Row],[Salário Líquido]]&gt;=500000,"correcto","por verificar")</f>
        <v>correcto</v>
      </c>
      <c r="N11" t="s">
        <v>16</v>
      </c>
    </row>
    <row r="12" spans="1:14" x14ac:dyDescent="0.35">
      <c r="A12" t="s">
        <v>52</v>
      </c>
      <c r="B12" t="s">
        <v>53</v>
      </c>
      <c r="C12" t="s">
        <v>24</v>
      </c>
      <c r="D12" t="s">
        <v>54</v>
      </c>
      <c r="E12" t="s">
        <v>36</v>
      </c>
      <c r="F12" s="2">
        <v>45011</v>
      </c>
      <c r="G12">
        <v>1146811</v>
      </c>
      <c r="H12" s="19">
        <v>94818.91</v>
      </c>
      <c r="I12" s="19" t="str">
        <f>IF(Tabela1[[#This Row],[Bónus]]&gt;=50000,"correcto","por verificar")</f>
        <v>correcto</v>
      </c>
      <c r="J12" s="19">
        <v>73569.06</v>
      </c>
      <c r="K12" s="19" t="str">
        <f>IF(Tabela1[[#This Row],[Desconto]]&lt;=30000,"Por verificar","correcto")</f>
        <v>correcto</v>
      </c>
      <c r="L12" s="19">
        <v>1168060.8500000001</v>
      </c>
      <c r="M12" s="19" t="str">
        <f>IF(Tabela1[[#This Row],[Salário Líquido]]&gt;=500000,"correcto","por verificar")</f>
        <v>correcto</v>
      </c>
      <c r="N12" t="s">
        <v>16</v>
      </c>
    </row>
    <row r="13" spans="1:14" x14ac:dyDescent="0.35">
      <c r="A13" t="s">
        <v>55</v>
      </c>
      <c r="B13" t="s">
        <v>56</v>
      </c>
      <c r="C13" t="s">
        <v>13</v>
      </c>
      <c r="D13" t="s">
        <v>20</v>
      </c>
      <c r="E13" t="s">
        <v>48</v>
      </c>
      <c r="F13" s="2">
        <v>45383</v>
      </c>
      <c r="G13">
        <v>1480140</v>
      </c>
      <c r="H13" s="19">
        <v>323514.77</v>
      </c>
      <c r="I13" s="19" t="str">
        <f>IF(Tabela1[[#This Row],[Bónus]]&gt;=50000,"correcto","por verificar")</f>
        <v>correcto</v>
      </c>
      <c r="J13" s="19">
        <v>147777.17000000001</v>
      </c>
      <c r="K13" s="19" t="str">
        <f>IF(Tabela1[[#This Row],[Desconto]]&lt;=30000,"Por verificar","correcto")</f>
        <v>correcto</v>
      </c>
      <c r="L13" s="19">
        <v>1655877.6</v>
      </c>
      <c r="M13" s="19" t="str">
        <f>IF(Tabela1[[#This Row],[Salário Líquido]]&gt;=500000,"correcto","por verificar")</f>
        <v>correcto</v>
      </c>
      <c r="N13" t="s">
        <v>27</v>
      </c>
    </row>
    <row r="14" spans="1:14" x14ac:dyDescent="0.35">
      <c r="A14" t="s">
        <v>57</v>
      </c>
      <c r="B14" t="s">
        <v>58</v>
      </c>
      <c r="C14" t="s">
        <v>24</v>
      </c>
      <c r="D14" t="s">
        <v>40</v>
      </c>
      <c r="E14" t="s">
        <v>21</v>
      </c>
      <c r="F14" s="2">
        <v>45904</v>
      </c>
      <c r="G14">
        <v>397615</v>
      </c>
      <c r="H14" s="19">
        <v>36658.74</v>
      </c>
      <c r="I14" s="19" t="str">
        <f>IF(Tabela1[[#This Row],[Bónus]]&gt;=50000,"correcto","por verificar")</f>
        <v>por verificar</v>
      </c>
      <c r="J14" s="19">
        <v>45670.8</v>
      </c>
      <c r="K14" s="19" t="str">
        <f>IF(Tabela1[[#This Row],[Desconto]]&lt;=30000,"Por verificar","correcto")</f>
        <v>correcto</v>
      </c>
      <c r="L14" s="19">
        <v>388602.94</v>
      </c>
      <c r="M14" s="19" t="str">
        <f>IF(Tabela1[[#This Row],[Salário Líquido]]&gt;=500000,"correcto","por verificar")</f>
        <v>por verificar</v>
      </c>
      <c r="N14" t="s">
        <v>27</v>
      </c>
    </row>
    <row r="15" spans="1:14" x14ac:dyDescent="0.35">
      <c r="A15" t="s">
        <v>59</v>
      </c>
      <c r="B15" t="s">
        <v>60</v>
      </c>
      <c r="C15" t="s">
        <v>13</v>
      </c>
      <c r="D15" t="s">
        <v>40</v>
      </c>
      <c r="E15" t="s">
        <v>51</v>
      </c>
      <c r="F15" s="2">
        <v>45067</v>
      </c>
      <c r="G15">
        <v>1779400</v>
      </c>
      <c r="H15" s="19">
        <v>403811.04</v>
      </c>
      <c r="I15" s="19" t="str">
        <f>IF(Tabela1[[#This Row],[Bónus]]&gt;=50000,"correcto","por verificar")</f>
        <v>correcto</v>
      </c>
      <c r="J15" s="19">
        <v>156332.16</v>
      </c>
      <c r="K15" s="19" t="str">
        <f>IF(Tabela1[[#This Row],[Desconto]]&lt;=30000,"Por verificar","correcto")</f>
        <v>correcto</v>
      </c>
      <c r="L15" s="19">
        <v>2026878.88</v>
      </c>
      <c r="M15" s="19" t="str">
        <f>IF(Tabela1[[#This Row],[Salário Líquido]]&gt;=500000,"correcto","por verificar")</f>
        <v>correcto</v>
      </c>
      <c r="N15" t="s">
        <v>16</v>
      </c>
    </row>
    <row r="16" spans="1:14" x14ac:dyDescent="0.35">
      <c r="A16" t="s">
        <v>61</v>
      </c>
      <c r="B16" t="s">
        <v>62</v>
      </c>
      <c r="C16" t="s">
        <v>63</v>
      </c>
      <c r="D16" t="s">
        <v>25</v>
      </c>
      <c r="E16" t="s">
        <v>26</v>
      </c>
      <c r="F16" s="2">
        <v>45303</v>
      </c>
      <c r="G16">
        <v>2474548</v>
      </c>
      <c r="H16" s="19">
        <v>390472.43</v>
      </c>
      <c r="I16" s="19" t="str">
        <f>IF(Tabela1[[#This Row],[Bónus]]&gt;=50000,"correcto","por verificar")</f>
        <v>correcto</v>
      </c>
      <c r="J16" s="19">
        <v>240603.38</v>
      </c>
      <c r="K16" s="19" t="str">
        <f>IF(Tabela1[[#This Row],[Desconto]]&lt;=30000,"Por verificar","correcto")</f>
        <v>correcto</v>
      </c>
      <c r="L16" s="19">
        <v>2624417.0499999998</v>
      </c>
      <c r="M16" s="19" t="str">
        <f>IF(Tabela1[[#This Row],[Salário Líquido]]&gt;=500000,"correcto","por verificar")</f>
        <v>correcto</v>
      </c>
      <c r="N16" t="s">
        <v>45</v>
      </c>
    </row>
    <row r="17" spans="1:14" x14ac:dyDescent="0.35">
      <c r="A17" t="s">
        <v>64</v>
      </c>
      <c r="B17" t="s">
        <v>65</v>
      </c>
      <c r="C17" t="s">
        <v>19</v>
      </c>
      <c r="D17" t="s">
        <v>20</v>
      </c>
      <c r="E17" t="s">
        <v>51</v>
      </c>
      <c r="F17" s="2">
        <v>45847</v>
      </c>
      <c r="G17">
        <v>700205</v>
      </c>
      <c r="H17" s="19">
        <v>106364.82</v>
      </c>
      <c r="I17" s="19" t="str">
        <f>IF(Tabela1[[#This Row],[Bónus]]&gt;=50000,"correcto","por verificar")</f>
        <v>correcto</v>
      </c>
      <c r="J17" s="19">
        <v>26735.119999999999</v>
      </c>
      <c r="K17" s="19" t="str">
        <f>IF(Tabela1[[#This Row],[Desconto]]&lt;=30000,"Por verificar","correcto")</f>
        <v>Por verificar</v>
      </c>
      <c r="L17" s="19">
        <v>779834.70000000007</v>
      </c>
      <c r="M17" s="19" t="str">
        <f>IF(Tabela1[[#This Row],[Salário Líquido]]&gt;=500000,"correcto","por verificar")</f>
        <v>correcto</v>
      </c>
      <c r="N17" t="s">
        <v>45</v>
      </c>
    </row>
    <row r="18" spans="1:14" x14ac:dyDescent="0.35">
      <c r="A18" t="s">
        <v>66</v>
      </c>
      <c r="B18" t="s">
        <v>67</v>
      </c>
      <c r="C18" t="s">
        <v>39</v>
      </c>
      <c r="D18" t="s">
        <v>35</v>
      </c>
      <c r="E18" t="s">
        <v>36</v>
      </c>
      <c r="F18" s="2">
        <v>45076</v>
      </c>
      <c r="G18">
        <v>1890667</v>
      </c>
      <c r="H18" s="19">
        <v>320055.52</v>
      </c>
      <c r="I18" s="19" t="str">
        <f>IF(Tabela1[[#This Row],[Bónus]]&gt;=50000,"correcto","por verificar")</f>
        <v>correcto</v>
      </c>
      <c r="J18" s="19">
        <v>122192.03</v>
      </c>
      <c r="K18" s="19" t="str">
        <f>IF(Tabela1[[#This Row],[Desconto]]&lt;=30000,"Por verificar","correcto")</f>
        <v>correcto</v>
      </c>
      <c r="L18" s="19">
        <v>2088530.49</v>
      </c>
      <c r="M18" s="19" t="str">
        <f>IF(Tabela1[[#This Row],[Salário Líquido]]&gt;=500000,"correcto","por verificar")</f>
        <v>correcto</v>
      </c>
      <c r="N18" t="s">
        <v>16</v>
      </c>
    </row>
    <row r="19" spans="1:14" x14ac:dyDescent="0.35">
      <c r="A19" t="s">
        <v>68</v>
      </c>
      <c r="B19" t="s">
        <v>69</v>
      </c>
      <c r="C19" t="s">
        <v>39</v>
      </c>
      <c r="D19" t="s">
        <v>40</v>
      </c>
      <c r="E19" t="s">
        <v>48</v>
      </c>
      <c r="F19" s="2">
        <v>44790</v>
      </c>
      <c r="G19">
        <v>168154</v>
      </c>
      <c r="H19" s="19">
        <v>31286.18</v>
      </c>
      <c r="I19" s="19" t="str">
        <f>IF(Tabela1[[#This Row],[Bónus]]&gt;=50000,"correcto","por verificar")</f>
        <v>por verificar</v>
      </c>
      <c r="J19" s="19">
        <v>6778.23</v>
      </c>
      <c r="K19" s="19" t="str">
        <f>IF(Tabela1[[#This Row],[Desconto]]&lt;=30000,"Por verificar","correcto")</f>
        <v>Por verificar</v>
      </c>
      <c r="L19" s="19">
        <v>192661.95</v>
      </c>
      <c r="M19" s="19" t="str">
        <f>IF(Tabela1[[#This Row],[Salário Líquido]]&gt;=500000,"correcto","por verificar")</f>
        <v>por verificar</v>
      </c>
      <c r="N19" t="s">
        <v>27</v>
      </c>
    </row>
    <row r="20" spans="1:14" x14ac:dyDescent="0.35">
      <c r="A20" t="s">
        <v>70</v>
      </c>
      <c r="B20" t="s">
        <v>71</v>
      </c>
      <c r="C20" t="s">
        <v>24</v>
      </c>
      <c r="D20" t="s">
        <v>54</v>
      </c>
      <c r="E20" t="s">
        <v>72</v>
      </c>
      <c r="F20" s="2">
        <v>45587</v>
      </c>
      <c r="G20">
        <v>1943537</v>
      </c>
      <c r="H20" s="19">
        <v>158653.94</v>
      </c>
      <c r="I20" s="19" t="str">
        <f>IF(Tabela1[[#This Row],[Bónus]]&gt;=50000,"correcto","por verificar")</f>
        <v>correcto</v>
      </c>
      <c r="J20" s="19">
        <v>58873.78</v>
      </c>
      <c r="K20" s="19" t="str">
        <f>IF(Tabela1[[#This Row],[Desconto]]&lt;=30000,"Por verificar","correcto")</f>
        <v>correcto</v>
      </c>
      <c r="L20" s="19">
        <v>2043317.16</v>
      </c>
      <c r="M20" s="19" t="str">
        <f>IF(Tabela1[[#This Row],[Salário Líquido]]&gt;=500000,"correcto","por verificar")</f>
        <v>correcto</v>
      </c>
      <c r="N20" t="s">
        <v>45</v>
      </c>
    </row>
    <row r="21" spans="1:14" x14ac:dyDescent="0.35">
      <c r="A21" t="s">
        <v>73</v>
      </c>
      <c r="B21" t="s">
        <v>74</v>
      </c>
      <c r="C21" t="s">
        <v>44</v>
      </c>
      <c r="D21" t="s">
        <v>54</v>
      </c>
      <c r="E21" t="s">
        <v>36</v>
      </c>
      <c r="F21" s="2">
        <v>45809</v>
      </c>
      <c r="G21">
        <v>2249371</v>
      </c>
      <c r="H21" s="19">
        <v>523036.27</v>
      </c>
      <c r="I21" s="19" t="str">
        <f>IF(Tabela1[[#This Row],[Bónus]]&gt;=50000,"correcto","por verificar")</f>
        <v>correcto</v>
      </c>
      <c r="J21" s="19">
        <v>243711.86</v>
      </c>
      <c r="K21" s="19" t="str">
        <f>IF(Tabela1[[#This Row],[Desconto]]&lt;=30000,"Por verificar","correcto")</f>
        <v>correcto</v>
      </c>
      <c r="L21" s="19">
        <v>2528695.41</v>
      </c>
      <c r="M21" s="19" t="str">
        <f>IF(Tabela1[[#This Row],[Salário Líquido]]&gt;=500000,"correcto","por verificar")</f>
        <v>correcto</v>
      </c>
      <c r="N21" t="s">
        <v>45</v>
      </c>
    </row>
    <row r="22" spans="1:14" x14ac:dyDescent="0.35">
      <c r="A22" t="s">
        <v>75</v>
      </c>
      <c r="B22" t="s">
        <v>76</v>
      </c>
      <c r="C22" t="s">
        <v>30</v>
      </c>
      <c r="D22" t="s">
        <v>25</v>
      </c>
      <c r="E22" t="s">
        <v>77</v>
      </c>
      <c r="F22" s="2">
        <v>45788</v>
      </c>
      <c r="G22">
        <v>761054</v>
      </c>
      <c r="H22" s="19">
        <v>94966.43</v>
      </c>
      <c r="I22" s="19" t="str">
        <f>IF(Tabela1[[#This Row],[Bónus]]&gt;=50000,"correcto","por verificar")</f>
        <v>correcto</v>
      </c>
      <c r="J22" s="19">
        <v>33896.9</v>
      </c>
      <c r="K22" s="19" t="str">
        <f>IF(Tabela1[[#This Row],[Desconto]]&lt;=30000,"Por verificar","correcto")</f>
        <v>correcto</v>
      </c>
      <c r="L22" s="19">
        <v>822123.52999999991</v>
      </c>
      <c r="M22" s="19" t="str">
        <f>IF(Tabela1[[#This Row],[Salário Líquido]]&gt;=500000,"correcto","por verificar")</f>
        <v>correcto</v>
      </c>
      <c r="N22" t="s">
        <v>27</v>
      </c>
    </row>
    <row r="23" spans="1:14" x14ac:dyDescent="0.35">
      <c r="A23" t="s">
        <v>78</v>
      </c>
      <c r="B23" t="s">
        <v>79</v>
      </c>
      <c r="C23" t="s">
        <v>30</v>
      </c>
      <c r="D23" t="s">
        <v>40</v>
      </c>
      <c r="E23" t="s">
        <v>21</v>
      </c>
      <c r="F23" s="2">
        <v>44680</v>
      </c>
      <c r="G23">
        <v>2169360</v>
      </c>
      <c r="H23" s="19">
        <v>116918.41</v>
      </c>
      <c r="I23" s="19" t="str">
        <f>IF(Tabela1[[#This Row],[Bónus]]&gt;=50000,"correcto","por verificar")</f>
        <v>correcto</v>
      </c>
      <c r="J23" s="19">
        <v>246480.24</v>
      </c>
      <c r="K23" s="19" t="str">
        <f>IF(Tabela1[[#This Row],[Desconto]]&lt;=30000,"Por verificar","correcto")</f>
        <v>correcto</v>
      </c>
      <c r="L23" s="19">
        <v>2039798.17</v>
      </c>
      <c r="M23" s="19" t="str">
        <f>IF(Tabela1[[#This Row],[Salário Líquido]]&gt;=500000,"correcto","por verificar")</f>
        <v>correcto</v>
      </c>
      <c r="N23" t="s">
        <v>45</v>
      </c>
    </row>
    <row r="24" spans="1:14" x14ac:dyDescent="0.35">
      <c r="A24" t="s">
        <v>80</v>
      </c>
      <c r="B24" t="s">
        <v>81</v>
      </c>
      <c r="C24" t="s">
        <v>63</v>
      </c>
      <c r="D24" t="s">
        <v>20</v>
      </c>
      <c r="E24" t="s">
        <v>36</v>
      </c>
      <c r="F24" s="2">
        <v>46130</v>
      </c>
      <c r="G24">
        <v>2499667</v>
      </c>
      <c r="H24" s="19">
        <v>598395.01</v>
      </c>
      <c r="I24" s="19" t="str">
        <f>IF(Tabela1[[#This Row],[Bónus]]&gt;=50000,"correcto","por verificar")</f>
        <v>correcto</v>
      </c>
      <c r="J24" s="19">
        <v>94259.47</v>
      </c>
      <c r="K24" s="19" t="str">
        <f>IF(Tabela1[[#This Row],[Desconto]]&lt;=30000,"Por verificar","correcto")</f>
        <v>correcto</v>
      </c>
      <c r="L24" s="19">
        <v>3003802.54</v>
      </c>
      <c r="M24" s="19" t="str">
        <f>IF(Tabela1[[#This Row],[Salário Líquido]]&gt;=500000,"correcto","por verificar")</f>
        <v>correcto</v>
      </c>
      <c r="N24" t="s">
        <v>45</v>
      </c>
    </row>
    <row r="25" spans="1:14" x14ac:dyDescent="0.35">
      <c r="A25" t="s">
        <v>82</v>
      </c>
      <c r="B25" t="s">
        <v>83</v>
      </c>
      <c r="C25" t="s">
        <v>13</v>
      </c>
      <c r="D25" t="s">
        <v>40</v>
      </c>
      <c r="E25" t="s">
        <v>36</v>
      </c>
      <c r="F25" s="2">
        <v>46348</v>
      </c>
      <c r="G25">
        <v>658512</v>
      </c>
      <c r="H25" s="19">
        <v>119816.37</v>
      </c>
      <c r="I25" s="19" t="str">
        <f>IF(Tabela1[[#This Row],[Bónus]]&gt;=50000,"correcto","por verificar")</f>
        <v>correcto</v>
      </c>
      <c r="J25" s="19">
        <v>75871.37</v>
      </c>
      <c r="K25" s="19" t="str">
        <f>IF(Tabela1[[#This Row],[Desconto]]&lt;=30000,"Por verificar","correcto")</f>
        <v>correcto</v>
      </c>
      <c r="L25" s="19">
        <v>702457</v>
      </c>
      <c r="M25" s="19" t="str">
        <f>IF(Tabela1[[#This Row],[Salário Líquido]]&gt;=500000,"correcto","por verificar")</f>
        <v>correcto</v>
      </c>
      <c r="N25" t="s">
        <v>16</v>
      </c>
    </row>
    <row r="26" spans="1:14" x14ac:dyDescent="0.35">
      <c r="A26" t="s">
        <v>84</v>
      </c>
      <c r="B26" t="s">
        <v>85</v>
      </c>
      <c r="C26" t="s">
        <v>30</v>
      </c>
      <c r="D26" t="s">
        <v>54</v>
      </c>
      <c r="E26" t="s">
        <v>21</v>
      </c>
      <c r="F26" s="2">
        <v>46022</v>
      </c>
      <c r="G26">
        <v>1894769</v>
      </c>
      <c r="H26" s="19">
        <v>460187.44</v>
      </c>
      <c r="I26" s="19" t="str">
        <f>IF(Tabela1[[#This Row],[Bónus]]&gt;=50000,"correcto","por verificar")</f>
        <v>correcto</v>
      </c>
      <c r="J26" s="19">
        <v>215249.95</v>
      </c>
      <c r="K26" s="19" t="str">
        <f>IF(Tabela1[[#This Row],[Desconto]]&lt;=30000,"Por verificar","correcto")</f>
        <v>correcto</v>
      </c>
      <c r="L26" s="19">
        <v>2139706.4900000002</v>
      </c>
      <c r="M26" s="19" t="str">
        <f>IF(Tabela1[[#This Row],[Salário Líquido]]&gt;=500000,"correcto","por verificar")</f>
        <v>correcto</v>
      </c>
      <c r="N26" t="s">
        <v>27</v>
      </c>
    </row>
    <row r="27" spans="1:14" x14ac:dyDescent="0.35">
      <c r="A27" t="s">
        <v>86</v>
      </c>
      <c r="B27" t="s">
        <v>87</v>
      </c>
      <c r="C27" t="s">
        <v>63</v>
      </c>
      <c r="D27" t="s">
        <v>25</v>
      </c>
      <c r="E27" t="s">
        <v>88</v>
      </c>
      <c r="F27" s="2">
        <v>44809</v>
      </c>
      <c r="G27">
        <v>1793494</v>
      </c>
      <c r="H27" s="19">
        <v>446633.58</v>
      </c>
      <c r="I27" s="19" t="str">
        <f>IF(Tabela1[[#This Row],[Bónus]]&gt;=50000,"correcto","por verificar")</f>
        <v>correcto</v>
      </c>
      <c r="J27" s="19">
        <v>158704.54</v>
      </c>
      <c r="K27" s="19" t="str">
        <f>IF(Tabela1[[#This Row],[Desconto]]&lt;=30000,"Por verificar","correcto")</f>
        <v>correcto</v>
      </c>
      <c r="L27" s="19">
        <v>2081423.04</v>
      </c>
      <c r="M27" s="19" t="str">
        <f>IF(Tabela1[[#This Row],[Salário Líquido]]&gt;=500000,"correcto","por verificar")</f>
        <v>correcto</v>
      </c>
      <c r="N27" t="s">
        <v>45</v>
      </c>
    </row>
    <row r="28" spans="1:14" x14ac:dyDescent="0.35">
      <c r="A28" t="s">
        <v>89</v>
      </c>
      <c r="B28" t="s">
        <v>90</v>
      </c>
      <c r="C28" t="s">
        <v>39</v>
      </c>
      <c r="D28" t="s">
        <v>14</v>
      </c>
      <c r="E28" t="s">
        <v>41</v>
      </c>
      <c r="F28" s="2">
        <v>45013</v>
      </c>
      <c r="G28">
        <v>1062448</v>
      </c>
      <c r="H28" s="19">
        <v>66727.240000000005</v>
      </c>
      <c r="I28" s="19" t="str">
        <f>IF(Tabela1[[#This Row],[Bónus]]&gt;=50000,"correcto","por verificar")</f>
        <v>correcto</v>
      </c>
      <c r="J28" s="19">
        <v>33884.74</v>
      </c>
      <c r="K28" s="19" t="str">
        <f>IF(Tabela1[[#This Row],[Desconto]]&lt;=30000,"Por verificar","correcto")</f>
        <v>correcto</v>
      </c>
      <c r="L28" s="19">
        <v>1095290.5</v>
      </c>
      <c r="M28" s="19" t="str">
        <f>IF(Tabela1[[#This Row],[Salário Líquido]]&gt;=500000,"correcto","por verificar")</f>
        <v>correcto</v>
      </c>
      <c r="N28" t="s">
        <v>45</v>
      </c>
    </row>
    <row r="29" spans="1:14" x14ac:dyDescent="0.35">
      <c r="A29" t="s">
        <v>91</v>
      </c>
      <c r="B29" t="s">
        <v>92</v>
      </c>
      <c r="C29" t="s">
        <v>19</v>
      </c>
      <c r="D29" t="s">
        <v>20</v>
      </c>
      <c r="E29" t="s">
        <v>48</v>
      </c>
      <c r="F29" s="2">
        <v>44707</v>
      </c>
      <c r="G29">
        <v>417766</v>
      </c>
      <c r="H29" s="19">
        <v>80030.679999999993</v>
      </c>
      <c r="I29" s="19" t="str">
        <f>IF(Tabela1[[#This Row],[Bónus]]&gt;=50000,"correcto","por verificar")</f>
        <v>correcto</v>
      </c>
      <c r="J29" s="19">
        <v>14746.57</v>
      </c>
      <c r="K29" s="19" t="str">
        <f>IF(Tabela1[[#This Row],[Desconto]]&lt;=30000,"Por verificar","correcto")</f>
        <v>Por verificar</v>
      </c>
      <c r="L29" s="19">
        <v>483050.11</v>
      </c>
      <c r="M29" s="19" t="str">
        <f>IF(Tabela1[[#This Row],[Salário Líquido]]&gt;=500000,"correcto","por verificar")</f>
        <v>por verificar</v>
      </c>
      <c r="N29" t="s">
        <v>16</v>
      </c>
    </row>
    <row r="30" spans="1:14" x14ac:dyDescent="0.35">
      <c r="A30" t="s">
        <v>93</v>
      </c>
      <c r="B30" t="s">
        <v>94</v>
      </c>
      <c r="C30" t="s">
        <v>39</v>
      </c>
      <c r="D30" t="s">
        <v>14</v>
      </c>
      <c r="E30" t="s">
        <v>41</v>
      </c>
      <c r="F30" s="2">
        <v>45742</v>
      </c>
      <c r="G30">
        <v>1118263</v>
      </c>
      <c r="H30" s="19">
        <v>118195.31</v>
      </c>
      <c r="I30" s="19" t="str">
        <f>IF(Tabela1[[#This Row],[Bónus]]&gt;=50000,"correcto","por verificar")</f>
        <v>correcto</v>
      </c>
      <c r="J30" s="19">
        <v>82401.789999999994</v>
      </c>
      <c r="K30" s="19" t="str">
        <f>IF(Tabela1[[#This Row],[Desconto]]&lt;=30000,"Por verificar","correcto")</f>
        <v>correcto</v>
      </c>
      <c r="L30" s="19">
        <v>1154056.52</v>
      </c>
      <c r="M30" s="19" t="str">
        <f>IF(Tabela1[[#This Row],[Salário Líquido]]&gt;=500000,"correcto","por verificar")</f>
        <v>correcto</v>
      </c>
      <c r="N30" t="s">
        <v>27</v>
      </c>
    </row>
    <row r="31" spans="1:14" x14ac:dyDescent="0.35">
      <c r="A31" t="s">
        <v>95</v>
      </c>
      <c r="B31" t="s">
        <v>96</v>
      </c>
      <c r="C31" t="s">
        <v>13</v>
      </c>
      <c r="D31" t="s">
        <v>20</v>
      </c>
      <c r="E31" t="s">
        <v>15</v>
      </c>
      <c r="F31" s="2">
        <v>45911</v>
      </c>
      <c r="G31">
        <v>1139204</v>
      </c>
      <c r="H31" s="19">
        <v>235728.52</v>
      </c>
      <c r="I31" s="19" t="str">
        <f>IF(Tabela1[[#This Row],[Bónus]]&gt;=50000,"correcto","por verificar")</f>
        <v>correcto</v>
      </c>
      <c r="J31" s="19">
        <v>116967.46</v>
      </c>
      <c r="K31" s="19" t="str">
        <f>IF(Tabela1[[#This Row],[Desconto]]&lt;=30000,"Por verificar","correcto")</f>
        <v>correcto</v>
      </c>
      <c r="L31" s="19">
        <v>1257965.06</v>
      </c>
      <c r="M31" s="19" t="str">
        <f>IF(Tabela1[[#This Row],[Salário Líquido]]&gt;=500000,"correcto","por verificar")</f>
        <v>correcto</v>
      </c>
      <c r="N31" t="s">
        <v>27</v>
      </c>
    </row>
    <row r="32" spans="1:14" x14ac:dyDescent="0.35">
      <c r="A32" t="s">
        <v>97</v>
      </c>
      <c r="B32" t="s">
        <v>98</v>
      </c>
      <c r="C32" t="s">
        <v>24</v>
      </c>
      <c r="D32" t="s">
        <v>20</v>
      </c>
      <c r="E32" t="s">
        <v>15</v>
      </c>
      <c r="F32" s="2">
        <v>44686</v>
      </c>
      <c r="G32">
        <v>1606031</v>
      </c>
      <c r="H32" s="19">
        <v>216357.63</v>
      </c>
      <c r="I32" s="19" t="str">
        <f>IF(Tabela1[[#This Row],[Bónus]]&gt;=50000,"correcto","por verificar")</f>
        <v>correcto</v>
      </c>
      <c r="J32" s="19">
        <v>115685.98</v>
      </c>
      <c r="K32" s="19" t="str">
        <f>IF(Tabela1[[#This Row],[Desconto]]&lt;=30000,"Por verificar","correcto")</f>
        <v>correcto</v>
      </c>
      <c r="L32" s="19">
        <v>1706702.65</v>
      </c>
      <c r="M32" s="19" t="str">
        <f>IF(Tabela1[[#This Row],[Salário Líquido]]&gt;=500000,"correcto","por verificar")</f>
        <v>correcto</v>
      </c>
      <c r="N32" t="s">
        <v>27</v>
      </c>
    </row>
    <row r="33" spans="1:14" x14ac:dyDescent="0.35">
      <c r="A33" t="s">
        <v>99</v>
      </c>
      <c r="B33" t="s">
        <v>100</v>
      </c>
      <c r="C33" t="s">
        <v>13</v>
      </c>
      <c r="D33" t="s">
        <v>14</v>
      </c>
      <c r="E33" t="s">
        <v>36</v>
      </c>
      <c r="F33" s="2">
        <v>45480</v>
      </c>
      <c r="G33">
        <v>1543138</v>
      </c>
      <c r="H33" s="19">
        <v>324241.84999999998</v>
      </c>
      <c r="I33" s="19" t="str">
        <f>IF(Tabela1[[#This Row],[Bónus]]&gt;=50000,"correcto","por verificar")</f>
        <v>correcto</v>
      </c>
      <c r="J33" s="19">
        <v>61469.69</v>
      </c>
      <c r="K33" s="19" t="str">
        <f>IF(Tabela1[[#This Row],[Desconto]]&lt;=30000,"Por verificar","correcto")</f>
        <v>correcto</v>
      </c>
      <c r="L33" s="19">
        <v>1805910.16</v>
      </c>
      <c r="M33" s="19" t="str">
        <f>IF(Tabela1[[#This Row],[Salário Líquido]]&gt;=500000,"correcto","por verificar")</f>
        <v>correcto</v>
      </c>
      <c r="N33" t="s">
        <v>45</v>
      </c>
    </row>
    <row r="34" spans="1:14" x14ac:dyDescent="0.35">
      <c r="A34" t="s">
        <v>101</v>
      </c>
      <c r="B34" t="s">
        <v>102</v>
      </c>
      <c r="C34" t="s">
        <v>30</v>
      </c>
      <c r="D34" t="s">
        <v>20</v>
      </c>
      <c r="E34" t="s">
        <v>88</v>
      </c>
      <c r="F34" s="2">
        <v>46216</v>
      </c>
      <c r="G34">
        <v>1889499</v>
      </c>
      <c r="H34" s="19">
        <v>163815.04000000001</v>
      </c>
      <c r="I34" s="19" t="str">
        <f>IF(Tabela1[[#This Row],[Bónus]]&gt;=50000,"correcto","por verificar")</f>
        <v>correcto</v>
      </c>
      <c r="J34" s="19">
        <v>135357.14000000001</v>
      </c>
      <c r="K34" s="19" t="str">
        <f>IF(Tabela1[[#This Row],[Desconto]]&lt;=30000,"Por verificar","correcto")</f>
        <v>correcto</v>
      </c>
      <c r="L34" s="19">
        <v>1917956.9</v>
      </c>
      <c r="M34" s="19" t="str">
        <f>IF(Tabela1[[#This Row],[Salário Líquido]]&gt;=500000,"correcto","por verificar")</f>
        <v>correcto</v>
      </c>
      <c r="N34" t="s">
        <v>16</v>
      </c>
    </row>
    <row r="35" spans="1:14" x14ac:dyDescent="0.35">
      <c r="A35" t="s">
        <v>103</v>
      </c>
      <c r="B35" t="s">
        <v>104</v>
      </c>
      <c r="C35" t="s">
        <v>30</v>
      </c>
      <c r="D35" t="s">
        <v>20</v>
      </c>
      <c r="E35" t="s">
        <v>15</v>
      </c>
      <c r="F35" s="2">
        <v>46105</v>
      </c>
      <c r="G35">
        <v>530658</v>
      </c>
      <c r="H35" s="19">
        <v>31901.919999999998</v>
      </c>
      <c r="I35" s="19" t="str">
        <f>IF(Tabela1[[#This Row],[Bónus]]&gt;=50000,"correcto","por verificar")</f>
        <v>por verificar</v>
      </c>
      <c r="J35" s="19">
        <v>63644.69</v>
      </c>
      <c r="K35" s="19" t="str">
        <f>IF(Tabela1[[#This Row],[Desconto]]&lt;=30000,"Por verificar","correcto")</f>
        <v>correcto</v>
      </c>
      <c r="L35" s="19">
        <v>498915.23</v>
      </c>
      <c r="M35" s="19" t="str">
        <f>IF(Tabela1[[#This Row],[Salário Líquido]]&gt;=500000,"correcto","por verificar")</f>
        <v>por verificar</v>
      </c>
      <c r="N35" t="s">
        <v>45</v>
      </c>
    </row>
    <row r="36" spans="1:14" x14ac:dyDescent="0.35">
      <c r="A36" t="s">
        <v>105</v>
      </c>
      <c r="B36" t="s">
        <v>106</v>
      </c>
      <c r="C36" t="s">
        <v>30</v>
      </c>
      <c r="D36" t="s">
        <v>35</v>
      </c>
      <c r="E36" t="s">
        <v>77</v>
      </c>
      <c r="F36" s="2">
        <v>44899</v>
      </c>
      <c r="G36">
        <v>817559</v>
      </c>
      <c r="H36" s="19">
        <v>107331.44</v>
      </c>
      <c r="I36" s="19" t="str">
        <f>IF(Tabela1[[#This Row],[Bónus]]&gt;=50000,"correcto","por verificar")</f>
        <v>correcto</v>
      </c>
      <c r="J36" s="19">
        <v>59945.27</v>
      </c>
      <c r="K36" s="19" t="str">
        <f>IF(Tabela1[[#This Row],[Desconto]]&lt;=30000,"Por verificar","correcto")</f>
        <v>correcto</v>
      </c>
      <c r="L36" s="19">
        <v>864945.16999999993</v>
      </c>
      <c r="M36" s="19" t="str">
        <f>IF(Tabela1[[#This Row],[Salário Líquido]]&gt;=500000,"correcto","por verificar")</f>
        <v>correcto</v>
      </c>
      <c r="N36" t="s">
        <v>27</v>
      </c>
    </row>
    <row r="37" spans="1:14" x14ac:dyDescent="0.35">
      <c r="A37" t="s">
        <v>107</v>
      </c>
      <c r="B37" t="s">
        <v>108</v>
      </c>
      <c r="C37" t="s">
        <v>30</v>
      </c>
      <c r="D37" t="s">
        <v>35</v>
      </c>
      <c r="E37" t="s">
        <v>72</v>
      </c>
      <c r="F37" s="2">
        <v>45428</v>
      </c>
      <c r="G37">
        <v>129040</v>
      </c>
      <c r="H37" s="19">
        <v>31880.85</v>
      </c>
      <c r="I37" s="19" t="str">
        <f>IF(Tabela1[[#This Row],[Bónus]]&gt;=50000,"correcto","por verificar")</f>
        <v>por verificar</v>
      </c>
      <c r="J37" s="19">
        <v>6951.16</v>
      </c>
      <c r="K37" s="19" t="str">
        <f>IF(Tabela1[[#This Row],[Desconto]]&lt;=30000,"Por verificar","correcto")</f>
        <v>Por verificar</v>
      </c>
      <c r="L37" s="19">
        <v>153969.69</v>
      </c>
      <c r="M37" s="19" t="str">
        <f>IF(Tabela1[[#This Row],[Salário Líquido]]&gt;=500000,"correcto","por verificar")</f>
        <v>por verificar</v>
      </c>
      <c r="N37" t="s">
        <v>16</v>
      </c>
    </row>
    <row r="38" spans="1:14" x14ac:dyDescent="0.35">
      <c r="A38" t="s">
        <v>109</v>
      </c>
      <c r="B38" t="s">
        <v>110</v>
      </c>
      <c r="C38" t="s">
        <v>13</v>
      </c>
      <c r="D38" t="s">
        <v>40</v>
      </c>
      <c r="E38" t="s">
        <v>21</v>
      </c>
      <c r="F38" s="2">
        <v>44681</v>
      </c>
      <c r="G38">
        <v>2451061</v>
      </c>
      <c r="H38" s="19">
        <v>447010.44</v>
      </c>
      <c r="I38" s="19" t="str">
        <f>IF(Tabela1[[#This Row],[Bónus]]&gt;=50000,"correcto","por verificar")</f>
        <v>correcto</v>
      </c>
      <c r="J38" s="19">
        <v>180889.35</v>
      </c>
      <c r="K38" s="19" t="str">
        <f>IF(Tabela1[[#This Row],[Desconto]]&lt;=30000,"Por verificar","correcto")</f>
        <v>correcto</v>
      </c>
      <c r="L38" s="19">
        <v>2717182.09</v>
      </c>
      <c r="M38" s="19" t="str">
        <f>IF(Tabela1[[#This Row],[Salário Líquido]]&gt;=500000,"correcto","por verificar")</f>
        <v>correcto</v>
      </c>
      <c r="N38" t="s">
        <v>16</v>
      </c>
    </row>
    <row r="39" spans="1:14" x14ac:dyDescent="0.35">
      <c r="A39" t="s">
        <v>111</v>
      </c>
      <c r="B39" t="s">
        <v>112</v>
      </c>
      <c r="C39" t="s">
        <v>19</v>
      </c>
      <c r="D39" t="s">
        <v>25</v>
      </c>
      <c r="E39" t="s">
        <v>88</v>
      </c>
      <c r="F39" s="2">
        <v>45591</v>
      </c>
      <c r="G39">
        <v>2394131</v>
      </c>
      <c r="H39" s="19">
        <v>148894.63</v>
      </c>
      <c r="I39" s="19" t="str">
        <f>IF(Tabela1[[#This Row],[Bónus]]&gt;=50000,"correcto","por verificar")</f>
        <v>correcto</v>
      </c>
      <c r="J39" s="19">
        <v>139396.92000000001</v>
      </c>
      <c r="K39" s="19" t="str">
        <f>IF(Tabela1[[#This Row],[Desconto]]&lt;=30000,"Por verificar","correcto")</f>
        <v>correcto</v>
      </c>
      <c r="L39" s="19">
        <v>2403628.71</v>
      </c>
      <c r="M39" s="19" t="str">
        <f>IF(Tabela1[[#This Row],[Salário Líquido]]&gt;=500000,"correcto","por verificar")</f>
        <v>correcto</v>
      </c>
      <c r="N39" t="s">
        <v>16</v>
      </c>
    </row>
    <row r="40" spans="1:14" x14ac:dyDescent="0.35">
      <c r="A40" t="s">
        <v>113</v>
      </c>
      <c r="B40" t="s">
        <v>114</v>
      </c>
      <c r="C40" t="s">
        <v>30</v>
      </c>
      <c r="D40" t="s">
        <v>14</v>
      </c>
      <c r="E40" t="s">
        <v>15</v>
      </c>
      <c r="F40" s="2">
        <v>45780</v>
      </c>
      <c r="G40">
        <v>780320</v>
      </c>
      <c r="H40" s="19">
        <v>47892.85</v>
      </c>
      <c r="I40" s="19" t="str">
        <f>IF(Tabela1[[#This Row],[Bónus]]&gt;=50000,"correcto","por verificar")</f>
        <v>por verificar</v>
      </c>
      <c r="J40" s="19">
        <v>59073.79</v>
      </c>
      <c r="K40" s="19" t="str">
        <f>IF(Tabela1[[#This Row],[Desconto]]&lt;=30000,"Por verificar","correcto")</f>
        <v>correcto</v>
      </c>
      <c r="L40" s="19">
        <v>769139.05999999994</v>
      </c>
      <c r="M40" s="19" t="str">
        <f>IF(Tabela1[[#This Row],[Salário Líquido]]&gt;=500000,"correcto","por verificar")</f>
        <v>correcto</v>
      </c>
      <c r="N40" t="s">
        <v>45</v>
      </c>
    </row>
    <row r="41" spans="1:14" x14ac:dyDescent="0.35">
      <c r="A41" t="s">
        <v>115</v>
      </c>
      <c r="B41" t="s">
        <v>116</v>
      </c>
      <c r="C41" t="s">
        <v>39</v>
      </c>
      <c r="D41" t="s">
        <v>14</v>
      </c>
      <c r="E41" t="s">
        <v>41</v>
      </c>
      <c r="F41" s="2">
        <v>45779</v>
      </c>
      <c r="G41">
        <v>1106516</v>
      </c>
      <c r="H41" s="19">
        <v>144682.62</v>
      </c>
      <c r="I41" s="19" t="str">
        <f>IF(Tabela1[[#This Row],[Bónus]]&gt;=50000,"correcto","por verificar")</f>
        <v>correcto</v>
      </c>
      <c r="J41" s="19">
        <v>126965.69</v>
      </c>
      <c r="K41" s="19" t="str">
        <f>IF(Tabela1[[#This Row],[Desconto]]&lt;=30000,"Por verificar","correcto")</f>
        <v>correcto</v>
      </c>
      <c r="L41" s="19">
        <v>1124232.93</v>
      </c>
      <c r="M41" s="19" t="str">
        <f>IF(Tabela1[[#This Row],[Salário Líquido]]&gt;=500000,"correcto","por verificar")</f>
        <v>correcto</v>
      </c>
      <c r="N41" t="s">
        <v>45</v>
      </c>
    </row>
    <row r="42" spans="1:14" x14ac:dyDescent="0.35">
      <c r="A42" t="s">
        <v>117</v>
      </c>
      <c r="B42" t="s">
        <v>118</v>
      </c>
      <c r="C42" t="s">
        <v>39</v>
      </c>
      <c r="D42" t="s">
        <v>40</v>
      </c>
      <c r="E42" t="s">
        <v>72</v>
      </c>
      <c r="F42" s="2">
        <v>44980</v>
      </c>
      <c r="G42">
        <v>463863</v>
      </c>
      <c r="H42" s="19">
        <v>62085.74</v>
      </c>
      <c r="I42" s="19" t="str">
        <f>IF(Tabela1[[#This Row],[Bónus]]&gt;=50000,"correcto","por verificar")</f>
        <v>correcto</v>
      </c>
      <c r="J42" s="19">
        <v>38282.85</v>
      </c>
      <c r="K42" s="19" t="str">
        <f>IF(Tabela1[[#This Row],[Desconto]]&lt;=30000,"Por verificar","correcto")</f>
        <v>correcto</v>
      </c>
      <c r="L42" s="19">
        <v>487665.89</v>
      </c>
      <c r="M42" s="19" t="str">
        <f>IF(Tabela1[[#This Row],[Salário Líquido]]&gt;=500000,"correcto","por verificar")</f>
        <v>por verificar</v>
      </c>
      <c r="N42" t="s">
        <v>16</v>
      </c>
    </row>
    <row r="43" spans="1:14" x14ac:dyDescent="0.35">
      <c r="A43" t="s">
        <v>119</v>
      </c>
      <c r="B43" t="s">
        <v>120</v>
      </c>
      <c r="C43" t="s">
        <v>24</v>
      </c>
      <c r="D43" t="s">
        <v>54</v>
      </c>
      <c r="E43" t="s">
        <v>72</v>
      </c>
      <c r="F43" s="2">
        <v>45498</v>
      </c>
      <c r="G43">
        <v>1437782</v>
      </c>
      <c r="H43" s="19">
        <v>140524.76999999999</v>
      </c>
      <c r="I43" s="19" t="str">
        <f>IF(Tabela1[[#This Row],[Bónus]]&gt;=50000,"correcto","por verificar")</f>
        <v>correcto</v>
      </c>
      <c r="J43" s="19">
        <v>94348.3</v>
      </c>
      <c r="K43" s="19" t="str">
        <f>IF(Tabela1[[#This Row],[Desconto]]&lt;=30000,"Por verificar","correcto")</f>
        <v>correcto</v>
      </c>
      <c r="L43" s="19">
        <v>1483958.47</v>
      </c>
      <c r="M43" s="19" t="str">
        <f>IF(Tabela1[[#This Row],[Salário Líquido]]&gt;=500000,"correcto","por verificar")</f>
        <v>correcto</v>
      </c>
      <c r="N43" t="s">
        <v>27</v>
      </c>
    </row>
    <row r="44" spans="1:14" x14ac:dyDescent="0.35">
      <c r="A44" t="s">
        <v>121</v>
      </c>
      <c r="B44" t="s">
        <v>122</v>
      </c>
      <c r="C44" t="s">
        <v>39</v>
      </c>
      <c r="D44" t="s">
        <v>20</v>
      </c>
      <c r="E44" t="s">
        <v>15</v>
      </c>
      <c r="F44" s="2">
        <v>45663</v>
      </c>
      <c r="G44">
        <v>424267</v>
      </c>
      <c r="H44" s="19">
        <v>22003.8</v>
      </c>
      <c r="I44" s="19" t="str">
        <f>IF(Tabela1[[#This Row],[Bónus]]&gt;=50000,"correcto","por verificar")</f>
        <v>por verificar</v>
      </c>
      <c r="J44" s="19">
        <v>36446.370000000003</v>
      </c>
      <c r="K44" s="19" t="str">
        <f>IF(Tabela1[[#This Row],[Desconto]]&lt;=30000,"Por verificar","correcto")</f>
        <v>correcto</v>
      </c>
      <c r="L44" s="19">
        <v>409824.43</v>
      </c>
      <c r="M44" s="19" t="str">
        <f>IF(Tabela1[[#This Row],[Salário Líquido]]&gt;=500000,"correcto","por verificar")</f>
        <v>por verificar</v>
      </c>
      <c r="N44" t="s">
        <v>45</v>
      </c>
    </row>
    <row r="45" spans="1:14" x14ac:dyDescent="0.35">
      <c r="A45" t="s">
        <v>123</v>
      </c>
      <c r="B45" t="s">
        <v>124</v>
      </c>
      <c r="C45" t="s">
        <v>19</v>
      </c>
      <c r="D45" t="s">
        <v>14</v>
      </c>
      <c r="E45" t="s">
        <v>48</v>
      </c>
      <c r="F45" s="2">
        <v>45145</v>
      </c>
      <c r="G45">
        <v>2241834</v>
      </c>
      <c r="H45" s="19">
        <v>230998.76</v>
      </c>
      <c r="I45" s="19" t="str">
        <f>IF(Tabela1[[#This Row],[Bónus]]&gt;=50000,"correcto","por verificar")</f>
        <v>correcto</v>
      </c>
      <c r="J45" s="19">
        <v>255554.15</v>
      </c>
      <c r="K45" s="19" t="str">
        <f>IF(Tabela1[[#This Row],[Desconto]]&lt;=30000,"Por verificar","correcto")</f>
        <v>correcto</v>
      </c>
      <c r="L45" s="19">
        <v>2217278.61</v>
      </c>
      <c r="M45" s="19" t="str">
        <f>IF(Tabela1[[#This Row],[Salário Líquido]]&gt;=500000,"correcto","por verificar")</f>
        <v>correcto</v>
      </c>
      <c r="N45" t="s">
        <v>45</v>
      </c>
    </row>
    <row r="46" spans="1:14" x14ac:dyDescent="0.35">
      <c r="A46" t="s">
        <v>125</v>
      </c>
      <c r="B46" t="s">
        <v>126</v>
      </c>
      <c r="C46" t="s">
        <v>39</v>
      </c>
      <c r="D46" t="s">
        <v>54</v>
      </c>
      <c r="E46" t="s">
        <v>36</v>
      </c>
      <c r="F46" s="2">
        <v>44578</v>
      </c>
      <c r="G46">
        <v>1957879</v>
      </c>
      <c r="H46" s="19">
        <v>424368.3</v>
      </c>
      <c r="I46" s="19" t="str">
        <f>IF(Tabela1[[#This Row],[Bónus]]&gt;=50000,"correcto","por verificar")</f>
        <v>correcto</v>
      </c>
      <c r="J46" s="19">
        <v>182706.51</v>
      </c>
      <c r="K46" s="19" t="str">
        <f>IF(Tabela1[[#This Row],[Desconto]]&lt;=30000,"Por verificar","correcto")</f>
        <v>correcto</v>
      </c>
      <c r="L46" s="19">
        <v>2199540.79</v>
      </c>
      <c r="M46" s="19" t="str">
        <f>IF(Tabela1[[#This Row],[Salário Líquido]]&gt;=500000,"correcto","por verificar")</f>
        <v>correcto</v>
      </c>
      <c r="N46" t="s">
        <v>16</v>
      </c>
    </row>
    <row r="47" spans="1:14" x14ac:dyDescent="0.35">
      <c r="A47" t="s">
        <v>127</v>
      </c>
      <c r="B47" t="s">
        <v>128</v>
      </c>
      <c r="C47" t="s">
        <v>13</v>
      </c>
      <c r="D47" t="s">
        <v>40</v>
      </c>
      <c r="E47" t="s">
        <v>15</v>
      </c>
      <c r="F47" s="2">
        <v>46384</v>
      </c>
      <c r="G47">
        <v>2446170</v>
      </c>
      <c r="H47" s="19">
        <v>268774.76</v>
      </c>
      <c r="I47" s="19" t="str">
        <f>IF(Tabela1[[#This Row],[Bónus]]&gt;=50000,"correcto","por verificar")</f>
        <v>correcto</v>
      </c>
      <c r="J47" s="19">
        <v>219433.64</v>
      </c>
      <c r="K47" s="19" t="str">
        <f>IF(Tabela1[[#This Row],[Desconto]]&lt;=30000,"Por verificar","correcto")</f>
        <v>correcto</v>
      </c>
      <c r="L47" s="19">
        <v>2495511.12</v>
      </c>
      <c r="M47" s="19" t="str">
        <f>IF(Tabela1[[#This Row],[Salário Líquido]]&gt;=500000,"correcto","por verificar")</f>
        <v>correcto</v>
      </c>
      <c r="N47" t="s">
        <v>45</v>
      </c>
    </row>
    <row r="48" spans="1:14" x14ac:dyDescent="0.35">
      <c r="A48" t="s">
        <v>129</v>
      </c>
      <c r="B48" t="s">
        <v>130</v>
      </c>
      <c r="C48" t="s">
        <v>13</v>
      </c>
      <c r="D48" t="s">
        <v>54</v>
      </c>
      <c r="E48" t="s">
        <v>48</v>
      </c>
      <c r="F48" s="2">
        <v>44978</v>
      </c>
      <c r="G48">
        <v>2440388</v>
      </c>
      <c r="H48" s="19">
        <v>197890.04</v>
      </c>
      <c r="I48" s="19" t="str">
        <f>IF(Tabela1[[#This Row],[Bónus]]&gt;=50000,"correcto","por verificar")</f>
        <v>correcto</v>
      </c>
      <c r="J48" s="19">
        <v>135095.16</v>
      </c>
      <c r="K48" s="19" t="str">
        <f>IF(Tabela1[[#This Row],[Desconto]]&lt;=30000,"Por verificar","correcto")</f>
        <v>correcto</v>
      </c>
      <c r="L48" s="19">
        <v>2503182.88</v>
      </c>
      <c r="M48" s="19" t="str">
        <f>IF(Tabela1[[#This Row],[Salário Líquido]]&gt;=500000,"correcto","por verificar")</f>
        <v>correcto</v>
      </c>
      <c r="N48" t="s">
        <v>16</v>
      </c>
    </row>
    <row r="49" spans="1:14" x14ac:dyDescent="0.35">
      <c r="A49" t="s">
        <v>131</v>
      </c>
      <c r="B49" t="s">
        <v>132</v>
      </c>
      <c r="C49" t="s">
        <v>30</v>
      </c>
      <c r="D49" t="s">
        <v>20</v>
      </c>
      <c r="E49" t="s">
        <v>15</v>
      </c>
      <c r="F49" s="2">
        <v>45861</v>
      </c>
      <c r="G49">
        <v>1227228</v>
      </c>
      <c r="H49" s="19">
        <v>185411.83</v>
      </c>
      <c r="I49" s="19" t="str">
        <f>IF(Tabela1[[#This Row],[Bónus]]&gt;=50000,"correcto","por verificar")</f>
        <v>correcto</v>
      </c>
      <c r="J49" s="19">
        <v>64553.31</v>
      </c>
      <c r="K49" s="19" t="str">
        <f>IF(Tabela1[[#This Row],[Desconto]]&lt;=30000,"Por verificar","correcto")</f>
        <v>correcto</v>
      </c>
      <c r="L49" s="19">
        <v>1348086.52</v>
      </c>
      <c r="M49" s="19" t="str">
        <f>IF(Tabela1[[#This Row],[Salário Líquido]]&gt;=500000,"correcto","por verificar")</f>
        <v>correcto</v>
      </c>
      <c r="N49" t="s">
        <v>27</v>
      </c>
    </row>
    <row r="50" spans="1:14" x14ac:dyDescent="0.35">
      <c r="A50" t="s">
        <v>133</v>
      </c>
      <c r="B50" t="s">
        <v>134</v>
      </c>
      <c r="C50" t="s">
        <v>13</v>
      </c>
      <c r="D50" t="s">
        <v>54</v>
      </c>
      <c r="E50" t="s">
        <v>72</v>
      </c>
      <c r="F50" s="2">
        <v>44892</v>
      </c>
      <c r="G50">
        <v>1280480</v>
      </c>
      <c r="H50" s="19">
        <v>75314.44</v>
      </c>
      <c r="I50" s="19" t="str">
        <f>IF(Tabela1[[#This Row],[Bónus]]&gt;=50000,"correcto","por verificar")</f>
        <v>correcto</v>
      </c>
      <c r="J50" s="19">
        <v>76854.52</v>
      </c>
      <c r="K50" s="19" t="str">
        <f>IF(Tabela1[[#This Row],[Desconto]]&lt;=30000,"Por verificar","correcto")</f>
        <v>correcto</v>
      </c>
      <c r="L50" s="19">
        <v>1278939.92</v>
      </c>
      <c r="M50" s="19" t="str">
        <f>IF(Tabela1[[#This Row],[Salário Líquido]]&gt;=500000,"correcto","por verificar")</f>
        <v>correcto</v>
      </c>
      <c r="N50" t="s">
        <v>16</v>
      </c>
    </row>
    <row r="51" spans="1:14" x14ac:dyDescent="0.35">
      <c r="A51" t="s">
        <v>135</v>
      </c>
      <c r="B51" t="s">
        <v>136</v>
      </c>
      <c r="C51" t="s">
        <v>19</v>
      </c>
      <c r="D51" t="s">
        <v>20</v>
      </c>
      <c r="E51" t="s">
        <v>15</v>
      </c>
      <c r="F51" s="2">
        <v>46370</v>
      </c>
      <c r="G51">
        <v>1973192</v>
      </c>
      <c r="H51" s="19">
        <v>316373.88</v>
      </c>
      <c r="I51" s="19" t="str">
        <f>IF(Tabela1[[#This Row],[Bónus]]&gt;=50000,"correcto","por verificar")</f>
        <v>correcto</v>
      </c>
      <c r="J51" s="19">
        <v>135147.51999999999</v>
      </c>
      <c r="K51" s="19" t="str">
        <f>IF(Tabela1[[#This Row],[Desconto]]&lt;=30000,"Por verificar","correcto")</f>
        <v>correcto</v>
      </c>
      <c r="L51" s="19">
        <v>2154418.36</v>
      </c>
      <c r="M51" s="19" t="str">
        <f>IF(Tabela1[[#This Row],[Salário Líquido]]&gt;=500000,"correcto","por verificar")</f>
        <v>correcto</v>
      </c>
      <c r="N51" t="s">
        <v>16</v>
      </c>
    </row>
    <row r="52" spans="1:14" x14ac:dyDescent="0.35">
      <c r="A52" t="s">
        <v>137</v>
      </c>
      <c r="B52" t="s">
        <v>138</v>
      </c>
      <c r="C52" t="s">
        <v>39</v>
      </c>
      <c r="D52" t="s">
        <v>25</v>
      </c>
      <c r="E52" t="s">
        <v>51</v>
      </c>
      <c r="F52" s="2">
        <v>45442</v>
      </c>
      <c r="G52">
        <v>745178</v>
      </c>
      <c r="H52" s="19">
        <v>118571.28</v>
      </c>
      <c r="I52" s="19" t="str">
        <f>IF(Tabela1[[#This Row],[Bónus]]&gt;=50000,"correcto","por verificar")</f>
        <v>correcto</v>
      </c>
      <c r="J52" s="19">
        <v>78328.31</v>
      </c>
      <c r="K52" s="19" t="str">
        <f>IF(Tabela1[[#This Row],[Desconto]]&lt;=30000,"Por verificar","correcto")</f>
        <v>correcto</v>
      </c>
      <c r="L52" s="19">
        <v>785420.97</v>
      </c>
      <c r="M52" s="19" t="str">
        <f>IF(Tabela1[[#This Row],[Salário Líquido]]&gt;=500000,"correcto","por verificar")</f>
        <v>correcto</v>
      </c>
      <c r="N52" t="s">
        <v>45</v>
      </c>
    </row>
    <row r="53" spans="1:14" x14ac:dyDescent="0.35">
      <c r="A53" t="s">
        <v>139</v>
      </c>
      <c r="B53" t="s">
        <v>140</v>
      </c>
      <c r="C53" t="s">
        <v>30</v>
      </c>
      <c r="D53" t="s">
        <v>20</v>
      </c>
      <c r="E53" t="s">
        <v>48</v>
      </c>
      <c r="F53" s="2">
        <v>44992</v>
      </c>
      <c r="G53">
        <v>295442</v>
      </c>
      <c r="H53" s="19">
        <v>32986.589999999997</v>
      </c>
      <c r="I53" s="19" t="str">
        <f>IF(Tabela1[[#This Row],[Bónus]]&gt;=50000,"correcto","por verificar")</f>
        <v>por verificar</v>
      </c>
      <c r="J53" s="19">
        <v>32766.98</v>
      </c>
      <c r="K53" s="19" t="str">
        <f>IF(Tabela1[[#This Row],[Desconto]]&lt;=30000,"Por verificar","correcto")</f>
        <v>correcto</v>
      </c>
      <c r="L53" s="19">
        <v>295661.61</v>
      </c>
      <c r="M53" s="19" t="str">
        <f>IF(Tabela1[[#This Row],[Salário Líquido]]&gt;=500000,"correcto","por verificar")</f>
        <v>por verificar</v>
      </c>
      <c r="N53" t="s">
        <v>16</v>
      </c>
    </row>
    <row r="54" spans="1:14" x14ac:dyDescent="0.35">
      <c r="A54" t="s">
        <v>141</v>
      </c>
      <c r="B54" t="s">
        <v>142</v>
      </c>
      <c r="C54" t="s">
        <v>39</v>
      </c>
      <c r="D54" t="s">
        <v>35</v>
      </c>
      <c r="E54" t="s">
        <v>41</v>
      </c>
      <c r="F54" s="2">
        <v>46096</v>
      </c>
      <c r="G54">
        <v>1166603</v>
      </c>
      <c r="H54" s="19">
        <v>213939.45</v>
      </c>
      <c r="I54" s="19" t="str">
        <f>IF(Tabela1[[#This Row],[Bónus]]&gt;=50000,"correcto","por verificar")</f>
        <v>correcto</v>
      </c>
      <c r="J54" s="19">
        <v>72132.320000000007</v>
      </c>
      <c r="K54" s="19" t="str">
        <f>IF(Tabela1[[#This Row],[Desconto]]&lt;=30000,"Por verificar","correcto")</f>
        <v>correcto</v>
      </c>
      <c r="L54" s="19">
        <v>1308410.1299999999</v>
      </c>
      <c r="M54" s="19" t="str">
        <f>IF(Tabela1[[#This Row],[Salário Líquido]]&gt;=500000,"correcto","por verificar")</f>
        <v>correcto</v>
      </c>
      <c r="N54" t="s">
        <v>45</v>
      </c>
    </row>
    <row r="55" spans="1:14" x14ac:dyDescent="0.35">
      <c r="A55" t="s">
        <v>143</v>
      </c>
      <c r="B55" t="s">
        <v>144</v>
      </c>
      <c r="C55" t="s">
        <v>30</v>
      </c>
      <c r="D55" t="s">
        <v>14</v>
      </c>
      <c r="E55" t="s">
        <v>26</v>
      </c>
      <c r="F55" s="2">
        <v>44612</v>
      </c>
      <c r="G55">
        <v>1112948</v>
      </c>
      <c r="H55" s="19">
        <v>248099.64</v>
      </c>
      <c r="I55" s="19" t="str">
        <f>IF(Tabela1[[#This Row],[Bónus]]&gt;=50000,"correcto","por verificar")</f>
        <v>correcto</v>
      </c>
      <c r="J55" s="19">
        <v>131170.43</v>
      </c>
      <c r="K55" s="19" t="str">
        <f>IF(Tabela1[[#This Row],[Desconto]]&lt;=30000,"Por verificar","correcto")</f>
        <v>correcto</v>
      </c>
      <c r="L55" s="19">
        <v>1229877.21</v>
      </c>
      <c r="M55" s="19" t="str">
        <f>IF(Tabela1[[#This Row],[Salário Líquido]]&gt;=500000,"correcto","por verificar")</f>
        <v>correcto</v>
      </c>
      <c r="N55" t="s">
        <v>45</v>
      </c>
    </row>
    <row r="56" spans="1:14" x14ac:dyDescent="0.35">
      <c r="A56" t="s">
        <v>145</v>
      </c>
      <c r="B56" t="s">
        <v>146</v>
      </c>
      <c r="C56" t="s">
        <v>24</v>
      </c>
      <c r="D56" t="s">
        <v>54</v>
      </c>
      <c r="E56" t="s">
        <v>21</v>
      </c>
      <c r="F56" s="2">
        <v>45108</v>
      </c>
      <c r="G56">
        <v>1513286</v>
      </c>
      <c r="H56" s="19">
        <v>312459.21000000002</v>
      </c>
      <c r="I56" s="19" t="str">
        <f>IF(Tabela1[[#This Row],[Bónus]]&gt;=50000,"correcto","por verificar")</f>
        <v>correcto</v>
      </c>
      <c r="J56" s="19">
        <v>101472.16</v>
      </c>
      <c r="K56" s="19" t="str">
        <f>IF(Tabela1[[#This Row],[Desconto]]&lt;=30000,"Por verificar","correcto")</f>
        <v>correcto</v>
      </c>
      <c r="L56" s="19">
        <v>1724273.05</v>
      </c>
      <c r="M56" s="19" t="str">
        <f>IF(Tabela1[[#This Row],[Salário Líquido]]&gt;=500000,"correcto","por verificar")</f>
        <v>correcto</v>
      </c>
      <c r="N56" t="s">
        <v>45</v>
      </c>
    </row>
    <row r="57" spans="1:14" x14ac:dyDescent="0.35">
      <c r="A57" t="s">
        <v>147</v>
      </c>
      <c r="B57" t="s">
        <v>148</v>
      </c>
      <c r="C57" t="s">
        <v>63</v>
      </c>
      <c r="D57" t="s">
        <v>14</v>
      </c>
      <c r="E57" t="s">
        <v>21</v>
      </c>
      <c r="F57" s="2">
        <v>46234</v>
      </c>
      <c r="G57">
        <v>573385</v>
      </c>
      <c r="H57" s="19">
        <v>72537.990000000005</v>
      </c>
      <c r="I57" s="19" t="str">
        <f>IF(Tabela1[[#This Row],[Bónus]]&gt;=50000,"correcto","por verificar")</f>
        <v>correcto</v>
      </c>
      <c r="J57" s="19">
        <v>19199.919999999998</v>
      </c>
      <c r="K57" s="19" t="str">
        <f>IF(Tabela1[[#This Row],[Desconto]]&lt;=30000,"Por verificar","correcto")</f>
        <v>Por verificar</v>
      </c>
      <c r="L57" s="19">
        <v>626723.06999999995</v>
      </c>
      <c r="M57" s="19" t="str">
        <f>IF(Tabela1[[#This Row],[Salário Líquido]]&gt;=500000,"correcto","por verificar")</f>
        <v>correcto</v>
      </c>
      <c r="N57" t="s">
        <v>27</v>
      </c>
    </row>
    <row r="58" spans="1:14" x14ac:dyDescent="0.35">
      <c r="A58" t="s">
        <v>149</v>
      </c>
      <c r="B58" t="s">
        <v>150</v>
      </c>
      <c r="C58" t="s">
        <v>13</v>
      </c>
      <c r="D58" t="s">
        <v>14</v>
      </c>
      <c r="E58" t="s">
        <v>77</v>
      </c>
      <c r="F58" s="2">
        <v>45913</v>
      </c>
      <c r="G58">
        <v>1586573</v>
      </c>
      <c r="H58" s="19">
        <v>176170.17</v>
      </c>
      <c r="I58" s="19" t="str">
        <f>IF(Tabela1[[#This Row],[Bónus]]&gt;=50000,"correcto","por verificar")</f>
        <v>correcto</v>
      </c>
      <c r="J58" s="19">
        <v>161165.82</v>
      </c>
      <c r="K58" s="19" t="str">
        <f>IF(Tabela1[[#This Row],[Desconto]]&lt;=30000,"Por verificar","correcto")</f>
        <v>correcto</v>
      </c>
      <c r="L58" s="19">
        <v>1601577.35</v>
      </c>
      <c r="M58" s="19" t="str">
        <f>IF(Tabela1[[#This Row],[Salário Líquido]]&gt;=500000,"correcto","por verificar")</f>
        <v>correcto</v>
      </c>
      <c r="N58" t="s">
        <v>45</v>
      </c>
    </row>
    <row r="59" spans="1:14" x14ac:dyDescent="0.35">
      <c r="A59" t="s">
        <v>151</v>
      </c>
      <c r="B59" t="s">
        <v>152</v>
      </c>
      <c r="C59" t="s">
        <v>30</v>
      </c>
      <c r="D59" t="s">
        <v>40</v>
      </c>
      <c r="E59" t="s">
        <v>48</v>
      </c>
      <c r="F59" s="2">
        <v>45875</v>
      </c>
      <c r="G59">
        <v>1791287</v>
      </c>
      <c r="H59" s="19">
        <v>207166.62</v>
      </c>
      <c r="I59" s="19" t="str">
        <f>IF(Tabela1[[#This Row],[Bónus]]&gt;=50000,"correcto","por verificar")</f>
        <v>correcto</v>
      </c>
      <c r="J59" s="19">
        <v>193085.99</v>
      </c>
      <c r="K59" s="19" t="str">
        <f>IF(Tabela1[[#This Row],[Desconto]]&lt;=30000,"Por verificar","correcto")</f>
        <v>correcto</v>
      </c>
      <c r="L59" s="19">
        <v>1805367.63</v>
      </c>
      <c r="M59" s="19" t="str">
        <f>IF(Tabela1[[#This Row],[Salário Líquido]]&gt;=500000,"correcto","por verificar")</f>
        <v>correcto</v>
      </c>
      <c r="N59" t="s">
        <v>16</v>
      </c>
    </row>
    <row r="60" spans="1:14" x14ac:dyDescent="0.35">
      <c r="A60" t="s">
        <v>153</v>
      </c>
      <c r="B60" t="s">
        <v>154</v>
      </c>
      <c r="C60" t="s">
        <v>44</v>
      </c>
      <c r="D60" t="s">
        <v>20</v>
      </c>
      <c r="E60" t="s">
        <v>15</v>
      </c>
      <c r="F60" s="2">
        <v>46358</v>
      </c>
      <c r="G60">
        <v>1796372</v>
      </c>
      <c r="H60" s="19">
        <v>333952.06</v>
      </c>
      <c r="I60" s="19" t="str">
        <f>IF(Tabela1[[#This Row],[Bónus]]&gt;=50000,"correcto","por verificar")</f>
        <v>correcto</v>
      </c>
      <c r="J60" s="19">
        <v>190288.8</v>
      </c>
      <c r="K60" s="19" t="str">
        <f>IF(Tabela1[[#This Row],[Desconto]]&lt;=30000,"Por verificar","correcto")</f>
        <v>correcto</v>
      </c>
      <c r="L60" s="19">
        <v>1940035.26</v>
      </c>
      <c r="M60" s="19" t="str">
        <f>IF(Tabela1[[#This Row],[Salário Líquido]]&gt;=500000,"correcto","por verificar")</f>
        <v>correcto</v>
      </c>
      <c r="N60" t="s">
        <v>27</v>
      </c>
    </row>
    <row r="61" spans="1:14" x14ac:dyDescent="0.35">
      <c r="A61" t="s">
        <v>155</v>
      </c>
      <c r="B61" t="s">
        <v>156</v>
      </c>
      <c r="C61" t="s">
        <v>19</v>
      </c>
      <c r="D61" t="s">
        <v>20</v>
      </c>
      <c r="E61" t="s">
        <v>41</v>
      </c>
      <c r="F61" s="2">
        <v>45451</v>
      </c>
      <c r="G61">
        <v>868967</v>
      </c>
      <c r="H61" s="19">
        <v>144351.01</v>
      </c>
      <c r="I61" s="19" t="str">
        <f>IF(Tabela1[[#This Row],[Bónus]]&gt;=50000,"correcto","por verificar")</f>
        <v>correcto</v>
      </c>
      <c r="J61" s="19">
        <v>102989.58</v>
      </c>
      <c r="K61" s="19" t="str">
        <f>IF(Tabela1[[#This Row],[Desconto]]&lt;=30000,"Por verificar","correcto")</f>
        <v>correcto</v>
      </c>
      <c r="L61" s="19">
        <v>910328.43</v>
      </c>
      <c r="M61" s="19" t="str">
        <f>IF(Tabela1[[#This Row],[Salário Líquido]]&gt;=500000,"correcto","por verificar")</f>
        <v>correcto</v>
      </c>
      <c r="N61" t="s">
        <v>27</v>
      </c>
    </row>
    <row r="62" spans="1:14" x14ac:dyDescent="0.35">
      <c r="A62" t="s">
        <v>157</v>
      </c>
      <c r="B62" t="s">
        <v>158</v>
      </c>
      <c r="C62" t="s">
        <v>19</v>
      </c>
      <c r="D62" t="s">
        <v>35</v>
      </c>
      <c r="E62" t="s">
        <v>41</v>
      </c>
      <c r="F62" s="2">
        <v>44951</v>
      </c>
      <c r="G62">
        <v>1435658</v>
      </c>
      <c r="H62" s="19">
        <v>197085.37</v>
      </c>
      <c r="I62" s="19" t="str">
        <f>IF(Tabela1[[#This Row],[Bónus]]&gt;=50000,"correcto","por verificar")</f>
        <v>correcto</v>
      </c>
      <c r="J62" s="19">
        <v>170242.09</v>
      </c>
      <c r="K62" s="19" t="str">
        <f>IF(Tabela1[[#This Row],[Desconto]]&lt;=30000,"Por verificar","correcto")</f>
        <v>correcto</v>
      </c>
      <c r="L62" s="19">
        <v>1462501.28</v>
      </c>
      <c r="M62" s="19" t="str">
        <f>IF(Tabela1[[#This Row],[Salário Líquido]]&gt;=500000,"correcto","por verificar")</f>
        <v>correcto</v>
      </c>
      <c r="N62" t="s">
        <v>27</v>
      </c>
    </row>
    <row r="63" spans="1:14" x14ac:dyDescent="0.35">
      <c r="A63" t="s">
        <v>159</v>
      </c>
      <c r="B63" t="s">
        <v>160</v>
      </c>
      <c r="C63" t="s">
        <v>30</v>
      </c>
      <c r="D63" t="s">
        <v>25</v>
      </c>
      <c r="E63" t="s">
        <v>21</v>
      </c>
      <c r="F63" s="2">
        <v>45307</v>
      </c>
      <c r="G63">
        <v>306170</v>
      </c>
      <c r="H63" s="19">
        <v>58710.26</v>
      </c>
      <c r="I63" s="19" t="str">
        <f>IF(Tabela1[[#This Row],[Bónus]]&gt;=50000,"correcto","por verificar")</f>
        <v>correcto</v>
      </c>
      <c r="J63" s="19">
        <v>9231.7000000000007</v>
      </c>
      <c r="K63" s="19" t="str">
        <f>IF(Tabela1[[#This Row],[Desconto]]&lt;=30000,"Por verificar","correcto")</f>
        <v>Por verificar</v>
      </c>
      <c r="L63" s="19">
        <v>355648.56</v>
      </c>
      <c r="M63" s="19" t="str">
        <f>IF(Tabela1[[#This Row],[Salário Líquido]]&gt;=500000,"correcto","por verificar")</f>
        <v>por verificar</v>
      </c>
      <c r="N63" t="s">
        <v>27</v>
      </c>
    </row>
    <row r="64" spans="1:14" x14ac:dyDescent="0.35">
      <c r="A64" t="s">
        <v>161</v>
      </c>
      <c r="B64" t="s">
        <v>162</v>
      </c>
      <c r="C64" t="s">
        <v>39</v>
      </c>
      <c r="D64" t="s">
        <v>40</v>
      </c>
      <c r="E64" t="s">
        <v>15</v>
      </c>
      <c r="F64" s="2">
        <v>46036</v>
      </c>
      <c r="G64">
        <v>413491</v>
      </c>
      <c r="H64" s="19">
        <v>99144.76</v>
      </c>
      <c r="I64" s="19" t="str">
        <f>IF(Tabela1[[#This Row],[Bónus]]&gt;=50000,"correcto","por verificar")</f>
        <v>correcto</v>
      </c>
      <c r="J64" s="19">
        <v>46670.47</v>
      </c>
      <c r="K64" s="19" t="str">
        <f>IF(Tabela1[[#This Row],[Desconto]]&lt;=30000,"Por verificar","correcto")</f>
        <v>correcto</v>
      </c>
      <c r="L64" s="19">
        <v>465965.29</v>
      </c>
      <c r="M64" s="19" t="str">
        <f>IF(Tabela1[[#This Row],[Salário Líquido]]&gt;=500000,"correcto","por verificar")</f>
        <v>por verificar</v>
      </c>
      <c r="N64" t="s">
        <v>27</v>
      </c>
    </row>
    <row r="65" spans="1:14" x14ac:dyDescent="0.35">
      <c r="A65" t="s">
        <v>163</v>
      </c>
      <c r="B65" t="s">
        <v>164</v>
      </c>
      <c r="C65" t="s">
        <v>63</v>
      </c>
      <c r="D65" t="s">
        <v>54</v>
      </c>
      <c r="E65" t="s">
        <v>72</v>
      </c>
      <c r="F65" s="2">
        <v>45697</v>
      </c>
      <c r="G65">
        <v>2247025</v>
      </c>
      <c r="H65" s="19">
        <v>251345.32</v>
      </c>
      <c r="I65" s="19" t="str">
        <f>IF(Tabela1[[#This Row],[Bónus]]&gt;=50000,"correcto","por verificar")</f>
        <v>correcto</v>
      </c>
      <c r="J65" s="19">
        <v>150000.97</v>
      </c>
      <c r="K65" s="19" t="str">
        <f>IF(Tabela1[[#This Row],[Desconto]]&lt;=30000,"Por verificar","correcto")</f>
        <v>correcto</v>
      </c>
      <c r="L65" s="19">
        <v>2348369.35</v>
      </c>
      <c r="M65" s="19" t="str">
        <f>IF(Tabela1[[#This Row],[Salário Líquido]]&gt;=500000,"correcto","por verificar")</f>
        <v>correcto</v>
      </c>
      <c r="N65" t="s">
        <v>45</v>
      </c>
    </row>
    <row r="66" spans="1:14" x14ac:dyDescent="0.35">
      <c r="A66" t="s">
        <v>165</v>
      </c>
      <c r="B66" t="s">
        <v>166</v>
      </c>
      <c r="C66" t="s">
        <v>24</v>
      </c>
      <c r="D66" t="s">
        <v>54</v>
      </c>
      <c r="E66" t="s">
        <v>51</v>
      </c>
      <c r="F66" s="2">
        <v>45822</v>
      </c>
      <c r="G66">
        <v>924635</v>
      </c>
      <c r="H66" s="19">
        <v>123983.63</v>
      </c>
      <c r="I66" s="19" t="str">
        <f>IF(Tabela1[[#This Row],[Bónus]]&gt;=50000,"correcto","por verificar")</f>
        <v>correcto</v>
      </c>
      <c r="J66" s="19">
        <v>105993.43</v>
      </c>
      <c r="K66" s="19" t="str">
        <f>IF(Tabela1[[#This Row],[Desconto]]&lt;=30000,"Por verificar","correcto")</f>
        <v>correcto</v>
      </c>
      <c r="L66" s="19">
        <v>942625.2</v>
      </c>
      <c r="M66" s="19" t="str">
        <f>IF(Tabela1[[#This Row],[Salário Líquido]]&gt;=500000,"correcto","por verificar")</f>
        <v>correcto</v>
      </c>
      <c r="N66" t="s">
        <v>16</v>
      </c>
    </row>
    <row r="67" spans="1:14" x14ac:dyDescent="0.35">
      <c r="A67" t="s">
        <v>167</v>
      </c>
      <c r="B67" t="s">
        <v>168</v>
      </c>
      <c r="C67" t="s">
        <v>44</v>
      </c>
      <c r="D67" t="s">
        <v>40</v>
      </c>
      <c r="E67" t="s">
        <v>21</v>
      </c>
      <c r="F67" s="2">
        <v>45442</v>
      </c>
      <c r="G67">
        <v>1382275</v>
      </c>
      <c r="H67" s="19">
        <v>181375.26</v>
      </c>
      <c r="I67" s="19" t="str">
        <f>IF(Tabela1[[#This Row],[Bónus]]&gt;=50000,"correcto","por verificar")</f>
        <v>correcto</v>
      </c>
      <c r="J67" s="19">
        <v>145187.62</v>
      </c>
      <c r="K67" s="19" t="str">
        <f>IF(Tabela1[[#This Row],[Desconto]]&lt;=30000,"Por verificar","correcto")</f>
        <v>correcto</v>
      </c>
      <c r="L67" s="19">
        <v>1418462.64</v>
      </c>
      <c r="M67" s="19" t="str">
        <f>IF(Tabela1[[#This Row],[Salário Líquido]]&gt;=500000,"correcto","por verificar")</f>
        <v>correcto</v>
      </c>
      <c r="N67" t="s">
        <v>16</v>
      </c>
    </row>
    <row r="68" spans="1:14" x14ac:dyDescent="0.35">
      <c r="A68" t="s">
        <v>169</v>
      </c>
      <c r="B68" t="s">
        <v>170</v>
      </c>
      <c r="C68" t="s">
        <v>13</v>
      </c>
      <c r="D68" t="s">
        <v>25</v>
      </c>
      <c r="E68" t="s">
        <v>88</v>
      </c>
      <c r="F68" s="2">
        <v>46187</v>
      </c>
      <c r="G68">
        <v>1471611</v>
      </c>
      <c r="H68" s="19">
        <v>210436.9</v>
      </c>
      <c r="I68" s="19" t="str">
        <f>IF(Tabela1[[#This Row],[Bónus]]&gt;=50000,"correcto","por verificar")</f>
        <v>correcto</v>
      </c>
      <c r="J68" s="19">
        <v>102710.18</v>
      </c>
      <c r="K68" s="19" t="str">
        <f>IF(Tabela1[[#This Row],[Desconto]]&lt;=30000,"Por verificar","correcto")</f>
        <v>correcto</v>
      </c>
      <c r="L68" s="19">
        <v>1579337.72</v>
      </c>
      <c r="M68" s="19" t="str">
        <f>IF(Tabela1[[#This Row],[Salário Líquido]]&gt;=500000,"correcto","por verificar")</f>
        <v>correcto</v>
      </c>
      <c r="N68" t="s">
        <v>16</v>
      </c>
    </row>
    <row r="69" spans="1:14" x14ac:dyDescent="0.35">
      <c r="A69" t="s">
        <v>171</v>
      </c>
      <c r="B69" t="s">
        <v>172</v>
      </c>
      <c r="C69" t="s">
        <v>24</v>
      </c>
      <c r="D69" t="s">
        <v>54</v>
      </c>
      <c r="E69" t="s">
        <v>41</v>
      </c>
      <c r="F69" s="2">
        <v>45248</v>
      </c>
      <c r="G69">
        <v>831737</v>
      </c>
      <c r="H69" s="19">
        <v>151184.95999999999</v>
      </c>
      <c r="I69" s="19" t="str">
        <f>IF(Tabela1[[#This Row],[Bónus]]&gt;=50000,"correcto","por verificar")</f>
        <v>correcto</v>
      </c>
      <c r="J69" s="19">
        <v>46195.32</v>
      </c>
      <c r="K69" s="19" t="str">
        <f>IF(Tabela1[[#This Row],[Desconto]]&lt;=30000,"Por verificar","correcto")</f>
        <v>correcto</v>
      </c>
      <c r="L69" s="19">
        <v>936726.64</v>
      </c>
      <c r="M69" s="19" t="str">
        <f>IF(Tabela1[[#This Row],[Salário Líquido]]&gt;=500000,"correcto","por verificar")</f>
        <v>correcto</v>
      </c>
      <c r="N69" t="s">
        <v>45</v>
      </c>
    </row>
    <row r="70" spans="1:14" x14ac:dyDescent="0.35">
      <c r="A70" t="s">
        <v>173</v>
      </c>
      <c r="B70" t="s">
        <v>174</v>
      </c>
      <c r="C70" t="s">
        <v>13</v>
      </c>
      <c r="D70" t="s">
        <v>14</v>
      </c>
      <c r="E70" t="s">
        <v>77</v>
      </c>
      <c r="F70" s="2">
        <v>44656</v>
      </c>
      <c r="G70">
        <v>1105110</v>
      </c>
      <c r="H70" s="19">
        <v>203958.14</v>
      </c>
      <c r="I70" s="19" t="str">
        <f>IF(Tabela1[[#This Row],[Bónus]]&gt;=50000,"correcto","por verificar")</f>
        <v>correcto</v>
      </c>
      <c r="J70" s="19">
        <v>55496.04</v>
      </c>
      <c r="K70" s="19" t="str">
        <f>IF(Tabela1[[#This Row],[Desconto]]&lt;=30000,"Por verificar","correcto")</f>
        <v>correcto</v>
      </c>
      <c r="L70" s="19">
        <v>1253572.1000000001</v>
      </c>
      <c r="M70" s="19" t="str">
        <f>IF(Tabela1[[#This Row],[Salário Líquido]]&gt;=500000,"correcto","por verificar")</f>
        <v>correcto</v>
      </c>
      <c r="N70" t="s">
        <v>45</v>
      </c>
    </row>
    <row r="71" spans="1:14" x14ac:dyDescent="0.35">
      <c r="A71" t="s">
        <v>175</v>
      </c>
      <c r="B71" t="s">
        <v>176</v>
      </c>
      <c r="C71" t="s">
        <v>63</v>
      </c>
      <c r="D71" t="s">
        <v>35</v>
      </c>
      <c r="E71" t="s">
        <v>41</v>
      </c>
      <c r="F71" s="2">
        <v>44960</v>
      </c>
      <c r="G71">
        <v>2112866</v>
      </c>
      <c r="H71" s="19">
        <v>363951.3</v>
      </c>
      <c r="I71" s="19" t="str">
        <f>IF(Tabela1[[#This Row],[Bónus]]&gt;=50000,"correcto","por verificar")</f>
        <v>correcto</v>
      </c>
      <c r="J71" s="19">
        <v>209520.33</v>
      </c>
      <c r="K71" s="19" t="str">
        <f>IF(Tabela1[[#This Row],[Desconto]]&lt;=30000,"Por verificar","correcto")</f>
        <v>correcto</v>
      </c>
      <c r="L71" s="19">
        <v>2267296.9700000002</v>
      </c>
      <c r="M71" s="19" t="str">
        <f>IF(Tabela1[[#This Row],[Salário Líquido]]&gt;=500000,"correcto","por verificar")</f>
        <v>correcto</v>
      </c>
      <c r="N71" t="s">
        <v>16</v>
      </c>
    </row>
    <row r="72" spans="1:14" x14ac:dyDescent="0.35">
      <c r="A72" t="s">
        <v>177</v>
      </c>
      <c r="B72" t="s">
        <v>178</v>
      </c>
      <c r="C72" t="s">
        <v>24</v>
      </c>
      <c r="D72" t="s">
        <v>54</v>
      </c>
      <c r="E72" t="s">
        <v>77</v>
      </c>
      <c r="F72" s="2">
        <v>46099</v>
      </c>
      <c r="G72">
        <v>1730522</v>
      </c>
      <c r="H72" s="19">
        <v>257632.21</v>
      </c>
      <c r="I72" s="19" t="str">
        <f>IF(Tabela1[[#This Row],[Bónus]]&gt;=50000,"correcto","por verificar")</f>
        <v>correcto</v>
      </c>
      <c r="J72" s="19">
        <v>89915.5</v>
      </c>
      <c r="K72" s="19" t="str">
        <f>IF(Tabela1[[#This Row],[Desconto]]&lt;=30000,"Por verificar","correcto")</f>
        <v>correcto</v>
      </c>
      <c r="L72" s="19">
        <v>1898238.71</v>
      </c>
      <c r="M72" s="19" t="str">
        <f>IF(Tabela1[[#This Row],[Salário Líquido]]&gt;=500000,"correcto","por verificar")</f>
        <v>correcto</v>
      </c>
      <c r="N72" t="s">
        <v>45</v>
      </c>
    </row>
    <row r="73" spans="1:14" x14ac:dyDescent="0.35">
      <c r="A73" t="s">
        <v>179</v>
      </c>
      <c r="B73" t="s">
        <v>180</v>
      </c>
      <c r="C73" t="s">
        <v>24</v>
      </c>
      <c r="D73" t="s">
        <v>25</v>
      </c>
      <c r="E73" t="s">
        <v>88</v>
      </c>
      <c r="F73" s="2">
        <v>44664</v>
      </c>
      <c r="G73">
        <v>1903192</v>
      </c>
      <c r="H73" s="19">
        <v>178458.94</v>
      </c>
      <c r="I73" s="19" t="str">
        <f>IF(Tabela1[[#This Row],[Bónus]]&gt;=50000,"correcto","por verificar")</f>
        <v>correcto</v>
      </c>
      <c r="J73" s="19">
        <v>194829.55</v>
      </c>
      <c r="K73" s="19" t="str">
        <f>IF(Tabela1[[#This Row],[Desconto]]&lt;=30000,"Por verificar","correcto")</f>
        <v>correcto</v>
      </c>
      <c r="L73" s="19">
        <v>1886821.39</v>
      </c>
      <c r="M73" s="19" t="str">
        <f>IF(Tabela1[[#This Row],[Salário Líquido]]&gt;=500000,"correcto","por verificar")</f>
        <v>correcto</v>
      </c>
      <c r="N73" t="s">
        <v>16</v>
      </c>
    </row>
    <row r="74" spans="1:14" x14ac:dyDescent="0.35">
      <c r="A74" t="s">
        <v>181</v>
      </c>
      <c r="B74" t="s">
        <v>182</v>
      </c>
      <c r="C74" t="s">
        <v>13</v>
      </c>
      <c r="D74" t="s">
        <v>35</v>
      </c>
      <c r="E74" t="s">
        <v>36</v>
      </c>
      <c r="F74" s="2">
        <v>45706</v>
      </c>
      <c r="G74">
        <v>1165213</v>
      </c>
      <c r="H74" s="19">
        <v>272070.25</v>
      </c>
      <c r="I74" s="19" t="str">
        <f>IF(Tabela1[[#This Row],[Bónus]]&gt;=50000,"correcto","por verificar")</f>
        <v>correcto</v>
      </c>
      <c r="J74" s="19">
        <v>47683.17</v>
      </c>
      <c r="K74" s="19" t="str">
        <f>IF(Tabela1[[#This Row],[Desconto]]&lt;=30000,"Por verificar","correcto")</f>
        <v>correcto</v>
      </c>
      <c r="L74" s="19">
        <v>1389600.08</v>
      </c>
      <c r="M74" s="19" t="str">
        <f>IF(Tabela1[[#This Row],[Salário Líquido]]&gt;=500000,"correcto","por verificar")</f>
        <v>correcto</v>
      </c>
      <c r="N74" t="s">
        <v>16</v>
      </c>
    </row>
    <row r="75" spans="1:14" x14ac:dyDescent="0.35">
      <c r="A75" t="s">
        <v>183</v>
      </c>
      <c r="B75" t="s">
        <v>184</v>
      </c>
      <c r="C75" t="s">
        <v>39</v>
      </c>
      <c r="D75" t="s">
        <v>54</v>
      </c>
      <c r="E75" t="s">
        <v>36</v>
      </c>
      <c r="F75" s="2">
        <v>45435</v>
      </c>
      <c r="G75">
        <v>1450844</v>
      </c>
      <c r="H75" s="19">
        <v>348214.05</v>
      </c>
      <c r="I75" s="19" t="str">
        <f>IF(Tabela1[[#This Row],[Bónus]]&gt;=50000,"correcto","por verificar")</f>
        <v>correcto</v>
      </c>
      <c r="J75" s="19">
        <v>159924.12</v>
      </c>
      <c r="K75" s="19" t="str">
        <f>IF(Tabela1[[#This Row],[Desconto]]&lt;=30000,"Por verificar","correcto")</f>
        <v>correcto</v>
      </c>
      <c r="L75" s="19">
        <v>1639133.93</v>
      </c>
      <c r="M75" s="19" t="str">
        <f>IF(Tabela1[[#This Row],[Salário Líquido]]&gt;=500000,"correcto","por verificar")</f>
        <v>correcto</v>
      </c>
      <c r="N75" t="s">
        <v>16</v>
      </c>
    </row>
    <row r="76" spans="1:14" x14ac:dyDescent="0.35">
      <c r="A76" t="s">
        <v>185</v>
      </c>
      <c r="B76" t="s">
        <v>186</v>
      </c>
      <c r="C76" t="s">
        <v>63</v>
      </c>
      <c r="D76" t="s">
        <v>35</v>
      </c>
      <c r="E76" t="s">
        <v>72</v>
      </c>
      <c r="F76" s="2">
        <v>46101</v>
      </c>
      <c r="G76">
        <v>1990297</v>
      </c>
      <c r="H76" s="19">
        <v>456656.97</v>
      </c>
      <c r="I76" s="19" t="str">
        <f>IF(Tabela1[[#This Row],[Bónus]]&gt;=50000,"correcto","por verificar")</f>
        <v>correcto</v>
      </c>
      <c r="J76" s="19">
        <v>192917.48</v>
      </c>
      <c r="K76" s="19" t="str">
        <f>IF(Tabela1[[#This Row],[Desconto]]&lt;=30000,"Por verificar","correcto")</f>
        <v>correcto</v>
      </c>
      <c r="L76" s="19">
        <v>2254036.4900000002</v>
      </c>
      <c r="M76" s="19" t="str">
        <f>IF(Tabela1[[#This Row],[Salário Líquido]]&gt;=500000,"correcto","por verificar")</f>
        <v>correcto</v>
      </c>
      <c r="N76" t="s">
        <v>45</v>
      </c>
    </row>
    <row r="77" spans="1:14" x14ac:dyDescent="0.35">
      <c r="A77" t="s">
        <v>187</v>
      </c>
      <c r="B77" t="s">
        <v>188</v>
      </c>
      <c r="C77" t="s">
        <v>24</v>
      </c>
      <c r="D77" t="s">
        <v>14</v>
      </c>
      <c r="E77" t="s">
        <v>72</v>
      </c>
      <c r="F77" s="2">
        <v>45462</v>
      </c>
      <c r="G77">
        <v>1283128</v>
      </c>
      <c r="H77" s="19">
        <v>260683.8</v>
      </c>
      <c r="I77" s="19" t="str">
        <f>IF(Tabela1[[#This Row],[Bónus]]&gt;=50000,"correcto","por verificar")</f>
        <v>correcto</v>
      </c>
      <c r="J77" s="19">
        <v>98694.33</v>
      </c>
      <c r="K77" s="19" t="str">
        <f>IF(Tabela1[[#This Row],[Desconto]]&lt;=30000,"Por verificar","correcto")</f>
        <v>correcto</v>
      </c>
      <c r="L77" s="19">
        <v>1445117.47</v>
      </c>
      <c r="M77" s="19" t="str">
        <f>IF(Tabela1[[#This Row],[Salário Líquido]]&gt;=500000,"correcto","por verificar")</f>
        <v>correcto</v>
      </c>
      <c r="N77" t="s">
        <v>45</v>
      </c>
    </row>
    <row r="78" spans="1:14" x14ac:dyDescent="0.35">
      <c r="A78" t="s">
        <v>189</v>
      </c>
      <c r="B78" t="s">
        <v>190</v>
      </c>
      <c r="C78" t="s">
        <v>39</v>
      </c>
      <c r="D78" t="s">
        <v>20</v>
      </c>
      <c r="E78" t="s">
        <v>51</v>
      </c>
      <c r="F78" s="2">
        <v>44870</v>
      </c>
      <c r="G78">
        <v>1318430</v>
      </c>
      <c r="H78" s="19">
        <v>127754.17</v>
      </c>
      <c r="I78" s="19" t="str">
        <f>IF(Tabela1[[#This Row],[Bónus]]&gt;=50000,"correcto","por verificar")</f>
        <v>correcto</v>
      </c>
      <c r="J78" s="19">
        <v>79404.13</v>
      </c>
      <c r="K78" s="19" t="str">
        <f>IF(Tabela1[[#This Row],[Desconto]]&lt;=30000,"Por verificar","correcto")</f>
        <v>correcto</v>
      </c>
      <c r="L78" s="19">
        <v>1366780.04</v>
      </c>
      <c r="M78" s="19" t="str">
        <f>IF(Tabela1[[#This Row],[Salário Líquido]]&gt;=500000,"correcto","por verificar")</f>
        <v>correcto</v>
      </c>
      <c r="N78" t="s">
        <v>45</v>
      </c>
    </row>
    <row r="79" spans="1:14" x14ac:dyDescent="0.35">
      <c r="A79" t="s">
        <v>191</v>
      </c>
      <c r="B79" t="s">
        <v>192</v>
      </c>
      <c r="C79" t="s">
        <v>19</v>
      </c>
      <c r="D79" t="s">
        <v>35</v>
      </c>
      <c r="E79" t="s">
        <v>26</v>
      </c>
      <c r="F79" s="2">
        <v>45239</v>
      </c>
      <c r="G79">
        <v>1726566</v>
      </c>
      <c r="H79" s="19">
        <v>325958.33</v>
      </c>
      <c r="I79" s="19" t="str">
        <f>IF(Tabela1[[#This Row],[Bónus]]&gt;=50000,"correcto","por verificar")</f>
        <v>correcto</v>
      </c>
      <c r="J79" s="19">
        <v>161568.10999999999</v>
      </c>
      <c r="K79" s="19" t="str">
        <f>IF(Tabela1[[#This Row],[Desconto]]&lt;=30000,"Por verificar","correcto")</f>
        <v>correcto</v>
      </c>
      <c r="L79" s="19">
        <v>1890956.22</v>
      </c>
      <c r="M79" s="19" t="str">
        <f>IF(Tabela1[[#This Row],[Salário Líquido]]&gt;=500000,"correcto","por verificar")</f>
        <v>correcto</v>
      </c>
      <c r="N79" t="s">
        <v>16</v>
      </c>
    </row>
    <row r="80" spans="1:14" x14ac:dyDescent="0.35">
      <c r="A80" t="s">
        <v>193</v>
      </c>
      <c r="B80" t="s">
        <v>194</v>
      </c>
      <c r="C80" t="s">
        <v>63</v>
      </c>
      <c r="D80" t="s">
        <v>35</v>
      </c>
      <c r="E80" t="s">
        <v>41</v>
      </c>
      <c r="F80" s="2">
        <v>45986</v>
      </c>
      <c r="G80">
        <v>2074228</v>
      </c>
      <c r="H80" s="19">
        <v>276193.51</v>
      </c>
      <c r="I80" s="19" t="str">
        <f>IF(Tabela1[[#This Row],[Bónus]]&gt;=50000,"correcto","por verificar")</f>
        <v>correcto</v>
      </c>
      <c r="J80" s="19">
        <v>100838.79</v>
      </c>
      <c r="K80" s="19" t="str">
        <f>IF(Tabela1[[#This Row],[Desconto]]&lt;=30000,"Por verificar","correcto")</f>
        <v>correcto</v>
      </c>
      <c r="L80" s="19">
        <v>2249582.7200000002</v>
      </c>
      <c r="M80" s="19" t="str">
        <f>IF(Tabela1[[#This Row],[Salário Líquido]]&gt;=500000,"correcto","por verificar")</f>
        <v>correcto</v>
      </c>
      <c r="N80" t="s">
        <v>45</v>
      </c>
    </row>
    <row r="81" spans="1:14" x14ac:dyDescent="0.35">
      <c r="A81" t="s">
        <v>195</v>
      </c>
      <c r="B81" t="s">
        <v>196</v>
      </c>
      <c r="C81" t="s">
        <v>44</v>
      </c>
      <c r="D81" t="s">
        <v>35</v>
      </c>
      <c r="E81" t="s">
        <v>26</v>
      </c>
      <c r="F81" s="2">
        <v>45664</v>
      </c>
      <c r="G81">
        <v>1715433</v>
      </c>
      <c r="H81" s="19">
        <v>249417</v>
      </c>
      <c r="I81" s="19" t="str">
        <f>IF(Tabela1[[#This Row],[Bónus]]&gt;=50000,"correcto","por verificar")</f>
        <v>correcto</v>
      </c>
      <c r="J81" s="19">
        <v>197011.9</v>
      </c>
      <c r="K81" s="19" t="str">
        <f>IF(Tabela1[[#This Row],[Desconto]]&lt;=30000,"Por verificar","correcto")</f>
        <v>correcto</v>
      </c>
      <c r="L81" s="19">
        <v>1767838.1</v>
      </c>
      <c r="M81" s="19" t="str">
        <f>IF(Tabela1[[#This Row],[Salário Líquido]]&gt;=500000,"correcto","por verificar")</f>
        <v>correcto</v>
      </c>
      <c r="N81" t="s">
        <v>16</v>
      </c>
    </row>
    <row r="82" spans="1:14" x14ac:dyDescent="0.35">
      <c r="A82" t="s">
        <v>197</v>
      </c>
      <c r="B82" t="s">
        <v>198</v>
      </c>
      <c r="C82" t="s">
        <v>63</v>
      </c>
      <c r="D82" t="s">
        <v>14</v>
      </c>
      <c r="E82" t="s">
        <v>72</v>
      </c>
      <c r="F82" s="2">
        <v>45454</v>
      </c>
      <c r="G82">
        <v>2410644</v>
      </c>
      <c r="H82" s="19">
        <v>506171.68</v>
      </c>
      <c r="I82" s="19" t="str">
        <f>IF(Tabela1[[#This Row],[Bónus]]&gt;=50000,"correcto","por verificar")</f>
        <v>correcto</v>
      </c>
      <c r="J82" s="19">
        <v>267106.64</v>
      </c>
      <c r="K82" s="19" t="str">
        <f>IF(Tabela1[[#This Row],[Desconto]]&lt;=30000,"Por verificar","correcto")</f>
        <v>correcto</v>
      </c>
      <c r="L82" s="19">
        <v>2649709.04</v>
      </c>
      <c r="M82" s="19" t="str">
        <f>IF(Tabela1[[#This Row],[Salário Líquido]]&gt;=500000,"correcto","por verificar")</f>
        <v>correcto</v>
      </c>
      <c r="N82" t="s">
        <v>27</v>
      </c>
    </row>
    <row r="83" spans="1:14" x14ac:dyDescent="0.35">
      <c r="A83" t="s">
        <v>199</v>
      </c>
      <c r="B83" t="s">
        <v>200</v>
      </c>
      <c r="C83" t="s">
        <v>30</v>
      </c>
      <c r="D83" t="s">
        <v>35</v>
      </c>
      <c r="E83" t="s">
        <v>51</v>
      </c>
      <c r="F83" s="2">
        <v>46283</v>
      </c>
      <c r="G83">
        <v>241738</v>
      </c>
      <c r="H83" s="19">
        <v>30887.21</v>
      </c>
      <c r="I83" s="19" t="str">
        <f>IF(Tabela1[[#This Row],[Bónus]]&gt;=50000,"correcto","por verificar")</f>
        <v>por verificar</v>
      </c>
      <c r="J83" s="19">
        <v>21804.44</v>
      </c>
      <c r="K83" s="19" t="str">
        <f>IF(Tabela1[[#This Row],[Desconto]]&lt;=30000,"Por verificar","correcto")</f>
        <v>Por verificar</v>
      </c>
      <c r="L83" s="19">
        <v>250820.77</v>
      </c>
      <c r="M83" s="19" t="str">
        <f>IF(Tabela1[[#This Row],[Salário Líquido]]&gt;=500000,"correcto","por verificar")</f>
        <v>por verificar</v>
      </c>
      <c r="N83" t="s">
        <v>27</v>
      </c>
    </row>
    <row r="84" spans="1:14" x14ac:dyDescent="0.35">
      <c r="A84" t="s">
        <v>201</v>
      </c>
      <c r="B84" t="s">
        <v>202</v>
      </c>
      <c r="C84" t="s">
        <v>63</v>
      </c>
      <c r="D84" t="s">
        <v>25</v>
      </c>
      <c r="E84" t="s">
        <v>41</v>
      </c>
      <c r="F84" s="2">
        <v>45919</v>
      </c>
      <c r="G84">
        <v>655309</v>
      </c>
      <c r="H84" s="19">
        <v>161300.64000000001</v>
      </c>
      <c r="I84" s="19" t="str">
        <f>IF(Tabela1[[#This Row],[Bónus]]&gt;=50000,"correcto","por verificar")</f>
        <v>correcto</v>
      </c>
      <c r="J84" s="19">
        <v>51160.71</v>
      </c>
      <c r="K84" s="19" t="str">
        <f>IF(Tabela1[[#This Row],[Desconto]]&lt;=30000,"Por verificar","correcto")</f>
        <v>correcto</v>
      </c>
      <c r="L84" s="19">
        <v>765448.93</v>
      </c>
      <c r="M84" s="19" t="str">
        <f>IF(Tabela1[[#This Row],[Salário Líquido]]&gt;=500000,"correcto","por verificar")</f>
        <v>correcto</v>
      </c>
      <c r="N84" t="s">
        <v>45</v>
      </c>
    </row>
    <row r="85" spans="1:14" x14ac:dyDescent="0.35">
      <c r="A85" t="s">
        <v>203</v>
      </c>
      <c r="B85" t="s">
        <v>204</v>
      </c>
      <c r="C85" t="s">
        <v>63</v>
      </c>
      <c r="D85" t="s">
        <v>14</v>
      </c>
      <c r="E85" t="s">
        <v>77</v>
      </c>
      <c r="F85" s="2">
        <v>45094</v>
      </c>
      <c r="G85">
        <v>472101</v>
      </c>
      <c r="H85" s="19">
        <v>84293.6</v>
      </c>
      <c r="I85" s="19" t="str">
        <f>IF(Tabela1[[#This Row],[Bónus]]&gt;=50000,"correcto","por verificar")</f>
        <v>correcto</v>
      </c>
      <c r="J85" s="19">
        <v>19928.78</v>
      </c>
      <c r="K85" s="19" t="str">
        <f>IF(Tabela1[[#This Row],[Desconto]]&lt;=30000,"Por verificar","correcto")</f>
        <v>Por verificar</v>
      </c>
      <c r="L85" s="19">
        <v>536465.81999999995</v>
      </c>
      <c r="M85" s="19" t="str">
        <f>IF(Tabela1[[#This Row],[Salário Líquido]]&gt;=500000,"correcto","por verificar")</f>
        <v>correcto</v>
      </c>
      <c r="N85" t="s">
        <v>27</v>
      </c>
    </row>
    <row r="86" spans="1:14" x14ac:dyDescent="0.35">
      <c r="A86" t="s">
        <v>205</v>
      </c>
      <c r="B86" t="s">
        <v>206</v>
      </c>
      <c r="C86" t="s">
        <v>30</v>
      </c>
      <c r="D86" t="s">
        <v>35</v>
      </c>
      <c r="E86" t="s">
        <v>72</v>
      </c>
      <c r="F86" s="2">
        <v>46102</v>
      </c>
      <c r="G86">
        <v>1493016</v>
      </c>
      <c r="H86" s="19">
        <v>137853.24</v>
      </c>
      <c r="I86" s="19" t="str">
        <f>IF(Tabela1[[#This Row],[Bónus]]&gt;=50000,"correcto","por verificar")</f>
        <v>correcto</v>
      </c>
      <c r="J86" s="19">
        <v>88709.22</v>
      </c>
      <c r="K86" s="19" t="str">
        <f>IF(Tabela1[[#This Row],[Desconto]]&lt;=30000,"Por verificar","correcto")</f>
        <v>correcto</v>
      </c>
      <c r="L86" s="19">
        <v>1542160.02</v>
      </c>
      <c r="M86" s="19" t="str">
        <f>IF(Tabela1[[#This Row],[Salário Líquido]]&gt;=500000,"correcto","por verificar")</f>
        <v>correcto</v>
      </c>
      <c r="N86" t="s">
        <v>27</v>
      </c>
    </row>
    <row r="87" spans="1:14" x14ac:dyDescent="0.35">
      <c r="A87" t="s">
        <v>207</v>
      </c>
      <c r="B87" t="s">
        <v>208</v>
      </c>
      <c r="C87" t="s">
        <v>24</v>
      </c>
      <c r="D87" t="s">
        <v>25</v>
      </c>
      <c r="E87" t="s">
        <v>77</v>
      </c>
      <c r="F87" s="2">
        <v>45278</v>
      </c>
      <c r="G87">
        <v>1178103</v>
      </c>
      <c r="H87" s="19">
        <v>255627.36</v>
      </c>
      <c r="I87" s="19" t="str">
        <f>IF(Tabela1[[#This Row],[Bónus]]&gt;=50000,"correcto","por verificar")</f>
        <v>correcto</v>
      </c>
      <c r="J87" s="19">
        <v>85209.38</v>
      </c>
      <c r="K87" s="19" t="str">
        <f>IF(Tabela1[[#This Row],[Desconto]]&lt;=30000,"Por verificar","correcto")</f>
        <v>correcto</v>
      </c>
      <c r="L87" s="19">
        <v>1348520.98</v>
      </c>
      <c r="M87" s="19" t="str">
        <f>IF(Tabela1[[#This Row],[Salário Líquido]]&gt;=500000,"correcto","por verificar")</f>
        <v>correcto</v>
      </c>
      <c r="N87" t="s">
        <v>45</v>
      </c>
    </row>
    <row r="88" spans="1:14" x14ac:dyDescent="0.35">
      <c r="A88" t="s">
        <v>209</v>
      </c>
      <c r="B88" t="s">
        <v>210</v>
      </c>
      <c r="C88" t="s">
        <v>30</v>
      </c>
      <c r="D88" t="s">
        <v>20</v>
      </c>
      <c r="E88" t="s">
        <v>21</v>
      </c>
      <c r="F88" s="2">
        <v>44970</v>
      </c>
      <c r="G88">
        <v>407806</v>
      </c>
      <c r="H88" s="19">
        <v>84108.61</v>
      </c>
      <c r="I88" s="19" t="str">
        <f>IF(Tabela1[[#This Row],[Bónus]]&gt;=50000,"correcto","por verificar")</f>
        <v>correcto</v>
      </c>
      <c r="J88" s="19">
        <v>36155.230000000003</v>
      </c>
      <c r="K88" s="19" t="str">
        <f>IF(Tabela1[[#This Row],[Desconto]]&lt;=30000,"Por verificar","correcto")</f>
        <v>correcto</v>
      </c>
      <c r="L88" s="19">
        <v>455759.38</v>
      </c>
      <c r="M88" s="19" t="str">
        <f>IF(Tabela1[[#This Row],[Salário Líquido]]&gt;=500000,"correcto","por verificar")</f>
        <v>por verificar</v>
      </c>
      <c r="N88" t="s">
        <v>45</v>
      </c>
    </row>
    <row r="89" spans="1:14" x14ac:dyDescent="0.35">
      <c r="A89" t="s">
        <v>211</v>
      </c>
      <c r="B89" t="s">
        <v>212</v>
      </c>
      <c r="C89" t="s">
        <v>19</v>
      </c>
      <c r="D89" t="s">
        <v>25</v>
      </c>
      <c r="E89" t="s">
        <v>21</v>
      </c>
      <c r="F89" s="2">
        <v>45514</v>
      </c>
      <c r="G89">
        <v>759137</v>
      </c>
      <c r="H89" s="19">
        <v>74174.509999999995</v>
      </c>
      <c r="I89" s="19" t="str">
        <f>IF(Tabela1[[#This Row],[Bónus]]&gt;=50000,"correcto","por verificar")</f>
        <v>correcto</v>
      </c>
      <c r="J89" s="19">
        <v>55128.91</v>
      </c>
      <c r="K89" s="19" t="str">
        <f>IF(Tabela1[[#This Row],[Desconto]]&lt;=30000,"Por verificar","correcto")</f>
        <v>correcto</v>
      </c>
      <c r="L89" s="19">
        <v>778182.6</v>
      </c>
      <c r="M89" s="19" t="str">
        <f>IF(Tabela1[[#This Row],[Salário Líquido]]&gt;=500000,"correcto","por verificar")</f>
        <v>correcto</v>
      </c>
      <c r="N89" t="s">
        <v>16</v>
      </c>
    </row>
    <row r="90" spans="1:14" x14ac:dyDescent="0.35">
      <c r="A90" t="s">
        <v>213</v>
      </c>
      <c r="B90" t="s">
        <v>214</v>
      </c>
      <c r="C90" t="s">
        <v>39</v>
      </c>
      <c r="D90" t="s">
        <v>54</v>
      </c>
      <c r="E90" t="s">
        <v>15</v>
      </c>
      <c r="F90" s="2">
        <v>46154</v>
      </c>
      <c r="G90">
        <v>1194763</v>
      </c>
      <c r="H90" s="19">
        <v>242990.44</v>
      </c>
      <c r="I90" s="19" t="str">
        <f>IF(Tabela1[[#This Row],[Bónus]]&gt;=50000,"correcto","por verificar")</f>
        <v>correcto</v>
      </c>
      <c r="J90" s="19">
        <v>53885.03</v>
      </c>
      <c r="K90" s="19" t="str">
        <f>IF(Tabela1[[#This Row],[Desconto]]&lt;=30000,"Por verificar","correcto")</f>
        <v>correcto</v>
      </c>
      <c r="L90" s="19">
        <v>1383868.41</v>
      </c>
      <c r="M90" s="19" t="str">
        <f>IF(Tabela1[[#This Row],[Salário Líquido]]&gt;=500000,"correcto","por verificar")</f>
        <v>correcto</v>
      </c>
      <c r="N90" t="s">
        <v>45</v>
      </c>
    </row>
    <row r="91" spans="1:14" x14ac:dyDescent="0.35">
      <c r="A91" t="s">
        <v>215</v>
      </c>
      <c r="B91" t="s">
        <v>216</v>
      </c>
      <c r="C91" t="s">
        <v>44</v>
      </c>
      <c r="D91" t="s">
        <v>25</v>
      </c>
      <c r="E91" t="s">
        <v>26</v>
      </c>
      <c r="F91" s="2">
        <v>45374</v>
      </c>
      <c r="G91">
        <v>1424591</v>
      </c>
      <c r="H91" s="19">
        <v>102028.85</v>
      </c>
      <c r="I91" s="19" t="str">
        <f>IF(Tabela1[[#This Row],[Bónus]]&gt;=50000,"correcto","por verificar")</f>
        <v>correcto</v>
      </c>
      <c r="J91" s="19">
        <v>46030.04</v>
      </c>
      <c r="K91" s="19" t="str">
        <f>IF(Tabela1[[#This Row],[Desconto]]&lt;=30000,"Por verificar","correcto")</f>
        <v>correcto</v>
      </c>
      <c r="L91" s="19">
        <v>1480589.81</v>
      </c>
      <c r="M91" s="19" t="str">
        <f>IF(Tabela1[[#This Row],[Salário Líquido]]&gt;=500000,"correcto","por verificar")</f>
        <v>correcto</v>
      </c>
      <c r="N91" t="s">
        <v>16</v>
      </c>
    </row>
    <row r="92" spans="1:14" x14ac:dyDescent="0.35">
      <c r="A92" t="s">
        <v>217</v>
      </c>
      <c r="B92" t="s">
        <v>218</v>
      </c>
      <c r="C92" t="s">
        <v>24</v>
      </c>
      <c r="D92" t="s">
        <v>14</v>
      </c>
      <c r="E92" t="s">
        <v>15</v>
      </c>
      <c r="F92" s="2">
        <v>45989</v>
      </c>
      <c r="G92">
        <v>951855</v>
      </c>
      <c r="H92" s="19">
        <v>62060.28</v>
      </c>
      <c r="I92" s="19" t="str">
        <f>IF(Tabela1[[#This Row],[Bónus]]&gt;=50000,"correcto","por verificar")</f>
        <v>correcto</v>
      </c>
      <c r="J92" s="19">
        <v>87718.48</v>
      </c>
      <c r="K92" s="19" t="str">
        <f>IF(Tabela1[[#This Row],[Desconto]]&lt;=30000,"Por verificar","correcto")</f>
        <v>correcto</v>
      </c>
      <c r="L92" s="19">
        <v>926196.8</v>
      </c>
      <c r="M92" s="19" t="str">
        <f>IF(Tabela1[[#This Row],[Salário Líquido]]&gt;=500000,"correcto","por verificar")</f>
        <v>correcto</v>
      </c>
      <c r="N92" t="s">
        <v>27</v>
      </c>
    </row>
    <row r="93" spans="1:14" x14ac:dyDescent="0.35">
      <c r="A93" t="s">
        <v>219</v>
      </c>
      <c r="B93" t="s">
        <v>220</v>
      </c>
      <c r="C93" t="s">
        <v>19</v>
      </c>
      <c r="D93" t="s">
        <v>40</v>
      </c>
      <c r="E93" t="s">
        <v>36</v>
      </c>
      <c r="F93" s="2">
        <v>45439</v>
      </c>
      <c r="G93">
        <v>627741</v>
      </c>
      <c r="H93" s="19">
        <v>131351.94</v>
      </c>
      <c r="I93" s="19" t="str">
        <f>IF(Tabela1[[#This Row],[Bónus]]&gt;=50000,"correcto","por verificar")</f>
        <v>correcto</v>
      </c>
      <c r="J93" s="19">
        <v>50805.55</v>
      </c>
      <c r="K93" s="19" t="str">
        <f>IF(Tabela1[[#This Row],[Desconto]]&lt;=30000,"Por verificar","correcto")</f>
        <v>correcto</v>
      </c>
      <c r="L93" s="19">
        <v>708287.3899999999</v>
      </c>
      <c r="M93" s="19" t="str">
        <f>IF(Tabela1[[#This Row],[Salário Líquido]]&gt;=500000,"correcto","por verificar")</f>
        <v>correcto</v>
      </c>
      <c r="N93" t="s">
        <v>16</v>
      </c>
    </row>
    <row r="94" spans="1:14" x14ac:dyDescent="0.35">
      <c r="A94" t="s">
        <v>221</v>
      </c>
      <c r="B94" t="s">
        <v>222</v>
      </c>
      <c r="C94" t="s">
        <v>19</v>
      </c>
      <c r="D94" t="s">
        <v>35</v>
      </c>
      <c r="E94" t="s">
        <v>88</v>
      </c>
      <c r="F94" s="2">
        <v>44778</v>
      </c>
      <c r="G94">
        <v>1674286</v>
      </c>
      <c r="H94" s="19">
        <v>106804.96</v>
      </c>
      <c r="I94" s="19" t="str">
        <f>IF(Tabela1[[#This Row],[Bónus]]&gt;=50000,"correcto","por verificar")</f>
        <v>correcto</v>
      </c>
      <c r="J94" s="19">
        <v>147804.10999999999</v>
      </c>
      <c r="K94" s="19" t="str">
        <f>IF(Tabela1[[#This Row],[Desconto]]&lt;=30000,"Por verificar","correcto")</f>
        <v>correcto</v>
      </c>
      <c r="L94" s="19">
        <v>1633286.85</v>
      </c>
      <c r="M94" s="19" t="str">
        <f>IF(Tabela1[[#This Row],[Salário Líquido]]&gt;=500000,"correcto","por verificar")</f>
        <v>correcto</v>
      </c>
      <c r="N94" t="s">
        <v>27</v>
      </c>
    </row>
    <row r="95" spans="1:14" x14ac:dyDescent="0.35">
      <c r="A95" t="s">
        <v>223</v>
      </c>
      <c r="B95" t="s">
        <v>224</v>
      </c>
      <c r="C95" t="s">
        <v>24</v>
      </c>
      <c r="D95" t="s">
        <v>14</v>
      </c>
      <c r="E95" t="s">
        <v>26</v>
      </c>
      <c r="F95" s="2">
        <v>44922</v>
      </c>
      <c r="G95">
        <v>1639126</v>
      </c>
      <c r="H95" s="19">
        <v>290317.11</v>
      </c>
      <c r="I95" s="19" t="str">
        <f>IF(Tabela1[[#This Row],[Bónus]]&gt;=50000,"correcto","por verificar")</f>
        <v>correcto</v>
      </c>
      <c r="J95" s="19">
        <v>171425.79</v>
      </c>
      <c r="K95" s="19" t="str">
        <f>IF(Tabela1[[#This Row],[Desconto]]&lt;=30000,"Por verificar","correcto")</f>
        <v>correcto</v>
      </c>
      <c r="L95" s="19">
        <v>1758017.32</v>
      </c>
      <c r="M95" s="19" t="str">
        <f>IF(Tabela1[[#This Row],[Salário Líquido]]&gt;=500000,"correcto","por verificar")</f>
        <v>correcto</v>
      </c>
      <c r="N95" t="s">
        <v>16</v>
      </c>
    </row>
    <row r="96" spans="1:14" x14ac:dyDescent="0.35">
      <c r="A96" t="s">
        <v>225</v>
      </c>
      <c r="B96" t="s">
        <v>226</v>
      </c>
      <c r="C96" t="s">
        <v>30</v>
      </c>
      <c r="D96" t="s">
        <v>25</v>
      </c>
      <c r="E96" t="s">
        <v>88</v>
      </c>
      <c r="F96" s="2">
        <v>45514</v>
      </c>
      <c r="G96">
        <v>2308364</v>
      </c>
      <c r="H96" s="19">
        <v>561151.16</v>
      </c>
      <c r="I96" s="19" t="str">
        <f>IF(Tabela1[[#This Row],[Bónus]]&gt;=50000,"correcto","por verificar")</f>
        <v>correcto</v>
      </c>
      <c r="J96" s="19">
        <v>125361.28</v>
      </c>
      <c r="K96" s="19" t="str">
        <f>IF(Tabela1[[#This Row],[Desconto]]&lt;=30000,"Por verificar","correcto")</f>
        <v>correcto</v>
      </c>
      <c r="L96" s="19">
        <v>2744153.88</v>
      </c>
      <c r="M96" s="19" t="str">
        <f>IF(Tabela1[[#This Row],[Salário Líquido]]&gt;=500000,"correcto","por verificar")</f>
        <v>correcto</v>
      </c>
      <c r="N96" t="s">
        <v>27</v>
      </c>
    </row>
    <row r="97" spans="1:14" x14ac:dyDescent="0.35">
      <c r="A97" t="s">
        <v>227</v>
      </c>
      <c r="B97" t="s">
        <v>228</v>
      </c>
      <c r="C97" t="s">
        <v>19</v>
      </c>
      <c r="D97" t="s">
        <v>40</v>
      </c>
      <c r="E97" t="s">
        <v>88</v>
      </c>
      <c r="F97" s="2">
        <v>45061</v>
      </c>
      <c r="G97">
        <v>1245732</v>
      </c>
      <c r="H97" s="19">
        <v>142587.63</v>
      </c>
      <c r="I97" s="19" t="str">
        <f>IF(Tabela1[[#This Row],[Bónus]]&gt;=50000,"correcto","por verificar")</f>
        <v>correcto</v>
      </c>
      <c r="J97" s="19">
        <v>64895.87</v>
      </c>
      <c r="K97" s="19" t="str">
        <f>IF(Tabela1[[#This Row],[Desconto]]&lt;=30000,"Por verificar","correcto")</f>
        <v>correcto</v>
      </c>
      <c r="L97" s="19">
        <v>1323423.76</v>
      </c>
      <c r="M97" s="19" t="str">
        <f>IF(Tabela1[[#This Row],[Salário Líquido]]&gt;=500000,"correcto","por verificar")</f>
        <v>correcto</v>
      </c>
      <c r="N97" t="s">
        <v>27</v>
      </c>
    </row>
    <row r="98" spans="1:14" x14ac:dyDescent="0.35">
      <c r="A98" t="s">
        <v>229</v>
      </c>
      <c r="B98" t="s">
        <v>230</v>
      </c>
      <c r="C98" t="s">
        <v>44</v>
      </c>
      <c r="D98" t="s">
        <v>14</v>
      </c>
      <c r="E98" t="s">
        <v>88</v>
      </c>
      <c r="F98" s="2">
        <v>44996</v>
      </c>
      <c r="G98">
        <v>1709596</v>
      </c>
      <c r="H98" s="19">
        <v>200500.26</v>
      </c>
      <c r="I98" s="19" t="str">
        <f>IF(Tabela1[[#This Row],[Bónus]]&gt;=50000,"correcto","por verificar")</f>
        <v>correcto</v>
      </c>
      <c r="J98" s="19">
        <v>127343.67999999999</v>
      </c>
      <c r="K98" s="19" t="str">
        <f>IF(Tabela1[[#This Row],[Desconto]]&lt;=30000,"Por verificar","correcto")</f>
        <v>correcto</v>
      </c>
      <c r="L98" s="19">
        <v>1782752.58</v>
      </c>
      <c r="M98" s="19" t="str">
        <f>IF(Tabela1[[#This Row],[Salário Líquido]]&gt;=500000,"correcto","por verificar")</f>
        <v>correcto</v>
      </c>
      <c r="N98" t="s">
        <v>27</v>
      </c>
    </row>
    <row r="99" spans="1:14" x14ac:dyDescent="0.35">
      <c r="A99" t="s">
        <v>231</v>
      </c>
      <c r="B99" t="s">
        <v>232</v>
      </c>
      <c r="C99" t="s">
        <v>24</v>
      </c>
      <c r="D99" t="s">
        <v>40</v>
      </c>
      <c r="E99" t="s">
        <v>36</v>
      </c>
      <c r="F99" s="2">
        <v>44582</v>
      </c>
      <c r="G99">
        <v>1203608</v>
      </c>
      <c r="H99" s="19">
        <v>142107.31</v>
      </c>
      <c r="I99" s="19" t="str">
        <f>IF(Tabela1[[#This Row],[Bónus]]&gt;=50000,"correcto","por verificar")</f>
        <v>correcto</v>
      </c>
      <c r="J99" s="19">
        <v>131468.66</v>
      </c>
      <c r="K99" s="19" t="str">
        <f>IF(Tabela1[[#This Row],[Desconto]]&lt;=30000,"Por verificar","correcto")</f>
        <v>correcto</v>
      </c>
      <c r="L99" s="19">
        <v>1214246.6499999999</v>
      </c>
      <c r="M99" s="19" t="str">
        <f>IF(Tabela1[[#This Row],[Salário Líquido]]&gt;=500000,"correcto","por verificar")</f>
        <v>correcto</v>
      </c>
      <c r="N99" t="s">
        <v>16</v>
      </c>
    </row>
    <row r="100" spans="1:14" x14ac:dyDescent="0.35">
      <c r="A100" t="s">
        <v>233</v>
      </c>
      <c r="B100" t="s">
        <v>234</v>
      </c>
      <c r="C100" t="s">
        <v>63</v>
      </c>
      <c r="D100" t="s">
        <v>25</v>
      </c>
      <c r="E100" t="s">
        <v>21</v>
      </c>
      <c r="F100" s="2">
        <v>45976</v>
      </c>
      <c r="G100">
        <v>921348</v>
      </c>
      <c r="H100" s="19">
        <v>61843.27</v>
      </c>
      <c r="I100" s="19" t="str">
        <f>IF(Tabela1[[#This Row],[Bónus]]&gt;=50000,"correcto","por verificar")</f>
        <v>correcto</v>
      </c>
      <c r="J100" s="19">
        <v>87349.98</v>
      </c>
      <c r="K100" s="19" t="str">
        <f>IF(Tabela1[[#This Row],[Desconto]]&lt;=30000,"Por verificar","correcto")</f>
        <v>correcto</v>
      </c>
      <c r="L100" s="19">
        <v>895841.29</v>
      </c>
      <c r="M100" s="19" t="str">
        <f>IF(Tabela1[[#This Row],[Salário Líquido]]&gt;=500000,"correcto","por verificar")</f>
        <v>correcto</v>
      </c>
      <c r="N100" t="s">
        <v>27</v>
      </c>
    </row>
    <row r="101" spans="1:14" x14ac:dyDescent="0.35">
      <c r="A101" t="s">
        <v>235</v>
      </c>
      <c r="B101" t="s">
        <v>236</v>
      </c>
      <c r="C101" t="s">
        <v>44</v>
      </c>
      <c r="D101" t="s">
        <v>14</v>
      </c>
      <c r="E101" t="s">
        <v>26</v>
      </c>
      <c r="F101" s="2">
        <v>45978</v>
      </c>
      <c r="G101">
        <v>2178653</v>
      </c>
      <c r="H101" s="19">
        <v>304216.02</v>
      </c>
      <c r="I101" s="19" t="str">
        <f>IF(Tabela1[[#This Row],[Bónus]]&gt;=50000,"correcto","por verificar")</f>
        <v>correcto</v>
      </c>
      <c r="J101" s="19">
        <v>68740.63</v>
      </c>
      <c r="K101" s="19" t="str">
        <f>IF(Tabela1[[#This Row],[Desconto]]&lt;=30000,"Por verificar","correcto")</f>
        <v>correcto</v>
      </c>
      <c r="L101" s="19">
        <v>2414128.39</v>
      </c>
      <c r="M101" s="19" t="str">
        <f>IF(Tabela1[[#This Row],[Salário Líquido]]&gt;=500000,"correcto","por verificar")</f>
        <v>correcto</v>
      </c>
      <c r="N101" t="s">
        <v>45</v>
      </c>
    </row>
    <row r="102" spans="1:14" x14ac:dyDescent="0.35">
      <c r="A102" t="s">
        <v>237</v>
      </c>
      <c r="B102" t="s">
        <v>238</v>
      </c>
      <c r="C102" t="s">
        <v>39</v>
      </c>
      <c r="D102" t="s">
        <v>25</v>
      </c>
      <c r="E102" t="s">
        <v>48</v>
      </c>
      <c r="F102" s="2">
        <v>45433</v>
      </c>
      <c r="G102">
        <v>1404321</v>
      </c>
      <c r="H102" s="19">
        <v>256698.65</v>
      </c>
      <c r="I102" s="19" t="str">
        <f>IF(Tabela1[[#This Row],[Bónus]]&gt;=50000,"correcto","por verificar")</f>
        <v>correcto</v>
      </c>
      <c r="J102" s="19">
        <v>88769.72</v>
      </c>
      <c r="K102" s="19" t="str">
        <f>IF(Tabela1[[#This Row],[Desconto]]&lt;=30000,"Por verificar","correcto")</f>
        <v>correcto</v>
      </c>
      <c r="L102" s="19">
        <v>1572249.93</v>
      </c>
      <c r="M102" s="19" t="str">
        <f>IF(Tabela1[[#This Row],[Salário Líquido]]&gt;=500000,"correcto","por verificar")</f>
        <v>correcto</v>
      </c>
      <c r="N102" t="s">
        <v>16</v>
      </c>
    </row>
    <row r="103" spans="1:14" x14ac:dyDescent="0.35">
      <c r="A103" t="s">
        <v>239</v>
      </c>
      <c r="B103" t="s">
        <v>240</v>
      </c>
      <c r="C103" t="s">
        <v>44</v>
      </c>
      <c r="D103" t="s">
        <v>40</v>
      </c>
      <c r="E103" t="s">
        <v>72</v>
      </c>
      <c r="F103" s="2">
        <v>45034</v>
      </c>
      <c r="G103">
        <v>2428496</v>
      </c>
      <c r="H103" s="19">
        <v>282089.87</v>
      </c>
      <c r="I103" s="19" t="str">
        <f>IF(Tabela1[[#This Row],[Bónus]]&gt;=50000,"correcto","por verificar")</f>
        <v>correcto</v>
      </c>
      <c r="J103" s="19">
        <v>226474.12</v>
      </c>
      <c r="K103" s="19" t="str">
        <f>IF(Tabela1[[#This Row],[Desconto]]&lt;=30000,"Por verificar","correcto")</f>
        <v>correcto</v>
      </c>
      <c r="L103" s="19">
        <v>2484111.75</v>
      </c>
      <c r="M103" s="19" t="str">
        <f>IF(Tabela1[[#This Row],[Salário Líquido]]&gt;=500000,"correcto","por verificar")</f>
        <v>correcto</v>
      </c>
      <c r="N103" t="s">
        <v>45</v>
      </c>
    </row>
    <row r="104" spans="1:14" x14ac:dyDescent="0.35">
      <c r="A104" t="s">
        <v>241</v>
      </c>
      <c r="B104" t="s">
        <v>242</v>
      </c>
      <c r="C104" t="s">
        <v>30</v>
      </c>
      <c r="D104" t="s">
        <v>54</v>
      </c>
      <c r="E104" t="s">
        <v>51</v>
      </c>
      <c r="F104" s="2">
        <v>44954</v>
      </c>
      <c r="G104">
        <v>927757</v>
      </c>
      <c r="H104" s="19">
        <v>104938.21</v>
      </c>
      <c r="I104" s="19" t="str">
        <f>IF(Tabela1[[#This Row],[Bónus]]&gt;=50000,"correcto","por verificar")</f>
        <v>correcto</v>
      </c>
      <c r="J104" s="19">
        <v>89861.89</v>
      </c>
      <c r="K104" s="19" t="str">
        <f>IF(Tabela1[[#This Row],[Desconto]]&lt;=30000,"Por verificar","correcto")</f>
        <v>correcto</v>
      </c>
      <c r="L104" s="19">
        <v>942833.32</v>
      </c>
      <c r="M104" s="19" t="str">
        <f>IF(Tabela1[[#This Row],[Salário Líquido]]&gt;=500000,"correcto","por verificar")</f>
        <v>correcto</v>
      </c>
      <c r="N104" t="s">
        <v>45</v>
      </c>
    </row>
    <row r="105" spans="1:14" x14ac:dyDescent="0.35">
      <c r="A105" t="s">
        <v>243</v>
      </c>
      <c r="B105" t="s">
        <v>244</v>
      </c>
      <c r="C105" t="s">
        <v>30</v>
      </c>
      <c r="D105" t="s">
        <v>25</v>
      </c>
      <c r="E105" t="s">
        <v>41</v>
      </c>
      <c r="F105" s="2">
        <v>45141</v>
      </c>
      <c r="G105">
        <v>2150876</v>
      </c>
      <c r="H105" s="19">
        <v>226487.08</v>
      </c>
      <c r="I105" s="19" t="str">
        <f>IF(Tabela1[[#This Row],[Bónus]]&gt;=50000,"correcto","por verificar")</f>
        <v>correcto</v>
      </c>
      <c r="J105" s="19">
        <v>178657.83</v>
      </c>
      <c r="K105" s="19" t="str">
        <f>IF(Tabela1[[#This Row],[Desconto]]&lt;=30000,"Por verificar","correcto")</f>
        <v>correcto</v>
      </c>
      <c r="L105" s="19">
        <v>2198705.25</v>
      </c>
      <c r="M105" s="19" t="str">
        <f>IF(Tabela1[[#This Row],[Salário Líquido]]&gt;=500000,"correcto","por verificar")</f>
        <v>correcto</v>
      </c>
      <c r="N105" t="s">
        <v>45</v>
      </c>
    </row>
    <row r="106" spans="1:14" x14ac:dyDescent="0.35">
      <c r="A106" t="s">
        <v>245</v>
      </c>
      <c r="B106" t="s">
        <v>246</v>
      </c>
      <c r="C106" t="s">
        <v>44</v>
      </c>
      <c r="D106" t="s">
        <v>20</v>
      </c>
      <c r="E106" t="s">
        <v>36</v>
      </c>
      <c r="F106" s="2">
        <v>44821</v>
      </c>
      <c r="G106">
        <v>934188</v>
      </c>
      <c r="H106" s="19">
        <v>102059.38</v>
      </c>
      <c r="I106" s="19" t="str">
        <f>IF(Tabela1[[#This Row],[Bónus]]&gt;=50000,"correcto","por verificar")</f>
        <v>correcto</v>
      </c>
      <c r="J106" s="19">
        <v>58367.41</v>
      </c>
      <c r="K106" s="19" t="str">
        <f>IF(Tabela1[[#This Row],[Desconto]]&lt;=30000,"Por verificar","correcto")</f>
        <v>correcto</v>
      </c>
      <c r="L106" s="19">
        <v>977879.97</v>
      </c>
      <c r="M106" s="19" t="str">
        <f>IF(Tabela1[[#This Row],[Salário Líquido]]&gt;=500000,"correcto","por verificar")</f>
        <v>correcto</v>
      </c>
      <c r="N106" t="s">
        <v>27</v>
      </c>
    </row>
    <row r="107" spans="1:14" x14ac:dyDescent="0.35">
      <c r="A107" t="s">
        <v>247</v>
      </c>
      <c r="B107" t="s">
        <v>248</v>
      </c>
      <c r="C107" t="s">
        <v>24</v>
      </c>
      <c r="D107" t="s">
        <v>14</v>
      </c>
      <c r="E107" t="s">
        <v>88</v>
      </c>
      <c r="F107" s="2">
        <v>44772</v>
      </c>
      <c r="G107">
        <v>310906</v>
      </c>
      <c r="H107" s="19">
        <v>76128.13</v>
      </c>
      <c r="I107" s="19" t="str">
        <f>IF(Tabela1[[#This Row],[Bónus]]&gt;=50000,"correcto","por verificar")</f>
        <v>correcto</v>
      </c>
      <c r="J107" s="19">
        <v>24811.02</v>
      </c>
      <c r="K107" s="19" t="str">
        <f>IF(Tabela1[[#This Row],[Desconto]]&lt;=30000,"Por verificar","correcto")</f>
        <v>Por verificar</v>
      </c>
      <c r="L107" s="19">
        <v>362223.11</v>
      </c>
      <c r="M107" s="19" t="str">
        <f>IF(Tabela1[[#This Row],[Salário Líquido]]&gt;=500000,"correcto","por verificar")</f>
        <v>por verificar</v>
      </c>
      <c r="N107" t="s">
        <v>45</v>
      </c>
    </row>
    <row r="108" spans="1:14" x14ac:dyDescent="0.35">
      <c r="A108" t="s">
        <v>249</v>
      </c>
      <c r="B108" t="s">
        <v>250</v>
      </c>
      <c r="C108" t="s">
        <v>13</v>
      </c>
      <c r="D108" t="s">
        <v>20</v>
      </c>
      <c r="E108" t="s">
        <v>72</v>
      </c>
      <c r="F108" s="2">
        <v>46326</v>
      </c>
      <c r="G108">
        <v>1312605</v>
      </c>
      <c r="H108" s="19">
        <v>188856.81</v>
      </c>
      <c r="I108" s="19" t="str">
        <f>IF(Tabela1[[#This Row],[Bónus]]&gt;=50000,"correcto","por verificar")</f>
        <v>correcto</v>
      </c>
      <c r="J108" s="19">
        <v>91412.69</v>
      </c>
      <c r="K108" s="19" t="str">
        <f>IF(Tabela1[[#This Row],[Desconto]]&lt;=30000,"Por verificar","correcto")</f>
        <v>correcto</v>
      </c>
      <c r="L108" s="19">
        <v>1410049.12</v>
      </c>
      <c r="M108" s="19" t="str">
        <f>IF(Tabela1[[#This Row],[Salário Líquido]]&gt;=500000,"correcto","por verificar")</f>
        <v>correcto</v>
      </c>
      <c r="N108" t="s">
        <v>27</v>
      </c>
    </row>
    <row r="109" spans="1:14" x14ac:dyDescent="0.35">
      <c r="A109" t="s">
        <v>251</v>
      </c>
      <c r="B109" t="s">
        <v>252</v>
      </c>
      <c r="C109" t="s">
        <v>19</v>
      </c>
      <c r="D109" t="s">
        <v>25</v>
      </c>
      <c r="E109" t="s">
        <v>77</v>
      </c>
      <c r="F109" s="2">
        <v>44872</v>
      </c>
      <c r="G109">
        <v>598516</v>
      </c>
      <c r="H109" s="19">
        <v>128335.67</v>
      </c>
      <c r="I109" s="19" t="str">
        <f>IF(Tabela1[[#This Row],[Bónus]]&gt;=50000,"correcto","por verificar")</f>
        <v>correcto</v>
      </c>
      <c r="J109" s="19">
        <v>39540.160000000003</v>
      </c>
      <c r="K109" s="19" t="str">
        <f>IF(Tabela1[[#This Row],[Desconto]]&lt;=30000,"Por verificar","correcto")</f>
        <v>correcto</v>
      </c>
      <c r="L109" s="19">
        <v>687311.51</v>
      </c>
      <c r="M109" s="19" t="str">
        <f>IF(Tabela1[[#This Row],[Salário Líquido]]&gt;=500000,"correcto","por verificar")</f>
        <v>correcto</v>
      </c>
      <c r="N109" t="s">
        <v>45</v>
      </c>
    </row>
    <row r="110" spans="1:14" x14ac:dyDescent="0.35">
      <c r="A110" t="s">
        <v>253</v>
      </c>
      <c r="B110" t="s">
        <v>254</v>
      </c>
      <c r="C110" t="s">
        <v>13</v>
      </c>
      <c r="D110" t="s">
        <v>20</v>
      </c>
      <c r="E110" t="s">
        <v>36</v>
      </c>
      <c r="F110" s="2">
        <v>46127</v>
      </c>
      <c r="G110">
        <v>2480720</v>
      </c>
      <c r="H110" s="19">
        <v>594938.99</v>
      </c>
      <c r="I110" s="19" t="str">
        <f>IF(Tabela1[[#This Row],[Bónus]]&gt;=50000,"correcto","por verificar")</f>
        <v>correcto</v>
      </c>
      <c r="J110" s="19">
        <v>93439.5</v>
      </c>
      <c r="K110" s="19" t="str">
        <f>IF(Tabela1[[#This Row],[Desconto]]&lt;=30000,"Por verificar","correcto")</f>
        <v>correcto</v>
      </c>
      <c r="L110" s="19">
        <v>2982219.49</v>
      </c>
      <c r="M110" s="19" t="str">
        <f>IF(Tabela1[[#This Row],[Salário Líquido]]&gt;=500000,"correcto","por verificar")</f>
        <v>correcto</v>
      </c>
      <c r="N110" t="s">
        <v>27</v>
      </c>
    </row>
    <row r="111" spans="1:14" x14ac:dyDescent="0.35">
      <c r="A111" t="s">
        <v>255</v>
      </c>
      <c r="B111" t="s">
        <v>256</v>
      </c>
      <c r="C111" t="s">
        <v>63</v>
      </c>
      <c r="D111" t="s">
        <v>40</v>
      </c>
      <c r="E111" t="s">
        <v>41</v>
      </c>
      <c r="F111" s="2">
        <v>45440</v>
      </c>
      <c r="G111">
        <v>1066600</v>
      </c>
      <c r="H111" s="19">
        <v>218800.95</v>
      </c>
      <c r="I111" s="19" t="str">
        <f>IF(Tabela1[[#This Row],[Bónus]]&gt;=50000,"correcto","por verificar")</f>
        <v>correcto</v>
      </c>
      <c r="J111" s="19">
        <v>68512.009999999995</v>
      </c>
      <c r="K111" s="19" t="str">
        <f>IF(Tabela1[[#This Row],[Desconto]]&lt;=30000,"Por verificar","correcto")</f>
        <v>correcto</v>
      </c>
      <c r="L111" s="19">
        <v>1216888.94</v>
      </c>
      <c r="M111" s="19" t="str">
        <f>IF(Tabela1[[#This Row],[Salário Líquido]]&gt;=500000,"correcto","por verificar")</f>
        <v>correcto</v>
      </c>
      <c r="N111" t="s">
        <v>27</v>
      </c>
    </row>
    <row r="112" spans="1:14" x14ac:dyDescent="0.35">
      <c r="A112" t="s">
        <v>257</v>
      </c>
      <c r="B112" t="s">
        <v>258</v>
      </c>
      <c r="C112" t="s">
        <v>30</v>
      </c>
      <c r="D112" t="s">
        <v>14</v>
      </c>
      <c r="E112" t="s">
        <v>21</v>
      </c>
      <c r="F112" s="2">
        <v>45103</v>
      </c>
      <c r="G112">
        <v>372624</v>
      </c>
      <c r="H112" s="19">
        <v>64063.82</v>
      </c>
      <c r="I112" s="19" t="str">
        <f>IF(Tabela1[[#This Row],[Bónus]]&gt;=50000,"correcto","por verificar")</f>
        <v>correcto</v>
      </c>
      <c r="J112" s="19">
        <v>35998.47</v>
      </c>
      <c r="K112" s="19" t="str">
        <f>IF(Tabela1[[#This Row],[Desconto]]&lt;=30000,"Por verificar","correcto")</f>
        <v>correcto</v>
      </c>
      <c r="L112" s="19">
        <v>400689.35</v>
      </c>
      <c r="M112" s="19" t="str">
        <f>IF(Tabela1[[#This Row],[Salário Líquido]]&gt;=500000,"correcto","por verificar")</f>
        <v>por verificar</v>
      </c>
      <c r="N112" t="s">
        <v>16</v>
      </c>
    </row>
    <row r="113" spans="1:14" x14ac:dyDescent="0.35">
      <c r="A113" t="s">
        <v>259</v>
      </c>
      <c r="B113" t="s">
        <v>260</v>
      </c>
      <c r="C113" t="s">
        <v>19</v>
      </c>
      <c r="D113" t="s">
        <v>14</v>
      </c>
      <c r="E113" t="s">
        <v>77</v>
      </c>
      <c r="F113" s="2">
        <v>45398</v>
      </c>
      <c r="G113">
        <v>460524</v>
      </c>
      <c r="H113" s="19">
        <v>37491.910000000003</v>
      </c>
      <c r="I113" s="19" t="str">
        <f>IF(Tabela1[[#This Row],[Bónus]]&gt;=50000,"correcto","por verificar")</f>
        <v>por verificar</v>
      </c>
      <c r="J113" s="19">
        <v>21019.8</v>
      </c>
      <c r="K113" s="19" t="str">
        <f>IF(Tabela1[[#This Row],[Desconto]]&lt;=30000,"Por verificar","correcto")</f>
        <v>Por verificar</v>
      </c>
      <c r="L113" s="19">
        <v>476996.11</v>
      </c>
      <c r="M113" s="19" t="str">
        <f>IF(Tabela1[[#This Row],[Salário Líquido]]&gt;=500000,"correcto","por verificar")</f>
        <v>por verificar</v>
      </c>
      <c r="N113" t="s">
        <v>27</v>
      </c>
    </row>
    <row r="114" spans="1:14" x14ac:dyDescent="0.35">
      <c r="A114" t="s">
        <v>261</v>
      </c>
      <c r="B114" t="s">
        <v>262</v>
      </c>
      <c r="C114" t="s">
        <v>24</v>
      </c>
      <c r="D114" t="s">
        <v>40</v>
      </c>
      <c r="E114" t="s">
        <v>88</v>
      </c>
      <c r="F114" s="2">
        <v>44707</v>
      </c>
      <c r="G114">
        <v>2090955</v>
      </c>
      <c r="H114" s="19">
        <v>226349.76</v>
      </c>
      <c r="I114" s="19" t="str">
        <f>IF(Tabela1[[#This Row],[Bónus]]&gt;=50000,"correcto","por verificar")</f>
        <v>correcto</v>
      </c>
      <c r="J114" s="19">
        <v>106289.23</v>
      </c>
      <c r="K114" s="19" t="str">
        <f>IF(Tabela1[[#This Row],[Desconto]]&lt;=30000,"Por verificar","correcto")</f>
        <v>correcto</v>
      </c>
      <c r="L114" s="19">
        <v>2211015.5299999998</v>
      </c>
      <c r="M114" s="19" t="str">
        <f>IF(Tabela1[[#This Row],[Salário Líquido]]&gt;=500000,"correcto","por verificar")</f>
        <v>correcto</v>
      </c>
      <c r="N114" t="s">
        <v>16</v>
      </c>
    </row>
    <row r="115" spans="1:14" x14ac:dyDescent="0.35">
      <c r="A115" t="s">
        <v>263</v>
      </c>
      <c r="B115" t="s">
        <v>264</v>
      </c>
      <c r="C115" t="s">
        <v>24</v>
      </c>
      <c r="D115" t="s">
        <v>25</v>
      </c>
      <c r="E115" t="s">
        <v>21</v>
      </c>
      <c r="F115" s="2">
        <v>45432</v>
      </c>
      <c r="G115">
        <v>1099050</v>
      </c>
      <c r="H115" s="19">
        <v>258037.39</v>
      </c>
      <c r="I115" s="19" t="str">
        <f>IF(Tabela1[[#This Row],[Bónus]]&gt;=50000,"correcto","por verificar")</f>
        <v>correcto</v>
      </c>
      <c r="J115" s="19">
        <v>110899.12</v>
      </c>
      <c r="K115" s="19" t="str">
        <f>IF(Tabela1[[#This Row],[Desconto]]&lt;=30000,"Por verificar","correcto")</f>
        <v>correcto</v>
      </c>
      <c r="L115" s="19">
        <v>1246188.27</v>
      </c>
      <c r="M115" s="19" t="str">
        <f>IF(Tabela1[[#This Row],[Salário Líquido]]&gt;=500000,"correcto","por verificar")</f>
        <v>correcto</v>
      </c>
      <c r="N115" t="s">
        <v>45</v>
      </c>
    </row>
    <row r="116" spans="1:14" x14ac:dyDescent="0.35">
      <c r="A116" t="s">
        <v>265</v>
      </c>
      <c r="B116" t="s">
        <v>266</v>
      </c>
      <c r="C116" t="s">
        <v>44</v>
      </c>
      <c r="D116" t="s">
        <v>14</v>
      </c>
      <c r="E116" t="s">
        <v>15</v>
      </c>
      <c r="F116" s="2">
        <v>44684</v>
      </c>
      <c r="G116">
        <v>2404060</v>
      </c>
      <c r="H116" s="19">
        <v>228294.08</v>
      </c>
      <c r="I116" s="19" t="str">
        <f>IF(Tabela1[[#This Row],[Bónus]]&gt;=50000,"correcto","por verificar")</f>
        <v>correcto</v>
      </c>
      <c r="J116" s="19">
        <v>104357.95</v>
      </c>
      <c r="K116" s="19" t="str">
        <f>IF(Tabela1[[#This Row],[Desconto]]&lt;=30000,"Por verificar","correcto")</f>
        <v>correcto</v>
      </c>
      <c r="L116" s="19">
        <v>2527996.13</v>
      </c>
      <c r="M116" s="19" t="str">
        <f>IF(Tabela1[[#This Row],[Salário Líquido]]&gt;=500000,"correcto","por verificar")</f>
        <v>correcto</v>
      </c>
      <c r="N116" t="s">
        <v>45</v>
      </c>
    </row>
    <row r="117" spans="1:14" x14ac:dyDescent="0.35">
      <c r="A117" t="s">
        <v>267</v>
      </c>
      <c r="B117" t="s">
        <v>268</v>
      </c>
      <c r="C117" t="s">
        <v>44</v>
      </c>
      <c r="D117" t="s">
        <v>35</v>
      </c>
      <c r="E117" t="s">
        <v>15</v>
      </c>
      <c r="F117" s="2">
        <v>45521</v>
      </c>
      <c r="G117">
        <v>1410217</v>
      </c>
      <c r="H117" s="19">
        <v>238339.09</v>
      </c>
      <c r="I117" s="19" t="str">
        <f>IF(Tabela1[[#This Row],[Bónus]]&gt;=50000,"correcto","por verificar")</f>
        <v>correcto</v>
      </c>
      <c r="J117" s="19">
        <v>146918.70000000001</v>
      </c>
      <c r="K117" s="19" t="str">
        <f>IF(Tabela1[[#This Row],[Desconto]]&lt;=30000,"Por verificar","correcto")</f>
        <v>correcto</v>
      </c>
      <c r="L117" s="19">
        <v>1501637.39</v>
      </c>
      <c r="M117" s="19" t="str">
        <f>IF(Tabela1[[#This Row],[Salário Líquido]]&gt;=500000,"correcto","por verificar")</f>
        <v>correcto</v>
      </c>
      <c r="N117" t="s">
        <v>16</v>
      </c>
    </row>
    <row r="118" spans="1:14" x14ac:dyDescent="0.35">
      <c r="A118" t="s">
        <v>269</v>
      </c>
      <c r="B118" t="s">
        <v>270</v>
      </c>
      <c r="C118" t="s">
        <v>39</v>
      </c>
      <c r="D118" t="s">
        <v>25</v>
      </c>
      <c r="E118" t="s">
        <v>88</v>
      </c>
      <c r="F118" s="2">
        <v>45458</v>
      </c>
      <c r="G118">
        <v>1395450</v>
      </c>
      <c r="H118" s="19">
        <v>265061.17</v>
      </c>
      <c r="I118" s="19" t="str">
        <f>IF(Tabela1[[#This Row],[Bónus]]&gt;=50000,"correcto","por verificar")</f>
        <v>correcto</v>
      </c>
      <c r="J118" s="19">
        <v>160254.68</v>
      </c>
      <c r="K118" s="19" t="str">
        <f>IF(Tabela1[[#This Row],[Desconto]]&lt;=30000,"Por verificar","correcto")</f>
        <v>correcto</v>
      </c>
      <c r="L118" s="19">
        <v>1500256.49</v>
      </c>
      <c r="M118" s="19" t="str">
        <f>IF(Tabela1[[#This Row],[Salário Líquido]]&gt;=500000,"correcto","por verificar")</f>
        <v>correcto</v>
      </c>
      <c r="N118" t="s">
        <v>45</v>
      </c>
    </row>
    <row r="119" spans="1:14" x14ac:dyDescent="0.35">
      <c r="A119" t="s">
        <v>271</v>
      </c>
      <c r="B119" t="s">
        <v>272</v>
      </c>
      <c r="C119" t="s">
        <v>39</v>
      </c>
      <c r="D119" t="s">
        <v>40</v>
      </c>
      <c r="E119" t="s">
        <v>77</v>
      </c>
      <c r="F119" s="2">
        <v>44749</v>
      </c>
      <c r="G119">
        <v>287188</v>
      </c>
      <c r="H119" s="19">
        <v>65445.72</v>
      </c>
      <c r="I119" s="19" t="str">
        <f>IF(Tabela1[[#This Row],[Bónus]]&gt;=50000,"correcto","por verificar")</f>
        <v>correcto</v>
      </c>
      <c r="J119" s="19">
        <v>27601.08</v>
      </c>
      <c r="K119" s="19" t="str">
        <f>IF(Tabela1[[#This Row],[Desconto]]&lt;=30000,"Por verificar","correcto")</f>
        <v>Por verificar</v>
      </c>
      <c r="L119" s="19">
        <v>325032.64</v>
      </c>
      <c r="M119" s="19" t="str">
        <f>IF(Tabela1[[#This Row],[Salário Líquido]]&gt;=500000,"correcto","por verificar")</f>
        <v>por verificar</v>
      </c>
      <c r="N119" t="s">
        <v>45</v>
      </c>
    </row>
    <row r="120" spans="1:14" x14ac:dyDescent="0.35">
      <c r="A120" t="s">
        <v>273</v>
      </c>
      <c r="B120" t="s">
        <v>274</v>
      </c>
      <c r="C120" t="s">
        <v>44</v>
      </c>
      <c r="D120" t="s">
        <v>25</v>
      </c>
      <c r="E120" t="s">
        <v>77</v>
      </c>
      <c r="F120" s="2">
        <v>46124</v>
      </c>
      <c r="G120">
        <v>207012</v>
      </c>
      <c r="H120" s="19">
        <v>51735.3</v>
      </c>
      <c r="I120" s="19" t="str">
        <f>IF(Tabela1[[#This Row],[Bónus]]&gt;=50000,"correcto","por verificar")</f>
        <v>correcto</v>
      </c>
      <c r="J120" s="19">
        <v>18735.689999999999</v>
      </c>
      <c r="K120" s="19" t="str">
        <f>IF(Tabela1[[#This Row],[Desconto]]&lt;=30000,"Por verificar","correcto")</f>
        <v>Por verificar</v>
      </c>
      <c r="L120" s="19">
        <v>240011.61</v>
      </c>
      <c r="M120" s="19" t="str">
        <f>IF(Tabela1[[#This Row],[Salário Líquido]]&gt;=500000,"correcto","por verificar")</f>
        <v>por verificar</v>
      </c>
      <c r="N120" t="s">
        <v>45</v>
      </c>
    </row>
    <row r="121" spans="1:14" x14ac:dyDescent="0.35">
      <c r="A121" t="s">
        <v>275</v>
      </c>
      <c r="B121" t="s">
        <v>276</v>
      </c>
      <c r="C121" t="s">
        <v>44</v>
      </c>
      <c r="D121" t="s">
        <v>14</v>
      </c>
      <c r="E121" t="s">
        <v>41</v>
      </c>
      <c r="F121" s="2">
        <v>45454</v>
      </c>
      <c r="G121">
        <v>2093423</v>
      </c>
      <c r="H121" s="19">
        <v>321953.32</v>
      </c>
      <c r="I121" s="19" t="str">
        <f>IF(Tabela1[[#This Row],[Bónus]]&gt;=50000,"correcto","por verificar")</f>
        <v>correcto</v>
      </c>
      <c r="J121" s="19">
        <v>146122.28</v>
      </c>
      <c r="K121" s="19" t="str">
        <f>IF(Tabela1[[#This Row],[Desconto]]&lt;=30000,"Por verificar","correcto")</f>
        <v>correcto</v>
      </c>
      <c r="L121" s="19">
        <v>2269254.04</v>
      </c>
      <c r="M121" s="19" t="str">
        <f>IF(Tabela1[[#This Row],[Salário Líquido]]&gt;=500000,"correcto","por verificar")</f>
        <v>correcto</v>
      </c>
      <c r="N121" t="s">
        <v>16</v>
      </c>
    </row>
    <row r="122" spans="1:14" x14ac:dyDescent="0.35">
      <c r="A122" t="s">
        <v>277</v>
      </c>
      <c r="B122" t="s">
        <v>278</v>
      </c>
      <c r="C122" t="s">
        <v>63</v>
      </c>
      <c r="D122" t="s">
        <v>40</v>
      </c>
      <c r="E122" t="s">
        <v>48</v>
      </c>
      <c r="F122" s="2">
        <v>45934</v>
      </c>
      <c r="G122">
        <v>2182447</v>
      </c>
      <c r="H122" s="19">
        <v>532104.68999999994</v>
      </c>
      <c r="I122" s="19" t="str">
        <f>IF(Tabela1[[#This Row],[Bónus]]&gt;=50000,"correcto","por verificar")</f>
        <v>correcto</v>
      </c>
      <c r="J122" s="19">
        <v>157792.95999999999</v>
      </c>
      <c r="K122" s="19" t="str">
        <f>IF(Tabela1[[#This Row],[Desconto]]&lt;=30000,"Por verificar","correcto")</f>
        <v>correcto</v>
      </c>
      <c r="L122" s="19">
        <v>2556758.73</v>
      </c>
      <c r="M122" s="19" t="str">
        <f>IF(Tabela1[[#This Row],[Salário Líquido]]&gt;=500000,"correcto","por verificar")</f>
        <v>correcto</v>
      </c>
      <c r="N122" t="s">
        <v>45</v>
      </c>
    </row>
    <row r="123" spans="1:14" x14ac:dyDescent="0.35">
      <c r="A123" t="s">
        <v>279</v>
      </c>
      <c r="B123" t="s">
        <v>280</v>
      </c>
      <c r="C123" t="s">
        <v>44</v>
      </c>
      <c r="D123" t="s">
        <v>54</v>
      </c>
      <c r="E123" t="s">
        <v>26</v>
      </c>
      <c r="F123" s="2">
        <v>46228</v>
      </c>
      <c r="G123">
        <v>794548</v>
      </c>
      <c r="H123" s="19">
        <v>92136.37</v>
      </c>
      <c r="I123" s="19" t="str">
        <f>IF(Tabela1[[#This Row],[Bónus]]&gt;=50000,"correcto","por verificar")</f>
        <v>correcto</v>
      </c>
      <c r="J123" s="19">
        <v>73440.570000000007</v>
      </c>
      <c r="K123" s="19" t="str">
        <f>IF(Tabela1[[#This Row],[Desconto]]&lt;=30000,"Por verificar","correcto")</f>
        <v>correcto</v>
      </c>
      <c r="L123" s="19">
        <v>813243.8</v>
      </c>
      <c r="M123" s="19" t="str">
        <f>IF(Tabela1[[#This Row],[Salário Líquido]]&gt;=500000,"correcto","por verificar")</f>
        <v>correcto</v>
      </c>
      <c r="N123" t="s">
        <v>16</v>
      </c>
    </row>
    <row r="124" spans="1:14" x14ac:dyDescent="0.35">
      <c r="A124" t="s">
        <v>281</v>
      </c>
      <c r="B124" t="s">
        <v>282</v>
      </c>
      <c r="C124" t="s">
        <v>44</v>
      </c>
      <c r="D124" t="s">
        <v>20</v>
      </c>
      <c r="E124" t="s">
        <v>26</v>
      </c>
      <c r="F124" s="2">
        <v>46333</v>
      </c>
      <c r="G124">
        <v>273918</v>
      </c>
      <c r="H124" s="19">
        <v>38612.9</v>
      </c>
      <c r="I124" s="19" t="str">
        <f>IF(Tabela1[[#This Row],[Bónus]]&gt;=50000,"correcto","por verificar")</f>
        <v>por verificar</v>
      </c>
      <c r="J124" s="19">
        <v>15971.21</v>
      </c>
      <c r="K124" s="19" t="str">
        <f>IF(Tabela1[[#This Row],[Desconto]]&lt;=30000,"Por verificar","correcto")</f>
        <v>Por verificar</v>
      </c>
      <c r="L124" s="19">
        <v>296559.69</v>
      </c>
      <c r="M124" s="19" t="str">
        <f>IF(Tabela1[[#This Row],[Salário Líquido]]&gt;=500000,"correcto","por verificar")</f>
        <v>por verificar</v>
      </c>
      <c r="N124" t="s">
        <v>16</v>
      </c>
    </row>
    <row r="125" spans="1:14" x14ac:dyDescent="0.35">
      <c r="A125" t="s">
        <v>283</v>
      </c>
      <c r="B125" t="s">
        <v>284</v>
      </c>
      <c r="C125" t="s">
        <v>63</v>
      </c>
      <c r="D125" t="s">
        <v>20</v>
      </c>
      <c r="E125" t="s">
        <v>21</v>
      </c>
      <c r="F125" s="2">
        <v>45623</v>
      </c>
      <c r="G125">
        <v>124827</v>
      </c>
      <c r="H125" s="19">
        <v>22660.1</v>
      </c>
      <c r="I125" s="19" t="str">
        <f>IF(Tabela1[[#This Row],[Bónus]]&gt;=50000,"correcto","por verificar")</f>
        <v>por verificar</v>
      </c>
      <c r="J125" s="19">
        <v>9840.5400000000009</v>
      </c>
      <c r="K125" s="19" t="str">
        <f>IF(Tabela1[[#This Row],[Desconto]]&lt;=30000,"Por verificar","correcto")</f>
        <v>Por verificar</v>
      </c>
      <c r="L125" s="19">
        <v>137646.56</v>
      </c>
      <c r="M125" s="19" t="str">
        <f>IF(Tabela1[[#This Row],[Salário Líquido]]&gt;=500000,"correcto","por verificar")</f>
        <v>por verificar</v>
      </c>
      <c r="N125" t="s">
        <v>27</v>
      </c>
    </row>
    <row r="126" spans="1:14" x14ac:dyDescent="0.35">
      <c r="A126" t="s">
        <v>285</v>
      </c>
      <c r="B126" t="s">
        <v>286</v>
      </c>
      <c r="C126" t="s">
        <v>13</v>
      </c>
      <c r="D126" t="s">
        <v>40</v>
      </c>
      <c r="E126" t="s">
        <v>36</v>
      </c>
      <c r="F126" s="2">
        <v>44830</v>
      </c>
      <c r="G126">
        <v>2210831</v>
      </c>
      <c r="H126" s="19">
        <v>387076.16</v>
      </c>
      <c r="I126" s="19" t="str">
        <f>IF(Tabela1[[#This Row],[Bónus]]&gt;=50000,"correcto","por verificar")</f>
        <v>correcto</v>
      </c>
      <c r="J126" s="19">
        <v>217543.89</v>
      </c>
      <c r="K126" s="19" t="str">
        <f>IF(Tabela1[[#This Row],[Desconto]]&lt;=30000,"Por verificar","correcto")</f>
        <v>correcto</v>
      </c>
      <c r="L126" s="19">
        <v>2380363.27</v>
      </c>
      <c r="M126" s="19" t="str">
        <f>IF(Tabela1[[#This Row],[Salário Líquido]]&gt;=500000,"correcto","por verificar")</f>
        <v>correcto</v>
      </c>
      <c r="N126" t="s">
        <v>27</v>
      </c>
    </row>
    <row r="127" spans="1:14" x14ac:dyDescent="0.35">
      <c r="A127" t="s">
        <v>287</v>
      </c>
      <c r="B127" t="s">
        <v>288</v>
      </c>
      <c r="C127" t="s">
        <v>19</v>
      </c>
      <c r="D127" t="s">
        <v>54</v>
      </c>
      <c r="E127" t="s">
        <v>41</v>
      </c>
      <c r="F127" s="2">
        <v>46198</v>
      </c>
      <c r="G127">
        <v>1957592</v>
      </c>
      <c r="H127" s="19">
        <v>442747.26</v>
      </c>
      <c r="I127" s="19" t="str">
        <f>IF(Tabela1[[#This Row],[Bónus]]&gt;=50000,"correcto","por verificar")</f>
        <v>correcto</v>
      </c>
      <c r="J127" s="19">
        <v>144125.87</v>
      </c>
      <c r="K127" s="19" t="str">
        <f>IF(Tabela1[[#This Row],[Desconto]]&lt;=30000,"Por verificar","correcto")</f>
        <v>correcto</v>
      </c>
      <c r="L127" s="19">
        <v>2256213.39</v>
      </c>
      <c r="M127" s="19" t="str">
        <f>IF(Tabela1[[#This Row],[Salário Líquido]]&gt;=500000,"correcto","por verificar")</f>
        <v>correcto</v>
      </c>
      <c r="N127" t="s">
        <v>45</v>
      </c>
    </row>
    <row r="128" spans="1:14" x14ac:dyDescent="0.35">
      <c r="A128" t="s">
        <v>289</v>
      </c>
      <c r="B128" t="s">
        <v>290</v>
      </c>
      <c r="C128" t="s">
        <v>63</v>
      </c>
      <c r="D128" t="s">
        <v>20</v>
      </c>
      <c r="E128" t="s">
        <v>21</v>
      </c>
      <c r="F128" s="2">
        <v>46285</v>
      </c>
      <c r="G128">
        <v>784286</v>
      </c>
      <c r="H128" s="19">
        <v>87957.7</v>
      </c>
      <c r="I128" s="19" t="str">
        <f>IF(Tabela1[[#This Row],[Bónus]]&gt;=50000,"correcto","por verificar")</f>
        <v>correcto</v>
      </c>
      <c r="J128" s="19">
        <v>24493.8</v>
      </c>
      <c r="K128" s="19" t="str">
        <f>IF(Tabela1[[#This Row],[Desconto]]&lt;=30000,"Por verificar","correcto")</f>
        <v>Por verificar</v>
      </c>
      <c r="L128" s="19">
        <v>847749.89999999991</v>
      </c>
      <c r="M128" s="19" t="str">
        <f>IF(Tabela1[[#This Row],[Salário Líquido]]&gt;=500000,"correcto","por verificar")</f>
        <v>correcto</v>
      </c>
      <c r="N128" t="s">
        <v>45</v>
      </c>
    </row>
    <row r="129" spans="1:14" x14ac:dyDescent="0.35">
      <c r="A129" t="s">
        <v>291</v>
      </c>
      <c r="B129" t="s">
        <v>292</v>
      </c>
      <c r="C129" t="s">
        <v>13</v>
      </c>
      <c r="D129" t="s">
        <v>35</v>
      </c>
      <c r="E129" t="s">
        <v>72</v>
      </c>
      <c r="F129" s="2">
        <v>45604</v>
      </c>
      <c r="G129">
        <v>2055452</v>
      </c>
      <c r="H129" s="19">
        <v>492100.18</v>
      </c>
      <c r="I129" s="19" t="str">
        <f>IF(Tabela1[[#This Row],[Bónus]]&gt;=50000,"correcto","por verificar")</f>
        <v>correcto</v>
      </c>
      <c r="J129" s="19">
        <v>181483.82</v>
      </c>
      <c r="K129" s="19" t="str">
        <f>IF(Tabela1[[#This Row],[Desconto]]&lt;=30000,"Por verificar","correcto")</f>
        <v>correcto</v>
      </c>
      <c r="L129" s="19">
        <v>2366068.36</v>
      </c>
      <c r="M129" s="19" t="str">
        <f>IF(Tabela1[[#This Row],[Salário Líquido]]&gt;=500000,"correcto","por verificar")</f>
        <v>correcto</v>
      </c>
      <c r="N129" t="s">
        <v>16</v>
      </c>
    </row>
    <row r="130" spans="1:14" x14ac:dyDescent="0.35">
      <c r="A130" t="s">
        <v>293</v>
      </c>
      <c r="B130" t="s">
        <v>294</v>
      </c>
      <c r="C130" t="s">
        <v>63</v>
      </c>
      <c r="D130" t="s">
        <v>14</v>
      </c>
      <c r="E130" t="s">
        <v>88</v>
      </c>
      <c r="F130" s="2">
        <v>45690</v>
      </c>
      <c r="G130">
        <v>1266827</v>
      </c>
      <c r="H130" s="19">
        <v>168612.23</v>
      </c>
      <c r="I130" s="19" t="str">
        <f>IF(Tabela1[[#This Row],[Bónus]]&gt;=50000,"correcto","por verificar")</f>
        <v>correcto</v>
      </c>
      <c r="J130" s="19">
        <v>93016.72</v>
      </c>
      <c r="K130" s="19" t="str">
        <f>IF(Tabela1[[#This Row],[Desconto]]&lt;=30000,"Por verificar","correcto")</f>
        <v>correcto</v>
      </c>
      <c r="L130" s="19">
        <v>1342422.51</v>
      </c>
      <c r="M130" s="19" t="str">
        <f>IF(Tabela1[[#This Row],[Salário Líquido]]&gt;=500000,"correcto","por verificar")</f>
        <v>correcto</v>
      </c>
      <c r="N130" t="s">
        <v>45</v>
      </c>
    </row>
    <row r="131" spans="1:14" x14ac:dyDescent="0.35">
      <c r="A131" t="s">
        <v>295</v>
      </c>
      <c r="B131" t="s">
        <v>296</v>
      </c>
      <c r="C131" t="s">
        <v>24</v>
      </c>
      <c r="D131" t="s">
        <v>14</v>
      </c>
      <c r="E131" t="s">
        <v>15</v>
      </c>
      <c r="F131" s="2">
        <v>45127</v>
      </c>
      <c r="G131">
        <v>1728876</v>
      </c>
      <c r="H131" s="19">
        <v>152352.14000000001</v>
      </c>
      <c r="I131" s="19" t="str">
        <f>IF(Tabela1[[#This Row],[Bónus]]&gt;=50000,"correcto","por verificar")</f>
        <v>correcto</v>
      </c>
      <c r="J131" s="19">
        <v>145128.74</v>
      </c>
      <c r="K131" s="19" t="str">
        <f>IF(Tabela1[[#This Row],[Desconto]]&lt;=30000,"Por verificar","correcto")</f>
        <v>correcto</v>
      </c>
      <c r="L131" s="19">
        <v>1736099.4</v>
      </c>
      <c r="M131" s="19" t="str">
        <f>IF(Tabela1[[#This Row],[Salário Líquido]]&gt;=500000,"correcto","por verificar")</f>
        <v>correcto</v>
      </c>
      <c r="N131" t="s">
        <v>27</v>
      </c>
    </row>
    <row r="132" spans="1:14" x14ac:dyDescent="0.35">
      <c r="A132" t="s">
        <v>297</v>
      </c>
      <c r="B132" t="s">
        <v>298</v>
      </c>
      <c r="C132" t="s">
        <v>30</v>
      </c>
      <c r="D132" t="s">
        <v>20</v>
      </c>
      <c r="E132" t="s">
        <v>72</v>
      </c>
      <c r="F132" s="2">
        <v>46048</v>
      </c>
      <c r="G132">
        <v>1545540</v>
      </c>
      <c r="H132" s="19">
        <v>366060.65</v>
      </c>
      <c r="I132" s="19" t="str">
        <f>IF(Tabela1[[#This Row],[Bónus]]&gt;=50000,"correcto","por verificar")</f>
        <v>correcto</v>
      </c>
      <c r="J132" s="19">
        <v>116991.8</v>
      </c>
      <c r="K132" s="19" t="str">
        <f>IF(Tabela1[[#This Row],[Desconto]]&lt;=30000,"Por verificar","correcto")</f>
        <v>correcto</v>
      </c>
      <c r="L132" s="19">
        <v>1794608.85</v>
      </c>
      <c r="M132" s="19" t="str">
        <f>IF(Tabela1[[#This Row],[Salário Líquido]]&gt;=500000,"correcto","por verificar")</f>
        <v>correcto</v>
      </c>
      <c r="N132" t="s">
        <v>27</v>
      </c>
    </row>
    <row r="133" spans="1:14" x14ac:dyDescent="0.35">
      <c r="A133" t="s">
        <v>299</v>
      </c>
      <c r="B133" t="s">
        <v>300</v>
      </c>
      <c r="C133" t="s">
        <v>63</v>
      </c>
      <c r="D133" t="s">
        <v>40</v>
      </c>
      <c r="E133" t="s">
        <v>48</v>
      </c>
      <c r="F133" s="2">
        <v>45692</v>
      </c>
      <c r="G133">
        <v>2173700</v>
      </c>
      <c r="H133" s="19">
        <v>484848.39</v>
      </c>
      <c r="I133" s="19" t="str">
        <f>IF(Tabela1[[#This Row],[Bónus]]&gt;=50000,"correcto","por verificar")</f>
        <v>correcto</v>
      </c>
      <c r="J133" s="19">
        <v>152570.41</v>
      </c>
      <c r="K133" s="19" t="str">
        <f>IF(Tabela1[[#This Row],[Desconto]]&lt;=30000,"Por verificar","correcto")</f>
        <v>correcto</v>
      </c>
      <c r="L133" s="19">
        <v>2505977.98</v>
      </c>
      <c r="M133" s="19" t="str">
        <f>IF(Tabela1[[#This Row],[Salário Líquido]]&gt;=500000,"correcto","por verificar")</f>
        <v>correcto</v>
      </c>
      <c r="N133" t="s">
        <v>16</v>
      </c>
    </row>
    <row r="134" spans="1:14" x14ac:dyDescent="0.35">
      <c r="A134" t="s">
        <v>301</v>
      </c>
      <c r="B134" t="s">
        <v>302</v>
      </c>
      <c r="C134" t="s">
        <v>13</v>
      </c>
      <c r="D134" t="s">
        <v>54</v>
      </c>
      <c r="E134" t="s">
        <v>21</v>
      </c>
      <c r="F134" s="2">
        <v>45733</v>
      </c>
      <c r="G134">
        <v>1702133</v>
      </c>
      <c r="H134" s="19">
        <v>240118.07</v>
      </c>
      <c r="I134" s="19" t="str">
        <f>IF(Tabela1[[#This Row],[Bónus]]&gt;=50000,"correcto","por verificar")</f>
        <v>correcto</v>
      </c>
      <c r="J134" s="19">
        <v>100357.7</v>
      </c>
      <c r="K134" s="19" t="str">
        <f>IF(Tabela1[[#This Row],[Desconto]]&lt;=30000,"Por verificar","correcto")</f>
        <v>correcto</v>
      </c>
      <c r="L134" s="19">
        <v>1841893.37</v>
      </c>
      <c r="M134" s="19" t="str">
        <f>IF(Tabela1[[#This Row],[Salário Líquido]]&gt;=500000,"correcto","por verificar")</f>
        <v>correcto</v>
      </c>
      <c r="N134" t="s">
        <v>27</v>
      </c>
    </row>
    <row r="135" spans="1:14" x14ac:dyDescent="0.35">
      <c r="A135" t="s">
        <v>303</v>
      </c>
      <c r="B135" t="s">
        <v>304</v>
      </c>
      <c r="C135" t="s">
        <v>44</v>
      </c>
      <c r="D135" t="s">
        <v>54</v>
      </c>
      <c r="E135" t="s">
        <v>88</v>
      </c>
      <c r="F135" s="2">
        <v>46006</v>
      </c>
      <c r="G135">
        <v>1099631</v>
      </c>
      <c r="H135" s="19">
        <v>243241.23</v>
      </c>
      <c r="I135" s="19" t="str">
        <f>IF(Tabela1[[#This Row],[Bónus]]&gt;=50000,"correcto","por verificar")</f>
        <v>correcto</v>
      </c>
      <c r="J135" s="19">
        <v>73642.02</v>
      </c>
      <c r="K135" s="19" t="str">
        <f>IF(Tabela1[[#This Row],[Desconto]]&lt;=30000,"Por verificar","correcto")</f>
        <v>correcto</v>
      </c>
      <c r="L135" s="19">
        <v>1269230.21</v>
      </c>
      <c r="M135" s="19" t="str">
        <f>IF(Tabela1[[#This Row],[Salário Líquido]]&gt;=500000,"correcto","por verificar")</f>
        <v>correcto</v>
      </c>
      <c r="N135" t="s">
        <v>27</v>
      </c>
    </row>
    <row r="136" spans="1:14" x14ac:dyDescent="0.35">
      <c r="A136" t="s">
        <v>305</v>
      </c>
      <c r="B136" t="s">
        <v>306</v>
      </c>
      <c r="C136" t="s">
        <v>24</v>
      </c>
      <c r="D136" t="s">
        <v>14</v>
      </c>
      <c r="E136" t="s">
        <v>88</v>
      </c>
      <c r="F136" s="2">
        <v>44637</v>
      </c>
      <c r="G136">
        <v>1739331</v>
      </c>
      <c r="H136" s="19">
        <v>430802.37</v>
      </c>
      <c r="I136" s="19" t="str">
        <f>IF(Tabela1[[#This Row],[Bónus]]&gt;=50000,"correcto","por verificar")</f>
        <v>correcto</v>
      </c>
      <c r="J136" s="19">
        <v>176221.07</v>
      </c>
      <c r="K136" s="19" t="str">
        <f>IF(Tabela1[[#This Row],[Desconto]]&lt;=30000,"Por verificar","correcto")</f>
        <v>correcto</v>
      </c>
      <c r="L136" s="19">
        <v>1993912.3</v>
      </c>
      <c r="M136" s="19" t="str">
        <f>IF(Tabela1[[#This Row],[Salário Líquido]]&gt;=500000,"correcto","por verificar")</f>
        <v>correcto</v>
      </c>
      <c r="N136" t="s">
        <v>45</v>
      </c>
    </row>
    <row r="137" spans="1:14" x14ac:dyDescent="0.35">
      <c r="A137" t="s">
        <v>307</v>
      </c>
      <c r="B137" t="s">
        <v>308</v>
      </c>
      <c r="C137" t="s">
        <v>19</v>
      </c>
      <c r="D137" t="s">
        <v>35</v>
      </c>
      <c r="E137" t="s">
        <v>15</v>
      </c>
      <c r="F137" s="2">
        <v>45639</v>
      </c>
      <c r="G137">
        <v>2226761</v>
      </c>
      <c r="H137" s="19">
        <v>541260.4</v>
      </c>
      <c r="I137" s="19" t="str">
        <f>IF(Tabela1[[#This Row],[Bónus]]&gt;=50000,"correcto","por verificar")</f>
        <v>correcto</v>
      </c>
      <c r="J137" s="19">
        <v>133337.39000000001</v>
      </c>
      <c r="K137" s="19" t="str">
        <f>IF(Tabela1[[#This Row],[Desconto]]&lt;=30000,"Por verificar","correcto")</f>
        <v>correcto</v>
      </c>
      <c r="L137" s="19">
        <v>2634684.0099999998</v>
      </c>
      <c r="M137" s="19" t="str">
        <f>IF(Tabela1[[#This Row],[Salário Líquido]]&gt;=500000,"correcto","por verificar")</f>
        <v>correcto</v>
      </c>
      <c r="N137" t="s">
        <v>27</v>
      </c>
    </row>
    <row r="138" spans="1:14" x14ac:dyDescent="0.35">
      <c r="A138" t="s">
        <v>309</v>
      </c>
      <c r="B138" t="s">
        <v>310</v>
      </c>
      <c r="C138" t="s">
        <v>24</v>
      </c>
      <c r="D138" t="s">
        <v>14</v>
      </c>
      <c r="E138" t="s">
        <v>15</v>
      </c>
      <c r="F138" s="2">
        <v>45523</v>
      </c>
      <c r="G138">
        <v>184372</v>
      </c>
      <c r="H138" s="19">
        <v>35858.28</v>
      </c>
      <c r="I138" s="19" t="str">
        <f>IF(Tabela1[[#This Row],[Bónus]]&gt;=50000,"correcto","por verificar")</f>
        <v>por verificar</v>
      </c>
      <c r="J138" s="19">
        <v>12334.13</v>
      </c>
      <c r="K138" s="19" t="str">
        <f>IF(Tabela1[[#This Row],[Desconto]]&lt;=30000,"Por verificar","correcto")</f>
        <v>Por verificar</v>
      </c>
      <c r="L138" s="19">
        <v>207896.15</v>
      </c>
      <c r="M138" s="19" t="str">
        <f>IF(Tabela1[[#This Row],[Salário Líquido]]&gt;=500000,"correcto","por verificar")</f>
        <v>por verificar</v>
      </c>
      <c r="N138" t="s">
        <v>27</v>
      </c>
    </row>
    <row r="139" spans="1:14" x14ac:dyDescent="0.35">
      <c r="A139" t="s">
        <v>311</v>
      </c>
      <c r="B139" t="s">
        <v>312</v>
      </c>
      <c r="C139" t="s">
        <v>19</v>
      </c>
      <c r="D139" t="s">
        <v>40</v>
      </c>
      <c r="E139" t="s">
        <v>36</v>
      </c>
      <c r="F139" s="2">
        <v>45340</v>
      </c>
      <c r="G139">
        <v>1540028</v>
      </c>
      <c r="H139" s="19">
        <v>268968.78999999998</v>
      </c>
      <c r="I139" s="19" t="str">
        <f>IF(Tabela1[[#This Row],[Bónus]]&gt;=50000,"correcto","por verificar")</f>
        <v>correcto</v>
      </c>
      <c r="J139" s="19">
        <v>101293.03</v>
      </c>
      <c r="K139" s="19" t="str">
        <f>IF(Tabela1[[#This Row],[Desconto]]&lt;=30000,"Por verificar","correcto")</f>
        <v>correcto</v>
      </c>
      <c r="L139" s="19">
        <v>1707703.76</v>
      </c>
      <c r="M139" s="19" t="str">
        <f>IF(Tabela1[[#This Row],[Salário Líquido]]&gt;=500000,"correcto","por verificar")</f>
        <v>correcto</v>
      </c>
      <c r="N139" t="s">
        <v>27</v>
      </c>
    </row>
    <row r="140" spans="1:14" x14ac:dyDescent="0.35">
      <c r="A140" t="s">
        <v>313</v>
      </c>
      <c r="B140" t="s">
        <v>314</v>
      </c>
      <c r="C140" t="s">
        <v>19</v>
      </c>
      <c r="D140" t="s">
        <v>14</v>
      </c>
      <c r="E140" t="s">
        <v>72</v>
      </c>
      <c r="F140" s="2">
        <v>45027</v>
      </c>
      <c r="G140">
        <v>2166600</v>
      </c>
      <c r="H140" s="19">
        <v>486351.01</v>
      </c>
      <c r="I140" s="19" t="str">
        <f>IF(Tabela1[[#This Row],[Bónus]]&gt;=50000,"correcto","por verificar")</f>
        <v>correcto</v>
      </c>
      <c r="J140" s="19">
        <v>71998.11</v>
      </c>
      <c r="K140" s="19" t="str">
        <f>IF(Tabela1[[#This Row],[Desconto]]&lt;=30000,"Por verificar","correcto")</f>
        <v>correcto</v>
      </c>
      <c r="L140" s="19">
        <v>2580952.9</v>
      </c>
      <c r="M140" s="19" t="str">
        <f>IF(Tabela1[[#This Row],[Salário Líquido]]&gt;=500000,"correcto","por verificar")</f>
        <v>correcto</v>
      </c>
      <c r="N140" t="s">
        <v>16</v>
      </c>
    </row>
    <row r="141" spans="1:14" x14ac:dyDescent="0.35">
      <c r="A141" t="s">
        <v>315</v>
      </c>
      <c r="B141" t="s">
        <v>316</v>
      </c>
      <c r="C141" t="s">
        <v>24</v>
      </c>
      <c r="D141" t="s">
        <v>54</v>
      </c>
      <c r="E141" t="s">
        <v>15</v>
      </c>
      <c r="F141" s="2">
        <v>45470</v>
      </c>
      <c r="G141">
        <v>499078</v>
      </c>
      <c r="H141" s="19">
        <v>68271.02</v>
      </c>
      <c r="I141" s="19" t="str">
        <f>IF(Tabela1[[#This Row],[Bónus]]&gt;=50000,"correcto","por verificar")</f>
        <v>correcto</v>
      </c>
      <c r="J141" s="19">
        <v>19394.11</v>
      </c>
      <c r="K141" s="19" t="str">
        <f>IF(Tabela1[[#This Row],[Desconto]]&lt;=30000,"Por verificar","correcto")</f>
        <v>Por verificar</v>
      </c>
      <c r="L141" s="19">
        <v>547954.91</v>
      </c>
      <c r="M141" s="19" t="str">
        <f>IF(Tabela1[[#This Row],[Salário Líquido]]&gt;=500000,"correcto","por verificar")</f>
        <v>correcto</v>
      </c>
      <c r="N141" t="s">
        <v>45</v>
      </c>
    </row>
    <row r="142" spans="1:14" x14ac:dyDescent="0.35">
      <c r="A142" t="s">
        <v>317</v>
      </c>
      <c r="B142" t="s">
        <v>318</v>
      </c>
      <c r="C142" t="s">
        <v>30</v>
      </c>
      <c r="D142" t="s">
        <v>20</v>
      </c>
      <c r="E142" t="s">
        <v>72</v>
      </c>
      <c r="F142" s="2">
        <v>45296</v>
      </c>
      <c r="G142">
        <v>1376051</v>
      </c>
      <c r="H142" s="19">
        <v>317434.07</v>
      </c>
      <c r="I142" s="19" t="str">
        <f>IF(Tabela1[[#This Row],[Bónus]]&gt;=50000,"correcto","por verificar")</f>
        <v>correcto</v>
      </c>
      <c r="J142" s="19">
        <v>46977.26</v>
      </c>
      <c r="K142" s="19" t="str">
        <f>IF(Tabela1[[#This Row],[Desconto]]&lt;=30000,"Por verificar","correcto")</f>
        <v>correcto</v>
      </c>
      <c r="L142" s="19">
        <v>1646507.81</v>
      </c>
      <c r="M142" s="19" t="str">
        <f>IF(Tabela1[[#This Row],[Salário Líquido]]&gt;=500000,"correcto","por verificar")</f>
        <v>correcto</v>
      </c>
      <c r="N142" t="s">
        <v>27</v>
      </c>
    </row>
    <row r="143" spans="1:14" x14ac:dyDescent="0.35">
      <c r="A143" t="s">
        <v>319</v>
      </c>
      <c r="B143" t="s">
        <v>320</v>
      </c>
      <c r="C143" t="s">
        <v>39</v>
      </c>
      <c r="D143" t="s">
        <v>54</v>
      </c>
      <c r="E143" t="s">
        <v>51</v>
      </c>
      <c r="F143" s="2">
        <v>44910</v>
      </c>
      <c r="G143">
        <v>1926431</v>
      </c>
      <c r="H143" s="19">
        <v>152407.57999999999</v>
      </c>
      <c r="I143" s="19" t="str">
        <f>IF(Tabela1[[#This Row],[Bónus]]&gt;=50000,"correcto","por verificar")</f>
        <v>correcto</v>
      </c>
      <c r="J143" s="19">
        <v>149885.9</v>
      </c>
      <c r="K143" s="19" t="str">
        <f>IF(Tabela1[[#This Row],[Desconto]]&lt;=30000,"Por verificar","correcto")</f>
        <v>correcto</v>
      </c>
      <c r="L143" s="19">
        <v>1928952.68</v>
      </c>
      <c r="M143" s="19" t="str">
        <f>IF(Tabela1[[#This Row],[Salário Líquido]]&gt;=500000,"correcto","por verificar")</f>
        <v>correcto</v>
      </c>
      <c r="N143" t="s">
        <v>45</v>
      </c>
    </row>
    <row r="144" spans="1:14" x14ac:dyDescent="0.35">
      <c r="A144" t="s">
        <v>321</v>
      </c>
      <c r="B144" t="s">
        <v>322</v>
      </c>
      <c r="C144" t="s">
        <v>24</v>
      </c>
      <c r="D144" t="s">
        <v>14</v>
      </c>
      <c r="E144" t="s">
        <v>88</v>
      </c>
      <c r="F144" s="2">
        <v>45756</v>
      </c>
      <c r="G144">
        <v>451217</v>
      </c>
      <c r="H144" s="19">
        <v>77563.460000000006</v>
      </c>
      <c r="I144" s="19" t="str">
        <f>IF(Tabela1[[#This Row],[Bónus]]&gt;=50000,"correcto","por verificar")</f>
        <v>correcto</v>
      </c>
      <c r="J144" s="19">
        <v>29071.45</v>
      </c>
      <c r="K144" s="19" t="str">
        <f>IF(Tabela1[[#This Row],[Desconto]]&lt;=30000,"Por verificar","correcto")</f>
        <v>Por verificar</v>
      </c>
      <c r="L144" s="19">
        <v>499709.01</v>
      </c>
      <c r="M144" s="19" t="str">
        <f>IF(Tabela1[[#This Row],[Salário Líquido]]&gt;=500000,"correcto","por verificar")</f>
        <v>por verificar</v>
      </c>
      <c r="N144" t="s">
        <v>45</v>
      </c>
    </row>
    <row r="145" spans="1:14" x14ac:dyDescent="0.35">
      <c r="A145" t="s">
        <v>323</v>
      </c>
      <c r="B145" t="s">
        <v>324</v>
      </c>
      <c r="C145" t="s">
        <v>44</v>
      </c>
      <c r="D145" t="s">
        <v>54</v>
      </c>
      <c r="E145" t="s">
        <v>77</v>
      </c>
      <c r="F145" s="2">
        <v>46209</v>
      </c>
      <c r="G145">
        <v>1093868</v>
      </c>
      <c r="H145" s="19">
        <v>155580.82999999999</v>
      </c>
      <c r="I145" s="19" t="str">
        <f>IF(Tabela1[[#This Row],[Bónus]]&gt;=50000,"correcto","por verificar")</f>
        <v>correcto</v>
      </c>
      <c r="J145" s="19">
        <v>57819.63</v>
      </c>
      <c r="K145" s="19" t="str">
        <f>IF(Tabela1[[#This Row],[Desconto]]&lt;=30000,"Por verificar","correcto")</f>
        <v>correcto</v>
      </c>
      <c r="L145" s="19">
        <v>1191629.2</v>
      </c>
      <c r="M145" s="19" t="str">
        <f>IF(Tabela1[[#This Row],[Salário Líquido]]&gt;=500000,"correcto","por verificar")</f>
        <v>correcto</v>
      </c>
      <c r="N145" t="s">
        <v>27</v>
      </c>
    </row>
    <row r="146" spans="1:14" x14ac:dyDescent="0.35">
      <c r="A146" t="s">
        <v>325</v>
      </c>
      <c r="B146" t="s">
        <v>326</v>
      </c>
      <c r="C146" t="s">
        <v>63</v>
      </c>
      <c r="D146" t="s">
        <v>40</v>
      </c>
      <c r="E146" t="s">
        <v>41</v>
      </c>
      <c r="F146" s="2">
        <v>45174</v>
      </c>
      <c r="G146">
        <v>1326414</v>
      </c>
      <c r="H146" s="19">
        <v>246079.21</v>
      </c>
      <c r="I146" s="19" t="str">
        <f>IF(Tabela1[[#This Row],[Bónus]]&gt;=50000,"correcto","por verificar")</f>
        <v>correcto</v>
      </c>
      <c r="J146" s="19">
        <v>58651.12</v>
      </c>
      <c r="K146" s="19" t="str">
        <f>IF(Tabela1[[#This Row],[Desconto]]&lt;=30000,"Por verificar","correcto")</f>
        <v>correcto</v>
      </c>
      <c r="L146" s="19">
        <v>1513842.09</v>
      </c>
      <c r="M146" s="19" t="str">
        <f>IF(Tabela1[[#This Row],[Salário Líquido]]&gt;=500000,"correcto","por verificar")</f>
        <v>correcto</v>
      </c>
      <c r="N146" t="s">
        <v>16</v>
      </c>
    </row>
    <row r="147" spans="1:14" x14ac:dyDescent="0.35">
      <c r="A147" t="s">
        <v>327</v>
      </c>
      <c r="B147" t="s">
        <v>328</v>
      </c>
      <c r="C147" t="s">
        <v>44</v>
      </c>
      <c r="D147" t="s">
        <v>14</v>
      </c>
      <c r="E147" t="s">
        <v>26</v>
      </c>
      <c r="F147" s="2">
        <v>46309</v>
      </c>
      <c r="G147">
        <v>1899680</v>
      </c>
      <c r="H147" s="19">
        <v>357258.95</v>
      </c>
      <c r="I147" s="19" t="str">
        <f>IF(Tabela1[[#This Row],[Bónus]]&gt;=50000,"correcto","por verificar")</f>
        <v>correcto</v>
      </c>
      <c r="J147" s="19">
        <v>135096.17000000001</v>
      </c>
      <c r="K147" s="19" t="str">
        <f>IF(Tabela1[[#This Row],[Desconto]]&lt;=30000,"Por verificar","correcto")</f>
        <v>correcto</v>
      </c>
      <c r="L147" s="19">
        <v>2121842.7799999998</v>
      </c>
      <c r="M147" s="19" t="str">
        <f>IF(Tabela1[[#This Row],[Salário Líquido]]&gt;=500000,"correcto","por verificar")</f>
        <v>correcto</v>
      </c>
      <c r="N147" t="s">
        <v>27</v>
      </c>
    </row>
    <row r="148" spans="1:14" x14ac:dyDescent="0.35">
      <c r="A148" t="s">
        <v>329</v>
      </c>
      <c r="B148" t="s">
        <v>330</v>
      </c>
      <c r="C148" t="s">
        <v>39</v>
      </c>
      <c r="D148" t="s">
        <v>40</v>
      </c>
      <c r="E148" t="s">
        <v>72</v>
      </c>
      <c r="F148" s="2">
        <v>44606</v>
      </c>
      <c r="G148">
        <v>567336</v>
      </c>
      <c r="H148" s="19">
        <v>55281.87</v>
      </c>
      <c r="I148" s="19" t="str">
        <f>IF(Tabela1[[#This Row],[Bónus]]&gt;=50000,"correcto","por verificar")</f>
        <v>correcto</v>
      </c>
      <c r="J148" s="19">
        <v>46222.59</v>
      </c>
      <c r="K148" s="19" t="str">
        <f>IF(Tabela1[[#This Row],[Desconto]]&lt;=30000,"Por verificar","correcto")</f>
        <v>correcto</v>
      </c>
      <c r="L148" s="19">
        <v>576395.28</v>
      </c>
      <c r="M148" s="19" t="str">
        <f>IF(Tabela1[[#This Row],[Salário Líquido]]&gt;=500000,"correcto","por verificar")</f>
        <v>correcto</v>
      </c>
      <c r="N148" t="s">
        <v>16</v>
      </c>
    </row>
    <row r="149" spans="1:14" x14ac:dyDescent="0.35">
      <c r="A149" t="s">
        <v>331</v>
      </c>
      <c r="B149" t="s">
        <v>332</v>
      </c>
      <c r="C149" t="s">
        <v>24</v>
      </c>
      <c r="D149" t="s">
        <v>54</v>
      </c>
      <c r="E149" t="s">
        <v>77</v>
      </c>
      <c r="F149" s="2">
        <v>45803</v>
      </c>
      <c r="G149">
        <v>1780129</v>
      </c>
      <c r="H149" s="19">
        <v>186728.55</v>
      </c>
      <c r="I149" s="19" t="str">
        <f>IF(Tabela1[[#This Row],[Bónus]]&gt;=50000,"correcto","por verificar")</f>
        <v>correcto</v>
      </c>
      <c r="J149" s="19">
        <v>144072.26999999999</v>
      </c>
      <c r="K149" s="19" t="str">
        <f>IF(Tabela1[[#This Row],[Desconto]]&lt;=30000,"Por verificar","correcto")</f>
        <v>correcto</v>
      </c>
      <c r="L149" s="19">
        <v>1822785.28</v>
      </c>
      <c r="M149" s="19" t="str">
        <f>IF(Tabela1[[#This Row],[Salário Líquido]]&gt;=500000,"correcto","por verificar")</f>
        <v>correcto</v>
      </c>
      <c r="N149" t="s">
        <v>16</v>
      </c>
    </row>
    <row r="150" spans="1:14" x14ac:dyDescent="0.35">
      <c r="A150" t="s">
        <v>333</v>
      </c>
      <c r="B150" t="s">
        <v>334</v>
      </c>
      <c r="C150" t="s">
        <v>30</v>
      </c>
      <c r="D150" t="s">
        <v>14</v>
      </c>
      <c r="E150" t="s">
        <v>41</v>
      </c>
      <c r="F150" s="2">
        <v>46204</v>
      </c>
      <c r="G150">
        <v>2203425</v>
      </c>
      <c r="H150" s="19">
        <v>477190.86</v>
      </c>
      <c r="I150" s="19" t="str">
        <f>IF(Tabela1[[#This Row],[Bónus]]&gt;=50000,"correcto","por verificar")</f>
        <v>correcto</v>
      </c>
      <c r="J150" s="19">
        <v>245162.19</v>
      </c>
      <c r="K150" s="19" t="str">
        <f>IF(Tabela1[[#This Row],[Desconto]]&lt;=30000,"Por verificar","correcto")</f>
        <v>correcto</v>
      </c>
      <c r="L150" s="19">
        <v>2435453.67</v>
      </c>
      <c r="M150" s="19" t="str">
        <f>IF(Tabela1[[#This Row],[Salário Líquido]]&gt;=500000,"correcto","por verificar")</f>
        <v>correcto</v>
      </c>
      <c r="N150" t="s">
        <v>27</v>
      </c>
    </row>
    <row r="151" spans="1:14" x14ac:dyDescent="0.35">
      <c r="A151" t="s">
        <v>335</v>
      </c>
      <c r="B151" t="s">
        <v>336</v>
      </c>
      <c r="C151" t="s">
        <v>24</v>
      </c>
      <c r="D151" t="s">
        <v>54</v>
      </c>
      <c r="E151" t="s">
        <v>51</v>
      </c>
      <c r="F151" s="2">
        <v>45848</v>
      </c>
      <c r="G151">
        <v>1038571</v>
      </c>
      <c r="H151" s="19">
        <v>184163.12</v>
      </c>
      <c r="I151" s="19" t="str">
        <f>IF(Tabela1[[#This Row],[Bónus]]&gt;=50000,"correcto","por verificar")</f>
        <v>correcto</v>
      </c>
      <c r="J151" s="19">
        <v>89192.69</v>
      </c>
      <c r="K151" s="19" t="str">
        <f>IF(Tabela1[[#This Row],[Desconto]]&lt;=30000,"Por verificar","correcto")</f>
        <v>correcto</v>
      </c>
      <c r="L151" s="19">
        <v>1133541.43</v>
      </c>
      <c r="M151" s="19" t="str">
        <f>IF(Tabela1[[#This Row],[Salário Líquido]]&gt;=500000,"correcto","por verificar")</f>
        <v>correcto</v>
      </c>
      <c r="N151" t="s">
        <v>45</v>
      </c>
    </row>
    <row r="152" spans="1:14" x14ac:dyDescent="0.35">
      <c r="A152" t="s">
        <v>337</v>
      </c>
      <c r="B152" t="s">
        <v>338</v>
      </c>
      <c r="C152" t="s">
        <v>39</v>
      </c>
      <c r="D152" t="s">
        <v>40</v>
      </c>
      <c r="E152" t="s">
        <v>51</v>
      </c>
      <c r="F152" s="2">
        <v>44746</v>
      </c>
      <c r="G152">
        <v>285350</v>
      </c>
      <c r="H152" s="19">
        <v>31898.3</v>
      </c>
      <c r="I152" s="19" t="str">
        <f>IF(Tabela1[[#This Row],[Bónus]]&gt;=50000,"correcto","por verificar")</f>
        <v>por verificar</v>
      </c>
      <c r="J152" s="19">
        <v>19881.5</v>
      </c>
      <c r="K152" s="19" t="str">
        <f>IF(Tabela1[[#This Row],[Desconto]]&lt;=30000,"Por verificar","correcto")</f>
        <v>Por verificar</v>
      </c>
      <c r="L152" s="19">
        <v>297366.8</v>
      </c>
      <c r="M152" s="19" t="str">
        <f>IF(Tabela1[[#This Row],[Salário Líquido]]&gt;=500000,"correcto","por verificar")</f>
        <v>por verificar</v>
      </c>
      <c r="N152" t="s">
        <v>27</v>
      </c>
    </row>
    <row r="153" spans="1:14" x14ac:dyDescent="0.35">
      <c r="A153" t="s">
        <v>339</v>
      </c>
      <c r="B153" t="s">
        <v>340</v>
      </c>
      <c r="C153" t="s">
        <v>13</v>
      </c>
      <c r="D153" t="s">
        <v>25</v>
      </c>
      <c r="E153" t="s">
        <v>48</v>
      </c>
      <c r="F153" s="2">
        <v>45649</v>
      </c>
      <c r="G153">
        <v>1490359</v>
      </c>
      <c r="H153" s="19">
        <v>297320.92</v>
      </c>
      <c r="I153" s="19" t="str">
        <f>IF(Tabela1[[#This Row],[Bónus]]&gt;=50000,"correcto","por verificar")</f>
        <v>correcto</v>
      </c>
      <c r="J153" s="19">
        <v>68269.78</v>
      </c>
      <c r="K153" s="19" t="str">
        <f>IF(Tabela1[[#This Row],[Desconto]]&lt;=30000,"Por verificar","correcto")</f>
        <v>correcto</v>
      </c>
      <c r="L153" s="19">
        <v>1719410.14</v>
      </c>
      <c r="M153" s="19" t="str">
        <f>IF(Tabela1[[#This Row],[Salário Líquido]]&gt;=500000,"correcto","por verificar")</f>
        <v>correcto</v>
      </c>
      <c r="N153" t="s">
        <v>16</v>
      </c>
    </row>
    <row r="154" spans="1:14" x14ac:dyDescent="0.35">
      <c r="A154" t="s">
        <v>341</v>
      </c>
      <c r="B154" t="s">
        <v>342</v>
      </c>
      <c r="C154" t="s">
        <v>30</v>
      </c>
      <c r="D154" t="s">
        <v>35</v>
      </c>
      <c r="E154" t="s">
        <v>72</v>
      </c>
      <c r="F154" s="2">
        <v>46090</v>
      </c>
      <c r="G154">
        <v>1263062</v>
      </c>
      <c r="H154" s="19">
        <v>272940.78000000003</v>
      </c>
      <c r="I154" s="19" t="str">
        <f>IF(Tabela1[[#This Row],[Bónus]]&gt;=50000,"correcto","por verificar")</f>
        <v>correcto</v>
      </c>
      <c r="J154" s="19">
        <v>67103.08</v>
      </c>
      <c r="K154" s="19" t="str">
        <f>IF(Tabela1[[#This Row],[Desconto]]&lt;=30000,"Por verificar","correcto")</f>
        <v>correcto</v>
      </c>
      <c r="L154" s="19">
        <v>1468899.7</v>
      </c>
      <c r="M154" s="19" t="str">
        <f>IF(Tabela1[[#This Row],[Salário Líquido]]&gt;=500000,"correcto","por verificar")</f>
        <v>correcto</v>
      </c>
      <c r="N154" t="s">
        <v>27</v>
      </c>
    </row>
    <row r="155" spans="1:14" x14ac:dyDescent="0.35">
      <c r="A155" t="s">
        <v>343</v>
      </c>
      <c r="B155" t="s">
        <v>344</v>
      </c>
      <c r="C155" t="s">
        <v>30</v>
      </c>
      <c r="D155" t="s">
        <v>14</v>
      </c>
      <c r="E155" t="s">
        <v>26</v>
      </c>
      <c r="F155" s="2">
        <v>46294</v>
      </c>
      <c r="G155">
        <v>603056</v>
      </c>
      <c r="H155" s="19">
        <v>86638.81</v>
      </c>
      <c r="I155" s="19" t="str">
        <f>IF(Tabela1[[#This Row],[Bónus]]&gt;=50000,"correcto","por verificar")</f>
        <v>correcto</v>
      </c>
      <c r="J155" s="19">
        <v>22178.560000000001</v>
      </c>
      <c r="K155" s="19" t="str">
        <f>IF(Tabela1[[#This Row],[Desconto]]&lt;=30000,"Por verificar","correcto")</f>
        <v>Por verificar</v>
      </c>
      <c r="L155" s="19">
        <v>667516.25</v>
      </c>
      <c r="M155" s="19" t="str">
        <f>IF(Tabela1[[#This Row],[Salário Líquido]]&gt;=500000,"correcto","por verificar")</f>
        <v>correcto</v>
      </c>
      <c r="N155" t="s">
        <v>16</v>
      </c>
    </row>
    <row r="156" spans="1:14" x14ac:dyDescent="0.35">
      <c r="A156" t="s">
        <v>345</v>
      </c>
      <c r="B156" t="s">
        <v>346</v>
      </c>
      <c r="C156" t="s">
        <v>44</v>
      </c>
      <c r="D156" t="s">
        <v>25</v>
      </c>
      <c r="E156" t="s">
        <v>15</v>
      </c>
      <c r="F156" s="2">
        <v>45493</v>
      </c>
      <c r="G156">
        <v>1654171</v>
      </c>
      <c r="H156" s="19">
        <v>112583.83</v>
      </c>
      <c r="I156" s="19" t="str">
        <f>IF(Tabela1[[#This Row],[Bónus]]&gt;=50000,"correcto","por verificar")</f>
        <v>correcto</v>
      </c>
      <c r="J156" s="19">
        <v>108367.57</v>
      </c>
      <c r="K156" s="19" t="str">
        <f>IF(Tabela1[[#This Row],[Desconto]]&lt;=30000,"Por verificar","correcto")</f>
        <v>correcto</v>
      </c>
      <c r="L156" s="19">
        <v>1658387.26</v>
      </c>
      <c r="M156" s="19" t="str">
        <f>IF(Tabela1[[#This Row],[Salário Líquido]]&gt;=500000,"correcto","por verificar")</f>
        <v>correcto</v>
      </c>
      <c r="N156" t="s">
        <v>27</v>
      </c>
    </row>
    <row r="157" spans="1:14" x14ac:dyDescent="0.35">
      <c r="A157" t="s">
        <v>347</v>
      </c>
      <c r="B157" t="s">
        <v>348</v>
      </c>
      <c r="C157" t="s">
        <v>44</v>
      </c>
      <c r="D157" t="s">
        <v>20</v>
      </c>
      <c r="E157" t="s">
        <v>21</v>
      </c>
      <c r="F157" s="2">
        <v>45527</v>
      </c>
      <c r="G157">
        <v>1219584</v>
      </c>
      <c r="H157" s="19">
        <v>203563.23</v>
      </c>
      <c r="I157" s="19" t="str">
        <f>IF(Tabela1[[#This Row],[Bónus]]&gt;=50000,"correcto","por verificar")</f>
        <v>correcto</v>
      </c>
      <c r="J157" s="19">
        <v>126858.15</v>
      </c>
      <c r="K157" s="19" t="str">
        <f>IF(Tabela1[[#This Row],[Desconto]]&lt;=30000,"Por verificar","correcto")</f>
        <v>correcto</v>
      </c>
      <c r="L157" s="19">
        <v>1296289.08</v>
      </c>
      <c r="M157" s="19" t="str">
        <f>IF(Tabela1[[#This Row],[Salário Líquido]]&gt;=500000,"correcto","por verificar")</f>
        <v>correcto</v>
      </c>
      <c r="N157" t="s">
        <v>45</v>
      </c>
    </row>
    <row r="158" spans="1:14" x14ac:dyDescent="0.35">
      <c r="A158" t="s">
        <v>349</v>
      </c>
      <c r="B158" t="s">
        <v>350</v>
      </c>
      <c r="C158" t="s">
        <v>24</v>
      </c>
      <c r="D158" t="s">
        <v>20</v>
      </c>
      <c r="E158" t="s">
        <v>88</v>
      </c>
      <c r="F158" s="2">
        <v>45997</v>
      </c>
      <c r="G158">
        <v>2474713</v>
      </c>
      <c r="H158" s="19">
        <v>286079.93</v>
      </c>
      <c r="I158" s="19" t="str">
        <f>IF(Tabela1[[#This Row],[Bónus]]&gt;=50000,"correcto","por verificar")</f>
        <v>correcto</v>
      </c>
      <c r="J158" s="19">
        <v>210121.44</v>
      </c>
      <c r="K158" s="19" t="str">
        <f>IF(Tabela1[[#This Row],[Desconto]]&lt;=30000,"Por verificar","correcto")</f>
        <v>correcto</v>
      </c>
      <c r="L158" s="19">
        <v>2550671.4900000002</v>
      </c>
      <c r="M158" s="19" t="str">
        <f>IF(Tabela1[[#This Row],[Salário Líquido]]&gt;=500000,"correcto","por verificar")</f>
        <v>correcto</v>
      </c>
      <c r="N158" t="s">
        <v>27</v>
      </c>
    </row>
    <row r="159" spans="1:14" x14ac:dyDescent="0.35">
      <c r="A159" t="s">
        <v>351</v>
      </c>
      <c r="B159" t="s">
        <v>352</v>
      </c>
      <c r="C159" t="s">
        <v>19</v>
      </c>
      <c r="D159" t="s">
        <v>40</v>
      </c>
      <c r="E159" t="s">
        <v>88</v>
      </c>
      <c r="F159" s="2">
        <v>44799</v>
      </c>
      <c r="G159">
        <v>1832516</v>
      </c>
      <c r="H159" s="19">
        <v>134387.9</v>
      </c>
      <c r="I159" s="19" t="str">
        <f>IF(Tabela1[[#This Row],[Bónus]]&gt;=50000,"correcto","por verificar")</f>
        <v>correcto</v>
      </c>
      <c r="J159" s="19">
        <v>62454.37</v>
      </c>
      <c r="K159" s="19" t="str">
        <f>IF(Tabela1[[#This Row],[Desconto]]&lt;=30000,"Por verificar","correcto")</f>
        <v>correcto</v>
      </c>
      <c r="L159" s="19">
        <v>1904449.53</v>
      </c>
      <c r="M159" s="19" t="str">
        <f>IF(Tabela1[[#This Row],[Salário Líquido]]&gt;=500000,"correcto","por verificar")</f>
        <v>correcto</v>
      </c>
      <c r="N159" t="s">
        <v>45</v>
      </c>
    </row>
    <row r="160" spans="1:14" x14ac:dyDescent="0.35">
      <c r="A160" t="s">
        <v>353</v>
      </c>
      <c r="B160" t="s">
        <v>354</v>
      </c>
      <c r="C160" t="s">
        <v>63</v>
      </c>
      <c r="D160" t="s">
        <v>40</v>
      </c>
      <c r="E160" t="s">
        <v>36</v>
      </c>
      <c r="F160" s="2">
        <v>45420</v>
      </c>
      <c r="G160">
        <v>1104822</v>
      </c>
      <c r="H160" s="19">
        <v>251293.82</v>
      </c>
      <c r="I160" s="19" t="str">
        <f>IF(Tabela1[[#This Row],[Bónus]]&gt;=50000,"correcto","por verificar")</f>
        <v>correcto</v>
      </c>
      <c r="J160" s="19">
        <v>46634.28</v>
      </c>
      <c r="K160" s="19" t="str">
        <f>IF(Tabela1[[#This Row],[Desconto]]&lt;=30000,"Por verificar","correcto")</f>
        <v>correcto</v>
      </c>
      <c r="L160" s="19">
        <v>1309481.54</v>
      </c>
      <c r="M160" s="19" t="str">
        <f>IF(Tabela1[[#This Row],[Salário Líquido]]&gt;=500000,"correcto","por verificar")</f>
        <v>correcto</v>
      </c>
      <c r="N160" t="s">
        <v>16</v>
      </c>
    </row>
    <row r="161" spans="1:14" x14ac:dyDescent="0.35">
      <c r="A161" t="s">
        <v>355</v>
      </c>
      <c r="B161" t="s">
        <v>356</v>
      </c>
      <c r="C161" t="s">
        <v>30</v>
      </c>
      <c r="D161" t="s">
        <v>35</v>
      </c>
      <c r="E161" t="s">
        <v>41</v>
      </c>
      <c r="F161" s="2">
        <v>45397</v>
      </c>
      <c r="G161">
        <v>768116</v>
      </c>
      <c r="H161" s="19">
        <v>174425.9</v>
      </c>
      <c r="I161" s="19" t="str">
        <f>IF(Tabela1[[#This Row],[Bónus]]&gt;=50000,"correcto","por verificar")</f>
        <v>correcto</v>
      </c>
      <c r="J161" s="19">
        <v>68318.52</v>
      </c>
      <c r="K161" s="19" t="str">
        <f>IF(Tabela1[[#This Row],[Desconto]]&lt;=30000,"Por verificar","correcto")</f>
        <v>correcto</v>
      </c>
      <c r="L161" s="19">
        <v>874223.38</v>
      </c>
      <c r="M161" s="19" t="str">
        <f>IF(Tabela1[[#This Row],[Salário Líquido]]&gt;=500000,"correcto","por verificar")</f>
        <v>correcto</v>
      </c>
      <c r="N161" t="s">
        <v>27</v>
      </c>
    </row>
    <row r="162" spans="1:14" x14ac:dyDescent="0.35">
      <c r="A162" t="s">
        <v>357</v>
      </c>
      <c r="B162" t="s">
        <v>358</v>
      </c>
      <c r="C162" t="s">
        <v>63</v>
      </c>
      <c r="D162" t="s">
        <v>14</v>
      </c>
      <c r="E162" t="s">
        <v>48</v>
      </c>
      <c r="F162" s="2">
        <v>44765</v>
      </c>
      <c r="G162">
        <v>257222</v>
      </c>
      <c r="H162" s="19">
        <v>48372.17</v>
      </c>
      <c r="I162" s="19" t="str">
        <f>IF(Tabela1[[#This Row],[Bónus]]&gt;=50000,"correcto","por verificar")</f>
        <v>por verificar</v>
      </c>
      <c r="J162" s="19">
        <v>12746.45</v>
      </c>
      <c r="K162" s="19" t="str">
        <f>IF(Tabela1[[#This Row],[Desconto]]&lt;=30000,"Por verificar","correcto")</f>
        <v>Por verificar</v>
      </c>
      <c r="L162" s="19">
        <v>292847.71999999997</v>
      </c>
      <c r="M162" s="19" t="str">
        <f>IF(Tabela1[[#This Row],[Salário Líquido]]&gt;=500000,"correcto","por verificar")</f>
        <v>por verificar</v>
      </c>
      <c r="N162" t="s">
        <v>16</v>
      </c>
    </row>
    <row r="163" spans="1:14" x14ac:dyDescent="0.35">
      <c r="A163" t="s">
        <v>359</v>
      </c>
      <c r="B163" t="s">
        <v>360</v>
      </c>
      <c r="C163" t="s">
        <v>44</v>
      </c>
      <c r="D163" t="s">
        <v>20</v>
      </c>
      <c r="E163" t="s">
        <v>26</v>
      </c>
      <c r="F163" s="2">
        <v>45127</v>
      </c>
      <c r="G163">
        <v>1660714</v>
      </c>
      <c r="H163" s="19">
        <v>263876.12</v>
      </c>
      <c r="I163" s="19" t="str">
        <f>IF(Tabela1[[#This Row],[Bónus]]&gt;=50000,"correcto","por verificar")</f>
        <v>correcto</v>
      </c>
      <c r="J163" s="19">
        <v>195973.93</v>
      </c>
      <c r="K163" s="19" t="str">
        <f>IF(Tabela1[[#This Row],[Desconto]]&lt;=30000,"Por verificar","correcto")</f>
        <v>correcto</v>
      </c>
      <c r="L163" s="19">
        <v>1728616.19</v>
      </c>
      <c r="M163" s="19" t="str">
        <f>IF(Tabela1[[#This Row],[Salário Líquido]]&gt;=500000,"correcto","por verificar")</f>
        <v>correcto</v>
      </c>
      <c r="N163" t="s">
        <v>45</v>
      </c>
    </row>
    <row r="164" spans="1:14" x14ac:dyDescent="0.35">
      <c r="A164" t="s">
        <v>361</v>
      </c>
      <c r="B164" t="s">
        <v>362</v>
      </c>
      <c r="C164" t="s">
        <v>19</v>
      </c>
      <c r="D164" t="s">
        <v>54</v>
      </c>
      <c r="E164" t="s">
        <v>21</v>
      </c>
      <c r="F164" s="2">
        <v>45876</v>
      </c>
      <c r="G164">
        <v>632374</v>
      </c>
      <c r="H164" s="19">
        <v>151644.65</v>
      </c>
      <c r="I164" s="19" t="str">
        <f>IF(Tabela1[[#This Row],[Bónus]]&gt;=50000,"correcto","por verificar")</f>
        <v>correcto</v>
      </c>
      <c r="J164" s="19">
        <v>65878.95</v>
      </c>
      <c r="K164" s="19" t="str">
        <f>IF(Tabela1[[#This Row],[Desconto]]&lt;=30000,"Por verificar","correcto")</f>
        <v>correcto</v>
      </c>
      <c r="L164" s="19">
        <v>718139.70000000007</v>
      </c>
      <c r="M164" s="19" t="str">
        <f>IF(Tabela1[[#This Row],[Salário Líquido]]&gt;=500000,"correcto","por verificar")</f>
        <v>correcto</v>
      </c>
      <c r="N164" t="s">
        <v>16</v>
      </c>
    </row>
    <row r="165" spans="1:14" x14ac:dyDescent="0.35">
      <c r="A165" t="s">
        <v>363</v>
      </c>
      <c r="B165" t="s">
        <v>364</v>
      </c>
      <c r="C165" t="s">
        <v>13</v>
      </c>
      <c r="D165" t="s">
        <v>25</v>
      </c>
      <c r="E165" t="s">
        <v>21</v>
      </c>
      <c r="F165" s="2">
        <v>44702</v>
      </c>
      <c r="G165">
        <v>209579</v>
      </c>
      <c r="H165" s="19">
        <v>12598.99</v>
      </c>
      <c r="I165" s="19" t="str">
        <f>IF(Tabela1[[#This Row],[Bónus]]&gt;=50000,"correcto","por verificar")</f>
        <v>por verificar</v>
      </c>
      <c r="J165" s="19">
        <v>12578.06</v>
      </c>
      <c r="K165" s="19" t="str">
        <f>IF(Tabela1[[#This Row],[Desconto]]&lt;=30000,"Por verificar","correcto")</f>
        <v>Por verificar</v>
      </c>
      <c r="L165" s="19">
        <v>209599.93</v>
      </c>
      <c r="M165" s="19" t="str">
        <f>IF(Tabela1[[#This Row],[Salário Líquido]]&gt;=500000,"correcto","por verificar")</f>
        <v>por verificar</v>
      </c>
      <c r="N165" t="s">
        <v>16</v>
      </c>
    </row>
    <row r="166" spans="1:14" x14ac:dyDescent="0.35">
      <c r="A166" t="s">
        <v>365</v>
      </c>
      <c r="B166" t="s">
        <v>366</v>
      </c>
      <c r="C166" t="s">
        <v>13</v>
      </c>
      <c r="D166" t="s">
        <v>40</v>
      </c>
      <c r="E166" t="s">
        <v>51</v>
      </c>
      <c r="F166" s="2">
        <v>46177</v>
      </c>
      <c r="G166">
        <v>988880</v>
      </c>
      <c r="H166" s="19">
        <v>165416.5</v>
      </c>
      <c r="I166" s="19" t="str">
        <f>IF(Tabela1[[#This Row],[Bónus]]&gt;=50000,"correcto","por verificar")</f>
        <v>correcto</v>
      </c>
      <c r="J166" s="19">
        <v>102027.46</v>
      </c>
      <c r="K166" s="19" t="str">
        <f>IF(Tabela1[[#This Row],[Desconto]]&lt;=30000,"Por verificar","correcto")</f>
        <v>correcto</v>
      </c>
      <c r="L166" s="19">
        <v>1052269.04</v>
      </c>
      <c r="M166" s="19" t="str">
        <f>IF(Tabela1[[#This Row],[Salário Líquido]]&gt;=500000,"correcto","por verificar")</f>
        <v>correcto</v>
      </c>
      <c r="N166" t="s">
        <v>16</v>
      </c>
    </row>
    <row r="167" spans="1:14" x14ac:dyDescent="0.35">
      <c r="A167" t="s">
        <v>367</v>
      </c>
      <c r="B167" t="s">
        <v>368</v>
      </c>
      <c r="C167" t="s">
        <v>13</v>
      </c>
      <c r="D167" t="s">
        <v>25</v>
      </c>
      <c r="E167" t="s">
        <v>72</v>
      </c>
      <c r="F167" s="2">
        <v>46197</v>
      </c>
      <c r="G167">
        <v>131893</v>
      </c>
      <c r="H167" s="19">
        <v>13908.77</v>
      </c>
      <c r="I167" s="19" t="str">
        <f>IF(Tabela1[[#This Row],[Bónus]]&gt;=50000,"correcto","por verificar")</f>
        <v>por verificar</v>
      </c>
      <c r="J167" s="19">
        <v>15637.57</v>
      </c>
      <c r="K167" s="19" t="str">
        <f>IF(Tabela1[[#This Row],[Desconto]]&lt;=30000,"Por verificar","correcto")</f>
        <v>Por verificar</v>
      </c>
      <c r="L167" s="19">
        <v>130164.2</v>
      </c>
      <c r="M167" s="19" t="str">
        <f>IF(Tabela1[[#This Row],[Salário Líquido]]&gt;=500000,"correcto","por verificar")</f>
        <v>por verificar</v>
      </c>
      <c r="N167" t="s">
        <v>45</v>
      </c>
    </row>
    <row r="168" spans="1:14" x14ac:dyDescent="0.35">
      <c r="A168" t="s">
        <v>369</v>
      </c>
      <c r="B168" t="s">
        <v>370</v>
      </c>
      <c r="C168" t="s">
        <v>19</v>
      </c>
      <c r="D168" t="s">
        <v>40</v>
      </c>
      <c r="E168" t="s">
        <v>21</v>
      </c>
      <c r="F168" s="2">
        <v>45767</v>
      </c>
      <c r="G168">
        <v>581064</v>
      </c>
      <c r="H168" s="19">
        <v>105876.56</v>
      </c>
      <c r="I168" s="19" t="str">
        <f>IF(Tabela1[[#This Row],[Bónus]]&gt;=50000,"correcto","por verificar")</f>
        <v>correcto</v>
      </c>
      <c r="J168" s="19">
        <v>18780.11</v>
      </c>
      <c r="K168" s="19" t="str">
        <f>IF(Tabela1[[#This Row],[Desconto]]&lt;=30000,"Por verificar","correcto")</f>
        <v>Por verificar</v>
      </c>
      <c r="L168" s="19">
        <v>668160.45000000007</v>
      </c>
      <c r="M168" s="19" t="str">
        <f>IF(Tabela1[[#This Row],[Salário Líquido]]&gt;=500000,"correcto","por verificar")</f>
        <v>correcto</v>
      </c>
      <c r="N168" t="s">
        <v>27</v>
      </c>
    </row>
    <row r="169" spans="1:14" x14ac:dyDescent="0.35">
      <c r="A169" t="s">
        <v>371</v>
      </c>
      <c r="B169" t="s">
        <v>372</v>
      </c>
      <c r="C169" t="s">
        <v>24</v>
      </c>
      <c r="D169" t="s">
        <v>35</v>
      </c>
      <c r="E169" t="s">
        <v>36</v>
      </c>
      <c r="F169" s="2">
        <v>44794</v>
      </c>
      <c r="G169">
        <v>186190</v>
      </c>
      <c r="H169" s="19">
        <v>15798.08</v>
      </c>
      <c r="I169" s="19" t="str">
        <f>IF(Tabela1[[#This Row],[Bónus]]&gt;=50000,"correcto","por verificar")</f>
        <v>por verificar</v>
      </c>
      <c r="J169" s="19">
        <v>6463.76</v>
      </c>
      <c r="K169" s="19" t="str">
        <f>IF(Tabela1[[#This Row],[Desconto]]&lt;=30000,"Por verificar","correcto")</f>
        <v>Por verificar</v>
      </c>
      <c r="L169" s="19">
        <v>195524.32</v>
      </c>
      <c r="M169" s="19" t="str">
        <f>IF(Tabela1[[#This Row],[Salário Líquido]]&gt;=500000,"correcto","por verificar")</f>
        <v>por verificar</v>
      </c>
      <c r="N169" t="s">
        <v>16</v>
      </c>
    </row>
    <row r="170" spans="1:14" x14ac:dyDescent="0.35">
      <c r="A170" t="s">
        <v>373</v>
      </c>
      <c r="B170" t="s">
        <v>374</v>
      </c>
      <c r="C170" t="s">
        <v>39</v>
      </c>
      <c r="D170" t="s">
        <v>25</v>
      </c>
      <c r="E170" t="s">
        <v>15</v>
      </c>
      <c r="F170" s="2">
        <v>45487</v>
      </c>
      <c r="G170">
        <v>386581</v>
      </c>
      <c r="H170" s="19">
        <v>56150.58</v>
      </c>
      <c r="I170" s="19" t="str">
        <f>IF(Tabela1[[#This Row],[Bónus]]&gt;=50000,"correcto","por verificar")</f>
        <v>correcto</v>
      </c>
      <c r="J170" s="19">
        <v>38666.42</v>
      </c>
      <c r="K170" s="19" t="str">
        <f>IF(Tabela1[[#This Row],[Desconto]]&lt;=30000,"Por verificar","correcto")</f>
        <v>correcto</v>
      </c>
      <c r="L170" s="19">
        <v>404065.16</v>
      </c>
      <c r="M170" s="19" t="str">
        <f>IF(Tabela1[[#This Row],[Salário Líquido]]&gt;=500000,"correcto","por verificar")</f>
        <v>por verificar</v>
      </c>
      <c r="N170" t="s">
        <v>16</v>
      </c>
    </row>
    <row r="171" spans="1:14" x14ac:dyDescent="0.35">
      <c r="A171" t="s">
        <v>375</v>
      </c>
      <c r="B171" t="s">
        <v>376</v>
      </c>
      <c r="C171" t="s">
        <v>30</v>
      </c>
      <c r="D171" t="s">
        <v>54</v>
      </c>
      <c r="E171" t="s">
        <v>36</v>
      </c>
      <c r="F171" s="2">
        <v>45179</v>
      </c>
      <c r="G171">
        <v>1049247</v>
      </c>
      <c r="H171" s="19">
        <v>250857.26</v>
      </c>
      <c r="I171" s="19" t="str">
        <f>IF(Tabela1[[#This Row],[Bónus]]&gt;=50000,"correcto","por verificar")</f>
        <v>correcto</v>
      </c>
      <c r="J171" s="19">
        <v>35572.47</v>
      </c>
      <c r="K171" s="19" t="str">
        <f>IF(Tabela1[[#This Row],[Desconto]]&lt;=30000,"Por verificar","correcto")</f>
        <v>correcto</v>
      </c>
      <c r="L171" s="19">
        <v>1264531.79</v>
      </c>
      <c r="M171" s="19" t="str">
        <f>IF(Tabela1[[#This Row],[Salário Líquido]]&gt;=500000,"correcto","por verificar")</f>
        <v>correcto</v>
      </c>
      <c r="N171" t="s">
        <v>27</v>
      </c>
    </row>
    <row r="172" spans="1:14" x14ac:dyDescent="0.35">
      <c r="A172" t="s">
        <v>377</v>
      </c>
      <c r="B172" t="s">
        <v>378</v>
      </c>
      <c r="C172" t="s">
        <v>63</v>
      </c>
      <c r="D172" t="s">
        <v>35</v>
      </c>
      <c r="E172" t="s">
        <v>15</v>
      </c>
      <c r="F172" s="2">
        <v>45566</v>
      </c>
      <c r="G172">
        <v>250655</v>
      </c>
      <c r="H172" s="19">
        <v>15581.99</v>
      </c>
      <c r="I172" s="19" t="str">
        <f>IF(Tabela1[[#This Row],[Bónus]]&gt;=50000,"correcto","por verificar")</f>
        <v>por verificar</v>
      </c>
      <c r="J172" s="19">
        <v>18324.98</v>
      </c>
      <c r="K172" s="19" t="str">
        <f>IF(Tabela1[[#This Row],[Desconto]]&lt;=30000,"Por verificar","correcto")</f>
        <v>Por verificar</v>
      </c>
      <c r="L172" s="19">
        <v>247912.01</v>
      </c>
      <c r="M172" s="19" t="str">
        <f>IF(Tabela1[[#This Row],[Salário Líquido]]&gt;=500000,"correcto","por verificar")</f>
        <v>por verificar</v>
      </c>
      <c r="N172" t="s">
        <v>16</v>
      </c>
    </row>
    <row r="173" spans="1:14" x14ac:dyDescent="0.35">
      <c r="A173" t="s">
        <v>379</v>
      </c>
      <c r="B173" t="s">
        <v>380</v>
      </c>
      <c r="C173" t="s">
        <v>39</v>
      </c>
      <c r="D173" t="s">
        <v>14</v>
      </c>
      <c r="E173" t="s">
        <v>15</v>
      </c>
      <c r="F173" s="2">
        <v>44820</v>
      </c>
      <c r="G173">
        <v>1980435</v>
      </c>
      <c r="H173" s="19">
        <v>128130.47</v>
      </c>
      <c r="I173" s="19" t="str">
        <f>IF(Tabela1[[#This Row],[Bónus]]&gt;=50000,"correcto","por verificar")</f>
        <v>correcto</v>
      </c>
      <c r="J173" s="19">
        <v>73813.08</v>
      </c>
      <c r="K173" s="19" t="str">
        <f>IF(Tabela1[[#This Row],[Desconto]]&lt;=30000,"Por verificar","correcto")</f>
        <v>correcto</v>
      </c>
      <c r="L173" s="19">
        <v>2034752.39</v>
      </c>
      <c r="M173" s="19" t="str">
        <f>IF(Tabela1[[#This Row],[Salário Líquido]]&gt;=500000,"correcto","por verificar")</f>
        <v>correcto</v>
      </c>
      <c r="N173" t="s">
        <v>27</v>
      </c>
    </row>
    <row r="174" spans="1:14" x14ac:dyDescent="0.35">
      <c r="A174" t="s">
        <v>381</v>
      </c>
      <c r="B174" t="s">
        <v>382</v>
      </c>
      <c r="C174" t="s">
        <v>39</v>
      </c>
      <c r="D174" t="s">
        <v>25</v>
      </c>
      <c r="E174" t="s">
        <v>72</v>
      </c>
      <c r="F174" s="2">
        <v>45491</v>
      </c>
      <c r="G174">
        <v>2419973</v>
      </c>
      <c r="H174" s="19">
        <v>465676.76</v>
      </c>
      <c r="I174" s="19" t="str">
        <f>IF(Tabela1[[#This Row],[Bónus]]&gt;=50000,"correcto","por verificar")</f>
        <v>correcto</v>
      </c>
      <c r="J174" s="19">
        <v>155559.24</v>
      </c>
      <c r="K174" s="19" t="str">
        <f>IF(Tabela1[[#This Row],[Desconto]]&lt;=30000,"Por verificar","correcto")</f>
        <v>correcto</v>
      </c>
      <c r="L174" s="19">
        <v>2730090.52</v>
      </c>
      <c r="M174" s="19" t="str">
        <f>IF(Tabela1[[#This Row],[Salário Líquido]]&gt;=500000,"correcto","por verificar")</f>
        <v>correcto</v>
      </c>
      <c r="N174" t="s">
        <v>16</v>
      </c>
    </row>
    <row r="175" spans="1:14" x14ac:dyDescent="0.35">
      <c r="A175" t="s">
        <v>383</v>
      </c>
      <c r="B175" t="s">
        <v>384</v>
      </c>
      <c r="C175" t="s">
        <v>30</v>
      </c>
      <c r="D175" t="s">
        <v>54</v>
      </c>
      <c r="E175" t="s">
        <v>36</v>
      </c>
      <c r="F175" s="2">
        <v>46038</v>
      </c>
      <c r="G175">
        <v>1924386</v>
      </c>
      <c r="H175" s="19">
        <v>134390.82999999999</v>
      </c>
      <c r="I175" s="19" t="str">
        <f>IF(Tabela1[[#This Row],[Bónus]]&gt;=50000,"correcto","por verificar")</f>
        <v>correcto</v>
      </c>
      <c r="J175" s="19">
        <v>179276.08</v>
      </c>
      <c r="K175" s="19" t="str">
        <f>IF(Tabela1[[#This Row],[Desconto]]&lt;=30000,"Por verificar","correcto")</f>
        <v>correcto</v>
      </c>
      <c r="L175" s="19">
        <v>1879500.75</v>
      </c>
      <c r="M175" s="19" t="str">
        <f>IF(Tabela1[[#This Row],[Salário Líquido]]&gt;=500000,"correcto","por verificar")</f>
        <v>correcto</v>
      </c>
      <c r="N175" t="s">
        <v>45</v>
      </c>
    </row>
    <row r="176" spans="1:14" x14ac:dyDescent="0.35">
      <c r="A176" t="s">
        <v>385</v>
      </c>
      <c r="B176" t="s">
        <v>386</v>
      </c>
      <c r="C176" t="s">
        <v>44</v>
      </c>
      <c r="D176" t="s">
        <v>35</v>
      </c>
      <c r="E176" t="s">
        <v>26</v>
      </c>
      <c r="F176" s="2">
        <v>45413</v>
      </c>
      <c r="G176">
        <v>1923844</v>
      </c>
      <c r="H176" s="19">
        <v>269936.44</v>
      </c>
      <c r="I176" s="19" t="str">
        <f>IF(Tabela1[[#This Row],[Bónus]]&gt;=50000,"correcto","por verificar")</f>
        <v>correcto</v>
      </c>
      <c r="J176" s="19">
        <v>97278.06</v>
      </c>
      <c r="K176" s="19" t="str">
        <f>IF(Tabela1[[#This Row],[Desconto]]&lt;=30000,"Por verificar","correcto")</f>
        <v>correcto</v>
      </c>
      <c r="L176" s="19">
        <v>2096502.38</v>
      </c>
      <c r="M176" s="19" t="str">
        <f>IF(Tabela1[[#This Row],[Salário Líquido]]&gt;=500000,"correcto","por verificar")</f>
        <v>correcto</v>
      </c>
      <c r="N176" t="s">
        <v>16</v>
      </c>
    </row>
    <row r="177" spans="1:14" x14ac:dyDescent="0.35">
      <c r="A177" t="s">
        <v>387</v>
      </c>
      <c r="B177" t="s">
        <v>388</v>
      </c>
      <c r="C177" t="s">
        <v>44</v>
      </c>
      <c r="D177" t="s">
        <v>40</v>
      </c>
      <c r="E177" t="s">
        <v>51</v>
      </c>
      <c r="F177" s="2">
        <v>45968</v>
      </c>
      <c r="G177">
        <v>518818</v>
      </c>
      <c r="H177" s="19">
        <v>58372.04</v>
      </c>
      <c r="I177" s="19" t="str">
        <f>IF(Tabela1[[#This Row],[Bónus]]&gt;=50000,"correcto","por verificar")</f>
        <v>correcto</v>
      </c>
      <c r="J177" s="19">
        <v>30157.4</v>
      </c>
      <c r="K177" s="19" t="str">
        <f>IF(Tabela1[[#This Row],[Desconto]]&lt;=30000,"Por verificar","correcto")</f>
        <v>correcto</v>
      </c>
      <c r="L177" s="19">
        <v>547032.64</v>
      </c>
      <c r="M177" s="19" t="str">
        <f>IF(Tabela1[[#This Row],[Salário Líquido]]&gt;=500000,"correcto","por verificar")</f>
        <v>correcto</v>
      </c>
      <c r="N177" t="s">
        <v>27</v>
      </c>
    </row>
    <row r="178" spans="1:14" x14ac:dyDescent="0.35">
      <c r="A178" t="s">
        <v>389</v>
      </c>
      <c r="B178" t="s">
        <v>390</v>
      </c>
      <c r="C178" t="s">
        <v>63</v>
      </c>
      <c r="D178" t="s">
        <v>20</v>
      </c>
      <c r="E178" t="s">
        <v>48</v>
      </c>
      <c r="F178" s="2">
        <v>46224</v>
      </c>
      <c r="G178">
        <v>401577</v>
      </c>
      <c r="H178" s="19">
        <v>27405.61</v>
      </c>
      <c r="I178" s="19" t="str">
        <f>IF(Tabela1[[#This Row],[Bónus]]&gt;=50000,"correcto","por verificar")</f>
        <v>por verificar</v>
      </c>
      <c r="J178" s="19">
        <v>15132.54</v>
      </c>
      <c r="K178" s="19" t="str">
        <f>IF(Tabela1[[#This Row],[Desconto]]&lt;=30000,"Por verificar","correcto")</f>
        <v>Por verificar</v>
      </c>
      <c r="L178" s="19">
        <v>413850.07</v>
      </c>
      <c r="M178" s="19" t="str">
        <f>IF(Tabela1[[#This Row],[Salário Líquido]]&gt;=500000,"correcto","por verificar")</f>
        <v>por verificar</v>
      </c>
      <c r="N178" t="s">
        <v>45</v>
      </c>
    </row>
    <row r="179" spans="1:14" x14ac:dyDescent="0.35">
      <c r="A179" t="s">
        <v>391</v>
      </c>
      <c r="B179" t="s">
        <v>392</v>
      </c>
      <c r="C179" t="s">
        <v>39</v>
      </c>
      <c r="D179" t="s">
        <v>40</v>
      </c>
      <c r="E179" t="s">
        <v>15</v>
      </c>
      <c r="F179" s="2">
        <v>45403</v>
      </c>
      <c r="G179">
        <v>2453588</v>
      </c>
      <c r="H179" s="19">
        <v>152113.12</v>
      </c>
      <c r="I179" s="19" t="str">
        <f>IF(Tabela1[[#This Row],[Bónus]]&gt;=50000,"correcto","por verificar")</f>
        <v>correcto</v>
      </c>
      <c r="J179" s="19">
        <v>284852.28000000003</v>
      </c>
      <c r="K179" s="19" t="str">
        <f>IF(Tabela1[[#This Row],[Desconto]]&lt;=30000,"Por verificar","correcto")</f>
        <v>correcto</v>
      </c>
      <c r="L179" s="19">
        <v>2320848.84</v>
      </c>
      <c r="M179" s="19" t="str">
        <f>IF(Tabela1[[#This Row],[Salário Líquido]]&gt;=500000,"correcto","por verificar")</f>
        <v>correcto</v>
      </c>
      <c r="N179" t="s">
        <v>27</v>
      </c>
    </row>
    <row r="180" spans="1:14" x14ac:dyDescent="0.35">
      <c r="A180" t="s">
        <v>393</v>
      </c>
      <c r="B180" t="s">
        <v>394</v>
      </c>
      <c r="C180" t="s">
        <v>44</v>
      </c>
      <c r="D180" t="s">
        <v>25</v>
      </c>
      <c r="E180" t="s">
        <v>72</v>
      </c>
      <c r="F180" s="2">
        <v>45282</v>
      </c>
      <c r="G180">
        <v>1893925</v>
      </c>
      <c r="H180" s="19">
        <v>423516.53</v>
      </c>
      <c r="I180" s="19" t="str">
        <f>IF(Tabela1[[#This Row],[Bónus]]&gt;=50000,"correcto","por verificar")</f>
        <v>correcto</v>
      </c>
      <c r="J180" s="19">
        <v>179724.89</v>
      </c>
      <c r="K180" s="19" t="str">
        <f>IF(Tabela1[[#This Row],[Desconto]]&lt;=30000,"Por verificar","correcto")</f>
        <v>correcto</v>
      </c>
      <c r="L180" s="19">
        <v>2137716.64</v>
      </c>
      <c r="M180" s="19" t="str">
        <f>IF(Tabela1[[#This Row],[Salário Líquido]]&gt;=500000,"correcto","por verificar")</f>
        <v>correcto</v>
      </c>
      <c r="N180" t="s">
        <v>45</v>
      </c>
    </row>
    <row r="181" spans="1:14" x14ac:dyDescent="0.35">
      <c r="A181" t="s">
        <v>395</v>
      </c>
      <c r="B181" t="s">
        <v>396</v>
      </c>
      <c r="C181" t="s">
        <v>13</v>
      </c>
      <c r="D181" t="s">
        <v>20</v>
      </c>
      <c r="E181" t="s">
        <v>48</v>
      </c>
      <c r="F181" s="2">
        <v>46293</v>
      </c>
      <c r="G181">
        <v>2248242</v>
      </c>
      <c r="H181" s="19">
        <v>208069.76000000001</v>
      </c>
      <c r="I181" s="19" t="str">
        <f>IF(Tabela1[[#This Row],[Bónus]]&gt;=50000,"correcto","por verificar")</f>
        <v>correcto</v>
      </c>
      <c r="J181" s="19">
        <v>200332.45</v>
      </c>
      <c r="K181" s="19" t="str">
        <f>IF(Tabela1[[#This Row],[Desconto]]&lt;=30000,"Por verificar","correcto")</f>
        <v>correcto</v>
      </c>
      <c r="L181" s="19">
        <v>2255979.31</v>
      </c>
      <c r="M181" s="19" t="str">
        <f>IF(Tabela1[[#This Row],[Salário Líquido]]&gt;=500000,"correcto","por verificar")</f>
        <v>correcto</v>
      </c>
      <c r="N181" t="s">
        <v>16</v>
      </c>
    </row>
    <row r="182" spans="1:14" x14ac:dyDescent="0.35">
      <c r="A182" t="s">
        <v>397</v>
      </c>
      <c r="B182" t="s">
        <v>398</v>
      </c>
      <c r="C182" t="s">
        <v>13</v>
      </c>
      <c r="D182" t="s">
        <v>35</v>
      </c>
      <c r="E182" t="s">
        <v>36</v>
      </c>
      <c r="F182" s="2">
        <v>46133</v>
      </c>
      <c r="G182">
        <v>1661662</v>
      </c>
      <c r="H182" s="19">
        <v>121263.21</v>
      </c>
      <c r="I182" s="19" t="str">
        <f>IF(Tabela1[[#This Row],[Bónus]]&gt;=50000,"correcto","por verificar")</f>
        <v>correcto</v>
      </c>
      <c r="J182" s="19">
        <v>91509.62</v>
      </c>
      <c r="K182" s="19" t="str">
        <f>IF(Tabela1[[#This Row],[Desconto]]&lt;=30000,"Por verificar","correcto")</f>
        <v>correcto</v>
      </c>
      <c r="L182" s="19">
        <v>1691415.59</v>
      </c>
      <c r="M182" s="19" t="str">
        <f>IF(Tabela1[[#This Row],[Salário Líquido]]&gt;=500000,"correcto","por verificar")</f>
        <v>correcto</v>
      </c>
      <c r="N182" t="s">
        <v>16</v>
      </c>
    </row>
    <row r="183" spans="1:14" x14ac:dyDescent="0.35">
      <c r="A183" t="s">
        <v>399</v>
      </c>
      <c r="B183" t="s">
        <v>400</v>
      </c>
      <c r="C183" t="s">
        <v>30</v>
      </c>
      <c r="D183" t="s">
        <v>54</v>
      </c>
      <c r="E183" t="s">
        <v>72</v>
      </c>
      <c r="F183" s="2">
        <v>44621</v>
      </c>
      <c r="G183">
        <v>2455135</v>
      </c>
      <c r="H183" s="19">
        <v>135648.09</v>
      </c>
      <c r="I183" s="19" t="str">
        <f>IF(Tabela1[[#This Row],[Bónus]]&gt;=50000,"correcto","por verificar")</f>
        <v>correcto</v>
      </c>
      <c r="J183" s="19">
        <v>278946.51</v>
      </c>
      <c r="K183" s="19" t="str">
        <f>IF(Tabela1[[#This Row],[Desconto]]&lt;=30000,"Por verificar","correcto")</f>
        <v>correcto</v>
      </c>
      <c r="L183" s="19">
        <v>2311836.58</v>
      </c>
      <c r="M183" s="19" t="str">
        <f>IF(Tabela1[[#This Row],[Salário Líquido]]&gt;=500000,"correcto","por verificar")</f>
        <v>correcto</v>
      </c>
      <c r="N183" t="s">
        <v>45</v>
      </c>
    </row>
    <row r="184" spans="1:14" x14ac:dyDescent="0.35">
      <c r="A184" t="s">
        <v>401</v>
      </c>
      <c r="B184" t="s">
        <v>402</v>
      </c>
      <c r="C184" t="s">
        <v>44</v>
      </c>
      <c r="D184" t="s">
        <v>40</v>
      </c>
      <c r="E184" t="s">
        <v>77</v>
      </c>
      <c r="F184" s="2">
        <v>44933</v>
      </c>
      <c r="G184">
        <v>1266179</v>
      </c>
      <c r="H184" s="19">
        <v>241257.44</v>
      </c>
      <c r="I184" s="19" t="str">
        <f>IF(Tabela1[[#This Row],[Bónus]]&gt;=50000,"correcto","por verificar")</f>
        <v>correcto</v>
      </c>
      <c r="J184" s="19">
        <v>73196.06</v>
      </c>
      <c r="K184" s="19" t="str">
        <f>IF(Tabela1[[#This Row],[Desconto]]&lt;=30000,"Por verificar","correcto")</f>
        <v>correcto</v>
      </c>
      <c r="L184" s="19">
        <v>1434240.38</v>
      </c>
      <c r="M184" s="19" t="str">
        <f>IF(Tabela1[[#This Row],[Salário Líquido]]&gt;=500000,"correcto","por verificar")</f>
        <v>correcto</v>
      </c>
      <c r="N184" t="s">
        <v>45</v>
      </c>
    </row>
    <row r="185" spans="1:14" x14ac:dyDescent="0.35">
      <c r="A185" t="s">
        <v>403</v>
      </c>
      <c r="B185" t="s">
        <v>404</v>
      </c>
      <c r="C185" t="s">
        <v>24</v>
      </c>
      <c r="D185" t="s">
        <v>54</v>
      </c>
      <c r="E185" t="s">
        <v>77</v>
      </c>
      <c r="F185" s="2">
        <v>44749</v>
      </c>
      <c r="G185">
        <v>2495322</v>
      </c>
      <c r="H185" s="19">
        <v>452823.41</v>
      </c>
      <c r="I185" s="19" t="str">
        <f>IF(Tabela1[[#This Row],[Bónus]]&gt;=50000,"correcto","por verificar")</f>
        <v>correcto</v>
      </c>
      <c r="J185" s="19">
        <v>90487.08</v>
      </c>
      <c r="K185" s="19" t="str">
        <f>IF(Tabela1[[#This Row],[Desconto]]&lt;=30000,"Por verificar","correcto")</f>
        <v>correcto</v>
      </c>
      <c r="L185" s="19">
        <v>2857658.33</v>
      </c>
      <c r="M185" s="19" t="str">
        <f>IF(Tabela1[[#This Row],[Salário Líquido]]&gt;=500000,"correcto","por verificar")</f>
        <v>correcto</v>
      </c>
      <c r="N185" t="s">
        <v>16</v>
      </c>
    </row>
    <row r="186" spans="1:14" x14ac:dyDescent="0.35">
      <c r="A186" t="s">
        <v>405</v>
      </c>
      <c r="B186" t="s">
        <v>406</v>
      </c>
      <c r="C186" t="s">
        <v>44</v>
      </c>
      <c r="D186" t="s">
        <v>14</v>
      </c>
      <c r="E186" t="s">
        <v>48</v>
      </c>
      <c r="F186" s="2">
        <v>45200</v>
      </c>
      <c r="G186">
        <v>2345005</v>
      </c>
      <c r="H186" s="19">
        <v>218147.79</v>
      </c>
      <c r="I186" s="19" t="str">
        <f>IF(Tabela1[[#This Row],[Bónus]]&gt;=50000,"correcto","por verificar")</f>
        <v>correcto</v>
      </c>
      <c r="J186" s="19">
        <v>158955.99</v>
      </c>
      <c r="K186" s="19" t="str">
        <f>IF(Tabela1[[#This Row],[Desconto]]&lt;=30000,"Por verificar","correcto")</f>
        <v>correcto</v>
      </c>
      <c r="L186" s="19">
        <v>2404196.7999999998</v>
      </c>
      <c r="M186" s="19" t="str">
        <f>IF(Tabela1[[#This Row],[Salário Líquido]]&gt;=500000,"correcto","por verificar")</f>
        <v>correcto</v>
      </c>
      <c r="N186" t="s">
        <v>16</v>
      </c>
    </row>
    <row r="187" spans="1:14" x14ac:dyDescent="0.35">
      <c r="A187" t="s">
        <v>407</v>
      </c>
      <c r="B187" t="s">
        <v>408</v>
      </c>
      <c r="C187" t="s">
        <v>19</v>
      </c>
      <c r="D187" t="s">
        <v>20</v>
      </c>
      <c r="E187" t="s">
        <v>51</v>
      </c>
      <c r="F187" s="2">
        <v>44884</v>
      </c>
      <c r="G187">
        <v>1480560</v>
      </c>
      <c r="H187" s="19">
        <v>304058.34999999998</v>
      </c>
      <c r="I187" s="19" t="str">
        <f>IF(Tabela1[[#This Row],[Bónus]]&gt;=50000,"correcto","por verificar")</f>
        <v>correcto</v>
      </c>
      <c r="J187" s="19">
        <v>120048.87</v>
      </c>
      <c r="K187" s="19" t="str">
        <f>IF(Tabela1[[#This Row],[Desconto]]&lt;=30000,"Por verificar","correcto")</f>
        <v>correcto</v>
      </c>
      <c r="L187" s="19">
        <v>1664569.48</v>
      </c>
      <c r="M187" s="19" t="str">
        <f>IF(Tabela1[[#This Row],[Salário Líquido]]&gt;=500000,"correcto","por verificar")</f>
        <v>correcto</v>
      </c>
      <c r="N187" t="s">
        <v>16</v>
      </c>
    </row>
    <row r="188" spans="1:14" x14ac:dyDescent="0.35">
      <c r="A188" t="s">
        <v>409</v>
      </c>
      <c r="B188" t="s">
        <v>410</v>
      </c>
      <c r="C188" t="s">
        <v>24</v>
      </c>
      <c r="D188" t="s">
        <v>35</v>
      </c>
      <c r="E188" t="s">
        <v>88</v>
      </c>
      <c r="F188" s="2">
        <v>45805</v>
      </c>
      <c r="G188">
        <v>328719</v>
      </c>
      <c r="H188" s="19">
        <v>60745.21</v>
      </c>
      <c r="I188" s="19" t="str">
        <f>IF(Tabela1[[#This Row],[Bónus]]&gt;=50000,"correcto","por verificar")</f>
        <v>correcto</v>
      </c>
      <c r="J188" s="19">
        <v>17911.650000000001</v>
      </c>
      <c r="K188" s="19" t="str">
        <f>IF(Tabela1[[#This Row],[Desconto]]&lt;=30000,"Por verificar","correcto")</f>
        <v>Por verificar</v>
      </c>
      <c r="L188" s="19">
        <v>371552.56</v>
      </c>
      <c r="M188" s="19" t="str">
        <f>IF(Tabela1[[#This Row],[Salário Líquido]]&gt;=500000,"correcto","por verificar")</f>
        <v>por verificar</v>
      </c>
      <c r="N188" t="s">
        <v>27</v>
      </c>
    </row>
    <row r="189" spans="1:14" x14ac:dyDescent="0.35">
      <c r="A189" t="s">
        <v>411</v>
      </c>
      <c r="B189" t="s">
        <v>412</v>
      </c>
      <c r="C189" t="s">
        <v>19</v>
      </c>
      <c r="D189" t="s">
        <v>40</v>
      </c>
      <c r="E189" t="s">
        <v>26</v>
      </c>
      <c r="F189" s="2">
        <v>44789</v>
      </c>
      <c r="G189">
        <v>1857212</v>
      </c>
      <c r="H189" s="19">
        <v>194326.35</v>
      </c>
      <c r="I189" s="19" t="str">
        <f>IF(Tabela1[[#This Row],[Bónus]]&gt;=50000,"correcto","por verificar")</f>
        <v>correcto</v>
      </c>
      <c r="J189" s="19">
        <v>181904.41</v>
      </c>
      <c r="K189" s="19" t="str">
        <f>IF(Tabela1[[#This Row],[Desconto]]&lt;=30000,"Por verificar","correcto")</f>
        <v>correcto</v>
      </c>
      <c r="L189" s="19">
        <v>1869633.94</v>
      </c>
      <c r="M189" s="19" t="str">
        <f>IF(Tabela1[[#This Row],[Salário Líquido]]&gt;=500000,"correcto","por verificar")</f>
        <v>correcto</v>
      </c>
      <c r="N189" t="s">
        <v>27</v>
      </c>
    </row>
    <row r="190" spans="1:14" x14ac:dyDescent="0.35">
      <c r="A190" t="s">
        <v>413</v>
      </c>
      <c r="B190" t="s">
        <v>414</v>
      </c>
      <c r="C190" t="s">
        <v>13</v>
      </c>
      <c r="D190" t="s">
        <v>35</v>
      </c>
      <c r="E190" t="s">
        <v>41</v>
      </c>
      <c r="F190" s="2">
        <v>44674</v>
      </c>
      <c r="G190">
        <v>2161085</v>
      </c>
      <c r="H190" s="19">
        <v>335804.13</v>
      </c>
      <c r="I190" s="19" t="str">
        <f>IF(Tabela1[[#This Row],[Bónus]]&gt;=50000,"correcto","por verificar")</f>
        <v>correcto</v>
      </c>
      <c r="J190" s="19">
        <v>124819.4</v>
      </c>
      <c r="K190" s="19" t="str">
        <f>IF(Tabela1[[#This Row],[Desconto]]&lt;=30000,"Por verificar","correcto")</f>
        <v>correcto</v>
      </c>
      <c r="L190" s="19">
        <v>2372069.73</v>
      </c>
      <c r="M190" s="19" t="str">
        <f>IF(Tabela1[[#This Row],[Salário Líquido]]&gt;=500000,"correcto","por verificar")</f>
        <v>correcto</v>
      </c>
      <c r="N190" t="s">
        <v>45</v>
      </c>
    </row>
    <row r="191" spans="1:14" x14ac:dyDescent="0.35">
      <c r="A191" t="s">
        <v>415</v>
      </c>
      <c r="B191" t="s">
        <v>416</v>
      </c>
      <c r="C191" t="s">
        <v>13</v>
      </c>
      <c r="D191" t="s">
        <v>40</v>
      </c>
      <c r="E191" t="s">
        <v>72</v>
      </c>
      <c r="F191" s="2">
        <v>45233</v>
      </c>
      <c r="G191">
        <v>977412</v>
      </c>
      <c r="H191" s="19">
        <v>107792.78</v>
      </c>
      <c r="I191" s="19" t="str">
        <f>IF(Tabela1[[#This Row],[Bónus]]&gt;=50000,"correcto","por verificar")</f>
        <v>correcto</v>
      </c>
      <c r="J191" s="19">
        <v>47904</v>
      </c>
      <c r="K191" s="19" t="str">
        <f>IF(Tabela1[[#This Row],[Desconto]]&lt;=30000,"Por verificar","correcto")</f>
        <v>correcto</v>
      </c>
      <c r="L191" s="19">
        <v>1037300.78</v>
      </c>
      <c r="M191" s="19" t="str">
        <f>IF(Tabela1[[#This Row],[Salário Líquido]]&gt;=500000,"correcto","por verificar")</f>
        <v>correcto</v>
      </c>
      <c r="N191" t="s">
        <v>45</v>
      </c>
    </row>
    <row r="192" spans="1:14" x14ac:dyDescent="0.35">
      <c r="A192" t="s">
        <v>417</v>
      </c>
      <c r="B192" t="s">
        <v>418</v>
      </c>
      <c r="C192" t="s">
        <v>13</v>
      </c>
      <c r="D192" t="s">
        <v>35</v>
      </c>
      <c r="E192" t="s">
        <v>36</v>
      </c>
      <c r="F192" s="2">
        <v>46003</v>
      </c>
      <c r="G192">
        <v>152421</v>
      </c>
      <c r="H192" s="19">
        <v>22783.439999999999</v>
      </c>
      <c r="I192" s="19" t="str">
        <f>IF(Tabela1[[#This Row],[Bónus]]&gt;=50000,"correcto","por verificar")</f>
        <v>por verificar</v>
      </c>
      <c r="J192" s="19">
        <v>10480.31</v>
      </c>
      <c r="K192" s="19" t="str">
        <f>IF(Tabela1[[#This Row],[Desconto]]&lt;=30000,"Por verificar","correcto")</f>
        <v>Por verificar</v>
      </c>
      <c r="L192" s="19">
        <v>164724.13</v>
      </c>
      <c r="M192" s="19" t="str">
        <f>IF(Tabela1[[#This Row],[Salário Líquido]]&gt;=500000,"correcto","por verificar")</f>
        <v>por verificar</v>
      </c>
      <c r="N192" t="s">
        <v>45</v>
      </c>
    </row>
    <row r="193" spans="1:14" x14ac:dyDescent="0.35">
      <c r="A193" t="s">
        <v>419</v>
      </c>
      <c r="B193" t="s">
        <v>420</v>
      </c>
      <c r="C193" t="s">
        <v>44</v>
      </c>
      <c r="D193" t="s">
        <v>20</v>
      </c>
      <c r="E193" t="s">
        <v>26</v>
      </c>
      <c r="F193" s="2">
        <v>46326</v>
      </c>
      <c r="G193">
        <v>2218252</v>
      </c>
      <c r="H193" s="19">
        <v>358790.53</v>
      </c>
      <c r="I193" s="19" t="str">
        <f>IF(Tabela1[[#This Row],[Bónus]]&gt;=50000,"correcto","por verificar")</f>
        <v>correcto</v>
      </c>
      <c r="J193" s="19">
        <v>199918.49</v>
      </c>
      <c r="K193" s="19" t="str">
        <f>IF(Tabela1[[#This Row],[Desconto]]&lt;=30000,"Por verificar","correcto")</f>
        <v>correcto</v>
      </c>
      <c r="L193" s="19">
        <v>2377124.04</v>
      </c>
      <c r="M193" s="19" t="str">
        <f>IF(Tabela1[[#This Row],[Salário Líquido]]&gt;=500000,"correcto","por verificar")</f>
        <v>correcto</v>
      </c>
      <c r="N193" t="s">
        <v>16</v>
      </c>
    </row>
    <row r="194" spans="1:14" x14ac:dyDescent="0.35">
      <c r="A194" t="s">
        <v>421</v>
      </c>
      <c r="B194" t="s">
        <v>422</v>
      </c>
      <c r="C194" t="s">
        <v>19</v>
      </c>
      <c r="D194" t="s">
        <v>40</v>
      </c>
      <c r="E194" t="s">
        <v>41</v>
      </c>
      <c r="F194" s="2">
        <v>45441</v>
      </c>
      <c r="G194">
        <v>297428</v>
      </c>
      <c r="H194" s="19">
        <v>40820.18</v>
      </c>
      <c r="I194" s="19" t="str">
        <f>IF(Tabela1[[#This Row],[Bónus]]&gt;=50000,"correcto","por verificar")</f>
        <v>por verificar</v>
      </c>
      <c r="J194" s="19">
        <v>21229.78</v>
      </c>
      <c r="K194" s="19" t="str">
        <f>IF(Tabela1[[#This Row],[Desconto]]&lt;=30000,"Por verificar","correcto")</f>
        <v>Por verificar</v>
      </c>
      <c r="L194" s="19">
        <v>317018.40000000002</v>
      </c>
      <c r="M194" s="19" t="str">
        <f>IF(Tabela1[[#This Row],[Salário Líquido]]&gt;=500000,"correcto","por verificar")</f>
        <v>por verificar</v>
      </c>
      <c r="N194" t="s">
        <v>16</v>
      </c>
    </row>
    <row r="195" spans="1:14" x14ac:dyDescent="0.35">
      <c r="A195" t="s">
        <v>423</v>
      </c>
      <c r="B195" t="s">
        <v>424</v>
      </c>
      <c r="C195" t="s">
        <v>19</v>
      </c>
      <c r="D195" t="s">
        <v>35</v>
      </c>
      <c r="E195" t="s">
        <v>77</v>
      </c>
      <c r="F195" s="2">
        <v>45227</v>
      </c>
      <c r="G195">
        <v>1816272</v>
      </c>
      <c r="H195" s="19">
        <v>348542.22</v>
      </c>
      <c r="I195" s="19" t="str">
        <f>IF(Tabela1[[#This Row],[Bónus]]&gt;=50000,"correcto","por verificar")</f>
        <v>correcto</v>
      </c>
      <c r="J195" s="19">
        <v>122766.29</v>
      </c>
      <c r="K195" s="19" t="str">
        <f>IF(Tabela1[[#This Row],[Desconto]]&lt;=30000,"Por verificar","correcto")</f>
        <v>correcto</v>
      </c>
      <c r="L195" s="19">
        <v>2042047.93</v>
      </c>
      <c r="M195" s="19" t="str">
        <f>IF(Tabela1[[#This Row],[Salário Líquido]]&gt;=500000,"correcto","por verificar")</f>
        <v>correcto</v>
      </c>
      <c r="N195" t="s">
        <v>45</v>
      </c>
    </row>
    <row r="196" spans="1:14" x14ac:dyDescent="0.35">
      <c r="A196" t="s">
        <v>425</v>
      </c>
      <c r="B196" t="s">
        <v>426</v>
      </c>
      <c r="C196" t="s">
        <v>19</v>
      </c>
      <c r="D196" t="s">
        <v>35</v>
      </c>
      <c r="E196" t="s">
        <v>15</v>
      </c>
      <c r="F196" s="2">
        <v>45060</v>
      </c>
      <c r="G196">
        <v>2049786</v>
      </c>
      <c r="H196" s="19">
        <v>443584.31</v>
      </c>
      <c r="I196" s="19" t="str">
        <f>IF(Tabela1[[#This Row],[Bónus]]&gt;=50000,"correcto","por verificar")</f>
        <v>correcto</v>
      </c>
      <c r="J196" s="19">
        <v>231173.38</v>
      </c>
      <c r="K196" s="19" t="str">
        <f>IF(Tabela1[[#This Row],[Desconto]]&lt;=30000,"Por verificar","correcto")</f>
        <v>correcto</v>
      </c>
      <c r="L196" s="19">
        <v>2262196.9300000002</v>
      </c>
      <c r="M196" s="19" t="str">
        <f>IF(Tabela1[[#This Row],[Salário Líquido]]&gt;=500000,"correcto","por verificar")</f>
        <v>correcto</v>
      </c>
      <c r="N196" t="s">
        <v>27</v>
      </c>
    </row>
    <row r="197" spans="1:14" x14ac:dyDescent="0.35">
      <c r="A197" t="s">
        <v>427</v>
      </c>
      <c r="B197" t="s">
        <v>428</v>
      </c>
      <c r="C197" t="s">
        <v>44</v>
      </c>
      <c r="D197" t="s">
        <v>54</v>
      </c>
      <c r="E197" t="s">
        <v>48</v>
      </c>
      <c r="F197" s="2">
        <v>45015</v>
      </c>
      <c r="G197">
        <v>1799608</v>
      </c>
      <c r="H197" s="19">
        <v>278565.84000000003</v>
      </c>
      <c r="I197" s="19" t="str">
        <f>IF(Tabela1[[#This Row],[Bónus]]&gt;=50000,"correcto","por verificar")</f>
        <v>correcto</v>
      </c>
      <c r="J197" s="19">
        <v>118088.48</v>
      </c>
      <c r="K197" s="19" t="str">
        <f>IF(Tabela1[[#This Row],[Desconto]]&lt;=30000,"Por verificar","correcto")</f>
        <v>correcto</v>
      </c>
      <c r="L197" s="19">
        <v>1960085.36</v>
      </c>
      <c r="M197" s="19" t="str">
        <f>IF(Tabela1[[#This Row],[Salário Líquido]]&gt;=500000,"correcto","por verificar")</f>
        <v>correcto</v>
      </c>
      <c r="N197" t="s">
        <v>27</v>
      </c>
    </row>
    <row r="198" spans="1:14" x14ac:dyDescent="0.35">
      <c r="A198" t="s">
        <v>429</v>
      </c>
      <c r="B198" t="s">
        <v>430</v>
      </c>
      <c r="C198" t="s">
        <v>39</v>
      </c>
      <c r="D198" t="s">
        <v>25</v>
      </c>
      <c r="E198" t="s">
        <v>21</v>
      </c>
      <c r="F198" s="2">
        <v>46151</v>
      </c>
      <c r="G198">
        <v>825199</v>
      </c>
      <c r="H198" s="19">
        <v>53865.59</v>
      </c>
      <c r="I198" s="19" t="str">
        <f>IF(Tabela1[[#This Row],[Bónus]]&gt;=50000,"correcto","por verificar")</f>
        <v>correcto</v>
      </c>
      <c r="J198" s="19">
        <v>71784.240000000005</v>
      </c>
      <c r="K198" s="19" t="str">
        <f>IF(Tabela1[[#This Row],[Desconto]]&lt;=30000,"Por verificar","correcto")</f>
        <v>correcto</v>
      </c>
      <c r="L198" s="19">
        <v>807280.35</v>
      </c>
      <c r="M198" s="19" t="str">
        <f>IF(Tabela1[[#This Row],[Salário Líquido]]&gt;=500000,"correcto","por verificar")</f>
        <v>correcto</v>
      </c>
      <c r="N198" t="s">
        <v>27</v>
      </c>
    </row>
    <row r="199" spans="1:14" x14ac:dyDescent="0.35">
      <c r="A199" t="s">
        <v>431</v>
      </c>
      <c r="B199" t="s">
        <v>432</v>
      </c>
      <c r="C199" t="s">
        <v>30</v>
      </c>
      <c r="D199" t="s">
        <v>14</v>
      </c>
      <c r="E199" t="s">
        <v>21</v>
      </c>
      <c r="F199" s="2">
        <v>44772</v>
      </c>
      <c r="G199">
        <v>1592619</v>
      </c>
      <c r="H199" s="19">
        <v>311318.51</v>
      </c>
      <c r="I199" s="19" t="str">
        <f>IF(Tabela1[[#This Row],[Bónus]]&gt;=50000,"correcto","por verificar")</f>
        <v>correcto</v>
      </c>
      <c r="J199" s="19">
        <v>165163.15</v>
      </c>
      <c r="K199" s="19" t="str">
        <f>IF(Tabela1[[#This Row],[Desconto]]&lt;=30000,"Por verificar","correcto")</f>
        <v>correcto</v>
      </c>
      <c r="L199" s="19">
        <v>1738774.36</v>
      </c>
      <c r="M199" s="19" t="str">
        <f>IF(Tabela1[[#This Row],[Salário Líquido]]&gt;=500000,"correcto","por verificar")</f>
        <v>correcto</v>
      </c>
      <c r="N199" t="s">
        <v>45</v>
      </c>
    </row>
    <row r="200" spans="1:14" x14ac:dyDescent="0.35">
      <c r="A200" t="s">
        <v>433</v>
      </c>
      <c r="B200" t="s">
        <v>434</v>
      </c>
      <c r="C200" t="s">
        <v>30</v>
      </c>
      <c r="D200" t="s">
        <v>54</v>
      </c>
      <c r="E200" t="s">
        <v>15</v>
      </c>
      <c r="F200" s="2">
        <v>44924</v>
      </c>
      <c r="G200">
        <v>1193608</v>
      </c>
      <c r="H200" s="19">
        <v>106773.44</v>
      </c>
      <c r="I200" s="19" t="str">
        <f>IF(Tabela1[[#This Row],[Bónus]]&gt;=50000,"correcto","por verificar")</f>
        <v>correcto</v>
      </c>
      <c r="J200" s="19">
        <v>100520.78</v>
      </c>
      <c r="K200" s="19" t="str">
        <f>IF(Tabela1[[#This Row],[Desconto]]&lt;=30000,"Por verificar","correcto")</f>
        <v>correcto</v>
      </c>
      <c r="L200" s="19">
        <v>1199860.6599999999</v>
      </c>
      <c r="M200" s="19" t="str">
        <f>IF(Tabela1[[#This Row],[Salário Líquido]]&gt;=500000,"correcto","por verificar")</f>
        <v>correcto</v>
      </c>
      <c r="N200" t="s">
        <v>16</v>
      </c>
    </row>
    <row r="201" spans="1:14" x14ac:dyDescent="0.35">
      <c r="A201" t="s">
        <v>435</v>
      </c>
      <c r="B201" t="s">
        <v>436</v>
      </c>
      <c r="C201" t="s">
        <v>39</v>
      </c>
      <c r="D201" t="s">
        <v>35</v>
      </c>
      <c r="E201" t="s">
        <v>41</v>
      </c>
      <c r="F201" s="2">
        <v>45878</v>
      </c>
      <c r="G201">
        <v>2192477</v>
      </c>
      <c r="H201" s="19">
        <v>313065.14</v>
      </c>
      <c r="I201" s="19" t="str">
        <f>IF(Tabela1[[#This Row],[Bónus]]&gt;=50000,"correcto","por verificar")</f>
        <v>correcto</v>
      </c>
      <c r="J201" s="19">
        <v>177012.25</v>
      </c>
      <c r="K201" s="19" t="str">
        <f>IF(Tabela1[[#This Row],[Desconto]]&lt;=30000,"Por verificar","correcto")</f>
        <v>correcto</v>
      </c>
      <c r="L201" s="19">
        <v>2328529.89</v>
      </c>
      <c r="M201" s="19" t="str">
        <f>IF(Tabela1[[#This Row],[Salário Líquido]]&gt;=500000,"correcto","por verificar")</f>
        <v>correcto</v>
      </c>
      <c r="N201" t="s">
        <v>16</v>
      </c>
    </row>
    <row r="202" spans="1:14" x14ac:dyDescent="0.35">
      <c r="A202" t="s">
        <v>437</v>
      </c>
      <c r="B202" t="s">
        <v>438</v>
      </c>
      <c r="C202" t="s">
        <v>13</v>
      </c>
      <c r="D202" t="s">
        <v>35</v>
      </c>
      <c r="E202" t="s">
        <v>15</v>
      </c>
      <c r="F202" s="2">
        <v>45522</v>
      </c>
      <c r="G202">
        <v>1475633</v>
      </c>
      <c r="H202" s="19">
        <v>328843.89</v>
      </c>
      <c r="I202" s="19" t="str">
        <f>IF(Tabela1[[#This Row],[Bónus]]&gt;=50000,"correcto","por verificar")</f>
        <v>correcto</v>
      </c>
      <c r="J202" s="19">
        <v>127567.83</v>
      </c>
      <c r="K202" s="19" t="str">
        <f>IF(Tabela1[[#This Row],[Desconto]]&lt;=30000,"Por verificar","correcto")</f>
        <v>correcto</v>
      </c>
      <c r="L202" s="19">
        <v>1676909.06</v>
      </c>
      <c r="M202" s="19" t="str">
        <f>IF(Tabela1[[#This Row],[Salário Líquido]]&gt;=500000,"correcto","por verificar")</f>
        <v>correcto</v>
      </c>
      <c r="N202" t="s">
        <v>27</v>
      </c>
    </row>
    <row r="203" spans="1:14" x14ac:dyDescent="0.35">
      <c r="A203" t="s">
        <v>439</v>
      </c>
      <c r="B203" t="s">
        <v>440</v>
      </c>
      <c r="C203" t="s">
        <v>44</v>
      </c>
      <c r="D203" t="s">
        <v>25</v>
      </c>
      <c r="E203" t="s">
        <v>15</v>
      </c>
      <c r="F203" s="2">
        <v>45197</v>
      </c>
      <c r="G203">
        <v>1390120</v>
      </c>
      <c r="H203" s="19">
        <v>290904.76</v>
      </c>
      <c r="I203" s="19" t="str">
        <f>IF(Tabela1[[#This Row],[Bónus]]&gt;=50000,"correcto","por verificar")</f>
        <v>correcto</v>
      </c>
      <c r="J203" s="19">
        <v>115696.6</v>
      </c>
      <c r="K203" s="19" t="str">
        <f>IF(Tabela1[[#This Row],[Desconto]]&lt;=30000,"Por verificar","correcto")</f>
        <v>correcto</v>
      </c>
      <c r="L203" s="19">
        <v>1565328.16</v>
      </c>
      <c r="M203" s="19" t="str">
        <f>IF(Tabela1[[#This Row],[Salário Líquido]]&gt;=500000,"correcto","por verificar")</f>
        <v>correcto</v>
      </c>
      <c r="N203" t="s">
        <v>27</v>
      </c>
    </row>
    <row r="204" spans="1:14" x14ac:dyDescent="0.35">
      <c r="A204" t="s">
        <v>441</v>
      </c>
      <c r="B204" t="s">
        <v>442</v>
      </c>
      <c r="C204" t="s">
        <v>44</v>
      </c>
      <c r="D204" t="s">
        <v>20</v>
      </c>
      <c r="E204" t="s">
        <v>15</v>
      </c>
      <c r="F204" s="2">
        <v>45821</v>
      </c>
      <c r="G204">
        <v>2015464</v>
      </c>
      <c r="H204" s="19">
        <v>115932.41</v>
      </c>
      <c r="I204" s="19" t="str">
        <f>IF(Tabela1[[#This Row],[Bónus]]&gt;=50000,"correcto","por verificar")</f>
        <v>correcto</v>
      </c>
      <c r="J204" s="19">
        <v>127349.88</v>
      </c>
      <c r="K204" s="19" t="str">
        <f>IF(Tabela1[[#This Row],[Desconto]]&lt;=30000,"Por verificar","correcto")</f>
        <v>correcto</v>
      </c>
      <c r="L204" s="19">
        <v>2004046.53</v>
      </c>
      <c r="M204" s="19" t="str">
        <f>IF(Tabela1[[#This Row],[Salário Líquido]]&gt;=500000,"correcto","por verificar")</f>
        <v>correcto</v>
      </c>
      <c r="N204" t="s">
        <v>16</v>
      </c>
    </row>
    <row r="205" spans="1:14" x14ac:dyDescent="0.35">
      <c r="A205" t="s">
        <v>443</v>
      </c>
      <c r="B205" t="s">
        <v>444</v>
      </c>
      <c r="C205" t="s">
        <v>30</v>
      </c>
      <c r="D205" t="s">
        <v>54</v>
      </c>
      <c r="E205" t="s">
        <v>77</v>
      </c>
      <c r="F205" s="2">
        <v>45483</v>
      </c>
      <c r="G205">
        <v>2246796</v>
      </c>
      <c r="H205" s="19">
        <v>285110.53999999998</v>
      </c>
      <c r="I205" s="19" t="str">
        <f>IF(Tabela1[[#This Row],[Bónus]]&gt;=50000,"correcto","por verificar")</f>
        <v>correcto</v>
      </c>
      <c r="J205" s="19">
        <v>184753.24</v>
      </c>
      <c r="K205" s="19" t="str">
        <f>IF(Tabela1[[#This Row],[Desconto]]&lt;=30000,"Por verificar","correcto")</f>
        <v>correcto</v>
      </c>
      <c r="L205" s="19">
        <v>2347153.2999999998</v>
      </c>
      <c r="M205" s="19" t="str">
        <f>IF(Tabela1[[#This Row],[Salário Líquido]]&gt;=500000,"correcto","por verificar")</f>
        <v>correcto</v>
      </c>
      <c r="N205" t="s">
        <v>16</v>
      </c>
    </row>
    <row r="206" spans="1:14" x14ac:dyDescent="0.35">
      <c r="A206" t="s">
        <v>445</v>
      </c>
      <c r="B206" t="s">
        <v>446</v>
      </c>
      <c r="C206" t="s">
        <v>13</v>
      </c>
      <c r="D206" t="s">
        <v>20</v>
      </c>
      <c r="E206" t="s">
        <v>88</v>
      </c>
      <c r="F206" s="2">
        <v>44773</v>
      </c>
      <c r="G206">
        <v>909533</v>
      </c>
      <c r="H206" s="19">
        <v>103964.49</v>
      </c>
      <c r="I206" s="19" t="str">
        <f>IF(Tabela1[[#This Row],[Bónus]]&gt;=50000,"correcto","por verificar")</f>
        <v>correcto</v>
      </c>
      <c r="J206" s="19">
        <v>66220.02</v>
      </c>
      <c r="K206" s="19" t="str">
        <f>IF(Tabela1[[#This Row],[Desconto]]&lt;=30000,"Por verificar","correcto")</f>
        <v>correcto</v>
      </c>
      <c r="L206" s="19">
        <v>947277.47</v>
      </c>
      <c r="M206" s="19" t="str">
        <f>IF(Tabela1[[#This Row],[Salário Líquido]]&gt;=500000,"correcto","por verificar")</f>
        <v>correcto</v>
      </c>
      <c r="N206" t="s">
        <v>27</v>
      </c>
    </row>
    <row r="207" spans="1:14" x14ac:dyDescent="0.35">
      <c r="A207" t="s">
        <v>447</v>
      </c>
      <c r="B207" t="s">
        <v>448</v>
      </c>
      <c r="C207" t="s">
        <v>13</v>
      </c>
      <c r="D207" t="s">
        <v>54</v>
      </c>
      <c r="E207" t="s">
        <v>88</v>
      </c>
      <c r="F207" s="2">
        <v>45461</v>
      </c>
      <c r="G207">
        <v>473702</v>
      </c>
      <c r="H207" s="19">
        <v>71486.27</v>
      </c>
      <c r="I207" s="19" t="str">
        <f>IF(Tabela1[[#This Row],[Bónus]]&gt;=50000,"correcto","por verificar")</f>
        <v>correcto</v>
      </c>
      <c r="J207" s="19">
        <v>21567.8</v>
      </c>
      <c r="K207" s="19" t="str">
        <f>IF(Tabela1[[#This Row],[Desconto]]&lt;=30000,"Por verificar","correcto")</f>
        <v>Por verificar</v>
      </c>
      <c r="L207" s="19">
        <v>523620.47</v>
      </c>
      <c r="M207" s="19" t="str">
        <f>IF(Tabela1[[#This Row],[Salário Líquido]]&gt;=500000,"correcto","por verificar")</f>
        <v>correcto</v>
      </c>
      <c r="N207" t="s">
        <v>16</v>
      </c>
    </row>
    <row r="208" spans="1:14" x14ac:dyDescent="0.35">
      <c r="A208" t="s">
        <v>449</v>
      </c>
      <c r="B208" t="s">
        <v>450</v>
      </c>
      <c r="C208" t="s">
        <v>44</v>
      </c>
      <c r="D208" t="s">
        <v>35</v>
      </c>
      <c r="E208" t="s">
        <v>26</v>
      </c>
      <c r="F208" s="2">
        <v>46148</v>
      </c>
      <c r="G208">
        <v>2312564</v>
      </c>
      <c r="H208" s="19">
        <v>397671.01</v>
      </c>
      <c r="I208" s="19" t="str">
        <f>IF(Tabela1[[#This Row],[Bónus]]&gt;=50000,"correcto","por verificar")</f>
        <v>correcto</v>
      </c>
      <c r="J208" s="19">
        <v>145115.28</v>
      </c>
      <c r="K208" s="19" t="str">
        <f>IF(Tabela1[[#This Row],[Desconto]]&lt;=30000,"Por verificar","correcto")</f>
        <v>correcto</v>
      </c>
      <c r="L208" s="19">
        <v>2565119.73</v>
      </c>
      <c r="M208" s="19" t="str">
        <f>IF(Tabela1[[#This Row],[Salário Líquido]]&gt;=500000,"correcto","por verificar")</f>
        <v>correcto</v>
      </c>
      <c r="N208" t="s">
        <v>27</v>
      </c>
    </row>
    <row r="209" spans="1:14" x14ac:dyDescent="0.35">
      <c r="A209" t="s">
        <v>451</v>
      </c>
      <c r="B209" t="s">
        <v>452</v>
      </c>
      <c r="C209" t="s">
        <v>19</v>
      </c>
      <c r="D209" t="s">
        <v>40</v>
      </c>
      <c r="E209" t="s">
        <v>15</v>
      </c>
      <c r="F209" s="2">
        <v>45704</v>
      </c>
      <c r="G209">
        <v>339636</v>
      </c>
      <c r="H209" s="19">
        <v>70591.78</v>
      </c>
      <c r="I209" s="19" t="str">
        <f>IF(Tabela1[[#This Row],[Bónus]]&gt;=50000,"correcto","por verificar")</f>
        <v>correcto</v>
      </c>
      <c r="J209" s="19">
        <v>29975.42</v>
      </c>
      <c r="K209" s="19" t="str">
        <f>IF(Tabela1[[#This Row],[Desconto]]&lt;=30000,"Por verificar","correcto")</f>
        <v>Por verificar</v>
      </c>
      <c r="L209" s="19">
        <v>380252.36</v>
      </c>
      <c r="M209" s="19" t="str">
        <f>IF(Tabela1[[#This Row],[Salário Líquido]]&gt;=500000,"correcto","por verificar")</f>
        <v>por verificar</v>
      </c>
      <c r="N209" t="s">
        <v>16</v>
      </c>
    </row>
    <row r="210" spans="1:14" x14ac:dyDescent="0.35">
      <c r="A210" t="s">
        <v>453</v>
      </c>
      <c r="B210" t="s">
        <v>454</v>
      </c>
      <c r="C210" t="s">
        <v>24</v>
      </c>
      <c r="D210" t="s">
        <v>25</v>
      </c>
      <c r="E210" t="s">
        <v>51</v>
      </c>
      <c r="F210" s="2">
        <v>45244</v>
      </c>
      <c r="G210">
        <v>1741367</v>
      </c>
      <c r="H210" s="19">
        <v>186029.18</v>
      </c>
      <c r="I210" s="19" t="str">
        <f>IF(Tabela1[[#This Row],[Bónus]]&gt;=50000,"correcto","por verificar")</f>
        <v>correcto</v>
      </c>
      <c r="J210" s="19">
        <v>165666.74</v>
      </c>
      <c r="K210" s="19" t="str">
        <f>IF(Tabela1[[#This Row],[Desconto]]&lt;=30000,"Por verificar","correcto")</f>
        <v>correcto</v>
      </c>
      <c r="L210" s="19">
        <v>1761729.44</v>
      </c>
      <c r="M210" s="19" t="str">
        <f>IF(Tabela1[[#This Row],[Salário Líquido]]&gt;=500000,"correcto","por verificar")</f>
        <v>correcto</v>
      </c>
      <c r="N210" t="s">
        <v>45</v>
      </c>
    </row>
    <row r="211" spans="1:14" x14ac:dyDescent="0.35">
      <c r="A211" t="s">
        <v>455</v>
      </c>
      <c r="B211" t="s">
        <v>456</v>
      </c>
      <c r="C211" t="s">
        <v>24</v>
      </c>
      <c r="D211" t="s">
        <v>54</v>
      </c>
      <c r="E211" t="s">
        <v>26</v>
      </c>
      <c r="F211" s="2">
        <v>44826</v>
      </c>
      <c r="G211">
        <v>713193</v>
      </c>
      <c r="H211" s="19">
        <v>166423.07999999999</v>
      </c>
      <c r="I211" s="19" t="str">
        <f>IF(Tabela1[[#This Row],[Bónus]]&gt;=50000,"correcto","por verificar")</f>
        <v>correcto</v>
      </c>
      <c r="J211" s="19">
        <v>41308.75</v>
      </c>
      <c r="K211" s="19" t="str">
        <f>IF(Tabela1[[#This Row],[Desconto]]&lt;=30000,"Por verificar","correcto")</f>
        <v>correcto</v>
      </c>
      <c r="L211" s="19">
        <v>838307.33</v>
      </c>
      <c r="M211" s="19" t="str">
        <f>IF(Tabela1[[#This Row],[Salário Líquido]]&gt;=500000,"correcto","por verificar")</f>
        <v>correcto</v>
      </c>
      <c r="N211" t="s">
        <v>16</v>
      </c>
    </row>
    <row r="212" spans="1:14" x14ac:dyDescent="0.35">
      <c r="A212" t="s">
        <v>457</v>
      </c>
      <c r="B212" t="s">
        <v>458</v>
      </c>
      <c r="C212" t="s">
        <v>30</v>
      </c>
      <c r="D212" t="s">
        <v>40</v>
      </c>
      <c r="E212" t="s">
        <v>51</v>
      </c>
      <c r="F212" s="2">
        <v>45934</v>
      </c>
      <c r="G212">
        <v>475337</v>
      </c>
      <c r="H212" s="19">
        <v>53198</v>
      </c>
      <c r="I212" s="19" t="str">
        <f>IF(Tabela1[[#This Row],[Bónus]]&gt;=50000,"correcto","por verificar")</f>
        <v>correcto</v>
      </c>
      <c r="J212" s="19">
        <v>30374.58</v>
      </c>
      <c r="K212" s="19" t="str">
        <f>IF(Tabela1[[#This Row],[Desconto]]&lt;=30000,"Por verificar","correcto")</f>
        <v>correcto</v>
      </c>
      <c r="L212" s="19">
        <v>498160.42</v>
      </c>
      <c r="M212" s="19" t="str">
        <f>IF(Tabela1[[#This Row],[Salário Líquido]]&gt;=500000,"correcto","por verificar")</f>
        <v>por verificar</v>
      </c>
      <c r="N212" t="s">
        <v>16</v>
      </c>
    </row>
    <row r="213" spans="1:14" x14ac:dyDescent="0.35">
      <c r="A213" t="s">
        <v>459</v>
      </c>
      <c r="B213" t="s">
        <v>460</v>
      </c>
      <c r="C213" t="s">
        <v>39</v>
      </c>
      <c r="D213" t="s">
        <v>40</v>
      </c>
      <c r="E213" t="s">
        <v>77</v>
      </c>
      <c r="F213" s="2">
        <v>45304</v>
      </c>
      <c r="G213">
        <v>2327853</v>
      </c>
      <c r="H213" s="19">
        <v>159901.6</v>
      </c>
      <c r="I213" s="19" t="str">
        <f>IF(Tabela1[[#This Row],[Bónus]]&gt;=50000,"correcto","por verificar")</f>
        <v>correcto</v>
      </c>
      <c r="J213" s="19">
        <v>210300.67</v>
      </c>
      <c r="K213" s="19" t="str">
        <f>IF(Tabela1[[#This Row],[Desconto]]&lt;=30000,"Por verificar","correcto")</f>
        <v>correcto</v>
      </c>
      <c r="L213" s="19">
        <v>2277453.9300000002</v>
      </c>
      <c r="M213" s="19" t="str">
        <f>IF(Tabela1[[#This Row],[Salário Líquido]]&gt;=500000,"correcto","por verificar")</f>
        <v>correcto</v>
      </c>
      <c r="N213" t="s">
        <v>27</v>
      </c>
    </row>
    <row r="214" spans="1:14" x14ac:dyDescent="0.35">
      <c r="A214" t="s">
        <v>461</v>
      </c>
      <c r="B214" t="s">
        <v>462</v>
      </c>
      <c r="C214" t="s">
        <v>30</v>
      </c>
      <c r="D214" t="s">
        <v>35</v>
      </c>
      <c r="E214" t="s">
        <v>21</v>
      </c>
      <c r="F214" s="2">
        <v>45025</v>
      </c>
      <c r="G214">
        <v>876077</v>
      </c>
      <c r="H214" s="19">
        <v>210463.35999999999</v>
      </c>
      <c r="I214" s="19" t="str">
        <f>IF(Tabela1[[#This Row],[Bónus]]&gt;=50000,"correcto","por verificar")</f>
        <v>correcto</v>
      </c>
      <c r="J214" s="19">
        <v>53226.86</v>
      </c>
      <c r="K214" s="19" t="str">
        <f>IF(Tabela1[[#This Row],[Desconto]]&lt;=30000,"Por verificar","correcto")</f>
        <v>correcto</v>
      </c>
      <c r="L214" s="19">
        <v>1033313.5</v>
      </c>
      <c r="M214" s="19" t="str">
        <f>IF(Tabela1[[#This Row],[Salário Líquido]]&gt;=500000,"correcto","por verificar")</f>
        <v>correcto</v>
      </c>
      <c r="N214" t="s">
        <v>45</v>
      </c>
    </row>
    <row r="215" spans="1:14" x14ac:dyDescent="0.35">
      <c r="A215" t="s">
        <v>463</v>
      </c>
      <c r="B215" t="s">
        <v>464</v>
      </c>
      <c r="C215" t="s">
        <v>19</v>
      </c>
      <c r="D215" t="s">
        <v>25</v>
      </c>
      <c r="E215" t="s">
        <v>36</v>
      </c>
      <c r="F215" s="2">
        <v>46272</v>
      </c>
      <c r="G215">
        <v>769887</v>
      </c>
      <c r="H215" s="19">
        <v>50376.03</v>
      </c>
      <c r="I215" s="19" t="str">
        <f>IF(Tabela1[[#This Row],[Bónus]]&gt;=50000,"correcto","por verificar")</f>
        <v>correcto</v>
      </c>
      <c r="J215" s="19">
        <v>81606.91</v>
      </c>
      <c r="K215" s="19" t="str">
        <f>IF(Tabela1[[#This Row],[Desconto]]&lt;=30000,"Por verificar","correcto")</f>
        <v>correcto</v>
      </c>
      <c r="L215" s="19">
        <v>738656.12</v>
      </c>
      <c r="M215" s="19" t="str">
        <f>IF(Tabela1[[#This Row],[Salário Líquido]]&gt;=500000,"correcto","por verificar")</f>
        <v>correcto</v>
      </c>
      <c r="N215" t="s">
        <v>16</v>
      </c>
    </row>
    <row r="216" spans="1:14" x14ac:dyDescent="0.35">
      <c r="A216" t="s">
        <v>465</v>
      </c>
      <c r="B216" t="s">
        <v>466</v>
      </c>
      <c r="C216" t="s">
        <v>30</v>
      </c>
      <c r="D216" t="s">
        <v>25</v>
      </c>
      <c r="E216" t="s">
        <v>51</v>
      </c>
      <c r="F216" s="2">
        <v>45785</v>
      </c>
      <c r="G216">
        <v>2328433</v>
      </c>
      <c r="H216" s="19">
        <v>134000.15</v>
      </c>
      <c r="I216" s="19" t="str">
        <f>IF(Tabela1[[#This Row],[Bónus]]&gt;=50000,"correcto","por verificar")</f>
        <v>correcto</v>
      </c>
      <c r="J216" s="19">
        <v>140424.98000000001</v>
      </c>
      <c r="K216" s="19" t="str">
        <f>IF(Tabela1[[#This Row],[Desconto]]&lt;=30000,"Por verificar","correcto")</f>
        <v>correcto</v>
      </c>
      <c r="L216" s="19">
        <v>2322008.17</v>
      </c>
      <c r="M216" s="19" t="str">
        <f>IF(Tabela1[[#This Row],[Salário Líquido]]&gt;=500000,"correcto","por verificar")</f>
        <v>correcto</v>
      </c>
      <c r="N216" t="s">
        <v>27</v>
      </c>
    </row>
    <row r="217" spans="1:14" x14ac:dyDescent="0.35">
      <c r="A217" t="s">
        <v>467</v>
      </c>
      <c r="B217" t="s">
        <v>468</v>
      </c>
      <c r="C217" t="s">
        <v>30</v>
      </c>
      <c r="D217" t="s">
        <v>25</v>
      </c>
      <c r="E217" t="s">
        <v>51</v>
      </c>
      <c r="F217" s="2">
        <v>46038</v>
      </c>
      <c r="G217">
        <v>766982</v>
      </c>
      <c r="H217" s="19">
        <v>63237.24</v>
      </c>
      <c r="I217" s="19" t="str">
        <f>IF(Tabela1[[#This Row],[Bónus]]&gt;=50000,"correcto","por verificar")</f>
        <v>correcto</v>
      </c>
      <c r="J217" s="19">
        <v>80395.86</v>
      </c>
      <c r="K217" s="19" t="str">
        <f>IF(Tabela1[[#This Row],[Desconto]]&lt;=30000,"Por verificar","correcto")</f>
        <v>correcto</v>
      </c>
      <c r="L217" s="19">
        <v>749823.38</v>
      </c>
      <c r="M217" s="19" t="str">
        <f>IF(Tabela1[[#This Row],[Salário Líquido]]&gt;=500000,"correcto","por verificar")</f>
        <v>correcto</v>
      </c>
      <c r="N217" t="s">
        <v>27</v>
      </c>
    </row>
    <row r="218" spans="1:14" x14ac:dyDescent="0.35">
      <c r="A218" t="s">
        <v>469</v>
      </c>
      <c r="B218" t="s">
        <v>470</v>
      </c>
      <c r="C218" t="s">
        <v>13</v>
      </c>
      <c r="D218" t="s">
        <v>35</v>
      </c>
      <c r="E218" t="s">
        <v>41</v>
      </c>
      <c r="F218" s="2">
        <v>45145</v>
      </c>
      <c r="G218">
        <v>303259</v>
      </c>
      <c r="H218" s="19">
        <v>40082.26</v>
      </c>
      <c r="I218" s="19" t="str">
        <f>IF(Tabela1[[#This Row],[Bónus]]&gt;=50000,"correcto","por verificar")</f>
        <v>por verificar</v>
      </c>
      <c r="J218" s="19">
        <v>27557.95</v>
      </c>
      <c r="K218" s="19" t="str">
        <f>IF(Tabela1[[#This Row],[Desconto]]&lt;=30000,"Por verificar","correcto")</f>
        <v>Por verificar</v>
      </c>
      <c r="L218" s="19">
        <v>315783.31</v>
      </c>
      <c r="M218" s="19" t="str">
        <f>IF(Tabela1[[#This Row],[Salário Líquido]]&gt;=500000,"correcto","por verificar")</f>
        <v>por verificar</v>
      </c>
      <c r="N218" t="s">
        <v>16</v>
      </c>
    </row>
    <row r="219" spans="1:14" x14ac:dyDescent="0.35">
      <c r="A219" t="s">
        <v>471</v>
      </c>
      <c r="B219" t="s">
        <v>472</v>
      </c>
      <c r="C219" t="s">
        <v>30</v>
      </c>
      <c r="D219" t="s">
        <v>35</v>
      </c>
      <c r="E219" t="s">
        <v>21</v>
      </c>
      <c r="F219" s="2">
        <v>45315</v>
      </c>
      <c r="G219">
        <v>2002940</v>
      </c>
      <c r="H219" s="19">
        <v>193885.77</v>
      </c>
      <c r="I219" s="19" t="str">
        <f>IF(Tabela1[[#This Row],[Bónus]]&gt;=50000,"correcto","por verificar")</f>
        <v>correcto</v>
      </c>
      <c r="J219" s="19">
        <v>103201.81</v>
      </c>
      <c r="K219" s="19" t="str">
        <f>IF(Tabela1[[#This Row],[Desconto]]&lt;=30000,"Por verificar","correcto")</f>
        <v>correcto</v>
      </c>
      <c r="L219" s="19">
        <v>2093623.96</v>
      </c>
      <c r="M219" s="19" t="str">
        <f>IF(Tabela1[[#This Row],[Salário Líquido]]&gt;=500000,"correcto","por verificar")</f>
        <v>correcto</v>
      </c>
      <c r="N219" t="s">
        <v>16</v>
      </c>
    </row>
    <row r="220" spans="1:14" x14ac:dyDescent="0.35">
      <c r="A220" t="s">
        <v>473</v>
      </c>
      <c r="B220" t="s">
        <v>474</v>
      </c>
      <c r="C220" t="s">
        <v>63</v>
      </c>
      <c r="D220" t="s">
        <v>25</v>
      </c>
      <c r="E220" t="s">
        <v>36</v>
      </c>
      <c r="F220" s="2">
        <v>45419</v>
      </c>
      <c r="G220">
        <v>1967999</v>
      </c>
      <c r="H220" s="19">
        <v>280117.09999999998</v>
      </c>
      <c r="I220" s="19" t="str">
        <f>IF(Tabela1[[#This Row],[Bónus]]&gt;=50000,"correcto","por verificar")</f>
        <v>correcto</v>
      </c>
      <c r="J220" s="19">
        <v>108947.35</v>
      </c>
      <c r="K220" s="19" t="str">
        <f>IF(Tabela1[[#This Row],[Desconto]]&lt;=30000,"Por verificar","correcto")</f>
        <v>correcto</v>
      </c>
      <c r="L220" s="19">
        <v>2139168.75</v>
      </c>
      <c r="M220" s="19" t="str">
        <f>IF(Tabela1[[#This Row],[Salário Líquido]]&gt;=500000,"correcto","por verificar")</f>
        <v>correcto</v>
      </c>
      <c r="N220" t="s">
        <v>45</v>
      </c>
    </row>
    <row r="221" spans="1:14" x14ac:dyDescent="0.35">
      <c r="A221" t="s">
        <v>475</v>
      </c>
      <c r="B221" t="s">
        <v>476</v>
      </c>
      <c r="C221" t="s">
        <v>44</v>
      </c>
      <c r="D221" t="s">
        <v>20</v>
      </c>
      <c r="E221" t="s">
        <v>88</v>
      </c>
      <c r="F221" s="2">
        <v>46352</v>
      </c>
      <c r="G221">
        <v>957592</v>
      </c>
      <c r="H221" s="19">
        <v>201335.48</v>
      </c>
      <c r="I221" s="19" t="str">
        <f>IF(Tabela1[[#This Row],[Bónus]]&gt;=50000,"correcto","por verificar")</f>
        <v>correcto</v>
      </c>
      <c r="J221" s="19">
        <v>40655.4</v>
      </c>
      <c r="K221" s="19" t="str">
        <f>IF(Tabela1[[#This Row],[Desconto]]&lt;=30000,"Por verificar","correcto")</f>
        <v>correcto</v>
      </c>
      <c r="L221" s="19">
        <v>1118272.08</v>
      </c>
      <c r="M221" s="19" t="str">
        <f>IF(Tabela1[[#This Row],[Salário Líquido]]&gt;=500000,"correcto","por verificar")</f>
        <v>correcto</v>
      </c>
      <c r="N221" t="s">
        <v>27</v>
      </c>
    </row>
    <row r="222" spans="1:14" x14ac:dyDescent="0.35">
      <c r="A222" t="s">
        <v>477</v>
      </c>
      <c r="B222" t="s">
        <v>478</v>
      </c>
      <c r="C222" t="s">
        <v>39</v>
      </c>
      <c r="D222" t="s">
        <v>20</v>
      </c>
      <c r="E222" t="s">
        <v>72</v>
      </c>
      <c r="F222" s="2">
        <v>44733</v>
      </c>
      <c r="G222">
        <v>2445912</v>
      </c>
      <c r="H222" s="19">
        <v>579335.56000000006</v>
      </c>
      <c r="I222" s="19" t="str">
        <f>IF(Tabela1[[#This Row],[Bónus]]&gt;=50000,"correcto","por verificar")</f>
        <v>correcto</v>
      </c>
      <c r="J222" s="19">
        <v>229979.54</v>
      </c>
      <c r="K222" s="19" t="str">
        <f>IF(Tabela1[[#This Row],[Desconto]]&lt;=30000,"Por verificar","correcto")</f>
        <v>correcto</v>
      </c>
      <c r="L222" s="19">
        <v>2795268.02</v>
      </c>
      <c r="M222" s="19" t="str">
        <f>IF(Tabela1[[#This Row],[Salário Líquido]]&gt;=500000,"correcto","por verificar")</f>
        <v>correcto</v>
      </c>
      <c r="N222" t="s">
        <v>45</v>
      </c>
    </row>
    <row r="223" spans="1:14" x14ac:dyDescent="0.35">
      <c r="A223" t="s">
        <v>479</v>
      </c>
      <c r="B223" t="s">
        <v>480</v>
      </c>
      <c r="C223" t="s">
        <v>30</v>
      </c>
      <c r="D223" t="s">
        <v>35</v>
      </c>
      <c r="E223" t="s">
        <v>15</v>
      </c>
      <c r="F223" s="2">
        <v>45016</v>
      </c>
      <c r="G223">
        <v>1264169</v>
      </c>
      <c r="H223" s="19">
        <v>176811.54</v>
      </c>
      <c r="I223" s="19" t="str">
        <f>IF(Tabela1[[#This Row],[Bónus]]&gt;=50000,"correcto","por verificar")</f>
        <v>correcto</v>
      </c>
      <c r="J223" s="19">
        <v>96331.89</v>
      </c>
      <c r="K223" s="19" t="str">
        <f>IF(Tabela1[[#This Row],[Desconto]]&lt;=30000,"Por verificar","correcto")</f>
        <v>correcto</v>
      </c>
      <c r="L223" s="19">
        <v>1344648.65</v>
      </c>
      <c r="M223" s="19" t="str">
        <f>IF(Tabela1[[#This Row],[Salário Líquido]]&gt;=500000,"correcto","por verificar")</f>
        <v>correcto</v>
      </c>
      <c r="N223" t="s">
        <v>27</v>
      </c>
    </row>
    <row r="224" spans="1:14" x14ac:dyDescent="0.35">
      <c r="A224" t="s">
        <v>481</v>
      </c>
      <c r="B224" t="s">
        <v>92</v>
      </c>
      <c r="C224" t="s">
        <v>63</v>
      </c>
      <c r="D224" t="s">
        <v>25</v>
      </c>
      <c r="E224" t="s">
        <v>48</v>
      </c>
      <c r="F224" s="2">
        <v>45044</v>
      </c>
      <c r="G224">
        <v>1586266</v>
      </c>
      <c r="H224" s="19">
        <v>374508.5</v>
      </c>
      <c r="I224" s="19" t="str">
        <f>IF(Tabela1[[#This Row],[Bónus]]&gt;=50000,"correcto","por verificar")</f>
        <v>correcto</v>
      </c>
      <c r="J224" s="19">
        <v>106820.3</v>
      </c>
      <c r="K224" s="19" t="str">
        <f>IF(Tabela1[[#This Row],[Desconto]]&lt;=30000,"Por verificar","correcto")</f>
        <v>correcto</v>
      </c>
      <c r="L224" s="19">
        <v>1853954.2</v>
      </c>
      <c r="M224" s="19" t="str">
        <f>IF(Tabela1[[#This Row],[Salário Líquido]]&gt;=500000,"correcto","por verificar")</f>
        <v>correcto</v>
      </c>
      <c r="N224" t="s">
        <v>27</v>
      </c>
    </row>
    <row r="225" spans="1:14" x14ac:dyDescent="0.35">
      <c r="A225" t="s">
        <v>482</v>
      </c>
      <c r="B225" t="s">
        <v>483</v>
      </c>
      <c r="C225" t="s">
        <v>19</v>
      </c>
      <c r="D225" t="s">
        <v>54</v>
      </c>
      <c r="E225" t="s">
        <v>48</v>
      </c>
      <c r="F225" s="2">
        <v>46182</v>
      </c>
      <c r="G225">
        <v>462278</v>
      </c>
      <c r="H225" s="19">
        <v>57776.68</v>
      </c>
      <c r="I225" s="19" t="str">
        <f>IF(Tabela1[[#This Row],[Bónus]]&gt;=50000,"correcto","por verificar")</f>
        <v>correcto</v>
      </c>
      <c r="J225" s="19">
        <v>15041.08</v>
      </c>
      <c r="K225" s="19" t="str">
        <f>IF(Tabela1[[#This Row],[Desconto]]&lt;=30000,"Por verificar","correcto")</f>
        <v>Por verificar</v>
      </c>
      <c r="L225" s="19">
        <v>505013.6</v>
      </c>
      <c r="M225" s="19" t="str">
        <f>IF(Tabela1[[#This Row],[Salário Líquido]]&gt;=500000,"correcto","por verificar")</f>
        <v>correcto</v>
      </c>
      <c r="N225" t="s">
        <v>45</v>
      </c>
    </row>
    <row r="226" spans="1:14" x14ac:dyDescent="0.35">
      <c r="A226" t="s">
        <v>484</v>
      </c>
      <c r="B226" t="s">
        <v>485</v>
      </c>
      <c r="C226" t="s">
        <v>63</v>
      </c>
      <c r="D226" t="s">
        <v>54</v>
      </c>
      <c r="E226" t="s">
        <v>51</v>
      </c>
      <c r="F226" s="2">
        <v>46116</v>
      </c>
      <c r="G226">
        <v>697134</v>
      </c>
      <c r="H226" s="19">
        <v>40197.19</v>
      </c>
      <c r="I226" s="19" t="str">
        <f>IF(Tabela1[[#This Row],[Bónus]]&gt;=50000,"correcto","por verificar")</f>
        <v>por verificar</v>
      </c>
      <c r="J226" s="19">
        <v>78473.350000000006</v>
      </c>
      <c r="K226" s="19" t="str">
        <f>IF(Tabela1[[#This Row],[Desconto]]&lt;=30000,"Por verificar","correcto")</f>
        <v>correcto</v>
      </c>
      <c r="L226" s="19">
        <v>658857.84</v>
      </c>
      <c r="M226" s="19" t="str">
        <f>IF(Tabela1[[#This Row],[Salário Líquido]]&gt;=500000,"correcto","por verificar")</f>
        <v>correcto</v>
      </c>
      <c r="N226" t="s">
        <v>16</v>
      </c>
    </row>
    <row r="227" spans="1:14" x14ac:dyDescent="0.35">
      <c r="A227" t="s">
        <v>486</v>
      </c>
      <c r="B227" t="s">
        <v>487</v>
      </c>
      <c r="C227" t="s">
        <v>19</v>
      </c>
      <c r="D227" t="s">
        <v>20</v>
      </c>
      <c r="E227" t="s">
        <v>72</v>
      </c>
      <c r="F227" s="2">
        <v>45003</v>
      </c>
      <c r="G227">
        <v>2087590</v>
      </c>
      <c r="H227" s="19">
        <v>291678.69</v>
      </c>
      <c r="I227" s="19" t="str">
        <f>IF(Tabela1[[#This Row],[Bónus]]&gt;=50000,"correcto","por verificar")</f>
        <v>correcto</v>
      </c>
      <c r="J227" s="19">
        <v>63614.31</v>
      </c>
      <c r="K227" s="19" t="str">
        <f>IF(Tabela1[[#This Row],[Desconto]]&lt;=30000,"Por verificar","correcto")</f>
        <v>correcto</v>
      </c>
      <c r="L227" s="19">
        <v>2315654.38</v>
      </c>
      <c r="M227" s="19" t="str">
        <f>IF(Tabela1[[#This Row],[Salário Líquido]]&gt;=500000,"correcto","por verificar")</f>
        <v>correcto</v>
      </c>
      <c r="N227" t="s">
        <v>45</v>
      </c>
    </row>
    <row r="228" spans="1:14" x14ac:dyDescent="0.35">
      <c r="A228" t="s">
        <v>488</v>
      </c>
      <c r="B228" t="s">
        <v>489</v>
      </c>
      <c r="C228" t="s">
        <v>63</v>
      </c>
      <c r="D228" t="s">
        <v>20</v>
      </c>
      <c r="E228" t="s">
        <v>72</v>
      </c>
      <c r="F228" s="2">
        <v>45048</v>
      </c>
      <c r="G228">
        <v>2421851</v>
      </c>
      <c r="H228" s="19">
        <v>576509.98</v>
      </c>
      <c r="I228" s="19" t="str">
        <f>IF(Tabela1[[#This Row],[Bónus]]&gt;=50000,"correcto","por verificar")</f>
        <v>correcto</v>
      </c>
      <c r="J228" s="19">
        <v>205371.05</v>
      </c>
      <c r="K228" s="19" t="str">
        <f>IF(Tabela1[[#This Row],[Desconto]]&lt;=30000,"Por verificar","correcto")</f>
        <v>correcto</v>
      </c>
      <c r="L228" s="19">
        <v>2792989.93</v>
      </c>
      <c r="M228" s="19" t="str">
        <f>IF(Tabela1[[#This Row],[Salário Líquido]]&gt;=500000,"correcto","por verificar")</f>
        <v>correcto</v>
      </c>
      <c r="N228" t="s">
        <v>27</v>
      </c>
    </row>
    <row r="229" spans="1:14" x14ac:dyDescent="0.35">
      <c r="A229" t="s">
        <v>490</v>
      </c>
      <c r="B229" t="s">
        <v>491</v>
      </c>
      <c r="C229" t="s">
        <v>30</v>
      </c>
      <c r="D229" t="s">
        <v>25</v>
      </c>
      <c r="E229" t="s">
        <v>88</v>
      </c>
      <c r="F229" s="2">
        <v>44690</v>
      </c>
      <c r="G229">
        <v>631069</v>
      </c>
      <c r="H229" s="19">
        <v>37580.089999999997</v>
      </c>
      <c r="I229" s="19" t="str">
        <f>IF(Tabela1[[#This Row],[Bónus]]&gt;=50000,"correcto","por verificar")</f>
        <v>por verificar</v>
      </c>
      <c r="J229" s="19">
        <v>42776.57</v>
      </c>
      <c r="K229" s="19" t="str">
        <f>IF(Tabela1[[#This Row],[Desconto]]&lt;=30000,"Por verificar","correcto")</f>
        <v>correcto</v>
      </c>
      <c r="L229" s="19">
        <v>625872.52</v>
      </c>
      <c r="M229" s="19" t="str">
        <f>IF(Tabela1[[#This Row],[Salário Líquido]]&gt;=500000,"correcto","por verificar")</f>
        <v>correcto</v>
      </c>
      <c r="N229" t="s">
        <v>45</v>
      </c>
    </row>
    <row r="230" spans="1:14" x14ac:dyDescent="0.35">
      <c r="A230" t="s">
        <v>492</v>
      </c>
      <c r="B230" t="s">
        <v>493</v>
      </c>
      <c r="C230" t="s">
        <v>39</v>
      </c>
      <c r="D230" t="s">
        <v>25</v>
      </c>
      <c r="E230" t="s">
        <v>21</v>
      </c>
      <c r="F230" s="2">
        <v>46033</v>
      </c>
      <c r="G230">
        <v>2216435</v>
      </c>
      <c r="H230" s="19">
        <v>375348.41</v>
      </c>
      <c r="I230" s="19" t="str">
        <f>IF(Tabela1[[#This Row],[Bónus]]&gt;=50000,"correcto","por verificar")</f>
        <v>correcto</v>
      </c>
      <c r="J230" s="19">
        <v>69771.56</v>
      </c>
      <c r="K230" s="19" t="str">
        <f>IF(Tabela1[[#This Row],[Desconto]]&lt;=30000,"Por verificar","correcto")</f>
        <v>correcto</v>
      </c>
      <c r="L230" s="19">
        <v>2522011.85</v>
      </c>
      <c r="M230" s="19" t="str">
        <f>IF(Tabela1[[#This Row],[Salário Líquido]]&gt;=500000,"correcto","por verificar")</f>
        <v>correcto</v>
      </c>
      <c r="N230" t="s">
        <v>45</v>
      </c>
    </row>
    <row r="231" spans="1:14" x14ac:dyDescent="0.35">
      <c r="A231" t="s">
        <v>494</v>
      </c>
      <c r="B231" t="s">
        <v>495</v>
      </c>
      <c r="C231" t="s">
        <v>13</v>
      </c>
      <c r="D231" t="s">
        <v>25</v>
      </c>
      <c r="E231" t="s">
        <v>26</v>
      </c>
      <c r="F231" s="2">
        <v>44945</v>
      </c>
      <c r="G231">
        <v>1341683</v>
      </c>
      <c r="H231" s="19">
        <v>182264.66</v>
      </c>
      <c r="I231" s="19" t="str">
        <f>IF(Tabela1[[#This Row],[Bónus]]&gt;=50000,"correcto","por verificar")</f>
        <v>correcto</v>
      </c>
      <c r="J231" s="19">
        <v>114489.65</v>
      </c>
      <c r="K231" s="19" t="str">
        <f>IF(Tabela1[[#This Row],[Desconto]]&lt;=30000,"Por verificar","correcto")</f>
        <v>correcto</v>
      </c>
      <c r="L231" s="19">
        <v>1409458.01</v>
      </c>
      <c r="M231" s="19" t="str">
        <f>IF(Tabela1[[#This Row],[Salário Líquido]]&gt;=500000,"correcto","por verificar")</f>
        <v>correcto</v>
      </c>
      <c r="N231" t="s">
        <v>16</v>
      </c>
    </row>
    <row r="232" spans="1:14" x14ac:dyDescent="0.35">
      <c r="A232" t="s">
        <v>496</v>
      </c>
      <c r="B232" t="s">
        <v>497</v>
      </c>
      <c r="C232" t="s">
        <v>39</v>
      </c>
      <c r="D232" t="s">
        <v>25</v>
      </c>
      <c r="E232" t="s">
        <v>36</v>
      </c>
      <c r="F232" s="2">
        <v>46172</v>
      </c>
      <c r="G232">
        <v>479090</v>
      </c>
      <c r="H232" s="19">
        <v>74113.740000000005</v>
      </c>
      <c r="I232" s="19" t="str">
        <f>IF(Tabela1[[#This Row],[Bónus]]&gt;=50000,"correcto","por verificar")</f>
        <v>correcto</v>
      </c>
      <c r="J232" s="19">
        <v>29921.25</v>
      </c>
      <c r="K232" s="19" t="str">
        <f>IF(Tabela1[[#This Row],[Desconto]]&lt;=30000,"Por verificar","correcto")</f>
        <v>Por verificar</v>
      </c>
      <c r="L232" s="19">
        <v>523282.49</v>
      </c>
      <c r="M232" s="19" t="str">
        <f>IF(Tabela1[[#This Row],[Salário Líquido]]&gt;=500000,"correcto","por verificar")</f>
        <v>correcto</v>
      </c>
      <c r="N232" t="s">
        <v>16</v>
      </c>
    </row>
    <row r="233" spans="1:14" x14ac:dyDescent="0.35">
      <c r="A233" t="s">
        <v>498</v>
      </c>
      <c r="B233" t="s">
        <v>499</v>
      </c>
      <c r="C233" t="s">
        <v>19</v>
      </c>
      <c r="D233" t="s">
        <v>54</v>
      </c>
      <c r="E233" t="s">
        <v>26</v>
      </c>
      <c r="F233" s="2">
        <v>45326</v>
      </c>
      <c r="G233">
        <v>2444281</v>
      </c>
      <c r="H233" s="19">
        <v>132154.6</v>
      </c>
      <c r="I233" s="19" t="str">
        <f>IF(Tabela1[[#This Row],[Bónus]]&gt;=50000,"correcto","por verificar")</f>
        <v>correcto</v>
      </c>
      <c r="J233" s="19">
        <v>265448.5</v>
      </c>
      <c r="K233" s="19" t="str">
        <f>IF(Tabela1[[#This Row],[Desconto]]&lt;=30000,"Por verificar","correcto")</f>
        <v>correcto</v>
      </c>
      <c r="L233" s="19">
        <v>2310987.1</v>
      </c>
      <c r="M233" s="19" t="str">
        <f>IF(Tabela1[[#This Row],[Salário Líquido]]&gt;=500000,"correcto","por verificar")</f>
        <v>correcto</v>
      </c>
      <c r="N233" t="s">
        <v>27</v>
      </c>
    </row>
    <row r="234" spans="1:14" x14ac:dyDescent="0.35">
      <c r="A234" t="s">
        <v>500</v>
      </c>
      <c r="B234" t="s">
        <v>501</v>
      </c>
      <c r="C234" t="s">
        <v>13</v>
      </c>
      <c r="D234" t="s">
        <v>54</v>
      </c>
      <c r="E234" t="s">
        <v>15</v>
      </c>
      <c r="F234" s="2">
        <v>46142</v>
      </c>
      <c r="G234">
        <v>188124</v>
      </c>
      <c r="H234" s="19">
        <v>22841.79</v>
      </c>
      <c r="I234" s="19" t="str">
        <f>IF(Tabela1[[#This Row],[Bónus]]&gt;=50000,"correcto","por verificar")</f>
        <v>por verificar</v>
      </c>
      <c r="J234" s="19">
        <v>6787.58</v>
      </c>
      <c r="K234" s="19" t="str">
        <f>IF(Tabela1[[#This Row],[Desconto]]&lt;=30000,"Por verificar","correcto")</f>
        <v>Por verificar</v>
      </c>
      <c r="L234" s="19">
        <v>204178.21</v>
      </c>
      <c r="M234" s="19" t="str">
        <f>IF(Tabela1[[#This Row],[Salário Líquido]]&gt;=500000,"correcto","por verificar")</f>
        <v>por verificar</v>
      </c>
      <c r="N234" t="s">
        <v>16</v>
      </c>
    </row>
    <row r="235" spans="1:14" x14ac:dyDescent="0.35">
      <c r="A235" t="s">
        <v>502</v>
      </c>
      <c r="B235" t="s">
        <v>503</v>
      </c>
      <c r="C235" t="s">
        <v>44</v>
      </c>
      <c r="D235" t="s">
        <v>54</v>
      </c>
      <c r="E235" t="s">
        <v>51</v>
      </c>
      <c r="F235" s="2">
        <v>46262</v>
      </c>
      <c r="G235">
        <v>1514684</v>
      </c>
      <c r="H235" s="19">
        <v>116148.87</v>
      </c>
      <c r="I235" s="19" t="str">
        <f>IF(Tabela1[[#This Row],[Bónus]]&gt;=50000,"correcto","por verificar")</f>
        <v>correcto</v>
      </c>
      <c r="J235" s="19">
        <v>93466.48</v>
      </c>
      <c r="K235" s="19" t="str">
        <f>IF(Tabela1[[#This Row],[Desconto]]&lt;=30000,"Por verificar","correcto")</f>
        <v>correcto</v>
      </c>
      <c r="L235" s="19">
        <v>1537366.39</v>
      </c>
      <c r="M235" s="19" t="str">
        <f>IF(Tabela1[[#This Row],[Salário Líquido]]&gt;=500000,"correcto","por verificar")</f>
        <v>correcto</v>
      </c>
      <c r="N235" t="s">
        <v>16</v>
      </c>
    </row>
    <row r="236" spans="1:14" x14ac:dyDescent="0.35">
      <c r="A236" t="s">
        <v>504</v>
      </c>
      <c r="B236" t="s">
        <v>505</v>
      </c>
      <c r="C236" t="s">
        <v>13</v>
      </c>
      <c r="D236" t="s">
        <v>14</v>
      </c>
      <c r="E236" t="s">
        <v>15</v>
      </c>
      <c r="F236" s="2">
        <v>46028</v>
      </c>
      <c r="G236">
        <v>2068769</v>
      </c>
      <c r="H236" s="19">
        <v>509256.12</v>
      </c>
      <c r="I236" s="19" t="str">
        <f>IF(Tabela1[[#This Row],[Bónus]]&gt;=50000,"correcto","por verificar")</f>
        <v>correcto</v>
      </c>
      <c r="J236" s="19">
        <v>151160.41</v>
      </c>
      <c r="K236" s="19" t="str">
        <f>IF(Tabela1[[#This Row],[Desconto]]&lt;=30000,"Por verificar","correcto")</f>
        <v>correcto</v>
      </c>
      <c r="L236" s="19">
        <v>2426864.71</v>
      </c>
      <c r="M236" s="19" t="str">
        <f>IF(Tabela1[[#This Row],[Salário Líquido]]&gt;=500000,"correcto","por verificar")</f>
        <v>correcto</v>
      </c>
      <c r="N236" t="s">
        <v>27</v>
      </c>
    </row>
    <row r="237" spans="1:14" x14ac:dyDescent="0.35">
      <c r="A237" t="s">
        <v>506</v>
      </c>
      <c r="B237" t="s">
        <v>507</v>
      </c>
      <c r="C237" t="s">
        <v>13</v>
      </c>
      <c r="D237" t="s">
        <v>20</v>
      </c>
      <c r="E237" t="s">
        <v>48</v>
      </c>
      <c r="F237" s="2">
        <v>45197</v>
      </c>
      <c r="G237">
        <v>275121</v>
      </c>
      <c r="H237" s="19">
        <v>29902.49</v>
      </c>
      <c r="I237" s="19" t="str">
        <f>IF(Tabela1[[#This Row],[Bónus]]&gt;=50000,"correcto","por verificar")</f>
        <v>por verificar</v>
      </c>
      <c r="J237" s="19">
        <v>9338.31</v>
      </c>
      <c r="K237" s="19" t="str">
        <f>IF(Tabela1[[#This Row],[Desconto]]&lt;=30000,"Por verificar","correcto")</f>
        <v>Por verificar</v>
      </c>
      <c r="L237" s="19">
        <v>295685.18</v>
      </c>
      <c r="M237" s="19" t="str">
        <f>IF(Tabela1[[#This Row],[Salário Líquido]]&gt;=500000,"correcto","por verificar")</f>
        <v>por verificar</v>
      </c>
      <c r="N237" t="s">
        <v>16</v>
      </c>
    </row>
    <row r="238" spans="1:14" x14ac:dyDescent="0.35">
      <c r="A238" t="s">
        <v>508</v>
      </c>
      <c r="B238" t="s">
        <v>509</v>
      </c>
      <c r="C238" t="s">
        <v>44</v>
      </c>
      <c r="D238" t="s">
        <v>20</v>
      </c>
      <c r="E238" t="s">
        <v>21</v>
      </c>
      <c r="F238" s="2">
        <v>45147</v>
      </c>
      <c r="G238">
        <v>1790272</v>
      </c>
      <c r="H238" s="19">
        <v>443673.34</v>
      </c>
      <c r="I238" s="19" t="str">
        <f>IF(Tabela1[[#This Row],[Bónus]]&gt;=50000,"correcto","por verificar")</f>
        <v>correcto</v>
      </c>
      <c r="J238" s="19">
        <v>141203.70000000001</v>
      </c>
      <c r="K238" s="19" t="str">
        <f>IF(Tabela1[[#This Row],[Desconto]]&lt;=30000,"Por verificar","correcto")</f>
        <v>correcto</v>
      </c>
      <c r="L238" s="19">
        <v>2092741.64</v>
      </c>
      <c r="M238" s="19" t="str">
        <f>IF(Tabela1[[#This Row],[Salário Líquido]]&gt;=500000,"correcto","por verificar")</f>
        <v>correcto</v>
      </c>
      <c r="N238" t="s">
        <v>27</v>
      </c>
    </row>
    <row r="239" spans="1:14" x14ac:dyDescent="0.35">
      <c r="A239" t="s">
        <v>510</v>
      </c>
      <c r="B239" t="s">
        <v>511</v>
      </c>
      <c r="C239" t="s">
        <v>19</v>
      </c>
      <c r="D239" t="s">
        <v>40</v>
      </c>
      <c r="E239" t="s">
        <v>26</v>
      </c>
      <c r="F239" s="2">
        <v>46383</v>
      </c>
      <c r="G239">
        <v>320504</v>
      </c>
      <c r="H239" s="19">
        <v>71523.56</v>
      </c>
      <c r="I239" s="19" t="str">
        <f>IF(Tabela1[[#This Row],[Bónus]]&gt;=50000,"correcto","por verificar")</f>
        <v>correcto</v>
      </c>
      <c r="J239" s="19">
        <v>19189.61</v>
      </c>
      <c r="K239" s="19" t="str">
        <f>IF(Tabela1[[#This Row],[Desconto]]&lt;=30000,"Por verificar","correcto")</f>
        <v>Por verificar</v>
      </c>
      <c r="L239" s="19">
        <v>372837.95</v>
      </c>
      <c r="M239" s="19" t="str">
        <f>IF(Tabela1[[#This Row],[Salário Líquido]]&gt;=500000,"correcto","por verificar")</f>
        <v>por verificar</v>
      </c>
      <c r="N239" t="s">
        <v>27</v>
      </c>
    </row>
    <row r="240" spans="1:14" x14ac:dyDescent="0.35">
      <c r="A240" t="s">
        <v>512</v>
      </c>
      <c r="B240" t="s">
        <v>513</v>
      </c>
      <c r="C240" t="s">
        <v>13</v>
      </c>
      <c r="D240" t="s">
        <v>35</v>
      </c>
      <c r="E240" t="s">
        <v>88</v>
      </c>
      <c r="F240" s="2">
        <v>45314</v>
      </c>
      <c r="G240">
        <v>1964389</v>
      </c>
      <c r="H240" s="19">
        <v>449702.66</v>
      </c>
      <c r="I240" s="19" t="str">
        <f>IF(Tabela1[[#This Row],[Bónus]]&gt;=50000,"correcto","por verificar")</f>
        <v>correcto</v>
      </c>
      <c r="J240" s="19">
        <v>127288.54</v>
      </c>
      <c r="K240" s="19" t="str">
        <f>IF(Tabela1[[#This Row],[Desconto]]&lt;=30000,"Por verificar","correcto")</f>
        <v>correcto</v>
      </c>
      <c r="L240" s="19">
        <v>2286803.12</v>
      </c>
      <c r="M240" s="19" t="str">
        <f>IF(Tabela1[[#This Row],[Salário Líquido]]&gt;=500000,"correcto","por verificar")</f>
        <v>correcto</v>
      </c>
      <c r="N240" t="s">
        <v>16</v>
      </c>
    </row>
    <row r="241" spans="1:14" x14ac:dyDescent="0.35">
      <c r="A241" t="s">
        <v>514</v>
      </c>
      <c r="B241" t="s">
        <v>515</v>
      </c>
      <c r="C241" t="s">
        <v>19</v>
      </c>
      <c r="D241" t="s">
        <v>35</v>
      </c>
      <c r="E241" t="s">
        <v>41</v>
      </c>
      <c r="F241" s="2">
        <v>46246</v>
      </c>
      <c r="G241">
        <v>1238707</v>
      </c>
      <c r="H241" s="19">
        <v>260412.9</v>
      </c>
      <c r="I241" s="19" t="str">
        <f>IF(Tabela1[[#This Row],[Bónus]]&gt;=50000,"correcto","por verificar")</f>
        <v>correcto</v>
      </c>
      <c r="J241" s="19">
        <v>118218.88</v>
      </c>
      <c r="K241" s="19" t="str">
        <f>IF(Tabela1[[#This Row],[Desconto]]&lt;=30000,"Por verificar","correcto")</f>
        <v>correcto</v>
      </c>
      <c r="L241" s="19">
        <v>1380901.02</v>
      </c>
      <c r="M241" s="19" t="str">
        <f>IF(Tabela1[[#This Row],[Salário Líquido]]&gt;=500000,"correcto","por verificar")</f>
        <v>correcto</v>
      </c>
      <c r="N241" t="s">
        <v>45</v>
      </c>
    </row>
    <row r="242" spans="1:14" x14ac:dyDescent="0.35">
      <c r="A242" t="s">
        <v>516</v>
      </c>
      <c r="B242" t="s">
        <v>517</v>
      </c>
      <c r="C242" t="s">
        <v>44</v>
      </c>
      <c r="D242" t="s">
        <v>54</v>
      </c>
      <c r="E242" t="s">
        <v>72</v>
      </c>
      <c r="F242" s="2">
        <v>45189</v>
      </c>
      <c r="G242">
        <v>2407885</v>
      </c>
      <c r="H242" s="19">
        <v>261865.4</v>
      </c>
      <c r="I242" s="19" t="str">
        <f>IF(Tabela1[[#This Row],[Bónus]]&gt;=50000,"correcto","por verificar")</f>
        <v>correcto</v>
      </c>
      <c r="J242" s="19">
        <v>94470.51</v>
      </c>
      <c r="K242" s="19" t="str">
        <f>IF(Tabela1[[#This Row],[Desconto]]&lt;=30000,"Por verificar","correcto")</f>
        <v>correcto</v>
      </c>
      <c r="L242" s="19">
        <v>2575279.89</v>
      </c>
      <c r="M242" s="19" t="str">
        <f>IF(Tabela1[[#This Row],[Salário Líquido]]&gt;=500000,"correcto","por verificar")</f>
        <v>correcto</v>
      </c>
      <c r="N242" t="s">
        <v>27</v>
      </c>
    </row>
    <row r="243" spans="1:14" x14ac:dyDescent="0.35">
      <c r="A243" t="s">
        <v>518</v>
      </c>
      <c r="B243" t="s">
        <v>519</v>
      </c>
      <c r="C243" t="s">
        <v>63</v>
      </c>
      <c r="D243" t="s">
        <v>20</v>
      </c>
      <c r="E243" t="s">
        <v>48</v>
      </c>
      <c r="F243" s="2">
        <v>45821</v>
      </c>
      <c r="G243">
        <v>1907260</v>
      </c>
      <c r="H243" s="19">
        <v>158929.98000000001</v>
      </c>
      <c r="I243" s="19" t="str">
        <f>IF(Tabela1[[#This Row],[Bónus]]&gt;=50000,"correcto","por verificar")</f>
        <v>correcto</v>
      </c>
      <c r="J243" s="19">
        <v>133416.18</v>
      </c>
      <c r="K243" s="19" t="str">
        <f>IF(Tabela1[[#This Row],[Desconto]]&lt;=30000,"Por verificar","correcto")</f>
        <v>correcto</v>
      </c>
      <c r="L243" s="19">
        <v>1932773.8</v>
      </c>
      <c r="M243" s="19" t="str">
        <f>IF(Tabela1[[#This Row],[Salário Líquido]]&gt;=500000,"correcto","por verificar")</f>
        <v>correcto</v>
      </c>
      <c r="N243" t="s">
        <v>27</v>
      </c>
    </row>
    <row r="244" spans="1:14" x14ac:dyDescent="0.35">
      <c r="A244" t="s">
        <v>520</v>
      </c>
      <c r="B244" t="s">
        <v>521</v>
      </c>
      <c r="C244" t="s">
        <v>19</v>
      </c>
      <c r="D244" t="s">
        <v>20</v>
      </c>
      <c r="E244" t="s">
        <v>26</v>
      </c>
      <c r="F244" s="2">
        <v>45306</v>
      </c>
      <c r="G244">
        <v>1271568</v>
      </c>
      <c r="H244" s="19">
        <v>226204.14</v>
      </c>
      <c r="I244" s="19" t="str">
        <f>IF(Tabela1[[#This Row],[Bónus]]&gt;=50000,"correcto","por verificar")</f>
        <v>correcto</v>
      </c>
      <c r="J244" s="19">
        <v>128724.65</v>
      </c>
      <c r="K244" s="19" t="str">
        <f>IF(Tabela1[[#This Row],[Desconto]]&lt;=30000,"Por verificar","correcto")</f>
        <v>correcto</v>
      </c>
      <c r="L244" s="19">
        <v>1369047.49</v>
      </c>
      <c r="M244" s="19" t="str">
        <f>IF(Tabela1[[#This Row],[Salário Líquido]]&gt;=500000,"correcto","por verificar")</f>
        <v>correcto</v>
      </c>
      <c r="N244" t="s">
        <v>16</v>
      </c>
    </row>
    <row r="245" spans="1:14" x14ac:dyDescent="0.35">
      <c r="A245" t="s">
        <v>522</v>
      </c>
      <c r="B245" t="s">
        <v>523</v>
      </c>
      <c r="C245" t="s">
        <v>39</v>
      </c>
      <c r="D245" t="s">
        <v>54</v>
      </c>
      <c r="E245" t="s">
        <v>88</v>
      </c>
      <c r="F245" s="2">
        <v>44633</v>
      </c>
      <c r="G245">
        <v>791032</v>
      </c>
      <c r="H245" s="19">
        <v>190288.98</v>
      </c>
      <c r="I245" s="19" t="str">
        <f>IF(Tabela1[[#This Row],[Bónus]]&gt;=50000,"correcto","por verificar")</f>
        <v>correcto</v>
      </c>
      <c r="J245" s="19">
        <v>33895.839999999997</v>
      </c>
      <c r="K245" s="19" t="str">
        <f>IF(Tabela1[[#This Row],[Desconto]]&lt;=30000,"Por verificar","correcto")</f>
        <v>correcto</v>
      </c>
      <c r="L245" s="19">
        <v>947425.14</v>
      </c>
      <c r="M245" s="19" t="str">
        <f>IF(Tabela1[[#This Row],[Salário Líquido]]&gt;=500000,"correcto","por verificar")</f>
        <v>correcto</v>
      </c>
      <c r="N245" t="s">
        <v>45</v>
      </c>
    </row>
    <row r="246" spans="1:14" x14ac:dyDescent="0.35">
      <c r="A246" t="s">
        <v>524</v>
      </c>
      <c r="B246" t="s">
        <v>525</v>
      </c>
      <c r="C246" t="s">
        <v>44</v>
      </c>
      <c r="D246" t="s">
        <v>35</v>
      </c>
      <c r="E246" t="s">
        <v>41</v>
      </c>
      <c r="F246" s="2">
        <v>44628</v>
      </c>
      <c r="G246">
        <v>401997</v>
      </c>
      <c r="H246" s="19">
        <v>39073.74</v>
      </c>
      <c r="I246" s="19" t="str">
        <f>IF(Tabela1[[#This Row],[Bónus]]&gt;=50000,"correcto","por verificar")</f>
        <v>por verificar</v>
      </c>
      <c r="J246" s="19">
        <v>35401.730000000003</v>
      </c>
      <c r="K246" s="19" t="str">
        <f>IF(Tabela1[[#This Row],[Desconto]]&lt;=30000,"Por verificar","correcto")</f>
        <v>correcto</v>
      </c>
      <c r="L246" s="19">
        <v>405669.01</v>
      </c>
      <c r="M246" s="19" t="str">
        <f>IF(Tabela1[[#This Row],[Salário Líquido]]&gt;=500000,"correcto","por verificar")</f>
        <v>por verificar</v>
      </c>
      <c r="N246" t="s">
        <v>16</v>
      </c>
    </row>
    <row r="247" spans="1:14" x14ac:dyDescent="0.35">
      <c r="A247" t="s">
        <v>526</v>
      </c>
      <c r="B247" t="s">
        <v>527</v>
      </c>
      <c r="C247" t="s">
        <v>44</v>
      </c>
      <c r="D247" t="s">
        <v>35</v>
      </c>
      <c r="E247" t="s">
        <v>15</v>
      </c>
      <c r="F247" s="2">
        <v>45737</v>
      </c>
      <c r="G247">
        <v>763566</v>
      </c>
      <c r="H247" s="19">
        <v>141880.04</v>
      </c>
      <c r="I247" s="19" t="str">
        <f>IF(Tabela1[[#This Row],[Bónus]]&gt;=50000,"correcto","por verificar")</f>
        <v>correcto</v>
      </c>
      <c r="J247" s="19">
        <v>88111.02</v>
      </c>
      <c r="K247" s="19" t="str">
        <f>IF(Tabela1[[#This Row],[Desconto]]&lt;=30000,"Por verificar","correcto")</f>
        <v>correcto</v>
      </c>
      <c r="L247" s="19">
        <v>817335.02</v>
      </c>
      <c r="M247" s="19" t="str">
        <f>IF(Tabela1[[#This Row],[Salário Líquido]]&gt;=500000,"correcto","por verificar")</f>
        <v>correcto</v>
      </c>
      <c r="N247" t="s">
        <v>45</v>
      </c>
    </row>
    <row r="248" spans="1:14" x14ac:dyDescent="0.35">
      <c r="A248" t="s">
        <v>528</v>
      </c>
      <c r="B248" t="s">
        <v>529</v>
      </c>
      <c r="C248" t="s">
        <v>44</v>
      </c>
      <c r="D248" t="s">
        <v>14</v>
      </c>
      <c r="E248" t="s">
        <v>15</v>
      </c>
      <c r="F248" s="2">
        <v>44615</v>
      </c>
      <c r="G248">
        <v>2340715</v>
      </c>
      <c r="H248" s="19">
        <v>288820.8</v>
      </c>
      <c r="I248" s="19" t="str">
        <f>IF(Tabela1[[#This Row],[Bónus]]&gt;=50000,"correcto","por verificar")</f>
        <v>correcto</v>
      </c>
      <c r="J248" s="19">
        <v>136451.25</v>
      </c>
      <c r="K248" s="19" t="str">
        <f>IF(Tabela1[[#This Row],[Desconto]]&lt;=30000,"Por verificar","correcto")</f>
        <v>correcto</v>
      </c>
      <c r="L248" s="19">
        <v>2493084.5499999998</v>
      </c>
      <c r="M248" s="19" t="str">
        <f>IF(Tabela1[[#This Row],[Salário Líquido]]&gt;=500000,"correcto","por verificar")</f>
        <v>correcto</v>
      </c>
      <c r="N248" t="s">
        <v>16</v>
      </c>
    </row>
    <row r="249" spans="1:14" x14ac:dyDescent="0.35">
      <c r="A249" t="s">
        <v>530</v>
      </c>
      <c r="B249" t="s">
        <v>531</v>
      </c>
      <c r="C249" t="s">
        <v>39</v>
      </c>
      <c r="D249" t="s">
        <v>20</v>
      </c>
      <c r="E249" t="s">
        <v>72</v>
      </c>
      <c r="F249" s="2">
        <v>46149</v>
      </c>
      <c r="G249">
        <v>900342</v>
      </c>
      <c r="H249" s="19">
        <v>134879.15</v>
      </c>
      <c r="I249" s="19" t="str">
        <f>IF(Tabela1[[#This Row],[Bónus]]&gt;=50000,"correcto","por verificar")</f>
        <v>correcto</v>
      </c>
      <c r="J249" s="19">
        <v>58368.15</v>
      </c>
      <c r="K249" s="19" t="str">
        <f>IF(Tabela1[[#This Row],[Desconto]]&lt;=30000,"Por verificar","correcto")</f>
        <v>correcto</v>
      </c>
      <c r="L249" s="19">
        <v>976853</v>
      </c>
      <c r="M249" s="19" t="str">
        <f>IF(Tabela1[[#This Row],[Salário Líquido]]&gt;=500000,"correcto","por verificar")</f>
        <v>correcto</v>
      </c>
      <c r="N249" t="s">
        <v>27</v>
      </c>
    </row>
    <row r="250" spans="1:14" x14ac:dyDescent="0.35">
      <c r="A250" t="s">
        <v>532</v>
      </c>
      <c r="B250" t="s">
        <v>533</v>
      </c>
      <c r="C250" t="s">
        <v>24</v>
      </c>
      <c r="D250" t="s">
        <v>35</v>
      </c>
      <c r="E250" t="s">
        <v>21</v>
      </c>
      <c r="F250" s="2">
        <v>44813</v>
      </c>
      <c r="G250">
        <v>1991805</v>
      </c>
      <c r="H250" s="19">
        <v>185066.74</v>
      </c>
      <c r="I250" s="19" t="str">
        <f>IF(Tabela1[[#This Row],[Bónus]]&gt;=50000,"correcto","por verificar")</f>
        <v>correcto</v>
      </c>
      <c r="J250" s="19">
        <v>169440.75</v>
      </c>
      <c r="K250" s="19" t="str">
        <f>IF(Tabela1[[#This Row],[Desconto]]&lt;=30000,"Por verificar","correcto")</f>
        <v>correcto</v>
      </c>
      <c r="L250" s="19">
        <v>2007430.99</v>
      </c>
      <c r="M250" s="19" t="str">
        <f>IF(Tabela1[[#This Row],[Salário Líquido]]&gt;=500000,"correcto","por verificar")</f>
        <v>correcto</v>
      </c>
      <c r="N250" t="s">
        <v>45</v>
      </c>
    </row>
    <row r="251" spans="1:14" x14ac:dyDescent="0.35">
      <c r="A251" t="s">
        <v>534</v>
      </c>
      <c r="B251" t="s">
        <v>535</v>
      </c>
      <c r="C251" t="s">
        <v>63</v>
      </c>
      <c r="D251" t="s">
        <v>20</v>
      </c>
      <c r="E251" t="s">
        <v>48</v>
      </c>
      <c r="F251" s="2">
        <v>45929</v>
      </c>
      <c r="G251">
        <v>430596</v>
      </c>
      <c r="H251" s="19">
        <v>60459.35</v>
      </c>
      <c r="I251" s="19" t="str">
        <f>IF(Tabela1[[#This Row],[Bónus]]&gt;=50000,"correcto","por verificar")</f>
        <v>correcto</v>
      </c>
      <c r="J251" s="19">
        <v>47744.959999999999</v>
      </c>
      <c r="K251" s="19" t="str">
        <f>IF(Tabela1[[#This Row],[Desconto]]&lt;=30000,"Por verificar","correcto")</f>
        <v>correcto</v>
      </c>
      <c r="L251" s="19">
        <v>443310.39</v>
      </c>
      <c r="M251" s="19" t="str">
        <f>IF(Tabela1[[#This Row],[Salário Líquido]]&gt;=500000,"correcto","por verificar")</f>
        <v>por verificar</v>
      </c>
      <c r="N251" t="s">
        <v>27</v>
      </c>
    </row>
    <row r="252" spans="1:14" x14ac:dyDescent="0.35">
      <c r="A252" t="s">
        <v>536</v>
      </c>
      <c r="B252" t="s">
        <v>537</v>
      </c>
      <c r="C252" t="s">
        <v>44</v>
      </c>
      <c r="D252" t="s">
        <v>14</v>
      </c>
      <c r="E252" t="s">
        <v>51</v>
      </c>
      <c r="F252" s="2">
        <v>46187</v>
      </c>
      <c r="G252">
        <v>392374</v>
      </c>
      <c r="H252" s="19">
        <v>62779.62</v>
      </c>
      <c r="I252" s="19" t="str">
        <f>IF(Tabela1[[#This Row],[Bónus]]&gt;=50000,"correcto","por verificar")</f>
        <v>correcto</v>
      </c>
      <c r="J252" s="19">
        <v>22024.97</v>
      </c>
      <c r="K252" s="19" t="str">
        <f>IF(Tabela1[[#This Row],[Desconto]]&lt;=30000,"Por verificar","correcto")</f>
        <v>Por verificar</v>
      </c>
      <c r="L252" s="19">
        <v>433128.65</v>
      </c>
      <c r="M252" s="19" t="str">
        <f>IF(Tabela1[[#This Row],[Salário Líquido]]&gt;=500000,"correcto","por verificar")</f>
        <v>por verificar</v>
      </c>
      <c r="N252" t="s">
        <v>27</v>
      </c>
    </row>
    <row r="253" spans="1:14" x14ac:dyDescent="0.35">
      <c r="A253" t="s">
        <v>538</v>
      </c>
      <c r="B253" t="s">
        <v>539</v>
      </c>
      <c r="C253" t="s">
        <v>30</v>
      </c>
      <c r="D253" t="s">
        <v>14</v>
      </c>
      <c r="E253" t="s">
        <v>21</v>
      </c>
      <c r="F253" s="2">
        <v>46180</v>
      </c>
      <c r="G253">
        <v>2253876</v>
      </c>
      <c r="H253" s="19">
        <v>213776.36</v>
      </c>
      <c r="I253" s="19" t="str">
        <f>IF(Tabela1[[#This Row],[Bónus]]&gt;=50000,"correcto","por verificar")</f>
        <v>correcto</v>
      </c>
      <c r="J253" s="19">
        <v>267449.27</v>
      </c>
      <c r="K253" s="19" t="str">
        <f>IF(Tabela1[[#This Row],[Desconto]]&lt;=30000,"Por verificar","correcto")</f>
        <v>correcto</v>
      </c>
      <c r="L253" s="19">
        <v>2200203.09</v>
      </c>
      <c r="M253" s="19" t="str">
        <f>IF(Tabela1[[#This Row],[Salário Líquido]]&gt;=500000,"correcto","por verificar")</f>
        <v>correcto</v>
      </c>
      <c r="N253" t="s">
        <v>27</v>
      </c>
    </row>
    <row r="254" spans="1:14" x14ac:dyDescent="0.35">
      <c r="A254" t="s">
        <v>540</v>
      </c>
      <c r="B254" t="s">
        <v>541</v>
      </c>
      <c r="C254" t="s">
        <v>63</v>
      </c>
      <c r="D254" t="s">
        <v>25</v>
      </c>
      <c r="E254" t="s">
        <v>51</v>
      </c>
      <c r="F254" s="2">
        <v>45815</v>
      </c>
      <c r="G254">
        <v>230243</v>
      </c>
      <c r="H254" s="19">
        <v>28130.93</v>
      </c>
      <c r="I254" s="19" t="str">
        <f>IF(Tabela1[[#This Row],[Bónus]]&gt;=50000,"correcto","por verificar")</f>
        <v>por verificar</v>
      </c>
      <c r="J254" s="19">
        <v>18765.95</v>
      </c>
      <c r="K254" s="19" t="str">
        <f>IF(Tabela1[[#This Row],[Desconto]]&lt;=30000,"Por verificar","correcto")</f>
        <v>Por verificar</v>
      </c>
      <c r="L254" s="19">
        <v>239607.98</v>
      </c>
      <c r="M254" s="19" t="str">
        <f>IF(Tabela1[[#This Row],[Salário Líquido]]&gt;=500000,"correcto","por verificar")</f>
        <v>por verificar</v>
      </c>
      <c r="N254" t="s">
        <v>45</v>
      </c>
    </row>
    <row r="255" spans="1:14" x14ac:dyDescent="0.35">
      <c r="A255" t="s">
        <v>542</v>
      </c>
      <c r="B255" t="s">
        <v>543</v>
      </c>
      <c r="C255" t="s">
        <v>24</v>
      </c>
      <c r="D255" t="s">
        <v>35</v>
      </c>
      <c r="E255" t="s">
        <v>36</v>
      </c>
      <c r="F255" s="2">
        <v>45403</v>
      </c>
      <c r="G255">
        <v>395767</v>
      </c>
      <c r="H255" s="19">
        <v>44269.760000000002</v>
      </c>
      <c r="I255" s="19" t="str">
        <f>IF(Tabela1[[#This Row],[Bónus]]&gt;=50000,"correcto","por verificar")</f>
        <v>por verificar</v>
      </c>
      <c r="J255" s="19">
        <v>47477.62</v>
      </c>
      <c r="K255" s="19" t="str">
        <f>IF(Tabela1[[#This Row],[Desconto]]&lt;=30000,"Por verificar","correcto")</f>
        <v>correcto</v>
      </c>
      <c r="L255" s="19">
        <v>392559.14</v>
      </c>
      <c r="M255" s="19" t="str">
        <f>IF(Tabela1[[#This Row],[Salário Líquido]]&gt;=500000,"correcto","por verificar")</f>
        <v>por verificar</v>
      </c>
      <c r="N255" t="s">
        <v>27</v>
      </c>
    </row>
    <row r="256" spans="1:14" x14ac:dyDescent="0.35">
      <c r="A256" t="s">
        <v>544</v>
      </c>
      <c r="B256" t="s">
        <v>545</v>
      </c>
      <c r="C256" t="s">
        <v>19</v>
      </c>
      <c r="D256" t="s">
        <v>35</v>
      </c>
      <c r="E256" t="s">
        <v>88</v>
      </c>
      <c r="F256" s="2">
        <v>45954</v>
      </c>
      <c r="G256">
        <v>429332</v>
      </c>
      <c r="H256" s="19">
        <v>32227.96</v>
      </c>
      <c r="I256" s="19" t="str">
        <f>IF(Tabela1[[#This Row],[Bónus]]&gt;=50000,"correcto","por verificar")</f>
        <v>por verificar</v>
      </c>
      <c r="J256" s="19">
        <v>25129.87</v>
      </c>
      <c r="K256" s="19" t="str">
        <f>IF(Tabela1[[#This Row],[Desconto]]&lt;=30000,"Por verificar","correcto")</f>
        <v>Por verificar</v>
      </c>
      <c r="L256" s="19">
        <v>436430.09</v>
      </c>
      <c r="M256" s="19" t="str">
        <f>IF(Tabela1[[#This Row],[Salário Líquido]]&gt;=500000,"correcto","por verificar")</f>
        <v>por verificar</v>
      </c>
      <c r="N256" t="s">
        <v>16</v>
      </c>
    </row>
    <row r="257" spans="1:14" x14ac:dyDescent="0.35">
      <c r="A257" t="s">
        <v>546</v>
      </c>
      <c r="B257" t="s">
        <v>547</v>
      </c>
      <c r="C257" t="s">
        <v>39</v>
      </c>
      <c r="D257" t="s">
        <v>54</v>
      </c>
      <c r="E257" t="s">
        <v>41</v>
      </c>
      <c r="F257" s="2">
        <v>44934</v>
      </c>
      <c r="G257">
        <v>1564999</v>
      </c>
      <c r="H257" s="19">
        <v>118418.66</v>
      </c>
      <c r="I257" s="19" t="str">
        <f>IF(Tabela1[[#This Row],[Bónus]]&gt;=50000,"correcto","por verificar")</f>
        <v>correcto</v>
      </c>
      <c r="J257" s="19">
        <v>163722.10999999999</v>
      </c>
      <c r="K257" s="19" t="str">
        <f>IF(Tabela1[[#This Row],[Desconto]]&lt;=30000,"Por verificar","correcto")</f>
        <v>correcto</v>
      </c>
      <c r="L257" s="19">
        <v>1519695.55</v>
      </c>
      <c r="M257" s="19" t="str">
        <f>IF(Tabela1[[#This Row],[Salário Líquido]]&gt;=500000,"correcto","por verificar")</f>
        <v>correcto</v>
      </c>
      <c r="N257" t="s">
        <v>45</v>
      </c>
    </row>
    <row r="258" spans="1:14" x14ac:dyDescent="0.35">
      <c r="A258" t="s">
        <v>548</v>
      </c>
      <c r="B258" t="s">
        <v>549</v>
      </c>
      <c r="C258" t="s">
        <v>30</v>
      </c>
      <c r="D258" t="s">
        <v>20</v>
      </c>
      <c r="E258" t="s">
        <v>36</v>
      </c>
      <c r="F258" s="2">
        <v>44875</v>
      </c>
      <c r="G258">
        <v>1934532</v>
      </c>
      <c r="H258" s="19">
        <v>291287.82</v>
      </c>
      <c r="I258" s="19" t="str">
        <f>IF(Tabela1[[#This Row],[Bónus]]&gt;=50000,"correcto","por verificar")</f>
        <v>correcto</v>
      </c>
      <c r="J258" s="19">
        <v>209198.45</v>
      </c>
      <c r="K258" s="19" t="str">
        <f>IF(Tabela1[[#This Row],[Desconto]]&lt;=30000,"Por verificar","correcto")</f>
        <v>correcto</v>
      </c>
      <c r="L258" s="19">
        <v>2016621.37</v>
      </c>
      <c r="M258" s="19" t="str">
        <f>IF(Tabela1[[#This Row],[Salário Líquido]]&gt;=500000,"correcto","por verificar")</f>
        <v>correcto</v>
      </c>
      <c r="N258" t="s">
        <v>27</v>
      </c>
    </row>
    <row r="259" spans="1:14" x14ac:dyDescent="0.35">
      <c r="A259" t="s">
        <v>550</v>
      </c>
      <c r="B259" t="s">
        <v>551</v>
      </c>
      <c r="C259" t="s">
        <v>13</v>
      </c>
      <c r="D259" t="s">
        <v>40</v>
      </c>
      <c r="E259" t="s">
        <v>36</v>
      </c>
      <c r="F259" s="2">
        <v>45143</v>
      </c>
      <c r="G259">
        <v>810621</v>
      </c>
      <c r="H259" s="19">
        <v>66789.81</v>
      </c>
      <c r="I259" s="19" t="str">
        <f>IF(Tabela1[[#This Row],[Bónus]]&gt;=50000,"correcto","por verificar")</f>
        <v>correcto</v>
      </c>
      <c r="J259" s="19">
        <v>92513.26</v>
      </c>
      <c r="K259" s="19" t="str">
        <f>IF(Tabela1[[#This Row],[Desconto]]&lt;=30000,"Por verificar","correcto")</f>
        <v>correcto</v>
      </c>
      <c r="L259" s="19">
        <v>784897.55</v>
      </c>
      <c r="M259" s="19" t="str">
        <f>IF(Tabela1[[#This Row],[Salário Líquido]]&gt;=500000,"correcto","por verificar")</f>
        <v>correcto</v>
      </c>
      <c r="N259" t="s">
        <v>45</v>
      </c>
    </row>
    <row r="260" spans="1:14" x14ac:dyDescent="0.35">
      <c r="A260" t="s">
        <v>552</v>
      </c>
      <c r="B260" t="s">
        <v>553</v>
      </c>
      <c r="C260" t="s">
        <v>44</v>
      </c>
      <c r="D260" t="s">
        <v>14</v>
      </c>
      <c r="E260" t="s">
        <v>72</v>
      </c>
      <c r="F260" s="2">
        <v>45820</v>
      </c>
      <c r="G260">
        <v>1171114</v>
      </c>
      <c r="H260" s="19">
        <v>104534.09</v>
      </c>
      <c r="I260" s="19" t="str">
        <f>IF(Tabela1[[#This Row],[Bónus]]&gt;=50000,"correcto","por verificar")</f>
        <v>correcto</v>
      </c>
      <c r="J260" s="19">
        <v>135933.13</v>
      </c>
      <c r="K260" s="19" t="str">
        <f>IF(Tabela1[[#This Row],[Desconto]]&lt;=30000,"Por verificar","correcto")</f>
        <v>correcto</v>
      </c>
      <c r="L260" s="19">
        <v>1139714.96</v>
      </c>
      <c r="M260" s="19" t="str">
        <f>IF(Tabela1[[#This Row],[Salário Líquido]]&gt;=500000,"correcto","por verificar")</f>
        <v>correcto</v>
      </c>
      <c r="N260" t="s">
        <v>16</v>
      </c>
    </row>
    <row r="261" spans="1:14" x14ac:dyDescent="0.35">
      <c r="A261" t="s">
        <v>554</v>
      </c>
      <c r="B261" t="s">
        <v>555</v>
      </c>
      <c r="C261" t="s">
        <v>39</v>
      </c>
      <c r="D261" t="s">
        <v>14</v>
      </c>
      <c r="E261" t="s">
        <v>51</v>
      </c>
      <c r="F261" s="2">
        <v>45911</v>
      </c>
      <c r="G261">
        <v>511867</v>
      </c>
      <c r="H261" s="19">
        <v>77043.47</v>
      </c>
      <c r="I261" s="19" t="str">
        <f>IF(Tabela1[[#This Row],[Bónus]]&gt;=50000,"correcto","por verificar")</f>
        <v>correcto</v>
      </c>
      <c r="J261" s="19">
        <v>23124.73</v>
      </c>
      <c r="K261" s="19" t="str">
        <f>IF(Tabela1[[#This Row],[Desconto]]&lt;=30000,"Por verificar","correcto")</f>
        <v>Por verificar</v>
      </c>
      <c r="L261" s="19">
        <v>565785.74</v>
      </c>
      <c r="M261" s="19" t="str">
        <f>IF(Tabela1[[#This Row],[Salário Líquido]]&gt;=500000,"correcto","por verificar")</f>
        <v>correcto</v>
      </c>
      <c r="N261" t="s">
        <v>16</v>
      </c>
    </row>
    <row r="262" spans="1:14" x14ac:dyDescent="0.35">
      <c r="A262" t="s">
        <v>556</v>
      </c>
      <c r="B262" t="s">
        <v>557</v>
      </c>
      <c r="C262" t="s">
        <v>30</v>
      </c>
      <c r="D262" t="s">
        <v>20</v>
      </c>
      <c r="E262" t="s">
        <v>15</v>
      </c>
      <c r="F262" s="2">
        <v>44655</v>
      </c>
      <c r="G262">
        <v>1536079</v>
      </c>
      <c r="H262" s="19">
        <v>335642.48</v>
      </c>
      <c r="I262" s="19" t="str">
        <f>IF(Tabela1[[#This Row],[Bónus]]&gt;=50000,"correcto","por verificar")</f>
        <v>correcto</v>
      </c>
      <c r="J262" s="19">
        <v>124000.93</v>
      </c>
      <c r="K262" s="19" t="str">
        <f>IF(Tabela1[[#This Row],[Desconto]]&lt;=30000,"Por verificar","correcto")</f>
        <v>correcto</v>
      </c>
      <c r="L262" s="19">
        <v>1747720.55</v>
      </c>
      <c r="M262" s="19" t="str">
        <f>IF(Tabela1[[#This Row],[Salário Líquido]]&gt;=500000,"correcto","por verificar")</f>
        <v>correcto</v>
      </c>
      <c r="N262" t="s">
        <v>16</v>
      </c>
    </row>
    <row r="263" spans="1:14" x14ac:dyDescent="0.35">
      <c r="A263" t="s">
        <v>558</v>
      </c>
      <c r="B263" t="s">
        <v>559</v>
      </c>
      <c r="C263" t="s">
        <v>63</v>
      </c>
      <c r="D263" t="s">
        <v>25</v>
      </c>
      <c r="E263" t="s">
        <v>77</v>
      </c>
      <c r="F263" s="2">
        <v>45581</v>
      </c>
      <c r="G263">
        <v>1230047</v>
      </c>
      <c r="H263" s="19">
        <v>221686.45</v>
      </c>
      <c r="I263" s="19" t="str">
        <f>IF(Tabela1[[#This Row],[Bónus]]&gt;=50000,"correcto","por verificar")</f>
        <v>correcto</v>
      </c>
      <c r="J263" s="19">
        <v>121807.02</v>
      </c>
      <c r="K263" s="19" t="str">
        <f>IF(Tabela1[[#This Row],[Desconto]]&lt;=30000,"Por verificar","correcto")</f>
        <v>correcto</v>
      </c>
      <c r="L263" s="19">
        <v>1329926.43</v>
      </c>
      <c r="M263" s="19" t="str">
        <f>IF(Tabela1[[#This Row],[Salário Líquido]]&gt;=500000,"correcto","por verificar")</f>
        <v>correcto</v>
      </c>
      <c r="N263" t="s">
        <v>16</v>
      </c>
    </row>
    <row r="264" spans="1:14" x14ac:dyDescent="0.35">
      <c r="A264" t="s">
        <v>560</v>
      </c>
      <c r="B264" t="s">
        <v>561</v>
      </c>
      <c r="C264" t="s">
        <v>63</v>
      </c>
      <c r="D264" t="s">
        <v>14</v>
      </c>
      <c r="E264" t="s">
        <v>26</v>
      </c>
      <c r="F264" s="2">
        <v>45171</v>
      </c>
      <c r="G264">
        <v>2408317</v>
      </c>
      <c r="H264" s="19">
        <v>259940.09</v>
      </c>
      <c r="I264" s="19" t="str">
        <f>IF(Tabela1[[#This Row],[Bónus]]&gt;=50000,"correcto","por verificar")</f>
        <v>correcto</v>
      </c>
      <c r="J264" s="19">
        <v>279602.03000000003</v>
      </c>
      <c r="K264" s="19" t="str">
        <f>IF(Tabela1[[#This Row],[Desconto]]&lt;=30000,"Por verificar","correcto")</f>
        <v>correcto</v>
      </c>
      <c r="L264" s="19">
        <v>2388655.06</v>
      </c>
      <c r="M264" s="19" t="str">
        <f>IF(Tabela1[[#This Row],[Salário Líquido]]&gt;=500000,"correcto","por verificar")</f>
        <v>correcto</v>
      </c>
      <c r="N264" t="s">
        <v>27</v>
      </c>
    </row>
    <row r="265" spans="1:14" x14ac:dyDescent="0.35">
      <c r="A265" t="s">
        <v>562</v>
      </c>
      <c r="B265" t="s">
        <v>563</v>
      </c>
      <c r="C265" t="s">
        <v>63</v>
      </c>
      <c r="D265" t="s">
        <v>35</v>
      </c>
      <c r="E265" t="s">
        <v>88</v>
      </c>
      <c r="F265" s="2">
        <v>44979</v>
      </c>
      <c r="G265">
        <v>426071</v>
      </c>
      <c r="H265" s="19">
        <v>79983.199999999997</v>
      </c>
      <c r="I265" s="19" t="str">
        <f>IF(Tabela1[[#This Row],[Bónus]]&gt;=50000,"correcto","por verificar")</f>
        <v>correcto</v>
      </c>
      <c r="J265" s="19">
        <v>18843.939999999999</v>
      </c>
      <c r="K265" s="19" t="str">
        <f>IF(Tabela1[[#This Row],[Desconto]]&lt;=30000,"Por verificar","correcto")</f>
        <v>Por verificar</v>
      </c>
      <c r="L265" s="19">
        <v>487210.26</v>
      </c>
      <c r="M265" s="19" t="str">
        <f>IF(Tabela1[[#This Row],[Salário Líquido]]&gt;=500000,"correcto","por verificar")</f>
        <v>por verificar</v>
      </c>
      <c r="N265" t="s">
        <v>27</v>
      </c>
    </row>
    <row r="266" spans="1:14" x14ac:dyDescent="0.35">
      <c r="A266" t="s">
        <v>564</v>
      </c>
      <c r="B266" t="s">
        <v>565</v>
      </c>
      <c r="C266" t="s">
        <v>24</v>
      </c>
      <c r="D266" t="s">
        <v>40</v>
      </c>
      <c r="E266" t="s">
        <v>26</v>
      </c>
      <c r="F266" s="2">
        <v>44829</v>
      </c>
      <c r="G266">
        <v>722590</v>
      </c>
      <c r="H266" s="19">
        <v>81303.3</v>
      </c>
      <c r="I266" s="19" t="str">
        <f>IF(Tabela1[[#This Row],[Bónus]]&gt;=50000,"correcto","por verificar")</f>
        <v>correcto</v>
      </c>
      <c r="J266" s="19">
        <v>68395.070000000007</v>
      </c>
      <c r="K266" s="19" t="str">
        <f>IF(Tabela1[[#This Row],[Desconto]]&lt;=30000,"Por verificar","correcto")</f>
        <v>correcto</v>
      </c>
      <c r="L266" s="19">
        <v>735498.23</v>
      </c>
      <c r="M266" s="19" t="str">
        <f>IF(Tabela1[[#This Row],[Salário Líquido]]&gt;=500000,"correcto","por verificar")</f>
        <v>correcto</v>
      </c>
      <c r="N266" t="s">
        <v>27</v>
      </c>
    </row>
    <row r="267" spans="1:14" x14ac:dyDescent="0.35">
      <c r="A267" t="s">
        <v>566</v>
      </c>
      <c r="B267" t="s">
        <v>567</v>
      </c>
      <c r="C267" t="s">
        <v>63</v>
      </c>
      <c r="D267" t="s">
        <v>20</v>
      </c>
      <c r="E267" t="s">
        <v>72</v>
      </c>
      <c r="F267" s="2">
        <v>45482</v>
      </c>
      <c r="G267">
        <v>2279983</v>
      </c>
      <c r="H267" s="19">
        <v>370110.19</v>
      </c>
      <c r="I267" s="19" t="str">
        <f>IF(Tabela1[[#This Row],[Bónus]]&gt;=50000,"correcto","por verificar")</f>
        <v>correcto</v>
      </c>
      <c r="J267" s="19">
        <v>133881.57999999999</v>
      </c>
      <c r="K267" s="19" t="str">
        <f>IF(Tabela1[[#This Row],[Desconto]]&lt;=30000,"Por verificar","correcto")</f>
        <v>correcto</v>
      </c>
      <c r="L267" s="19">
        <v>2516211.61</v>
      </c>
      <c r="M267" s="19" t="str">
        <f>IF(Tabela1[[#This Row],[Salário Líquido]]&gt;=500000,"correcto","por verificar")</f>
        <v>correcto</v>
      </c>
      <c r="N267" t="s">
        <v>45</v>
      </c>
    </row>
    <row r="268" spans="1:14" x14ac:dyDescent="0.35">
      <c r="A268" t="s">
        <v>568</v>
      </c>
      <c r="B268" t="s">
        <v>569</v>
      </c>
      <c r="C268" t="s">
        <v>63</v>
      </c>
      <c r="D268" t="s">
        <v>25</v>
      </c>
      <c r="E268" t="s">
        <v>26</v>
      </c>
      <c r="F268" s="2">
        <v>45070</v>
      </c>
      <c r="G268">
        <v>710883</v>
      </c>
      <c r="H268" s="19">
        <v>49308.5</v>
      </c>
      <c r="I268" s="19" t="str">
        <f>IF(Tabela1[[#This Row],[Bónus]]&gt;=50000,"correcto","por verificar")</f>
        <v>por verificar</v>
      </c>
      <c r="J268" s="19">
        <v>39894.1</v>
      </c>
      <c r="K268" s="19" t="str">
        <f>IF(Tabela1[[#This Row],[Desconto]]&lt;=30000,"Por verificar","correcto")</f>
        <v>correcto</v>
      </c>
      <c r="L268" s="19">
        <v>720297.4</v>
      </c>
      <c r="M268" s="19" t="str">
        <f>IF(Tabela1[[#This Row],[Salário Líquido]]&gt;=500000,"correcto","por verificar")</f>
        <v>correcto</v>
      </c>
      <c r="N268" t="s">
        <v>45</v>
      </c>
    </row>
    <row r="269" spans="1:14" x14ac:dyDescent="0.35">
      <c r="A269" t="s">
        <v>570</v>
      </c>
      <c r="B269" t="s">
        <v>571</v>
      </c>
      <c r="C269" t="s">
        <v>13</v>
      </c>
      <c r="D269" t="s">
        <v>14</v>
      </c>
      <c r="E269" t="s">
        <v>88</v>
      </c>
      <c r="F269" s="2">
        <v>45616</v>
      </c>
      <c r="G269">
        <v>1493365</v>
      </c>
      <c r="H269" s="19">
        <v>353554.62</v>
      </c>
      <c r="I269" s="19" t="str">
        <f>IF(Tabela1[[#This Row],[Bónus]]&gt;=50000,"correcto","por verificar")</f>
        <v>correcto</v>
      </c>
      <c r="J269" s="19">
        <v>141722.67000000001</v>
      </c>
      <c r="K269" s="19" t="str">
        <f>IF(Tabela1[[#This Row],[Desconto]]&lt;=30000,"Por verificar","correcto")</f>
        <v>correcto</v>
      </c>
      <c r="L269" s="19">
        <v>1705196.95</v>
      </c>
      <c r="M269" s="19" t="str">
        <f>IF(Tabela1[[#This Row],[Salário Líquido]]&gt;=500000,"correcto","por verificar")</f>
        <v>correcto</v>
      </c>
      <c r="N269" t="s">
        <v>27</v>
      </c>
    </row>
    <row r="270" spans="1:14" x14ac:dyDescent="0.35">
      <c r="A270" t="s">
        <v>572</v>
      </c>
      <c r="B270" t="s">
        <v>573</v>
      </c>
      <c r="C270" t="s">
        <v>19</v>
      </c>
      <c r="D270" t="s">
        <v>35</v>
      </c>
      <c r="E270" t="s">
        <v>36</v>
      </c>
      <c r="F270" s="2">
        <v>45498</v>
      </c>
      <c r="G270">
        <v>2211949</v>
      </c>
      <c r="H270" s="19">
        <v>499491.56</v>
      </c>
      <c r="I270" s="19" t="str">
        <f>IF(Tabela1[[#This Row],[Bónus]]&gt;=50000,"correcto","por verificar")</f>
        <v>correcto</v>
      </c>
      <c r="J270" s="19">
        <v>165372.66</v>
      </c>
      <c r="K270" s="19" t="str">
        <f>IF(Tabela1[[#This Row],[Desconto]]&lt;=30000,"Por verificar","correcto")</f>
        <v>correcto</v>
      </c>
      <c r="L270" s="19">
        <v>2546067.9</v>
      </c>
      <c r="M270" s="19" t="str">
        <f>IF(Tabela1[[#This Row],[Salário Líquido]]&gt;=500000,"correcto","por verificar")</f>
        <v>correcto</v>
      </c>
      <c r="N270" t="s">
        <v>45</v>
      </c>
    </row>
    <row r="271" spans="1:14" x14ac:dyDescent="0.35">
      <c r="A271" t="s">
        <v>574</v>
      </c>
      <c r="B271" t="s">
        <v>575</v>
      </c>
      <c r="C271" t="s">
        <v>44</v>
      </c>
      <c r="D271" t="s">
        <v>35</v>
      </c>
      <c r="E271" t="s">
        <v>41</v>
      </c>
      <c r="F271" s="2">
        <v>46369</v>
      </c>
      <c r="G271">
        <v>1022381</v>
      </c>
      <c r="H271" s="19">
        <v>170399.04</v>
      </c>
      <c r="I271" s="19" t="str">
        <f>IF(Tabela1[[#This Row],[Bónus]]&gt;=50000,"correcto","por verificar")</f>
        <v>correcto</v>
      </c>
      <c r="J271" s="19">
        <v>35148.67</v>
      </c>
      <c r="K271" s="19" t="str">
        <f>IF(Tabela1[[#This Row],[Desconto]]&lt;=30000,"Por verificar","correcto")</f>
        <v>correcto</v>
      </c>
      <c r="L271" s="19">
        <v>1157631.3700000001</v>
      </c>
      <c r="M271" s="19" t="str">
        <f>IF(Tabela1[[#This Row],[Salário Líquido]]&gt;=500000,"correcto","por verificar")</f>
        <v>correcto</v>
      </c>
      <c r="N271" t="s">
        <v>16</v>
      </c>
    </row>
    <row r="272" spans="1:14" x14ac:dyDescent="0.35">
      <c r="A272" t="s">
        <v>576</v>
      </c>
      <c r="B272" t="s">
        <v>577</v>
      </c>
      <c r="C272" t="s">
        <v>19</v>
      </c>
      <c r="D272" t="s">
        <v>35</v>
      </c>
      <c r="E272" t="s">
        <v>51</v>
      </c>
      <c r="F272" s="2">
        <v>46369</v>
      </c>
      <c r="G272">
        <v>2093784</v>
      </c>
      <c r="H272" s="19">
        <v>224348.28</v>
      </c>
      <c r="I272" s="19" t="str">
        <f>IF(Tabela1[[#This Row],[Bónus]]&gt;=50000,"correcto","por verificar")</f>
        <v>correcto</v>
      </c>
      <c r="J272" s="19">
        <v>64354.47</v>
      </c>
      <c r="K272" s="19" t="str">
        <f>IF(Tabela1[[#This Row],[Desconto]]&lt;=30000,"Por verificar","correcto")</f>
        <v>correcto</v>
      </c>
      <c r="L272" s="19">
        <v>2253777.81</v>
      </c>
      <c r="M272" s="19" t="str">
        <f>IF(Tabela1[[#This Row],[Salário Líquido]]&gt;=500000,"correcto","por verificar")</f>
        <v>correcto</v>
      </c>
      <c r="N272" t="s">
        <v>27</v>
      </c>
    </row>
    <row r="273" spans="1:14" x14ac:dyDescent="0.35">
      <c r="A273" t="s">
        <v>578</v>
      </c>
      <c r="B273" t="s">
        <v>579</v>
      </c>
      <c r="C273" t="s">
        <v>63</v>
      </c>
      <c r="D273" t="s">
        <v>20</v>
      </c>
      <c r="E273" t="s">
        <v>41</v>
      </c>
      <c r="F273" s="2">
        <v>45712</v>
      </c>
      <c r="G273">
        <v>1654182</v>
      </c>
      <c r="H273" s="19">
        <v>335420.71999999997</v>
      </c>
      <c r="I273" s="19" t="str">
        <f>IF(Tabela1[[#This Row],[Bónus]]&gt;=50000,"correcto","por verificar")</f>
        <v>correcto</v>
      </c>
      <c r="J273" s="19">
        <v>104104.89</v>
      </c>
      <c r="K273" s="19" t="str">
        <f>IF(Tabela1[[#This Row],[Desconto]]&lt;=30000,"Por verificar","correcto")</f>
        <v>correcto</v>
      </c>
      <c r="L273" s="19">
        <v>1885497.83</v>
      </c>
      <c r="M273" s="19" t="str">
        <f>IF(Tabela1[[#This Row],[Salário Líquido]]&gt;=500000,"correcto","por verificar")</f>
        <v>correcto</v>
      </c>
      <c r="N273" t="s">
        <v>45</v>
      </c>
    </row>
    <row r="274" spans="1:14" x14ac:dyDescent="0.35">
      <c r="A274" t="s">
        <v>580</v>
      </c>
      <c r="B274" t="s">
        <v>581</v>
      </c>
      <c r="C274" t="s">
        <v>39</v>
      </c>
      <c r="D274" t="s">
        <v>35</v>
      </c>
      <c r="E274" t="s">
        <v>36</v>
      </c>
      <c r="F274" s="2">
        <v>45134</v>
      </c>
      <c r="G274">
        <v>1640534</v>
      </c>
      <c r="H274" s="19">
        <v>263542.90000000002</v>
      </c>
      <c r="I274" s="19" t="str">
        <f>IF(Tabela1[[#This Row],[Bónus]]&gt;=50000,"correcto","por verificar")</f>
        <v>correcto</v>
      </c>
      <c r="J274" s="19">
        <v>60072.84</v>
      </c>
      <c r="K274" s="19" t="str">
        <f>IF(Tabela1[[#This Row],[Desconto]]&lt;=30000,"Por verificar","correcto")</f>
        <v>correcto</v>
      </c>
      <c r="L274" s="19">
        <v>1844004.06</v>
      </c>
      <c r="M274" s="19" t="str">
        <f>IF(Tabela1[[#This Row],[Salário Líquido]]&gt;=500000,"correcto","por verificar")</f>
        <v>correcto</v>
      </c>
      <c r="N274" t="s">
        <v>16</v>
      </c>
    </row>
    <row r="275" spans="1:14" x14ac:dyDescent="0.35">
      <c r="A275" t="s">
        <v>582</v>
      </c>
      <c r="B275" t="s">
        <v>583</v>
      </c>
      <c r="C275" t="s">
        <v>44</v>
      </c>
      <c r="D275" t="s">
        <v>40</v>
      </c>
      <c r="E275" t="s">
        <v>36</v>
      </c>
      <c r="F275" s="2">
        <v>45310</v>
      </c>
      <c r="G275">
        <v>618329</v>
      </c>
      <c r="H275" s="19">
        <v>46827.71</v>
      </c>
      <c r="I275" s="19" t="str">
        <f>IF(Tabela1[[#This Row],[Bónus]]&gt;=50000,"correcto","por verificar")</f>
        <v>por verificar</v>
      </c>
      <c r="J275" s="19">
        <v>23930.16</v>
      </c>
      <c r="K275" s="19" t="str">
        <f>IF(Tabela1[[#This Row],[Desconto]]&lt;=30000,"Por verificar","correcto")</f>
        <v>Por verificar</v>
      </c>
      <c r="L275" s="19">
        <v>641226.54999999993</v>
      </c>
      <c r="M275" s="19" t="str">
        <f>IF(Tabela1[[#This Row],[Salário Líquido]]&gt;=500000,"correcto","por verificar")</f>
        <v>correcto</v>
      </c>
      <c r="N275" t="s">
        <v>45</v>
      </c>
    </row>
    <row r="276" spans="1:14" x14ac:dyDescent="0.35">
      <c r="A276" t="s">
        <v>584</v>
      </c>
      <c r="B276" t="s">
        <v>585</v>
      </c>
      <c r="C276" t="s">
        <v>19</v>
      </c>
      <c r="D276" t="s">
        <v>20</v>
      </c>
      <c r="E276" t="s">
        <v>77</v>
      </c>
      <c r="F276" s="2">
        <v>44842</v>
      </c>
      <c r="G276">
        <v>954909</v>
      </c>
      <c r="H276" s="19">
        <v>162804.91</v>
      </c>
      <c r="I276" s="19" t="str">
        <f>IF(Tabela1[[#This Row],[Bónus]]&gt;=50000,"correcto","por verificar")</f>
        <v>correcto</v>
      </c>
      <c r="J276" s="19">
        <v>63143.199999999997</v>
      </c>
      <c r="K276" s="19" t="str">
        <f>IF(Tabela1[[#This Row],[Desconto]]&lt;=30000,"Por verificar","correcto")</f>
        <v>correcto</v>
      </c>
      <c r="L276" s="19">
        <v>1054570.71</v>
      </c>
      <c r="M276" s="19" t="str">
        <f>IF(Tabela1[[#This Row],[Salário Líquido]]&gt;=500000,"correcto","por verificar")</f>
        <v>correcto</v>
      </c>
      <c r="N276" t="s">
        <v>16</v>
      </c>
    </row>
    <row r="277" spans="1:14" x14ac:dyDescent="0.35">
      <c r="A277" t="s">
        <v>586</v>
      </c>
      <c r="B277" t="s">
        <v>587</v>
      </c>
      <c r="C277" t="s">
        <v>13</v>
      </c>
      <c r="D277" t="s">
        <v>25</v>
      </c>
      <c r="E277" t="s">
        <v>36</v>
      </c>
      <c r="F277" s="2">
        <v>44848</v>
      </c>
      <c r="G277">
        <v>1516873</v>
      </c>
      <c r="H277" s="19">
        <v>319746.46999999997</v>
      </c>
      <c r="I277" s="19" t="str">
        <f>IF(Tabela1[[#This Row],[Bónus]]&gt;=50000,"correcto","por verificar")</f>
        <v>correcto</v>
      </c>
      <c r="J277" s="19">
        <v>116404.75</v>
      </c>
      <c r="K277" s="19" t="str">
        <f>IF(Tabela1[[#This Row],[Desconto]]&lt;=30000,"Por verificar","correcto")</f>
        <v>correcto</v>
      </c>
      <c r="L277" s="19">
        <v>1720214.72</v>
      </c>
      <c r="M277" s="19" t="str">
        <f>IF(Tabela1[[#This Row],[Salário Líquido]]&gt;=500000,"correcto","por verificar")</f>
        <v>correcto</v>
      </c>
      <c r="N277" t="s">
        <v>27</v>
      </c>
    </row>
    <row r="278" spans="1:14" x14ac:dyDescent="0.35">
      <c r="A278" t="s">
        <v>588</v>
      </c>
      <c r="B278" t="s">
        <v>589</v>
      </c>
      <c r="C278" t="s">
        <v>24</v>
      </c>
      <c r="D278" t="s">
        <v>40</v>
      </c>
      <c r="E278" t="s">
        <v>41</v>
      </c>
      <c r="F278" s="2">
        <v>45250</v>
      </c>
      <c r="G278">
        <v>1456011</v>
      </c>
      <c r="H278" s="19">
        <v>120121.5</v>
      </c>
      <c r="I278" s="19" t="str">
        <f>IF(Tabela1[[#This Row],[Bónus]]&gt;=50000,"correcto","por verificar")</f>
        <v>correcto</v>
      </c>
      <c r="J278" s="19">
        <v>173491.6</v>
      </c>
      <c r="K278" s="19" t="str">
        <f>IF(Tabela1[[#This Row],[Desconto]]&lt;=30000,"Por verificar","correcto")</f>
        <v>correcto</v>
      </c>
      <c r="L278" s="19">
        <v>1402640.9</v>
      </c>
      <c r="M278" s="19" t="str">
        <f>IF(Tabela1[[#This Row],[Salário Líquido]]&gt;=500000,"correcto","por verificar")</f>
        <v>correcto</v>
      </c>
      <c r="N278" t="s">
        <v>16</v>
      </c>
    </row>
    <row r="279" spans="1:14" x14ac:dyDescent="0.35">
      <c r="A279" t="s">
        <v>590</v>
      </c>
      <c r="B279" t="s">
        <v>591</v>
      </c>
      <c r="C279" t="s">
        <v>44</v>
      </c>
      <c r="D279" t="s">
        <v>35</v>
      </c>
      <c r="E279" t="s">
        <v>77</v>
      </c>
      <c r="F279" s="2">
        <v>45316</v>
      </c>
      <c r="G279">
        <v>2257895</v>
      </c>
      <c r="H279" s="19">
        <v>353288.24</v>
      </c>
      <c r="I279" s="19" t="str">
        <f>IF(Tabela1[[#This Row],[Bónus]]&gt;=50000,"correcto","por verificar")</f>
        <v>correcto</v>
      </c>
      <c r="J279" s="19">
        <v>211760.26</v>
      </c>
      <c r="K279" s="19" t="str">
        <f>IF(Tabela1[[#This Row],[Desconto]]&lt;=30000,"Por verificar","correcto")</f>
        <v>correcto</v>
      </c>
      <c r="L279" s="19">
        <v>2399422.98</v>
      </c>
      <c r="M279" s="19" t="str">
        <f>IF(Tabela1[[#This Row],[Salário Líquido]]&gt;=500000,"correcto","por verificar")</f>
        <v>correcto</v>
      </c>
      <c r="N279" t="s">
        <v>27</v>
      </c>
    </row>
    <row r="280" spans="1:14" x14ac:dyDescent="0.35">
      <c r="A280" t="s">
        <v>592</v>
      </c>
      <c r="B280" t="s">
        <v>593</v>
      </c>
      <c r="C280" t="s">
        <v>30</v>
      </c>
      <c r="D280" t="s">
        <v>54</v>
      </c>
      <c r="E280" t="s">
        <v>77</v>
      </c>
      <c r="F280" s="2">
        <v>45784</v>
      </c>
      <c r="G280">
        <v>579714</v>
      </c>
      <c r="H280" s="19">
        <v>142597.82</v>
      </c>
      <c r="I280" s="19" t="str">
        <f>IF(Tabela1[[#This Row],[Bónus]]&gt;=50000,"correcto","por verificar")</f>
        <v>correcto</v>
      </c>
      <c r="J280" s="19">
        <v>47845.65</v>
      </c>
      <c r="K280" s="19" t="str">
        <f>IF(Tabela1[[#This Row],[Desconto]]&lt;=30000,"Por verificar","correcto")</f>
        <v>correcto</v>
      </c>
      <c r="L280" s="19">
        <v>674466.17</v>
      </c>
      <c r="M280" s="19" t="str">
        <f>IF(Tabela1[[#This Row],[Salário Líquido]]&gt;=500000,"correcto","por verificar")</f>
        <v>correcto</v>
      </c>
      <c r="N280" t="s">
        <v>27</v>
      </c>
    </row>
    <row r="281" spans="1:14" x14ac:dyDescent="0.35">
      <c r="A281" t="s">
        <v>594</v>
      </c>
      <c r="B281" t="s">
        <v>595</v>
      </c>
      <c r="C281" t="s">
        <v>30</v>
      </c>
      <c r="D281" t="s">
        <v>25</v>
      </c>
      <c r="E281" t="s">
        <v>41</v>
      </c>
      <c r="F281" s="2">
        <v>45028</v>
      </c>
      <c r="G281">
        <v>1233715</v>
      </c>
      <c r="H281" s="19">
        <v>300303.67</v>
      </c>
      <c r="I281" s="19" t="str">
        <f>IF(Tabela1[[#This Row],[Bónus]]&gt;=50000,"correcto","por verificar")</f>
        <v>correcto</v>
      </c>
      <c r="J281" s="19">
        <v>123940.69</v>
      </c>
      <c r="K281" s="19" t="str">
        <f>IF(Tabela1[[#This Row],[Desconto]]&lt;=30000,"Por verificar","correcto")</f>
        <v>correcto</v>
      </c>
      <c r="L281" s="19">
        <v>1410077.98</v>
      </c>
      <c r="M281" s="19" t="str">
        <f>IF(Tabela1[[#This Row],[Salário Líquido]]&gt;=500000,"correcto","por verificar")</f>
        <v>correcto</v>
      </c>
      <c r="N281" t="s">
        <v>16</v>
      </c>
    </row>
    <row r="282" spans="1:14" x14ac:dyDescent="0.35">
      <c r="A282" t="s">
        <v>596</v>
      </c>
      <c r="B282" t="s">
        <v>597</v>
      </c>
      <c r="C282" t="s">
        <v>24</v>
      </c>
      <c r="D282" t="s">
        <v>54</v>
      </c>
      <c r="E282" t="s">
        <v>41</v>
      </c>
      <c r="F282" s="2">
        <v>46148</v>
      </c>
      <c r="G282">
        <v>335399</v>
      </c>
      <c r="H282" s="19">
        <v>55912.57</v>
      </c>
      <c r="I282" s="19" t="str">
        <f>IF(Tabela1[[#This Row],[Bónus]]&gt;=50000,"correcto","por verificar")</f>
        <v>correcto</v>
      </c>
      <c r="J282" s="19">
        <v>15209.03</v>
      </c>
      <c r="K282" s="19" t="str">
        <f>IF(Tabela1[[#This Row],[Desconto]]&lt;=30000,"Por verificar","correcto")</f>
        <v>Por verificar</v>
      </c>
      <c r="L282" s="19">
        <v>376102.54</v>
      </c>
      <c r="M282" s="19" t="str">
        <f>IF(Tabela1[[#This Row],[Salário Líquido]]&gt;=500000,"correcto","por verificar")</f>
        <v>por verificar</v>
      </c>
      <c r="N282" t="s">
        <v>27</v>
      </c>
    </row>
    <row r="283" spans="1:14" x14ac:dyDescent="0.35">
      <c r="A283" t="s">
        <v>598</v>
      </c>
      <c r="B283" t="s">
        <v>599</v>
      </c>
      <c r="C283" t="s">
        <v>39</v>
      </c>
      <c r="D283" t="s">
        <v>54</v>
      </c>
      <c r="E283" t="s">
        <v>15</v>
      </c>
      <c r="F283" s="2">
        <v>44952</v>
      </c>
      <c r="G283">
        <v>739816</v>
      </c>
      <c r="H283" s="19">
        <v>158566.43</v>
      </c>
      <c r="I283" s="19" t="str">
        <f>IF(Tabela1[[#This Row],[Bónus]]&gt;=50000,"correcto","por verificar")</f>
        <v>correcto</v>
      </c>
      <c r="J283" s="19">
        <v>38320.76</v>
      </c>
      <c r="K283" s="19" t="str">
        <f>IF(Tabela1[[#This Row],[Desconto]]&lt;=30000,"Por verificar","correcto")</f>
        <v>correcto</v>
      </c>
      <c r="L283" s="19">
        <v>860061.66999999993</v>
      </c>
      <c r="M283" s="19" t="str">
        <f>IF(Tabela1[[#This Row],[Salário Líquido]]&gt;=500000,"correcto","por verificar")</f>
        <v>correcto</v>
      </c>
      <c r="N283" t="s">
        <v>45</v>
      </c>
    </row>
    <row r="284" spans="1:14" x14ac:dyDescent="0.35">
      <c r="A284" t="s">
        <v>600</v>
      </c>
      <c r="B284" t="s">
        <v>601</v>
      </c>
      <c r="C284" t="s">
        <v>24</v>
      </c>
      <c r="D284" t="s">
        <v>14</v>
      </c>
      <c r="E284" t="s">
        <v>26</v>
      </c>
      <c r="F284" s="2">
        <v>45589</v>
      </c>
      <c r="G284">
        <v>1969849</v>
      </c>
      <c r="H284" s="19">
        <v>222077.81</v>
      </c>
      <c r="I284" s="19" t="str">
        <f>IF(Tabela1[[#This Row],[Bónus]]&gt;=50000,"correcto","por verificar")</f>
        <v>correcto</v>
      </c>
      <c r="J284" s="19">
        <v>85942.17</v>
      </c>
      <c r="K284" s="19" t="str">
        <f>IF(Tabela1[[#This Row],[Desconto]]&lt;=30000,"Por verificar","correcto")</f>
        <v>correcto</v>
      </c>
      <c r="L284" s="19">
        <v>2105984.64</v>
      </c>
      <c r="M284" s="19" t="str">
        <f>IF(Tabela1[[#This Row],[Salário Líquido]]&gt;=500000,"correcto","por verificar")</f>
        <v>correcto</v>
      </c>
      <c r="N284" t="s">
        <v>16</v>
      </c>
    </row>
    <row r="285" spans="1:14" x14ac:dyDescent="0.35">
      <c r="A285" t="s">
        <v>602</v>
      </c>
      <c r="B285" t="s">
        <v>603</v>
      </c>
      <c r="C285" t="s">
        <v>19</v>
      </c>
      <c r="D285" t="s">
        <v>54</v>
      </c>
      <c r="E285" t="s">
        <v>51</v>
      </c>
      <c r="F285" s="2">
        <v>45624</v>
      </c>
      <c r="G285">
        <v>2098056</v>
      </c>
      <c r="H285" s="19">
        <v>471146.89</v>
      </c>
      <c r="I285" s="19" t="str">
        <f>IF(Tabela1[[#This Row],[Bónus]]&gt;=50000,"correcto","por verificar")</f>
        <v>correcto</v>
      </c>
      <c r="J285" s="19">
        <v>201886.18</v>
      </c>
      <c r="K285" s="19" t="str">
        <f>IF(Tabela1[[#This Row],[Desconto]]&lt;=30000,"Por verificar","correcto")</f>
        <v>correcto</v>
      </c>
      <c r="L285" s="19">
        <v>2367316.71</v>
      </c>
      <c r="M285" s="19" t="str">
        <f>IF(Tabela1[[#This Row],[Salário Líquido]]&gt;=500000,"correcto","por verificar")</f>
        <v>correcto</v>
      </c>
      <c r="N285" t="s">
        <v>45</v>
      </c>
    </row>
    <row r="286" spans="1:14" x14ac:dyDescent="0.35">
      <c r="A286" t="s">
        <v>604</v>
      </c>
      <c r="B286" t="s">
        <v>605</v>
      </c>
      <c r="C286" t="s">
        <v>39</v>
      </c>
      <c r="D286" t="s">
        <v>35</v>
      </c>
      <c r="E286" t="s">
        <v>48</v>
      </c>
      <c r="F286" s="2">
        <v>44916</v>
      </c>
      <c r="G286">
        <v>2472529</v>
      </c>
      <c r="H286" s="19">
        <v>284365.33</v>
      </c>
      <c r="I286" s="19" t="str">
        <f>IF(Tabela1[[#This Row],[Bónus]]&gt;=50000,"correcto","por verificar")</f>
        <v>correcto</v>
      </c>
      <c r="J286" s="19">
        <v>221539.62</v>
      </c>
      <c r="K286" s="19" t="str">
        <f>IF(Tabela1[[#This Row],[Desconto]]&lt;=30000,"Por verificar","correcto")</f>
        <v>correcto</v>
      </c>
      <c r="L286" s="19">
        <v>2535354.71</v>
      </c>
      <c r="M286" s="19" t="str">
        <f>IF(Tabela1[[#This Row],[Salário Líquido]]&gt;=500000,"correcto","por verificar")</f>
        <v>correcto</v>
      </c>
      <c r="N286" t="s">
        <v>27</v>
      </c>
    </row>
    <row r="287" spans="1:14" x14ac:dyDescent="0.35">
      <c r="A287" t="s">
        <v>606</v>
      </c>
      <c r="B287" t="s">
        <v>607</v>
      </c>
      <c r="C287" t="s">
        <v>30</v>
      </c>
      <c r="D287" t="s">
        <v>54</v>
      </c>
      <c r="E287" t="s">
        <v>72</v>
      </c>
      <c r="F287" s="2">
        <v>45811</v>
      </c>
      <c r="G287">
        <v>2356096</v>
      </c>
      <c r="H287" s="19">
        <v>279115.86</v>
      </c>
      <c r="I287" s="19" t="str">
        <f>IF(Tabela1[[#This Row],[Bónus]]&gt;=50000,"correcto","por verificar")</f>
        <v>correcto</v>
      </c>
      <c r="J287" s="19">
        <v>145808.95000000001</v>
      </c>
      <c r="K287" s="19" t="str">
        <f>IF(Tabela1[[#This Row],[Desconto]]&lt;=30000,"Por verificar","correcto")</f>
        <v>correcto</v>
      </c>
      <c r="L287" s="19">
        <v>2489402.91</v>
      </c>
      <c r="M287" s="19" t="str">
        <f>IF(Tabela1[[#This Row],[Salário Líquido]]&gt;=500000,"correcto","por verificar")</f>
        <v>correcto</v>
      </c>
      <c r="N287" t="s">
        <v>27</v>
      </c>
    </row>
    <row r="288" spans="1:14" x14ac:dyDescent="0.35">
      <c r="A288" t="s">
        <v>608</v>
      </c>
      <c r="B288" t="s">
        <v>609</v>
      </c>
      <c r="C288" t="s">
        <v>44</v>
      </c>
      <c r="D288" t="s">
        <v>14</v>
      </c>
      <c r="E288" t="s">
        <v>72</v>
      </c>
      <c r="F288" s="2">
        <v>46141</v>
      </c>
      <c r="G288">
        <v>926414</v>
      </c>
      <c r="H288" s="19">
        <v>223698.85</v>
      </c>
      <c r="I288" s="19" t="str">
        <f>IF(Tabela1[[#This Row],[Bónus]]&gt;=50000,"correcto","por verificar")</f>
        <v>correcto</v>
      </c>
      <c r="J288" s="19">
        <v>51055.21</v>
      </c>
      <c r="K288" s="19" t="str">
        <f>IF(Tabela1[[#This Row],[Desconto]]&lt;=30000,"Por verificar","correcto")</f>
        <v>correcto</v>
      </c>
      <c r="L288" s="19">
        <v>1099057.6399999999</v>
      </c>
      <c r="M288" s="19" t="str">
        <f>IF(Tabela1[[#This Row],[Salário Líquido]]&gt;=500000,"correcto","por verificar")</f>
        <v>correcto</v>
      </c>
      <c r="N288" t="s">
        <v>27</v>
      </c>
    </row>
    <row r="289" spans="1:14" x14ac:dyDescent="0.35">
      <c r="A289" t="s">
        <v>610</v>
      </c>
      <c r="B289" t="s">
        <v>611</v>
      </c>
      <c r="C289" t="s">
        <v>63</v>
      </c>
      <c r="D289" t="s">
        <v>40</v>
      </c>
      <c r="E289" t="s">
        <v>36</v>
      </c>
      <c r="F289" s="2">
        <v>46190</v>
      </c>
      <c r="G289">
        <v>989386</v>
      </c>
      <c r="H289" s="19">
        <v>186052.04</v>
      </c>
      <c r="I289" s="19" t="str">
        <f>IF(Tabela1[[#This Row],[Bónus]]&gt;=50000,"correcto","por verificar")</f>
        <v>correcto</v>
      </c>
      <c r="J289" s="19">
        <v>73224.73</v>
      </c>
      <c r="K289" s="19" t="str">
        <f>IF(Tabela1[[#This Row],[Desconto]]&lt;=30000,"Por verificar","correcto")</f>
        <v>correcto</v>
      </c>
      <c r="L289" s="19">
        <v>1102213.31</v>
      </c>
      <c r="M289" s="19" t="str">
        <f>IF(Tabela1[[#This Row],[Salário Líquido]]&gt;=500000,"correcto","por verificar")</f>
        <v>correcto</v>
      </c>
      <c r="N289" t="s">
        <v>16</v>
      </c>
    </row>
    <row r="290" spans="1:14" x14ac:dyDescent="0.35">
      <c r="A290" t="s">
        <v>612</v>
      </c>
      <c r="B290" t="s">
        <v>613</v>
      </c>
      <c r="C290" t="s">
        <v>39</v>
      </c>
      <c r="D290" t="s">
        <v>35</v>
      </c>
      <c r="E290" t="s">
        <v>26</v>
      </c>
      <c r="F290" s="2">
        <v>46238</v>
      </c>
      <c r="G290">
        <v>1266964</v>
      </c>
      <c r="H290" s="19">
        <v>136271.96</v>
      </c>
      <c r="I290" s="19" t="str">
        <f>IF(Tabela1[[#This Row],[Bónus]]&gt;=50000,"correcto","por verificar")</f>
        <v>correcto</v>
      </c>
      <c r="J290" s="19">
        <v>103400.62</v>
      </c>
      <c r="K290" s="19" t="str">
        <f>IF(Tabela1[[#This Row],[Desconto]]&lt;=30000,"Por verificar","correcto")</f>
        <v>correcto</v>
      </c>
      <c r="L290" s="19">
        <v>1299835.3400000001</v>
      </c>
      <c r="M290" s="19" t="str">
        <f>IF(Tabela1[[#This Row],[Salário Líquido]]&gt;=500000,"correcto","por verificar")</f>
        <v>correcto</v>
      </c>
      <c r="N290" t="s">
        <v>27</v>
      </c>
    </row>
    <row r="291" spans="1:14" x14ac:dyDescent="0.35">
      <c r="A291" t="s">
        <v>614</v>
      </c>
      <c r="B291" t="s">
        <v>615</v>
      </c>
      <c r="C291" t="s">
        <v>24</v>
      </c>
      <c r="D291" t="s">
        <v>20</v>
      </c>
      <c r="E291" t="s">
        <v>48</v>
      </c>
      <c r="F291" s="2">
        <v>45467</v>
      </c>
      <c r="G291">
        <v>734365</v>
      </c>
      <c r="H291" s="19">
        <v>79377.899999999994</v>
      </c>
      <c r="I291" s="19" t="str">
        <f>IF(Tabela1[[#This Row],[Bónus]]&gt;=50000,"correcto","por verificar")</f>
        <v>correcto</v>
      </c>
      <c r="J291" s="19">
        <v>41041.26</v>
      </c>
      <c r="K291" s="19" t="str">
        <f>IF(Tabela1[[#This Row],[Desconto]]&lt;=30000,"Por verificar","correcto")</f>
        <v>correcto</v>
      </c>
      <c r="L291" s="19">
        <v>772701.64</v>
      </c>
      <c r="M291" s="19" t="str">
        <f>IF(Tabela1[[#This Row],[Salário Líquido]]&gt;=500000,"correcto","por verificar")</f>
        <v>correcto</v>
      </c>
      <c r="N291" t="s">
        <v>16</v>
      </c>
    </row>
    <row r="292" spans="1:14" x14ac:dyDescent="0.35">
      <c r="A292" t="s">
        <v>616</v>
      </c>
      <c r="B292" t="s">
        <v>617</v>
      </c>
      <c r="C292" t="s">
        <v>30</v>
      </c>
      <c r="D292" t="s">
        <v>25</v>
      </c>
      <c r="E292" t="s">
        <v>72</v>
      </c>
      <c r="F292" s="2">
        <v>45713</v>
      </c>
      <c r="G292">
        <v>1195603</v>
      </c>
      <c r="H292" s="19">
        <v>238484.18</v>
      </c>
      <c r="I292" s="19" t="str">
        <f>IF(Tabela1[[#This Row],[Bónus]]&gt;=50000,"correcto","por verificar")</f>
        <v>correcto</v>
      </c>
      <c r="J292" s="19">
        <v>58893.98</v>
      </c>
      <c r="K292" s="19" t="str">
        <f>IF(Tabela1[[#This Row],[Desconto]]&lt;=30000,"Por verificar","correcto")</f>
        <v>correcto</v>
      </c>
      <c r="L292" s="19">
        <v>1375193.2</v>
      </c>
      <c r="M292" s="19" t="str">
        <f>IF(Tabela1[[#This Row],[Salário Líquido]]&gt;=500000,"correcto","por verificar")</f>
        <v>correcto</v>
      </c>
      <c r="N292" t="s">
        <v>16</v>
      </c>
    </row>
    <row r="293" spans="1:14" x14ac:dyDescent="0.35">
      <c r="A293" t="s">
        <v>618</v>
      </c>
      <c r="B293" t="s">
        <v>619</v>
      </c>
      <c r="C293" t="s">
        <v>39</v>
      </c>
      <c r="D293" t="s">
        <v>14</v>
      </c>
      <c r="E293" t="s">
        <v>21</v>
      </c>
      <c r="F293" s="2">
        <v>44665</v>
      </c>
      <c r="G293">
        <v>1259263</v>
      </c>
      <c r="H293" s="19">
        <v>97535.7</v>
      </c>
      <c r="I293" s="19" t="str">
        <f>IF(Tabela1[[#This Row],[Bónus]]&gt;=50000,"correcto","por verificar")</f>
        <v>correcto</v>
      </c>
      <c r="J293" s="19">
        <v>107554.83</v>
      </c>
      <c r="K293" s="19" t="str">
        <f>IF(Tabela1[[#This Row],[Desconto]]&lt;=30000,"Por verificar","correcto")</f>
        <v>correcto</v>
      </c>
      <c r="L293" s="19">
        <v>1249243.8700000001</v>
      </c>
      <c r="M293" s="19" t="str">
        <f>IF(Tabela1[[#This Row],[Salário Líquido]]&gt;=500000,"correcto","por verificar")</f>
        <v>correcto</v>
      </c>
      <c r="N293" t="s">
        <v>16</v>
      </c>
    </row>
    <row r="294" spans="1:14" x14ac:dyDescent="0.35">
      <c r="A294" t="s">
        <v>620</v>
      </c>
      <c r="B294" t="s">
        <v>621</v>
      </c>
      <c r="C294" t="s">
        <v>19</v>
      </c>
      <c r="D294" t="s">
        <v>35</v>
      </c>
      <c r="E294" t="s">
        <v>48</v>
      </c>
      <c r="F294" s="2">
        <v>46031</v>
      </c>
      <c r="G294">
        <v>2347349</v>
      </c>
      <c r="H294" s="19">
        <v>223313.47</v>
      </c>
      <c r="I294" s="19" t="str">
        <f>IF(Tabela1[[#This Row],[Bónus]]&gt;=50000,"correcto","por verificar")</f>
        <v>correcto</v>
      </c>
      <c r="J294" s="19">
        <v>119609.85</v>
      </c>
      <c r="K294" s="19" t="str">
        <f>IF(Tabela1[[#This Row],[Desconto]]&lt;=30000,"Por verificar","correcto")</f>
        <v>correcto</v>
      </c>
      <c r="L294" s="19">
        <v>2451052.62</v>
      </c>
      <c r="M294" s="19" t="str">
        <f>IF(Tabela1[[#This Row],[Salário Líquido]]&gt;=500000,"correcto","por verificar")</f>
        <v>correcto</v>
      </c>
      <c r="N294" t="s">
        <v>27</v>
      </c>
    </row>
    <row r="295" spans="1:14" x14ac:dyDescent="0.35">
      <c r="A295" t="s">
        <v>622</v>
      </c>
      <c r="B295" t="s">
        <v>623</v>
      </c>
      <c r="C295" t="s">
        <v>39</v>
      </c>
      <c r="D295" t="s">
        <v>14</v>
      </c>
      <c r="E295" t="s">
        <v>26</v>
      </c>
      <c r="F295" s="2">
        <v>45899</v>
      </c>
      <c r="G295">
        <v>541715</v>
      </c>
      <c r="H295" s="19">
        <v>100888.13</v>
      </c>
      <c r="I295" s="19" t="str">
        <f>IF(Tabela1[[#This Row],[Bónus]]&gt;=50000,"correcto","por verificar")</f>
        <v>correcto</v>
      </c>
      <c r="J295" s="19">
        <v>22953.57</v>
      </c>
      <c r="K295" s="19" t="str">
        <f>IF(Tabela1[[#This Row],[Desconto]]&lt;=30000,"Por verificar","correcto")</f>
        <v>Por verificar</v>
      </c>
      <c r="L295" s="19">
        <v>619649.56000000006</v>
      </c>
      <c r="M295" s="19" t="str">
        <f>IF(Tabela1[[#This Row],[Salário Líquido]]&gt;=500000,"correcto","por verificar")</f>
        <v>correcto</v>
      </c>
      <c r="N295" t="s">
        <v>27</v>
      </c>
    </row>
    <row r="296" spans="1:14" x14ac:dyDescent="0.35">
      <c r="A296" t="s">
        <v>624</v>
      </c>
      <c r="B296" t="s">
        <v>625</v>
      </c>
      <c r="C296" t="s">
        <v>44</v>
      </c>
      <c r="D296" t="s">
        <v>40</v>
      </c>
      <c r="E296" t="s">
        <v>72</v>
      </c>
      <c r="F296" s="2">
        <v>45884</v>
      </c>
      <c r="G296">
        <v>2122564</v>
      </c>
      <c r="H296" s="19">
        <v>382290.2</v>
      </c>
      <c r="I296" s="19" t="str">
        <f>IF(Tabela1[[#This Row],[Bónus]]&gt;=50000,"correcto","por verificar")</f>
        <v>correcto</v>
      </c>
      <c r="J296" s="19">
        <v>208079.18</v>
      </c>
      <c r="K296" s="19" t="str">
        <f>IF(Tabela1[[#This Row],[Desconto]]&lt;=30000,"Por verificar","correcto")</f>
        <v>correcto</v>
      </c>
      <c r="L296" s="19">
        <v>2296775.02</v>
      </c>
      <c r="M296" s="19" t="str">
        <f>IF(Tabela1[[#This Row],[Salário Líquido]]&gt;=500000,"correcto","por verificar")</f>
        <v>correcto</v>
      </c>
      <c r="N296" t="s">
        <v>45</v>
      </c>
    </row>
    <row r="297" spans="1:14" x14ac:dyDescent="0.35">
      <c r="A297" t="s">
        <v>626</v>
      </c>
      <c r="B297" t="s">
        <v>627</v>
      </c>
      <c r="C297" t="s">
        <v>24</v>
      </c>
      <c r="D297" t="s">
        <v>54</v>
      </c>
      <c r="E297" t="s">
        <v>77</v>
      </c>
      <c r="F297" s="2">
        <v>44920</v>
      </c>
      <c r="G297">
        <v>495225</v>
      </c>
      <c r="H297" s="19">
        <v>89368.18</v>
      </c>
      <c r="I297" s="19" t="str">
        <f>IF(Tabela1[[#This Row],[Bónus]]&gt;=50000,"correcto","por verificar")</f>
        <v>correcto</v>
      </c>
      <c r="J297" s="19">
        <v>25206.86</v>
      </c>
      <c r="K297" s="19" t="str">
        <f>IF(Tabela1[[#This Row],[Desconto]]&lt;=30000,"Por verificar","correcto")</f>
        <v>Por verificar</v>
      </c>
      <c r="L297" s="19">
        <v>559386.31999999995</v>
      </c>
      <c r="M297" s="19" t="str">
        <f>IF(Tabela1[[#This Row],[Salário Líquido]]&gt;=500000,"correcto","por verificar")</f>
        <v>correcto</v>
      </c>
      <c r="N297" t="s">
        <v>27</v>
      </c>
    </row>
    <row r="298" spans="1:14" x14ac:dyDescent="0.35">
      <c r="A298" t="s">
        <v>628</v>
      </c>
      <c r="B298" t="s">
        <v>629</v>
      </c>
      <c r="C298" t="s">
        <v>30</v>
      </c>
      <c r="D298" t="s">
        <v>35</v>
      </c>
      <c r="E298" t="s">
        <v>88</v>
      </c>
      <c r="F298" s="2">
        <v>44943</v>
      </c>
      <c r="G298">
        <v>857311</v>
      </c>
      <c r="H298" s="19">
        <v>202997.98</v>
      </c>
      <c r="I298" s="19" t="str">
        <f>IF(Tabela1[[#This Row],[Bónus]]&gt;=50000,"correcto","por verificar")</f>
        <v>correcto</v>
      </c>
      <c r="J298" s="19">
        <v>28523.24</v>
      </c>
      <c r="K298" s="19" t="str">
        <f>IF(Tabela1[[#This Row],[Desconto]]&lt;=30000,"Por verificar","correcto")</f>
        <v>Por verificar</v>
      </c>
      <c r="L298" s="19">
        <v>1031785.74</v>
      </c>
      <c r="M298" s="19" t="str">
        <f>IF(Tabela1[[#This Row],[Salário Líquido]]&gt;=500000,"correcto","por verificar")</f>
        <v>correcto</v>
      </c>
      <c r="N298" t="s">
        <v>16</v>
      </c>
    </row>
    <row r="299" spans="1:14" x14ac:dyDescent="0.35">
      <c r="A299" t="s">
        <v>630</v>
      </c>
      <c r="B299" t="s">
        <v>631</v>
      </c>
      <c r="C299" t="s">
        <v>39</v>
      </c>
      <c r="D299" t="s">
        <v>25</v>
      </c>
      <c r="E299" t="s">
        <v>15</v>
      </c>
      <c r="F299" s="2">
        <v>45248</v>
      </c>
      <c r="G299">
        <v>1334112</v>
      </c>
      <c r="H299" s="19">
        <v>300640.32</v>
      </c>
      <c r="I299" s="19" t="str">
        <f>IF(Tabela1[[#This Row],[Bónus]]&gt;=50000,"correcto","por verificar")</f>
        <v>correcto</v>
      </c>
      <c r="J299" s="19">
        <v>41136.07</v>
      </c>
      <c r="K299" s="19" t="str">
        <f>IF(Tabela1[[#This Row],[Desconto]]&lt;=30000,"Por verificar","correcto")</f>
        <v>correcto</v>
      </c>
      <c r="L299" s="19">
        <v>1593616.25</v>
      </c>
      <c r="M299" s="19" t="str">
        <f>IF(Tabela1[[#This Row],[Salário Líquido]]&gt;=500000,"correcto","por verificar")</f>
        <v>correcto</v>
      </c>
      <c r="N299" t="s">
        <v>27</v>
      </c>
    </row>
    <row r="300" spans="1:14" x14ac:dyDescent="0.35">
      <c r="A300" t="s">
        <v>632</v>
      </c>
      <c r="B300" t="s">
        <v>633</v>
      </c>
      <c r="C300" t="s">
        <v>63</v>
      </c>
      <c r="D300" t="s">
        <v>14</v>
      </c>
      <c r="E300" t="s">
        <v>36</v>
      </c>
      <c r="F300" s="2">
        <v>45520</v>
      </c>
      <c r="G300">
        <v>2025678</v>
      </c>
      <c r="H300" s="19">
        <v>502003.31</v>
      </c>
      <c r="I300" s="19" t="str">
        <f>IF(Tabela1[[#This Row],[Bónus]]&gt;=50000,"correcto","por verificar")</f>
        <v>correcto</v>
      </c>
      <c r="J300" s="19">
        <v>159820.01</v>
      </c>
      <c r="K300" s="19" t="str">
        <f>IF(Tabela1[[#This Row],[Desconto]]&lt;=30000,"Por verificar","correcto")</f>
        <v>correcto</v>
      </c>
      <c r="L300" s="19">
        <v>2367861.2999999998</v>
      </c>
      <c r="M300" s="19" t="str">
        <f>IF(Tabela1[[#This Row],[Salário Líquido]]&gt;=500000,"correcto","por verificar")</f>
        <v>correcto</v>
      </c>
      <c r="N300" t="s">
        <v>27</v>
      </c>
    </row>
    <row r="301" spans="1:14" x14ac:dyDescent="0.35">
      <c r="A301" t="s">
        <v>634</v>
      </c>
      <c r="B301" t="s">
        <v>635</v>
      </c>
      <c r="C301" t="s">
        <v>24</v>
      </c>
      <c r="D301" t="s">
        <v>35</v>
      </c>
      <c r="E301" t="s">
        <v>72</v>
      </c>
      <c r="F301" s="2">
        <v>46033</v>
      </c>
      <c r="G301">
        <v>928709</v>
      </c>
      <c r="H301" s="19">
        <v>196666</v>
      </c>
      <c r="I301" s="19" t="str">
        <f>IF(Tabela1[[#This Row],[Bónus]]&gt;=50000,"correcto","por verificar")</f>
        <v>correcto</v>
      </c>
      <c r="J301" s="19">
        <v>55501.11</v>
      </c>
      <c r="K301" s="19" t="str">
        <f>IF(Tabela1[[#This Row],[Desconto]]&lt;=30000,"Por verificar","correcto")</f>
        <v>correcto</v>
      </c>
      <c r="L301" s="19">
        <v>1069873.8899999999</v>
      </c>
      <c r="M301" s="19" t="str">
        <f>IF(Tabela1[[#This Row],[Salário Líquido]]&gt;=500000,"correcto","por verificar")</f>
        <v>correcto</v>
      </c>
      <c r="N301" t="s">
        <v>45</v>
      </c>
    </row>
    <row r="306" spans="1:4" ht="23.5" x14ac:dyDescent="0.35">
      <c r="A306" s="8" t="s">
        <v>4269</v>
      </c>
    </row>
    <row r="307" spans="1:4" x14ac:dyDescent="0.35">
      <c r="A307" s="9" t="s">
        <v>4260</v>
      </c>
      <c r="C307" s="20">
        <f>SUM(L2:L301)</f>
        <v>428251981.97999972</v>
      </c>
    </row>
    <row r="308" spans="1:4" x14ac:dyDescent="0.35">
      <c r="A308" s="9" t="s">
        <v>4261</v>
      </c>
      <c r="C308" s="20">
        <f>SUM(H2:H301)</f>
        <v>60857844.329999991</v>
      </c>
    </row>
    <row r="309" spans="1:4" x14ac:dyDescent="0.35">
      <c r="A309" s="9" t="s">
        <v>4262</v>
      </c>
      <c r="C309" s="20">
        <f>SUM(J2:J301)</f>
        <v>29986039.349999983</v>
      </c>
    </row>
    <row r="310" spans="1:4" x14ac:dyDescent="0.35">
      <c r="A310" s="9" t="s">
        <v>4263</v>
      </c>
      <c r="C310" s="21" t="s">
        <v>4335</v>
      </c>
      <c r="D310" t="s">
        <v>4338</v>
      </c>
    </row>
    <row r="311" spans="1:4" x14ac:dyDescent="0.35">
      <c r="C311" s="22" t="s">
        <v>44</v>
      </c>
      <c r="D311" s="20">
        <v>75168467.229999989</v>
      </c>
    </row>
    <row r="312" spans="1:4" x14ac:dyDescent="0.35">
      <c r="C312" s="22" t="s">
        <v>24</v>
      </c>
      <c r="D312" s="20">
        <v>52546432.630000003</v>
      </c>
    </row>
    <row r="313" spans="1:4" x14ac:dyDescent="0.35">
      <c r="C313" s="22" t="s">
        <v>13</v>
      </c>
      <c r="D313" s="20">
        <v>58765509.630000003</v>
      </c>
    </row>
    <row r="314" spans="1:4" x14ac:dyDescent="0.35">
      <c r="C314" s="22" t="s">
        <v>63</v>
      </c>
      <c r="D314" s="20">
        <v>57547030.449999996</v>
      </c>
    </row>
    <row r="315" spans="1:4" x14ac:dyDescent="0.35">
      <c r="C315" s="22" t="s">
        <v>39</v>
      </c>
      <c r="D315" s="20">
        <v>55132376.69000002</v>
      </c>
    </row>
    <row r="316" spans="1:4" x14ac:dyDescent="0.35">
      <c r="C316" s="22" t="s">
        <v>19</v>
      </c>
      <c r="D316" s="20">
        <v>63553941.610000014</v>
      </c>
    </row>
    <row r="317" spans="1:4" x14ac:dyDescent="0.35">
      <c r="C317" s="22" t="s">
        <v>30</v>
      </c>
      <c r="D317" s="20">
        <v>65538223.739999987</v>
      </c>
    </row>
    <row r="318" spans="1:4" x14ac:dyDescent="0.35">
      <c r="C318" s="22" t="s">
        <v>4337</v>
      </c>
      <c r="D318" s="20">
        <v>428251981.98000002</v>
      </c>
    </row>
    <row r="319" spans="1:4" x14ac:dyDescent="0.35">
      <c r="C319" s="22"/>
      <c r="D319" s="20"/>
    </row>
    <row r="320" spans="1:4" x14ac:dyDescent="0.35">
      <c r="C320" s="22"/>
      <c r="D320" s="20"/>
    </row>
    <row r="321" spans="1:4" x14ac:dyDescent="0.35">
      <c r="A321" s="9" t="s">
        <v>4264</v>
      </c>
      <c r="C321" s="21" t="s">
        <v>4335</v>
      </c>
      <c r="D321" t="s">
        <v>4338</v>
      </c>
    </row>
    <row r="322" spans="1:4" x14ac:dyDescent="0.35">
      <c r="C322" s="22" t="s">
        <v>15</v>
      </c>
      <c r="D322" s="20">
        <v>52342067.600000001</v>
      </c>
    </row>
    <row r="323" spans="1:4" x14ac:dyDescent="0.35">
      <c r="C323" s="22" t="s">
        <v>36</v>
      </c>
      <c r="D323" s="20">
        <v>51487459.619999997</v>
      </c>
    </row>
    <row r="324" spans="1:4" x14ac:dyDescent="0.35">
      <c r="C324" s="22" t="s">
        <v>72</v>
      </c>
      <c r="D324" s="20">
        <v>61804220.440000005</v>
      </c>
    </row>
    <row r="325" spans="1:4" x14ac:dyDescent="0.35">
      <c r="C325" s="22" t="s">
        <v>41</v>
      </c>
      <c r="D325" s="20">
        <v>41385705.609999985</v>
      </c>
    </row>
    <row r="326" spans="1:4" x14ac:dyDescent="0.35">
      <c r="C326" s="22" t="s">
        <v>21</v>
      </c>
      <c r="D326" s="20">
        <v>39472482.839999996</v>
      </c>
    </row>
    <row r="327" spans="1:4" x14ac:dyDescent="0.35">
      <c r="C327" s="22" t="s">
        <v>51</v>
      </c>
      <c r="D327" s="20">
        <v>28468820.849999998</v>
      </c>
    </row>
    <row r="328" spans="1:4" x14ac:dyDescent="0.35">
      <c r="C328" s="22" t="s">
        <v>77</v>
      </c>
      <c r="D328" s="20">
        <v>30045536.490000002</v>
      </c>
    </row>
    <row r="329" spans="1:4" x14ac:dyDescent="0.35">
      <c r="C329" s="22" t="s">
        <v>26</v>
      </c>
      <c r="D329" s="20">
        <v>44407405.190000013</v>
      </c>
    </row>
    <row r="330" spans="1:4" x14ac:dyDescent="0.35">
      <c r="C330" s="22" t="s">
        <v>88</v>
      </c>
      <c r="D330" s="20">
        <v>41468121.410000011</v>
      </c>
    </row>
    <row r="331" spans="1:4" x14ac:dyDescent="0.35">
      <c r="C331" s="22" t="s">
        <v>48</v>
      </c>
      <c r="D331" s="20">
        <v>37370161.93</v>
      </c>
    </row>
    <row r="332" spans="1:4" x14ac:dyDescent="0.35">
      <c r="C332" s="22" t="s">
        <v>4337</v>
      </c>
      <c r="D332" s="20">
        <v>428251981.98000002</v>
      </c>
    </row>
    <row r="333" spans="1:4" x14ac:dyDescent="0.35">
      <c r="C333" s="22"/>
      <c r="D333" s="20"/>
    </row>
    <row r="334" spans="1:4" x14ac:dyDescent="0.35">
      <c r="C334" s="22"/>
      <c r="D334" s="20"/>
    </row>
    <row r="335" spans="1:4" x14ac:dyDescent="0.35">
      <c r="C335" s="22"/>
      <c r="D335" s="20"/>
    </row>
    <row r="336" spans="1:4" ht="23.5" x14ac:dyDescent="0.35">
      <c r="A336" s="8" t="s">
        <v>4270</v>
      </c>
    </row>
    <row r="337" spans="1:4" x14ac:dyDescent="0.35">
      <c r="A337" t="s">
        <v>4265</v>
      </c>
      <c r="C337" s="20">
        <f>AVERAGE(L2:L301)</f>
        <v>1427506.6065999991</v>
      </c>
    </row>
    <row r="338" spans="1:4" x14ac:dyDescent="0.35">
      <c r="A338" t="s">
        <v>4266</v>
      </c>
      <c r="C338" s="21" t="s">
        <v>4335</v>
      </c>
      <c r="D338" t="s">
        <v>4339</v>
      </c>
    </row>
    <row r="339" spans="1:4" x14ac:dyDescent="0.35">
      <c r="C339" s="22" t="s">
        <v>44</v>
      </c>
      <c r="D339" s="23">
        <v>1492073.6382978724</v>
      </c>
    </row>
    <row r="340" spans="1:4" x14ac:dyDescent="0.35">
      <c r="C340" s="22" t="s">
        <v>24</v>
      </c>
      <c r="D340" s="23">
        <v>1175634.0476190476</v>
      </c>
    </row>
    <row r="341" spans="1:4" x14ac:dyDescent="0.35">
      <c r="C341" s="22" t="s">
        <v>13</v>
      </c>
      <c r="D341" s="23">
        <v>1343457.55</v>
      </c>
    </row>
    <row r="342" spans="1:4" x14ac:dyDescent="0.35">
      <c r="C342" s="22" t="s">
        <v>63</v>
      </c>
      <c r="D342" s="23">
        <v>1371846.9736842106</v>
      </c>
    </row>
    <row r="343" spans="1:4" x14ac:dyDescent="0.35">
      <c r="C343" s="22" t="s">
        <v>39</v>
      </c>
      <c r="D343" s="23">
        <v>1227349.2619047619</v>
      </c>
    </row>
    <row r="344" spans="1:4" x14ac:dyDescent="0.35">
      <c r="C344" s="22" t="s">
        <v>19</v>
      </c>
      <c r="D344" s="23">
        <v>1373293.6046511629</v>
      </c>
    </row>
    <row r="345" spans="1:4" x14ac:dyDescent="0.35">
      <c r="C345" s="22" t="s">
        <v>30</v>
      </c>
      <c r="D345" s="23">
        <v>1279318.8541666667</v>
      </c>
    </row>
    <row r="346" spans="1:4" x14ac:dyDescent="0.35">
      <c r="C346" s="22" t="s">
        <v>4337</v>
      </c>
      <c r="D346" s="23">
        <v>1324600.5900000001</v>
      </c>
    </row>
    <row r="347" spans="1:4" x14ac:dyDescent="0.35">
      <c r="C347" s="20"/>
    </row>
    <row r="349" spans="1:4" x14ac:dyDescent="0.35">
      <c r="A349" t="s">
        <v>4267</v>
      </c>
      <c r="C349" s="21" t="s">
        <v>4335</v>
      </c>
      <c r="D349" t="s">
        <v>4340</v>
      </c>
    </row>
    <row r="350" spans="1:4" x14ac:dyDescent="0.35">
      <c r="C350" s="22" t="s">
        <v>44</v>
      </c>
      <c r="D350" s="20">
        <v>218743.58446808512</v>
      </c>
    </row>
    <row r="351" spans="1:4" x14ac:dyDescent="0.35">
      <c r="C351" s="22" t="s">
        <v>24</v>
      </c>
      <c r="D351" s="20">
        <v>164861.65190476188</v>
      </c>
    </row>
    <row r="352" spans="1:4" x14ac:dyDescent="0.35">
      <c r="C352" s="22" t="s">
        <v>13</v>
      </c>
      <c r="D352" s="20">
        <v>223937.64424999998</v>
      </c>
    </row>
    <row r="353" spans="1:4" x14ac:dyDescent="0.35">
      <c r="C353" s="22" t="s">
        <v>63</v>
      </c>
      <c r="D353" s="20">
        <v>244654.46552631576</v>
      </c>
    </row>
    <row r="354" spans="1:4" x14ac:dyDescent="0.35">
      <c r="C354" s="22" t="s">
        <v>39</v>
      </c>
      <c r="D354" s="20">
        <v>177600.47095238097</v>
      </c>
    </row>
    <row r="355" spans="1:4" x14ac:dyDescent="0.35">
      <c r="C355" s="22" t="s">
        <v>19</v>
      </c>
      <c r="D355" s="20">
        <v>206454.00279069765</v>
      </c>
    </row>
    <row r="356" spans="1:4" x14ac:dyDescent="0.35">
      <c r="C356" s="22" t="s">
        <v>30</v>
      </c>
      <c r="D356" s="20">
        <v>188783.10666666669</v>
      </c>
    </row>
    <row r="357" spans="1:4" x14ac:dyDescent="0.35">
      <c r="C357" s="22" t="s">
        <v>4337</v>
      </c>
      <c r="D357" s="20">
        <v>202859.48109999995</v>
      </c>
    </row>
    <row r="359" spans="1:4" x14ac:dyDescent="0.35">
      <c r="A359" t="s">
        <v>4268</v>
      </c>
      <c r="C359" s="24" t="s">
        <v>4335</v>
      </c>
      <c r="D359" s="24" t="s">
        <v>4341</v>
      </c>
    </row>
    <row r="360" spans="1:4" x14ac:dyDescent="0.35">
      <c r="C360" s="25" t="s">
        <v>44</v>
      </c>
      <c r="D360" s="26">
        <v>111488.13</v>
      </c>
    </row>
    <row r="361" spans="1:4" x14ac:dyDescent="0.35">
      <c r="C361" s="25" t="s">
        <v>24</v>
      </c>
      <c r="D361" s="26">
        <v>89390.16</v>
      </c>
    </row>
    <row r="362" spans="1:4" x14ac:dyDescent="0.35">
      <c r="C362" s="25" t="s">
        <v>13</v>
      </c>
      <c r="D362" s="26">
        <v>98257.45</v>
      </c>
    </row>
    <row r="363" spans="1:4" x14ac:dyDescent="0.35">
      <c r="C363" s="25" t="s">
        <v>63</v>
      </c>
      <c r="D363" s="26">
        <v>102105.9</v>
      </c>
    </row>
    <row r="364" spans="1:4" x14ac:dyDescent="0.35">
      <c r="C364" s="25" t="s">
        <v>39</v>
      </c>
      <c r="D364" s="26">
        <v>92274.1</v>
      </c>
    </row>
    <row r="365" spans="1:4" x14ac:dyDescent="0.35">
      <c r="C365" s="25" t="s">
        <v>19</v>
      </c>
      <c r="D365" s="26">
        <v>101748.97</v>
      </c>
    </row>
    <row r="366" spans="1:4" x14ac:dyDescent="0.35">
      <c r="C366" s="25" t="s">
        <v>30</v>
      </c>
      <c r="D366" s="26">
        <v>102722.3</v>
      </c>
    </row>
    <row r="367" spans="1:4" x14ac:dyDescent="0.35">
      <c r="C367" s="27" t="s">
        <v>4337</v>
      </c>
      <c r="D367" s="28">
        <v>99953.46</v>
      </c>
    </row>
    <row r="369" spans="1:4" ht="23.5" x14ac:dyDescent="0.35">
      <c r="A369" s="8" t="s">
        <v>4271</v>
      </c>
    </row>
    <row r="370" spans="1:4" x14ac:dyDescent="0.35">
      <c r="A370" s="11" t="s">
        <v>4272</v>
      </c>
    </row>
    <row r="371" spans="1:4" x14ac:dyDescent="0.35">
      <c r="A371" t="s">
        <v>4273</v>
      </c>
    </row>
    <row r="372" spans="1:4" x14ac:dyDescent="0.35">
      <c r="A372" t="s">
        <v>4274</v>
      </c>
    </row>
    <row r="374" spans="1:4" ht="23.5" x14ac:dyDescent="0.55000000000000004">
      <c r="A374" s="12" t="s">
        <v>4275</v>
      </c>
    </row>
    <row r="375" spans="1:4" ht="17.5" x14ac:dyDescent="0.35">
      <c r="A375" s="10" t="s">
        <v>4276</v>
      </c>
    </row>
    <row r="376" spans="1:4" x14ac:dyDescent="0.35">
      <c r="A376" s="9" t="s">
        <v>4277</v>
      </c>
    </row>
    <row r="377" spans="1:4" x14ac:dyDescent="0.35">
      <c r="A377" s="9" t="s">
        <v>4278</v>
      </c>
    </row>
    <row r="378" spans="1:4" x14ac:dyDescent="0.35">
      <c r="A378" s="9" t="s">
        <v>4279</v>
      </c>
      <c r="C378" s="21" t="s">
        <v>4335</v>
      </c>
      <c r="D378" t="s">
        <v>4345</v>
      </c>
    </row>
    <row r="379" spans="1:4" x14ac:dyDescent="0.35">
      <c r="A379" s="9"/>
      <c r="C379" s="22" t="s">
        <v>14</v>
      </c>
      <c r="D379" s="20">
        <v>1473159.0143137255</v>
      </c>
    </row>
    <row r="380" spans="1:4" x14ac:dyDescent="0.35">
      <c r="A380" s="9"/>
      <c r="C380" s="22" t="s">
        <v>20</v>
      </c>
      <c r="D380" s="20">
        <v>1446762.4996153845</v>
      </c>
    </row>
    <row r="381" spans="1:4" x14ac:dyDescent="0.35">
      <c r="A381" s="9"/>
      <c r="C381" s="22" t="s">
        <v>25</v>
      </c>
      <c r="D381" s="20">
        <v>1333386.2058333333</v>
      </c>
    </row>
    <row r="382" spans="1:4" x14ac:dyDescent="0.35">
      <c r="A382" s="9"/>
      <c r="C382" s="22" t="s">
        <v>54</v>
      </c>
      <c r="D382" s="20">
        <v>1499043.8604081632</v>
      </c>
    </row>
    <row r="383" spans="1:4" x14ac:dyDescent="0.35">
      <c r="A383" s="9"/>
      <c r="C383" s="22" t="s">
        <v>35</v>
      </c>
      <c r="D383" s="20">
        <v>1504510.0561111113</v>
      </c>
    </row>
    <row r="384" spans="1:4" x14ac:dyDescent="0.35">
      <c r="A384" s="9"/>
      <c r="C384" s="22" t="s">
        <v>40</v>
      </c>
      <c r="D384" s="20">
        <v>1286738.9608695654</v>
      </c>
    </row>
    <row r="385" spans="1:4" x14ac:dyDescent="0.35">
      <c r="A385" s="9"/>
      <c r="C385" s="22" t="s">
        <v>4337</v>
      </c>
      <c r="D385" s="20">
        <v>1427506.6065999989</v>
      </c>
    </row>
    <row r="386" spans="1:4" x14ac:dyDescent="0.35">
      <c r="A386" s="9"/>
    </row>
    <row r="387" spans="1:4" x14ac:dyDescent="0.35">
      <c r="A387" s="9"/>
    </row>
    <row r="388" spans="1:4" x14ac:dyDescent="0.35">
      <c r="A388" s="9"/>
    </row>
    <row r="389" spans="1:4" x14ac:dyDescent="0.35">
      <c r="A389" s="9"/>
    </row>
    <row r="390" spans="1:4" x14ac:dyDescent="0.35">
      <c r="A390" s="9" t="s">
        <v>4280</v>
      </c>
      <c r="C390" s="21" t="s">
        <v>4335</v>
      </c>
      <c r="D390" t="s">
        <v>4346</v>
      </c>
    </row>
    <row r="391" spans="1:4" x14ac:dyDescent="0.35">
      <c r="A391" s="9"/>
      <c r="C391" s="22" t="s">
        <v>44</v>
      </c>
      <c r="D391" s="23">
        <v>47</v>
      </c>
    </row>
    <row r="392" spans="1:4" x14ac:dyDescent="0.35">
      <c r="A392" s="9"/>
      <c r="C392" s="22" t="s">
        <v>24</v>
      </c>
      <c r="D392" s="23">
        <v>42</v>
      </c>
    </row>
    <row r="393" spans="1:4" x14ac:dyDescent="0.35">
      <c r="A393" s="9"/>
      <c r="C393" s="22" t="s">
        <v>13</v>
      </c>
      <c r="D393" s="23">
        <v>40</v>
      </c>
    </row>
    <row r="394" spans="1:4" x14ac:dyDescent="0.35">
      <c r="A394" s="9"/>
      <c r="C394" s="22" t="s">
        <v>63</v>
      </c>
      <c r="D394" s="23">
        <v>38</v>
      </c>
    </row>
    <row r="395" spans="1:4" x14ac:dyDescent="0.35">
      <c r="A395" s="9"/>
      <c r="C395" s="22" t="s">
        <v>39</v>
      </c>
      <c r="D395" s="23">
        <v>42</v>
      </c>
    </row>
    <row r="396" spans="1:4" x14ac:dyDescent="0.35">
      <c r="A396" s="9"/>
      <c r="C396" s="22" t="s">
        <v>19</v>
      </c>
      <c r="D396" s="23">
        <v>43</v>
      </c>
    </row>
    <row r="397" spans="1:4" x14ac:dyDescent="0.35">
      <c r="A397" s="9"/>
      <c r="C397" s="22" t="s">
        <v>30</v>
      </c>
      <c r="D397" s="23">
        <v>48</v>
      </c>
    </row>
    <row r="398" spans="1:4" x14ac:dyDescent="0.35">
      <c r="A398" s="9"/>
      <c r="C398" s="22" t="s">
        <v>4337</v>
      </c>
      <c r="D398" s="23">
        <v>300</v>
      </c>
    </row>
    <row r="399" spans="1:4" x14ac:dyDescent="0.35">
      <c r="A399" s="9" t="s">
        <v>4281</v>
      </c>
    </row>
    <row r="400" spans="1:4" x14ac:dyDescent="0.35">
      <c r="A400" s="9"/>
      <c r="C400" s="21" t="s">
        <v>4335</v>
      </c>
      <c r="D400" t="s">
        <v>4336</v>
      </c>
    </row>
    <row r="401" spans="1:4" x14ac:dyDescent="0.35">
      <c r="A401" s="9"/>
      <c r="C401" s="22" t="s">
        <v>15</v>
      </c>
      <c r="D401" s="20">
        <v>7114901.6799999997</v>
      </c>
    </row>
    <row r="402" spans="1:4" x14ac:dyDescent="0.35">
      <c r="A402" s="9"/>
      <c r="C402" s="22" t="s">
        <v>36</v>
      </c>
      <c r="D402" s="20">
        <v>8339339.669999999</v>
      </c>
    </row>
    <row r="403" spans="1:4" x14ac:dyDescent="0.35">
      <c r="A403" s="9"/>
      <c r="C403" s="22" t="s">
        <v>72</v>
      </c>
      <c r="D403" s="20">
        <v>9327997.0700000003</v>
      </c>
    </row>
    <row r="404" spans="1:4" x14ac:dyDescent="0.35">
      <c r="C404" s="22" t="s">
        <v>41</v>
      </c>
      <c r="D404" s="20">
        <v>6147396.1299999999</v>
      </c>
    </row>
    <row r="405" spans="1:4" x14ac:dyDescent="0.35">
      <c r="C405" s="22" t="s">
        <v>21</v>
      </c>
      <c r="D405" s="20">
        <v>5324030.2100000009</v>
      </c>
    </row>
    <row r="406" spans="1:4" x14ac:dyDescent="0.35">
      <c r="C406" s="22" t="s">
        <v>51</v>
      </c>
      <c r="D406" s="20">
        <v>3604896.7700000009</v>
      </c>
    </row>
    <row r="407" spans="1:4" x14ac:dyDescent="0.35">
      <c r="C407" s="22" t="s">
        <v>77</v>
      </c>
      <c r="D407" s="20">
        <v>4262678.1400000006</v>
      </c>
    </row>
    <row r="408" spans="1:4" x14ac:dyDescent="0.35">
      <c r="C408" s="22" t="s">
        <v>26</v>
      </c>
      <c r="D408" s="20">
        <v>5980159.4899999984</v>
      </c>
    </row>
    <row r="409" spans="1:4" x14ac:dyDescent="0.35">
      <c r="C409" s="22" t="s">
        <v>88</v>
      </c>
      <c r="D409" s="20">
        <v>5851376.2200000007</v>
      </c>
    </row>
    <row r="410" spans="1:4" x14ac:dyDescent="0.35">
      <c r="C410" s="22" t="s">
        <v>48</v>
      </c>
      <c r="D410" s="20">
        <v>4905068.95</v>
      </c>
    </row>
    <row r="411" spans="1:4" x14ac:dyDescent="0.35">
      <c r="C411" s="22" t="s">
        <v>4337</v>
      </c>
      <c r="D411" s="20">
        <v>60857844.329999998</v>
      </c>
    </row>
  </sheetData>
  <pageMargins left="0.75" right="0.75" top="1" bottom="1" header="0.5" footer="0.5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1"/>
  <sheetViews>
    <sheetView workbookViewId="0"/>
  </sheetViews>
  <sheetFormatPr defaultRowHeight="14.5" x14ac:dyDescent="0.35"/>
  <cols>
    <col min="1" max="1" width="10" customWidth="1"/>
    <col min="2" max="2" width="31" customWidth="1"/>
    <col min="3" max="3" width="13" customWidth="1"/>
    <col min="4" max="4" width="15" customWidth="1"/>
    <col min="5" max="5" width="13" customWidth="1"/>
    <col min="6" max="6" width="15" customWidth="1"/>
    <col min="7" max="7" width="14" customWidth="1"/>
  </cols>
  <sheetData>
    <row r="1" spans="1:7" x14ac:dyDescent="0.35">
      <c r="A1" s="1" t="s">
        <v>0</v>
      </c>
      <c r="B1" s="1" t="s">
        <v>1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640</v>
      </c>
    </row>
    <row r="2" spans="1:7" x14ac:dyDescent="0.35">
      <c r="A2" t="s">
        <v>11</v>
      </c>
      <c r="B2" t="s">
        <v>641</v>
      </c>
      <c r="C2" s="2">
        <v>45252</v>
      </c>
      <c r="D2" t="s">
        <v>642</v>
      </c>
      <c r="E2" t="s">
        <v>643</v>
      </c>
      <c r="F2">
        <v>2</v>
      </c>
      <c r="G2" t="s">
        <v>644</v>
      </c>
    </row>
    <row r="3" spans="1:7" x14ac:dyDescent="0.35">
      <c r="A3" t="s">
        <v>17</v>
      </c>
      <c r="B3" t="s">
        <v>645</v>
      </c>
      <c r="C3" s="2">
        <v>46315</v>
      </c>
      <c r="D3" t="s">
        <v>642</v>
      </c>
      <c r="E3" t="s">
        <v>643</v>
      </c>
      <c r="F3">
        <v>3</v>
      </c>
      <c r="G3" t="s">
        <v>646</v>
      </c>
    </row>
    <row r="4" spans="1:7" x14ac:dyDescent="0.35">
      <c r="A4" t="s">
        <v>22</v>
      </c>
      <c r="B4" t="s">
        <v>647</v>
      </c>
      <c r="C4" s="2">
        <v>44739</v>
      </c>
      <c r="D4" t="s">
        <v>648</v>
      </c>
      <c r="E4" t="s">
        <v>649</v>
      </c>
      <c r="F4">
        <v>3</v>
      </c>
      <c r="G4" t="s">
        <v>650</v>
      </c>
    </row>
    <row r="5" spans="1:7" x14ac:dyDescent="0.35">
      <c r="A5" t="s">
        <v>28</v>
      </c>
      <c r="B5" t="s">
        <v>651</v>
      </c>
      <c r="C5" s="2">
        <v>45539</v>
      </c>
      <c r="D5" t="s">
        <v>642</v>
      </c>
      <c r="E5" t="s">
        <v>652</v>
      </c>
      <c r="F5">
        <v>2</v>
      </c>
      <c r="G5" t="s">
        <v>644</v>
      </c>
    </row>
    <row r="6" spans="1:7" x14ac:dyDescent="0.35">
      <c r="A6" t="s">
        <v>31</v>
      </c>
      <c r="B6" t="s">
        <v>653</v>
      </c>
      <c r="C6" s="2">
        <v>45347</v>
      </c>
      <c r="D6" t="s">
        <v>642</v>
      </c>
      <c r="E6" t="s">
        <v>649</v>
      </c>
      <c r="F6">
        <v>1</v>
      </c>
      <c r="G6" t="s">
        <v>646</v>
      </c>
    </row>
    <row r="7" spans="1:7" x14ac:dyDescent="0.35">
      <c r="A7" t="s">
        <v>33</v>
      </c>
      <c r="B7" t="s">
        <v>654</v>
      </c>
      <c r="C7" s="2">
        <v>45180</v>
      </c>
      <c r="D7" t="s">
        <v>655</v>
      </c>
      <c r="E7" t="s">
        <v>649</v>
      </c>
      <c r="F7">
        <v>4</v>
      </c>
      <c r="G7" t="s">
        <v>650</v>
      </c>
    </row>
    <row r="8" spans="1:7" x14ac:dyDescent="0.35">
      <c r="A8" t="s">
        <v>37</v>
      </c>
      <c r="B8" t="s">
        <v>656</v>
      </c>
      <c r="C8" s="2">
        <v>45298</v>
      </c>
      <c r="D8" t="s">
        <v>655</v>
      </c>
      <c r="E8" t="s">
        <v>643</v>
      </c>
      <c r="F8">
        <v>1</v>
      </c>
      <c r="G8" t="s">
        <v>650</v>
      </c>
    </row>
    <row r="9" spans="1:7" x14ac:dyDescent="0.35">
      <c r="A9" t="s">
        <v>42</v>
      </c>
      <c r="B9" t="s">
        <v>657</v>
      </c>
      <c r="C9" s="2">
        <v>45515</v>
      </c>
      <c r="D9" t="s">
        <v>648</v>
      </c>
      <c r="E9" t="s">
        <v>652</v>
      </c>
      <c r="F9">
        <v>2</v>
      </c>
      <c r="G9" t="s">
        <v>644</v>
      </c>
    </row>
    <row r="10" spans="1:7" x14ac:dyDescent="0.35">
      <c r="A10" t="s">
        <v>46</v>
      </c>
      <c r="B10" t="s">
        <v>658</v>
      </c>
      <c r="C10" s="2">
        <v>45591</v>
      </c>
      <c r="D10" t="s">
        <v>655</v>
      </c>
      <c r="E10" t="s">
        <v>643</v>
      </c>
      <c r="F10">
        <v>2</v>
      </c>
      <c r="G10" t="s">
        <v>650</v>
      </c>
    </row>
    <row r="11" spans="1:7" x14ac:dyDescent="0.35">
      <c r="A11" t="s">
        <v>49</v>
      </c>
      <c r="B11" t="s">
        <v>659</v>
      </c>
      <c r="C11" s="2">
        <v>45314</v>
      </c>
      <c r="D11" t="s">
        <v>648</v>
      </c>
      <c r="E11" t="s">
        <v>649</v>
      </c>
      <c r="F11">
        <v>4</v>
      </c>
      <c r="G11" t="s">
        <v>644</v>
      </c>
    </row>
    <row r="12" spans="1:7" x14ac:dyDescent="0.35">
      <c r="A12" t="s">
        <v>52</v>
      </c>
      <c r="B12" t="s">
        <v>660</v>
      </c>
      <c r="C12" s="2">
        <v>45541</v>
      </c>
      <c r="D12" t="s">
        <v>642</v>
      </c>
      <c r="E12" t="s">
        <v>652</v>
      </c>
      <c r="F12">
        <v>1</v>
      </c>
      <c r="G12" t="s">
        <v>646</v>
      </c>
    </row>
    <row r="13" spans="1:7" x14ac:dyDescent="0.35">
      <c r="A13" t="s">
        <v>55</v>
      </c>
      <c r="B13" t="s">
        <v>661</v>
      </c>
      <c r="C13" s="2">
        <v>45327</v>
      </c>
      <c r="D13" t="s">
        <v>648</v>
      </c>
      <c r="E13" t="s">
        <v>643</v>
      </c>
      <c r="F13">
        <v>3</v>
      </c>
      <c r="G13" t="s">
        <v>646</v>
      </c>
    </row>
    <row r="14" spans="1:7" x14ac:dyDescent="0.35">
      <c r="A14" t="s">
        <v>57</v>
      </c>
      <c r="B14" t="s">
        <v>662</v>
      </c>
      <c r="C14" s="2">
        <v>46252</v>
      </c>
      <c r="D14" t="s">
        <v>648</v>
      </c>
      <c r="E14" t="s">
        <v>643</v>
      </c>
      <c r="F14">
        <v>1</v>
      </c>
      <c r="G14" t="s">
        <v>644</v>
      </c>
    </row>
    <row r="15" spans="1:7" x14ac:dyDescent="0.35">
      <c r="A15" t="s">
        <v>59</v>
      </c>
      <c r="B15" t="s">
        <v>663</v>
      </c>
      <c r="C15" s="2">
        <v>46350</v>
      </c>
      <c r="D15" t="s">
        <v>648</v>
      </c>
      <c r="E15" t="s">
        <v>643</v>
      </c>
      <c r="F15">
        <v>0</v>
      </c>
      <c r="G15" t="s">
        <v>646</v>
      </c>
    </row>
    <row r="16" spans="1:7" x14ac:dyDescent="0.35">
      <c r="A16" t="s">
        <v>61</v>
      </c>
      <c r="B16" t="s">
        <v>664</v>
      </c>
      <c r="C16" s="2">
        <v>45302</v>
      </c>
      <c r="D16" t="s">
        <v>648</v>
      </c>
      <c r="E16" t="s">
        <v>643</v>
      </c>
      <c r="F16">
        <v>0</v>
      </c>
      <c r="G16" t="s">
        <v>650</v>
      </c>
    </row>
    <row r="17" spans="1:7" x14ac:dyDescent="0.35">
      <c r="A17" t="s">
        <v>64</v>
      </c>
      <c r="B17" t="s">
        <v>665</v>
      </c>
      <c r="C17" s="2">
        <v>45597</v>
      </c>
      <c r="D17" t="s">
        <v>642</v>
      </c>
      <c r="E17" t="s">
        <v>643</v>
      </c>
      <c r="F17">
        <v>1</v>
      </c>
      <c r="G17" t="s">
        <v>644</v>
      </c>
    </row>
    <row r="18" spans="1:7" x14ac:dyDescent="0.35">
      <c r="A18" t="s">
        <v>66</v>
      </c>
      <c r="B18" t="s">
        <v>666</v>
      </c>
      <c r="C18" s="2">
        <v>46311</v>
      </c>
      <c r="D18" t="s">
        <v>642</v>
      </c>
      <c r="E18" t="s">
        <v>649</v>
      </c>
      <c r="F18">
        <v>4</v>
      </c>
      <c r="G18" t="s">
        <v>646</v>
      </c>
    </row>
    <row r="19" spans="1:7" x14ac:dyDescent="0.35">
      <c r="A19" t="s">
        <v>68</v>
      </c>
      <c r="B19" t="s">
        <v>667</v>
      </c>
      <c r="C19" s="2">
        <v>44982</v>
      </c>
      <c r="D19" t="s">
        <v>642</v>
      </c>
      <c r="E19" t="s">
        <v>643</v>
      </c>
      <c r="F19">
        <v>4</v>
      </c>
      <c r="G19" t="s">
        <v>646</v>
      </c>
    </row>
    <row r="20" spans="1:7" x14ac:dyDescent="0.35">
      <c r="A20" t="s">
        <v>70</v>
      </c>
      <c r="B20" t="s">
        <v>668</v>
      </c>
      <c r="C20" s="2">
        <v>45474</v>
      </c>
      <c r="D20" t="s">
        <v>642</v>
      </c>
      <c r="E20" t="s">
        <v>643</v>
      </c>
      <c r="F20">
        <v>0</v>
      </c>
      <c r="G20" t="s">
        <v>646</v>
      </c>
    </row>
    <row r="21" spans="1:7" x14ac:dyDescent="0.35">
      <c r="A21" t="s">
        <v>73</v>
      </c>
      <c r="B21" t="s">
        <v>669</v>
      </c>
      <c r="C21" s="2">
        <v>45412</v>
      </c>
      <c r="D21" t="s">
        <v>642</v>
      </c>
      <c r="E21" t="s">
        <v>643</v>
      </c>
      <c r="F21">
        <v>3</v>
      </c>
      <c r="G21" t="s">
        <v>650</v>
      </c>
    </row>
    <row r="22" spans="1:7" x14ac:dyDescent="0.35">
      <c r="A22" t="s">
        <v>75</v>
      </c>
      <c r="B22" t="s">
        <v>670</v>
      </c>
      <c r="C22" s="2">
        <v>45939</v>
      </c>
      <c r="D22" t="s">
        <v>648</v>
      </c>
      <c r="E22" t="s">
        <v>649</v>
      </c>
      <c r="F22">
        <v>2</v>
      </c>
      <c r="G22" t="s">
        <v>650</v>
      </c>
    </row>
    <row r="23" spans="1:7" x14ac:dyDescent="0.35">
      <c r="A23" t="s">
        <v>78</v>
      </c>
      <c r="B23" t="s">
        <v>671</v>
      </c>
      <c r="C23" s="2">
        <v>46234</v>
      </c>
      <c r="D23" t="s">
        <v>655</v>
      </c>
      <c r="E23" t="s">
        <v>649</v>
      </c>
      <c r="F23">
        <v>0</v>
      </c>
      <c r="G23" t="s">
        <v>644</v>
      </c>
    </row>
    <row r="24" spans="1:7" x14ac:dyDescent="0.35">
      <c r="A24" t="s">
        <v>80</v>
      </c>
      <c r="B24" t="s">
        <v>672</v>
      </c>
      <c r="C24" s="2">
        <v>44654</v>
      </c>
      <c r="D24" t="s">
        <v>648</v>
      </c>
      <c r="E24" t="s">
        <v>652</v>
      </c>
      <c r="F24">
        <v>3</v>
      </c>
      <c r="G24" t="s">
        <v>673</v>
      </c>
    </row>
    <row r="25" spans="1:7" x14ac:dyDescent="0.35">
      <c r="A25" t="s">
        <v>82</v>
      </c>
      <c r="B25" t="s">
        <v>674</v>
      </c>
      <c r="C25" s="2">
        <v>45670</v>
      </c>
      <c r="D25" t="s">
        <v>648</v>
      </c>
      <c r="E25" t="s">
        <v>652</v>
      </c>
      <c r="F25">
        <v>0</v>
      </c>
      <c r="G25" t="s">
        <v>650</v>
      </c>
    </row>
    <row r="26" spans="1:7" x14ac:dyDescent="0.35">
      <c r="A26" t="s">
        <v>84</v>
      </c>
      <c r="B26" t="s">
        <v>675</v>
      </c>
      <c r="C26" s="2">
        <v>45149</v>
      </c>
      <c r="D26" t="s">
        <v>655</v>
      </c>
      <c r="E26" t="s">
        <v>652</v>
      </c>
      <c r="F26">
        <v>3</v>
      </c>
      <c r="G26" t="s">
        <v>644</v>
      </c>
    </row>
    <row r="27" spans="1:7" x14ac:dyDescent="0.35">
      <c r="A27" t="s">
        <v>86</v>
      </c>
      <c r="B27" t="s">
        <v>676</v>
      </c>
      <c r="C27" s="2">
        <v>46055</v>
      </c>
      <c r="D27" t="s">
        <v>642</v>
      </c>
      <c r="E27" t="s">
        <v>643</v>
      </c>
      <c r="F27">
        <v>3</v>
      </c>
      <c r="G27" t="s">
        <v>673</v>
      </c>
    </row>
    <row r="28" spans="1:7" x14ac:dyDescent="0.35">
      <c r="A28" t="s">
        <v>89</v>
      </c>
      <c r="B28" t="s">
        <v>677</v>
      </c>
      <c r="C28" s="2">
        <v>46342</v>
      </c>
      <c r="D28" t="s">
        <v>655</v>
      </c>
      <c r="E28" t="s">
        <v>649</v>
      </c>
      <c r="F28">
        <v>3</v>
      </c>
      <c r="G28" t="s">
        <v>646</v>
      </c>
    </row>
    <row r="29" spans="1:7" x14ac:dyDescent="0.35">
      <c r="A29" t="s">
        <v>91</v>
      </c>
      <c r="B29" t="s">
        <v>678</v>
      </c>
      <c r="C29" s="2">
        <v>45917</v>
      </c>
      <c r="D29" t="s">
        <v>642</v>
      </c>
      <c r="E29" t="s">
        <v>643</v>
      </c>
      <c r="F29">
        <v>4</v>
      </c>
      <c r="G29" t="s">
        <v>644</v>
      </c>
    </row>
    <row r="30" spans="1:7" x14ac:dyDescent="0.35">
      <c r="A30" t="s">
        <v>93</v>
      </c>
      <c r="B30" t="s">
        <v>679</v>
      </c>
      <c r="C30" s="2">
        <v>44804</v>
      </c>
      <c r="D30" t="s">
        <v>648</v>
      </c>
      <c r="E30" t="s">
        <v>649</v>
      </c>
      <c r="F30">
        <v>1</v>
      </c>
      <c r="G30" t="s">
        <v>646</v>
      </c>
    </row>
    <row r="31" spans="1:7" x14ac:dyDescent="0.35">
      <c r="A31" t="s">
        <v>95</v>
      </c>
      <c r="B31" t="s">
        <v>680</v>
      </c>
      <c r="C31" s="2">
        <v>46052</v>
      </c>
      <c r="D31" t="s">
        <v>648</v>
      </c>
      <c r="E31" t="s">
        <v>652</v>
      </c>
      <c r="F31">
        <v>1</v>
      </c>
      <c r="G31" t="s">
        <v>650</v>
      </c>
    </row>
    <row r="32" spans="1:7" x14ac:dyDescent="0.35">
      <c r="A32" t="s">
        <v>97</v>
      </c>
      <c r="B32" t="s">
        <v>681</v>
      </c>
      <c r="C32" s="2">
        <v>45510</v>
      </c>
      <c r="D32" t="s">
        <v>642</v>
      </c>
      <c r="E32" t="s">
        <v>649</v>
      </c>
      <c r="F32">
        <v>4</v>
      </c>
      <c r="G32" t="s">
        <v>646</v>
      </c>
    </row>
    <row r="33" spans="1:7" x14ac:dyDescent="0.35">
      <c r="A33" t="s">
        <v>99</v>
      </c>
      <c r="B33" t="s">
        <v>682</v>
      </c>
      <c r="C33" s="2">
        <v>46248</v>
      </c>
      <c r="D33" t="s">
        <v>648</v>
      </c>
      <c r="E33" t="s">
        <v>649</v>
      </c>
      <c r="F33">
        <v>1</v>
      </c>
      <c r="G33" t="s">
        <v>644</v>
      </c>
    </row>
    <row r="34" spans="1:7" x14ac:dyDescent="0.35">
      <c r="A34" t="s">
        <v>101</v>
      </c>
      <c r="B34" t="s">
        <v>683</v>
      </c>
      <c r="C34" s="2">
        <v>44879</v>
      </c>
      <c r="D34" t="s">
        <v>655</v>
      </c>
      <c r="E34" t="s">
        <v>649</v>
      </c>
      <c r="F34">
        <v>2</v>
      </c>
      <c r="G34" t="s">
        <v>644</v>
      </c>
    </row>
    <row r="35" spans="1:7" x14ac:dyDescent="0.35">
      <c r="A35" t="s">
        <v>103</v>
      </c>
      <c r="B35" t="s">
        <v>684</v>
      </c>
      <c r="C35" s="2">
        <v>44627</v>
      </c>
      <c r="D35" t="s">
        <v>648</v>
      </c>
      <c r="E35" t="s">
        <v>652</v>
      </c>
      <c r="F35">
        <v>3</v>
      </c>
      <c r="G35" t="s">
        <v>650</v>
      </c>
    </row>
    <row r="36" spans="1:7" x14ac:dyDescent="0.35">
      <c r="A36" t="s">
        <v>105</v>
      </c>
      <c r="B36" t="s">
        <v>685</v>
      </c>
      <c r="C36" s="2">
        <v>44699</v>
      </c>
      <c r="D36" t="s">
        <v>642</v>
      </c>
      <c r="E36" t="s">
        <v>652</v>
      </c>
      <c r="F36">
        <v>0</v>
      </c>
      <c r="G36" t="s">
        <v>650</v>
      </c>
    </row>
    <row r="37" spans="1:7" x14ac:dyDescent="0.35">
      <c r="A37" t="s">
        <v>107</v>
      </c>
      <c r="B37" t="s">
        <v>686</v>
      </c>
      <c r="C37" s="2">
        <v>45938</v>
      </c>
      <c r="D37" t="s">
        <v>655</v>
      </c>
      <c r="E37" t="s">
        <v>643</v>
      </c>
      <c r="F37">
        <v>0</v>
      </c>
      <c r="G37" t="s">
        <v>644</v>
      </c>
    </row>
    <row r="38" spans="1:7" x14ac:dyDescent="0.35">
      <c r="A38" t="s">
        <v>109</v>
      </c>
      <c r="B38" t="s">
        <v>687</v>
      </c>
      <c r="C38" s="2">
        <v>45385</v>
      </c>
      <c r="D38" t="s">
        <v>648</v>
      </c>
      <c r="E38" t="s">
        <v>652</v>
      </c>
      <c r="F38">
        <v>3</v>
      </c>
      <c r="G38" t="s">
        <v>644</v>
      </c>
    </row>
    <row r="39" spans="1:7" x14ac:dyDescent="0.35">
      <c r="A39" t="s">
        <v>111</v>
      </c>
      <c r="B39" t="s">
        <v>688</v>
      </c>
      <c r="C39" s="2">
        <v>46106</v>
      </c>
      <c r="D39" t="s">
        <v>648</v>
      </c>
      <c r="E39" t="s">
        <v>652</v>
      </c>
      <c r="F39">
        <v>0</v>
      </c>
      <c r="G39" t="s">
        <v>644</v>
      </c>
    </row>
    <row r="40" spans="1:7" x14ac:dyDescent="0.35">
      <c r="A40" t="s">
        <v>113</v>
      </c>
      <c r="B40" t="s">
        <v>689</v>
      </c>
      <c r="C40" s="2">
        <v>45041</v>
      </c>
      <c r="D40" t="s">
        <v>648</v>
      </c>
      <c r="E40" t="s">
        <v>649</v>
      </c>
      <c r="F40">
        <v>4</v>
      </c>
      <c r="G40" t="s">
        <v>673</v>
      </c>
    </row>
    <row r="41" spans="1:7" x14ac:dyDescent="0.35">
      <c r="A41" t="s">
        <v>115</v>
      </c>
      <c r="B41" t="s">
        <v>690</v>
      </c>
      <c r="C41" s="2">
        <v>46144</v>
      </c>
      <c r="D41" t="s">
        <v>648</v>
      </c>
      <c r="E41" t="s">
        <v>643</v>
      </c>
      <c r="F41">
        <v>2</v>
      </c>
      <c r="G41" t="s">
        <v>644</v>
      </c>
    </row>
    <row r="42" spans="1:7" x14ac:dyDescent="0.35">
      <c r="A42" t="s">
        <v>117</v>
      </c>
      <c r="B42" t="s">
        <v>691</v>
      </c>
      <c r="C42" s="2">
        <v>45914</v>
      </c>
      <c r="D42" t="s">
        <v>655</v>
      </c>
      <c r="E42" t="s">
        <v>652</v>
      </c>
      <c r="F42">
        <v>4</v>
      </c>
      <c r="G42" t="s">
        <v>644</v>
      </c>
    </row>
    <row r="43" spans="1:7" x14ac:dyDescent="0.35">
      <c r="A43" t="s">
        <v>119</v>
      </c>
      <c r="B43" t="s">
        <v>692</v>
      </c>
      <c r="C43" s="2">
        <v>45125</v>
      </c>
      <c r="D43" t="s">
        <v>655</v>
      </c>
      <c r="E43" t="s">
        <v>649</v>
      </c>
      <c r="F43">
        <v>0</v>
      </c>
      <c r="G43" t="s">
        <v>644</v>
      </c>
    </row>
    <row r="44" spans="1:7" x14ac:dyDescent="0.35">
      <c r="A44" t="s">
        <v>121</v>
      </c>
      <c r="B44" t="s">
        <v>693</v>
      </c>
      <c r="C44" s="2">
        <v>45436</v>
      </c>
      <c r="D44" t="s">
        <v>648</v>
      </c>
      <c r="E44" t="s">
        <v>643</v>
      </c>
      <c r="F44">
        <v>4</v>
      </c>
      <c r="G44" t="s">
        <v>646</v>
      </c>
    </row>
    <row r="45" spans="1:7" x14ac:dyDescent="0.35">
      <c r="A45" t="s">
        <v>123</v>
      </c>
      <c r="B45" t="s">
        <v>694</v>
      </c>
      <c r="C45" s="2">
        <v>45879</v>
      </c>
      <c r="D45" t="s">
        <v>642</v>
      </c>
      <c r="E45" t="s">
        <v>649</v>
      </c>
      <c r="F45">
        <v>3</v>
      </c>
      <c r="G45" t="s">
        <v>673</v>
      </c>
    </row>
    <row r="46" spans="1:7" x14ac:dyDescent="0.35">
      <c r="A46" t="s">
        <v>125</v>
      </c>
      <c r="B46" t="s">
        <v>695</v>
      </c>
      <c r="C46" s="2">
        <v>45398</v>
      </c>
      <c r="D46" t="s">
        <v>648</v>
      </c>
      <c r="E46" t="s">
        <v>649</v>
      </c>
      <c r="F46">
        <v>1</v>
      </c>
      <c r="G46" t="s">
        <v>673</v>
      </c>
    </row>
    <row r="47" spans="1:7" x14ac:dyDescent="0.35">
      <c r="A47" t="s">
        <v>127</v>
      </c>
      <c r="B47" t="s">
        <v>696</v>
      </c>
      <c r="C47" s="2">
        <v>46107</v>
      </c>
      <c r="D47" t="s">
        <v>655</v>
      </c>
      <c r="E47" t="s">
        <v>652</v>
      </c>
      <c r="F47">
        <v>4</v>
      </c>
      <c r="G47" t="s">
        <v>646</v>
      </c>
    </row>
    <row r="48" spans="1:7" x14ac:dyDescent="0.35">
      <c r="A48" t="s">
        <v>129</v>
      </c>
      <c r="B48" t="s">
        <v>697</v>
      </c>
      <c r="C48" s="2">
        <v>45177</v>
      </c>
      <c r="D48" t="s">
        <v>642</v>
      </c>
      <c r="E48" t="s">
        <v>652</v>
      </c>
      <c r="F48">
        <v>1</v>
      </c>
      <c r="G48" t="s">
        <v>646</v>
      </c>
    </row>
    <row r="49" spans="1:7" x14ac:dyDescent="0.35">
      <c r="A49" t="s">
        <v>131</v>
      </c>
      <c r="B49" t="s">
        <v>698</v>
      </c>
      <c r="C49" s="2">
        <v>45407</v>
      </c>
      <c r="D49" t="s">
        <v>642</v>
      </c>
      <c r="E49" t="s">
        <v>643</v>
      </c>
      <c r="F49">
        <v>3</v>
      </c>
      <c r="G49" t="s">
        <v>644</v>
      </c>
    </row>
    <row r="50" spans="1:7" x14ac:dyDescent="0.35">
      <c r="A50" t="s">
        <v>133</v>
      </c>
      <c r="B50" t="s">
        <v>699</v>
      </c>
      <c r="C50" s="2">
        <v>45084</v>
      </c>
      <c r="D50" t="s">
        <v>655</v>
      </c>
      <c r="E50" t="s">
        <v>652</v>
      </c>
      <c r="F50">
        <v>1</v>
      </c>
      <c r="G50" t="s">
        <v>673</v>
      </c>
    </row>
    <row r="51" spans="1:7" x14ac:dyDescent="0.35">
      <c r="A51" t="s">
        <v>135</v>
      </c>
      <c r="B51" t="s">
        <v>700</v>
      </c>
      <c r="C51" s="2">
        <v>45483</v>
      </c>
      <c r="D51" t="s">
        <v>648</v>
      </c>
      <c r="E51" t="s">
        <v>652</v>
      </c>
      <c r="F51">
        <v>2</v>
      </c>
      <c r="G51" t="s">
        <v>650</v>
      </c>
    </row>
    <row r="52" spans="1:7" x14ac:dyDescent="0.35">
      <c r="A52" t="s">
        <v>137</v>
      </c>
      <c r="B52" t="s">
        <v>701</v>
      </c>
      <c r="C52" s="2">
        <v>46260</v>
      </c>
      <c r="D52" t="s">
        <v>648</v>
      </c>
      <c r="E52" t="s">
        <v>643</v>
      </c>
      <c r="F52">
        <v>1</v>
      </c>
      <c r="G52" t="s">
        <v>650</v>
      </c>
    </row>
    <row r="53" spans="1:7" x14ac:dyDescent="0.35">
      <c r="A53" t="s">
        <v>139</v>
      </c>
      <c r="B53" t="s">
        <v>702</v>
      </c>
      <c r="C53" s="2">
        <v>45941</v>
      </c>
      <c r="D53" t="s">
        <v>655</v>
      </c>
      <c r="E53" t="s">
        <v>649</v>
      </c>
      <c r="F53">
        <v>4</v>
      </c>
      <c r="G53" t="s">
        <v>650</v>
      </c>
    </row>
    <row r="54" spans="1:7" x14ac:dyDescent="0.35">
      <c r="A54" t="s">
        <v>141</v>
      </c>
      <c r="B54" t="s">
        <v>703</v>
      </c>
      <c r="C54" s="2">
        <v>46209</v>
      </c>
      <c r="D54" t="s">
        <v>642</v>
      </c>
      <c r="E54" t="s">
        <v>652</v>
      </c>
      <c r="F54">
        <v>4</v>
      </c>
      <c r="G54" t="s">
        <v>644</v>
      </c>
    </row>
    <row r="55" spans="1:7" x14ac:dyDescent="0.35">
      <c r="A55" t="s">
        <v>143</v>
      </c>
      <c r="B55" t="s">
        <v>704</v>
      </c>
      <c r="C55" s="2">
        <v>46342</v>
      </c>
      <c r="D55" t="s">
        <v>655</v>
      </c>
      <c r="E55" t="s">
        <v>652</v>
      </c>
      <c r="F55">
        <v>2</v>
      </c>
      <c r="G55" t="s">
        <v>673</v>
      </c>
    </row>
    <row r="56" spans="1:7" x14ac:dyDescent="0.35">
      <c r="A56" t="s">
        <v>145</v>
      </c>
      <c r="B56" t="s">
        <v>705</v>
      </c>
      <c r="C56" s="2">
        <v>44951</v>
      </c>
      <c r="D56" t="s">
        <v>642</v>
      </c>
      <c r="E56" t="s">
        <v>652</v>
      </c>
      <c r="F56">
        <v>0</v>
      </c>
      <c r="G56" t="s">
        <v>646</v>
      </c>
    </row>
    <row r="57" spans="1:7" x14ac:dyDescent="0.35">
      <c r="A57" t="s">
        <v>147</v>
      </c>
      <c r="B57" t="s">
        <v>706</v>
      </c>
      <c r="C57" s="2">
        <v>45799</v>
      </c>
      <c r="D57" t="s">
        <v>642</v>
      </c>
      <c r="E57" t="s">
        <v>643</v>
      </c>
      <c r="F57">
        <v>1</v>
      </c>
      <c r="G57" t="s">
        <v>646</v>
      </c>
    </row>
    <row r="58" spans="1:7" x14ac:dyDescent="0.35">
      <c r="A58" t="s">
        <v>149</v>
      </c>
      <c r="B58" t="s">
        <v>707</v>
      </c>
      <c r="C58" s="2">
        <v>45220</v>
      </c>
      <c r="D58" t="s">
        <v>642</v>
      </c>
      <c r="E58" t="s">
        <v>643</v>
      </c>
      <c r="F58">
        <v>2</v>
      </c>
      <c r="G58" t="s">
        <v>646</v>
      </c>
    </row>
    <row r="59" spans="1:7" x14ac:dyDescent="0.35">
      <c r="A59" t="s">
        <v>151</v>
      </c>
      <c r="B59" t="s">
        <v>708</v>
      </c>
      <c r="C59" s="2">
        <v>45890</v>
      </c>
      <c r="D59" t="s">
        <v>655</v>
      </c>
      <c r="E59" t="s">
        <v>643</v>
      </c>
      <c r="F59">
        <v>2</v>
      </c>
      <c r="G59" t="s">
        <v>673</v>
      </c>
    </row>
    <row r="60" spans="1:7" x14ac:dyDescent="0.35">
      <c r="A60" t="s">
        <v>153</v>
      </c>
      <c r="B60" t="s">
        <v>709</v>
      </c>
      <c r="C60" s="2">
        <v>45612</v>
      </c>
      <c r="D60" t="s">
        <v>655</v>
      </c>
      <c r="E60" t="s">
        <v>649</v>
      </c>
      <c r="F60">
        <v>3</v>
      </c>
      <c r="G60" t="s">
        <v>646</v>
      </c>
    </row>
    <row r="61" spans="1:7" x14ac:dyDescent="0.35">
      <c r="A61" t="s">
        <v>155</v>
      </c>
      <c r="B61" t="s">
        <v>710</v>
      </c>
      <c r="C61" s="2">
        <v>45523</v>
      </c>
      <c r="D61" t="s">
        <v>642</v>
      </c>
      <c r="E61" t="s">
        <v>643</v>
      </c>
      <c r="F61">
        <v>2</v>
      </c>
      <c r="G61" t="s">
        <v>644</v>
      </c>
    </row>
    <row r="62" spans="1:7" x14ac:dyDescent="0.35">
      <c r="A62" t="s">
        <v>157</v>
      </c>
      <c r="B62" t="s">
        <v>711</v>
      </c>
      <c r="C62" s="2">
        <v>45409</v>
      </c>
      <c r="D62" t="s">
        <v>655</v>
      </c>
      <c r="E62" t="s">
        <v>649</v>
      </c>
      <c r="F62">
        <v>0</v>
      </c>
      <c r="G62" t="s">
        <v>644</v>
      </c>
    </row>
    <row r="63" spans="1:7" x14ac:dyDescent="0.35">
      <c r="A63" t="s">
        <v>159</v>
      </c>
      <c r="B63" t="s">
        <v>712</v>
      </c>
      <c r="C63" s="2">
        <v>44595</v>
      </c>
      <c r="D63" t="s">
        <v>648</v>
      </c>
      <c r="E63" t="s">
        <v>652</v>
      </c>
      <c r="F63">
        <v>2</v>
      </c>
      <c r="G63" t="s">
        <v>646</v>
      </c>
    </row>
    <row r="64" spans="1:7" x14ac:dyDescent="0.35">
      <c r="A64" t="s">
        <v>161</v>
      </c>
      <c r="B64" t="s">
        <v>713</v>
      </c>
      <c r="C64" s="2">
        <v>44963</v>
      </c>
      <c r="D64" t="s">
        <v>655</v>
      </c>
      <c r="E64" t="s">
        <v>652</v>
      </c>
      <c r="F64">
        <v>2</v>
      </c>
      <c r="G64" t="s">
        <v>644</v>
      </c>
    </row>
    <row r="65" spans="1:7" x14ac:dyDescent="0.35">
      <c r="A65" t="s">
        <v>163</v>
      </c>
      <c r="B65" t="s">
        <v>714</v>
      </c>
      <c r="C65" s="2">
        <v>46268</v>
      </c>
      <c r="D65" t="s">
        <v>655</v>
      </c>
      <c r="E65" t="s">
        <v>643</v>
      </c>
      <c r="F65">
        <v>1</v>
      </c>
      <c r="G65" t="s">
        <v>646</v>
      </c>
    </row>
    <row r="66" spans="1:7" x14ac:dyDescent="0.35">
      <c r="A66" t="s">
        <v>165</v>
      </c>
      <c r="B66" t="s">
        <v>715</v>
      </c>
      <c r="C66" s="2">
        <v>45964</v>
      </c>
      <c r="D66" t="s">
        <v>648</v>
      </c>
      <c r="E66" t="s">
        <v>643</v>
      </c>
      <c r="F66">
        <v>2</v>
      </c>
      <c r="G66" t="s">
        <v>673</v>
      </c>
    </row>
    <row r="67" spans="1:7" x14ac:dyDescent="0.35">
      <c r="A67" t="s">
        <v>167</v>
      </c>
      <c r="B67" t="s">
        <v>716</v>
      </c>
      <c r="C67" s="2">
        <v>45876</v>
      </c>
      <c r="D67" t="s">
        <v>655</v>
      </c>
      <c r="E67" t="s">
        <v>643</v>
      </c>
      <c r="F67">
        <v>3</v>
      </c>
      <c r="G67" t="s">
        <v>646</v>
      </c>
    </row>
    <row r="68" spans="1:7" x14ac:dyDescent="0.35">
      <c r="A68" t="s">
        <v>169</v>
      </c>
      <c r="B68" t="s">
        <v>717</v>
      </c>
      <c r="C68" s="2">
        <v>46190</v>
      </c>
      <c r="D68" t="s">
        <v>642</v>
      </c>
      <c r="E68" t="s">
        <v>643</v>
      </c>
      <c r="F68">
        <v>2</v>
      </c>
      <c r="G68" t="s">
        <v>644</v>
      </c>
    </row>
    <row r="69" spans="1:7" x14ac:dyDescent="0.35">
      <c r="A69" t="s">
        <v>171</v>
      </c>
      <c r="B69" t="s">
        <v>696</v>
      </c>
      <c r="C69" s="2">
        <v>45681</v>
      </c>
      <c r="D69" t="s">
        <v>642</v>
      </c>
      <c r="E69" t="s">
        <v>643</v>
      </c>
      <c r="F69">
        <v>3</v>
      </c>
      <c r="G69" t="s">
        <v>644</v>
      </c>
    </row>
    <row r="70" spans="1:7" x14ac:dyDescent="0.35">
      <c r="A70" t="s">
        <v>173</v>
      </c>
      <c r="B70" t="s">
        <v>718</v>
      </c>
      <c r="C70" s="2">
        <v>44682</v>
      </c>
      <c r="D70" t="s">
        <v>648</v>
      </c>
      <c r="E70" t="s">
        <v>643</v>
      </c>
      <c r="F70">
        <v>4</v>
      </c>
      <c r="G70" t="s">
        <v>650</v>
      </c>
    </row>
    <row r="71" spans="1:7" x14ac:dyDescent="0.35">
      <c r="A71" t="s">
        <v>175</v>
      </c>
      <c r="B71" t="s">
        <v>719</v>
      </c>
      <c r="C71" s="2">
        <v>44661</v>
      </c>
      <c r="D71" t="s">
        <v>642</v>
      </c>
      <c r="E71" t="s">
        <v>643</v>
      </c>
      <c r="F71">
        <v>0</v>
      </c>
      <c r="G71" t="s">
        <v>646</v>
      </c>
    </row>
    <row r="72" spans="1:7" x14ac:dyDescent="0.35">
      <c r="A72" t="s">
        <v>177</v>
      </c>
      <c r="B72" t="s">
        <v>720</v>
      </c>
      <c r="C72" s="2">
        <v>45035</v>
      </c>
      <c r="D72" t="s">
        <v>642</v>
      </c>
      <c r="E72" t="s">
        <v>643</v>
      </c>
      <c r="F72">
        <v>0</v>
      </c>
      <c r="G72" t="s">
        <v>644</v>
      </c>
    </row>
    <row r="73" spans="1:7" x14ac:dyDescent="0.35">
      <c r="A73" t="s">
        <v>179</v>
      </c>
      <c r="B73" t="s">
        <v>721</v>
      </c>
      <c r="C73" s="2">
        <v>45597</v>
      </c>
      <c r="D73" t="s">
        <v>642</v>
      </c>
      <c r="E73" t="s">
        <v>652</v>
      </c>
      <c r="F73">
        <v>3</v>
      </c>
      <c r="G73" t="s">
        <v>673</v>
      </c>
    </row>
    <row r="74" spans="1:7" x14ac:dyDescent="0.35">
      <c r="A74" t="s">
        <v>181</v>
      </c>
      <c r="B74" t="s">
        <v>722</v>
      </c>
      <c r="C74" s="2">
        <v>45868</v>
      </c>
      <c r="D74" t="s">
        <v>642</v>
      </c>
      <c r="E74" t="s">
        <v>643</v>
      </c>
      <c r="F74">
        <v>4</v>
      </c>
      <c r="G74" t="s">
        <v>646</v>
      </c>
    </row>
    <row r="75" spans="1:7" x14ac:dyDescent="0.35">
      <c r="A75" t="s">
        <v>183</v>
      </c>
      <c r="B75" t="s">
        <v>723</v>
      </c>
      <c r="C75" s="2">
        <v>44594</v>
      </c>
      <c r="D75" t="s">
        <v>648</v>
      </c>
      <c r="E75" t="s">
        <v>649</v>
      </c>
      <c r="F75">
        <v>0</v>
      </c>
      <c r="G75" t="s">
        <v>646</v>
      </c>
    </row>
    <row r="76" spans="1:7" x14ac:dyDescent="0.35">
      <c r="A76" t="s">
        <v>185</v>
      </c>
      <c r="B76" t="s">
        <v>724</v>
      </c>
      <c r="C76" s="2">
        <v>45646</v>
      </c>
      <c r="D76" t="s">
        <v>642</v>
      </c>
      <c r="E76" t="s">
        <v>652</v>
      </c>
      <c r="F76">
        <v>2</v>
      </c>
      <c r="G76" t="s">
        <v>673</v>
      </c>
    </row>
    <row r="77" spans="1:7" x14ac:dyDescent="0.35">
      <c r="A77" t="s">
        <v>187</v>
      </c>
      <c r="B77" t="s">
        <v>725</v>
      </c>
      <c r="C77" s="2">
        <v>46227</v>
      </c>
      <c r="D77" t="s">
        <v>642</v>
      </c>
      <c r="E77" t="s">
        <v>643</v>
      </c>
      <c r="F77">
        <v>3</v>
      </c>
      <c r="G77" t="s">
        <v>644</v>
      </c>
    </row>
    <row r="78" spans="1:7" x14ac:dyDescent="0.35">
      <c r="A78" t="s">
        <v>189</v>
      </c>
      <c r="B78" t="s">
        <v>726</v>
      </c>
      <c r="C78" s="2">
        <v>45635</v>
      </c>
      <c r="D78" t="s">
        <v>642</v>
      </c>
      <c r="E78" t="s">
        <v>652</v>
      </c>
      <c r="F78">
        <v>1</v>
      </c>
      <c r="G78" t="s">
        <v>644</v>
      </c>
    </row>
    <row r="79" spans="1:7" x14ac:dyDescent="0.35">
      <c r="A79" t="s">
        <v>191</v>
      </c>
      <c r="B79" t="s">
        <v>727</v>
      </c>
      <c r="C79" s="2">
        <v>45640</v>
      </c>
      <c r="D79" t="s">
        <v>642</v>
      </c>
      <c r="E79" t="s">
        <v>643</v>
      </c>
      <c r="F79">
        <v>2</v>
      </c>
      <c r="G79" t="s">
        <v>673</v>
      </c>
    </row>
    <row r="80" spans="1:7" x14ac:dyDescent="0.35">
      <c r="A80" t="s">
        <v>193</v>
      </c>
      <c r="B80" t="s">
        <v>728</v>
      </c>
      <c r="C80" s="2">
        <v>44723</v>
      </c>
      <c r="D80" t="s">
        <v>655</v>
      </c>
      <c r="E80" t="s">
        <v>649</v>
      </c>
      <c r="F80">
        <v>2</v>
      </c>
      <c r="G80" t="s">
        <v>646</v>
      </c>
    </row>
    <row r="81" spans="1:7" x14ac:dyDescent="0.35">
      <c r="A81" t="s">
        <v>195</v>
      </c>
      <c r="B81" t="s">
        <v>729</v>
      </c>
      <c r="C81" s="2">
        <v>45060</v>
      </c>
      <c r="D81" t="s">
        <v>655</v>
      </c>
      <c r="E81" t="s">
        <v>643</v>
      </c>
      <c r="F81">
        <v>1</v>
      </c>
      <c r="G81" t="s">
        <v>673</v>
      </c>
    </row>
    <row r="82" spans="1:7" x14ac:dyDescent="0.35">
      <c r="A82" t="s">
        <v>197</v>
      </c>
      <c r="B82" t="s">
        <v>730</v>
      </c>
      <c r="C82" s="2">
        <v>45900</v>
      </c>
      <c r="D82" t="s">
        <v>648</v>
      </c>
      <c r="E82" t="s">
        <v>652</v>
      </c>
      <c r="F82">
        <v>0</v>
      </c>
      <c r="G82" t="s">
        <v>650</v>
      </c>
    </row>
    <row r="83" spans="1:7" x14ac:dyDescent="0.35">
      <c r="A83" t="s">
        <v>199</v>
      </c>
      <c r="B83" t="s">
        <v>731</v>
      </c>
      <c r="C83" s="2">
        <v>45334</v>
      </c>
      <c r="D83" t="s">
        <v>655</v>
      </c>
      <c r="E83" t="s">
        <v>649</v>
      </c>
      <c r="F83">
        <v>4</v>
      </c>
      <c r="G83" t="s">
        <v>646</v>
      </c>
    </row>
    <row r="84" spans="1:7" x14ac:dyDescent="0.35">
      <c r="A84" t="s">
        <v>201</v>
      </c>
      <c r="B84" t="s">
        <v>732</v>
      </c>
      <c r="C84" s="2">
        <v>44581</v>
      </c>
      <c r="D84" t="s">
        <v>642</v>
      </c>
      <c r="E84" t="s">
        <v>643</v>
      </c>
      <c r="F84">
        <v>1</v>
      </c>
      <c r="G84" t="s">
        <v>650</v>
      </c>
    </row>
    <row r="85" spans="1:7" x14ac:dyDescent="0.35">
      <c r="A85" t="s">
        <v>203</v>
      </c>
      <c r="B85" t="s">
        <v>733</v>
      </c>
      <c r="C85" s="2">
        <v>45882</v>
      </c>
      <c r="D85" t="s">
        <v>655</v>
      </c>
      <c r="E85" t="s">
        <v>649</v>
      </c>
      <c r="F85">
        <v>2</v>
      </c>
      <c r="G85" t="s">
        <v>650</v>
      </c>
    </row>
    <row r="86" spans="1:7" x14ac:dyDescent="0.35">
      <c r="A86" t="s">
        <v>205</v>
      </c>
      <c r="B86" t="s">
        <v>734</v>
      </c>
      <c r="C86" s="2">
        <v>45032</v>
      </c>
      <c r="D86" t="s">
        <v>648</v>
      </c>
      <c r="E86" t="s">
        <v>652</v>
      </c>
      <c r="F86">
        <v>1</v>
      </c>
      <c r="G86" t="s">
        <v>646</v>
      </c>
    </row>
    <row r="87" spans="1:7" x14ac:dyDescent="0.35">
      <c r="A87" t="s">
        <v>207</v>
      </c>
      <c r="B87" t="s">
        <v>735</v>
      </c>
      <c r="C87" s="2">
        <v>44714</v>
      </c>
      <c r="D87" t="s">
        <v>655</v>
      </c>
      <c r="E87" t="s">
        <v>652</v>
      </c>
      <c r="F87">
        <v>2</v>
      </c>
      <c r="G87" t="s">
        <v>650</v>
      </c>
    </row>
    <row r="88" spans="1:7" x14ac:dyDescent="0.35">
      <c r="A88" t="s">
        <v>209</v>
      </c>
      <c r="B88" t="s">
        <v>736</v>
      </c>
      <c r="C88" s="2">
        <v>44594</v>
      </c>
      <c r="D88" t="s">
        <v>642</v>
      </c>
      <c r="E88" t="s">
        <v>649</v>
      </c>
      <c r="F88">
        <v>1</v>
      </c>
      <c r="G88" t="s">
        <v>644</v>
      </c>
    </row>
    <row r="89" spans="1:7" x14ac:dyDescent="0.35">
      <c r="A89" t="s">
        <v>211</v>
      </c>
      <c r="B89" t="s">
        <v>737</v>
      </c>
      <c r="C89" s="2">
        <v>44719</v>
      </c>
      <c r="D89" t="s">
        <v>648</v>
      </c>
      <c r="E89" t="s">
        <v>649</v>
      </c>
      <c r="F89">
        <v>2</v>
      </c>
      <c r="G89" t="s">
        <v>644</v>
      </c>
    </row>
    <row r="90" spans="1:7" x14ac:dyDescent="0.35">
      <c r="A90" t="s">
        <v>213</v>
      </c>
      <c r="B90" t="s">
        <v>738</v>
      </c>
      <c r="C90" s="2">
        <v>45722</v>
      </c>
      <c r="D90" t="s">
        <v>648</v>
      </c>
      <c r="E90" t="s">
        <v>652</v>
      </c>
      <c r="F90">
        <v>3</v>
      </c>
      <c r="G90" t="s">
        <v>673</v>
      </c>
    </row>
    <row r="91" spans="1:7" x14ac:dyDescent="0.35">
      <c r="A91" t="s">
        <v>215</v>
      </c>
      <c r="B91" t="s">
        <v>739</v>
      </c>
      <c r="C91" s="2">
        <v>44848</v>
      </c>
      <c r="D91" t="s">
        <v>655</v>
      </c>
      <c r="E91" t="s">
        <v>643</v>
      </c>
      <c r="F91">
        <v>0</v>
      </c>
      <c r="G91" t="s">
        <v>673</v>
      </c>
    </row>
    <row r="92" spans="1:7" x14ac:dyDescent="0.35">
      <c r="A92" t="s">
        <v>217</v>
      </c>
      <c r="B92" t="s">
        <v>740</v>
      </c>
      <c r="C92" s="2">
        <v>45457</v>
      </c>
      <c r="D92" t="s">
        <v>642</v>
      </c>
      <c r="E92" t="s">
        <v>652</v>
      </c>
      <c r="F92">
        <v>1</v>
      </c>
      <c r="G92" t="s">
        <v>650</v>
      </c>
    </row>
    <row r="93" spans="1:7" x14ac:dyDescent="0.35">
      <c r="A93" t="s">
        <v>219</v>
      </c>
      <c r="B93" t="s">
        <v>741</v>
      </c>
      <c r="C93" s="2">
        <v>46136</v>
      </c>
      <c r="D93" t="s">
        <v>655</v>
      </c>
      <c r="E93" t="s">
        <v>643</v>
      </c>
      <c r="F93">
        <v>4</v>
      </c>
      <c r="G93" t="s">
        <v>646</v>
      </c>
    </row>
    <row r="94" spans="1:7" x14ac:dyDescent="0.35">
      <c r="A94" t="s">
        <v>221</v>
      </c>
      <c r="B94" t="s">
        <v>742</v>
      </c>
      <c r="C94" s="2">
        <v>45860</v>
      </c>
      <c r="D94" t="s">
        <v>655</v>
      </c>
      <c r="E94" t="s">
        <v>652</v>
      </c>
      <c r="F94">
        <v>2</v>
      </c>
      <c r="G94" t="s">
        <v>646</v>
      </c>
    </row>
    <row r="95" spans="1:7" x14ac:dyDescent="0.35">
      <c r="A95" t="s">
        <v>223</v>
      </c>
      <c r="B95" t="s">
        <v>743</v>
      </c>
      <c r="C95" s="2">
        <v>45290</v>
      </c>
      <c r="D95" t="s">
        <v>655</v>
      </c>
      <c r="E95" t="s">
        <v>652</v>
      </c>
      <c r="F95">
        <v>4</v>
      </c>
      <c r="G95" t="s">
        <v>646</v>
      </c>
    </row>
    <row r="96" spans="1:7" x14ac:dyDescent="0.35">
      <c r="A96" t="s">
        <v>225</v>
      </c>
      <c r="B96" t="s">
        <v>744</v>
      </c>
      <c r="C96" s="2">
        <v>45954</v>
      </c>
      <c r="D96" t="s">
        <v>655</v>
      </c>
      <c r="E96" t="s">
        <v>652</v>
      </c>
      <c r="F96">
        <v>4</v>
      </c>
      <c r="G96" t="s">
        <v>646</v>
      </c>
    </row>
    <row r="97" spans="1:7" x14ac:dyDescent="0.35">
      <c r="A97" t="s">
        <v>227</v>
      </c>
      <c r="B97" t="s">
        <v>745</v>
      </c>
      <c r="C97" s="2">
        <v>45166</v>
      </c>
      <c r="D97" t="s">
        <v>642</v>
      </c>
      <c r="E97" t="s">
        <v>643</v>
      </c>
      <c r="F97">
        <v>1</v>
      </c>
      <c r="G97" t="s">
        <v>650</v>
      </c>
    </row>
    <row r="98" spans="1:7" x14ac:dyDescent="0.35">
      <c r="A98" t="s">
        <v>229</v>
      </c>
      <c r="B98" t="s">
        <v>746</v>
      </c>
      <c r="C98" s="2">
        <v>44877</v>
      </c>
      <c r="D98" t="s">
        <v>642</v>
      </c>
      <c r="E98" t="s">
        <v>649</v>
      </c>
      <c r="F98">
        <v>3</v>
      </c>
      <c r="G98" t="s">
        <v>644</v>
      </c>
    </row>
    <row r="99" spans="1:7" x14ac:dyDescent="0.35">
      <c r="A99" t="s">
        <v>231</v>
      </c>
      <c r="B99" t="s">
        <v>747</v>
      </c>
      <c r="C99" s="2">
        <v>45210</v>
      </c>
      <c r="D99" t="s">
        <v>648</v>
      </c>
      <c r="E99" t="s">
        <v>649</v>
      </c>
      <c r="F99">
        <v>2</v>
      </c>
      <c r="G99" t="s">
        <v>650</v>
      </c>
    </row>
    <row r="100" spans="1:7" x14ac:dyDescent="0.35">
      <c r="A100" t="s">
        <v>233</v>
      </c>
      <c r="B100" t="s">
        <v>748</v>
      </c>
      <c r="C100" s="2">
        <v>45193</v>
      </c>
      <c r="D100" t="s">
        <v>642</v>
      </c>
      <c r="E100" t="s">
        <v>652</v>
      </c>
      <c r="F100">
        <v>3</v>
      </c>
      <c r="G100" t="s">
        <v>673</v>
      </c>
    </row>
    <row r="101" spans="1:7" x14ac:dyDescent="0.35">
      <c r="A101" t="s">
        <v>235</v>
      </c>
      <c r="B101" t="s">
        <v>749</v>
      </c>
      <c r="C101" s="2">
        <v>44833</v>
      </c>
      <c r="D101" t="s">
        <v>655</v>
      </c>
      <c r="E101" t="s">
        <v>652</v>
      </c>
      <c r="F101">
        <v>0</v>
      </c>
      <c r="G101" t="s">
        <v>644</v>
      </c>
    </row>
    <row r="102" spans="1:7" x14ac:dyDescent="0.35">
      <c r="A102" t="s">
        <v>237</v>
      </c>
      <c r="B102" t="s">
        <v>750</v>
      </c>
      <c r="C102" s="2">
        <v>45702</v>
      </c>
      <c r="D102" t="s">
        <v>655</v>
      </c>
      <c r="E102" t="s">
        <v>649</v>
      </c>
      <c r="F102">
        <v>4</v>
      </c>
      <c r="G102" t="s">
        <v>646</v>
      </c>
    </row>
    <row r="103" spans="1:7" x14ac:dyDescent="0.35">
      <c r="A103" t="s">
        <v>239</v>
      </c>
      <c r="B103" t="s">
        <v>751</v>
      </c>
      <c r="C103" s="2">
        <v>44745</v>
      </c>
      <c r="D103" t="s">
        <v>642</v>
      </c>
      <c r="E103" t="s">
        <v>652</v>
      </c>
      <c r="F103">
        <v>2</v>
      </c>
      <c r="G103" t="s">
        <v>650</v>
      </c>
    </row>
    <row r="104" spans="1:7" x14ac:dyDescent="0.35">
      <c r="A104" t="s">
        <v>241</v>
      </c>
      <c r="B104" t="s">
        <v>752</v>
      </c>
      <c r="C104" s="2">
        <v>46168</v>
      </c>
      <c r="D104" t="s">
        <v>648</v>
      </c>
      <c r="E104" t="s">
        <v>643</v>
      </c>
      <c r="F104">
        <v>2</v>
      </c>
      <c r="G104" t="s">
        <v>646</v>
      </c>
    </row>
    <row r="105" spans="1:7" x14ac:dyDescent="0.35">
      <c r="A105" t="s">
        <v>243</v>
      </c>
      <c r="B105" t="s">
        <v>753</v>
      </c>
      <c r="C105" s="2">
        <v>45409</v>
      </c>
      <c r="D105" t="s">
        <v>642</v>
      </c>
      <c r="E105" t="s">
        <v>649</v>
      </c>
      <c r="F105">
        <v>3</v>
      </c>
      <c r="G105" t="s">
        <v>650</v>
      </c>
    </row>
    <row r="106" spans="1:7" x14ac:dyDescent="0.35">
      <c r="A106" t="s">
        <v>245</v>
      </c>
      <c r="B106" t="s">
        <v>754</v>
      </c>
      <c r="C106" s="2">
        <v>45059</v>
      </c>
      <c r="D106" t="s">
        <v>648</v>
      </c>
      <c r="E106" t="s">
        <v>643</v>
      </c>
      <c r="F106">
        <v>4</v>
      </c>
      <c r="G106" t="s">
        <v>644</v>
      </c>
    </row>
    <row r="107" spans="1:7" x14ac:dyDescent="0.35">
      <c r="A107" t="s">
        <v>247</v>
      </c>
      <c r="B107" t="s">
        <v>755</v>
      </c>
      <c r="C107" s="2">
        <v>44909</v>
      </c>
      <c r="D107" t="s">
        <v>648</v>
      </c>
      <c r="E107" t="s">
        <v>649</v>
      </c>
      <c r="F107">
        <v>1</v>
      </c>
      <c r="G107" t="s">
        <v>673</v>
      </c>
    </row>
    <row r="108" spans="1:7" x14ac:dyDescent="0.35">
      <c r="A108" t="s">
        <v>249</v>
      </c>
      <c r="B108" t="s">
        <v>756</v>
      </c>
      <c r="C108" s="2">
        <v>45571</v>
      </c>
      <c r="D108" t="s">
        <v>655</v>
      </c>
      <c r="E108" t="s">
        <v>649</v>
      </c>
      <c r="F108">
        <v>1</v>
      </c>
      <c r="G108" t="s">
        <v>650</v>
      </c>
    </row>
    <row r="109" spans="1:7" x14ac:dyDescent="0.35">
      <c r="A109" t="s">
        <v>251</v>
      </c>
      <c r="B109" t="s">
        <v>757</v>
      </c>
      <c r="C109" s="2">
        <v>45127</v>
      </c>
      <c r="D109" t="s">
        <v>642</v>
      </c>
      <c r="E109" t="s">
        <v>649</v>
      </c>
      <c r="F109">
        <v>3</v>
      </c>
      <c r="G109" t="s">
        <v>673</v>
      </c>
    </row>
    <row r="110" spans="1:7" x14ac:dyDescent="0.35">
      <c r="A110" t="s">
        <v>253</v>
      </c>
      <c r="B110" t="s">
        <v>758</v>
      </c>
      <c r="C110" s="2">
        <v>45301</v>
      </c>
      <c r="D110" t="s">
        <v>655</v>
      </c>
      <c r="E110" t="s">
        <v>652</v>
      </c>
      <c r="F110">
        <v>2</v>
      </c>
      <c r="G110" t="s">
        <v>644</v>
      </c>
    </row>
    <row r="111" spans="1:7" x14ac:dyDescent="0.35">
      <c r="A111" t="s">
        <v>255</v>
      </c>
      <c r="B111" t="s">
        <v>759</v>
      </c>
      <c r="C111" s="2">
        <v>45577</v>
      </c>
      <c r="D111" t="s">
        <v>648</v>
      </c>
      <c r="E111" t="s">
        <v>643</v>
      </c>
      <c r="F111">
        <v>4</v>
      </c>
      <c r="G111" t="s">
        <v>644</v>
      </c>
    </row>
    <row r="112" spans="1:7" x14ac:dyDescent="0.35">
      <c r="A112" t="s">
        <v>257</v>
      </c>
      <c r="B112" t="s">
        <v>760</v>
      </c>
      <c r="C112" s="2">
        <v>44839</v>
      </c>
      <c r="D112" t="s">
        <v>655</v>
      </c>
      <c r="E112" t="s">
        <v>652</v>
      </c>
      <c r="F112">
        <v>2</v>
      </c>
      <c r="G112" t="s">
        <v>650</v>
      </c>
    </row>
    <row r="113" spans="1:7" x14ac:dyDescent="0.35">
      <c r="A113" t="s">
        <v>259</v>
      </c>
      <c r="B113" t="s">
        <v>761</v>
      </c>
      <c r="C113" s="2">
        <v>46285</v>
      </c>
      <c r="D113" t="s">
        <v>655</v>
      </c>
      <c r="E113" t="s">
        <v>649</v>
      </c>
      <c r="F113">
        <v>4</v>
      </c>
      <c r="G113" t="s">
        <v>646</v>
      </c>
    </row>
    <row r="114" spans="1:7" x14ac:dyDescent="0.35">
      <c r="A114" t="s">
        <v>261</v>
      </c>
      <c r="B114" t="s">
        <v>762</v>
      </c>
      <c r="C114" s="2">
        <v>45247</v>
      </c>
      <c r="D114" t="s">
        <v>655</v>
      </c>
      <c r="E114" t="s">
        <v>649</v>
      </c>
      <c r="F114">
        <v>3</v>
      </c>
      <c r="G114" t="s">
        <v>644</v>
      </c>
    </row>
    <row r="115" spans="1:7" x14ac:dyDescent="0.35">
      <c r="A115" t="s">
        <v>263</v>
      </c>
      <c r="B115" t="s">
        <v>763</v>
      </c>
      <c r="C115" s="2">
        <v>45797</v>
      </c>
      <c r="D115" t="s">
        <v>655</v>
      </c>
      <c r="E115" t="s">
        <v>649</v>
      </c>
      <c r="F115">
        <v>1</v>
      </c>
      <c r="G115" t="s">
        <v>646</v>
      </c>
    </row>
    <row r="116" spans="1:7" x14ac:dyDescent="0.35">
      <c r="A116" t="s">
        <v>265</v>
      </c>
      <c r="B116" t="s">
        <v>764</v>
      </c>
      <c r="C116" s="2">
        <v>45377</v>
      </c>
      <c r="D116" t="s">
        <v>655</v>
      </c>
      <c r="E116" t="s">
        <v>652</v>
      </c>
      <c r="F116">
        <v>2</v>
      </c>
      <c r="G116" t="s">
        <v>673</v>
      </c>
    </row>
    <row r="117" spans="1:7" x14ac:dyDescent="0.35">
      <c r="A117" t="s">
        <v>267</v>
      </c>
      <c r="B117" t="s">
        <v>765</v>
      </c>
      <c r="C117" s="2">
        <v>45858</v>
      </c>
      <c r="D117" t="s">
        <v>648</v>
      </c>
      <c r="E117" t="s">
        <v>643</v>
      </c>
      <c r="F117">
        <v>3</v>
      </c>
      <c r="G117" t="s">
        <v>644</v>
      </c>
    </row>
    <row r="118" spans="1:7" x14ac:dyDescent="0.35">
      <c r="A118" t="s">
        <v>269</v>
      </c>
      <c r="B118" t="s">
        <v>766</v>
      </c>
      <c r="C118" s="2">
        <v>45136</v>
      </c>
      <c r="D118" t="s">
        <v>655</v>
      </c>
      <c r="E118" t="s">
        <v>649</v>
      </c>
      <c r="F118">
        <v>3</v>
      </c>
      <c r="G118" t="s">
        <v>673</v>
      </c>
    </row>
    <row r="119" spans="1:7" x14ac:dyDescent="0.35">
      <c r="A119" t="s">
        <v>271</v>
      </c>
      <c r="B119" t="s">
        <v>767</v>
      </c>
      <c r="C119" s="2">
        <v>44971</v>
      </c>
      <c r="D119" t="s">
        <v>642</v>
      </c>
      <c r="E119" t="s">
        <v>643</v>
      </c>
      <c r="F119">
        <v>4</v>
      </c>
      <c r="G119" t="s">
        <v>644</v>
      </c>
    </row>
    <row r="120" spans="1:7" x14ac:dyDescent="0.35">
      <c r="A120" t="s">
        <v>273</v>
      </c>
      <c r="B120" t="s">
        <v>768</v>
      </c>
      <c r="C120" s="2">
        <v>44617</v>
      </c>
      <c r="D120" t="s">
        <v>648</v>
      </c>
      <c r="E120" t="s">
        <v>643</v>
      </c>
      <c r="F120">
        <v>3</v>
      </c>
      <c r="G120" t="s">
        <v>644</v>
      </c>
    </row>
    <row r="121" spans="1:7" x14ac:dyDescent="0.35">
      <c r="A121" t="s">
        <v>275</v>
      </c>
      <c r="B121" t="s">
        <v>769</v>
      </c>
      <c r="C121" s="2">
        <v>46264</v>
      </c>
      <c r="D121" t="s">
        <v>655</v>
      </c>
      <c r="E121" t="s">
        <v>649</v>
      </c>
      <c r="F121">
        <v>0</v>
      </c>
      <c r="G121" t="s">
        <v>646</v>
      </c>
    </row>
    <row r="122" spans="1:7" x14ac:dyDescent="0.35">
      <c r="A122" t="s">
        <v>277</v>
      </c>
      <c r="B122" t="s">
        <v>770</v>
      </c>
      <c r="C122" s="2">
        <v>44847</v>
      </c>
      <c r="D122" t="s">
        <v>648</v>
      </c>
      <c r="E122" t="s">
        <v>649</v>
      </c>
      <c r="F122">
        <v>2</v>
      </c>
      <c r="G122" t="s">
        <v>644</v>
      </c>
    </row>
    <row r="123" spans="1:7" x14ac:dyDescent="0.35">
      <c r="A123" t="s">
        <v>279</v>
      </c>
      <c r="B123" t="s">
        <v>771</v>
      </c>
      <c r="C123" s="2">
        <v>44877</v>
      </c>
      <c r="D123" t="s">
        <v>655</v>
      </c>
      <c r="E123" t="s">
        <v>643</v>
      </c>
      <c r="F123">
        <v>3</v>
      </c>
      <c r="G123" t="s">
        <v>646</v>
      </c>
    </row>
    <row r="124" spans="1:7" x14ac:dyDescent="0.35">
      <c r="A124" t="s">
        <v>281</v>
      </c>
      <c r="B124" t="s">
        <v>772</v>
      </c>
      <c r="C124" s="2">
        <v>45786</v>
      </c>
      <c r="D124" t="s">
        <v>642</v>
      </c>
      <c r="E124" t="s">
        <v>649</v>
      </c>
      <c r="F124">
        <v>3</v>
      </c>
      <c r="G124" t="s">
        <v>646</v>
      </c>
    </row>
    <row r="125" spans="1:7" x14ac:dyDescent="0.35">
      <c r="A125" t="s">
        <v>283</v>
      </c>
      <c r="B125" t="s">
        <v>773</v>
      </c>
      <c r="C125" s="2">
        <v>46343</v>
      </c>
      <c r="D125" t="s">
        <v>648</v>
      </c>
      <c r="E125" t="s">
        <v>643</v>
      </c>
      <c r="F125">
        <v>3</v>
      </c>
      <c r="G125" t="s">
        <v>650</v>
      </c>
    </row>
    <row r="126" spans="1:7" x14ac:dyDescent="0.35">
      <c r="A126" t="s">
        <v>285</v>
      </c>
      <c r="B126" t="s">
        <v>774</v>
      </c>
      <c r="C126" s="2">
        <v>46225</v>
      </c>
      <c r="D126" t="s">
        <v>655</v>
      </c>
      <c r="E126" t="s">
        <v>643</v>
      </c>
      <c r="F126">
        <v>4</v>
      </c>
      <c r="G126" t="s">
        <v>650</v>
      </c>
    </row>
    <row r="127" spans="1:7" x14ac:dyDescent="0.35">
      <c r="A127" t="s">
        <v>287</v>
      </c>
      <c r="B127" t="s">
        <v>775</v>
      </c>
      <c r="C127" s="2">
        <v>45908</v>
      </c>
      <c r="D127" t="s">
        <v>642</v>
      </c>
      <c r="E127" t="s">
        <v>652</v>
      </c>
      <c r="F127">
        <v>2</v>
      </c>
      <c r="G127" t="s">
        <v>644</v>
      </c>
    </row>
    <row r="128" spans="1:7" x14ac:dyDescent="0.35">
      <c r="A128" t="s">
        <v>289</v>
      </c>
      <c r="B128" t="s">
        <v>776</v>
      </c>
      <c r="C128" s="2">
        <v>44652</v>
      </c>
      <c r="D128" t="s">
        <v>648</v>
      </c>
      <c r="E128" t="s">
        <v>643</v>
      </c>
      <c r="F128">
        <v>4</v>
      </c>
      <c r="G128" t="s">
        <v>646</v>
      </c>
    </row>
    <row r="129" spans="1:7" x14ac:dyDescent="0.35">
      <c r="A129" t="s">
        <v>291</v>
      </c>
      <c r="B129" t="s">
        <v>777</v>
      </c>
      <c r="C129" s="2">
        <v>44778</v>
      </c>
      <c r="D129" t="s">
        <v>655</v>
      </c>
      <c r="E129" t="s">
        <v>649</v>
      </c>
      <c r="F129">
        <v>0</v>
      </c>
      <c r="G129" t="s">
        <v>650</v>
      </c>
    </row>
    <row r="130" spans="1:7" x14ac:dyDescent="0.35">
      <c r="A130" t="s">
        <v>293</v>
      </c>
      <c r="B130" t="s">
        <v>778</v>
      </c>
      <c r="C130" s="2">
        <v>45607</v>
      </c>
      <c r="D130" t="s">
        <v>655</v>
      </c>
      <c r="E130" t="s">
        <v>652</v>
      </c>
      <c r="F130">
        <v>4</v>
      </c>
      <c r="G130" t="s">
        <v>644</v>
      </c>
    </row>
    <row r="131" spans="1:7" x14ac:dyDescent="0.35">
      <c r="A131" t="s">
        <v>295</v>
      </c>
      <c r="B131" t="s">
        <v>779</v>
      </c>
      <c r="C131" s="2">
        <v>45363</v>
      </c>
      <c r="D131" t="s">
        <v>655</v>
      </c>
      <c r="E131" t="s">
        <v>649</v>
      </c>
      <c r="F131">
        <v>3</v>
      </c>
      <c r="G131" t="s">
        <v>644</v>
      </c>
    </row>
    <row r="132" spans="1:7" x14ac:dyDescent="0.35">
      <c r="A132" t="s">
        <v>297</v>
      </c>
      <c r="B132" t="s">
        <v>780</v>
      </c>
      <c r="C132" s="2">
        <v>45550</v>
      </c>
      <c r="D132" t="s">
        <v>655</v>
      </c>
      <c r="E132" t="s">
        <v>652</v>
      </c>
      <c r="F132">
        <v>0</v>
      </c>
      <c r="G132" t="s">
        <v>673</v>
      </c>
    </row>
    <row r="133" spans="1:7" x14ac:dyDescent="0.35">
      <c r="A133" t="s">
        <v>299</v>
      </c>
      <c r="B133" t="s">
        <v>781</v>
      </c>
      <c r="C133" s="2">
        <v>44799</v>
      </c>
      <c r="D133" t="s">
        <v>655</v>
      </c>
      <c r="E133" t="s">
        <v>652</v>
      </c>
      <c r="F133">
        <v>1</v>
      </c>
      <c r="G133" t="s">
        <v>673</v>
      </c>
    </row>
    <row r="134" spans="1:7" x14ac:dyDescent="0.35">
      <c r="A134" t="s">
        <v>301</v>
      </c>
      <c r="B134" t="s">
        <v>782</v>
      </c>
      <c r="C134" s="2">
        <v>45494</v>
      </c>
      <c r="D134" t="s">
        <v>655</v>
      </c>
      <c r="E134" t="s">
        <v>649</v>
      </c>
      <c r="F134">
        <v>1</v>
      </c>
      <c r="G134" t="s">
        <v>646</v>
      </c>
    </row>
    <row r="135" spans="1:7" x14ac:dyDescent="0.35">
      <c r="A135" t="s">
        <v>303</v>
      </c>
      <c r="B135" t="s">
        <v>783</v>
      </c>
      <c r="C135" s="2">
        <v>44761</v>
      </c>
      <c r="D135" t="s">
        <v>655</v>
      </c>
      <c r="E135" t="s">
        <v>649</v>
      </c>
      <c r="F135">
        <v>3</v>
      </c>
      <c r="G135" t="s">
        <v>646</v>
      </c>
    </row>
    <row r="136" spans="1:7" x14ac:dyDescent="0.35">
      <c r="A136" t="s">
        <v>305</v>
      </c>
      <c r="B136" t="s">
        <v>784</v>
      </c>
      <c r="C136" s="2">
        <v>45176</v>
      </c>
      <c r="D136" t="s">
        <v>655</v>
      </c>
      <c r="E136" t="s">
        <v>652</v>
      </c>
      <c r="F136">
        <v>0</v>
      </c>
      <c r="G136" t="s">
        <v>650</v>
      </c>
    </row>
    <row r="137" spans="1:7" x14ac:dyDescent="0.35">
      <c r="A137" t="s">
        <v>307</v>
      </c>
      <c r="B137" t="s">
        <v>785</v>
      </c>
      <c r="C137" s="2">
        <v>45889</v>
      </c>
      <c r="D137" t="s">
        <v>642</v>
      </c>
      <c r="E137" t="s">
        <v>649</v>
      </c>
      <c r="F137">
        <v>0</v>
      </c>
      <c r="G137" t="s">
        <v>644</v>
      </c>
    </row>
    <row r="138" spans="1:7" x14ac:dyDescent="0.35">
      <c r="A138" t="s">
        <v>309</v>
      </c>
      <c r="B138" t="s">
        <v>786</v>
      </c>
      <c r="C138" s="2">
        <v>45618</v>
      </c>
      <c r="D138" t="s">
        <v>648</v>
      </c>
      <c r="E138" t="s">
        <v>652</v>
      </c>
      <c r="F138">
        <v>1</v>
      </c>
      <c r="G138" t="s">
        <v>644</v>
      </c>
    </row>
    <row r="139" spans="1:7" x14ac:dyDescent="0.35">
      <c r="A139" t="s">
        <v>311</v>
      </c>
      <c r="B139" t="s">
        <v>787</v>
      </c>
      <c r="C139" s="2">
        <v>45435</v>
      </c>
      <c r="D139" t="s">
        <v>655</v>
      </c>
      <c r="E139" t="s">
        <v>643</v>
      </c>
      <c r="F139">
        <v>3</v>
      </c>
      <c r="G139" t="s">
        <v>644</v>
      </c>
    </row>
    <row r="140" spans="1:7" x14ac:dyDescent="0.35">
      <c r="A140" t="s">
        <v>313</v>
      </c>
      <c r="B140" t="s">
        <v>788</v>
      </c>
      <c r="C140" s="2">
        <v>44939</v>
      </c>
      <c r="D140" t="s">
        <v>655</v>
      </c>
      <c r="E140" t="s">
        <v>643</v>
      </c>
      <c r="F140">
        <v>1</v>
      </c>
      <c r="G140" t="s">
        <v>646</v>
      </c>
    </row>
    <row r="141" spans="1:7" x14ac:dyDescent="0.35">
      <c r="A141" t="s">
        <v>315</v>
      </c>
      <c r="B141" t="s">
        <v>789</v>
      </c>
      <c r="C141" s="2">
        <v>46072</v>
      </c>
      <c r="D141" t="s">
        <v>655</v>
      </c>
      <c r="E141" t="s">
        <v>652</v>
      </c>
      <c r="F141">
        <v>4</v>
      </c>
      <c r="G141" t="s">
        <v>644</v>
      </c>
    </row>
    <row r="142" spans="1:7" x14ac:dyDescent="0.35">
      <c r="A142" t="s">
        <v>317</v>
      </c>
      <c r="B142" t="s">
        <v>790</v>
      </c>
      <c r="C142" s="2">
        <v>45441</v>
      </c>
      <c r="D142" t="s">
        <v>655</v>
      </c>
      <c r="E142" t="s">
        <v>643</v>
      </c>
      <c r="F142">
        <v>3</v>
      </c>
      <c r="G142" t="s">
        <v>650</v>
      </c>
    </row>
    <row r="143" spans="1:7" x14ac:dyDescent="0.35">
      <c r="A143" t="s">
        <v>319</v>
      </c>
      <c r="B143" t="s">
        <v>791</v>
      </c>
      <c r="C143" s="2">
        <v>44983</v>
      </c>
      <c r="D143" t="s">
        <v>648</v>
      </c>
      <c r="E143" t="s">
        <v>652</v>
      </c>
      <c r="F143">
        <v>2</v>
      </c>
      <c r="G143" t="s">
        <v>650</v>
      </c>
    </row>
    <row r="144" spans="1:7" x14ac:dyDescent="0.35">
      <c r="A144" t="s">
        <v>321</v>
      </c>
      <c r="B144" t="s">
        <v>792</v>
      </c>
      <c r="C144" s="2">
        <v>46199</v>
      </c>
      <c r="D144" t="s">
        <v>648</v>
      </c>
      <c r="E144" t="s">
        <v>652</v>
      </c>
      <c r="F144">
        <v>4</v>
      </c>
      <c r="G144" t="s">
        <v>644</v>
      </c>
    </row>
    <row r="145" spans="1:7" x14ac:dyDescent="0.35">
      <c r="A145" t="s">
        <v>323</v>
      </c>
      <c r="B145" t="s">
        <v>793</v>
      </c>
      <c r="C145" s="2">
        <v>44965</v>
      </c>
      <c r="D145" t="s">
        <v>655</v>
      </c>
      <c r="E145" t="s">
        <v>649</v>
      </c>
      <c r="F145">
        <v>3</v>
      </c>
      <c r="G145" t="s">
        <v>650</v>
      </c>
    </row>
    <row r="146" spans="1:7" x14ac:dyDescent="0.35">
      <c r="A146" t="s">
        <v>325</v>
      </c>
      <c r="B146" t="s">
        <v>794</v>
      </c>
      <c r="C146" s="2">
        <v>46328</v>
      </c>
      <c r="D146" t="s">
        <v>655</v>
      </c>
      <c r="E146" t="s">
        <v>643</v>
      </c>
      <c r="F146">
        <v>3</v>
      </c>
      <c r="G146" t="s">
        <v>673</v>
      </c>
    </row>
    <row r="147" spans="1:7" x14ac:dyDescent="0.35">
      <c r="A147" t="s">
        <v>327</v>
      </c>
      <c r="B147" t="s">
        <v>795</v>
      </c>
      <c r="C147" s="2">
        <v>45813</v>
      </c>
      <c r="D147" t="s">
        <v>648</v>
      </c>
      <c r="E147" t="s">
        <v>649</v>
      </c>
      <c r="F147">
        <v>3</v>
      </c>
      <c r="G147" t="s">
        <v>650</v>
      </c>
    </row>
    <row r="148" spans="1:7" x14ac:dyDescent="0.35">
      <c r="A148" t="s">
        <v>329</v>
      </c>
      <c r="B148" t="s">
        <v>796</v>
      </c>
      <c r="C148" s="2">
        <v>46293</v>
      </c>
      <c r="D148" t="s">
        <v>655</v>
      </c>
      <c r="E148" t="s">
        <v>649</v>
      </c>
      <c r="F148">
        <v>3</v>
      </c>
      <c r="G148" t="s">
        <v>644</v>
      </c>
    </row>
    <row r="149" spans="1:7" x14ac:dyDescent="0.35">
      <c r="A149" t="s">
        <v>331</v>
      </c>
      <c r="B149" t="s">
        <v>797</v>
      </c>
      <c r="C149" s="2">
        <v>46201</v>
      </c>
      <c r="D149" t="s">
        <v>648</v>
      </c>
      <c r="E149" t="s">
        <v>643</v>
      </c>
      <c r="F149">
        <v>2</v>
      </c>
      <c r="G149" t="s">
        <v>650</v>
      </c>
    </row>
    <row r="150" spans="1:7" x14ac:dyDescent="0.35">
      <c r="A150" t="s">
        <v>333</v>
      </c>
      <c r="B150" t="s">
        <v>798</v>
      </c>
      <c r="C150" s="2">
        <v>45203</v>
      </c>
      <c r="D150" t="s">
        <v>648</v>
      </c>
      <c r="E150" t="s">
        <v>652</v>
      </c>
      <c r="F150">
        <v>0</v>
      </c>
      <c r="G150" t="s">
        <v>644</v>
      </c>
    </row>
    <row r="151" spans="1:7" x14ac:dyDescent="0.35">
      <c r="A151" t="s">
        <v>335</v>
      </c>
      <c r="B151" t="s">
        <v>799</v>
      </c>
      <c r="C151" s="2">
        <v>44936</v>
      </c>
      <c r="D151" t="s">
        <v>655</v>
      </c>
      <c r="E151" t="s">
        <v>652</v>
      </c>
      <c r="F151">
        <v>2</v>
      </c>
      <c r="G151" t="s">
        <v>644</v>
      </c>
    </row>
    <row r="152" spans="1:7" x14ac:dyDescent="0.35">
      <c r="A152" t="s">
        <v>337</v>
      </c>
      <c r="B152" t="s">
        <v>800</v>
      </c>
      <c r="C152" s="2">
        <v>45418</v>
      </c>
      <c r="D152" t="s">
        <v>648</v>
      </c>
      <c r="E152" t="s">
        <v>649</v>
      </c>
      <c r="F152">
        <v>4</v>
      </c>
      <c r="G152" t="s">
        <v>644</v>
      </c>
    </row>
    <row r="153" spans="1:7" x14ac:dyDescent="0.35">
      <c r="A153" t="s">
        <v>339</v>
      </c>
      <c r="B153" t="s">
        <v>801</v>
      </c>
      <c r="C153" s="2">
        <v>45428</v>
      </c>
      <c r="D153" t="s">
        <v>648</v>
      </c>
      <c r="E153" t="s">
        <v>649</v>
      </c>
      <c r="F153">
        <v>1</v>
      </c>
      <c r="G153" t="s">
        <v>646</v>
      </c>
    </row>
    <row r="154" spans="1:7" x14ac:dyDescent="0.35">
      <c r="A154" t="s">
        <v>341</v>
      </c>
      <c r="B154" t="s">
        <v>802</v>
      </c>
      <c r="C154" s="2">
        <v>45982</v>
      </c>
      <c r="D154" t="s">
        <v>648</v>
      </c>
      <c r="E154" t="s">
        <v>643</v>
      </c>
      <c r="F154">
        <v>1</v>
      </c>
      <c r="G154" t="s">
        <v>644</v>
      </c>
    </row>
    <row r="155" spans="1:7" x14ac:dyDescent="0.35">
      <c r="A155" t="s">
        <v>343</v>
      </c>
      <c r="B155" t="s">
        <v>803</v>
      </c>
      <c r="C155" s="2">
        <v>44849</v>
      </c>
      <c r="D155" t="s">
        <v>655</v>
      </c>
      <c r="E155" t="s">
        <v>649</v>
      </c>
      <c r="F155">
        <v>1</v>
      </c>
      <c r="G155" t="s">
        <v>673</v>
      </c>
    </row>
    <row r="156" spans="1:7" x14ac:dyDescent="0.35">
      <c r="A156" t="s">
        <v>345</v>
      </c>
      <c r="B156" t="s">
        <v>804</v>
      </c>
      <c r="C156" s="2">
        <v>44671</v>
      </c>
      <c r="D156" t="s">
        <v>655</v>
      </c>
      <c r="E156" t="s">
        <v>643</v>
      </c>
      <c r="F156">
        <v>2</v>
      </c>
      <c r="G156" t="s">
        <v>650</v>
      </c>
    </row>
    <row r="157" spans="1:7" x14ac:dyDescent="0.35">
      <c r="A157" t="s">
        <v>347</v>
      </c>
      <c r="B157" t="s">
        <v>805</v>
      </c>
      <c r="C157" s="2">
        <v>44961</v>
      </c>
      <c r="D157" t="s">
        <v>655</v>
      </c>
      <c r="E157" t="s">
        <v>652</v>
      </c>
      <c r="F157">
        <v>3</v>
      </c>
      <c r="G157" t="s">
        <v>646</v>
      </c>
    </row>
    <row r="158" spans="1:7" x14ac:dyDescent="0.35">
      <c r="A158" t="s">
        <v>349</v>
      </c>
      <c r="B158" t="s">
        <v>806</v>
      </c>
      <c r="C158" s="2">
        <v>45569</v>
      </c>
      <c r="D158" t="s">
        <v>655</v>
      </c>
      <c r="E158" t="s">
        <v>643</v>
      </c>
      <c r="F158">
        <v>3</v>
      </c>
      <c r="G158" t="s">
        <v>646</v>
      </c>
    </row>
    <row r="159" spans="1:7" x14ac:dyDescent="0.35">
      <c r="A159" t="s">
        <v>351</v>
      </c>
      <c r="B159" t="s">
        <v>807</v>
      </c>
      <c r="C159" s="2">
        <v>44731</v>
      </c>
      <c r="D159" t="s">
        <v>655</v>
      </c>
      <c r="E159" t="s">
        <v>652</v>
      </c>
      <c r="F159">
        <v>4</v>
      </c>
      <c r="G159" t="s">
        <v>650</v>
      </c>
    </row>
    <row r="160" spans="1:7" x14ac:dyDescent="0.35">
      <c r="A160" t="s">
        <v>353</v>
      </c>
      <c r="B160" t="s">
        <v>808</v>
      </c>
      <c r="C160" s="2">
        <v>44628</v>
      </c>
      <c r="D160" t="s">
        <v>642</v>
      </c>
      <c r="E160" t="s">
        <v>649</v>
      </c>
      <c r="F160">
        <v>2</v>
      </c>
      <c r="G160" t="s">
        <v>644</v>
      </c>
    </row>
    <row r="161" spans="1:7" x14ac:dyDescent="0.35">
      <c r="A161" t="s">
        <v>355</v>
      </c>
      <c r="B161" t="s">
        <v>809</v>
      </c>
      <c r="C161" s="2">
        <v>44906</v>
      </c>
      <c r="D161" t="s">
        <v>648</v>
      </c>
      <c r="E161" t="s">
        <v>649</v>
      </c>
      <c r="F161">
        <v>3</v>
      </c>
      <c r="G161" t="s">
        <v>646</v>
      </c>
    </row>
    <row r="162" spans="1:7" x14ac:dyDescent="0.35">
      <c r="A162" t="s">
        <v>357</v>
      </c>
      <c r="B162" t="s">
        <v>810</v>
      </c>
      <c r="C162" s="2">
        <v>44793</v>
      </c>
      <c r="D162" t="s">
        <v>648</v>
      </c>
      <c r="E162" t="s">
        <v>643</v>
      </c>
      <c r="F162">
        <v>4</v>
      </c>
      <c r="G162" t="s">
        <v>650</v>
      </c>
    </row>
    <row r="163" spans="1:7" x14ac:dyDescent="0.35">
      <c r="A163" t="s">
        <v>359</v>
      </c>
      <c r="B163" t="s">
        <v>811</v>
      </c>
      <c r="C163" s="2">
        <v>46248</v>
      </c>
      <c r="D163" t="s">
        <v>655</v>
      </c>
      <c r="E163" t="s">
        <v>643</v>
      </c>
      <c r="F163">
        <v>2</v>
      </c>
      <c r="G163" t="s">
        <v>650</v>
      </c>
    </row>
    <row r="164" spans="1:7" x14ac:dyDescent="0.35">
      <c r="A164" t="s">
        <v>361</v>
      </c>
      <c r="B164" t="s">
        <v>812</v>
      </c>
      <c r="C164" s="2">
        <v>45680</v>
      </c>
      <c r="D164" t="s">
        <v>648</v>
      </c>
      <c r="E164" t="s">
        <v>649</v>
      </c>
      <c r="F164">
        <v>1</v>
      </c>
      <c r="G164" t="s">
        <v>646</v>
      </c>
    </row>
    <row r="165" spans="1:7" x14ac:dyDescent="0.35">
      <c r="A165" t="s">
        <v>363</v>
      </c>
      <c r="B165" t="s">
        <v>813</v>
      </c>
      <c r="C165" s="2">
        <v>46261</v>
      </c>
      <c r="D165" t="s">
        <v>642</v>
      </c>
      <c r="E165" t="s">
        <v>643</v>
      </c>
      <c r="F165">
        <v>1</v>
      </c>
      <c r="G165" t="s">
        <v>673</v>
      </c>
    </row>
    <row r="166" spans="1:7" x14ac:dyDescent="0.35">
      <c r="A166" t="s">
        <v>365</v>
      </c>
      <c r="B166" t="s">
        <v>814</v>
      </c>
      <c r="C166" s="2">
        <v>45100</v>
      </c>
      <c r="D166" t="s">
        <v>642</v>
      </c>
      <c r="E166" t="s">
        <v>649</v>
      </c>
      <c r="F166">
        <v>2</v>
      </c>
      <c r="G166" t="s">
        <v>650</v>
      </c>
    </row>
    <row r="167" spans="1:7" x14ac:dyDescent="0.35">
      <c r="A167" t="s">
        <v>367</v>
      </c>
      <c r="B167" t="s">
        <v>815</v>
      </c>
      <c r="C167" s="2">
        <v>46150</v>
      </c>
      <c r="D167" t="s">
        <v>655</v>
      </c>
      <c r="E167" t="s">
        <v>652</v>
      </c>
      <c r="F167">
        <v>1</v>
      </c>
      <c r="G167" t="s">
        <v>644</v>
      </c>
    </row>
    <row r="168" spans="1:7" x14ac:dyDescent="0.35">
      <c r="A168" t="s">
        <v>369</v>
      </c>
      <c r="B168" t="s">
        <v>816</v>
      </c>
      <c r="C168" s="2">
        <v>45973</v>
      </c>
      <c r="D168" t="s">
        <v>648</v>
      </c>
      <c r="E168" t="s">
        <v>643</v>
      </c>
      <c r="F168">
        <v>2</v>
      </c>
      <c r="G168" t="s">
        <v>646</v>
      </c>
    </row>
    <row r="169" spans="1:7" x14ac:dyDescent="0.35">
      <c r="A169" t="s">
        <v>371</v>
      </c>
      <c r="B169" t="s">
        <v>817</v>
      </c>
      <c r="C169" s="2">
        <v>44847</v>
      </c>
      <c r="D169" t="s">
        <v>642</v>
      </c>
      <c r="E169" t="s">
        <v>643</v>
      </c>
      <c r="F169">
        <v>1</v>
      </c>
      <c r="G169" t="s">
        <v>644</v>
      </c>
    </row>
    <row r="170" spans="1:7" x14ac:dyDescent="0.35">
      <c r="A170" t="s">
        <v>373</v>
      </c>
      <c r="B170" t="s">
        <v>818</v>
      </c>
      <c r="C170" s="2">
        <v>45280</v>
      </c>
      <c r="D170" t="s">
        <v>642</v>
      </c>
      <c r="E170" t="s">
        <v>643</v>
      </c>
      <c r="F170">
        <v>4</v>
      </c>
      <c r="G170" t="s">
        <v>673</v>
      </c>
    </row>
    <row r="171" spans="1:7" x14ac:dyDescent="0.35">
      <c r="A171" t="s">
        <v>375</v>
      </c>
      <c r="B171" t="s">
        <v>819</v>
      </c>
      <c r="C171" s="2">
        <v>44906</v>
      </c>
      <c r="D171" t="s">
        <v>648</v>
      </c>
      <c r="E171" t="s">
        <v>643</v>
      </c>
      <c r="F171">
        <v>2</v>
      </c>
      <c r="G171" t="s">
        <v>673</v>
      </c>
    </row>
    <row r="172" spans="1:7" x14ac:dyDescent="0.35">
      <c r="A172" t="s">
        <v>377</v>
      </c>
      <c r="B172" t="s">
        <v>820</v>
      </c>
      <c r="C172" s="2">
        <v>45109</v>
      </c>
      <c r="D172" t="s">
        <v>655</v>
      </c>
      <c r="E172" t="s">
        <v>643</v>
      </c>
      <c r="F172">
        <v>4</v>
      </c>
      <c r="G172" t="s">
        <v>650</v>
      </c>
    </row>
    <row r="173" spans="1:7" x14ac:dyDescent="0.35">
      <c r="A173" t="s">
        <v>379</v>
      </c>
      <c r="B173" t="s">
        <v>821</v>
      </c>
      <c r="C173" s="2">
        <v>44683</v>
      </c>
      <c r="D173" t="s">
        <v>642</v>
      </c>
      <c r="E173" t="s">
        <v>649</v>
      </c>
      <c r="F173">
        <v>2</v>
      </c>
      <c r="G173" t="s">
        <v>644</v>
      </c>
    </row>
    <row r="174" spans="1:7" x14ac:dyDescent="0.35">
      <c r="A174" t="s">
        <v>381</v>
      </c>
      <c r="B174" t="s">
        <v>822</v>
      </c>
      <c r="C174" s="2">
        <v>45073</v>
      </c>
      <c r="D174" t="s">
        <v>648</v>
      </c>
      <c r="E174" t="s">
        <v>652</v>
      </c>
      <c r="F174">
        <v>1</v>
      </c>
      <c r="G174" t="s">
        <v>673</v>
      </c>
    </row>
    <row r="175" spans="1:7" x14ac:dyDescent="0.35">
      <c r="A175" t="s">
        <v>383</v>
      </c>
      <c r="B175" t="s">
        <v>823</v>
      </c>
      <c r="C175" s="2">
        <v>45366</v>
      </c>
      <c r="D175" t="s">
        <v>642</v>
      </c>
      <c r="E175" t="s">
        <v>643</v>
      </c>
      <c r="F175">
        <v>3</v>
      </c>
      <c r="G175" t="s">
        <v>644</v>
      </c>
    </row>
    <row r="176" spans="1:7" x14ac:dyDescent="0.35">
      <c r="A176" t="s">
        <v>385</v>
      </c>
      <c r="B176" t="s">
        <v>824</v>
      </c>
      <c r="C176" s="2">
        <v>45112</v>
      </c>
      <c r="D176" t="s">
        <v>648</v>
      </c>
      <c r="E176" t="s">
        <v>643</v>
      </c>
      <c r="F176">
        <v>3</v>
      </c>
      <c r="G176" t="s">
        <v>646</v>
      </c>
    </row>
    <row r="177" spans="1:7" x14ac:dyDescent="0.35">
      <c r="A177" t="s">
        <v>387</v>
      </c>
      <c r="B177" t="s">
        <v>825</v>
      </c>
      <c r="C177" s="2">
        <v>45859</v>
      </c>
      <c r="D177" t="s">
        <v>655</v>
      </c>
      <c r="E177" t="s">
        <v>652</v>
      </c>
      <c r="F177">
        <v>0</v>
      </c>
      <c r="G177" t="s">
        <v>646</v>
      </c>
    </row>
    <row r="178" spans="1:7" x14ac:dyDescent="0.35">
      <c r="A178" t="s">
        <v>389</v>
      </c>
      <c r="B178" t="s">
        <v>826</v>
      </c>
      <c r="C178" s="2">
        <v>45131</v>
      </c>
      <c r="D178" t="s">
        <v>648</v>
      </c>
      <c r="E178" t="s">
        <v>643</v>
      </c>
      <c r="F178">
        <v>2</v>
      </c>
      <c r="G178" t="s">
        <v>646</v>
      </c>
    </row>
    <row r="179" spans="1:7" x14ac:dyDescent="0.35">
      <c r="A179" t="s">
        <v>391</v>
      </c>
      <c r="B179" t="s">
        <v>827</v>
      </c>
      <c r="C179" s="2">
        <v>45753</v>
      </c>
      <c r="D179" t="s">
        <v>655</v>
      </c>
      <c r="E179" t="s">
        <v>649</v>
      </c>
      <c r="F179">
        <v>0</v>
      </c>
      <c r="G179" t="s">
        <v>650</v>
      </c>
    </row>
    <row r="180" spans="1:7" x14ac:dyDescent="0.35">
      <c r="A180" t="s">
        <v>393</v>
      </c>
      <c r="B180" t="s">
        <v>828</v>
      </c>
      <c r="C180" s="2">
        <v>45862</v>
      </c>
      <c r="D180" t="s">
        <v>648</v>
      </c>
      <c r="E180" t="s">
        <v>649</v>
      </c>
      <c r="F180">
        <v>2</v>
      </c>
      <c r="G180" t="s">
        <v>650</v>
      </c>
    </row>
    <row r="181" spans="1:7" x14ac:dyDescent="0.35">
      <c r="A181" t="s">
        <v>395</v>
      </c>
      <c r="B181" t="s">
        <v>829</v>
      </c>
      <c r="C181" s="2">
        <v>45008</v>
      </c>
      <c r="D181" t="s">
        <v>648</v>
      </c>
      <c r="E181" t="s">
        <v>649</v>
      </c>
      <c r="F181">
        <v>3</v>
      </c>
      <c r="G181" t="s">
        <v>644</v>
      </c>
    </row>
    <row r="182" spans="1:7" x14ac:dyDescent="0.35">
      <c r="A182" t="s">
        <v>397</v>
      </c>
      <c r="B182" t="s">
        <v>830</v>
      </c>
      <c r="C182" s="2">
        <v>45223</v>
      </c>
      <c r="D182" t="s">
        <v>655</v>
      </c>
      <c r="E182" t="s">
        <v>649</v>
      </c>
      <c r="F182">
        <v>2</v>
      </c>
      <c r="G182" t="s">
        <v>673</v>
      </c>
    </row>
    <row r="183" spans="1:7" x14ac:dyDescent="0.35">
      <c r="A183" t="s">
        <v>399</v>
      </c>
      <c r="B183" t="s">
        <v>831</v>
      </c>
      <c r="C183" s="2">
        <v>44829</v>
      </c>
      <c r="D183" t="s">
        <v>648</v>
      </c>
      <c r="E183" t="s">
        <v>643</v>
      </c>
      <c r="F183">
        <v>4</v>
      </c>
      <c r="G183" t="s">
        <v>646</v>
      </c>
    </row>
    <row r="184" spans="1:7" x14ac:dyDescent="0.35">
      <c r="A184" t="s">
        <v>401</v>
      </c>
      <c r="B184" t="s">
        <v>832</v>
      </c>
      <c r="C184" s="2">
        <v>46123</v>
      </c>
      <c r="D184" t="s">
        <v>655</v>
      </c>
      <c r="E184" t="s">
        <v>643</v>
      </c>
      <c r="F184">
        <v>0</v>
      </c>
      <c r="G184" t="s">
        <v>650</v>
      </c>
    </row>
    <row r="185" spans="1:7" x14ac:dyDescent="0.35">
      <c r="A185" t="s">
        <v>403</v>
      </c>
      <c r="B185" t="s">
        <v>833</v>
      </c>
      <c r="C185" s="2">
        <v>46167</v>
      </c>
      <c r="D185" t="s">
        <v>642</v>
      </c>
      <c r="E185" t="s">
        <v>643</v>
      </c>
      <c r="F185">
        <v>3</v>
      </c>
      <c r="G185" t="s">
        <v>650</v>
      </c>
    </row>
    <row r="186" spans="1:7" x14ac:dyDescent="0.35">
      <c r="A186" t="s">
        <v>405</v>
      </c>
      <c r="B186" t="s">
        <v>834</v>
      </c>
      <c r="C186" s="2">
        <v>45465</v>
      </c>
      <c r="D186" t="s">
        <v>642</v>
      </c>
      <c r="E186" t="s">
        <v>652</v>
      </c>
      <c r="F186">
        <v>3</v>
      </c>
      <c r="G186" t="s">
        <v>650</v>
      </c>
    </row>
    <row r="187" spans="1:7" x14ac:dyDescent="0.35">
      <c r="A187" t="s">
        <v>407</v>
      </c>
      <c r="B187" t="s">
        <v>835</v>
      </c>
      <c r="C187" s="2">
        <v>45972</v>
      </c>
      <c r="D187" t="s">
        <v>655</v>
      </c>
      <c r="E187" t="s">
        <v>652</v>
      </c>
      <c r="F187">
        <v>1</v>
      </c>
      <c r="G187" t="s">
        <v>673</v>
      </c>
    </row>
    <row r="188" spans="1:7" x14ac:dyDescent="0.35">
      <c r="A188" t="s">
        <v>409</v>
      </c>
      <c r="B188" t="s">
        <v>836</v>
      </c>
      <c r="C188" s="2">
        <v>44753</v>
      </c>
      <c r="D188" t="s">
        <v>642</v>
      </c>
      <c r="E188" t="s">
        <v>649</v>
      </c>
      <c r="F188">
        <v>2</v>
      </c>
      <c r="G188" t="s">
        <v>673</v>
      </c>
    </row>
    <row r="189" spans="1:7" x14ac:dyDescent="0.35">
      <c r="A189" t="s">
        <v>411</v>
      </c>
      <c r="B189" t="s">
        <v>837</v>
      </c>
      <c r="C189" s="2">
        <v>45922</v>
      </c>
      <c r="D189" t="s">
        <v>642</v>
      </c>
      <c r="E189" t="s">
        <v>649</v>
      </c>
      <c r="F189">
        <v>1</v>
      </c>
      <c r="G189" t="s">
        <v>650</v>
      </c>
    </row>
    <row r="190" spans="1:7" x14ac:dyDescent="0.35">
      <c r="A190" t="s">
        <v>413</v>
      </c>
      <c r="B190" t="s">
        <v>838</v>
      </c>
      <c r="C190" s="2">
        <v>45187</v>
      </c>
      <c r="D190" t="s">
        <v>655</v>
      </c>
      <c r="E190" t="s">
        <v>643</v>
      </c>
      <c r="F190">
        <v>1</v>
      </c>
      <c r="G190" t="s">
        <v>646</v>
      </c>
    </row>
    <row r="191" spans="1:7" x14ac:dyDescent="0.35">
      <c r="A191" t="s">
        <v>415</v>
      </c>
      <c r="B191" t="s">
        <v>839</v>
      </c>
      <c r="C191" s="2">
        <v>46003</v>
      </c>
      <c r="D191" t="s">
        <v>648</v>
      </c>
      <c r="E191" t="s">
        <v>652</v>
      </c>
      <c r="F191">
        <v>0</v>
      </c>
      <c r="G191" t="s">
        <v>650</v>
      </c>
    </row>
    <row r="192" spans="1:7" x14ac:dyDescent="0.35">
      <c r="A192" t="s">
        <v>417</v>
      </c>
      <c r="B192" t="s">
        <v>840</v>
      </c>
      <c r="C192" s="2">
        <v>44721</v>
      </c>
      <c r="D192" t="s">
        <v>642</v>
      </c>
      <c r="E192" t="s">
        <v>649</v>
      </c>
      <c r="F192">
        <v>1</v>
      </c>
      <c r="G192" t="s">
        <v>644</v>
      </c>
    </row>
    <row r="193" spans="1:7" x14ac:dyDescent="0.35">
      <c r="A193" t="s">
        <v>419</v>
      </c>
      <c r="B193" t="s">
        <v>841</v>
      </c>
      <c r="C193" s="2">
        <v>45473</v>
      </c>
      <c r="D193" t="s">
        <v>648</v>
      </c>
      <c r="E193" t="s">
        <v>643</v>
      </c>
      <c r="F193">
        <v>0</v>
      </c>
      <c r="G193" t="s">
        <v>650</v>
      </c>
    </row>
    <row r="194" spans="1:7" x14ac:dyDescent="0.35">
      <c r="A194" t="s">
        <v>421</v>
      </c>
      <c r="B194" t="s">
        <v>842</v>
      </c>
      <c r="C194" s="2">
        <v>46235</v>
      </c>
      <c r="D194" t="s">
        <v>648</v>
      </c>
      <c r="E194" t="s">
        <v>649</v>
      </c>
      <c r="F194">
        <v>0</v>
      </c>
      <c r="G194" t="s">
        <v>646</v>
      </c>
    </row>
    <row r="195" spans="1:7" x14ac:dyDescent="0.35">
      <c r="A195" t="s">
        <v>423</v>
      </c>
      <c r="B195" t="s">
        <v>843</v>
      </c>
      <c r="C195" s="2">
        <v>45540</v>
      </c>
      <c r="D195" t="s">
        <v>648</v>
      </c>
      <c r="E195" t="s">
        <v>652</v>
      </c>
      <c r="F195">
        <v>0</v>
      </c>
      <c r="G195" t="s">
        <v>644</v>
      </c>
    </row>
    <row r="196" spans="1:7" x14ac:dyDescent="0.35">
      <c r="A196" t="s">
        <v>425</v>
      </c>
      <c r="B196" t="s">
        <v>844</v>
      </c>
      <c r="C196" s="2">
        <v>46058</v>
      </c>
      <c r="D196" t="s">
        <v>655</v>
      </c>
      <c r="E196" t="s">
        <v>652</v>
      </c>
      <c r="F196">
        <v>0</v>
      </c>
      <c r="G196" t="s">
        <v>650</v>
      </c>
    </row>
    <row r="197" spans="1:7" x14ac:dyDescent="0.35">
      <c r="A197" t="s">
        <v>427</v>
      </c>
      <c r="B197" t="s">
        <v>845</v>
      </c>
      <c r="C197" s="2">
        <v>46366</v>
      </c>
      <c r="D197" t="s">
        <v>655</v>
      </c>
      <c r="E197" t="s">
        <v>649</v>
      </c>
      <c r="F197">
        <v>2</v>
      </c>
      <c r="G197" t="s">
        <v>644</v>
      </c>
    </row>
    <row r="198" spans="1:7" x14ac:dyDescent="0.35">
      <c r="A198" t="s">
        <v>429</v>
      </c>
      <c r="B198" t="s">
        <v>846</v>
      </c>
      <c r="C198" s="2">
        <v>45875</v>
      </c>
      <c r="D198" t="s">
        <v>655</v>
      </c>
      <c r="E198" t="s">
        <v>652</v>
      </c>
      <c r="F198">
        <v>1</v>
      </c>
      <c r="G198" t="s">
        <v>650</v>
      </c>
    </row>
    <row r="199" spans="1:7" x14ac:dyDescent="0.35">
      <c r="A199" t="s">
        <v>431</v>
      </c>
      <c r="B199" t="s">
        <v>847</v>
      </c>
      <c r="C199" s="2">
        <v>44579</v>
      </c>
      <c r="D199" t="s">
        <v>648</v>
      </c>
      <c r="E199" t="s">
        <v>643</v>
      </c>
      <c r="F199">
        <v>4</v>
      </c>
      <c r="G199" t="s">
        <v>644</v>
      </c>
    </row>
    <row r="200" spans="1:7" x14ac:dyDescent="0.35">
      <c r="A200" t="s">
        <v>433</v>
      </c>
      <c r="B200" t="s">
        <v>848</v>
      </c>
      <c r="C200" s="2">
        <v>46041</v>
      </c>
      <c r="D200" t="s">
        <v>655</v>
      </c>
      <c r="E200" t="s">
        <v>649</v>
      </c>
      <c r="F200">
        <v>1</v>
      </c>
      <c r="G200" t="s">
        <v>644</v>
      </c>
    </row>
    <row r="201" spans="1:7" x14ac:dyDescent="0.35">
      <c r="A201" t="s">
        <v>435</v>
      </c>
      <c r="B201" t="s">
        <v>849</v>
      </c>
      <c r="C201" s="2">
        <v>45968</v>
      </c>
      <c r="D201" t="s">
        <v>655</v>
      </c>
      <c r="E201" t="s">
        <v>643</v>
      </c>
      <c r="F201">
        <v>3</v>
      </c>
      <c r="G201" t="s">
        <v>644</v>
      </c>
    </row>
    <row r="202" spans="1:7" x14ac:dyDescent="0.35">
      <c r="A202" t="s">
        <v>437</v>
      </c>
      <c r="B202" t="s">
        <v>850</v>
      </c>
      <c r="C202" s="2">
        <v>44848</v>
      </c>
      <c r="D202" t="s">
        <v>642</v>
      </c>
      <c r="E202" t="s">
        <v>652</v>
      </c>
      <c r="F202">
        <v>0</v>
      </c>
      <c r="G202" t="s">
        <v>646</v>
      </c>
    </row>
    <row r="203" spans="1:7" x14ac:dyDescent="0.35">
      <c r="A203" t="s">
        <v>439</v>
      </c>
      <c r="B203" t="s">
        <v>851</v>
      </c>
      <c r="C203" s="2">
        <v>45206</v>
      </c>
      <c r="D203" t="s">
        <v>655</v>
      </c>
      <c r="E203" t="s">
        <v>649</v>
      </c>
      <c r="F203">
        <v>1</v>
      </c>
      <c r="G203" t="s">
        <v>644</v>
      </c>
    </row>
    <row r="204" spans="1:7" x14ac:dyDescent="0.35">
      <c r="A204" t="s">
        <v>441</v>
      </c>
      <c r="B204" t="s">
        <v>852</v>
      </c>
      <c r="C204" s="2">
        <v>44734</v>
      </c>
      <c r="D204" t="s">
        <v>655</v>
      </c>
      <c r="E204" t="s">
        <v>643</v>
      </c>
      <c r="F204">
        <v>1</v>
      </c>
      <c r="G204" t="s">
        <v>673</v>
      </c>
    </row>
    <row r="205" spans="1:7" x14ac:dyDescent="0.35">
      <c r="A205" t="s">
        <v>443</v>
      </c>
      <c r="B205" t="s">
        <v>853</v>
      </c>
      <c r="C205" s="2">
        <v>46298</v>
      </c>
      <c r="D205" t="s">
        <v>648</v>
      </c>
      <c r="E205" t="s">
        <v>652</v>
      </c>
      <c r="F205">
        <v>2</v>
      </c>
      <c r="G205" t="s">
        <v>644</v>
      </c>
    </row>
    <row r="206" spans="1:7" x14ac:dyDescent="0.35">
      <c r="A206" t="s">
        <v>445</v>
      </c>
      <c r="B206" t="s">
        <v>854</v>
      </c>
      <c r="C206" s="2">
        <v>45605</v>
      </c>
      <c r="D206" t="s">
        <v>648</v>
      </c>
      <c r="E206" t="s">
        <v>643</v>
      </c>
      <c r="F206">
        <v>1</v>
      </c>
      <c r="G206" t="s">
        <v>646</v>
      </c>
    </row>
    <row r="207" spans="1:7" x14ac:dyDescent="0.35">
      <c r="A207" t="s">
        <v>447</v>
      </c>
      <c r="B207" t="s">
        <v>855</v>
      </c>
      <c r="C207" s="2">
        <v>44673</v>
      </c>
      <c r="D207" t="s">
        <v>655</v>
      </c>
      <c r="E207" t="s">
        <v>643</v>
      </c>
      <c r="F207">
        <v>1</v>
      </c>
      <c r="G207" t="s">
        <v>646</v>
      </c>
    </row>
    <row r="208" spans="1:7" x14ac:dyDescent="0.35">
      <c r="A208" t="s">
        <v>449</v>
      </c>
      <c r="B208" t="s">
        <v>856</v>
      </c>
      <c r="C208" s="2">
        <v>45055</v>
      </c>
      <c r="D208" t="s">
        <v>655</v>
      </c>
      <c r="E208" t="s">
        <v>652</v>
      </c>
      <c r="F208">
        <v>3</v>
      </c>
      <c r="G208" t="s">
        <v>650</v>
      </c>
    </row>
    <row r="209" spans="1:7" x14ac:dyDescent="0.35">
      <c r="A209" t="s">
        <v>451</v>
      </c>
      <c r="B209" t="s">
        <v>857</v>
      </c>
      <c r="C209" s="2">
        <v>45301</v>
      </c>
      <c r="D209" t="s">
        <v>648</v>
      </c>
      <c r="E209" t="s">
        <v>652</v>
      </c>
      <c r="F209">
        <v>2</v>
      </c>
      <c r="G209" t="s">
        <v>644</v>
      </c>
    </row>
    <row r="210" spans="1:7" x14ac:dyDescent="0.35">
      <c r="A210" t="s">
        <v>453</v>
      </c>
      <c r="B210" t="s">
        <v>858</v>
      </c>
      <c r="C210" s="2">
        <v>45423</v>
      </c>
      <c r="D210" t="s">
        <v>655</v>
      </c>
      <c r="E210" t="s">
        <v>643</v>
      </c>
      <c r="F210">
        <v>2</v>
      </c>
      <c r="G210" t="s">
        <v>644</v>
      </c>
    </row>
    <row r="211" spans="1:7" x14ac:dyDescent="0.35">
      <c r="A211" t="s">
        <v>455</v>
      </c>
      <c r="B211" t="s">
        <v>859</v>
      </c>
      <c r="C211" s="2">
        <v>44596</v>
      </c>
      <c r="D211" t="s">
        <v>655</v>
      </c>
      <c r="E211" t="s">
        <v>652</v>
      </c>
      <c r="F211">
        <v>4</v>
      </c>
      <c r="G211" t="s">
        <v>650</v>
      </c>
    </row>
    <row r="212" spans="1:7" x14ac:dyDescent="0.35">
      <c r="A212" t="s">
        <v>457</v>
      </c>
      <c r="B212" t="s">
        <v>860</v>
      </c>
      <c r="C212" s="2">
        <v>45003</v>
      </c>
      <c r="D212" t="s">
        <v>642</v>
      </c>
      <c r="E212" t="s">
        <v>649</v>
      </c>
      <c r="F212">
        <v>0</v>
      </c>
      <c r="G212" t="s">
        <v>650</v>
      </c>
    </row>
    <row r="213" spans="1:7" x14ac:dyDescent="0.35">
      <c r="A213" t="s">
        <v>459</v>
      </c>
      <c r="B213" t="s">
        <v>861</v>
      </c>
      <c r="C213" s="2">
        <v>45148</v>
      </c>
      <c r="D213" t="s">
        <v>655</v>
      </c>
      <c r="E213" t="s">
        <v>643</v>
      </c>
      <c r="F213">
        <v>4</v>
      </c>
      <c r="G213" t="s">
        <v>646</v>
      </c>
    </row>
    <row r="214" spans="1:7" x14ac:dyDescent="0.35">
      <c r="A214" t="s">
        <v>461</v>
      </c>
      <c r="B214" t="s">
        <v>862</v>
      </c>
      <c r="C214" s="2">
        <v>45385</v>
      </c>
      <c r="D214" t="s">
        <v>655</v>
      </c>
      <c r="E214" t="s">
        <v>643</v>
      </c>
      <c r="F214">
        <v>0</v>
      </c>
      <c r="G214" t="s">
        <v>644</v>
      </c>
    </row>
    <row r="215" spans="1:7" x14ac:dyDescent="0.35">
      <c r="A215" t="s">
        <v>463</v>
      </c>
      <c r="B215" t="s">
        <v>863</v>
      </c>
      <c r="C215" s="2">
        <v>45196</v>
      </c>
      <c r="D215" t="s">
        <v>655</v>
      </c>
      <c r="E215" t="s">
        <v>652</v>
      </c>
      <c r="F215">
        <v>0</v>
      </c>
      <c r="G215" t="s">
        <v>644</v>
      </c>
    </row>
    <row r="216" spans="1:7" x14ac:dyDescent="0.35">
      <c r="A216" t="s">
        <v>465</v>
      </c>
      <c r="B216" t="s">
        <v>864</v>
      </c>
      <c r="C216" s="2">
        <v>45231</v>
      </c>
      <c r="D216" t="s">
        <v>642</v>
      </c>
      <c r="E216" t="s">
        <v>643</v>
      </c>
      <c r="F216">
        <v>3</v>
      </c>
      <c r="G216" t="s">
        <v>650</v>
      </c>
    </row>
    <row r="217" spans="1:7" x14ac:dyDescent="0.35">
      <c r="A217" t="s">
        <v>467</v>
      </c>
      <c r="B217" t="s">
        <v>865</v>
      </c>
      <c r="C217" s="2">
        <v>45457</v>
      </c>
      <c r="D217" t="s">
        <v>655</v>
      </c>
      <c r="E217" t="s">
        <v>643</v>
      </c>
      <c r="F217">
        <v>1</v>
      </c>
      <c r="G217" t="s">
        <v>650</v>
      </c>
    </row>
    <row r="218" spans="1:7" x14ac:dyDescent="0.35">
      <c r="A218" t="s">
        <v>469</v>
      </c>
      <c r="B218" t="s">
        <v>866</v>
      </c>
      <c r="C218" s="2">
        <v>45451</v>
      </c>
      <c r="D218" t="s">
        <v>642</v>
      </c>
      <c r="E218" t="s">
        <v>652</v>
      </c>
      <c r="F218">
        <v>0</v>
      </c>
      <c r="G218" t="s">
        <v>646</v>
      </c>
    </row>
    <row r="219" spans="1:7" x14ac:dyDescent="0.35">
      <c r="A219" t="s">
        <v>471</v>
      </c>
      <c r="B219" t="s">
        <v>867</v>
      </c>
      <c r="C219" s="2">
        <v>44674</v>
      </c>
      <c r="D219" t="s">
        <v>648</v>
      </c>
      <c r="E219" t="s">
        <v>643</v>
      </c>
      <c r="F219">
        <v>2</v>
      </c>
      <c r="G219" t="s">
        <v>644</v>
      </c>
    </row>
    <row r="220" spans="1:7" x14ac:dyDescent="0.35">
      <c r="A220" t="s">
        <v>473</v>
      </c>
      <c r="B220" t="s">
        <v>868</v>
      </c>
      <c r="C220" s="2">
        <v>46011</v>
      </c>
      <c r="D220" t="s">
        <v>642</v>
      </c>
      <c r="E220" t="s">
        <v>652</v>
      </c>
      <c r="F220">
        <v>1</v>
      </c>
      <c r="G220" t="s">
        <v>650</v>
      </c>
    </row>
    <row r="221" spans="1:7" x14ac:dyDescent="0.35">
      <c r="A221" t="s">
        <v>475</v>
      </c>
      <c r="B221" t="s">
        <v>869</v>
      </c>
      <c r="C221" s="2">
        <v>45272</v>
      </c>
      <c r="D221" t="s">
        <v>642</v>
      </c>
      <c r="E221" t="s">
        <v>649</v>
      </c>
      <c r="F221">
        <v>4</v>
      </c>
      <c r="G221" t="s">
        <v>673</v>
      </c>
    </row>
    <row r="222" spans="1:7" x14ac:dyDescent="0.35">
      <c r="A222" t="s">
        <v>477</v>
      </c>
      <c r="B222" t="s">
        <v>870</v>
      </c>
      <c r="C222" s="2">
        <v>44821</v>
      </c>
      <c r="D222" t="s">
        <v>642</v>
      </c>
      <c r="E222" t="s">
        <v>649</v>
      </c>
      <c r="F222">
        <v>2</v>
      </c>
      <c r="G222" t="s">
        <v>650</v>
      </c>
    </row>
    <row r="223" spans="1:7" x14ac:dyDescent="0.35">
      <c r="A223" t="s">
        <v>479</v>
      </c>
      <c r="B223" t="s">
        <v>871</v>
      </c>
      <c r="C223" s="2">
        <v>46214</v>
      </c>
      <c r="D223" t="s">
        <v>642</v>
      </c>
      <c r="E223" t="s">
        <v>649</v>
      </c>
      <c r="F223">
        <v>3</v>
      </c>
      <c r="G223" t="s">
        <v>673</v>
      </c>
    </row>
    <row r="224" spans="1:7" x14ac:dyDescent="0.35">
      <c r="A224" t="s">
        <v>481</v>
      </c>
      <c r="B224" t="s">
        <v>872</v>
      </c>
      <c r="C224" s="2">
        <v>45100</v>
      </c>
      <c r="D224" t="s">
        <v>648</v>
      </c>
      <c r="E224" t="s">
        <v>652</v>
      </c>
      <c r="F224">
        <v>4</v>
      </c>
      <c r="G224" t="s">
        <v>650</v>
      </c>
    </row>
    <row r="225" spans="1:7" x14ac:dyDescent="0.35">
      <c r="A225" t="s">
        <v>482</v>
      </c>
      <c r="B225" t="s">
        <v>873</v>
      </c>
      <c r="C225" s="2">
        <v>45608</v>
      </c>
      <c r="D225" t="s">
        <v>655</v>
      </c>
      <c r="E225" t="s">
        <v>649</v>
      </c>
      <c r="F225">
        <v>2</v>
      </c>
      <c r="G225" t="s">
        <v>650</v>
      </c>
    </row>
    <row r="226" spans="1:7" x14ac:dyDescent="0.35">
      <c r="A226" t="s">
        <v>484</v>
      </c>
      <c r="B226" t="s">
        <v>874</v>
      </c>
      <c r="C226" s="2">
        <v>44903</v>
      </c>
      <c r="D226" t="s">
        <v>655</v>
      </c>
      <c r="E226" t="s">
        <v>643</v>
      </c>
      <c r="F226">
        <v>2</v>
      </c>
      <c r="G226" t="s">
        <v>644</v>
      </c>
    </row>
    <row r="227" spans="1:7" x14ac:dyDescent="0.35">
      <c r="A227" t="s">
        <v>486</v>
      </c>
      <c r="B227" t="s">
        <v>875</v>
      </c>
      <c r="C227" s="2">
        <v>45737</v>
      </c>
      <c r="D227" t="s">
        <v>655</v>
      </c>
      <c r="E227" t="s">
        <v>652</v>
      </c>
      <c r="F227">
        <v>0</v>
      </c>
      <c r="G227" t="s">
        <v>644</v>
      </c>
    </row>
    <row r="228" spans="1:7" x14ac:dyDescent="0.35">
      <c r="A228" t="s">
        <v>488</v>
      </c>
      <c r="B228" t="s">
        <v>876</v>
      </c>
      <c r="C228" s="2">
        <v>44567</v>
      </c>
      <c r="D228" t="s">
        <v>648</v>
      </c>
      <c r="E228" t="s">
        <v>643</v>
      </c>
      <c r="F228">
        <v>0</v>
      </c>
      <c r="G228" t="s">
        <v>650</v>
      </c>
    </row>
    <row r="229" spans="1:7" x14ac:dyDescent="0.35">
      <c r="A229" t="s">
        <v>490</v>
      </c>
      <c r="B229" t="s">
        <v>877</v>
      </c>
      <c r="C229" s="2">
        <v>45528</v>
      </c>
      <c r="D229" t="s">
        <v>642</v>
      </c>
      <c r="E229" t="s">
        <v>652</v>
      </c>
      <c r="F229">
        <v>2</v>
      </c>
      <c r="G229" t="s">
        <v>646</v>
      </c>
    </row>
    <row r="230" spans="1:7" x14ac:dyDescent="0.35">
      <c r="A230" t="s">
        <v>492</v>
      </c>
      <c r="B230" t="s">
        <v>878</v>
      </c>
      <c r="C230" s="2">
        <v>46318</v>
      </c>
      <c r="D230" t="s">
        <v>642</v>
      </c>
      <c r="E230" t="s">
        <v>652</v>
      </c>
      <c r="F230">
        <v>0</v>
      </c>
      <c r="G230" t="s">
        <v>646</v>
      </c>
    </row>
    <row r="231" spans="1:7" x14ac:dyDescent="0.35">
      <c r="A231" t="s">
        <v>494</v>
      </c>
      <c r="B231" t="s">
        <v>879</v>
      </c>
      <c r="C231" s="2">
        <v>45070</v>
      </c>
      <c r="D231" t="s">
        <v>642</v>
      </c>
      <c r="E231" t="s">
        <v>649</v>
      </c>
      <c r="F231">
        <v>3</v>
      </c>
      <c r="G231" t="s">
        <v>673</v>
      </c>
    </row>
    <row r="232" spans="1:7" x14ac:dyDescent="0.35">
      <c r="A232" t="s">
        <v>496</v>
      </c>
      <c r="B232" t="s">
        <v>880</v>
      </c>
      <c r="C232" s="2">
        <v>45732</v>
      </c>
      <c r="D232" t="s">
        <v>655</v>
      </c>
      <c r="E232" t="s">
        <v>652</v>
      </c>
      <c r="F232">
        <v>2</v>
      </c>
      <c r="G232" t="s">
        <v>650</v>
      </c>
    </row>
    <row r="233" spans="1:7" x14ac:dyDescent="0.35">
      <c r="A233" t="s">
        <v>498</v>
      </c>
      <c r="B233" t="s">
        <v>881</v>
      </c>
      <c r="C233" s="2">
        <v>44669</v>
      </c>
      <c r="D233" t="s">
        <v>648</v>
      </c>
      <c r="E233" t="s">
        <v>643</v>
      </c>
      <c r="F233">
        <v>1</v>
      </c>
      <c r="G233" t="s">
        <v>644</v>
      </c>
    </row>
    <row r="234" spans="1:7" x14ac:dyDescent="0.35">
      <c r="A234" t="s">
        <v>500</v>
      </c>
      <c r="B234" t="s">
        <v>882</v>
      </c>
      <c r="C234" s="2">
        <v>45383</v>
      </c>
      <c r="D234" t="s">
        <v>648</v>
      </c>
      <c r="E234" t="s">
        <v>652</v>
      </c>
      <c r="F234">
        <v>0</v>
      </c>
      <c r="G234" t="s">
        <v>646</v>
      </c>
    </row>
    <row r="235" spans="1:7" x14ac:dyDescent="0.35">
      <c r="A235" t="s">
        <v>502</v>
      </c>
      <c r="B235" t="s">
        <v>883</v>
      </c>
      <c r="C235" s="2">
        <v>45232</v>
      </c>
      <c r="D235" t="s">
        <v>655</v>
      </c>
      <c r="E235" t="s">
        <v>649</v>
      </c>
      <c r="F235">
        <v>0</v>
      </c>
      <c r="G235" t="s">
        <v>646</v>
      </c>
    </row>
    <row r="236" spans="1:7" x14ac:dyDescent="0.35">
      <c r="A236" t="s">
        <v>504</v>
      </c>
      <c r="B236" t="s">
        <v>884</v>
      </c>
      <c r="C236" s="2">
        <v>44972</v>
      </c>
      <c r="D236" t="s">
        <v>642</v>
      </c>
      <c r="E236" t="s">
        <v>649</v>
      </c>
      <c r="F236">
        <v>2</v>
      </c>
      <c r="G236" t="s">
        <v>673</v>
      </c>
    </row>
    <row r="237" spans="1:7" x14ac:dyDescent="0.35">
      <c r="A237" t="s">
        <v>506</v>
      </c>
      <c r="B237" t="s">
        <v>885</v>
      </c>
      <c r="C237" s="2">
        <v>45058</v>
      </c>
      <c r="D237" t="s">
        <v>648</v>
      </c>
      <c r="E237" t="s">
        <v>643</v>
      </c>
      <c r="F237">
        <v>3</v>
      </c>
      <c r="G237" t="s">
        <v>673</v>
      </c>
    </row>
    <row r="238" spans="1:7" x14ac:dyDescent="0.35">
      <c r="A238" t="s">
        <v>508</v>
      </c>
      <c r="B238" t="s">
        <v>886</v>
      </c>
      <c r="C238" s="2">
        <v>46144</v>
      </c>
      <c r="D238" t="s">
        <v>648</v>
      </c>
      <c r="E238" t="s">
        <v>649</v>
      </c>
      <c r="F238">
        <v>1</v>
      </c>
      <c r="G238" t="s">
        <v>644</v>
      </c>
    </row>
    <row r="239" spans="1:7" x14ac:dyDescent="0.35">
      <c r="A239" t="s">
        <v>510</v>
      </c>
      <c r="B239" t="s">
        <v>887</v>
      </c>
      <c r="C239" s="2">
        <v>45401</v>
      </c>
      <c r="D239" t="s">
        <v>642</v>
      </c>
      <c r="E239" t="s">
        <v>652</v>
      </c>
      <c r="F239">
        <v>0</v>
      </c>
      <c r="G239" t="s">
        <v>644</v>
      </c>
    </row>
    <row r="240" spans="1:7" x14ac:dyDescent="0.35">
      <c r="A240" t="s">
        <v>512</v>
      </c>
      <c r="B240" t="s">
        <v>888</v>
      </c>
      <c r="C240" s="2">
        <v>45864</v>
      </c>
      <c r="D240" t="s">
        <v>648</v>
      </c>
      <c r="E240" t="s">
        <v>649</v>
      </c>
      <c r="F240">
        <v>0</v>
      </c>
      <c r="G240" t="s">
        <v>673</v>
      </c>
    </row>
    <row r="241" spans="1:7" x14ac:dyDescent="0.35">
      <c r="A241" t="s">
        <v>514</v>
      </c>
      <c r="B241" t="s">
        <v>889</v>
      </c>
      <c r="C241" s="2">
        <v>45332</v>
      </c>
      <c r="D241" t="s">
        <v>642</v>
      </c>
      <c r="E241" t="s">
        <v>643</v>
      </c>
      <c r="F241">
        <v>2</v>
      </c>
      <c r="G241" t="s">
        <v>650</v>
      </c>
    </row>
    <row r="242" spans="1:7" x14ac:dyDescent="0.35">
      <c r="A242" t="s">
        <v>516</v>
      </c>
      <c r="B242" t="s">
        <v>890</v>
      </c>
      <c r="C242" s="2">
        <v>45049</v>
      </c>
      <c r="D242" t="s">
        <v>642</v>
      </c>
      <c r="E242" t="s">
        <v>643</v>
      </c>
      <c r="F242">
        <v>3</v>
      </c>
      <c r="G242" t="s">
        <v>646</v>
      </c>
    </row>
    <row r="243" spans="1:7" x14ac:dyDescent="0.35">
      <c r="A243" t="s">
        <v>518</v>
      </c>
      <c r="B243" t="s">
        <v>891</v>
      </c>
      <c r="C243" s="2">
        <v>46019</v>
      </c>
      <c r="D243" t="s">
        <v>642</v>
      </c>
      <c r="E243" t="s">
        <v>652</v>
      </c>
      <c r="F243">
        <v>2</v>
      </c>
      <c r="G243" t="s">
        <v>650</v>
      </c>
    </row>
    <row r="244" spans="1:7" x14ac:dyDescent="0.35">
      <c r="A244" t="s">
        <v>520</v>
      </c>
      <c r="B244" t="s">
        <v>892</v>
      </c>
      <c r="C244" s="2">
        <v>46293</v>
      </c>
      <c r="D244" t="s">
        <v>642</v>
      </c>
      <c r="E244" t="s">
        <v>652</v>
      </c>
      <c r="F244">
        <v>4</v>
      </c>
      <c r="G244" t="s">
        <v>646</v>
      </c>
    </row>
    <row r="245" spans="1:7" x14ac:dyDescent="0.35">
      <c r="A245" t="s">
        <v>522</v>
      </c>
      <c r="B245" t="s">
        <v>893</v>
      </c>
      <c r="C245" s="2">
        <v>45500</v>
      </c>
      <c r="D245" t="s">
        <v>648</v>
      </c>
      <c r="E245" t="s">
        <v>649</v>
      </c>
      <c r="F245">
        <v>0</v>
      </c>
      <c r="G245" t="s">
        <v>650</v>
      </c>
    </row>
    <row r="246" spans="1:7" x14ac:dyDescent="0.35">
      <c r="A246" t="s">
        <v>524</v>
      </c>
      <c r="B246" t="s">
        <v>894</v>
      </c>
      <c r="C246" s="2">
        <v>45867</v>
      </c>
      <c r="D246" t="s">
        <v>648</v>
      </c>
      <c r="E246" t="s">
        <v>652</v>
      </c>
      <c r="F246">
        <v>3</v>
      </c>
      <c r="G246" t="s">
        <v>650</v>
      </c>
    </row>
    <row r="247" spans="1:7" x14ac:dyDescent="0.35">
      <c r="A247" t="s">
        <v>526</v>
      </c>
      <c r="B247" t="s">
        <v>895</v>
      </c>
      <c r="C247" s="2">
        <v>44689</v>
      </c>
      <c r="D247" t="s">
        <v>648</v>
      </c>
      <c r="E247" t="s">
        <v>643</v>
      </c>
      <c r="F247">
        <v>3</v>
      </c>
      <c r="G247" t="s">
        <v>644</v>
      </c>
    </row>
    <row r="248" spans="1:7" x14ac:dyDescent="0.35">
      <c r="A248" t="s">
        <v>528</v>
      </c>
      <c r="B248" t="s">
        <v>896</v>
      </c>
      <c r="C248" s="2">
        <v>45096</v>
      </c>
      <c r="D248" t="s">
        <v>642</v>
      </c>
      <c r="E248" t="s">
        <v>649</v>
      </c>
      <c r="F248">
        <v>2</v>
      </c>
      <c r="G248" t="s">
        <v>646</v>
      </c>
    </row>
    <row r="249" spans="1:7" x14ac:dyDescent="0.35">
      <c r="A249" t="s">
        <v>530</v>
      </c>
      <c r="B249" t="s">
        <v>897</v>
      </c>
      <c r="C249" s="2">
        <v>45230</v>
      </c>
      <c r="D249" t="s">
        <v>648</v>
      </c>
      <c r="E249" t="s">
        <v>643</v>
      </c>
      <c r="F249">
        <v>2</v>
      </c>
      <c r="G249" t="s">
        <v>646</v>
      </c>
    </row>
    <row r="250" spans="1:7" x14ac:dyDescent="0.35">
      <c r="A250" t="s">
        <v>532</v>
      </c>
      <c r="B250" t="s">
        <v>898</v>
      </c>
      <c r="C250" s="2">
        <v>44714</v>
      </c>
      <c r="D250" t="s">
        <v>655</v>
      </c>
      <c r="E250" t="s">
        <v>652</v>
      </c>
      <c r="F250">
        <v>1</v>
      </c>
      <c r="G250" t="s">
        <v>644</v>
      </c>
    </row>
    <row r="251" spans="1:7" x14ac:dyDescent="0.35">
      <c r="A251" t="s">
        <v>534</v>
      </c>
      <c r="B251" t="s">
        <v>899</v>
      </c>
      <c r="C251" s="2">
        <v>44880</v>
      </c>
      <c r="D251" t="s">
        <v>648</v>
      </c>
      <c r="E251" t="s">
        <v>652</v>
      </c>
      <c r="F251">
        <v>0</v>
      </c>
      <c r="G251" t="s">
        <v>644</v>
      </c>
    </row>
    <row r="252" spans="1:7" x14ac:dyDescent="0.35">
      <c r="A252" t="s">
        <v>536</v>
      </c>
      <c r="B252" t="s">
        <v>900</v>
      </c>
      <c r="C252" s="2">
        <v>45205</v>
      </c>
      <c r="D252" t="s">
        <v>655</v>
      </c>
      <c r="E252" t="s">
        <v>649</v>
      </c>
      <c r="F252">
        <v>3</v>
      </c>
      <c r="G252" t="s">
        <v>650</v>
      </c>
    </row>
    <row r="253" spans="1:7" x14ac:dyDescent="0.35">
      <c r="A253" t="s">
        <v>538</v>
      </c>
      <c r="B253" t="s">
        <v>901</v>
      </c>
      <c r="C253" s="2">
        <v>46139</v>
      </c>
      <c r="D253" t="s">
        <v>648</v>
      </c>
      <c r="E253" t="s">
        <v>649</v>
      </c>
      <c r="F253">
        <v>1</v>
      </c>
      <c r="G253" t="s">
        <v>646</v>
      </c>
    </row>
    <row r="254" spans="1:7" x14ac:dyDescent="0.35">
      <c r="A254" t="s">
        <v>540</v>
      </c>
      <c r="B254" t="s">
        <v>902</v>
      </c>
      <c r="C254" s="2">
        <v>45104</v>
      </c>
      <c r="D254" t="s">
        <v>655</v>
      </c>
      <c r="E254" t="s">
        <v>649</v>
      </c>
      <c r="F254">
        <v>0</v>
      </c>
      <c r="G254" t="s">
        <v>650</v>
      </c>
    </row>
    <row r="255" spans="1:7" x14ac:dyDescent="0.35">
      <c r="A255" t="s">
        <v>542</v>
      </c>
      <c r="B255" t="s">
        <v>903</v>
      </c>
      <c r="C255" s="2">
        <v>45185</v>
      </c>
      <c r="D255" t="s">
        <v>642</v>
      </c>
      <c r="E255" t="s">
        <v>643</v>
      </c>
      <c r="F255">
        <v>4</v>
      </c>
      <c r="G255" t="s">
        <v>650</v>
      </c>
    </row>
    <row r="256" spans="1:7" x14ac:dyDescent="0.35">
      <c r="A256" t="s">
        <v>544</v>
      </c>
      <c r="B256" t="s">
        <v>904</v>
      </c>
      <c r="C256" s="2">
        <v>44865</v>
      </c>
      <c r="D256" t="s">
        <v>642</v>
      </c>
      <c r="E256" t="s">
        <v>649</v>
      </c>
      <c r="F256">
        <v>0</v>
      </c>
      <c r="G256" t="s">
        <v>644</v>
      </c>
    </row>
    <row r="257" spans="1:7" x14ac:dyDescent="0.35">
      <c r="A257" t="s">
        <v>546</v>
      </c>
      <c r="B257" t="s">
        <v>905</v>
      </c>
      <c r="C257" s="2">
        <v>45613</v>
      </c>
      <c r="D257" t="s">
        <v>655</v>
      </c>
      <c r="E257" t="s">
        <v>649</v>
      </c>
      <c r="F257">
        <v>0</v>
      </c>
      <c r="G257" t="s">
        <v>673</v>
      </c>
    </row>
    <row r="258" spans="1:7" x14ac:dyDescent="0.35">
      <c r="A258" t="s">
        <v>548</v>
      </c>
      <c r="B258" t="s">
        <v>906</v>
      </c>
      <c r="C258" s="2">
        <v>44625</v>
      </c>
      <c r="D258" t="s">
        <v>655</v>
      </c>
      <c r="E258" t="s">
        <v>652</v>
      </c>
      <c r="F258">
        <v>3</v>
      </c>
      <c r="G258" t="s">
        <v>646</v>
      </c>
    </row>
    <row r="259" spans="1:7" x14ac:dyDescent="0.35">
      <c r="A259" t="s">
        <v>550</v>
      </c>
      <c r="B259" t="s">
        <v>907</v>
      </c>
      <c r="C259" s="2">
        <v>45688</v>
      </c>
      <c r="D259" t="s">
        <v>648</v>
      </c>
      <c r="E259" t="s">
        <v>643</v>
      </c>
      <c r="F259">
        <v>1</v>
      </c>
      <c r="G259" t="s">
        <v>650</v>
      </c>
    </row>
    <row r="260" spans="1:7" x14ac:dyDescent="0.35">
      <c r="A260" t="s">
        <v>552</v>
      </c>
      <c r="B260" t="s">
        <v>908</v>
      </c>
      <c r="C260" s="2">
        <v>46208</v>
      </c>
      <c r="D260" t="s">
        <v>655</v>
      </c>
      <c r="E260" t="s">
        <v>652</v>
      </c>
      <c r="F260">
        <v>1</v>
      </c>
      <c r="G260" t="s">
        <v>650</v>
      </c>
    </row>
    <row r="261" spans="1:7" x14ac:dyDescent="0.35">
      <c r="A261" t="s">
        <v>554</v>
      </c>
      <c r="B261" t="s">
        <v>909</v>
      </c>
      <c r="C261" s="2">
        <v>46262</v>
      </c>
      <c r="D261" t="s">
        <v>642</v>
      </c>
      <c r="E261" t="s">
        <v>652</v>
      </c>
      <c r="F261">
        <v>1</v>
      </c>
      <c r="G261" t="s">
        <v>644</v>
      </c>
    </row>
    <row r="262" spans="1:7" x14ac:dyDescent="0.35">
      <c r="A262" t="s">
        <v>556</v>
      </c>
      <c r="B262" t="s">
        <v>910</v>
      </c>
      <c r="C262" s="2">
        <v>45324</v>
      </c>
      <c r="D262" t="s">
        <v>642</v>
      </c>
      <c r="E262" t="s">
        <v>649</v>
      </c>
      <c r="F262">
        <v>0</v>
      </c>
      <c r="G262" t="s">
        <v>673</v>
      </c>
    </row>
    <row r="263" spans="1:7" x14ac:dyDescent="0.35">
      <c r="A263" t="s">
        <v>558</v>
      </c>
      <c r="B263" t="s">
        <v>911</v>
      </c>
      <c r="C263" s="2">
        <v>44694</v>
      </c>
      <c r="D263" t="s">
        <v>642</v>
      </c>
      <c r="E263" t="s">
        <v>652</v>
      </c>
      <c r="F263">
        <v>1</v>
      </c>
      <c r="G263" t="s">
        <v>646</v>
      </c>
    </row>
    <row r="264" spans="1:7" x14ac:dyDescent="0.35">
      <c r="A264" t="s">
        <v>560</v>
      </c>
      <c r="B264" t="s">
        <v>912</v>
      </c>
      <c r="C264" s="2">
        <v>46297</v>
      </c>
      <c r="D264" t="s">
        <v>642</v>
      </c>
      <c r="E264" t="s">
        <v>652</v>
      </c>
      <c r="F264">
        <v>2</v>
      </c>
      <c r="G264" t="s">
        <v>650</v>
      </c>
    </row>
    <row r="265" spans="1:7" x14ac:dyDescent="0.35">
      <c r="A265" t="s">
        <v>562</v>
      </c>
      <c r="B265" t="s">
        <v>913</v>
      </c>
      <c r="C265" s="2">
        <v>44665</v>
      </c>
      <c r="D265" t="s">
        <v>642</v>
      </c>
      <c r="E265" t="s">
        <v>649</v>
      </c>
      <c r="F265">
        <v>1</v>
      </c>
      <c r="G265" t="s">
        <v>646</v>
      </c>
    </row>
    <row r="266" spans="1:7" x14ac:dyDescent="0.35">
      <c r="A266" t="s">
        <v>564</v>
      </c>
      <c r="B266" t="s">
        <v>914</v>
      </c>
      <c r="C266" s="2">
        <v>45578</v>
      </c>
      <c r="D266" t="s">
        <v>648</v>
      </c>
      <c r="E266" t="s">
        <v>649</v>
      </c>
      <c r="F266">
        <v>0</v>
      </c>
      <c r="G266" t="s">
        <v>646</v>
      </c>
    </row>
    <row r="267" spans="1:7" x14ac:dyDescent="0.35">
      <c r="A267" t="s">
        <v>566</v>
      </c>
      <c r="B267" t="s">
        <v>915</v>
      </c>
      <c r="C267" s="2">
        <v>44915</v>
      </c>
      <c r="D267" t="s">
        <v>648</v>
      </c>
      <c r="E267" t="s">
        <v>649</v>
      </c>
      <c r="F267">
        <v>2</v>
      </c>
      <c r="G267" t="s">
        <v>644</v>
      </c>
    </row>
    <row r="268" spans="1:7" x14ac:dyDescent="0.35">
      <c r="A268" t="s">
        <v>568</v>
      </c>
      <c r="B268" t="s">
        <v>916</v>
      </c>
      <c r="C268" s="2">
        <v>45135</v>
      </c>
      <c r="D268" t="s">
        <v>642</v>
      </c>
      <c r="E268" t="s">
        <v>649</v>
      </c>
      <c r="F268">
        <v>3</v>
      </c>
      <c r="G268" t="s">
        <v>644</v>
      </c>
    </row>
    <row r="269" spans="1:7" x14ac:dyDescent="0.35">
      <c r="A269" t="s">
        <v>570</v>
      </c>
      <c r="B269" t="s">
        <v>917</v>
      </c>
      <c r="C269" s="2">
        <v>45830</v>
      </c>
      <c r="D269" t="s">
        <v>642</v>
      </c>
      <c r="E269" t="s">
        <v>643</v>
      </c>
      <c r="F269">
        <v>4</v>
      </c>
      <c r="G269" t="s">
        <v>644</v>
      </c>
    </row>
    <row r="270" spans="1:7" x14ac:dyDescent="0.35">
      <c r="A270" t="s">
        <v>572</v>
      </c>
      <c r="B270" t="s">
        <v>918</v>
      </c>
      <c r="C270" s="2">
        <v>45583</v>
      </c>
      <c r="D270" t="s">
        <v>648</v>
      </c>
      <c r="E270" t="s">
        <v>649</v>
      </c>
      <c r="F270">
        <v>3</v>
      </c>
      <c r="G270" t="s">
        <v>646</v>
      </c>
    </row>
    <row r="271" spans="1:7" x14ac:dyDescent="0.35">
      <c r="A271" t="s">
        <v>574</v>
      </c>
      <c r="B271" t="s">
        <v>919</v>
      </c>
      <c r="C271" s="2">
        <v>45134</v>
      </c>
      <c r="D271" t="s">
        <v>642</v>
      </c>
      <c r="E271" t="s">
        <v>652</v>
      </c>
      <c r="F271">
        <v>3</v>
      </c>
      <c r="G271" t="s">
        <v>644</v>
      </c>
    </row>
    <row r="272" spans="1:7" x14ac:dyDescent="0.35">
      <c r="A272" t="s">
        <v>576</v>
      </c>
      <c r="B272" t="s">
        <v>920</v>
      </c>
      <c r="C272" s="2">
        <v>45878</v>
      </c>
      <c r="D272" t="s">
        <v>655</v>
      </c>
      <c r="E272" t="s">
        <v>652</v>
      </c>
      <c r="F272">
        <v>4</v>
      </c>
      <c r="G272" t="s">
        <v>644</v>
      </c>
    </row>
    <row r="273" spans="1:7" x14ac:dyDescent="0.35">
      <c r="A273" t="s">
        <v>578</v>
      </c>
      <c r="B273" t="s">
        <v>921</v>
      </c>
      <c r="C273" s="2">
        <v>46189</v>
      </c>
      <c r="D273" t="s">
        <v>648</v>
      </c>
      <c r="E273" t="s">
        <v>643</v>
      </c>
      <c r="F273">
        <v>0</v>
      </c>
      <c r="G273" t="s">
        <v>646</v>
      </c>
    </row>
    <row r="274" spans="1:7" x14ac:dyDescent="0.35">
      <c r="A274" t="s">
        <v>580</v>
      </c>
      <c r="B274" t="s">
        <v>922</v>
      </c>
      <c r="C274" s="2">
        <v>45544</v>
      </c>
      <c r="D274" t="s">
        <v>648</v>
      </c>
      <c r="E274" t="s">
        <v>649</v>
      </c>
      <c r="F274">
        <v>4</v>
      </c>
      <c r="G274" t="s">
        <v>646</v>
      </c>
    </row>
    <row r="275" spans="1:7" x14ac:dyDescent="0.35">
      <c r="A275" t="s">
        <v>582</v>
      </c>
      <c r="B275" t="s">
        <v>923</v>
      </c>
      <c r="C275" s="2">
        <v>45590</v>
      </c>
      <c r="D275" t="s">
        <v>655</v>
      </c>
      <c r="E275" t="s">
        <v>643</v>
      </c>
      <c r="F275">
        <v>2</v>
      </c>
      <c r="G275" t="s">
        <v>646</v>
      </c>
    </row>
    <row r="276" spans="1:7" x14ac:dyDescent="0.35">
      <c r="A276" t="s">
        <v>584</v>
      </c>
      <c r="B276" t="s">
        <v>924</v>
      </c>
      <c r="C276" s="2">
        <v>44615</v>
      </c>
      <c r="D276" t="s">
        <v>655</v>
      </c>
      <c r="E276" t="s">
        <v>652</v>
      </c>
      <c r="F276">
        <v>2</v>
      </c>
      <c r="G276" t="s">
        <v>644</v>
      </c>
    </row>
    <row r="277" spans="1:7" x14ac:dyDescent="0.35">
      <c r="A277" t="s">
        <v>586</v>
      </c>
      <c r="B277" t="s">
        <v>925</v>
      </c>
      <c r="C277" s="2">
        <v>44681</v>
      </c>
      <c r="D277" t="s">
        <v>642</v>
      </c>
      <c r="E277" t="s">
        <v>649</v>
      </c>
      <c r="F277">
        <v>3</v>
      </c>
      <c r="G277" t="s">
        <v>673</v>
      </c>
    </row>
    <row r="278" spans="1:7" x14ac:dyDescent="0.35">
      <c r="A278" t="s">
        <v>588</v>
      </c>
      <c r="B278" t="s">
        <v>926</v>
      </c>
      <c r="C278" s="2">
        <v>44888</v>
      </c>
      <c r="D278" t="s">
        <v>648</v>
      </c>
      <c r="E278" t="s">
        <v>652</v>
      </c>
      <c r="F278">
        <v>0</v>
      </c>
      <c r="G278" t="s">
        <v>644</v>
      </c>
    </row>
    <row r="279" spans="1:7" x14ac:dyDescent="0.35">
      <c r="A279" t="s">
        <v>590</v>
      </c>
      <c r="B279" t="s">
        <v>927</v>
      </c>
      <c r="C279" s="2">
        <v>45107</v>
      </c>
      <c r="D279" t="s">
        <v>648</v>
      </c>
      <c r="E279" t="s">
        <v>652</v>
      </c>
      <c r="F279">
        <v>4</v>
      </c>
      <c r="G279" t="s">
        <v>650</v>
      </c>
    </row>
    <row r="280" spans="1:7" x14ac:dyDescent="0.35">
      <c r="A280" t="s">
        <v>592</v>
      </c>
      <c r="B280" t="s">
        <v>928</v>
      </c>
      <c r="C280" s="2">
        <v>46295</v>
      </c>
      <c r="D280" t="s">
        <v>642</v>
      </c>
      <c r="E280" t="s">
        <v>643</v>
      </c>
      <c r="F280">
        <v>3</v>
      </c>
      <c r="G280" t="s">
        <v>673</v>
      </c>
    </row>
    <row r="281" spans="1:7" x14ac:dyDescent="0.35">
      <c r="A281" t="s">
        <v>594</v>
      </c>
      <c r="B281" t="s">
        <v>929</v>
      </c>
      <c r="C281" s="2">
        <v>45046</v>
      </c>
      <c r="D281" t="s">
        <v>642</v>
      </c>
      <c r="E281" t="s">
        <v>652</v>
      </c>
      <c r="F281">
        <v>4</v>
      </c>
      <c r="G281" t="s">
        <v>673</v>
      </c>
    </row>
    <row r="282" spans="1:7" x14ac:dyDescent="0.35">
      <c r="A282" t="s">
        <v>596</v>
      </c>
      <c r="B282" t="s">
        <v>930</v>
      </c>
      <c r="C282" s="2">
        <v>45296</v>
      </c>
      <c r="D282" t="s">
        <v>648</v>
      </c>
      <c r="E282" t="s">
        <v>643</v>
      </c>
      <c r="F282">
        <v>4</v>
      </c>
      <c r="G282" t="s">
        <v>650</v>
      </c>
    </row>
    <row r="283" spans="1:7" x14ac:dyDescent="0.35">
      <c r="A283" t="s">
        <v>598</v>
      </c>
      <c r="B283" t="s">
        <v>931</v>
      </c>
      <c r="C283" s="2">
        <v>45282</v>
      </c>
      <c r="D283" t="s">
        <v>648</v>
      </c>
      <c r="E283" t="s">
        <v>643</v>
      </c>
      <c r="F283">
        <v>4</v>
      </c>
      <c r="G283" t="s">
        <v>644</v>
      </c>
    </row>
    <row r="284" spans="1:7" x14ac:dyDescent="0.35">
      <c r="A284" t="s">
        <v>600</v>
      </c>
      <c r="B284" t="s">
        <v>932</v>
      </c>
      <c r="C284" s="2">
        <v>46275</v>
      </c>
      <c r="D284" t="s">
        <v>648</v>
      </c>
      <c r="E284" t="s">
        <v>652</v>
      </c>
      <c r="F284">
        <v>3</v>
      </c>
      <c r="G284" t="s">
        <v>673</v>
      </c>
    </row>
    <row r="285" spans="1:7" x14ac:dyDescent="0.35">
      <c r="A285" t="s">
        <v>602</v>
      </c>
      <c r="B285" t="s">
        <v>933</v>
      </c>
      <c r="C285" s="2">
        <v>44639</v>
      </c>
      <c r="D285" t="s">
        <v>642</v>
      </c>
      <c r="E285" t="s">
        <v>649</v>
      </c>
      <c r="F285">
        <v>0</v>
      </c>
      <c r="G285" t="s">
        <v>650</v>
      </c>
    </row>
    <row r="286" spans="1:7" x14ac:dyDescent="0.35">
      <c r="A286" t="s">
        <v>604</v>
      </c>
      <c r="B286" t="s">
        <v>934</v>
      </c>
      <c r="C286" s="2">
        <v>45010</v>
      </c>
      <c r="D286" t="s">
        <v>642</v>
      </c>
      <c r="E286" t="s">
        <v>643</v>
      </c>
      <c r="F286">
        <v>0</v>
      </c>
      <c r="G286" t="s">
        <v>646</v>
      </c>
    </row>
    <row r="287" spans="1:7" x14ac:dyDescent="0.35">
      <c r="A287" t="s">
        <v>606</v>
      </c>
      <c r="B287" t="s">
        <v>935</v>
      </c>
      <c r="C287" s="2">
        <v>45819</v>
      </c>
      <c r="D287" t="s">
        <v>642</v>
      </c>
      <c r="E287" t="s">
        <v>649</v>
      </c>
      <c r="F287">
        <v>1</v>
      </c>
      <c r="G287" t="s">
        <v>644</v>
      </c>
    </row>
    <row r="288" spans="1:7" x14ac:dyDescent="0.35">
      <c r="A288" t="s">
        <v>608</v>
      </c>
      <c r="B288" t="s">
        <v>936</v>
      </c>
      <c r="C288" s="2">
        <v>44925</v>
      </c>
      <c r="D288" t="s">
        <v>655</v>
      </c>
      <c r="E288" t="s">
        <v>643</v>
      </c>
      <c r="F288">
        <v>2</v>
      </c>
      <c r="G288" t="s">
        <v>650</v>
      </c>
    </row>
    <row r="289" spans="1:7" x14ac:dyDescent="0.35">
      <c r="A289" t="s">
        <v>610</v>
      </c>
      <c r="B289" t="s">
        <v>937</v>
      </c>
      <c r="C289" s="2">
        <v>45763</v>
      </c>
      <c r="D289" t="s">
        <v>642</v>
      </c>
      <c r="E289" t="s">
        <v>652</v>
      </c>
      <c r="F289">
        <v>1</v>
      </c>
      <c r="G289" t="s">
        <v>650</v>
      </c>
    </row>
    <row r="290" spans="1:7" x14ac:dyDescent="0.35">
      <c r="A290" t="s">
        <v>612</v>
      </c>
      <c r="B290" t="s">
        <v>938</v>
      </c>
      <c r="C290" s="2">
        <v>44710</v>
      </c>
      <c r="D290" t="s">
        <v>648</v>
      </c>
      <c r="E290" t="s">
        <v>649</v>
      </c>
      <c r="F290">
        <v>2</v>
      </c>
      <c r="G290" t="s">
        <v>646</v>
      </c>
    </row>
    <row r="291" spans="1:7" x14ac:dyDescent="0.35">
      <c r="A291" t="s">
        <v>614</v>
      </c>
      <c r="B291" t="s">
        <v>939</v>
      </c>
      <c r="C291" s="2">
        <v>45251</v>
      </c>
      <c r="D291" t="s">
        <v>648</v>
      </c>
      <c r="E291" t="s">
        <v>652</v>
      </c>
      <c r="F291">
        <v>2</v>
      </c>
      <c r="G291" t="s">
        <v>673</v>
      </c>
    </row>
    <row r="292" spans="1:7" x14ac:dyDescent="0.35">
      <c r="A292" t="s">
        <v>616</v>
      </c>
      <c r="B292" t="s">
        <v>940</v>
      </c>
      <c r="C292" s="2">
        <v>46061</v>
      </c>
      <c r="D292" t="s">
        <v>642</v>
      </c>
      <c r="E292" t="s">
        <v>652</v>
      </c>
      <c r="F292">
        <v>3</v>
      </c>
      <c r="G292" t="s">
        <v>646</v>
      </c>
    </row>
    <row r="293" spans="1:7" x14ac:dyDescent="0.35">
      <c r="A293" t="s">
        <v>618</v>
      </c>
      <c r="B293" t="s">
        <v>941</v>
      </c>
      <c r="C293" s="2">
        <v>44918</v>
      </c>
      <c r="D293" t="s">
        <v>648</v>
      </c>
      <c r="E293" t="s">
        <v>649</v>
      </c>
      <c r="F293">
        <v>4</v>
      </c>
      <c r="G293" t="s">
        <v>673</v>
      </c>
    </row>
    <row r="294" spans="1:7" x14ac:dyDescent="0.35">
      <c r="A294" t="s">
        <v>620</v>
      </c>
      <c r="B294" t="s">
        <v>942</v>
      </c>
      <c r="C294" s="2">
        <v>45768</v>
      </c>
      <c r="D294" t="s">
        <v>642</v>
      </c>
      <c r="E294" t="s">
        <v>643</v>
      </c>
      <c r="F294">
        <v>1</v>
      </c>
      <c r="G294" t="s">
        <v>646</v>
      </c>
    </row>
    <row r="295" spans="1:7" x14ac:dyDescent="0.35">
      <c r="A295" t="s">
        <v>622</v>
      </c>
      <c r="B295" t="s">
        <v>943</v>
      </c>
      <c r="C295" s="2">
        <v>45972</v>
      </c>
      <c r="D295" t="s">
        <v>655</v>
      </c>
      <c r="E295" t="s">
        <v>643</v>
      </c>
      <c r="F295">
        <v>2</v>
      </c>
      <c r="G295" t="s">
        <v>644</v>
      </c>
    </row>
    <row r="296" spans="1:7" x14ac:dyDescent="0.35">
      <c r="A296" t="s">
        <v>624</v>
      </c>
      <c r="B296" t="s">
        <v>944</v>
      </c>
      <c r="C296" s="2">
        <v>44565</v>
      </c>
      <c r="D296" t="s">
        <v>642</v>
      </c>
      <c r="E296" t="s">
        <v>643</v>
      </c>
      <c r="F296">
        <v>4</v>
      </c>
      <c r="G296" t="s">
        <v>646</v>
      </c>
    </row>
    <row r="297" spans="1:7" x14ac:dyDescent="0.35">
      <c r="A297" t="s">
        <v>626</v>
      </c>
      <c r="B297" t="s">
        <v>945</v>
      </c>
      <c r="C297" s="2">
        <v>44934</v>
      </c>
      <c r="D297" t="s">
        <v>648</v>
      </c>
      <c r="E297" t="s">
        <v>652</v>
      </c>
      <c r="F297">
        <v>4</v>
      </c>
      <c r="G297" t="s">
        <v>673</v>
      </c>
    </row>
    <row r="298" spans="1:7" x14ac:dyDescent="0.35">
      <c r="A298" t="s">
        <v>628</v>
      </c>
      <c r="B298" t="s">
        <v>946</v>
      </c>
      <c r="C298" s="2">
        <v>45871</v>
      </c>
      <c r="D298" t="s">
        <v>648</v>
      </c>
      <c r="E298" t="s">
        <v>652</v>
      </c>
      <c r="F298">
        <v>4</v>
      </c>
      <c r="G298" t="s">
        <v>650</v>
      </c>
    </row>
    <row r="299" spans="1:7" x14ac:dyDescent="0.35">
      <c r="A299" t="s">
        <v>630</v>
      </c>
      <c r="B299" t="s">
        <v>947</v>
      </c>
      <c r="C299" s="2">
        <v>45240</v>
      </c>
      <c r="D299" t="s">
        <v>655</v>
      </c>
      <c r="E299" t="s">
        <v>652</v>
      </c>
      <c r="F299">
        <v>0</v>
      </c>
      <c r="G299" t="s">
        <v>644</v>
      </c>
    </row>
    <row r="300" spans="1:7" x14ac:dyDescent="0.35">
      <c r="A300" t="s">
        <v>632</v>
      </c>
      <c r="B300" t="s">
        <v>948</v>
      </c>
      <c r="C300" s="2">
        <v>44905</v>
      </c>
      <c r="D300" t="s">
        <v>655</v>
      </c>
      <c r="E300" t="s">
        <v>649</v>
      </c>
      <c r="F300">
        <v>0</v>
      </c>
      <c r="G300" t="s">
        <v>673</v>
      </c>
    </row>
    <row r="301" spans="1:7" x14ac:dyDescent="0.35">
      <c r="A301" t="s">
        <v>634</v>
      </c>
      <c r="B301" t="s">
        <v>949</v>
      </c>
      <c r="C301" s="2">
        <v>45105</v>
      </c>
      <c r="D301" t="s">
        <v>655</v>
      </c>
      <c r="E301" t="s">
        <v>652</v>
      </c>
      <c r="F301">
        <v>1</v>
      </c>
      <c r="G301" t="s">
        <v>644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1"/>
  <sheetViews>
    <sheetView workbookViewId="0"/>
  </sheetViews>
  <sheetFormatPr defaultRowHeight="14.5" x14ac:dyDescent="0.35"/>
  <cols>
    <col min="1" max="1" width="10" customWidth="1"/>
    <col min="2" max="2" width="30" customWidth="1"/>
    <col min="3" max="3" width="12" customWidth="1"/>
    <col min="4" max="4" width="8" customWidth="1"/>
    <col min="5" max="5" width="12" customWidth="1"/>
    <col min="6" max="6" width="17" customWidth="1"/>
    <col min="7" max="7" width="14" customWidth="1"/>
    <col min="8" max="8" width="16" customWidth="1"/>
    <col min="9" max="9" width="15" customWidth="1"/>
    <col min="10" max="10" width="20" customWidth="1"/>
    <col min="11" max="11" width="32" customWidth="1"/>
  </cols>
  <sheetData>
    <row r="1" spans="1:11" x14ac:dyDescent="0.35">
      <c r="A1" s="1" t="s">
        <v>0</v>
      </c>
      <c r="B1" s="1" t="s">
        <v>1</v>
      </c>
      <c r="C1" s="1" t="s">
        <v>950</v>
      </c>
      <c r="D1" s="1" t="s">
        <v>951</v>
      </c>
      <c r="E1" s="1" t="s">
        <v>4</v>
      </c>
      <c r="F1" s="1" t="s">
        <v>2</v>
      </c>
      <c r="G1" s="1" t="s">
        <v>3</v>
      </c>
      <c r="H1" s="1" t="s">
        <v>952</v>
      </c>
      <c r="I1" s="1" t="s">
        <v>953</v>
      </c>
      <c r="J1" s="1" t="s">
        <v>954</v>
      </c>
      <c r="K1" s="1" t="s">
        <v>955</v>
      </c>
    </row>
    <row r="2" spans="1:11" x14ac:dyDescent="0.35">
      <c r="A2" t="s">
        <v>11</v>
      </c>
      <c r="B2" t="s">
        <v>956</v>
      </c>
      <c r="C2" t="s">
        <v>957</v>
      </c>
      <c r="D2">
        <v>44</v>
      </c>
      <c r="E2" t="s">
        <v>72</v>
      </c>
      <c r="F2" t="s">
        <v>30</v>
      </c>
      <c r="G2" t="s">
        <v>20</v>
      </c>
      <c r="H2" s="2">
        <v>45320</v>
      </c>
      <c r="I2" t="s">
        <v>958</v>
      </c>
      <c r="J2" t="s">
        <v>959</v>
      </c>
      <c r="K2" t="s">
        <v>960</v>
      </c>
    </row>
    <row r="3" spans="1:11" x14ac:dyDescent="0.35">
      <c r="A3" t="s">
        <v>17</v>
      </c>
      <c r="B3" t="s">
        <v>961</v>
      </c>
      <c r="C3" t="s">
        <v>957</v>
      </c>
      <c r="D3">
        <v>46</v>
      </c>
      <c r="E3" t="s">
        <v>88</v>
      </c>
      <c r="F3" t="s">
        <v>24</v>
      </c>
      <c r="G3" t="s">
        <v>35</v>
      </c>
      <c r="H3" s="2">
        <v>43051</v>
      </c>
      <c r="I3" t="s">
        <v>962</v>
      </c>
      <c r="J3" t="s">
        <v>963</v>
      </c>
      <c r="K3" t="s">
        <v>964</v>
      </c>
    </row>
    <row r="4" spans="1:11" x14ac:dyDescent="0.35">
      <c r="A4" t="s">
        <v>22</v>
      </c>
      <c r="B4" t="s">
        <v>965</v>
      </c>
      <c r="C4" t="s">
        <v>966</v>
      </c>
      <c r="D4">
        <v>46</v>
      </c>
      <c r="E4" t="s">
        <v>48</v>
      </c>
      <c r="F4" t="s">
        <v>39</v>
      </c>
      <c r="G4" t="s">
        <v>35</v>
      </c>
      <c r="H4" s="2">
        <v>42785</v>
      </c>
      <c r="I4" t="s">
        <v>962</v>
      </c>
      <c r="J4" t="s">
        <v>967</v>
      </c>
      <c r="K4" t="s">
        <v>968</v>
      </c>
    </row>
    <row r="5" spans="1:11" x14ac:dyDescent="0.35">
      <c r="A5" t="s">
        <v>28</v>
      </c>
      <c r="B5" t="s">
        <v>969</v>
      </c>
      <c r="C5" t="s">
        <v>957</v>
      </c>
      <c r="D5">
        <v>32</v>
      </c>
      <c r="E5" t="s">
        <v>88</v>
      </c>
      <c r="F5" t="s">
        <v>19</v>
      </c>
      <c r="G5" t="s">
        <v>20</v>
      </c>
      <c r="H5" s="2">
        <v>43577</v>
      </c>
      <c r="I5" t="s">
        <v>958</v>
      </c>
      <c r="J5" t="s">
        <v>970</v>
      </c>
      <c r="K5" t="s">
        <v>971</v>
      </c>
    </row>
    <row r="6" spans="1:11" x14ac:dyDescent="0.35">
      <c r="A6" t="s">
        <v>31</v>
      </c>
      <c r="B6" t="s">
        <v>972</v>
      </c>
      <c r="C6" t="s">
        <v>966</v>
      </c>
      <c r="D6">
        <v>38</v>
      </c>
      <c r="E6" t="s">
        <v>15</v>
      </c>
      <c r="F6" t="s">
        <v>19</v>
      </c>
      <c r="G6" t="s">
        <v>40</v>
      </c>
      <c r="H6" s="2">
        <v>43066</v>
      </c>
      <c r="I6" t="s">
        <v>962</v>
      </c>
      <c r="J6" t="s">
        <v>973</v>
      </c>
      <c r="K6" t="s">
        <v>974</v>
      </c>
    </row>
    <row r="7" spans="1:11" x14ac:dyDescent="0.35">
      <c r="A7" t="s">
        <v>33</v>
      </c>
      <c r="B7" t="s">
        <v>519</v>
      </c>
      <c r="C7" t="s">
        <v>957</v>
      </c>
      <c r="D7">
        <v>26</v>
      </c>
      <c r="E7" t="s">
        <v>36</v>
      </c>
      <c r="F7" t="s">
        <v>19</v>
      </c>
      <c r="G7" t="s">
        <v>40</v>
      </c>
      <c r="H7" s="2">
        <v>44803</v>
      </c>
      <c r="I7" t="s">
        <v>962</v>
      </c>
      <c r="J7" t="s">
        <v>975</v>
      </c>
      <c r="K7" t="s">
        <v>976</v>
      </c>
    </row>
    <row r="8" spans="1:11" x14ac:dyDescent="0.35">
      <c r="A8" t="s">
        <v>37</v>
      </c>
      <c r="B8" t="s">
        <v>977</v>
      </c>
      <c r="C8" t="s">
        <v>957</v>
      </c>
      <c r="D8">
        <v>49</v>
      </c>
      <c r="E8" t="s">
        <v>51</v>
      </c>
      <c r="F8" t="s">
        <v>39</v>
      </c>
      <c r="G8" t="s">
        <v>35</v>
      </c>
      <c r="H8" s="2">
        <v>43013</v>
      </c>
      <c r="I8" t="s">
        <v>958</v>
      </c>
      <c r="J8" t="s">
        <v>978</v>
      </c>
      <c r="K8" t="s">
        <v>979</v>
      </c>
    </row>
    <row r="9" spans="1:11" x14ac:dyDescent="0.35">
      <c r="A9" t="s">
        <v>42</v>
      </c>
      <c r="B9" t="s">
        <v>980</v>
      </c>
      <c r="C9" t="s">
        <v>957</v>
      </c>
      <c r="D9">
        <v>43</v>
      </c>
      <c r="E9" t="s">
        <v>21</v>
      </c>
      <c r="F9" t="s">
        <v>13</v>
      </c>
      <c r="G9" t="s">
        <v>35</v>
      </c>
      <c r="H9" s="2">
        <v>45225</v>
      </c>
      <c r="I9" t="s">
        <v>962</v>
      </c>
      <c r="J9" t="s">
        <v>981</v>
      </c>
      <c r="K9" t="s">
        <v>982</v>
      </c>
    </row>
    <row r="10" spans="1:11" x14ac:dyDescent="0.35">
      <c r="A10" t="s">
        <v>46</v>
      </c>
      <c r="B10" t="s">
        <v>983</v>
      </c>
      <c r="C10" t="s">
        <v>966</v>
      </c>
      <c r="D10">
        <v>41</v>
      </c>
      <c r="E10" t="s">
        <v>21</v>
      </c>
      <c r="F10" t="s">
        <v>19</v>
      </c>
      <c r="G10" t="s">
        <v>20</v>
      </c>
      <c r="H10" s="2">
        <v>43979</v>
      </c>
      <c r="I10" t="s">
        <v>962</v>
      </c>
      <c r="J10" t="s">
        <v>984</v>
      </c>
      <c r="K10" t="s">
        <v>985</v>
      </c>
    </row>
    <row r="11" spans="1:11" x14ac:dyDescent="0.35">
      <c r="A11" t="s">
        <v>49</v>
      </c>
      <c r="B11" t="s">
        <v>986</v>
      </c>
      <c r="C11" t="s">
        <v>957</v>
      </c>
      <c r="D11">
        <v>25</v>
      </c>
      <c r="E11" t="s">
        <v>48</v>
      </c>
      <c r="F11" t="s">
        <v>19</v>
      </c>
      <c r="G11" t="s">
        <v>35</v>
      </c>
      <c r="H11" s="2">
        <v>42728</v>
      </c>
      <c r="I11" t="s">
        <v>962</v>
      </c>
      <c r="J11" t="s">
        <v>987</v>
      </c>
      <c r="K11" t="s">
        <v>988</v>
      </c>
    </row>
    <row r="12" spans="1:11" x14ac:dyDescent="0.35">
      <c r="A12" t="s">
        <v>52</v>
      </c>
      <c r="B12" t="s">
        <v>989</v>
      </c>
      <c r="C12" t="s">
        <v>966</v>
      </c>
      <c r="D12">
        <v>34</v>
      </c>
      <c r="E12" t="s">
        <v>15</v>
      </c>
      <c r="F12" t="s">
        <v>19</v>
      </c>
      <c r="G12" t="s">
        <v>14</v>
      </c>
      <c r="H12" s="2">
        <v>43069</v>
      </c>
      <c r="I12" t="s">
        <v>962</v>
      </c>
      <c r="J12" t="s">
        <v>990</v>
      </c>
      <c r="K12" t="s">
        <v>991</v>
      </c>
    </row>
    <row r="13" spans="1:11" x14ac:dyDescent="0.35">
      <c r="A13" t="s">
        <v>55</v>
      </c>
      <c r="B13" t="s">
        <v>992</v>
      </c>
      <c r="C13" t="s">
        <v>957</v>
      </c>
      <c r="D13">
        <v>52</v>
      </c>
      <c r="E13" t="s">
        <v>15</v>
      </c>
      <c r="F13" t="s">
        <v>44</v>
      </c>
      <c r="G13" t="s">
        <v>35</v>
      </c>
      <c r="H13" s="2">
        <v>44298</v>
      </c>
      <c r="I13" t="s">
        <v>962</v>
      </c>
      <c r="J13" t="s">
        <v>993</v>
      </c>
      <c r="K13" t="s">
        <v>994</v>
      </c>
    </row>
    <row r="14" spans="1:11" x14ac:dyDescent="0.35">
      <c r="A14" t="s">
        <v>57</v>
      </c>
      <c r="B14" t="s">
        <v>995</v>
      </c>
      <c r="C14" t="s">
        <v>966</v>
      </c>
      <c r="D14">
        <v>27</v>
      </c>
      <c r="E14" t="s">
        <v>36</v>
      </c>
      <c r="F14" t="s">
        <v>63</v>
      </c>
      <c r="G14" t="s">
        <v>14</v>
      </c>
      <c r="H14" s="2">
        <v>43889</v>
      </c>
      <c r="I14" t="s">
        <v>962</v>
      </c>
      <c r="J14" t="s">
        <v>996</v>
      </c>
      <c r="K14" t="s">
        <v>997</v>
      </c>
    </row>
    <row r="15" spans="1:11" x14ac:dyDescent="0.35">
      <c r="A15" t="s">
        <v>59</v>
      </c>
      <c r="B15" t="s">
        <v>998</v>
      </c>
      <c r="C15" t="s">
        <v>966</v>
      </c>
      <c r="D15">
        <v>33</v>
      </c>
      <c r="E15" t="s">
        <v>88</v>
      </c>
      <c r="F15" t="s">
        <v>19</v>
      </c>
      <c r="G15" t="s">
        <v>40</v>
      </c>
      <c r="H15" s="2">
        <v>44171</v>
      </c>
      <c r="I15" t="s">
        <v>962</v>
      </c>
      <c r="J15" t="s">
        <v>999</v>
      </c>
      <c r="K15" t="s">
        <v>1000</v>
      </c>
    </row>
    <row r="16" spans="1:11" x14ac:dyDescent="0.35">
      <c r="A16" t="s">
        <v>61</v>
      </c>
      <c r="B16" t="s">
        <v>1001</v>
      </c>
      <c r="C16" t="s">
        <v>966</v>
      </c>
      <c r="D16">
        <v>36</v>
      </c>
      <c r="E16" t="s">
        <v>72</v>
      </c>
      <c r="F16" t="s">
        <v>39</v>
      </c>
      <c r="G16" t="s">
        <v>20</v>
      </c>
      <c r="H16" s="2">
        <v>42989</v>
      </c>
      <c r="I16" t="s">
        <v>958</v>
      </c>
      <c r="J16" t="s">
        <v>1002</v>
      </c>
      <c r="K16" t="s">
        <v>1003</v>
      </c>
    </row>
    <row r="17" spans="1:11" x14ac:dyDescent="0.35">
      <c r="A17" t="s">
        <v>64</v>
      </c>
      <c r="B17" t="s">
        <v>1004</v>
      </c>
      <c r="C17" t="s">
        <v>957</v>
      </c>
      <c r="D17">
        <v>44</v>
      </c>
      <c r="E17" t="s">
        <v>36</v>
      </c>
      <c r="F17" t="s">
        <v>63</v>
      </c>
      <c r="G17" t="s">
        <v>25</v>
      </c>
      <c r="H17" s="2">
        <v>43301</v>
      </c>
      <c r="I17" t="s">
        <v>958</v>
      </c>
      <c r="J17" t="s">
        <v>1005</v>
      </c>
      <c r="K17" t="s">
        <v>1006</v>
      </c>
    </row>
    <row r="18" spans="1:11" x14ac:dyDescent="0.35">
      <c r="A18" t="s">
        <v>66</v>
      </c>
      <c r="B18" t="s">
        <v>1007</v>
      </c>
      <c r="C18" t="s">
        <v>966</v>
      </c>
      <c r="D18">
        <v>55</v>
      </c>
      <c r="E18" t="s">
        <v>26</v>
      </c>
      <c r="F18" t="s">
        <v>39</v>
      </c>
      <c r="G18" t="s">
        <v>54</v>
      </c>
      <c r="H18" s="2">
        <v>45920</v>
      </c>
      <c r="I18" t="s">
        <v>962</v>
      </c>
      <c r="J18" t="s">
        <v>1008</v>
      </c>
      <c r="K18" t="s">
        <v>1009</v>
      </c>
    </row>
    <row r="19" spans="1:11" x14ac:dyDescent="0.35">
      <c r="A19" t="s">
        <v>68</v>
      </c>
      <c r="B19" t="s">
        <v>1010</v>
      </c>
      <c r="C19" t="s">
        <v>957</v>
      </c>
      <c r="D19">
        <v>52</v>
      </c>
      <c r="E19" t="s">
        <v>72</v>
      </c>
      <c r="F19" t="s">
        <v>19</v>
      </c>
      <c r="G19" t="s">
        <v>35</v>
      </c>
      <c r="H19" s="2">
        <v>45867</v>
      </c>
      <c r="I19" t="s">
        <v>958</v>
      </c>
      <c r="J19" t="s">
        <v>1011</v>
      </c>
      <c r="K19" t="s">
        <v>1012</v>
      </c>
    </row>
    <row r="20" spans="1:11" x14ac:dyDescent="0.35">
      <c r="A20" t="s">
        <v>70</v>
      </c>
      <c r="B20" t="s">
        <v>1013</v>
      </c>
      <c r="C20" t="s">
        <v>957</v>
      </c>
      <c r="D20">
        <v>29</v>
      </c>
      <c r="E20" t="s">
        <v>88</v>
      </c>
      <c r="F20" t="s">
        <v>13</v>
      </c>
      <c r="G20" t="s">
        <v>14</v>
      </c>
      <c r="H20" s="2">
        <v>43237</v>
      </c>
      <c r="I20" t="s">
        <v>958</v>
      </c>
      <c r="J20" t="s">
        <v>1014</v>
      </c>
      <c r="K20" t="s">
        <v>1015</v>
      </c>
    </row>
    <row r="21" spans="1:11" x14ac:dyDescent="0.35">
      <c r="A21" t="s">
        <v>73</v>
      </c>
      <c r="B21" t="s">
        <v>1016</v>
      </c>
      <c r="C21" t="s">
        <v>957</v>
      </c>
      <c r="D21">
        <v>24</v>
      </c>
      <c r="E21" t="s">
        <v>26</v>
      </c>
      <c r="F21" t="s">
        <v>19</v>
      </c>
      <c r="G21" t="s">
        <v>54</v>
      </c>
      <c r="H21" s="2">
        <v>44153</v>
      </c>
      <c r="I21" t="s">
        <v>958</v>
      </c>
      <c r="J21" t="s">
        <v>1017</v>
      </c>
      <c r="K21" t="s">
        <v>1018</v>
      </c>
    </row>
    <row r="22" spans="1:11" x14ac:dyDescent="0.35">
      <c r="A22" t="s">
        <v>75</v>
      </c>
      <c r="B22" t="s">
        <v>1019</v>
      </c>
      <c r="C22" t="s">
        <v>957</v>
      </c>
      <c r="D22">
        <v>60</v>
      </c>
      <c r="E22" t="s">
        <v>72</v>
      </c>
      <c r="F22" t="s">
        <v>44</v>
      </c>
      <c r="G22" t="s">
        <v>54</v>
      </c>
      <c r="H22" s="2">
        <v>45676</v>
      </c>
      <c r="I22" t="s">
        <v>958</v>
      </c>
      <c r="J22" t="s">
        <v>1020</v>
      </c>
      <c r="K22" t="s">
        <v>1021</v>
      </c>
    </row>
    <row r="23" spans="1:11" x14ac:dyDescent="0.35">
      <c r="A23" t="s">
        <v>78</v>
      </c>
      <c r="B23" t="s">
        <v>1022</v>
      </c>
      <c r="C23" t="s">
        <v>957</v>
      </c>
      <c r="D23">
        <v>46</v>
      </c>
      <c r="E23" t="s">
        <v>36</v>
      </c>
      <c r="F23" t="s">
        <v>63</v>
      </c>
      <c r="G23" t="s">
        <v>25</v>
      </c>
      <c r="H23" s="2">
        <v>43705</v>
      </c>
      <c r="I23" t="s">
        <v>962</v>
      </c>
      <c r="J23" t="s">
        <v>1023</v>
      </c>
      <c r="K23" t="s">
        <v>1024</v>
      </c>
    </row>
    <row r="24" spans="1:11" x14ac:dyDescent="0.35">
      <c r="A24" t="s">
        <v>80</v>
      </c>
      <c r="B24" t="s">
        <v>1025</v>
      </c>
      <c r="C24" t="s">
        <v>966</v>
      </c>
      <c r="D24">
        <v>22</v>
      </c>
      <c r="E24" t="s">
        <v>41</v>
      </c>
      <c r="F24" t="s">
        <v>39</v>
      </c>
      <c r="G24" t="s">
        <v>25</v>
      </c>
      <c r="H24" s="2">
        <v>45571</v>
      </c>
      <c r="I24" t="s">
        <v>962</v>
      </c>
      <c r="J24" t="s">
        <v>1026</v>
      </c>
      <c r="K24" t="s">
        <v>1027</v>
      </c>
    </row>
    <row r="25" spans="1:11" x14ac:dyDescent="0.35">
      <c r="A25" t="s">
        <v>82</v>
      </c>
      <c r="B25" t="s">
        <v>1028</v>
      </c>
      <c r="C25" t="s">
        <v>957</v>
      </c>
      <c r="D25">
        <v>48</v>
      </c>
      <c r="E25" t="s">
        <v>51</v>
      </c>
      <c r="F25" t="s">
        <v>13</v>
      </c>
      <c r="G25" t="s">
        <v>25</v>
      </c>
      <c r="H25" s="2">
        <v>44778</v>
      </c>
      <c r="I25" t="s">
        <v>958</v>
      </c>
      <c r="J25" t="s">
        <v>1029</v>
      </c>
      <c r="K25" t="s">
        <v>1030</v>
      </c>
    </row>
    <row r="26" spans="1:11" x14ac:dyDescent="0.35">
      <c r="A26" t="s">
        <v>84</v>
      </c>
      <c r="B26" t="s">
        <v>1031</v>
      </c>
      <c r="C26" t="s">
        <v>957</v>
      </c>
      <c r="D26">
        <v>58</v>
      </c>
      <c r="E26" t="s">
        <v>15</v>
      </c>
      <c r="F26" t="s">
        <v>30</v>
      </c>
      <c r="G26" t="s">
        <v>40</v>
      </c>
      <c r="H26" s="2">
        <v>45923</v>
      </c>
      <c r="I26" t="s">
        <v>962</v>
      </c>
      <c r="J26" t="s">
        <v>1032</v>
      </c>
      <c r="K26" t="s">
        <v>1033</v>
      </c>
    </row>
    <row r="27" spans="1:11" x14ac:dyDescent="0.35">
      <c r="A27" t="s">
        <v>86</v>
      </c>
      <c r="B27" t="s">
        <v>1034</v>
      </c>
      <c r="C27" t="s">
        <v>966</v>
      </c>
      <c r="D27">
        <v>38</v>
      </c>
      <c r="E27" t="s">
        <v>26</v>
      </c>
      <c r="F27" t="s">
        <v>24</v>
      </c>
      <c r="G27" t="s">
        <v>35</v>
      </c>
      <c r="H27" s="2">
        <v>44713</v>
      </c>
      <c r="I27" t="s">
        <v>962</v>
      </c>
      <c r="J27" t="s">
        <v>1035</v>
      </c>
      <c r="K27" t="s">
        <v>1036</v>
      </c>
    </row>
    <row r="28" spans="1:11" x14ac:dyDescent="0.35">
      <c r="A28" t="s">
        <v>89</v>
      </c>
      <c r="B28" t="s">
        <v>1037</v>
      </c>
      <c r="C28" t="s">
        <v>957</v>
      </c>
      <c r="D28">
        <v>33</v>
      </c>
      <c r="E28" t="s">
        <v>72</v>
      </c>
      <c r="F28" t="s">
        <v>63</v>
      </c>
      <c r="G28" t="s">
        <v>14</v>
      </c>
      <c r="H28" s="2">
        <v>44902</v>
      </c>
      <c r="I28" t="s">
        <v>962</v>
      </c>
      <c r="J28" t="s">
        <v>1038</v>
      </c>
      <c r="K28" t="s">
        <v>1039</v>
      </c>
    </row>
    <row r="29" spans="1:11" x14ac:dyDescent="0.35">
      <c r="A29" t="s">
        <v>91</v>
      </c>
      <c r="B29" t="s">
        <v>1040</v>
      </c>
      <c r="C29" t="s">
        <v>957</v>
      </c>
      <c r="D29">
        <v>47</v>
      </c>
      <c r="E29" t="s">
        <v>48</v>
      </c>
      <c r="F29" t="s">
        <v>24</v>
      </c>
      <c r="G29" t="s">
        <v>14</v>
      </c>
      <c r="H29" s="2">
        <v>42571</v>
      </c>
      <c r="I29" t="s">
        <v>962</v>
      </c>
      <c r="J29" t="s">
        <v>1041</v>
      </c>
      <c r="K29" t="s">
        <v>1042</v>
      </c>
    </row>
    <row r="30" spans="1:11" x14ac:dyDescent="0.35">
      <c r="A30" t="s">
        <v>93</v>
      </c>
      <c r="B30" t="s">
        <v>1043</v>
      </c>
      <c r="C30" t="s">
        <v>966</v>
      </c>
      <c r="D30">
        <v>45</v>
      </c>
      <c r="E30" t="s">
        <v>77</v>
      </c>
      <c r="F30" t="s">
        <v>44</v>
      </c>
      <c r="G30" t="s">
        <v>40</v>
      </c>
      <c r="H30" s="2">
        <v>43643</v>
      </c>
      <c r="I30" t="s">
        <v>962</v>
      </c>
      <c r="J30" t="s">
        <v>1044</v>
      </c>
      <c r="K30" t="s">
        <v>1045</v>
      </c>
    </row>
    <row r="31" spans="1:11" x14ac:dyDescent="0.35">
      <c r="A31" t="s">
        <v>95</v>
      </c>
      <c r="B31" t="s">
        <v>1046</v>
      </c>
      <c r="C31" t="s">
        <v>966</v>
      </c>
      <c r="D31">
        <v>28</v>
      </c>
      <c r="E31" t="s">
        <v>21</v>
      </c>
      <c r="F31" t="s">
        <v>13</v>
      </c>
      <c r="G31" t="s">
        <v>40</v>
      </c>
      <c r="H31" s="2">
        <v>45416</v>
      </c>
      <c r="I31" t="s">
        <v>962</v>
      </c>
      <c r="J31" t="s">
        <v>1047</v>
      </c>
      <c r="K31" t="s">
        <v>1048</v>
      </c>
    </row>
    <row r="32" spans="1:11" x14ac:dyDescent="0.35">
      <c r="A32" t="s">
        <v>97</v>
      </c>
      <c r="B32" t="s">
        <v>1049</v>
      </c>
      <c r="C32" t="s">
        <v>966</v>
      </c>
      <c r="D32">
        <v>39</v>
      </c>
      <c r="E32" t="s">
        <v>26</v>
      </c>
      <c r="F32" t="s">
        <v>39</v>
      </c>
      <c r="G32" t="s">
        <v>54</v>
      </c>
      <c r="H32" s="2">
        <v>42735</v>
      </c>
      <c r="I32" t="s">
        <v>958</v>
      </c>
      <c r="J32" t="s">
        <v>1050</v>
      </c>
      <c r="K32" t="s">
        <v>1051</v>
      </c>
    </row>
    <row r="33" spans="1:11" x14ac:dyDescent="0.35">
      <c r="A33" t="s">
        <v>99</v>
      </c>
      <c r="B33" t="s">
        <v>1052</v>
      </c>
      <c r="C33" t="s">
        <v>966</v>
      </c>
      <c r="D33">
        <v>35</v>
      </c>
      <c r="E33" t="s">
        <v>26</v>
      </c>
      <c r="F33" t="s">
        <v>24</v>
      </c>
      <c r="G33" t="s">
        <v>35</v>
      </c>
      <c r="H33" s="2">
        <v>45480</v>
      </c>
      <c r="I33" t="s">
        <v>962</v>
      </c>
      <c r="J33" t="s">
        <v>1053</v>
      </c>
      <c r="K33" t="s">
        <v>1054</v>
      </c>
    </row>
    <row r="34" spans="1:11" x14ac:dyDescent="0.35">
      <c r="A34" t="s">
        <v>101</v>
      </c>
      <c r="B34" t="s">
        <v>1055</v>
      </c>
      <c r="C34" t="s">
        <v>957</v>
      </c>
      <c r="D34">
        <v>54</v>
      </c>
      <c r="E34" t="s">
        <v>51</v>
      </c>
      <c r="F34" t="s">
        <v>19</v>
      </c>
      <c r="G34" t="s">
        <v>40</v>
      </c>
      <c r="H34" s="2">
        <v>45276</v>
      </c>
      <c r="I34" t="s">
        <v>962</v>
      </c>
      <c r="J34" t="s">
        <v>1056</v>
      </c>
      <c r="K34" t="s">
        <v>1057</v>
      </c>
    </row>
    <row r="35" spans="1:11" x14ac:dyDescent="0.35">
      <c r="A35" t="s">
        <v>103</v>
      </c>
      <c r="B35" t="s">
        <v>1058</v>
      </c>
      <c r="C35" t="s">
        <v>957</v>
      </c>
      <c r="D35">
        <v>55</v>
      </c>
      <c r="E35" t="s">
        <v>41</v>
      </c>
      <c r="F35" t="s">
        <v>19</v>
      </c>
      <c r="G35" t="s">
        <v>14</v>
      </c>
      <c r="H35" s="2">
        <v>43159</v>
      </c>
      <c r="I35" t="s">
        <v>958</v>
      </c>
      <c r="J35" t="s">
        <v>1059</v>
      </c>
      <c r="K35" t="s">
        <v>1060</v>
      </c>
    </row>
    <row r="36" spans="1:11" x14ac:dyDescent="0.35">
      <c r="A36" t="s">
        <v>105</v>
      </c>
      <c r="B36" t="s">
        <v>1061</v>
      </c>
      <c r="C36" t="s">
        <v>957</v>
      </c>
      <c r="D36">
        <v>37</v>
      </c>
      <c r="E36" t="s">
        <v>77</v>
      </c>
      <c r="F36" t="s">
        <v>63</v>
      </c>
      <c r="G36" t="s">
        <v>20</v>
      </c>
      <c r="H36" s="2">
        <v>43846</v>
      </c>
      <c r="I36" t="s">
        <v>958</v>
      </c>
      <c r="J36" t="s">
        <v>1062</v>
      </c>
      <c r="K36" t="s">
        <v>1063</v>
      </c>
    </row>
    <row r="37" spans="1:11" x14ac:dyDescent="0.35">
      <c r="A37" t="s">
        <v>107</v>
      </c>
      <c r="B37" t="s">
        <v>1064</v>
      </c>
      <c r="C37" t="s">
        <v>966</v>
      </c>
      <c r="D37">
        <v>45</v>
      </c>
      <c r="E37" t="s">
        <v>88</v>
      </c>
      <c r="F37" t="s">
        <v>39</v>
      </c>
      <c r="G37" t="s">
        <v>35</v>
      </c>
      <c r="H37" s="2">
        <v>44972</v>
      </c>
      <c r="I37" t="s">
        <v>958</v>
      </c>
      <c r="J37" t="s">
        <v>1065</v>
      </c>
      <c r="K37" t="s">
        <v>1066</v>
      </c>
    </row>
    <row r="38" spans="1:11" x14ac:dyDescent="0.35">
      <c r="A38" t="s">
        <v>109</v>
      </c>
      <c r="B38" t="s">
        <v>1067</v>
      </c>
      <c r="C38" t="s">
        <v>957</v>
      </c>
      <c r="D38">
        <v>37</v>
      </c>
      <c r="E38" t="s">
        <v>48</v>
      </c>
      <c r="F38" t="s">
        <v>63</v>
      </c>
      <c r="G38" t="s">
        <v>25</v>
      </c>
      <c r="H38" s="2">
        <v>44197</v>
      </c>
      <c r="I38" t="s">
        <v>958</v>
      </c>
      <c r="J38" t="s">
        <v>1068</v>
      </c>
      <c r="K38" t="s">
        <v>1069</v>
      </c>
    </row>
    <row r="39" spans="1:11" x14ac:dyDescent="0.35">
      <c r="A39" t="s">
        <v>111</v>
      </c>
      <c r="B39" t="s">
        <v>1070</v>
      </c>
      <c r="C39" t="s">
        <v>966</v>
      </c>
      <c r="D39">
        <v>59</v>
      </c>
      <c r="E39" t="s">
        <v>36</v>
      </c>
      <c r="F39" t="s">
        <v>44</v>
      </c>
      <c r="G39" t="s">
        <v>40</v>
      </c>
      <c r="H39" s="2">
        <v>43039</v>
      </c>
      <c r="I39" t="s">
        <v>962</v>
      </c>
      <c r="J39" t="s">
        <v>1071</v>
      </c>
      <c r="K39" t="s">
        <v>1072</v>
      </c>
    </row>
    <row r="40" spans="1:11" x14ac:dyDescent="0.35">
      <c r="A40" t="s">
        <v>113</v>
      </c>
      <c r="B40" t="s">
        <v>1073</v>
      </c>
      <c r="C40" t="s">
        <v>957</v>
      </c>
      <c r="D40">
        <v>40</v>
      </c>
      <c r="E40" t="s">
        <v>77</v>
      </c>
      <c r="F40" t="s">
        <v>63</v>
      </c>
      <c r="G40" t="s">
        <v>20</v>
      </c>
      <c r="H40" s="2">
        <v>43037</v>
      </c>
      <c r="I40" t="s">
        <v>958</v>
      </c>
      <c r="J40" t="s">
        <v>1074</v>
      </c>
      <c r="K40" t="s">
        <v>1075</v>
      </c>
    </row>
    <row r="41" spans="1:11" x14ac:dyDescent="0.35">
      <c r="A41" t="s">
        <v>115</v>
      </c>
      <c r="B41" t="s">
        <v>1076</v>
      </c>
      <c r="C41" t="s">
        <v>957</v>
      </c>
      <c r="D41">
        <v>36</v>
      </c>
      <c r="E41" t="s">
        <v>21</v>
      </c>
      <c r="F41" t="s">
        <v>44</v>
      </c>
      <c r="G41" t="s">
        <v>54</v>
      </c>
      <c r="H41" s="2">
        <v>44047</v>
      </c>
      <c r="I41" t="s">
        <v>958</v>
      </c>
      <c r="J41" t="s">
        <v>1077</v>
      </c>
      <c r="K41" t="s">
        <v>1078</v>
      </c>
    </row>
    <row r="42" spans="1:11" x14ac:dyDescent="0.35">
      <c r="A42" t="s">
        <v>117</v>
      </c>
      <c r="B42" t="s">
        <v>1079</v>
      </c>
      <c r="C42" t="s">
        <v>957</v>
      </c>
      <c r="D42">
        <v>52</v>
      </c>
      <c r="E42" t="s">
        <v>51</v>
      </c>
      <c r="F42" t="s">
        <v>24</v>
      </c>
      <c r="G42" t="s">
        <v>14</v>
      </c>
      <c r="H42" s="2">
        <v>44832</v>
      </c>
      <c r="I42" t="s">
        <v>958</v>
      </c>
      <c r="J42" t="s">
        <v>1080</v>
      </c>
      <c r="K42" t="s">
        <v>1081</v>
      </c>
    </row>
    <row r="43" spans="1:11" x14ac:dyDescent="0.35">
      <c r="A43" t="s">
        <v>119</v>
      </c>
      <c r="B43" t="s">
        <v>1082</v>
      </c>
      <c r="C43" t="s">
        <v>957</v>
      </c>
      <c r="D43">
        <v>38</v>
      </c>
      <c r="E43" t="s">
        <v>41</v>
      </c>
      <c r="F43" t="s">
        <v>30</v>
      </c>
      <c r="G43" t="s">
        <v>40</v>
      </c>
      <c r="H43" s="2">
        <v>45289</v>
      </c>
      <c r="I43" t="s">
        <v>962</v>
      </c>
      <c r="J43" t="s">
        <v>1083</v>
      </c>
      <c r="K43" t="s">
        <v>1084</v>
      </c>
    </row>
    <row r="44" spans="1:11" x14ac:dyDescent="0.35">
      <c r="A44" t="s">
        <v>121</v>
      </c>
      <c r="B44" t="s">
        <v>1085</v>
      </c>
      <c r="C44" t="s">
        <v>966</v>
      </c>
      <c r="D44">
        <v>46</v>
      </c>
      <c r="E44" t="s">
        <v>48</v>
      </c>
      <c r="F44" t="s">
        <v>63</v>
      </c>
      <c r="G44" t="s">
        <v>40</v>
      </c>
      <c r="H44" s="2">
        <v>43263</v>
      </c>
      <c r="I44" t="s">
        <v>962</v>
      </c>
      <c r="J44" t="s">
        <v>1086</v>
      </c>
      <c r="K44" t="s">
        <v>1087</v>
      </c>
    </row>
    <row r="45" spans="1:11" x14ac:dyDescent="0.35">
      <c r="A45" t="s">
        <v>123</v>
      </c>
      <c r="B45" t="s">
        <v>1088</v>
      </c>
      <c r="C45" t="s">
        <v>966</v>
      </c>
      <c r="D45">
        <v>55</v>
      </c>
      <c r="E45" t="s">
        <v>41</v>
      </c>
      <c r="F45" t="s">
        <v>63</v>
      </c>
      <c r="G45" t="s">
        <v>25</v>
      </c>
      <c r="H45" s="2">
        <v>42789</v>
      </c>
      <c r="I45" t="s">
        <v>958</v>
      </c>
      <c r="J45" t="s">
        <v>1089</v>
      </c>
      <c r="K45" t="s">
        <v>1090</v>
      </c>
    </row>
    <row r="46" spans="1:11" x14ac:dyDescent="0.35">
      <c r="A46" t="s">
        <v>125</v>
      </c>
      <c r="B46" t="s">
        <v>1091</v>
      </c>
      <c r="C46" t="s">
        <v>966</v>
      </c>
      <c r="D46">
        <v>57</v>
      </c>
      <c r="E46" t="s">
        <v>41</v>
      </c>
      <c r="F46" t="s">
        <v>39</v>
      </c>
      <c r="G46" t="s">
        <v>40</v>
      </c>
      <c r="H46" s="2">
        <v>43592</v>
      </c>
      <c r="I46" t="s">
        <v>958</v>
      </c>
      <c r="J46" t="s">
        <v>1092</v>
      </c>
      <c r="K46" t="s">
        <v>1093</v>
      </c>
    </row>
    <row r="47" spans="1:11" x14ac:dyDescent="0.35">
      <c r="A47" t="s">
        <v>127</v>
      </c>
      <c r="B47" t="s">
        <v>1094</v>
      </c>
      <c r="C47" t="s">
        <v>966</v>
      </c>
      <c r="D47">
        <v>26</v>
      </c>
      <c r="E47" t="s">
        <v>48</v>
      </c>
      <c r="F47" t="s">
        <v>44</v>
      </c>
      <c r="G47" t="s">
        <v>54</v>
      </c>
      <c r="H47" s="2">
        <v>43701</v>
      </c>
      <c r="I47" t="s">
        <v>962</v>
      </c>
      <c r="J47" t="s">
        <v>1095</v>
      </c>
      <c r="K47" t="s">
        <v>1096</v>
      </c>
    </row>
    <row r="48" spans="1:11" x14ac:dyDescent="0.35">
      <c r="A48" t="s">
        <v>129</v>
      </c>
      <c r="B48" t="s">
        <v>1097</v>
      </c>
      <c r="C48" t="s">
        <v>966</v>
      </c>
      <c r="D48">
        <v>41</v>
      </c>
      <c r="E48" t="s">
        <v>21</v>
      </c>
      <c r="F48" t="s">
        <v>13</v>
      </c>
      <c r="G48" t="s">
        <v>25</v>
      </c>
      <c r="H48" s="2">
        <v>45505</v>
      </c>
      <c r="I48" t="s">
        <v>958</v>
      </c>
      <c r="J48" t="s">
        <v>1098</v>
      </c>
      <c r="K48" t="s">
        <v>1099</v>
      </c>
    </row>
    <row r="49" spans="1:11" x14ac:dyDescent="0.35">
      <c r="A49" t="s">
        <v>131</v>
      </c>
      <c r="B49" t="s">
        <v>1100</v>
      </c>
      <c r="C49" t="s">
        <v>957</v>
      </c>
      <c r="D49">
        <v>60</v>
      </c>
      <c r="E49" t="s">
        <v>26</v>
      </c>
      <c r="F49" t="s">
        <v>24</v>
      </c>
      <c r="G49" t="s">
        <v>40</v>
      </c>
      <c r="H49" s="2">
        <v>45158</v>
      </c>
      <c r="I49" t="s">
        <v>958</v>
      </c>
      <c r="J49" t="s">
        <v>1101</v>
      </c>
      <c r="K49" t="s">
        <v>1102</v>
      </c>
    </row>
    <row r="50" spans="1:11" x14ac:dyDescent="0.35">
      <c r="A50" t="s">
        <v>133</v>
      </c>
      <c r="B50" t="s">
        <v>1103</v>
      </c>
      <c r="C50" t="s">
        <v>957</v>
      </c>
      <c r="D50">
        <v>53</v>
      </c>
      <c r="E50" t="s">
        <v>72</v>
      </c>
      <c r="F50" t="s">
        <v>44</v>
      </c>
      <c r="G50" t="s">
        <v>35</v>
      </c>
      <c r="H50" s="2">
        <v>44027</v>
      </c>
      <c r="I50" t="s">
        <v>962</v>
      </c>
      <c r="J50" t="s">
        <v>1104</v>
      </c>
      <c r="K50" t="s">
        <v>1105</v>
      </c>
    </row>
    <row r="51" spans="1:11" x14ac:dyDescent="0.35">
      <c r="A51" t="s">
        <v>135</v>
      </c>
      <c r="B51" t="s">
        <v>1106</v>
      </c>
      <c r="C51" t="s">
        <v>957</v>
      </c>
      <c r="D51">
        <v>59</v>
      </c>
      <c r="E51" t="s">
        <v>41</v>
      </c>
      <c r="F51" t="s">
        <v>30</v>
      </c>
      <c r="G51" t="s">
        <v>14</v>
      </c>
      <c r="H51" s="2">
        <v>43775</v>
      </c>
      <c r="I51" t="s">
        <v>958</v>
      </c>
      <c r="J51" t="s">
        <v>1107</v>
      </c>
      <c r="K51" t="s">
        <v>1108</v>
      </c>
    </row>
    <row r="52" spans="1:11" x14ac:dyDescent="0.35">
      <c r="A52" t="s">
        <v>137</v>
      </c>
      <c r="B52" t="s">
        <v>1109</v>
      </c>
      <c r="C52" t="s">
        <v>966</v>
      </c>
      <c r="D52">
        <v>44</v>
      </c>
      <c r="E52" t="s">
        <v>36</v>
      </c>
      <c r="F52" t="s">
        <v>44</v>
      </c>
      <c r="G52" t="s">
        <v>14</v>
      </c>
      <c r="H52" s="2">
        <v>45813</v>
      </c>
      <c r="I52" t="s">
        <v>958</v>
      </c>
      <c r="J52" t="s">
        <v>1110</v>
      </c>
      <c r="K52" t="s">
        <v>1111</v>
      </c>
    </row>
    <row r="53" spans="1:11" x14ac:dyDescent="0.35">
      <c r="A53" t="s">
        <v>139</v>
      </c>
      <c r="B53" t="s">
        <v>1112</v>
      </c>
      <c r="C53" t="s">
        <v>966</v>
      </c>
      <c r="D53">
        <v>28</v>
      </c>
      <c r="E53" t="s">
        <v>88</v>
      </c>
      <c r="F53" t="s">
        <v>13</v>
      </c>
      <c r="G53" t="s">
        <v>54</v>
      </c>
      <c r="H53" s="2">
        <v>43429</v>
      </c>
      <c r="I53" t="s">
        <v>958</v>
      </c>
      <c r="J53" t="s">
        <v>1113</v>
      </c>
      <c r="K53" t="s">
        <v>1114</v>
      </c>
    </row>
    <row r="54" spans="1:11" x14ac:dyDescent="0.35">
      <c r="A54" t="s">
        <v>141</v>
      </c>
      <c r="B54" t="s">
        <v>1115</v>
      </c>
      <c r="C54" t="s">
        <v>966</v>
      </c>
      <c r="D54">
        <v>27</v>
      </c>
      <c r="E54" t="s">
        <v>21</v>
      </c>
      <c r="F54" t="s">
        <v>44</v>
      </c>
      <c r="G54" t="s">
        <v>14</v>
      </c>
      <c r="H54" s="2">
        <v>45418</v>
      </c>
      <c r="I54" t="s">
        <v>962</v>
      </c>
      <c r="J54" t="s">
        <v>1116</v>
      </c>
      <c r="K54" t="s">
        <v>1117</v>
      </c>
    </row>
    <row r="55" spans="1:11" x14ac:dyDescent="0.35">
      <c r="A55" t="s">
        <v>143</v>
      </c>
      <c r="B55" t="s">
        <v>1118</v>
      </c>
      <c r="C55" t="s">
        <v>966</v>
      </c>
      <c r="D55">
        <v>43</v>
      </c>
      <c r="E55" t="s">
        <v>48</v>
      </c>
      <c r="F55" t="s">
        <v>44</v>
      </c>
      <c r="G55" t="s">
        <v>25</v>
      </c>
      <c r="H55" s="2">
        <v>43574</v>
      </c>
      <c r="I55" t="s">
        <v>962</v>
      </c>
      <c r="J55" t="s">
        <v>1119</v>
      </c>
      <c r="K55" t="s">
        <v>1120</v>
      </c>
    </row>
    <row r="56" spans="1:11" x14ac:dyDescent="0.35">
      <c r="A56" t="s">
        <v>145</v>
      </c>
      <c r="B56" t="s">
        <v>1121</v>
      </c>
      <c r="C56" t="s">
        <v>957</v>
      </c>
      <c r="D56">
        <v>52</v>
      </c>
      <c r="E56" t="s">
        <v>77</v>
      </c>
      <c r="F56" t="s">
        <v>30</v>
      </c>
      <c r="G56" t="s">
        <v>54</v>
      </c>
      <c r="H56" s="2">
        <v>44760</v>
      </c>
      <c r="I56" t="s">
        <v>958</v>
      </c>
      <c r="J56" t="s">
        <v>1122</v>
      </c>
      <c r="K56" t="s">
        <v>1123</v>
      </c>
    </row>
    <row r="57" spans="1:11" x14ac:dyDescent="0.35">
      <c r="A57" t="s">
        <v>147</v>
      </c>
      <c r="B57" t="s">
        <v>1124</v>
      </c>
      <c r="C57" t="s">
        <v>966</v>
      </c>
      <c r="D57">
        <v>34</v>
      </c>
      <c r="E57" t="s">
        <v>36</v>
      </c>
      <c r="F57" t="s">
        <v>19</v>
      </c>
      <c r="G57" t="s">
        <v>54</v>
      </c>
      <c r="H57" s="2">
        <v>43933</v>
      </c>
      <c r="I57" t="s">
        <v>962</v>
      </c>
      <c r="J57" t="s">
        <v>1125</v>
      </c>
      <c r="K57" t="s">
        <v>1126</v>
      </c>
    </row>
    <row r="58" spans="1:11" x14ac:dyDescent="0.35">
      <c r="A58" t="s">
        <v>149</v>
      </c>
      <c r="B58" t="s">
        <v>1127</v>
      </c>
      <c r="C58" t="s">
        <v>966</v>
      </c>
      <c r="D58">
        <v>25</v>
      </c>
      <c r="E58" t="s">
        <v>51</v>
      </c>
      <c r="F58" t="s">
        <v>13</v>
      </c>
      <c r="G58" t="s">
        <v>14</v>
      </c>
      <c r="H58" s="2">
        <v>43773</v>
      </c>
      <c r="I58" t="s">
        <v>962</v>
      </c>
      <c r="J58" t="s">
        <v>1128</v>
      </c>
      <c r="K58" t="s">
        <v>1129</v>
      </c>
    </row>
    <row r="59" spans="1:11" x14ac:dyDescent="0.35">
      <c r="A59" t="s">
        <v>151</v>
      </c>
      <c r="B59" t="s">
        <v>1130</v>
      </c>
      <c r="C59" t="s">
        <v>966</v>
      </c>
      <c r="D59">
        <v>31</v>
      </c>
      <c r="E59" t="s">
        <v>48</v>
      </c>
      <c r="F59" t="s">
        <v>30</v>
      </c>
      <c r="G59" t="s">
        <v>54</v>
      </c>
      <c r="H59" s="2">
        <v>43108</v>
      </c>
      <c r="I59" t="s">
        <v>958</v>
      </c>
      <c r="J59" t="s">
        <v>1131</v>
      </c>
      <c r="K59" t="s">
        <v>1132</v>
      </c>
    </row>
    <row r="60" spans="1:11" x14ac:dyDescent="0.35">
      <c r="A60" t="s">
        <v>153</v>
      </c>
      <c r="B60" t="s">
        <v>1133</v>
      </c>
      <c r="C60" t="s">
        <v>966</v>
      </c>
      <c r="D60">
        <v>43</v>
      </c>
      <c r="E60" t="s">
        <v>51</v>
      </c>
      <c r="F60" t="s">
        <v>44</v>
      </c>
      <c r="G60" t="s">
        <v>54</v>
      </c>
      <c r="H60" s="2">
        <v>42607</v>
      </c>
      <c r="I60" t="s">
        <v>958</v>
      </c>
      <c r="J60" t="s">
        <v>1134</v>
      </c>
      <c r="K60" t="s">
        <v>1135</v>
      </c>
    </row>
    <row r="61" spans="1:11" x14ac:dyDescent="0.35">
      <c r="A61" t="s">
        <v>155</v>
      </c>
      <c r="B61" t="s">
        <v>1136</v>
      </c>
      <c r="C61" t="s">
        <v>966</v>
      </c>
      <c r="D61">
        <v>39</v>
      </c>
      <c r="E61" t="s">
        <v>21</v>
      </c>
      <c r="F61" t="s">
        <v>30</v>
      </c>
      <c r="G61" t="s">
        <v>14</v>
      </c>
      <c r="H61" s="2">
        <v>44730</v>
      </c>
      <c r="I61" t="s">
        <v>958</v>
      </c>
      <c r="J61" t="s">
        <v>1137</v>
      </c>
      <c r="K61" t="s">
        <v>1138</v>
      </c>
    </row>
    <row r="62" spans="1:11" x14ac:dyDescent="0.35">
      <c r="A62" t="s">
        <v>157</v>
      </c>
      <c r="B62" t="s">
        <v>1139</v>
      </c>
      <c r="C62" t="s">
        <v>966</v>
      </c>
      <c r="D62">
        <v>27</v>
      </c>
      <c r="E62" t="s">
        <v>51</v>
      </c>
      <c r="F62" t="s">
        <v>39</v>
      </c>
      <c r="G62" t="s">
        <v>35</v>
      </c>
      <c r="H62" s="2">
        <v>44964</v>
      </c>
      <c r="I62" t="s">
        <v>962</v>
      </c>
      <c r="J62" t="s">
        <v>1140</v>
      </c>
      <c r="K62" t="s">
        <v>1141</v>
      </c>
    </row>
    <row r="63" spans="1:11" x14ac:dyDescent="0.35">
      <c r="A63" t="s">
        <v>159</v>
      </c>
      <c r="B63" t="s">
        <v>1142</v>
      </c>
      <c r="C63" t="s">
        <v>966</v>
      </c>
      <c r="D63">
        <v>49</v>
      </c>
      <c r="E63" t="s">
        <v>88</v>
      </c>
      <c r="F63" t="s">
        <v>63</v>
      </c>
      <c r="G63" t="s">
        <v>20</v>
      </c>
      <c r="H63" s="2">
        <v>42524</v>
      </c>
      <c r="I63" t="s">
        <v>958</v>
      </c>
      <c r="J63" t="s">
        <v>1143</v>
      </c>
      <c r="K63" t="s">
        <v>1144</v>
      </c>
    </row>
    <row r="64" spans="1:11" x14ac:dyDescent="0.35">
      <c r="A64" t="s">
        <v>161</v>
      </c>
      <c r="B64" t="s">
        <v>1145</v>
      </c>
      <c r="C64" t="s">
        <v>966</v>
      </c>
      <c r="D64">
        <v>22</v>
      </c>
      <c r="E64" t="s">
        <v>48</v>
      </c>
      <c r="F64" t="s">
        <v>30</v>
      </c>
      <c r="G64" t="s">
        <v>25</v>
      </c>
      <c r="H64" s="2">
        <v>43150</v>
      </c>
      <c r="I64" t="s">
        <v>958</v>
      </c>
      <c r="J64" t="s">
        <v>1146</v>
      </c>
      <c r="K64" t="s">
        <v>1147</v>
      </c>
    </row>
    <row r="65" spans="1:11" x14ac:dyDescent="0.35">
      <c r="A65" t="s">
        <v>163</v>
      </c>
      <c r="B65" t="s">
        <v>1148</v>
      </c>
      <c r="C65" t="s">
        <v>957</v>
      </c>
      <c r="D65">
        <v>37</v>
      </c>
      <c r="E65" t="s">
        <v>21</v>
      </c>
      <c r="F65" t="s">
        <v>24</v>
      </c>
      <c r="G65" t="s">
        <v>40</v>
      </c>
      <c r="H65" s="2">
        <v>43648</v>
      </c>
      <c r="I65" t="s">
        <v>958</v>
      </c>
      <c r="J65" t="s">
        <v>1149</v>
      </c>
      <c r="K65" t="s">
        <v>1150</v>
      </c>
    </row>
    <row r="66" spans="1:11" x14ac:dyDescent="0.35">
      <c r="A66" t="s">
        <v>165</v>
      </c>
      <c r="B66" t="s">
        <v>1151</v>
      </c>
      <c r="C66" t="s">
        <v>957</v>
      </c>
      <c r="D66">
        <v>46</v>
      </c>
      <c r="E66" t="s">
        <v>36</v>
      </c>
      <c r="F66" t="s">
        <v>39</v>
      </c>
      <c r="G66" t="s">
        <v>40</v>
      </c>
      <c r="H66" s="2">
        <v>43054</v>
      </c>
      <c r="I66" t="s">
        <v>958</v>
      </c>
      <c r="J66" t="s">
        <v>1152</v>
      </c>
      <c r="K66" t="s">
        <v>1153</v>
      </c>
    </row>
    <row r="67" spans="1:11" x14ac:dyDescent="0.35">
      <c r="A67" t="s">
        <v>167</v>
      </c>
      <c r="B67" t="s">
        <v>1082</v>
      </c>
      <c r="C67" t="s">
        <v>957</v>
      </c>
      <c r="D67">
        <v>41</v>
      </c>
      <c r="E67" t="s">
        <v>72</v>
      </c>
      <c r="F67" t="s">
        <v>63</v>
      </c>
      <c r="G67" t="s">
        <v>54</v>
      </c>
      <c r="H67" s="2">
        <v>44501</v>
      </c>
      <c r="I67" t="s">
        <v>962</v>
      </c>
      <c r="J67" t="s">
        <v>1154</v>
      </c>
      <c r="K67" t="s">
        <v>1155</v>
      </c>
    </row>
    <row r="68" spans="1:11" x14ac:dyDescent="0.35">
      <c r="A68" t="s">
        <v>169</v>
      </c>
      <c r="B68" t="s">
        <v>1156</v>
      </c>
      <c r="C68" t="s">
        <v>966</v>
      </c>
      <c r="D68">
        <v>30</v>
      </c>
      <c r="E68" t="s">
        <v>48</v>
      </c>
      <c r="F68" t="s">
        <v>63</v>
      </c>
      <c r="G68" t="s">
        <v>40</v>
      </c>
      <c r="H68" s="2">
        <v>45442</v>
      </c>
      <c r="I68" t="s">
        <v>958</v>
      </c>
      <c r="J68" t="s">
        <v>1157</v>
      </c>
      <c r="K68" t="s">
        <v>1158</v>
      </c>
    </row>
    <row r="69" spans="1:11" x14ac:dyDescent="0.35">
      <c r="A69" t="s">
        <v>171</v>
      </c>
      <c r="B69" t="s">
        <v>1159</v>
      </c>
      <c r="C69" t="s">
        <v>957</v>
      </c>
      <c r="D69">
        <v>47</v>
      </c>
      <c r="E69" t="s">
        <v>77</v>
      </c>
      <c r="F69" t="s">
        <v>13</v>
      </c>
      <c r="G69" t="s">
        <v>14</v>
      </c>
      <c r="H69" s="2">
        <v>45348</v>
      </c>
      <c r="I69" t="s">
        <v>958</v>
      </c>
      <c r="J69" t="s">
        <v>1160</v>
      </c>
      <c r="K69" t="s">
        <v>1161</v>
      </c>
    </row>
    <row r="70" spans="1:11" x14ac:dyDescent="0.35">
      <c r="A70" t="s">
        <v>173</v>
      </c>
      <c r="B70" t="s">
        <v>1162</v>
      </c>
      <c r="C70" t="s">
        <v>957</v>
      </c>
      <c r="D70">
        <v>23</v>
      </c>
      <c r="E70" t="s">
        <v>41</v>
      </c>
      <c r="F70" t="s">
        <v>39</v>
      </c>
      <c r="G70" t="s">
        <v>14</v>
      </c>
      <c r="H70" s="2">
        <v>42874</v>
      </c>
      <c r="I70" t="s">
        <v>962</v>
      </c>
      <c r="J70" t="s">
        <v>1163</v>
      </c>
      <c r="K70" t="s">
        <v>1164</v>
      </c>
    </row>
    <row r="71" spans="1:11" x14ac:dyDescent="0.35">
      <c r="A71" t="s">
        <v>175</v>
      </c>
      <c r="B71" t="s">
        <v>1165</v>
      </c>
      <c r="C71" t="s">
        <v>957</v>
      </c>
      <c r="D71">
        <v>46</v>
      </c>
      <c r="E71" t="s">
        <v>72</v>
      </c>
      <c r="F71" t="s">
        <v>30</v>
      </c>
      <c r="G71" t="s">
        <v>25</v>
      </c>
      <c r="H71" s="2">
        <v>44922</v>
      </c>
      <c r="I71" t="s">
        <v>958</v>
      </c>
      <c r="J71" t="s">
        <v>1166</v>
      </c>
      <c r="K71" t="s">
        <v>1167</v>
      </c>
    </row>
    <row r="72" spans="1:11" x14ac:dyDescent="0.35">
      <c r="A72" t="s">
        <v>177</v>
      </c>
      <c r="B72" t="s">
        <v>1168</v>
      </c>
      <c r="C72" t="s">
        <v>957</v>
      </c>
      <c r="D72">
        <v>28</v>
      </c>
      <c r="E72" t="s">
        <v>77</v>
      </c>
      <c r="F72" t="s">
        <v>19</v>
      </c>
      <c r="G72" t="s">
        <v>54</v>
      </c>
      <c r="H72" s="2">
        <v>42844</v>
      </c>
      <c r="I72" t="s">
        <v>962</v>
      </c>
      <c r="J72" t="s">
        <v>1169</v>
      </c>
      <c r="K72" t="s">
        <v>1170</v>
      </c>
    </row>
    <row r="73" spans="1:11" x14ac:dyDescent="0.35">
      <c r="A73" t="s">
        <v>179</v>
      </c>
      <c r="B73" t="s">
        <v>1171</v>
      </c>
      <c r="C73" t="s">
        <v>966</v>
      </c>
      <c r="D73">
        <v>46</v>
      </c>
      <c r="E73" t="s">
        <v>15</v>
      </c>
      <c r="F73" t="s">
        <v>39</v>
      </c>
      <c r="G73" t="s">
        <v>40</v>
      </c>
      <c r="H73" s="2">
        <v>44313</v>
      </c>
      <c r="I73" t="s">
        <v>958</v>
      </c>
      <c r="J73" t="s">
        <v>1172</v>
      </c>
      <c r="K73" t="s">
        <v>1173</v>
      </c>
    </row>
    <row r="74" spans="1:11" x14ac:dyDescent="0.35">
      <c r="A74" t="s">
        <v>181</v>
      </c>
      <c r="B74" t="s">
        <v>1174</v>
      </c>
      <c r="C74" t="s">
        <v>957</v>
      </c>
      <c r="D74">
        <v>22</v>
      </c>
      <c r="E74" t="s">
        <v>72</v>
      </c>
      <c r="F74" t="s">
        <v>63</v>
      </c>
      <c r="G74" t="s">
        <v>54</v>
      </c>
      <c r="H74" s="2">
        <v>42783</v>
      </c>
      <c r="I74" t="s">
        <v>962</v>
      </c>
      <c r="J74" t="s">
        <v>1175</v>
      </c>
      <c r="K74" t="s">
        <v>1176</v>
      </c>
    </row>
    <row r="75" spans="1:11" x14ac:dyDescent="0.35">
      <c r="A75" t="s">
        <v>183</v>
      </c>
      <c r="B75" t="s">
        <v>1177</v>
      </c>
      <c r="C75" t="s">
        <v>957</v>
      </c>
      <c r="D75">
        <v>48</v>
      </c>
      <c r="E75" t="s">
        <v>15</v>
      </c>
      <c r="F75" t="s">
        <v>39</v>
      </c>
      <c r="G75" t="s">
        <v>54</v>
      </c>
      <c r="H75" s="2">
        <v>44900</v>
      </c>
      <c r="I75" t="s">
        <v>958</v>
      </c>
      <c r="J75" t="s">
        <v>1178</v>
      </c>
      <c r="K75" t="s">
        <v>1179</v>
      </c>
    </row>
    <row r="76" spans="1:11" x14ac:dyDescent="0.35">
      <c r="A76" t="s">
        <v>185</v>
      </c>
      <c r="B76" t="s">
        <v>1180</v>
      </c>
      <c r="C76" t="s">
        <v>966</v>
      </c>
      <c r="D76">
        <v>29</v>
      </c>
      <c r="E76" t="s">
        <v>15</v>
      </c>
      <c r="F76" t="s">
        <v>63</v>
      </c>
      <c r="G76" t="s">
        <v>14</v>
      </c>
      <c r="H76" s="2">
        <v>44864</v>
      </c>
      <c r="I76" t="s">
        <v>958</v>
      </c>
      <c r="J76" t="s">
        <v>1181</v>
      </c>
      <c r="K76" t="s">
        <v>1182</v>
      </c>
    </row>
    <row r="77" spans="1:11" x14ac:dyDescent="0.35">
      <c r="A77" t="s">
        <v>187</v>
      </c>
      <c r="B77" t="s">
        <v>1183</v>
      </c>
      <c r="C77" t="s">
        <v>966</v>
      </c>
      <c r="D77">
        <v>55</v>
      </c>
      <c r="E77" t="s">
        <v>21</v>
      </c>
      <c r="F77" t="s">
        <v>44</v>
      </c>
      <c r="G77" t="s">
        <v>54</v>
      </c>
      <c r="H77" s="2">
        <v>44048</v>
      </c>
      <c r="I77" t="s">
        <v>962</v>
      </c>
      <c r="J77" t="s">
        <v>1184</v>
      </c>
      <c r="K77" t="s">
        <v>1185</v>
      </c>
    </row>
    <row r="78" spans="1:11" x14ac:dyDescent="0.35">
      <c r="A78" t="s">
        <v>189</v>
      </c>
      <c r="B78" t="s">
        <v>1186</v>
      </c>
      <c r="C78" t="s">
        <v>957</v>
      </c>
      <c r="D78">
        <v>24</v>
      </c>
      <c r="E78" t="s">
        <v>36</v>
      </c>
      <c r="F78" t="s">
        <v>63</v>
      </c>
      <c r="G78" t="s">
        <v>14</v>
      </c>
      <c r="H78" s="2">
        <v>45188</v>
      </c>
      <c r="I78" t="s">
        <v>962</v>
      </c>
      <c r="J78" t="s">
        <v>1187</v>
      </c>
      <c r="K78" t="s">
        <v>1188</v>
      </c>
    </row>
    <row r="79" spans="1:11" x14ac:dyDescent="0.35">
      <c r="A79" t="s">
        <v>191</v>
      </c>
      <c r="B79" t="s">
        <v>1189</v>
      </c>
      <c r="C79" t="s">
        <v>966</v>
      </c>
      <c r="D79">
        <v>37</v>
      </c>
      <c r="E79" t="s">
        <v>77</v>
      </c>
      <c r="F79" t="s">
        <v>19</v>
      </c>
      <c r="G79" t="s">
        <v>54</v>
      </c>
      <c r="H79" s="2">
        <v>42734</v>
      </c>
      <c r="I79" t="s">
        <v>958</v>
      </c>
      <c r="J79" t="s">
        <v>1190</v>
      </c>
      <c r="K79" t="s">
        <v>1191</v>
      </c>
    </row>
    <row r="80" spans="1:11" x14ac:dyDescent="0.35">
      <c r="A80" t="s">
        <v>193</v>
      </c>
      <c r="B80" t="s">
        <v>1192</v>
      </c>
      <c r="C80" t="s">
        <v>966</v>
      </c>
      <c r="D80">
        <v>31</v>
      </c>
      <c r="E80" t="s">
        <v>15</v>
      </c>
      <c r="F80" t="s">
        <v>30</v>
      </c>
      <c r="G80" t="s">
        <v>25</v>
      </c>
      <c r="H80" s="2">
        <v>42677</v>
      </c>
      <c r="I80" t="s">
        <v>958</v>
      </c>
      <c r="J80" t="s">
        <v>1193</v>
      </c>
      <c r="K80" t="s">
        <v>1194</v>
      </c>
    </row>
    <row r="81" spans="1:11" x14ac:dyDescent="0.35">
      <c r="A81" t="s">
        <v>195</v>
      </c>
      <c r="B81" t="s">
        <v>1195</v>
      </c>
      <c r="C81" t="s">
        <v>966</v>
      </c>
      <c r="D81">
        <v>36</v>
      </c>
      <c r="E81" t="s">
        <v>88</v>
      </c>
      <c r="F81" t="s">
        <v>44</v>
      </c>
      <c r="G81" t="s">
        <v>40</v>
      </c>
      <c r="H81" s="2">
        <v>44271</v>
      </c>
      <c r="I81" t="s">
        <v>958</v>
      </c>
      <c r="J81" t="s">
        <v>1196</v>
      </c>
      <c r="K81" t="s">
        <v>1197</v>
      </c>
    </row>
    <row r="82" spans="1:11" x14ac:dyDescent="0.35">
      <c r="A82" t="s">
        <v>197</v>
      </c>
      <c r="B82" t="s">
        <v>1198</v>
      </c>
      <c r="C82" t="s">
        <v>957</v>
      </c>
      <c r="D82">
        <v>33</v>
      </c>
      <c r="E82" t="s">
        <v>77</v>
      </c>
      <c r="F82" t="s">
        <v>30</v>
      </c>
      <c r="G82" t="s">
        <v>40</v>
      </c>
      <c r="H82" s="2">
        <v>43845</v>
      </c>
      <c r="I82" t="s">
        <v>962</v>
      </c>
      <c r="J82" t="s">
        <v>1199</v>
      </c>
      <c r="K82" t="s">
        <v>1200</v>
      </c>
    </row>
    <row r="83" spans="1:11" x14ac:dyDescent="0.35">
      <c r="A83" t="s">
        <v>199</v>
      </c>
      <c r="B83" t="s">
        <v>1201</v>
      </c>
      <c r="C83" t="s">
        <v>966</v>
      </c>
      <c r="D83">
        <v>29</v>
      </c>
      <c r="E83" t="s">
        <v>15</v>
      </c>
      <c r="F83" t="s">
        <v>30</v>
      </c>
      <c r="G83" t="s">
        <v>20</v>
      </c>
      <c r="H83" s="2">
        <v>42409</v>
      </c>
      <c r="I83" t="s">
        <v>958</v>
      </c>
      <c r="J83" t="s">
        <v>1202</v>
      </c>
      <c r="K83" t="s">
        <v>1203</v>
      </c>
    </row>
    <row r="84" spans="1:11" x14ac:dyDescent="0.35">
      <c r="A84" t="s">
        <v>201</v>
      </c>
      <c r="B84" t="s">
        <v>1204</v>
      </c>
      <c r="C84" t="s">
        <v>957</v>
      </c>
      <c r="D84">
        <v>43</v>
      </c>
      <c r="E84" t="s">
        <v>48</v>
      </c>
      <c r="F84" t="s">
        <v>63</v>
      </c>
      <c r="G84" t="s">
        <v>25</v>
      </c>
      <c r="H84" s="2">
        <v>43468</v>
      </c>
      <c r="I84" t="s">
        <v>958</v>
      </c>
      <c r="J84" t="s">
        <v>1205</v>
      </c>
      <c r="K84" t="s">
        <v>1206</v>
      </c>
    </row>
    <row r="85" spans="1:11" x14ac:dyDescent="0.35">
      <c r="A85" t="s">
        <v>203</v>
      </c>
      <c r="B85" t="s">
        <v>1207</v>
      </c>
      <c r="C85" t="s">
        <v>966</v>
      </c>
      <c r="D85">
        <v>43</v>
      </c>
      <c r="E85" t="s">
        <v>51</v>
      </c>
      <c r="F85" t="s">
        <v>19</v>
      </c>
      <c r="G85" t="s">
        <v>35</v>
      </c>
      <c r="H85" s="2">
        <v>44009</v>
      </c>
      <c r="I85" t="s">
        <v>962</v>
      </c>
      <c r="J85" t="s">
        <v>1208</v>
      </c>
      <c r="K85" t="s">
        <v>1209</v>
      </c>
    </row>
    <row r="86" spans="1:11" x14ac:dyDescent="0.35">
      <c r="A86" t="s">
        <v>205</v>
      </c>
      <c r="B86" t="s">
        <v>1210</v>
      </c>
      <c r="C86" t="s">
        <v>966</v>
      </c>
      <c r="D86">
        <v>46</v>
      </c>
      <c r="E86" t="s">
        <v>88</v>
      </c>
      <c r="F86" t="s">
        <v>30</v>
      </c>
      <c r="G86" t="s">
        <v>35</v>
      </c>
      <c r="H86" s="2">
        <v>45027</v>
      </c>
      <c r="I86" t="s">
        <v>958</v>
      </c>
      <c r="J86" t="s">
        <v>1211</v>
      </c>
      <c r="K86" t="s">
        <v>1212</v>
      </c>
    </row>
    <row r="87" spans="1:11" x14ac:dyDescent="0.35">
      <c r="A87" t="s">
        <v>207</v>
      </c>
      <c r="B87" t="s">
        <v>1213</v>
      </c>
      <c r="C87" t="s">
        <v>957</v>
      </c>
      <c r="D87">
        <v>30</v>
      </c>
      <c r="E87" t="s">
        <v>77</v>
      </c>
      <c r="F87" t="s">
        <v>30</v>
      </c>
      <c r="G87" t="s">
        <v>14</v>
      </c>
      <c r="H87" s="2">
        <v>42794</v>
      </c>
      <c r="I87" t="s">
        <v>962</v>
      </c>
      <c r="J87" t="s">
        <v>1214</v>
      </c>
      <c r="K87" t="s">
        <v>1215</v>
      </c>
    </row>
    <row r="88" spans="1:11" x14ac:dyDescent="0.35">
      <c r="A88" t="s">
        <v>209</v>
      </c>
      <c r="B88" t="s">
        <v>1216</v>
      </c>
      <c r="C88" t="s">
        <v>966</v>
      </c>
      <c r="D88">
        <v>58</v>
      </c>
      <c r="E88" t="s">
        <v>88</v>
      </c>
      <c r="F88" t="s">
        <v>13</v>
      </c>
      <c r="G88" t="s">
        <v>25</v>
      </c>
      <c r="H88" s="2">
        <v>43925</v>
      </c>
      <c r="I88" t="s">
        <v>962</v>
      </c>
      <c r="J88" t="s">
        <v>1217</v>
      </c>
      <c r="K88" t="s">
        <v>1218</v>
      </c>
    </row>
    <row r="89" spans="1:11" x14ac:dyDescent="0.35">
      <c r="A89" t="s">
        <v>211</v>
      </c>
      <c r="B89" t="s">
        <v>1219</v>
      </c>
      <c r="C89" t="s">
        <v>957</v>
      </c>
      <c r="D89">
        <v>30</v>
      </c>
      <c r="E89" t="s">
        <v>88</v>
      </c>
      <c r="F89" t="s">
        <v>63</v>
      </c>
      <c r="G89" t="s">
        <v>20</v>
      </c>
      <c r="H89" s="2">
        <v>46005</v>
      </c>
      <c r="I89" t="s">
        <v>962</v>
      </c>
      <c r="J89" t="s">
        <v>1220</v>
      </c>
      <c r="K89" t="s">
        <v>1221</v>
      </c>
    </row>
    <row r="90" spans="1:11" x14ac:dyDescent="0.35">
      <c r="A90" t="s">
        <v>213</v>
      </c>
      <c r="B90" t="s">
        <v>1222</v>
      </c>
      <c r="C90" t="s">
        <v>966</v>
      </c>
      <c r="D90">
        <v>24</v>
      </c>
      <c r="E90" t="s">
        <v>15</v>
      </c>
      <c r="F90" t="s">
        <v>44</v>
      </c>
      <c r="G90" t="s">
        <v>54</v>
      </c>
      <c r="H90" s="2">
        <v>43657</v>
      </c>
      <c r="I90" t="s">
        <v>958</v>
      </c>
      <c r="J90" t="s">
        <v>1223</v>
      </c>
      <c r="K90" t="s">
        <v>1224</v>
      </c>
    </row>
    <row r="91" spans="1:11" x14ac:dyDescent="0.35">
      <c r="A91" t="s">
        <v>215</v>
      </c>
      <c r="B91" t="s">
        <v>1225</v>
      </c>
      <c r="C91" t="s">
        <v>957</v>
      </c>
      <c r="D91">
        <v>43</v>
      </c>
      <c r="E91" t="s">
        <v>36</v>
      </c>
      <c r="F91" t="s">
        <v>39</v>
      </c>
      <c r="G91" t="s">
        <v>54</v>
      </c>
      <c r="H91" s="2">
        <v>45239</v>
      </c>
      <c r="I91" t="s">
        <v>958</v>
      </c>
      <c r="J91" t="s">
        <v>1226</v>
      </c>
      <c r="K91" t="s">
        <v>1227</v>
      </c>
    </row>
    <row r="92" spans="1:11" x14ac:dyDescent="0.35">
      <c r="A92" t="s">
        <v>217</v>
      </c>
      <c r="B92" t="s">
        <v>1228</v>
      </c>
      <c r="C92" t="s">
        <v>966</v>
      </c>
      <c r="D92">
        <v>37</v>
      </c>
      <c r="E92" t="s">
        <v>88</v>
      </c>
      <c r="F92" t="s">
        <v>44</v>
      </c>
      <c r="G92" t="s">
        <v>54</v>
      </c>
      <c r="H92" s="2">
        <v>45140</v>
      </c>
      <c r="I92" t="s">
        <v>962</v>
      </c>
      <c r="J92" t="s">
        <v>1229</v>
      </c>
      <c r="K92" t="s">
        <v>1230</v>
      </c>
    </row>
    <row r="93" spans="1:11" x14ac:dyDescent="0.35">
      <c r="A93" t="s">
        <v>219</v>
      </c>
      <c r="B93" t="s">
        <v>1231</v>
      </c>
      <c r="C93" t="s">
        <v>957</v>
      </c>
      <c r="D93">
        <v>57</v>
      </c>
      <c r="E93" t="s">
        <v>41</v>
      </c>
      <c r="F93" t="s">
        <v>19</v>
      </c>
      <c r="G93" t="s">
        <v>20</v>
      </c>
      <c r="H93" s="2">
        <v>45005</v>
      </c>
      <c r="I93" t="s">
        <v>958</v>
      </c>
      <c r="J93" t="s">
        <v>1232</v>
      </c>
      <c r="K93" t="s">
        <v>1233</v>
      </c>
    </row>
    <row r="94" spans="1:11" x14ac:dyDescent="0.35">
      <c r="A94" t="s">
        <v>221</v>
      </c>
      <c r="B94" t="s">
        <v>1234</v>
      </c>
      <c r="C94" t="s">
        <v>966</v>
      </c>
      <c r="D94">
        <v>53</v>
      </c>
      <c r="E94" t="s">
        <v>51</v>
      </c>
      <c r="F94" t="s">
        <v>19</v>
      </c>
      <c r="G94" t="s">
        <v>35</v>
      </c>
      <c r="H94" s="2">
        <v>43683</v>
      </c>
      <c r="I94" t="s">
        <v>958</v>
      </c>
      <c r="J94" t="s">
        <v>1235</v>
      </c>
      <c r="K94" t="s">
        <v>1236</v>
      </c>
    </row>
    <row r="95" spans="1:11" x14ac:dyDescent="0.35">
      <c r="A95" t="s">
        <v>223</v>
      </c>
      <c r="B95" t="s">
        <v>1237</v>
      </c>
      <c r="C95" t="s">
        <v>966</v>
      </c>
      <c r="D95">
        <v>39</v>
      </c>
      <c r="E95" t="s">
        <v>77</v>
      </c>
      <c r="F95" t="s">
        <v>39</v>
      </c>
      <c r="G95" t="s">
        <v>14</v>
      </c>
      <c r="H95" s="2">
        <v>44624</v>
      </c>
      <c r="I95" t="s">
        <v>962</v>
      </c>
      <c r="J95" t="s">
        <v>1238</v>
      </c>
      <c r="K95" t="s">
        <v>1239</v>
      </c>
    </row>
    <row r="96" spans="1:11" x14ac:dyDescent="0.35">
      <c r="A96" t="s">
        <v>225</v>
      </c>
      <c r="B96" t="s">
        <v>1240</v>
      </c>
      <c r="C96" t="s">
        <v>966</v>
      </c>
      <c r="D96">
        <v>37</v>
      </c>
      <c r="E96" t="s">
        <v>15</v>
      </c>
      <c r="F96" t="s">
        <v>63</v>
      </c>
      <c r="G96" t="s">
        <v>35</v>
      </c>
      <c r="H96" s="2">
        <v>45651</v>
      </c>
      <c r="I96" t="s">
        <v>962</v>
      </c>
      <c r="J96" t="s">
        <v>1241</v>
      </c>
      <c r="K96" t="s">
        <v>1242</v>
      </c>
    </row>
    <row r="97" spans="1:11" x14ac:dyDescent="0.35">
      <c r="A97" t="s">
        <v>227</v>
      </c>
      <c r="B97" t="s">
        <v>1243</v>
      </c>
      <c r="C97" t="s">
        <v>957</v>
      </c>
      <c r="D97">
        <v>53</v>
      </c>
      <c r="E97" t="s">
        <v>88</v>
      </c>
      <c r="F97" t="s">
        <v>44</v>
      </c>
      <c r="G97" t="s">
        <v>20</v>
      </c>
      <c r="H97" s="2">
        <v>44407</v>
      </c>
      <c r="I97" t="s">
        <v>958</v>
      </c>
      <c r="J97" t="s">
        <v>1244</v>
      </c>
      <c r="K97" t="s">
        <v>1245</v>
      </c>
    </row>
    <row r="98" spans="1:11" x14ac:dyDescent="0.35">
      <c r="A98" t="s">
        <v>229</v>
      </c>
      <c r="B98" t="s">
        <v>1246</v>
      </c>
      <c r="C98" t="s">
        <v>957</v>
      </c>
      <c r="D98">
        <v>47</v>
      </c>
      <c r="E98" t="s">
        <v>26</v>
      </c>
      <c r="F98" t="s">
        <v>19</v>
      </c>
      <c r="G98" t="s">
        <v>25</v>
      </c>
      <c r="H98" s="2">
        <v>44619</v>
      </c>
      <c r="I98" t="s">
        <v>958</v>
      </c>
      <c r="J98" t="s">
        <v>1247</v>
      </c>
      <c r="K98" t="s">
        <v>1248</v>
      </c>
    </row>
    <row r="99" spans="1:11" x14ac:dyDescent="0.35">
      <c r="A99" t="s">
        <v>231</v>
      </c>
      <c r="B99" t="s">
        <v>1249</v>
      </c>
      <c r="C99" t="s">
        <v>957</v>
      </c>
      <c r="D99">
        <v>60</v>
      </c>
      <c r="E99" t="s">
        <v>41</v>
      </c>
      <c r="F99" t="s">
        <v>24</v>
      </c>
      <c r="G99" t="s">
        <v>40</v>
      </c>
      <c r="H99" s="2">
        <v>46015</v>
      </c>
      <c r="I99" t="s">
        <v>958</v>
      </c>
      <c r="J99" t="s">
        <v>1250</v>
      </c>
      <c r="K99" t="s">
        <v>1251</v>
      </c>
    </row>
    <row r="100" spans="1:11" x14ac:dyDescent="0.35">
      <c r="A100" t="s">
        <v>233</v>
      </c>
      <c r="B100" t="s">
        <v>1252</v>
      </c>
      <c r="C100" t="s">
        <v>966</v>
      </c>
      <c r="D100">
        <v>43</v>
      </c>
      <c r="E100" t="s">
        <v>48</v>
      </c>
      <c r="F100" t="s">
        <v>30</v>
      </c>
      <c r="G100" t="s">
        <v>20</v>
      </c>
      <c r="H100" s="2">
        <v>45714</v>
      </c>
      <c r="I100" t="s">
        <v>958</v>
      </c>
      <c r="J100" t="s">
        <v>1253</v>
      </c>
      <c r="K100" t="s">
        <v>1254</v>
      </c>
    </row>
    <row r="101" spans="1:11" x14ac:dyDescent="0.35">
      <c r="A101" t="s">
        <v>235</v>
      </c>
      <c r="B101" t="s">
        <v>1255</v>
      </c>
      <c r="C101" t="s">
        <v>966</v>
      </c>
      <c r="D101">
        <v>43</v>
      </c>
      <c r="E101" t="s">
        <v>36</v>
      </c>
      <c r="F101" t="s">
        <v>30</v>
      </c>
      <c r="G101" t="s">
        <v>25</v>
      </c>
      <c r="H101" s="2">
        <v>44827</v>
      </c>
      <c r="I101" t="s">
        <v>962</v>
      </c>
      <c r="J101" t="s">
        <v>1256</v>
      </c>
      <c r="K101" t="s">
        <v>1257</v>
      </c>
    </row>
    <row r="102" spans="1:11" x14ac:dyDescent="0.35">
      <c r="A102" t="s">
        <v>237</v>
      </c>
      <c r="B102" t="s">
        <v>1258</v>
      </c>
      <c r="C102" t="s">
        <v>966</v>
      </c>
      <c r="D102">
        <v>50</v>
      </c>
      <c r="E102" t="s">
        <v>15</v>
      </c>
      <c r="F102" t="s">
        <v>19</v>
      </c>
      <c r="G102" t="s">
        <v>54</v>
      </c>
      <c r="H102" s="2">
        <v>43278</v>
      </c>
      <c r="I102" t="s">
        <v>958</v>
      </c>
      <c r="J102" t="s">
        <v>1259</v>
      </c>
      <c r="K102" t="s">
        <v>1260</v>
      </c>
    </row>
    <row r="103" spans="1:11" x14ac:dyDescent="0.35">
      <c r="A103" t="s">
        <v>239</v>
      </c>
      <c r="B103" t="s">
        <v>1261</v>
      </c>
      <c r="C103" t="s">
        <v>966</v>
      </c>
      <c r="D103">
        <v>44</v>
      </c>
      <c r="E103" t="s">
        <v>72</v>
      </c>
      <c r="F103" t="s">
        <v>39</v>
      </c>
      <c r="G103" t="s">
        <v>25</v>
      </c>
      <c r="H103" s="2">
        <v>43901</v>
      </c>
      <c r="I103" t="s">
        <v>958</v>
      </c>
      <c r="J103" t="s">
        <v>1262</v>
      </c>
      <c r="K103" t="s">
        <v>1263</v>
      </c>
    </row>
    <row r="104" spans="1:11" x14ac:dyDescent="0.35">
      <c r="A104" t="s">
        <v>241</v>
      </c>
      <c r="B104" t="s">
        <v>1264</v>
      </c>
      <c r="C104" t="s">
        <v>957</v>
      </c>
      <c r="D104">
        <v>32</v>
      </c>
      <c r="E104" t="s">
        <v>88</v>
      </c>
      <c r="F104" t="s">
        <v>13</v>
      </c>
      <c r="G104" t="s">
        <v>54</v>
      </c>
      <c r="H104" s="2">
        <v>45411</v>
      </c>
      <c r="I104" t="s">
        <v>962</v>
      </c>
      <c r="J104" t="s">
        <v>1265</v>
      </c>
      <c r="K104" t="s">
        <v>1266</v>
      </c>
    </row>
    <row r="105" spans="1:11" x14ac:dyDescent="0.35">
      <c r="A105" t="s">
        <v>243</v>
      </c>
      <c r="B105" t="s">
        <v>1267</v>
      </c>
      <c r="C105" t="s">
        <v>957</v>
      </c>
      <c r="D105">
        <v>38</v>
      </c>
      <c r="E105" t="s">
        <v>41</v>
      </c>
      <c r="F105" t="s">
        <v>13</v>
      </c>
      <c r="G105" t="s">
        <v>14</v>
      </c>
      <c r="H105" s="2">
        <v>42864</v>
      </c>
      <c r="I105" t="s">
        <v>962</v>
      </c>
      <c r="J105" t="s">
        <v>1268</v>
      </c>
      <c r="K105" t="s">
        <v>1269</v>
      </c>
    </row>
    <row r="106" spans="1:11" x14ac:dyDescent="0.35">
      <c r="A106" t="s">
        <v>245</v>
      </c>
      <c r="B106" t="s">
        <v>1270</v>
      </c>
      <c r="C106" t="s">
        <v>957</v>
      </c>
      <c r="D106">
        <v>51</v>
      </c>
      <c r="E106" t="s">
        <v>21</v>
      </c>
      <c r="F106" t="s">
        <v>24</v>
      </c>
      <c r="G106" t="s">
        <v>40</v>
      </c>
      <c r="H106" s="2">
        <v>42811</v>
      </c>
      <c r="I106" t="s">
        <v>962</v>
      </c>
      <c r="J106" t="s">
        <v>1271</v>
      </c>
      <c r="K106" t="s">
        <v>1272</v>
      </c>
    </row>
    <row r="107" spans="1:11" x14ac:dyDescent="0.35">
      <c r="A107" t="s">
        <v>247</v>
      </c>
      <c r="B107" t="s">
        <v>1273</v>
      </c>
      <c r="C107" t="s">
        <v>957</v>
      </c>
      <c r="D107">
        <v>59</v>
      </c>
      <c r="E107" t="s">
        <v>15</v>
      </c>
      <c r="F107" t="s">
        <v>30</v>
      </c>
      <c r="G107" t="s">
        <v>35</v>
      </c>
      <c r="H107" s="2">
        <v>44243</v>
      </c>
      <c r="I107" t="s">
        <v>958</v>
      </c>
      <c r="J107" t="s">
        <v>1274</v>
      </c>
      <c r="K107" t="s">
        <v>1275</v>
      </c>
    </row>
    <row r="108" spans="1:11" x14ac:dyDescent="0.35">
      <c r="A108" t="s">
        <v>249</v>
      </c>
      <c r="B108" t="s">
        <v>1276</v>
      </c>
      <c r="C108" t="s">
        <v>966</v>
      </c>
      <c r="D108">
        <v>22</v>
      </c>
      <c r="E108" t="s">
        <v>36</v>
      </c>
      <c r="F108" t="s">
        <v>24</v>
      </c>
      <c r="G108" t="s">
        <v>20</v>
      </c>
      <c r="H108" s="2">
        <v>44636</v>
      </c>
      <c r="I108" t="s">
        <v>962</v>
      </c>
      <c r="J108" t="s">
        <v>1277</v>
      </c>
      <c r="K108" t="s">
        <v>1278</v>
      </c>
    </row>
    <row r="109" spans="1:11" x14ac:dyDescent="0.35">
      <c r="A109" t="s">
        <v>251</v>
      </c>
      <c r="B109" t="s">
        <v>1279</v>
      </c>
      <c r="C109" t="s">
        <v>966</v>
      </c>
      <c r="D109">
        <v>54</v>
      </c>
      <c r="E109" t="s">
        <v>51</v>
      </c>
      <c r="F109" t="s">
        <v>24</v>
      </c>
      <c r="G109" t="s">
        <v>25</v>
      </c>
      <c r="H109" s="2">
        <v>43081</v>
      </c>
      <c r="I109" t="s">
        <v>958</v>
      </c>
      <c r="J109" t="s">
        <v>1280</v>
      </c>
      <c r="K109" t="s">
        <v>1281</v>
      </c>
    </row>
    <row r="110" spans="1:11" x14ac:dyDescent="0.35">
      <c r="A110" t="s">
        <v>253</v>
      </c>
      <c r="B110" t="s">
        <v>1282</v>
      </c>
      <c r="C110" t="s">
        <v>957</v>
      </c>
      <c r="D110">
        <v>46</v>
      </c>
      <c r="E110" t="s">
        <v>41</v>
      </c>
      <c r="F110" t="s">
        <v>39</v>
      </c>
      <c r="G110" t="s">
        <v>40</v>
      </c>
      <c r="H110" s="2">
        <v>44434</v>
      </c>
      <c r="I110" t="s">
        <v>962</v>
      </c>
      <c r="J110" t="s">
        <v>1283</v>
      </c>
      <c r="K110" t="s">
        <v>1284</v>
      </c>
    </row>
    <row r="111" spans="1:11" x14ac:dyDescent="0.35">
      <c r="A111" t="s">
        <v>255</v>
      </c>
      <c r="B111" t="s">
        <v>1285</v>
      </c>
      <c r="C111" t="s">
        <v>966</v>
      </c>
      <c r="D111">
        <v>60</v>
      </c>
      <c r="E111" t="s">
        <v>21</v>
      </c>
      <c r="F111" t="s">
        <v>44</v>
      </c>
      <c r="G111" t="s">
        <v>35</v>
      </c>
      <c r="H111" s="2">
        <v>43774</v>
      </c>
      <c r="I111" t="s">
        <v>962</v>
      </c>
      <c r="J111" t="s">
        <v>1286</v>
      </c>
      <c r="K111" t="s">
        <v>1287</v>
      </c>
    </row>
    <row r="112" spans="1:11" x14ac:dyDescent="0.35">
      <c r="A112" t="s">
        <v>257</v>
      </c>
      <c r="B112" t="s">
        <v>1288</v>
      </c>
      <c r="C112" t="s">
        <v>966</v>
      </c>
      <c r="D112">
        <v>30</v>
      </c>
      <c r="E112" t="s">
        <v>51</v>
      </c>
      <c r="F112" t="s">
        <v>63</v>
      </c>
      <c r="G112" t="s">
        <v>25</v>
      </c>
      <c r="H112" s="2">
        <v>45237</v>
      </c>
      <c r="I112" t="s">
        <v>962</v>
      </c>
      <c r="J112" t="s">
        <v>1289</v>
      </c>
      <c r="K112" t="s">
        <v>1290</v>
      </c>
    </row>
    <row r="113" spans="1:11" x14ac:dyDescent="0.35">
      <c r="A113" t="s">
        <v>259</v>
      </c>
      <c r="B113" t="s">
        <v>1291</v>
      </c>
      <c r="C113" t="s">
        <v>966</v>
      </c>
      <c r="D113">
        <v>57</v>
      </c>
      <c r="E113" t="s">
        <v>21</v>
      </c>
      <c r="F113" t="s">
        <v>13</v>
      </c>
      <c r="G113" t="s">
        <v>14</v>
      </c>
      <c r="H113" s="2">
        <v>44926</v>
      </c>
      <c r="I113" t="s">
        <v>962</v>
      </c>
      <c r="J113" t="s">
        <v>1292</v>
      </c>
      <c r="K113" t="s">
        <v>1293</v>
      </c>
    </row>
    <row r="114" spans="1:11" x14ac:dyDescent="0.35">
      <c r="A114" t="s">
        <v>261</v>
      </c>
      <c r="B114" t="s">
        <v>1294</v>
      </c>
      <c r="C114" t="s">
        <v>966</v>
      </c>
      <c r="D114">
        <v>30</v>
      </c>
      <c r="E114" t="s">
        <v>51</v>
      </c>
      <c r="F114" t="s">
        <v>39</v>
      </c>
      <c r="G114" t="s">
        <v>25</v>
      </c>
      <c r="H114" s="2">
        <v>45213</v>
      </c>
      <c r="I114" t="s">
        <v>962</v>
      </c>
      <c r="J114" t="s">
        <v>1295</v>
      </c>
      <c r="K114" t="s">
        <v>1296</v>
      </c>
    </row>
    <row r="115" spans="1:11" x14ac:dyDescent="0.35">
      <c r="A115" t="s">
        <v>263</v>
      </c>
      <c r="B115" t="s">
        <v>1297</v>
      </c>
      <c r="C115" t="s">
        <v>957</v>
      </c>
      <c r="D115">
        <v>44</v>
      </c>
      <c r="E115" t="s">
        <v>36</v>
      </c>
      <c r="F115" t="s">
        <v>63</v>
      </c>
      <c r="G115" t="s">
        <v>25</v>
      </c>
      <c r="H115" s="2">
        <v>44707</v>
      </c>
      <c r="I115" t="s">
        <v>962</v>
      </c>
      <c r="J115" t="s">
        <v>1298</v>
      </c>
      <c r="K115" t="s">
        <v>1299</v>
      </c>
    </row>
    <row r="116" spans="1:11" x14ac:dyDescent="0.35">
      <c r="A116" t="s">
        <v>265</v>
      </c>
      <c r="B116" t="s">
        <v>1300</v>
      </c>
      <c r="C116" t="s">
        <v>966</v>
      </c>
      <c r="D116">
        <v>49</v>
      </c>
      <c r="E116" t="s">
        <v>77</v>
      </c>
      <c r="F116" t="s">
        <v>39</v>
      </c>
      <c r="G116" t="s">
        <v>20</v>
      </c>
      <c r="H116" s="2">
        <v>42473</v>
      </c>
      <c r="I116" t="s">
        <v>962</v>
      </c>
      <c r="J116" t="s">
        <v>1301</v>
      </c>
      <c r="K116" t="s">
        <v>1302</v>
      </c>
    </row>
    <row r="117" spans="1:11" x14ac:dyDescent="0.35">
      <c r="A117" t="s">
        <v>267</v>
      </c>
      <c r="B117" t="s">
        <v>1303</v>
      </c>
      <c r="C117" t="s">
        <v>957</v>
      </c>
      <c r="D117">
        <v>25</v>
      </c>
      <c r="E117" t="s">
        <v>77</v>
      </c>
      <c r="F117" t="s">
        <v>13</v>
      </c>
      <c r="G117" t="s">
        <v>40</v>
      </c>
      <c r="H117" s="2">
        <v>45442</v>
      </c>
      <c r="I117" t="s">
        <v>958</v>
      </c>
      <c r="J117" t="s">
        <v>1304</v>
      </c>
      <c r="K117" t="s">
        <v>1305</v>
      </c>
    </row>
    <row r="118" spans="1:11" x14ac:dyDescent="0.35">
      <c r="A118" t="s">
        <v>269</v>
      </c>
      <c r="B118" t="s">
        <v>1306</v>
      </c>
      <c r="C118" t="s">
        <v>966</v>
      </c>
      <c r="D118">
        <v>38</v>
      </c>
      <c r="E118" t="s">
        <v>51</v>
      </c>
      <c r="F118" t="s">
        <v>30</v>
      </c>
      <c r="G118" t="s">
        <v>20</v>
      </c>
      <c r="H118" s="2">
        <v>45198</v>
      </c>
      <c r="I118" t="s">
        <v>962</v>
      </c>
      <c r="J118" t="s">
        <v>1307</v>
      </c>
      <c r="K118" t="s">
        <v>1308</v>
      </c>
    </row>
    <row r="119" spans="1:11" x14ac:dyDescent="0.35">
      <c r="A119" t="s">
        <v>271</v>
      </c>
      <c r="B119" t="s">
        <v>1309</v>
      </c>
      <c r="C119" t="s">
        <v>957</v>
      </c>
      <c r="D119">
        <v>56</v>
      </c>
      <c r="E119" t="s">
        <v>77</v>
      </c>
      <c r="F119" t="s">
        <v>44</v>
      </c>
      <c r="G119" t="s">
        <v>35</v>
      </c>
      <c r="H119" s="2">
        <v>42789</v>
      </c>
      <c r="I119" t="s">
        <v>958</v>
      </c>
      <c r="J119" t="s">
        <v>1310</v>
      </c>
      <c r="K119" t="s">
        <v>1311</v>
      </c>
    </row>
    <row r="120" spans="1:11" x14ac:dyDescent="0.35">
      <c r="A120" t="s">
        <v>273</v>
      </c>
      <c r="B120" t="s">
        <v>1312</v>
      </c>
      <c r="C120" t="s">
        <v>966</v>
      </c>
      <c r="D120">
        <v>37</v>
      </c>
      <c r="E120" t="s">
        <v>36</v>
      </c>
      <c r="F120" t="s">
        <v>30</v>
      </c>
      <c r="G120" t="s">
        <v>54</v>
      </c>
      <c r="H120" s="2">
        <v>43548</v>
      </c>
      <c r="I120" t="s">
        <v>958</v>
      </c>
      <c r="J120" t="s">
        <v>1313</v>
      </c>
      <c r="K120" t="s">
        <v>1314</v>
      </c>
    </row>
    <row r="121" spans="1:11" x14ac:dyDescent="0.35">
      <c r="A121" t="s">
        <v>275</v>
      </c>
      <c r="B121" t="s">
        <v>1315</v>
      </c>
      <c r="C121" t="s">
        <v>966</v>
      </c>
      <c r="D121">
        <v>46</v>
      </c>
      <c r="E121" t="s">
        <v>26</v>
      </c>
      <c r="F121" t="s">
        <v>30</v>
      </c>
      <c r="G121" t="s">
        <v>54</v>
      </c>
      <c r="H121" s="2">
        <v>43650</v>
      </c>
      <c r="I121" t="s">
        <v>958</v>
      </c>
      <c r="J121" t="s">
        <v>1316</v>
      </c>
      <c r="K121" t="s">
        <v>1317</v>
      </c>
    </row>
    <row r="122" spans="1:11" x14ac:dyDescent="0.35">
      <c r="A122" t="s">
        <v>277</v>
      </c>
      <c r="B122" t="s">
        <v>1318</v>
      </c>
      <c r="C122" t="s">
        <v>957</v>
      </c>
      <c r="D122">
        <v>38</v>
      </c>
      <c r="E122" t="s">
        <v>21</v>
      </c>
      <c r="F122" t="s">
        <v>39</v>
      </c>
      <c r="G122" t="s">
        <v>35</v>
      </c>
      <c r="H122" s="2">
        <v>45769</v>
      </c>
      <c r="I122" t="s">
        <v>958</v>
      </c>
      <c r="J122" t="s">
        <v>1319</v>
      </c>
      <c r="K122" t="s">
        <v>1320</v>
      </c>
    </row>
    <row r="123" spans="1:11" x14ac:dyDescent="0.35">
      <c r="A123" t="s">
        <v>279</v>
      </c>
      <c r="B123" t="s">
        <v>1321</v>
      </c>
      <c r="C123" t="s">
        <v>966</v>
      </c>
      <c r="D123">
        <v>59</v>
      </c>
      <c r="E123" t="s">
        <v>36</v>
      </c>
      <c r="F123" t="s">
        <v>24</v>
      </c>
      <c r="G123" t="s">
        <v>25</v>
      </c>
      <c r="H123" s="2">
        <v>43174</v>
      </c>
      <c r="I123" t="s">
        <v>958</v>
      </c>
      <c r="J123" t="s">
        <v>1322</v>
      </c>
      <c r="K123" t="s">
        <v>1323</v>
      </c>
    </row>
    <row r="124" spans="1:11" x14ac:dyDescent="0.35">
      <c r="A124" t="s">
        <v>281</v>
      </c>
      <c r="B124" t="s">
        <v>1324</v>
      </c>
      <c r="C124" t="s">
        <v>966</v>
      </c>
      <c r="D124">
        <v>50</v>
      </c>
      <c r="E124" t="s">
        <v>51</v>
      </c>
      <c r="F124" t="s">
        <v>24</v>
      </c>
      <c r="G124" t="s">
        <v>20</v>
      </c>
      <c r="H124" s="2">
        <v>43135</v>
      </c>
      <c r="I124" t="s">
        <v>958</v>
      </c>
      <c r="J124" t="s">
        <v>1325</v>
      </c>
      <c r="K124" t="s">
        <v>1326</v>
      </c>
    </row>
    <row r="125" spans="1:11" x14ac:dyDescent="0.35">
      <c r="A125" t="s">
        <v>283</v>
      </c>
      <c r="B125" t="s">
        <v>1327</v>
      </c>
      <c r="C125" t="s">
        <v>957</v>
      </c>
      <c r="D125">
        <v>46</v>
      </c>
      <c r="E125" t="s">
        <v>77</v>
      </c>
      <c r="F125" t="s">
        <v>63</v>
      </c>
      <c r="G125" t="s">
        <v>40</v>
      </c>
      <c r="H125" s="2">
        <v>44649</v>
      </c>
      <c r="I125" t="s">
        <v>962</v>
      </c>
      <c r="J125" t="s">
        <v>1328</v>
      </c>
      <c r="K125" t="s">
        <v>1329</v>
      </c>
    </row>
    <row r="126" spans="1:11" x14ac:dyDescent="0.35">
      <c r="A126" t="s">
        <v>285</v>
      </c>
      <c r="B126" t="s">
        <v>1330</v>
      </c>
      <c r="C126" t="s">
        <v>957</v>
      </c>
      <c r="D126">
        <v>32</v>
      </c>
      <c r="E126" t="s">
        <v>41</v>
      </c>
      <c r="F126" t="s">
        <v>30</v>
      </c>
      <c r="G126" t="s">
        <v>40</v>
      </c>
      <c r="H126" s="2">
        <v>42393</v>
      </c>
      <c r="I126" t="s">
        <v>962</v>
      </c>
      <c r="J126" t="s">
        <v>1331</v>
      </c>
      <c r="K126" t="s">
        <v>1332</v>
      </c>
    </row>
    <row r="127" spans="1:11" x14ac:dyDescent="0.35">
      <c r="A127" t="s">
        <v>287</v>
      </c>
      <c r="B127" t="s">
        <v>1333</v>
      </c>
      <c r="C127" t="s">
        <v>966</v>
      </c>
      <c r="D127">
        <v>31</v>
      </c>
      <c r="E127" t="s">
        <v>77</v>
      </c>
      <c r="F127" t="s">
        <v>13</v>
      </c>
      <c r="G127" t="s">
        <v>40</v>
      </c>
      <c r="H127" s="2">
        <v>44814</v>
      </c>
      <c r="I127" t="s">
        <v>958</v>
      </c>
      <c r="J127" t="s">
        <v>1334</v>
      </c>
      <c r="K127" t="s">
        <v>1335</v>
      </c>
    </row>
    <row r="128" spans="1:11" x14ac:dyDescent="0.35">
      <c r="A128" t="s">
        <v>289</v>
      </c>
      <c r="B128" t="s">
        <v>1336</v>
      </c>
      <c r="C128" t="s">
        <v>966</v>
      </c>
      <c r="D128">
        <v>53</v>
      </c>
      <c r="E128" t="s">
        <v>41</v>
      </c>
      <c r="F128" t="s">
        <v>39</v>
      </c>
      <c r="G128" t="s">
        <v>40</v>
      </c>
      <c r="H128" s="2">
        <v>42668</v>
      </c>
      <c r="I128" t="s">
        <v>962</v>
      </c>
      <c r="J128" t="s">
        <v>1337</v>
      </c>
      <c r="K128" t="s">
        <v>1338</v>
      </c>
    </row>
    <row r="129" spans="1:11" x14ac:dyDescent="0.35">
      <c r="A129" t="s">
        <v>291</v>
      </c>
      <c r="B129" t="s">
        <v>1339</v>
      </c>
      <c r="C129" t="s">
        <v>957</v>
      </c>
      <c r="D129">
        <v>33</v>
      </c>
      <c r="E129" t="s">
        <v>36</v>
      </c>
      <c r="F129" t="s">
        <v>19</v>
      </c>
      <c r="G129" t="s">
        <v>25</v>
      </c>
      <c r="H129" s="2">
        <v>43022</v>
      </c>
      <c r="I129" t="s">
        <v>962</v>
      </c>
      <c r="J129" t="s">
        <v>1340</v>
      </c>
      <c r="K129" t="s">
        <v>1341</v>
      </c>
    </row>
    <row r="130" spans="1:11" x14ac:dyDescent="0.35">
      <c r="A130" t="s">
        <v>293</v>
      </c>
      <c r="B130" t="s">
        <v>1342</v>
      </c>
      <c r="C130" t="s">
        <v>966</v>
      </c>
      <c r="D130">
        <v>27</v>
      </c>
      <c r="E130" t="s">
        <v>48</v>
      </c>
      <c r="F130" t="s">
        <v>13</v>
      </c>
      <c r="G130" t="s">
        <v>14</v>
      </c>
      <c r="H130" s="2">
        <v>45087</v>
      </c>
      <c r="I130" t="s">
        <v>962</v>
      </c>
      <c r="J130" t="s">
        <v>1343</v>
      </c>
      <c r="K130" t="s">
        <v>1344</v>
      </c>
    </row>
    <row r="131" spans="1:11" x14ac:dyDescent="0.35">
      <c r="A131" t="s">
        <v>295</v>
      </c>
      <c r="B131" t="s">
        <v>1345</v>
      </c>
      <c r="C131" t="s">
        <v>966</v>
      </c>
      <c r="D131">
        <v>45</v>
      </c>
      <c r="E131" t="s">
        <v>72</v>
      </c>
      <c r="F131" t="s">
        <v>13</v>
      </c>
      <c r="G131" t="s">
        <v>25</v>
      </c>
      <c r="H131" s="2">
        <v>44542</v>
      </c>
      <c r="I131" t="s">
        <v>962</v>
      </c>
      <c r="J131" t="s">
        <v>1346</v>
      </c>
      <c r="K131" t="s">
        <v>1347</v>
      </c>
    </row>
    <row r="132" spans="1:11" x14ac:dyDescent="0.35">
      <c r="A132" t="s">
        <v>297</v>
      </c>
      <c r="B132" t="s">
        <v>1348</v>
      </c>
      <c r="C132" t="s">
        <v>957</v>
      </c>
      <c r="D132">
        <v>29</v>
      </c>
      <c r="E132" t="s">
        <v>48</v>
      </c>
      <c r="F132" t="s">
        <v>63</v>
      </c>
      <c r="G132" t="s">
        <v>14</v>
      </c>
      <c r="H132" s="2">
        <v>45000</v>
      </c>
      <c r="I132" t="s">
        <v>958</v>
      </c>
      <c r="J132" t="s">
        <v>1349</v>
      </c>
      <c r="K132" t="s">
        <v>1350</v>
      </c>
    </row>
    <row r="133" spans="1:11" x14ac:dyDescent="0.35">
      <c r="A133" t="s">
        <v>299</v>
      </c>
      <c r="B133" t="s">
        <v>1351</v>
      </c>
      <c r="C133" t="s">
        <v>957</v>
      </c>
      <c r="D133">
        <v>42</v>
      </c>
      <c r="E133" t="s">
        <v>26</v>
      </c>
      <c r="F133" t="s">
        <v>30</v>
      </c>
      <c r="G133" t="s">
        <v>20</v>
      </c>
      <c r="H133" s="2">
        <v>43950</v>
      </c>
      <c r="I133" t="s">
        <v>962</v>
      </c>
      <c r="J133" t="s">
        <v>1352</v>
      </c>
      <c r="K133" t="s">
        <v>1353</v>
      </c>
    </row>
    <row r="134" spans="1:11" x14ac:dyDescent="0.35">
      <c r="A134" t="s">
        <v>301</v>
      </c>
      <c r="B134" t="s">
        <v>1354</v>
      </c>
      <c r="C134" t="s">
        <v>966</v>
      </c>
      <c r="D134">
        <v>23</v>
      </c>
      <c r="E134" t="s">
        <v>36</v>
      </c>
      <c r="F134" t="s">
        <v>30</v>
      </c>
      <c r="G134" t="s">
        <v>40</v>
      </c>
      <c r="H134" s="2">
        <v>44476</v>
      </c>
      <c r="I134" t="s">
        <v>962</v>
      </c>
      <c r="J134" t="s">
        <v>1355</v>
      </c>
      <c r="K134" t="s">
        <v>1356</v>
      </c>
    </row>
    <row r="135" spans="1:11" x14ac:dyDescent="0.35">
      <c r="A135" t="s">
        <v>303</v>
      </c>
      <c r="B135" t="s">
        <v>1357</v>
      </c>
      <c r="C135" t="s">
        <v>966</v>
      </c>
      <c r="D135">
        <v>24</v>
      </c>
      <c r="E135" t="s">
        <v>72</v>
      </c>
      <c r="F135" t="s">
        <v>24</v>
      </c>
      <c r="G135" t="s">
        <v>14</v>
      </c>
      <c r="H135" s="2">
        <v>43682</v>
      </c>
      <c r="I135" t="s">
        <v>958</v>
      </c>
      <c r="J135" t="s">
        <v>1358</v>
      </c>
      <c r="K135" t="s">
        <v>1359</v>
      </c>
    </row>
    <row r="136" spans="1:11" x14ac:dyDescent="0.35">
      <c r="A136" t="s">
        <v>305</v>
      </c>
      <c r="B136" t="s">
        <v>1360</v>
      </c>
      <c r="C136" t="s">
        <v>957</v>
      </c>
      <c r="D136">
        <v>32</v>
      </c>
      <c r="E136" t="s">
        <v>36</v>
      </c>
      <c r="F136" t="s">
        <v>39</v>
      </c>
      <c r="G136" t="s">
        <v>20</v>
      </c>
      <c r="H136" s="2">
        <v>44937</v>
      </c>
      <c r="I136" t="s">
        <v>958</v>
      </c>
      <c r="J136" t="s">
        <v>1361</v>
      </c>
      <c r="K136" t="s">
        <v>1362</v>
      </c>
    </row>
    <row r="137" spans="1:11" x14ac:dyDescent="0.35">
      <c r="A137" t="s">
        <v>307</v>
      </c>
      <c r="B137" t="s">
        <v>1363</v>
      </c>
      <c r="C137" t="s">
        <v>957</v>
      </c>
      <c r="D137">
        <v>35</v>
      </c>
      <c r="E137" t="s">
        <v>26</v>
      </c>
      <c r="F137" t="s">
        <v>30</v>
      </c>
      <c r="G137" t="s">
        <v>20</v>
      </c>
      <c r="H137" s="2">
        <v>43212</v>
      </c>
      <c r="I137" t="s">
        <v>962</v>
      </c>
      <c r="J137" t="s">
        <v>1364</v>
      </c>
      <c r="K137" t="s">
        <v>1365</v>
      </c>
    </row>
    <row r="138" spans="1:11" x14ac:dyDescent="0.35">
      <c r="A138" t="s">
        <v>309</v>
      </c>
      <c r="B138" t="s">
        <v>1366</v>
      </c>
      <c r="C138" t="s">
        <v>957</v>
      </c>
      <c r="D138">
        <v>31</v>
      </c>
      <c r="E138" t="s">
        <v>77</v>
      </c>
      <c r="F138" t="s">
        <v>63</v>
      </c>
      <c r="G138" t="s">
        <v>54</v>
      </c>
      <c r="H138" s="2">
        <v>43728</v>
      </c>
      <c r="I138" t="s">
        <v>958</v>
      </c>
      <c r="J138" t="s">
        <v>1367</v>
      </c>
      <c r="K138" t="s">
        <v>1368</v>
      </c>
    </row>
    <row r="139" spans="1:11" x14ac:dyDescent="0.35">
      <c r="A139" t="s">
        <v>311</v>
      </c>
      <c r="B139" t="s">
        <v>1369</v>
      </c>
      <c r="C139" t="s">
        <v>957</v>
      </c>
      <c r="D139">
        <v>26</v>
      </c>
      <c r="E139" t="s">
        <v>77</v>
      </c>
      <c r="F139" t="s">
        <v>13</v>
      </c>
      <c r="G139" t="s">
        <v>40</v>
      </c>
      <c r="H139" s="2">
        <v>44655</v>
      </c>
      <c r="I139" t="s">
        <v>958</v>
      </c>
      <c r="J139" t="s">
        <v>1370</v>
      </c>
      <c r="K139" t="s">
        <v>1371</v>
      </c>
    </row>
    <row r="140" spans="1:11" x14ac:dyDescent="0.35">
      <c r="A140" t="s">
        <v>313</v>
      </c>
      <c r="B140" t="s">
        <v>1372</v>
      </c>
      <c r="C140" t="s">
        <v>957</v>
      </c>
      <c r="D140">
        <v>38</v>
      </c>
      <c r="E140" t="s">
        <v>26</v>
      </c>
      <c r="F140" t="s">
        <v>63</v>
      </c>
      <c r="G140" t="s">
        <v>35</v>
      </c>
      <c r="H140" s="2">
        <v>44951</v>
      </c>
      <c r="I140" t="s">
        <v>962</v>
      </c>
      <c r="J140" t="s">
        <v>1373</v>
      </c>
      <c r="K140" t="s">
        <v>1374</v>
      </c>
    </row>
    <row r="141" spans="1:11" x14ac:dyDescent="0.35">
      <c r="A141" t="s">
        <v>315</v>
      </c>
      <c r="B141" t="s">
        <v>1375</v>
      </c>
      <c r="C141" t="s">
        <v>966</v>
      </c>
      <c r="D141">
        <v>42</v>
      </c>
      <c r="E141" t="s">
        <v>77</v>
      </c>
      <c r="F141" t="s">
        <v>63</v>
      </c>
      <c r="G141" t="s">
        <v>54</v>
      </c>
      <c r="H141" s="2">
        <v>42854</v>
      </c>
      <c r="I141" t="s">
        <v>958</v>
      </c>
      <c r="J141" t="s">
        <v>1376</v>
      </c>
      <c r="K141" t="s">
        <v>1377</v>
      </c>
    </row>
    <row r="142" spans="1:11" x14ac:dyDescent="0.35">
      <c r="A142" t="s">
        <v>317</v>
      </c>
      <c r="B142" t="s">
        <v>1378</v>
      </c>
      <c r="C142" t="s">
        <v>957</v>
      </c>
      <c r="D142">
        <v>59</v>
      </c>
      <c r="E142" t="s">
        <v>77</v>
      </c>
      <c r="F142" t="s">
        <v>24</v>
      </c>
      <c r="G142" t="s">
        <v>20</v>
      </c>
      <c r="H142" s="2">
        <v>43835</v>
      </c>
      <c r="I142" t="s">
        <v>958</v>
      </c>
      <c r="J142" t="s">
        <v>1379</v>
      </c>
      <c r="K142" t="s">
        <v>1380</v>
      </c>
    </row>
    <row r="143" spans="1:11" x14ac:dyDescent="0.35">
      <c r="A143" t="s">
        <v>319</v>
      </c>
      <c r="B143" t="s">
        <v>1381</v>
      </c>
      <c r="C143" t="s">
        <v>966</v>
      </c>
      <c r="D143">
        <v>41</v>
      </c>
      <c r="E143" t="s">
        <v>41</v>
      </c>
      <c r="F143" t="s">
        <v>19</v>
      </c>
      <c r="G143" t="s">
        <v>40</v>
      </c>
      <c r="H143" s="2">
        <v>45504</v>
      </c>
      <c r="I143" t="s">
        <v>962</v>
      </c>
      <c r="J143" t="s">
        <v>1382</v>
      </c>
      <c r="K143" t="s">
        <v>1383</v>
      </c>
    </row>
    <row r="144" spans="1:11" x14ac:dyDescent="0.35">
      <c r="A144" t="s">
        <v>321</v>
      </c>
      <c r="B144" t="s">
        <v>1073</v>
      </c>
      <c r="C144" t="s">
        <v>966</v>
      </c>
      <c r="D144">
        <v>47</v>
      </c>
      <c r="E144" t="s">
        <v>77</v>
      </c>
      <c r="F144" t="s">
        <v>63</v>
      </c>
      <c r="G144" t="s">
        <v>14</v>
      </c>
      <c r="H144" s="2">
        <v>44555</v>
      </c>
      <c r="I144" t="s">
        <v>958</v>
      </c>
      <c r="J144" t="s">
        <v>1384</v>
      </c>
      <c r="K144" t="s">
        <v>1385</v>
      </c>
    </row>
    <row r="145" spans="1:11" x14ac:dyDescent="0.35">
      <c r="A145" t="s">
        <v>323</v>
      </c>
      <c r="B145" t="s">
        <v>1386</v>
      </c>
      <c r="C145" t="s">
        <v>957</v>
      </c>
      <c r="D145">
        <v>47</v>
      </c>
      <c r="E145" t="s">
        <v>36</v>
      </c>
      <c r="F145" t="s">
        <v>44</v>
      </c>
      <c r="G145" t="s">
        <v>54</v>
      </c>
      <c r="H145" s="2">
        <v>42960</v>
      </c>
      <c r="I145" t="s">
        <v>962</v>
      </c>
      <c r="J145" t="s">
        <v>1387</v>
      </c>
      <c r="K145" t="s">
        <v>1388</v>
      </c>
    </row>
    <row r="146" spans="1:11" x14ac:dyDescent="0.35">
      <c r="A146" t="s">
        <v>325</v>
      </c>
      <c r="B146" t="s">
        <v>1389</v>
      </c>
      <c r="C146" t="s">
        <v>966</v>
      </c>
      <c r="D146">
        <v>22</v>
      </c>
      <c r="E146" t="s">
        <v>36</v>
      </c>
      <c r="F146" t="s">
        <v>30</v>
      </c>
      <c r="G146" t="s">
        <v>25</v>
      </c>
      <c r="H146" s="2">
        <v>42949</v>
      </c>
      <c r="I146" t="s">
        <v>958</v>
      </c>
      <c r="J146" t="s">
        <v>1390</v>
      </c>
      <c r="K146" t="s">
        <v>1391</v>
      </c>
    </row>
    <row r="147" spans="1:11" x14ac:dyDescent="0.35">
      <c r="A147" t="s">
        <v>327</v>
      </c>
      <c r="B147" t="s">
        <v>1392</v>
      </c>
      <c r="C147" t="s">
        <v>957</v>
      </c>
      <c r="D147">
        <v>22</v>
      </c>
      <c r="E147" t="s">
        <v>41</v>
      </c>
      <c r="F147" t="s">
        <v>39</v>
      </c>
      <c r="G147" t="s">
        <v>35</v>
      </c>
      <c r="H147" s="2">
        <v>44570</v>
      </c>
      <c r="I147" t="s">
        <v>958</v>
      </c>
      <c r="J147" t="s">
        <v>1393</v>
      </c>
      <c r="K147" t="s">
        <v>1394</v>
      </c>
    </row>
    <row r="148" spans="1:11" x14ac:dyDescent="0.35">
      <c r="A148" t="s">
        <v>329</v>
      </c>
      <c r="B148" t="s">
        <v>1395</v>
      </c>
      <c r="C148" t="s">
        <v>966</v>
      </c>
      <c r="D148">
        <v>35</v>
      </c>
      <c r="E148" t="s">
        <v>48</v>
      </c>
      <c r="F148" t="s">
        <v>13</v>
      </c>
      <c r="G148" t="s">
        <v>35</v>
      </c>
      <c r="H148" s="2">
        <v>45015</v>
      </c>
      <c r="I148" t="s">
        <v>958</v>
      </c>
      <c r="J148" t="s">
        <v>1396</v>
      </c>
      <c r="K148" t="s">
        <v>1397</v>
      </c>
    </row>
    <row r="149" spans="1:11" x14ac:dyDescent="0.35">
      <c r="A149" t="s">
        <v>331</v>
      </c>
      <c r="B149" t="s">
        <v>1398</v>
      </c>
      <c r="C149" t="s">
        <v>957</v>
      </c>
      <c r="D149">
        <v>33</v>
      </c>
      <c r="E149" t="s">
        <v>21</v>
      </c>
      <c r="F149" t="s">
        <v>39</v>
      </c>
      <c r="G149" t="s">
        <v>40</v>
      </c>
      <c r="H149" s="2">
        <v>43165</v>
      </c>
      <c r="I149" t="s">
        <v>958</v>
      </c>
      <c r="J149" t="s">
        <v>1399</v>
      </c>
      <c r="K149" t="s">
        <v>1400</v>
      </c>
    </row>
    <row r="150" spans="1:11" x14ac:dyDescent="0.35">
      <c r="A150" t="s">
        <v>333</v>
      </c>
      <c r="B150" t="s">
        <v>1401</v>
      </c>
      <c r="C150" t="s">
        <v>957</v>
      </c>
      <c r="D150">
        <v>58</v>
      </c>
      <c r="E150" t="s">
        <v>77</v>
      </c>
      <c r="F150" t="s">
        <v>30</v>
      </c>
      <c r="G150" t="s">
        <v>25</v>
      </c>
      <c r="H150" s="2">
        <v>44259</v>
      </c>
      <c r="I150" t="s">
        <v>958</v>
      </c>
      <c r="J150" t="s">
        <v>1402</v>
      </c>
      <c r="K150" t="s">
        <v>1403</v>
      </c>
    </row>
    <row r="151" spans="1:11" x14ac:dyDescent="0.35">
      <c r="A151" t="s">
        <v>335</v>
      </c>
      <c r="B151" t="s">
        <v>1404</v>
      </c>
      <c r="C151" t="s">
        <v>966</v>
      </c>
      <c r="D151">
        <v>26</v>
      </c>
      <c r="E151" t="s">
        <v>72</v>
      </c>
      <c r="F151" t="s">
        <v>19</v>
      </c>
      <c r="G151" t="s">
        <v>14</v>
      </c>
      <c r="H151" s="2">
        <v>45342</v>
      </c>
      <c r="I151" t="s">
        <v>962</v>
      </c>
      <c r="J151" t="s">
        <v>1405</v>
      </c>
      <c r="K151" t="s">
        <v>1406</v>
      </c>
    </row>
    <row r="152" spans="1:11" x14ac:dyDescent="0.35">
      <c r="A152" t="s">
        <v>337</v>
      </c>
      <c r="B152" t="s">
        <v>1407</v>
      </c>
      <c r="C152" t="s">
        <v>966</v>
      </c>
      <c r="D152">
        <v>44</v>
      </c>
      <c r="E152" t="s">
        <v>51</v>
      </c>
      <c r="F152" t="s">
        <v>24</v>
      </c>
      <c r="G152" t="s">
        <v>54</v>
      </c>
      <c r="H152" s="2">
        <v>43330</v>
      </c>
      <c r="I152" t="s">
        <v>958</v>
      </c>
      <c r="J152" t="s">
        <v>1408</v>
      </c>
      <c r="K152" t="s">
        <v>1409</v>
      </c>
    </row>
    <row r="153" spans="1:11" x14ac:dyDescent="0.35">
      <c r="A153" t="s">
        <v>339</v>
      </c>
      <c r="B153" t="s">
        <v>1410</v>
      </c>
      <c r="C153" t="s">
        <v>966</v>
      </c>
      <c r="D153">
        <v>26</v>
      </c>
      <c r="E153" t="s">
        <v>21</v>
      </c>
      <c r="F153" t="s">
        <v>44</v>
      </c>
      <c r="G153" t="s">
        <v>35</v>
      </c>
      <c r="H153" s="2">
        <v>44215</v>
      </c>
      <c r="I153" t="s">
        <v>962</v>
      </c>
      <c r="J153" t="s">
        <v>1411</v>
      </c>
      <c r="K153" t="s">
        <v>1412</v>
      </c>
    </row>
    <row r="154" spans="1:11" x14ac:dyDescent="0.35">
      <c r="A154" t="s">
        <v>341</v>
      </c>
      <c r="B154" t="s">
        <v>1413</v>
      </c>
      <c r="C154" t="s">
        <v>966</v>
      </c>
      <c r="D154">
        <v>59</v>
      </c>
      <c r="E154" t="s">
        <v>51</v>
      </c>
      <c r="F154" t="s">
        <v>39</v>
      </c>
      <c r="G154" t="s">
        <v>25</v>
      </c>
      <c r="H154" s="2">
        <v>43862</v>
      </c>
      <c r="I154" t="s">
        <v>962</v>
      </c>
      <c r="J154" t="s">
        <v>1414</v>
      </c>
      <c r="K154" t="s">
        <v>1415</v>
      </c>
    </row>
    <row r="155" spans="1:11" x14ac:dyDescent="0.35">
      <c r="A155" t="s">
        <v>343</v>
      </c>
      <c r="B155" t="s">
        <v>1416</v>
      </c>
      <c r="C155" t="s">
        <v>966</v>
      </c>
      <c r="D155">
        <v>32</v>
      </c>
      <c r="E155" t="s">
        <v>77</v>
      </c>
      <c r="F155" t="s">
        <v>44</v>
      </c>
      <c r="G155" t="s">
        <v>14</v>
      </c>
      <c r="H155" s="2">
        <v>45588</v>
      </c>
      <c r="I155" t="s">
        <v>958</v>
      </c>
      <c r="J155" t="s">
        <v>1417</v>
      </c>
      <c r="K155" t="s">
        <v>1418</v>
      </c>
    </row>
    <row r="156" spans="1:11" x14ac:dyDescent="0.35">
      <c r="A156" t="s">
        <v>345</v>
      </c>
      <c r="B156" t="s">
        <v>1419</v>
      </c>
      <c r="C156" t="s">
        <v>966</v>
      </c>
      <c r="D156">
        <v>39</v>
      </c>
      <c r="E156" t="s">
        <v>48</v>
      </c>
      <c r="F156" t="s">
        <v>13</v>
      </c>
      <c r="G156" t="s">
        <v>54</v>
      </c>
      <c r="H156" s="2">
        <v>45372</v>
      </c>
      <c r="I156" t="s">
        <v>962</v>
      </c>
      <c r="J156" t="s">
        <v>1420</v>
      </c>
      <c r="K156" t="s">
        <v>1421</v>
      </c>
    </row>
    <row r="157" spans="1:11" x14ac:dyDescent="0.35">
      <c r="A157" t="s">
        <v>347</v>
      </c>
      <c r="B157" t="s">
        <v>1422</v>
      </c>
      <c r="C157" t="s">
        <v>966</v>
      </c>
      <c r="D157">
        <v>51</v>
      </c>
      <c r="E157" t="s">
        <v>88</v>
      </c>
      <c r="F157" t="s">
        <v>44</v>
      </c>
      <c r="G157" t="s">
        <v>40</v>
      </c>
      <c r="H157" s="2">
        <v>44364</v>
      </c>
      <c r="I157" t="s">
        <v>958</v>
      </c>
      <c r="J157" t="s">
        <v>1423</v>
      </c>
      <c r="K157" t="s">
        <v>1424</v>
      </c>
    </row>
    <row r="158" spans="1:11" x14ac:dyDescent="0.35">
      <c r="A158" t="s">
        <v>349</v>
      </c>
      <c r="B158" t="s">
        <v>1425</v>
      </c>
      <c r="C158" t="s">
        <v>957</v>
      </c>
      <c r="D158">
        <v>60</v>
      </c>
      <c r="E158" t="s">
        <v>15</v>
      </c>
      <c r="F158" t="s">
        <v>30</v>
      </c>
      <c r="G158" t="s">
        <v>40</v>
      </c>
      <c r="H158" s="2">
        <v>45887</v>
      </c>
      <c r="I158" t="s">
        <v>958</v>
      </c>
      <c r="J158" t="s">
        <v>1426</v>
      </c>
      <c r="K158" t="s">
        <v>1427</v>
      </c>
    </row>
    <row r="159" spans="1:11" x14ac:dyDescent="0.35">
      <c r="A159" t="s">
        <v>351</v>
      </c>
      <c r="B159" t="s">
        <v>1428</v>
      </c>
      <c r="C159" t="s">
        <v>957</v>
      </c>
      <c r="D159">
        <v>38</v>
      </c>
      <c r="E159" t="s">
        <v>15</v>
      </c>
      <c r="F159" t="s">
        <v>24</v>
      </c>
      <c r="G159" t="s">
        <v>20</v>
      </c>
      <c r="H159" s="2">
        <v>42446</v>
      </c>
      <c r="I159" t="s">
        <v>958</v>
      </c>
      <c r="J159" t="s">
        <v>1429</v>
      </c>
      <c r="K159" t="s">
        <v>1430</v>
      </c>
    </row>
    <row r="160" spans="1:11" x14ac:dyDescent="0.35">
      <c r="A160" t="s">
        <v>353</v>
      </c>
      <c r="B160" t="s">
        <v>1431</v>
      </c>
      <c r="C160" t="s">
        <v>966</v>
      </c>
      <c r="D160">
        <v>59</v>
      </c>
      <c r="E160" t="s">
        <v>21</v>
      </c>
      <c r="F160" t="s">
        <v>19</v>
      </c>
      <c r="G160" t="s">
        <v>25</v>
      </c>
      <c r="H160" s="2">
        <v>43437</v>
      </c>
      <c r="I160" t="s">
        <v>962</v>
      </c>
      <c r="J160" t="s">
        <v>1432</v>
      </c>
      <c r="K160" t="s">
        <v>1433</v>
      </c>
    </row>
    <row r="161" spans="1:11" x14ac:dyDescent="0.35">
      <c r="A161" t="s">
        <v>355</v>
      </c>
      <c r="B161" t="s">
        <v>1434</v>
      </c>
      <c r="C161" t="s">
        <v>957</v>
      </c>
      <c r="D161">
        <v>45</v>
      </c>
      <c r="E161" t="s">
        <v>26</v>
      </c>
      <c r="F161" t="s">
        <v>13</v>
      </c>
      <c r="G161" t="s">
        <v>25</v>
      </c>
      <c r="H161" s="2">
        <v>45373</v>
      </c>
      <c r="I161" t="s">
        <v>962</v>
      </c>
      <c r="J161" t="s">
        <v>1435</v>
      </c>
      <c r="K161" t="s">
        <v>1436</v>
      </c>
    </row>
    <row r="162" spans="1:11" x14ac:dyDescent="0.35">
      <c r="A162" t="s">
        <v>357</v>
      </c>
      <c r="B162" t="s">
        <v>1437</v>
      </c>
      <c r="C162" t="s">
        <v>957</v>
      </c>
      <c r="D162">
        <v>51</v>
      </c>
      <c r="E162" t="s">
        <v>36</v>
      </c>
      <c r="F162" t="s">
        <v>39</v>
      </c>
      <c r="G162" t="s">
        <v>20</v>
      </c>
      <c r="H162" s="2">
        <v>43995</v>
      </c>
      <c r="I162" t="s">
        <v>962</v>
      </c>
      <c r="J162" t="s">
        <v>1438</v>
      </c>
      <c r="K162" t="s">
        <v>1439</v>
      </c>
    </row>
    <row r="163" spans="1:11" x14ac:dyDescent="0.35">
      <c r="A163" t="s">
        <v>359</v>
      </c>
      <c r="B163" t="s">
        <v>156</v>
      </c>
      <c r="C163" t="s">
        <v>957</v>
      </c>
      <c r="D163">
        <v>37</v>
      </c>
      <c r="E163" t="s">
        <v>41</v>
      </c>
      <c r="F163" t="s">
        <v>24</v>
      </c>
      <c r="G163" t="s">
        <v>14</v>
      </c>
      <c r="H163" s="2">
        <v>45471</v>
      </c>
      <c r="I163" t="s">
        <v>958</v>
      </c>
      <c r="J163" t="s">
        <v>1440</v>
      </c>
      <c r="K163" t="s">
        <v>1441</v>
      </c>
    </row>
    <row r="164" spans="1:11" x14ac:dyDescent="0.35">
      <c r="A164" t="s">
        <v>361</v>
      </c>
      <c r="B164" t="s">
        <v>1442</v>
      </c>
      <c r="C164" t="s">
        <v>966</v>
      </c>
      <c r="D164">
        <v>32</v>
      </c>
      <c r="E164" t="s">
        <v>51</v>
      </c>
      <c r="F164" t="s">
        <v>39</v>
      </c>
      <c r="G164" t="s">
        <v>25</v>
      </c>
      <c r="H164" s="2">
        <v>45070</v>
      </c>
      <c r="I164" t="s">
        <v>958</v>
      </c>
      <c r="J164" t="s">
        <v>1443</v>
      </c>
      <c r="K164" t="s">
        <v>1444</v>
      </c>
    </row>
    <row r="165" spans="1:11" x14ac:dyDescent="0.35">
      <c r="A165" t="s">
        <v>363</v>
      </c>
      <c r="B165" t="s">
        <v>1445</v>
      </c>
      <c r="C165" t="s">
        <v>966</v>
      </c>
      <c r="D165">
        <v>44</v>
      </c>
      <c r="E165" t="s">
        <v>77</v>
      </c>
      <c r="F165" t="s">
        <v>13</v>
      </c>
      <c r="G165" t="s">
        <v>35</v>
      </c>
      <c r="H165" s="2">
        <v>43319</v>
      </c>
      <c r="I165" t="s">
        <v>958</v>
      </c>
      <c r="J165" t="s">
        <v>1446</v>
      </c>
      <c r="K165" t="s">
        <v>1447</v>
      </c>
    </row>
    <row r="166" spans="1:11" x14ac:dyDescent="0.35">
      <c r="A166" t="s">
        <v>365</v>
      </c>
      <c r="B166" t="s">
        <v>1448</v>
      </c>
      <c r="C166" t="s">
        <v>966</v>
      </c>
      <c r="D166">
        <v>45</v>
      </c>
      <c r="E166" t="s">
        <v>21</v>
      </c>
      <c r="F166" t="s">
        <v>19</v>
      </c>
      <c r="G166" t="s">
        <v>54</v>
      </c>
      <c r="H166" s="2">
        <v>43216</v>
      </c>
      <c r="I166" t="s">
        <v>962</v>
      </c>
      <c r="J166" t="s">
        <v>1449</v>
      </c>
      <c r="K166" t="s">
        <v>1450</v>
      </c>
    </row>
    <row r="167" spans="1:11" x14ac:dyDescent="0.35">
      <c r="A167" t="s">
        <v>367</v>
      </c>
      <c r="B167" t="s">
        <v>1451</v>
      </c>
      <c r="C167" t="s">
        <v>966</v>
      </c>
      <c r="D167">
        <v>52</v>
      </c>
      <c r="E167" t="s">
        <v>88</v>
      </c>
      <c r="F167" t="s">
        <v>19</v>
      </c>
      <c r="G167" t="s">
        <v>20</v>
      </c>
      <c r="H167" s="2">
        <v>45026</v>
      </c>
      <c r="I167" t="s">
        <v>962</v>
      </c>
      <c r="J167" t="s">
        <v>1452</v>
      </c>
      <c r="K167" t="s">
        <v>1453</v>
      </c>
    </row>
    <row r="168" spans="1:11" x14ac:dyDescent="0.35">
      <c r="A168" t="s">
        <v>369</v>
      </c>
      <c r="B168" t="s">
        <v>1454</v>
      </c>
      <c r="C168" t="s">
        <v>957</v>
      </c>
      <c r="D168">
        <v>55</v>
      </c>
      <c r="E168" t="s">
        <v>72</v>
      </c>
      <c r="F168" t="s">
        <v>30</v>
      </c>
      <c r="G168" t="s">
        <v>54</v>
      </c>
      <c r="H168" s="2">
        <v>43448</v>
      </c>
      <c r="I168" t="s">
        <v>958</v>
      </c>
      <c r="J168" t="s">
        <v>1455</v>
      </c>
      <c r="K168" t="s">
        <v>1456</v>
      </c>
    </row>
    <row r="169" spans="1:11" x14ac:dyDescent="0.35">
      <c r="A169" t="s">
        <v>371</v>
      </c>
      <c r="B169" t="s">
        <v>1457</v>
      </c>
      <c r="C169" t="s">
        <v>966</v>
      </c>
      <c r="D169">
        <v>46</v>
      </c>
      <c r="E169" t="s">
        <v>48</v>
      </c>
      <c r="F169" t="s">
        <v>39</v>
      </c>
      <c r="G169" t="s">
        <v>54</v>
      </c>
      <c r="H169" s="2">
        <v>45792</v>
      </c>
      <c r="I169" t="s">
        <v>958</v>
      </c>
      <c r="J169" t="s">
        <v>1458</v>
      </c>
      <c r="K169" t="s">
        <v>1459</v>
      </c>
    </row>
    <row r="170" spans="1:11" x14ac:dyDescent="0.35">
      <c r="A170" t="s">
        <v>373</v>
      </c>
      <c r="B170" t="s">
        <v>1460</v>
      </c>
      <c r="C170" t="s">
        <v>966</v>
      </c>
      <c r="D170">
        <v>46</v>
      </c>
      <c r="E170" t="s">
        <v>21</v>
      </c>
      <c r="F170" t="s">
        <v>39</v>
      </c>
      <c r="G170" t="s">
        <v>35</v>
      </c>
      <c r="H170" s="2">
        <v>43815</v>
      </c>
      <c r="I170" t="s">
        <v>962</v>
      </c>
      <c r="J170" t="s">
        <v>1461</v>
      </c>
      <c r="K170" t="s">
        <v>1462</v>
      </c>
    </row>
    <row r="171" spans="1:11" x14ac:dyDescent="0.35">
      <c r="A171" t="s">
        <v>375</v>
      </c>
      <c r="B171" t="s">
        <v>1463</v>
      </c>
      <c r="C171" t="s">
        <v>966</v>
      </c>
      <c r="D171">
        <v>52</v>
      </c>
      <c r="E171" t="s">
        <v>41</v>
      </c>
      <c r="F171" t="s">
        <v>19</v>
      </c>
      <c r="G171" t="s">
        <v>25</v>
      </c>
      <c r="H171" s="2">
        <v>45982</v>
      </c>
      <c r="I171" t="s">
        <v>958</v>
      </c>
      <c r="J171" t="s">
        <v>1464</v>
      </c>
      <c r="K171" t="s">
        <v>1465</v>
      </c>
    </row>
    <row r="172" spans="1:11" x14ac:dyDescent="0.35">
      <c r="A172" t="s">
        <v>377</v>
      </c>
      <c r="B172" t="s">
        <v>1466</v>
      </c>
      <c r="C172" t="s">
        <v>966</v>
      </c>
      <c r="D172">
        <v>32</v>
      </c>
      <c r="E172" t="s">
        <v>21</v>
      </c>
      <c r="F172" t="s">
        <v>19</v>
      </c>
      <c r="G172" t="s">
        <v>25</v>
      </c>
      <c r="H172" s="2">
        <v>45005</v>
      </c>
      <c r="I172" t="s">
        <v>962</v>
      </c>
      <c r="J172" t="s">
        <v>1467</v>
      </c>
      <c r="K172" t="s">
        <v>1468</v>
      </c>
    </row>
    <row r="173" spans="1:11" x14ac:dyDescent="0.35">
      <c r="A173" t="s">
        <v>379</v>
      </c>
      <c r="B173" t="s">
        <v>1469</v>
      </c>
      <c r="C173" t="s">
        <v>957</v>
      </c>
      <c r="D173">
        <v>31</v>
      </c>
      <c r="E173" t="s">
        <v>51</v>
      </c>
      <c r="F173" t="s">
        <v>13</v>
      </c>
      <c r="G173" t="s">
        <v>40</v>
      </c>
      <c r="H173" s="2">
        <v>44835</v>
      </c>
      <c r="I173" t="s">
        <v>958</v>
      </c>
      <c r="J173" t="s">
        <v>1470</v>
      </c>
      <c r="K173" t="s">
        <v>1471</v>
      </c>
    </row>
    <row r="174" spans="1:11" x14ac:dyDescent="0.35">
      <c r="A174" t="s">
        <v>381</v>
      </c>
      <c r="B174" t="s">
        <v>1472</v>
      </c>
      <c r="C174" t="s">
        <v>957</v>
      </c>
      <c r="D174">
        <v>48</v>
      </c>
      <c r="E174" t="s">
        <v>48</v>
      </c>
      <c r="F174" t="s">
        <v>24</v>
      </c>
      <c r="G174" t="s">
        <v>20</v>
      </c>
      <c r="H174" s="2">
        <v>44342</v>
      </c>
      <c r="I174" t="s">
        <v>962</v>
      </c>
      <c r="J174" t="s">
        <v>1473</v>
      </c>
      <c r="K174" t="s">
        <v>1474</v>
      </c>
    </row>
    <row r="175" spans="1:11" x14ac:dyDescent="0.35">
      <c r="A175" t="s">
        <v>383</v>
      </c>
      <c r="B175" t="s">
        <v>1475</v>
      </c>
      <c r="C175" t="s">
        <v>966</v>
      </c>
      <c r="D175">
        <v>35</v>
      </c>
      <c r="E175" t="s">
        <v>41</v>
      </c>
      <c r="F175" t="s">
        <v>13</v>
      </c>
      <c r="G175" t="s">
        <v>54</v>
      </c>
      <c r="H175" s="2">
        <v>45783</v>
      </c>
      <c r="I175" t="s">
        <v>962</v>
      </c>
      <c r="J175" t="s">
        <v>1476</v>
      </c>
      <c r="K175" t="s">
        <v>1477</v>
      </c>
    </row>
    <row r="176" spans="1:11" x14ac:dyDescent="0.35">
      <c r="A176" t="s">
        <v>385</v>
      </c>
      <c r="B176" t="s">
        <v>1478</v>
      </c>
      <c r="C176" t="s">
        <v>957</v>
      </c>
      <c r="D176">
        <v>37</v>
      </c>
      <c r="E176" t="s">
        <v>77</v>
      </c>
      <c r="F176" t="s">
        <v>13</v>
      </c>
      <c r="G176" t="s">
        <v>25</v>
      </c>
      <c r="H176" s="2">
        <v>44796</v>
      </c>
      <c r="I176" t="s">
        <v>958</v>
      </c>
      <c r="J176" t="s">
        <v>1479</v>
      </c>
      <c r="K176" t="s">
        <v>1480</v>
      </c>
    </row>
    <row r="177" spans="1:11" x14ac:dyDescent="0.35">
      <c r="A177" t="s">
        <v>387</v>
      </c>
      <c r="B177" t="s">
        <v>1481</v>
      </c>
      <c r="C177" t="s">
        <v>957</v>
      </c>
      <c r="D177">
        <v>54</v>
      </c>
      <c r="E177" t="s">
        <v>77</v>
      </c>
      <c r="F177" t="s">
        <v>39</v>
      </c>
      <c r="G177" t="s">
        <v>14</v>
      </c>
      <c r="H177" s="2">
        <v>42599</v>
      </c>
      <c r="I177" t="s">
        <v>958</v>
      </c>
      <c r="J177" t="s">
        <v>1482</v>
      </c>
      <c r="K177" t="s">
        <v>1483</v>
      </c>
    </row>
    <row r="178" spans="1:11" x14ac:dyDescent="0.35">
      <c r="A178" t="s">
        <v>389</v>
      </c>
      <c r="B178" t="s">
        <v>1484</v>
      </c>
      <c r="C178" t="s">
        <v>966</v>
      </c>
      <c r="D178">
        <v>33</v>
      </c>
      <c r="E178" t="s">
        <v>36</v>
      </c>
      <c r="F178" t="s">
        <v>63</v>
      </c>
      <c r="G178" t="s">
        <v>25</v>
      </c>
      <c r="H178" s="2">
        <v>44678</v>
      </c>
      <c r="I178" t="s">
        <v>958</v>
      </c>
      <c r="J178" t="s">
        <v>1485</v>
      </c>
      <c r="K178" t="s">
        <v>1486</v>
      </c>
    </row>
    <row r="179" spans="1:11" x14ac:dyDescent="0.35">
      <c r="A179" t="s">
        <v>391</v>
      </c>
      <c r="B179" t="s">
        <v>1487</v>
      </c>
      <c r="C179" t="s">
        <v>966</v>
      </c>
      <c r="D179">
        <v>27</v>
      </c>
      <c r="E179" t="s">
        <v>21</v>
      </c>
      <c r="F179" t="s">
        <v>63</v>
      </c>
      <c r="G179" t="s">
        <v>25</v>
      </c>
      <c r="H179" s="2">
        <v>44300</v>
      </c>
      <c r="I179" t="s">
        <v>962</v>
      </c>
      <c r="J179" t="s">
        <v>1488</v>
      </c>
      <c r="K179" t="s">
        <v>1489</v>
      </c>
    </row>
    <row r="180" spans="1:11" x14ac:dyDescent="0.35">
      <c r="A180" t="s">
        <v>393</v>
      </c>
      <c r="B180" t="s">
        <v>1490</v>
      </c>
      <c r="C180" t="s">
        <v>957</v>
      </c>
      <c r="D180">
        <v>36</v>
      </c>
      <c r="E180" t="s">
        <v>26</v>
      </c>
      <c r="F180" t="s">
        <v>39</v>
      </c>
      <c r="G180" t="s">
        <v>14</v>
      </c>
      <c r="H180" s="2">
        <v>45624</v>
      </c>
      <c r="I180" t="s">
        <v>958</v>
      </c>
      <c r="J180" t="s">
        <v>1491</v>
      </c>
      <c r="K180" t="s">
        <v>1492</v>
      </c>
    </row>
    <row r="181" spans="1:11" x14ac:dyDescent="0.35">
      <c r="A181" t="s">
        <v>395</v>
      </c>
      <c r="B181" t="s">
        <v>1493</v>
      </c>
      <c r="C181" t="s">
        <v>966</v>
      </c>
      <c r="D181">
        <v>32</v>
      </c>
      <c r="E181" t="s">
        <v>48</v>
      </c>
      <c r="F181" t="s">
        <v>63</v>
      </c>
      <c r="G181" t="s">
        <v>25</v>
      </c>
      <c r="H181" s="2">
        <v>44789</v>
      </c>
      <c r="I181" t="s">
        <v>958</v>
      </c>
      <c r="J181" t="s">
        <v>1494</v>
      </c>
      <c r="K181" t="s">
        <v>1495</v>
      </c>
    </row>
    <row r="182" spans="1:11" x14ac:dyDescent="0.35">
      <c r="A182" t="s">
        <v>397</v>
      </c>
      <c r="B182" t="s">
        <v>1496</v>
      </c>
      <c r="C182" t="s">
        <v>957</v>
      </c>
      <c r="D182">
        <v>46</v>
      </c>
      <c r="E182" t="s">
        <v>26</v>
      </c>
      <c r="F182" t="s">
        <v>13</v>
      </c>
      <c r="G182" t="s">
        <v>20</v>
      </c>
      <c r="H182" s="2">
        <v>42437</v>
      </c>
      <c r="I182" t="s">
        <v>958</v>
      </c>
      <c r="J182" t="s">
        <v>1497</v>
      </c>
      <c r="K182" t="s">
        <v>1498</v>
      </c>
    </row>
    <row r="183" spans="1:11" x14ac:dyDescent="0.35">
      <c r="A183" t="s">
        <v>399</v>
      </c>
      <c r="B183" t="s">
        <v>1499</v>
      </c>
      <c r="C183" t="s">
        <v>966</v>
      </c>
      <c r="D183">
        <v>31</v>
      </c>
      <c r="E183" t="s">
        <v>41</v>
      </c>
      <c r="F183" t="s">
        <v>19</v>
      </c>
      <c r="G183" t="s">
        <v>14</v>
      </c>
      <c r="H183" s="2">
        <v>44319</v>
      </c>
      <c r="I183" t="s">
        <v>958</v>
      </c>
      <c r="J183" t="s">
        <v>1500</v>
      </c>
      <c r="K183" t="s">
        <v>1501</v>
      </c>
    </row>
    <row r="184" spans="1:11" x14ac:dyDescent="0.35">
      <c r="A184" t="s">
        <v>401</v>
      </c>
      <c r="B184" t="s">
        <v>1502</v>
      </c>
      <c r="C184" t="s">
        <v>957</v>
      </c>
      <c r="D184">
        <v>27</v>
      </c>
      <c r="E184" t="s">
        <v>88</v>
      </c>
      <c r="F184" t="s">
        <v>24</v>
      </c>
      <c r="G184" t="s">
        <v>14</v>
      </c>
      <c r="H184" s="2">
        <v>44841</v>
      </c>
      <c r="I184" t="s">
        <v>958</v>
      </c>
      <c r="J184" t="s">
        <v>1503</v>
      </c>
      <c r="K184" t="s">
        <v>1504</v>
      </c>
    </row>
    <row r="185" spans="1:11" x14ac:dyDescent="0.35">
      <c r="A185" t="s">
        <v>403</v>
      </c>
      <c r="B185" t="s">
        <v>1505</v>
      </c>
      <c r="C185" t="s">
        <v>966</v>
      </c>
      <c r="D185">
        <v>55</v>
      </c>
      <c r="E185" t="s">
        <v>26</v>
      </c>
      <c r="F185" t="s">
        <v>44</v>
      </c>
      <c r="G185" t="s">
        <v>20</v>
      </c>
      <c r="H185" s="2">
        <v>45227</v>
      </c>
      <c r="I185" t="s">
        <v>962</v>
      </c>
      <c r="J185" t="s">
        <v>1506</v>
      </c>
      <c r="K185" t="s">
        <v>1507</v>
      </c>
    </row>
    <row r="186" spans="1:11" x14ac:dyDescent="0.35">
      <c r="A186" t="s">
        <v>405</v>
      </c>
      <c r="B186" t="s">
        <v>1508</v>
      </c>
      <c r="C186" t="s">
        <v>957</v>
      </c>
      <c r="D186">
        <v>52</v>
      </c>
      <c r="E186" t="s">
        <v>26</v>
      </c>
      <c r="F186" t="s">
        <v>44</v>
      </c>
      <c r="G186" t="s">
        <v>25</v>
      </c>
      <c r="H186" s="2">
        <v>45665</v>
      </c>
      <c r="I186" t="s">
        <v>958</v>
      </c>
      <c r="J186" t="s">
        <v>1509</v>
      </c>
      <c r="K186" t="s">
        <v>1510</v>
      </c>
    </row>
    <row r="187" spans="1:11" x14ac:dyDescent="0.35">
      <c r="A187" t="s">
        <v>407</v>
      </c>
      <c r="B187" t="s">
        <v>1511</v>
      </c>
      <c r="C187" t="s">
        <v>966</v>
      </c>
      <c r="D187">
        <v>30</v>
      </c>
      <c r="E187" t="s">
        <v>72</v>
      </c>
      <c r="F187" t="s">
        <v>63</v>
      </c>
      <c r="G187" t="s">
        <v>14</v>
      </c>
      <c r="H187" s="2">
        <v>45888</v>
      </c>
      <c r="I187" t="s">
        <v>958</v>
      </c>
      <c r="J187" t="s">
        <v>1512</v>
      </c>
      <c r="K187" t="s">
        <v>1513</v>
      </c>
    </row>
    <row r="188" spans="1:11" x14ac:dyDescent="0.35">
      <c r="A188" t="s">
        <v>409</v>
      </c>
      <c r="B188" t="s">
        <v>1514</v>
      </c>
      <c r="C188" t="s">
        <v>966</v>
      </c>
      <c r="D188">
        <v>60</v>
      </c>
      <c r="E188" t="s">
        <v>36</v>
      </c>
      <c r="F188" t="s">
        <v>63</v>
      </c>
      <c r="G188" t="s">
        <v>40</v>
      </c>
      <c r="H188" s="2">
        <v>43144</v>
      </c>
      <c r="I188" t="s">
        <v>958</v>
      </c>
      <c r="J188" t="s">
        <v>1515</v>
      </c>
      <c r="K188" t="s">
        <v>1516</v>
      </c>
    </row>
    <row r="189" spans="1:11" x14ac:dyDescent="0.35">
      <c r="A189" t="s">
        <v>411</v>
      </c>
      <c r="B189" t="s">
        <v>1517</v>
      </c>
      <c r="C189" t="s">
        <v>957</v>
      </c>
      <c r="D189">
        <v>58</v>
      </c>
      <c r="E189" t="s">
        <v>36</v>
      </c>
      <c r="F189" t="s">
        <v>19</v>
      </c>
      <c r="G189" t="s">
        <v>25</v>
      </c>
      <c r="H189" s="2">
        <v>42399</v>
      </c>
      <c r="I189" t="s">
        <v>962</v>
      </c>
      <c r="J189" t="s">
        <v>1518</v>
      </c>
      <c r="K189" t="s">
        <v>1519</v>
      </c>
    </row>
    <row r="190" spans="1:11" x14ac:dyDescent="0.35">
      <c r="A190" t="s">
        <v>413</v>
      </c>
      <c r="B190" t="s">
        <v>1520</v>
      </c>
      <c r="C190" t="s">
        <v>957</v>
      </c>
      <c r="D190">
        <v>42</v>
      </c>
      <c r="E190" t="s">
        <v>26</v>
      </c>
      <c r="F190" t="s">
        <v>44</v>
      </c>
      <c r="G190" t="s">
        <v>20</v>
      </c>
      <c r="H190" s="2">
        <v>43003</v>
      </c>
      <c r="I190" t="s">
        <v>962</v>
      </c>
      <c r="J190" t="s">
        <v>1521</v>
      </c>
      <c r="K190" t="s">
        <v>1522</v>
      </c>
    </row>
    <row r="191" spans="1:11" x14ac:dyDescent="0.35">
      <c r="A191" t="s">
        <v>415</v>
      </c>
      <c r="B191" t="s">
        <v>1523</v>
      </c>
      <c r="C191" t="s">
        <v>966</v>
      </c>
      <c r="D191">
        <v>38</v>
      </c>
      <c r="E191" t="s">
        <v>36</v>
      </c>
      <c r="F191" t="s">
        <v>63</v>
      </c>
      <c r="G191" t="s">
        <v>25</v>
      </c>
      <c r="H191" s="2">
        <v>43867</v>
      </c>
      <c r="I191" t="s">
        <v>962</v>
      </c>
      <c r="J191" t="s">
        <v>1524</v>
      </c>
      <c r="K191" t="s">
        <v>1525</v>
      </c>
    </row>
    <row r="192" spans="1:11" x14ac:dyDescent="0.35">
      <c r="A192" t="s">
        <v>417</v>
      </c>
      <c r="B192" t="s">
        <v>1526</v>
      </c>
      <c r="C192" t="s">
        <v>966</v>
      </c>
      <c r="D192">
        <v>35</v>
      </c>
      <c r="E192" t="s">
        <v>26</v>
      </c>
      <c r="F192" t="s">
        <v>39</v>
      </c>
      <c r="G192" t="s">
        <v>25</v>
      </c>
      <c r="H192" s="2">
        <v>44346</v>
      </c>
      <c r="I192" t="s">
        <v>958</v>
      </c>
      <c r="J192" t="s">
        <v>1527</v>
      </c>
      <c r="K192" t="s">
        <v>1528</v>
      </c>
    </row>
    <row r="193" spans="1:11" x14ac:dyDescent="0.35">
      <c r="A193" t="s">
        <v>419</v>
      </c>
      <c r="B193" t="s">
        <v>1529</v>
      </c>
      <c r="C193" t="s">
        <v>966</v>
      </c>
      <c r="D193">
        <v>57</v>
      </c>
      <c r="E193" t="s">
        <v>36</v>
      </c>
      <c r="F193" t="s">
        <v>63</v>
      </c>
      <c r="G193" t="s">
        <v>40</v>
      </c>
      <c r="H193" s="2">
        <v>43626</v>
      </c>
      <c r="I193" t="s">
        <v>962</v>
      </c>
      <c r="J193" t="s">
        <v>1530</v>
      </c>
      <c r="K193" t="s">
        <v>1531</v>
      </c>
    </row>
    <row r="194" spans="1:11" x14ac:dyDescent="0.35">
      <c r="A194" t="s">
        <v>421</v>
      </c>
      <c r="B194" t="s">
        <v>1532</v>
      </c>
      <c r="C194" t="s">
        <v>966</v>
      </c>
      <c r="D194">
        <v>30</v>
      </c>
      <c r="E194" t="s">
        <v>15</v>
      </c>
      <c r="F194" t="s">
        <v>24</v>
      </c>
      <c r="G194" t="s">
        <v>14</v>
      </c>
      <c r="H194" s="2">
        <v>44199</v>
      </c>
      <c r="I194" t="s">
        <v>958</v>
      </c>
      <c r="J194" t="s">
        <v>1533</v>
      </c>
      <c r="K194" t="s">
        <v>1534</v>
      </c>
    </row>
    <row r="195" spans="1:11" x14ac:dyDescent="0.35">
      <c r="A195" t="s">
        <v>423</v>
      </c>
      <c r="B195" t="s">
        <v>1535</v>
      </c>
      <c r="C195" t="s">
        <v>957</v>
      </c>
      <c r="D195">
        <v>35</v>
      </c>
      <c r="E195" t="s">
        <v>36</v>
      </c>
      <c r="F195" t="s">
        <v>63</v>
      </c>
      <c r="G195" t="s">
        <v>40</v>
      </c>
      <c r="H195" s="2">
        <v>45650</v>
      </c>
      <c r="I195" t="s">
        <v>958</v>
      </c>
      <c r="J195" t="s">
        <v>1536</v>
      </c>
      <c r="K195" t="s">
        <v>1537</v>
      </c>
    </row>
    <row r="196" spans="1:11" x14ac:dyDescent="0.35">
      <c r="A196" t="s">
        <v>425</v>
      </c>
      <c r="B196" t="s">
        <v>1538</v>
      </c>
      <c r="C196" t="s">
        <v>957</v>
      </c>
      <c r="D196">
        <v>46</v>
      </c>
      <c r="E196" t="s">
        <v>77</v>
      </c>
      <c r="F196" t="s">
        <v>30</v>
      </c>
      <c r="G196" t="s">
        <v>20</v>
      </c>
      <c r="H196" s="2">
        <v>45742</v>
      </c>
      <c r="I196" t="s">
        <v>958</v>
      </c>
      <c r="J196" t="s">
        <v>1539</v>
      </c>
      <c r="K196" t="s">
        <v>1540</v>
      </c>
    </row>
    <row r="197" spans="1:11" x14ac:dyDescent="0.35">
      <c r="A197" t="s">
        <v>427</v>
      </c>
      <c r="B197" t="s">
        <v>1541</v>
      </c>
      <c r="C197" t="s">
        <v>966</v>
      </c>
      <c r="D197">
        <v>60</v>
      </c>
      <c r="E197" t="s">
        <v>26</v>
      </c>
      <c r="F197" t="s">
        <v>19</v>
      </c>
      <c r="G197" t="s">
        <v>20</v>
      </c>
      <c r="H197" s="2">
        <v>43447</v>
      </c>
      <c r="I197" t="s">
        <v>958</v>
      </c>
      <c r="J197" t="s">
        <v>1542</v>
      </c>
      <c r="K197" t="s">
        <v>1543</v>
      </c>
    </row>
    <row r="198" spans="1:11" x14ac:dyDescent="0.35">
      <c r="A198" t="s">
        <v>429</v>
      </c>
      <c r="B198" t="s">
        <v>1544</v>
      </c>
      <c r="C198" t="s">
        <v>966</v>
      </c>
      <c r="D198">
        <v>27</v>
      </c>
      <c r="E198" t="s">
        <v>41</v>
      </c>
      <c r="F198" t="s">
        <v>19</v>
      </c>
      <c r="G198" t="s">
        <v>54</v>
      </c>
      <c r="H198" s="2">
        <v>43944</v>
      </c>
      <c r="I198" t="s">
        <v>962</v>
      </c>
      <c r="J198" t="s">
        <v>1545</v>
      </c>
      <c r="K198" t="s">
        <v>1546</v>
      </c>
    </row>
    <row r="199" spans="1:11" x14ac:dyDescent="0.35">
      <c r="A199" t="s">
        <v>431</v>
      </c>
      <c r="B199" t="s">
        <v>1547</v>
      </c>
      <c r="C199" t="s">
        <v>966</v>
      </c>
      <c r="D199">
        <v>60</v>
      </c>
      <c r="E199" t="s">
        <v>77</v>
      </c>
      <c r="F199" t="s">
        <v>30</v>
      </c>
      <c r="G199" t="s">
        <v>14</v>
      </c>
      <c r="H199" s="2">
        <v>44992</v>
      </c>
      <c r="I199" t="s">
        <v>962</v>
      </c>
      <c r="J199" t="s">
        <v>1548</v>
      </c>
      <c r="K199" t="s">
        <v>1549</v>
      </c>
    </row>
    <row r="200" spans="1:11" x14ac:dyDescent="0.35">
      <c r="A200" t="s">
        <v>433</v>
      </c>
      <c r="B200" t="s">
        <v>1550</v>
      </c>
      <c r="C200" t="s">
        <v>966</v>
      </c>
      <c r="D200">
        <v>22</v>
      </c>
      <c r="E200" t="s">
        <v>21</v>
      </c>
      <c r="F200" t="s">
        <v>30</v>
      </c>
      <c r="G200" t="s">
        <v>54</v>
      </c>
      <c r="H200" s="2">
        <v>45662</v>
      </c>
      <c r="I200" t="s">
        <v>962</v>
      </c>
      <c r="J200" t="s">
        <v>1551</v>
      </c>
      <c r="K200" t="s">
        <v>1552</v>
      </c>
    </row>
    <row r="201" spans="1:11" x14ac:dyDescent="0.35">
      <c r="A201" t="s">
        <v>435</v>
      </c>
      <c r="B201" t="s">
        <v>1553</v>
      </c>
      <c r="C201" t="s">
        <v>957</v>
      </c>
      <c r="D201">
        <v>24</v>
      </c>
      <c r="E201" t="s">
        <v>41</v>
      </c>
      <c r="F201" t="s">
        <v>39</v>
      </c>
      <c r="G201" t="s">
        <v>25</v>
      </c>
      <c r="H201" s="2">
        <v>45230</v>
      </c>
      <c r="I201" t="s">
        <v>958</v>
      </c>
      <c r="J201" t="s">
        <v>1554</v>
      </c>
      <c r="K201" t="s">
        <v>1555</v>
      </c>
    </row>
    <row r="202" spans="1:11" x14ac:dyDescent="0.35">
      <c r="A202" t="s">
        <v>437</v>
      </c>
      <c r="B202" t="s">
        <v>1556</v>
      </c>
      <c r="C202" t="s">
        <v>957</v>
      </c>
      <c r="D202">
        <v>24</v>
      </c>
      <c r="E202" t="s">
        <v>48</v>
      </c>
      <c r="F202" t="s">
        <v>13</v>
      </c>
      <c r="G202" t="s">
        <v>54</v>
      </c>
      <c r="H202" s="2">
        <v>42371</v>
      </c>
      <c r="I202" t="s">
        <v>958</v>
      </c>
      <c r="J202" t="s">
        <v>1557</v>
      </c>
      <c r="K202" t="s">
        <v>1558</v>
      </c>
    </row>
    <row r="203" spans="1:11" x14ac:dyDescent="0.35">
      <c r="A203" t="s">
        <v>439</v>
      </c>
      <c r="B203" t="s">
        <v>1559</v>
      </c>
      <c r="C203" t="s">
        <v>957</v>
      </c>
      <c r="D203">
        <v>39</v>
      </c>
      <c r="E203" t="s">
        <v>26</v>
      </c>
      <c r="F203" t="s">
        <v>44</v>
      </c>
      <c r="G203" t="s">
        <v>54</v>
      </c>
      <c r="H203" s="2">
        <v>43988</v>
      </c>
      <c r="I203" t="s">
        <v>962</v>
      </c>
      <c r="J203" t="s">
        <v>1560</v>
      </c>
      <c r="K203" t="s">
        <v>1561</v>
      </c>
    </row>
    <row r="204" spans="1:11" x14ac:dyDescent="0.35">
      <c r="A204" t="s">
        <v>441</v>
      </c>
      <c r="B204" t="s">
        <v>1562</v>
      </c>
      <c r="C204" t="s">
        <v>957</v>
      </c>
      <c r="D204">
        <v>55</v>
      </c>
      <c r="E204" t="s">
        <v>77</v>
      </c>
      <c r="F204" t="s">
        <v>24</v>
      </c>
      <c r="G204" t="s">
        <v>54</v>
      </c>
      <c r="H204" s="2">
        <v>42651</v>
      </c>
      <c r="I204" t="s">
        <v>958</v>
      </c>
      <c r="J204" t="s">
        <v>1563</v>
      </c>
      <c r="K204" t="s">
        <v>1564</v>
      </c>
    </row>
    <row r="205" spans="1:11" x14ac:dyDescent="0.35">
      <c r="A205" t="s">
        <v>443</v>
      </c>
      <c r="B205" t="s">
        <v>1565</v>
      </c>
      <c r="C205" t="s">
        <v>966</v>
      </c>
      <c r="D205">
        <v>57</v>
      </c>
      <c r="E205" t="s">
        <v>41</v>
      </c>
      <c r="F205" t="s">
        <v>44</v>
      </c>
      <c r="G205" t="s">
        <v>40</v>
      </c>
      <c r="H205" s="2">
        <v>45710</v>
      </c>
      <c r="I205" t="s">
        <v>962</v>
      </c>
      <c r="J205" t="s">
        <v>1566</v>
      </c>
      <c r="K205" t="s">
        <v>1567</v>
      </c>
    </row>
    <row r="206" spans="1:11" x14ac:dyDescent="0.35">
      <c r="A206" t="s">
        <v>445</v>
      </c>
      <c r="B206" t="s">
        <v>1568</v>
      </c>
      <c r="C206" t="s">
        <v>957</v>
      </c>
      <c r="D206">
        <v>60</v>
      </c>
      <c r="E206" t="s">
        <v>21</v>
      </c>
      <c r="F206" t="s">
        <v>63</v>
      </c>
      <c r="G206" t="s">
        <v>35</v>
      </c>
      <c r="H206" s="2">
        <v>44724</v>
      </c>
      <c r="I206" t="s">
        <v>958</v>
      </c>
      <c r="J206" t="s">
        <v>1569</v>
      </c>
      <c r="K206" t="s">
        <v>1570</v>
      </c>
    </row>
    <row r="207" spans="1:11" x14ac:dyDescent="0.35">
      <c r="A207" t="s">
        <v>447</v>
      </c>
      <c r="B207" t="s">
        <v>1571</v>
      </c>
      <c r="C207" t="s">
        <v>966</v>
      </c>
      <c r="D207">
        <v>33</v>
      </c>
      <c r="E207" t="s">
        <v>26</v>
      </c>
      <c r="F207" t="s">
        <v>39</v>
      </c>
      <c r="G207" t="s">
        <v>20</v>
      </c>
      <c r="H207" s="2">
        <v>44658</v>
      </c>
      <c r="I207" t="s">
        <v>958</v>
      </c>
      <c r="J207" t="s">
        <v>1572</v>
      </c>
      <c r="K207" t="s">
        <v>1573</v>
      </c>
    </row>
    <row r="208" spans="1:11" x14ac:dyDescent="0.35">
      <c r="A208" t="s">
        <v>449</v>
      </c>
      <c r="B208" t="s">
        <v>1574</v>
      </c>
      <c r="C208" t="s">
        <v>966</v>
      </c>
      <c r="D208">
        <v>43</v>
      </c>
      <c r="E208" t="s">
        <v>15</v>
      </c>
      <c r="F208" t="s">
        <v>30</v>
      </c>
      <c r="G208" t="s">
        <v>25</v>
      </c>
      <c r="H208" s="2">
        <v>43425</v>
      </c>
      <c r="I208" t="s">
        <v>962</v>
      </c>
      <c r="J208" t="s">
        <v>1575</v>
      </c>
      <c r="K208" t="s">
        <v>1576</v>
      </c>
    </row>
    <row r="209" spans="1:11" x14ac:dyDescent="0.35">
      <c r="A209" t="s">
        <v>451</v>
      </c>
      <c r="B209" t="s">
        <v>1577</v>
      </c>
      <c r="C209" t="s">
        <v>966</v>
      </c>
      <c r="D209">
        <v>46</v>
      </c>
      <c r="E209" t="s">
        <v>41</v>
      </c>
      <c r="F209" t="s">
        <v>63</v>
      </c>
      <c r="G209" t="s">
        <v>14</v>
      </c>
      <c r="H209" s="2">
        <v>45472</v>
      </c>
      <c r="I209" t="s">
        <v>962</v>
      </c>
      <c r="J209" t="s">
        <v>1578</v>
      </c>
      <c r="K209" t="s">
        <v>1579</v>
      </c>
    </row>
    <row r="210" spans="1:11" x14ac:dyDescent="0.35">
      <c r="A210" t="s">
        <v>453</v>
      </c>
      <c r="B210" t="s">
        <v>1580</v>
      </c>
      <c r="C210" t="s">
        <v>966</v>
      </c>
      <c r="D210">
        <v>51</v>
      </c>
      <c r="E210" t="s">
        <v>41</v>
      </c>
      <c r="F210" t="s">
        <v>30</v>
      </c>
      <c r="G210" t="s">
        <v>20</v>
      </c>
      <c r="H210" s="2">
        <v>44344</v>
      </c>
      <c r="I210" t="s">
        <v>958</v>
      </c>
      <c r="J210" t="s">
        <v>1581</v>
      </c>
      <c r="K210" t="s">
        <v>1582</v>
      </c>
    </row>
    <row r="211" spans="1:11" x14ac:dyDescent="0.35">
      <c r="A211" t="s">
        <v>455</v>
      </c>
      <c r="B211" t="s">
        <v>1583</v>
      </c>
      <c r="C211" t="s">
        <v>966</v>
      </c>
      <c r="D211">
        <v>26</v>
      </c>
      <c r="E211" t="s">
        <v>26</v>
      </c>
      <c r="F211" t="s">
        <v>24</v>
      </c>
      <c r="G211" t="s">
        <v>14</v>
      </c>
      <c r="H211" s="2">
        <v>45142</v>
      </c>
      <c r="I211" t="s">
        <v>958</v>
      </c>
      <c r="J211" t="s">
        <v>1584</v>
      </c>
      <c r="K211" t="s">
        <v>1585</v>
      </c>
    </row>
    <row r="212" spans="1:11" x14ac:dyDescent="0.35">
      <c r="A212" t="s">
        <v>457</v>
      </c>
      <c r="B212" t="s">
        <v>1586</v>
      </c>
      <c r="C212" t="s">
        <v>966</v>
      </c>
      <c r="D212">
        <v>48</v>
      </c>
      <c r="E212" t="s">
        <v>48</v>
      </c>
      <c r="F212" t="s">
        <v>39</v>
      </c>
      <c r="G212" t="s">
        <v>25</v>
      </c>
      <c r="H212" s="2">
        <v>42409</v>
      </c>
      <c r="I212" t="s">
        <v>962</v>
      </c>
      <c r="J212" t="s">
        <v>1587</v>
      </c>
      <c r="K212" t="s">
        <v>1588</v>
      </c>
    </row>
    <row r="213" spans="1:11" x14ac:dyDescent="0.35">
      <c r="A213" t="s">
        <v>459</v>
      </c>
      <c r="B213" t="s">
        <v>1589</v>
      </c>
      <c r="C213" t="s">
        <v>957</v>
      </c>
      <c r="D213">
        <v>40</v>
      </c>
      <c r="E213" t="s">
        <v>15</v>
      </c>
      <c r="F213" t="s">
        <v>63</v>
      </c>
      <c r="G213" t="s">
        <v>54</v>
      </c>
      <c r="H213" s="2">
        <v>45437</v>
      </c>
      <c r="I213" t="s">
        <v>962</v>
      </c>
      <c r="J213" t="s">
        <v>1590</v>
      </c>
      <c r="K213" t="s">
        <v>1591</v>
      </c>
    </row>
    <row r="214" spans="1:11" x14ac:dyDescent="0.35">
      <c r="A214" t="s">
        <v>461</v>
      </c>
      <c r="B214" t="s">
        <v>1592</v>
      </c>
      <c r="C214" t="s">
        <v>957</v>
      </c>
      <c r="D214">
        <v>57</v>
      </c>
      <c r="E214" t="s">
        <v>51</v>
      </c>
      <c r="F214" t="s">
        <v>63</v>
      </c>
      <c r="G214" t="s">
        <v>40</v>
      </c>
      <c r="H214" s="2">
        <v>43818</v>
      </c>
      <c r="I214" t="s">
        <v>958</v>
      </c>
      <c r="J214" t="s">
        <v>1593</v>
      </c>
      <c r="K214" t="s">
        <v>1594</v>
      </c>
    </row>
    <row r="215" spans="1:11" x14ac:dyDescent="0.35">
      <c r="A215" t="s">
        <v>463</v>
      </c>
      <c r="B215" t="s">
        <v>1595</v>
      </c>
      <c r="C215" t="s">
        <v>966</v>
      </c>
      <c r="D215">
        <v>33</v>
      </c>
      <c r="E215" t="s">
        <v>21</v>
      </c>
      <c r="F215" t="s">
        <v>63</v>
      </c>
      <c r="G215" t="s">
        <v>54</v>
      </c>
      <c r="H215" s="2">
        <v>43187</v>
      </c>
      <c r="I215" t="s">
        <v>958</v>
      </c>
      <c r="J215" t="s">
        <v>1596</v>
      </c>
      <c r="K215" t="s">
        <v>1597</v>
      </c>
    </row>
    <row r="216" spans="1:11" x14ac:dyDescent="0.35">
      <c r="A216" t="s">
        <v>465</v>
      </c>
      <c r="B216" t="s">
        <v>1598</v>
      </c>
      <c r="C216" t="s">
        <v>957</v>
      </c>
      <c r="D216">
        <v>38</v>
      </c>
      <c r="E216" t="s">
        <v>21</v>
      </c>
      <c r="F216" t="s">
        <v>13</v>
      </c>
      <c r="G216" t="s">
        <v>14</v>
      </c>
      <c r="H216" s="2">
        <v>45789</v>
      </c>
      <c r="I216" t="s">
        <v>958</v>
      </c>
      <c r="J216" t="s">
        <v>1599</v>
      </c>
      <c r="K216" t="s">
        <v>1600</v>
      </c>
    </row>
    <row r="217" spans="1:11" x14ac:dyDescent="0.35">
      <c r="A217" t="s">
        <v>467</v>
      </c>
      <c r="B217" t="s">
        <v>1601</v>
      </c>
      <c r="C217" t="s">
        <v>966</v>
      </c>
      <c r="D217">
        <v>31</v>
      </c>
      <c r="E217" t="s">
        <v>15</v>
      </c>
      <c r="F217" t="s">
        <v>19</v>
      </c>
      <c r="G217" t="s">
        <v>20</v>
      </c>
      <c r="H217" s="2">
        <v>45138</v>
      </c>
      <c r="I217" t="s">
        <v>962</v>
      </c>
      <c r="J217" t="s">
        <v>1602</v>
      </c>
      <c r="K217" t="s">
        <v>1603</v>
      </c>
    </row>
    <row r="218" spans="1:11" x14ac:dyDescent="0.35">
      <c r="A218" t="s">
        <v>469</v>
      </c>
      <c r="B218" t="s">
        <v>1604</v>
      </c>
      <c r="C218" t="s">
        <v>957</v>
      </c>
      <c r="D218">
        <v>56</v>
      </c>
      <c r="E218" t="s">
        <v>77</v>
      </c>
      <c r="F218" t="s">
        <v>30</v>
      </c>
      <c r="G218" t="s">
        <v>35</v>
      </c>
      <c r="H218" s="2">
        <v>43890</v>
      </c>
      <c r="I218" t="s">
        <v>962</v>
      </c>
      <c r="J218" t="s">
        <v>1605</v>
      </c>
      <c r="K218" t="s">
        <v>1606</v>
      </c>
    </row>
    <row r="219" spans="1:11" x14ac:dyDescent="0.35">
      <c r="A219" t="s">
        <v>471</v>
      </c>
      <c r="B219" t="s">
        <v>1607</v>
      </c>
      <c r="C219" t="s">
        <v>966</v>
      </c>
      <c r="D219">
        <v>58</v>
      </c>
      <c r="E219" t="s">
        <v>72</v>
      </c>
      <c r="F219" t="s">
        <v>63</v>
      </c>
      <c r="G219" t="s">
        <v>14</v>
      </c>
      <c r="H219" s="2">
        <v>45500</v>
      </c>
      <c r="I219" t="s">
        <v>962</v>
      </c>
      <c r="J219" t="s">
        <v>1608</v>
      </c>
      <c r="K219" t="s">
        <v>1609</v>
      </c>
    </row>
    <row r="220" spans="1:11" x14ac:dyDescent="0.35">
      <c r="A220" t="s">
        <v>473</v>
      </c>
      <c r="B220" t="s">
        <v>1610</v>
      </c>
      <c r="C220" t="s">
        <v>966</v>
      </c>
      <c r="D220">
        <v>36</v>
      </c>
      <c r="E220" t="s">
        <v>41</v>
      </c>
      <c r="F220" t="s">
        <v>13</v>
      </c>
      <c r="G220" t="s">
        <v>20</v>
      </c>
      <c r="H220" s="2">
        <v>44523</v>
      </c>
      <c r="I220" t="s">
        <v>962</v>
      </c>
      <c r="J220" t="s">
        <v>1611</v>
      </c>
      <c r="K220" t="s">
        <v>1612</v>
      </c>
    </row>
    <row r="221" spans="1:11" x14ac:dyDescent="0.35">
      <c r="A221" t="s">
        <v>475</v>
      </c>
      <c r="B221" t="s">
        <v>1613</v>
      </c>
      <c r="C221" t="s">
        <v>966</v>
      </c>
      <c r="D221">
        <v>56</v>
      </c>
      <c r="E221" t="s">
        <v>77</v>
      </c>
      <c r="F221" t="s">
        <v>39</v>
      </c>
      <c r="G221" t="s">
        <v>40</v>
      </c>
      <c r="H221" s="2">
        <v>43982</v>
      </c>
      <c r="I221" t="s">
        <v>958</v>
      </c>
      <c r="J221" t="s">
        <v>1614</v>
      </c>
      <c r="K221" t="s">
        <v>1615</v>
      </c>
    </row>
    <row r="222" spans="1:11" x14ac:dyDescent="0.35">
      <c r="A222" t="s">
        <v>477</v>
      </c>
      <c r="B222" t="s">
        <v>1616</v>
      </c>
      <c r="C222" t="s">
        <v>966</v>
      </c>
      <c r="D222">
        <v>29</v>
      </c>
      <c r="E222" t="s">
        <v>36</v>
      </c>
      <c r="F222" t="s">
        <v>63</v>
      </c>
      <c r="G222" t="s">
        <v>40</v>
      </c>
      <c r="H222" s="2">
        <v>45193</v>
      </c>
      <c r="I222" t="s">
        <v>958</v>
      </c>
      <c r="J222" t="s">
        <v>1617</v>
      </c>
      <c r="K222" t="s">
        <v>1618</v>
      </c>
    </row>
    <row r="223" spans="1:11" x14ac:dyDescent="0.35">
      <c r="A223" t="s">
        <v>479</v>
      </c>
      <c r="B223" t="s">
        <v>1619</v>
      </c>
      <c r="C223" t="s">
        <v>957</v>
      </c>
      <c r="D223">
        <v>35</v>
      </c>
      <c r="E223" t="s">
        <v>26</v>
      </c>
      <c r="F223" t="s">
        <v>39</v>
      </c>
      <c r="G223" t="s">
        <v>20</v>
      </c>
      <c r="H223" s="2">
        <v>43702</v>
      </c>
      <c r="I223" t="s">
        <v>962</v>
      </c>
      <c r="J223" t="s">
        <v>1620</v>
      </c>
      <c r="K223" t="s">
        <v>1621</v>
      </c>
    </row>
    <row r="224" spans="1:11" x14ac:dyDescent="0.35">
      <c r="A224" t="s">
        <v>481</v>
      </c>
      <c r="B224" t="s">
        <v>1622</v>
      </c>
      <c r="C224" t="s">
        <v>966</v>
      </c>
      <c r="D224">
        <v>33</v>
      </c>
      <c r="E224" t="s">
        <v>36</v>
      </c>
      <c r="F224" t="s">
        <v>44</v>
      </c>
      <c r="G224" t="s">
        <v>14</v>
      </c>
      <c r="H224" s="2">
        <v>43473</v>
      </c>
      <c r="I224" t="s">
        <v>962</v>
      </c>
      <c r="J224" t="s">
        <v>1623</v>
      </c>
      <c r="K224" t="s">
        <v>1624</v>
      </c>
    </row>
    <row r="225" spans="1:11" x14ac:dyDescent="0.35">
      <c r="A225" t="s">
        <v>482</v>
      </c>
      <c r="B225" t="s">
        <v>1625</v>
      </c>
      <c r="C225" t="s">
        <v>966</v>
      </c>
      <c r="D225">
        <v>45</v>
      </c>
      <c r="E225" t="s">
        <v>51</v>
      </c>
      <c r="F225" t="s">
        <v>63</v>
      </c>
      <c r="G225" t="s">
        <v>35</v>
      </c>
      <c r="H225" s="2">
        <v>43232</v>
      </c>
      <c r="I225" t="s">
        <v>962</v>
      </c>
      <c r="J225" t="s">
        <v>1626</v>
      </c>
      <c r="K225" t="s">
        <v>1627</v>
      </c>
    </row>
    <row r="226" spans="1:11" x14ac:dyDescent="0.35">
      <c r="A226" t="s">
        <v>484</v>
      </c>
      <c r="B226" t="s">
        <v>1628</v>
      </c>
      <c r="C226" t="s">
        <v>966</v>
      </c>
      <c r="D226">
        <v>45</v>
      </c>
      <c r="E226" t="s">
        <v>26</v>
      </c>
      <c r="F226" t="s">
        <v>44</v>
      </c>
      <c r="G226" t="s">
        <v>35</v>
      </c>
      <c r="H226" s="2">
        <v>43106</v>
      </c>
      <c r="I226" t="s">
        <v>958</v>
      </c>
      <c r="J226" t="s">
        <v>1629</v>
      </c>
      <c r="K226" t="s">
        <v>1630</v>
      </c>
    </row>
    <row r="227" spans="1:11" x14ac:dyDescent="0.35">
      <c r="A227" t="s">
        <v>486</v>
      </c>
      <c r="B227" t="s">
        <v>1631</v>
      </c>
      <c r="C227" t="s">
        <v>957</v>
      </c>
      <c r="D227">
        <v>28</v>
      </c>
      <c r="E227" t="s">
        <v>72</v>
      </c>
      <c r="F227" t="s">
        <v>30</v>
      </c>
      <c r="G227" t="s">
        <v>14</v>
      </c>
      <c r="H227" s="2">
        <v>44644</v>
      </c>
      <c r="I227" t="s">
        <v>962</v>
      </c>
      <c r="J227" t="s">
        <v>1632</v>
      </c>
      <c r="K227" t="s">
        <v>1633</v>
      </c>
    </row>
    <row r="228" spans="1:11" x14ac:dyDescent="0.35">
      <c r="A228" t="s">
        <v>488</v>
      </c>
      <c r="B228" t="s">
        <v>1634</v>
      </c>
      <c r="C228" t="s">
        <v>966</v>
      </c>
      <c r="D228">
        <v>34</v>
      </c>
      <c r="E228" t="s">
        <v>51</v>
      </c>
      <c r="F228" t="s">
        <v>30</v>
      </c>
      <c r="G228" t="s">
        <v>54</v>
      </c>
      <c r="H228" s="2">
        <v>42982</v>
      </c>
      <c r="I228" t="s">
        <v>962</v>
      </c>
      <c r="J228" t="s">
        <v>1635</v>
      </c>
      <c r="K228" t="s">
        <v>1636</v>
      </c>
    </row>
    <row r="229" spans="1:11" x14ac:dyDescent="0.35">
      <c r="A229" t="s">
        <v>490</v>
      </c>
      <c r="B229" t="s">
        <v>1637</v>
      </c>
      <c r="C229" t="s">
        <v>957</v>
      </c>
      <c r="D229">
        <v>33</v>
      </c>
      <c r="E229" t="s">
        <v>26</v>
      </c>
      <c r="F229" t="s">
        <v>63</v>
      </c>
      <c r="G229" t="s">
        <v>14</v>
      </c>
      <c r="H229" s="2">
        <v>45849</v>
      </c>
      <c r="I229" t="s">
        <v>962</v>
      </c>
      <c r="J229" t="s">
        <v>1638</v>
      </c>
      <c r="K229" t="s">
        <v>1639</v>
      </c>
    </row>
    <row r="230" spans="1:11" x14ac:dyDescent="0.35">
      <c r="A230" t="s">
        <v>492</v>
      </c>
      <c r="B230" t="s">
        <v>1640</v>
      </c>
      <c r="C230" t="s">
        <v>966</v>
      </c>
      <c r="D230">
        <v>41</v>
      </c>
      <c r="E230" t="s">
        <v>72</v>
      </c>
      <c r="F230" t="s">
        <v>39</v>
      </c>
      <c r="G230" t="s">
        <v>25</v>
      </c>
      <c r="H230" s="2">
        <v>42565</v>
      </c>
      <c r="I230" t="s">
        <v>962</v>
      </c>
      <c r="J230" t="s">
        <v>1641</v>
      </c>
      <c r="K230" t="s">
        <v>1642</v>
      </c>
    </row>
    <row r="231" spans="1:11" x14ac:dyDescent="0.35">
      <c r="A231" t="s">
        <v>494</v>
      </c>
      <c r="B231" t="s">
        <v>1643</v>
      </c>
      <c r="C231" t="s">
        <v>957</v>
      </c>
      <c r="D231">
        <v>32</v>
      </c>
      <c r="E231" t="s">
        <v>77</v>
      </c>
      <c r="F231" t="s">
        <v>13</v>
      </c>
      <c r="G231" t="s">
        <v>40</v>
      </c>
      <c r="H231" s="2">
        <v>44321</v>
      </c>
      <c r="I231" t="s">
        <v>958</v>
      </c>
      <c r="J231" t="s">
        <v>1644</v>
      </c>
      <c r="K231" t="s">
        <v>1645</v>
      </c>
    </row>
    <row r="232" spans="1:11" x14ac:dyDescent="0.35">
      <c r="A232" t="s">
        <v>496</v>
      </c>
      <c r="B232" t="s">
        <v>1646</v>
      </c>
      <c r="C232" t="s">
        <v>966</v>
      </c>
      <c r="D232">
        <v>43</v>
      </c>
      <c r="E232" t="s">
        <v>72</v>
      </c>
      <c r="F232" t="s">
        <v>44</v>
      </c>
      <c r="G232" t="s">
        <v>40</v>
      </c>
      <c r="H232" s="2">
        <v>44665</v>
      </c>
      <c r="I232" t="s">
        <v>962</v>
      </c>
      <c r="J232" t="s">
        <v>1647</v>
      </c>
      <c r="K232" t="s">
        <v>1648</v>
      </c>
    </row>
    <row r="233" spans="1:11" x14ac:dyDescent="0.35">
      <c r="A233" t="s">
        <v>498</v>
      </c>
      <c r="B233" t="s">
        <v>1649</v>
      </c>
      <c r="C233" t="s">
        <v>966</v>
      </c>
      <c r="D233">
        <v>23</v>
      </c>
      <c r="E233" t="s">
        <v>26</v>
      </c>
      <c r="F233" t="s">
        <v>19</v>
      </c>
      <c r="G233" t="s">
        <v>40</v>
      </c>
      <c r="H233" s="2">
        <v>45922</v>
      </c>
      <c r="I233" t="s">
        <v>958</v>
      </c>
      <c r="J233" t="s">
        <v>1650</v>
      </c>
      <c r="K233" t="s">
        <v>1651</v>
      </c>
    </row>
    <row r="234" spans="1:11" x14ac:dyDescent="0.35">
      <c r="A234" t="s">
        <v>500</v>
      </c>
      <c r="B234" t="s">
        <v>1652</v>
      </c>
      <c r="C234" t="s">
        <v>957</v>
      </c>
      <c r="D234">
        <v>40</v>
      </c>
      <c r="E234" t="s">
        <v>48</v>
      </c>
      <c r="F234" t="s">
        <v>44</v>
      </c>
      <c r="G234" t="s">
        <v>54</v>
      </c>
      <c r="H234" s="2">
        <v>44460</v>
      </c>
      <c r="I234" t="s">
        <v>962</v>
      </c>
      <c r="J234" t="s">
        <v>1653</v>
      </c>
      <c r="K234" t="s">
        <v>1654</v>
      </c>
    </row>
    <row r="235" spans="1:11" x14ac:dyDescent="0.35">
      <c r="A235" t="s">
        <v>502</v>
      </c>
      <c r="B235" t="s">
        <v>1655</v>
      </c>
      <c r="C235" t="s">
        <v>966</v>
      </c>
      <c r="D235">
        <v>27</v>
      </c>
      <c r="E235" t="s">
        <v>26</v>
      </c>
      <c r="F235" t="s">
        <v>39</v>
      </c>
      <c r="G235" t="s">
        <v>40</v>
      </c>
      <c r="H235" s="2">
        <v>44269</v>
      </c>
      <c r="I235" t="s">
        <v>958</v>
      </c>
      <c r="J235" t="s">
        <v>1656</v>
      </c>
      <c r="K235" t="s">
        <v>1657</v>
      </c>
    </row>
    <row r="236" spans="1:11" x14ac:dyDescent="0.35">
      <c r="A236" t="s">
        <v>504</v>
      </c>
      <c r="B236" t="s">
        <v>1658</v>
      </c>
      <c r="C236" t="s">
        <v>957</v>
      </c>
      <c r="D236">
        <v>43</v>
      </c>
      <c r="E236" t="s">
        <v>26</v>
      </c>
      <c r="F236" t="s">
        <v>24</v>
      </c>
      <c r="G236" t="s">
        <v>25</v>
      </c>
      <c r="H236" s="2">
        <v>44711</v>
      </c>
      <c r="I236" t="s">
        <v>962</v>
      </c>
      <c r="J236" t="s">
        <v>1659</v>
      </c>
      <c r="K236" t="s">
        <v>1660</v>
      </c>
    </row>
    <row r="237" spans="1:11" x14ac:dyDescent="0.35">
      <c r="A237" t="s">
        <v>506</v>
      </c>
      <c r="B237" t="s">
        <v>1661</v>
      </c>
      <c r="C237" t="s">
        <v>957</v>
      </c>
      <c r="D237">
        <v>27</v>
      </c>
      <c r="E237" t="s">
        <v>51</v>
      </c>
      <c r="F237" t="s">
        <v>44</v>
      </c>
      <c r="G237" t="s">
        <v>14</v>
      </c>
      <c r="H237" s="2">
        <v>43654</v>
      </c>
      <c r="I237" t="s">
        <v>962</v>
      </c>
      <c r="J237" t="s">
        <v>1662</v>
      </c>
      <c r="K237" t="s">
        <v>1663</v>
      </c>
    </row>
    <row r="238" spans="1:11" x14ac:dyDescent="0.35">
      <c r="A238" t="s">
        <v>508</v>
      </c>
      <c r="B238" t="s">
        <v>1664</v>
      </c>
      <c r="C238" t="s">
        <v>966</v>
      </c>
      <c r="D238">
        <v>39</v>
      </c>
      <c r="E238" t="s">
        <v>41</v>
      </c>
      <c r="F238" t="s">
        <v>24</v>
      </c>
      <c r="G238" t="s">
        <v>35</v>
      </c>
      <c r="H238" s="2">
        <v>43481</v>
      </c>
      <c r="I238" t="s">
        <v>962</v>
      </c>
      <c r="J238" t="s">
        <v>1665</v>
      </c>
      <c r="K238" t="s">
        <v>1666</v>
      </c>
    </row>
    <row r="239" spans="1:11" x14ac:dyDescent="0.35">
      <c r="A239" t="s">
        <v>510</v>
      </c>
      <c r="B239" t="s">
        <v>1667</v>
      </c>
      <c r="C239" t="s">
        <v>966</v>
      </c>
      <c r="D239">
        <v>59</v>
      </c>
      <c r="E239" t="s">
        <v>36</v>
      </c>
      <c r="F239" t="s">
        <v>63</v>
      </c>
      <c r="G239" t="s">
        <v>35</v>
      </c>
      <c r="H239" s="2">
        <v>43055</v>
      </c>
      <c r="I239" t="s">
        <v>958</v>
      </c>
      <c r="J239" t="s">
        <v>1668</v>
      </c>
      <c r="K239" t="s">
        <v>1669</v>
      </c>
    </row>
    <row r="240" spans="1:11" x14ac:dyDescent="0.35">
      <c r="A240" t="s">
        <v>512</v>
      </c>
      <c r="B240" t="s">
        <v>921</v>
      </c>
      <c r="C240" t="s">
        <v>957</v>
      </c>
      <c r="D240">
        <v>30</v>
      </c>
      <c r="E240" t="s">
        <v>21</v>
      </c>
      <c r="F240" t="s">
        <v>24</v>
      </c>
      <c r="G240" t="s">
        <v>40</v>
      </c>
      <c r="H240" s="2">
        <v>45416</v>
      </c>
      <c r="I240" t="s">
        <v>958</v>
      </c>
      <c r="J240" t="s">
        <v>1670</v>
      </c>
      <c r="K240" t="s">
        <v>1671</v>
      </c>
    </row>
    <row r="241" spans="1:11" x14ac:dyDescent="0.35">
      <c r="A241" t="s">
        <v>514</v>
      </c>
      <c r="B241" t="s">
        <v>1672</v>
      </c>
      <c r="C241" t="s">
        <v>957</v>
      </c>
      <c r="D241">
        <v>32</v>
      </c>
      <c r="E241" t="s">
        <v>26</v>
      </c>
      <c r="F241" t="s">
        <v>19</v>
      </c>
      <c r="G241" t="s">
        <v>20</v>
      </c>
      <c r="H241" s="2">
        <v>42631</v>
      </c>
      <c r="I241" t="s">
        <v>962</v>
      </c>
      <c r="J241" t="s">
        <v>1673</v>
      </c>
      <c r="K241" t="s">
        <v>1674</v>
      </c>
    </row>
    <row r="242" spans="1:11" x14ac:dyDescent="0.35">
      <c r="A242" t="s">
        <v>516</v>
      </c>
      <c r="B242" t="s">
        <v>1675</v>
      </c>
      <c r="C242" t="s">
        <v>957</v>
      </c>
      <c r="D242">
        <v>23</v>
      </c>
      <c r="E242" t="s">
        <v>26</v>
      </c>
      <c r="F242" t="s">
        <v>39</v>
      </c>
      <c r="G242" t="s">
        <v>20</v>
      </c>
      <c r="H242" s="2">
        <v>42795</v>
      </c>
      <c r="I242" t="s">
        <v>962</v>
      </c>
      <c r="J242" t="s">
        <v>1676</v>
      </c>
      <c r="K242" t="s">
        <v>1677</v>
      </c>
    </row>
    <row r="243" spans="1:11" x14ac:dyDescent="0.35">
      <c r="A243" t="s">
        <v>518</v>
      </c>
      <c r="B243" t="s">
        <v>1678</v>
      </c>
      <c r="C243" t="s">
        <v>957</v>
      </c>
      <c r="D243">
        <v>27</v>
      </c>
      <c r="E243" t="s">
        <v>26</v>
      </c>
      <c r="F243" t="s">
        <v>44</v>
      </c>
      <c r="G243" t="s">
        <v>14</v>
      </c>
      <c r="H243" s="2">
        <v>43383</v>
      </c>
      <c r="I243" t="s">
        <v>962</v>
      </c>
      <c r="J243" t="s">
        <v>1679</v>
      </c>
      <c r="K243" t="s">
        <v>1680</v>
      </c>
    </row>
    <row r="244" spans="1:11" x14ac:dyDescent="0.35">
      <c r="A244" t="s">
        <v>520</v>
      </c>
      <c r="B244" t="s">
        <v>1681</v>
      </c>
      <c r="C244" t="s">
        <v>966</v>
      </c>
      <c r="D244">
        <v>30</v>
      </c>
      <c r="E244" t="s">
        <v>51</v>
      </c>
      <c r="F244" t="s">
        <v>39</v>
      </c>
      <c r="G244" t="s">
        <v>14</v>
      </c>
      <c r="H244" s="2">
        <v>42487</v>
      </c>
      <c r="I244" t="s">
        <v>958</v>
      </c>
      <c r="J244" t="s">
        <v>1682</v>
      </c>
      <c r="K244" t="s">
        <v>1683</v>
      </c>
    </row>
    <row r="245" spans="1:11" x14ac:dyDescent="0.35">
      <c r="A245" t="s">
        <v>522</v>
      </c>
      <c r="B245" t="s">
        <v>1684</v>
      </c>
      <c r="C245" t="s">
        <v>966</v>
      </c>
      <c r="D245">
        <v>42</v>
      </c>
      <c r="E245" t="s">
        <v>88</v>
      </c>
      <c r="F245" t="s">
        <v>63</v>
      </c>
      <c r="G245" t="s">
        <v>25</v>
      </c>
      <c r="H245" s="2">
        <v>43485</v>
      </c>
      <c r="I245" t="s">
        <v>962</v>
      </c>
      <c r="J245" t="s">
        <v>1685</v>
      </c>
      <c r="K245" t="s">
        <v>1686</v>
      </c>
    </row>
    <row r="246" spans="1:11" x14ac:dyDescent="0.35">
      <c r="A246" t="s">
        <v>524</v>
      </c>
      <c r="B246" t="s">
        <v>1687</v>
      </c>
      <c r="C246" t="s">
        <v>957</v>
      </c>
      <c r="D246">
        <v>56</v>
      </c>
      <c r="E246" t="s">
        <v>51</v>
      </c>
      <c r="F246" t="s">
        <v>39</v>
      </c>
      <c r="G246" t="s">
        <v>25</v>
      </c>
      <c r="H246" s="2">
        <v>44240</v>
      </c>
      <c r="I246" t="s">
        <v>962</v>
      </c>
      <c r="J246" t="s">
        <v>1688</v>
      </c>
      <c r="K246" t="s">
        <v>1689</v>
      </c>
    </row>
    <row r="247" spans="1:11" x14ac:dyDescent="0.35">
      <c r="A247" t="s">
        <v>526</v>
      </c>
      <c r="B247" t="s">
        <v>1690</v>
      </c>
      <c r="C247" t="s">
        <v>966</v>
      </c>
      <c r="D247">
        <v>44</v>
      </c>
      <c r="E247" t="s">
        <v>88</v>
      </c>
      <c r="F247" t="s">
        <v>39</v>
      </c>
      <c r="G247" t="s">
        <v>14</v>
      </c>
      <c r="H247" s="2">
        <v>45666</v>
      </c>
      <c r="I247" t="s">
        <v>958</v>
      </c>
      <c r="J247" t="s">
        <v>1691</v>
      </c>
      <c r="K247" t="s">
        <v>1692</v>
      </c>
    </row>
    <row r="248" spans="1:11" x14ac:dyDescent="0.35">
      <c r="A248" t="s">
        <v>528</v>
      </c>
      <c r="B248" t="s">
        <v>1693</v>
      </c>
      <c r="C248" t="s">
        <v>966</v>
      </c>
      <c r="D248">
        <v>41</v>
      </c>
      <c r="E248" t="s">
        <v>48</v>
      </c>
      <c r="F248" t="s">
        <v>63</v>
      </c>
      <c r="G248" t="s">
        <v>40</v>
      </c>
      <c r="H248" s="2">
        <v>43007</v>
      </c>
      <c r="I248" t="s">
        <v>962</v>
      </c>
      <c r="J248" t="s">
        <v>1694</v>
      </c>
      <c r="K248" t="s">
        <v>1695</v>
      </c>
    </row>
    <row r="249" spans="1:11" x14ac:dyDescent="0.35">
      <c r="A249" t="s">
        <v>530</v>
      </c>
      <c r="B249" t="s">
        <v>1696</v>
      </c>
      <c r="C249" t="s">
        <v>957</v>
      </c>
      <c r="D249">
        <v>22</v>
      </c>
      <c r="E249" t="s">
        <v>36</v>
      </c>
      <c r="F249" t="s">
        <v>30</v>
      </c>
      <c r="G249" t="s">
        <v>14</v>
      </c>
      <c r="H249" s="2">
        <v>43778</v>
      </c>
      <c r="I249" t="s">
        <v>962</v>
      </c>
      <c r="J249" t="s">
        <v>1697</v>
      </c>
      <c r="K249" t="s">
        <v>1698</v>
      </c>
    </row>
    <row r="250" spans="1:11" x14ac:dyDescent="0.35">
      <c r="A250" t="s">
        <v>532</v>
      </c>
      <c r="B250" t="s">
        <v>1699</v>
      </c>
      <c r="C250" t="s">
        <v>966</v>
      </c>
      <c r="D250">
        <v>56</v>
      </c>
      <c r="E250" t="s">
        <v>77</v>
      </c>
      <c r="F250" t="s">
        <v>24</v>
      </c>
      <c r="G250" t="s">
        <v>35</v>
      </c>
      <c r="H250" s="2">
        <v>45464</v>
      </c>
      <c r="I250" t="s">
        <v>962</v>
      </c>
      <c r="J250" t="s">
        <v>1700</v>
      </c>
      <c r="K250" t="s">
        <v>1701</v>
      </c>
    </row>
    <row r="251" spans="1:11" x14ac:dyDescent="0.35">
      <c r="A251" t="s">
        <v>534</v>
      </c>
      <c r="B251" t="s">
        <v>1702</v>
      </c>
      <c r="C251" t="s">
        <v>966</v>
      </c>
      <c r="D251">
        <v>22</v>
      </c>
      <c r="E251" t="s">
        <v>26</v>
      </c>
      <c r="F251" t="s">
        <v>30</v>
      </c>
      <c r="G251" t="s">
        <v>40</v>
      </c>
      <c r="H251" s="2">
        <v>44815</v>
      </c>
      <c r="I251" t="s">
        <v>958</v>
      </c>
      <c r="J251" t="s">
        <v>1703</v>
      </c>
      <c r="K251" t="s">
        <v>1704</v>
      </c>
    </row>
    <row r="252" spans="1:11" x14ac:dyDescent="0.35">
      <c r="A252" t="s">
        <v>536</v>
      </c>
      <c r="B252" t="s">
        <v>1705</v>
      </c>
      <c r="C252" t="s">
        <v>957</v>
      </c>
      <c r="D252">
        <v>57</v>
      </c>
      <c r="E252" t="s">
        <v>48</v>
      </c>
      <c r="F252" t="s">
        <v>13</v>
      </c>
      <c r="G252" t="s">
        <v>35</v>
      </c>
      <c r="H252" s="2">
        <v>45983</v>
      </c>
      <c r="I252" t="s">
        <v>962</v>
      </c>
      <c r="J252" t="s">
        <v>1706</v>
      </c>
      <c r="K252" t="s">
        <v>1707</v>
      </c>
    </row>
    <row r="253" spans="1:11" x14ac:dyDescent="0.35">
      <c r="A253" t="s">
        <v>538</v>
      </c>
      <c r="B253" t="s">
        <v>1708</v>
      </c>
      <c r="C253" t="s">
        <v>966</v>
      </c>
      <c r="D253">
        <v>37</v>
      </c>
      <c r="E253" t="s">
        <v>51</v>
      </c>
      <c r="F253" t="s">
        <v>24</v>
      </c>
      <c r="G253" t="s">
        <v>54</v>
      </c>
      <c r="H253" s="2">
        <v>45015</v>
      </c>
      <c r="I253" t="s">
        <v>962</v>
      </c>
      <c r="J253" t="s">
        <v>1709</v>
      </c>
      <c r="K253" t="s">
        <v>1710</v>
      </c>
    </row>
    <row r="254" spans="1:11" x14ac:dyDescent="0.35">
      <c r="A254" t="s">
        <v>540</v>
      </c>
      <c r="B254" t="s">
        <v>1711</v>
      </c>
      <c r="C254" t="s">
        <v>966</v>
      </c>
      <c r="D254">
        <v>36</v>
      </c>
      <c r="E254" t="s">
        <v>72</v>
      </c>
      <c r="F254" t="s">
        <v>19</v>
      </c>
      <c r="G254" t="s">
        <v>35</v>
      </c>
      <c r="H254" s="2">
        <v>44931</v>
      </c>
      <c r="I254" t="s">
        <v>958</v>
      </c>
      <c r="J254" t="s">
        <v>1712</v>
      </c>
      <c r="K254" t="s">
        <v>1713</v>
      </c>
    </row>
    <row r="255" spans="1:11" x14ac:dyDescent="0.35">
      <c r="A255" t="s">
        <v>542</v>
      </c>
      <c r="B255" t="s">
        <v>1714</v>
      </c>
      <c r="C255" t="s">
        <v>966</v>
      </c>
      <c r="D255">
        <v>40</v>
      </c>
      <c r="E255" t="s">
        <v>36</v>
      </c>
      <c r="F255" t="s">
        <v>30</v>
      </c>
      <c r="G255" t="s">
        <v>40</v>
      </c>
      <c r="H255" s="2">
        <v>44061</v>
      </c>
      <c r="I255" t="s">
        <v>958</v>
      </c>
      <c r="J255" t="s">
        <v>1715</v>
      </c>
      <c r="K255" t="s">
        <v>1716</v>
      </c>
    </row>
    <row r="256" spans="1:11" x14ac:dyDescent="0.35">
      <c r="A256" t="s">
        <v>544</v>
      </c>
      <c r="B256" t="s">
        <v>1717</v>
      </c>
      <c r="C256" t="s">
        <v>957</v>
      </c>
      <c r="D256">
        <v>33</v>
      </c>
      <c r="E256" t="s">
        <v>51</v>
      </c>
      <c r="F256" t="s">
        <v>44</v>
      </c>
      <c r="G256" t="s">
        <v>20</v>
      </c>
      <c r="H256" s="2">
        <v>44978</v>
      </c>
      <c r="I256" t="s">
        <v>962</v>
      </c>
      <c r="J256" t="s">
        <v>1718</v>
      </c>
      <c r="K256" t="s">
        <v>1719</v>
      </c>
    </row>
    <row r="257" spans="1:11" x14ac:dyDescent="0.35">
      <c r="A257" t="s">
        <v>546</v>
      </c>
      <c r="B257" t="s">
        <v>1720</v>
      </c>
      <c r="C257" t="s">
        <v>966</v>
      </c>
      <c r="D257">
        <v>39</v>
      </c>
      <c r="E257" t="s">
        <v>41</v>
      </c>
      <c r="F257" t="s">
        <v>63</v>
      </c>
      <c r="G257" t="s">
        <v>14</v>
      </c>
      <c r="H257" s="2">
        <v>43683</v>
      </c>
      <c r="I257" t="s">
        <v>958</v>
      </c>
      <c r="J257" t="s">
        <v>1721</v>
      </c>
      <c r="K257" t="s">
        <v>1722</v>
      </c>
    </row>
    <row r="258" spans="1:11" x14ac:dyDescent="0.35">
      <c r="A258" t="s">
        <v>548</v>
      </c>
      <c r="B258" t="s">
        <v>1723</v>
      </c>
      <c r="C258" t="s">
        <v>957</v>
      </c>
      <c r="D258">
        <v>25</v>
      </c>
      <c r="E258" t="s">
        <v>36</v>
      </c>
      <c r="F258" t="s">
        <v>19</v>
      </c>
      <c r="G258" t="s">
        <v>14</v>
      </c>
      <c r="H258" s="2">
        <v>42788</v>
      </c>
      <c r="I258" t="s">
        <v>962</v>
      </c>
      <c r="J258" t="s">
        <v>1724</v>
      </c>
      <c r="K258" t="s">
        <v>1725</v>
      </c>
    </row>
    <row r="259" spans="1:11" x14ac:dyDescent="0.35">
      <c r="A259" t="s">
        <v>550</v>
      </c>
      <c r="B259" t="s">
        <v>1726</v>
      </c>
      <c r="C259" t="s">
        <v>966</v>
      </c>
      <c r="D259">
        <v>30</v>
      </c>
      <c r="E259" t="s">
        <v>88</v>
      </c>
      <c r="F259" t="s">
        <v>24</v>
      </c>
      <c r="G259" t="s">
        <v>20</v>
      </c>
      <c r="H259" s="2">
        <v>43323</v>
      </c>
      <c r="I259" t="s">
        <v>958</v>
      </c>
      <c r="J259" t="s">
        <v>1727</v>
      </c>
      <c r="K259" t="s">
        <v>1728</v>
      </c>
    </row>
    <row r="260" spans="1:11" x14ac:dyDescent="0.35">
      <c r="A260" t="s">
        <v>552</v>
      </c>
      <c r="B260" t="s">
        <v>1729</v>
      </c>
      <c r="C260" t="s">
        <v>957</v>
      </c>
      <c r="D260">
        <v>22</v>
      </c>
      <c r="E260" t="s">
        <v>88</v>
      </c>
      <c r="F260" t="s">
        <v>13</v>
      </c>
      <c r="G260" t="s">
        <v>40</v>
      </c>
      <c r="H260" s="2">
        <v>44091</v>
      </c>
      <c r="I260" t="s">
        <v>962</v>
      </c>
      <c r="J260" t="s">
        <v>1730</v>
      </c>
      <c r="K260" t="s">
        <v>1731</v>
      </c>
    </row>
    <row r="261" spans="1:11" x14ac:dyDescent="0.35">
      <c r="A261" t="s">
        <v>554</v>
      </c>
      <c r="B261" t="s">
        <v>1732</v>
      </c>
      <c r="C261" t="s">
        <v>966</v>
      </c>
      <c r="D261">
        <v>45</v>
      </c>
      <c r="E261" t="s">
        <v>88</v>
      </c>
      <c r="F261" t="s">
        <v>24</v>
      </c>
      <c r="G261" t="s">
        <v>20</v>
      </c>
      <c r="H261" s="2">
        <v>43722</v>
      </c>
      <c r="I261" t="s">
        <v>958</v>
      </c>
      <c r="J261" t="s">
        <v>1733</v>
      </c>
      <c r="K261" t="s">
        <v>1734</v>
      </c>
    </row>
    <row r="262" spans="1:11" x14ac:dyDescent="0.35">
      <c r="A262" t="s">
        <v>556</v>
      </c>
      <c r="B262" t="s">
        <v>1735</v>
      </c>
      <c r="C262" t="s">
        <v>957</v>
      </c>
      <c r="D262">
        <v>25</v>
      </c>
      <c r="E262" t="s">
        <v>72</v>
      </c>
      <c r="F262" t="s">
        <v>30</v>
      </c>
      <c r="G262" t="s">
        <v>35</v>
      </c>
      <c r="H262" s="2">
        <v>42662</v>
      </c>
      <c r="I262" t="s">
        <v>962</v>
      </c>
      <c r="J262" t="s">
        <v>1736</v>
      </c>
      <c r="K262" t="s">
        <v>1737</v>
      </c>
    </row>
    <row r="263" spans="1:11" x14ac:dyDescent="0.35">
      <c r="A263" t="s">
        <v>558</v>
      </c>
      <c r="B263" t="s">
        <v>1738</v>
      </c>
      <c r="C263" t="s">
        <v>957</v>
      </c>
      <c r="D263">
        <v>34</v>
      </c>
      <c r="E263" t="s">
        <v>72</v>
      </c>
      <c r="F263" t="s">
        <v>30</v>
      </c>
      <c r="G263" t="s">
        <v>35</v>
      </c>
      <c r="H263" s="2">
        <v>45762</v>
      </c>
      <c r="I263" t="s">
        <v>958</v>
      </c>
      <c r="J263" t="s">
        <v>1739</v>
      </c>
      <c r="K263" t="s">
        <v>1740</v>
      </c>
    </row>
    <row r="264" spans="1:11" x14ac:dyDescent="0.35">
      <c r="A264" t="s">
        <v>560</v>
      </c>
      <c r="B264" t="s">
        <v>1741</v>
      </c>
      <c r="C264" t="s">
        <v>957</v>
      </c>
      <c r="D264">
        <v>37</v>
      </c>
      <c r="E264" t="s">
        <v>26</v>
      </c>
      <c r="F264" t="s">
        <v>30</v>
      </c>
      <c r="G264" t="s">
        <v>35</v>
      </c>
      <c r="H264" s="2">
        <v>43382</v>
      </c>
      <c r="I264" t="s">
        <v>958</v>
      </c>
      <c r="J264" t="s">
        <v>1742</v>
      </c>
      <c r="K264" t="s">
        <v>1743</v>
      </c>
    </row>
    <row r="265" spans="1:11" x14ac:dyDescent="0.35">
      <c r="A265" t="s">
        <v>562</v>
      </c>
      <c r="B265" t="s">
        <v>1744</v>
      </c>
      <c r="C265" t="s">
        <v>957</v>
      </c>
      <c r="D265">
        <v>51</v>
      </c>
      <c r="E265" t="s">
        <v>15</v>
      </c>
      <c r="F265" t="s">
        <v>39</v>
      </c>
      <c r="G265" t="s">
        <v>54</v>
      </c>
      <c r="H265" s="2">
        <v>43223</v>
      </c>
      <c r="I265" t="s">
        <v>962</v>
      </c>
      <c r="J265" t="s">
        <v>1745</v>
      </c>
      <c r="K265" t="s">
        <v>1746</v>
      </c>
    </row>
    <row r="266" spans="1:11" x14ac:dyDescent="0.35">
      <c r="A266" t="s">
        <v>564</v>
      </c>
      <c r="B266" t="s">
        <v>1747</v>
      </c>
      <c r="C266" t="s">
        <v>966</v>
      </c>
      <c r="D266">
        <v>41</v>
      </c>
      <c r="E266" t="s">
        <v>48</v>
      </c>
      <c r="F266" t="s">
        <v>13</v>
      </c>
      <c r="G266" t="s">
        <v>54</v>
      </c>
      <c r="H266" s="2">
        <v>45352</v>
      </c>
      <c r="I266" t="s">
        <v>958</v>
      </c>
      <c r="J266" t="s">
        <v>1748</v>
      </c>
      <c r="K266" t="s">
        <v>1749</v>
      </c>
    </row>
    <row r="267" spans="1:11" x14ac:dyDescent="0.35">
      <c r="A267" t="s">
        <v>566</v>
      </c>
      <c r="B267" t="s">
        <v>1750</v>
      </c>
      <c r="C267" t="s">
        <v>957</v>
      </c>
      <c r="D267">
        <v>38</v>
      </c>
      <c r="E267" t="s">
        <v>88</v>
      </c>
      <c r="F267" t="s">
        <v>24</v>
      </c>
      <c r="G267" t="s">
        <v>40</v>
      </c>
      <c r="H267" s="2">
        <v>43183</v>
      </c>
      <c r="I267" t="s">
        <v>962</v>
      </c>
      <c r="J267" t="s">
        <v>1751</v>
      </c>
      <c r="K267" t="s">
        <v>1752</v>
      </c>
    </row>
    <row r="268" spans="1:11" x14ac:dyDescent="0.35">
      <c r="A268" t="s">
        <v>568</v>
      </c>
      <c r="B268" t="s">
        <v>1753</v>
      </c>
      <c r="C268" t="s">
        <v>957</v>
      </c>
      <c r="D268">
        <v>35</v>
      </c>
      <c r="E268" t="s">
        <v>15</v>
      </c>
      <c r="F268" t="s">
        <v>13</v>
      </c>
      <c r="G268" t="s">
        <v>54</v>
      </c>
      <c r="H268" s="2">
        <v>44148</v>
      </c>
      <c r="I268" t="s">
        <v>962</v>
      </c>
      <c r="J268" t="s">
        <v>1754</v>
      </c>
      <c r="K268" t="s">
        <v>1755</v>
      </c>
    </row>
    <row r="269" spans="1:11" x14ac:dyDescent="0.35">
      <c r="A269" t="s">
        <v>570</v>
      </c>
      <c r="B269" t="s">
        <v>1756</v>
      </c>
      <c r="C269" t="s">
        <v>957</v>
      </c>
      <c r="D269">
        <v>32</v>
      </c>
      <c r="E269" t="s">
        <v>72</v>
      </c>
      <c r="F269" t="s">
        <v>39</v>
      </c>
      <c r="G269" t="s">
        <v>20</v>
      </c>
      <c r="H269" s="2">
        <v>43991</v>
      </c>
      <c r="I269" t="s">
        <v>958</v>
      </c>
      <c r="J269" t="s">
        <v>1757</v>
      </c>
      <c r="K269" t="s">
        <v>1758</v>
      </c>
    </row>
    <row r="270" spans="1:11" x14ac:dyDescent="0.35">
      <c r="A270" t="s">
        <v>572</v>
      </c>
      <c r="B270" t="s">
        <v>1759</v>
      </c>
      <c r="C270" t="s">
        <v>957</v>
      </c>
      <c r="D270">
        <v>24</v>
      </c>
      <c r="E270" t="s">
        <v>41</v>
      </c>
      <c r="F270" t="s">
        <v>30</v>
      </c>
      <c r="G270" t="s">
        <v>54</v>
      </c>
      <c r="H270" s="2">
        <v>44316</v>
      </c>
      <c r="I270" t="s">
        <v>958</v>
      </c>
      <c r="J270" t="s">
        <v>1760</v>
      </c>
      <c r="K270" t="s">
        <v>1761</v>
      </c>
    </row>
    <row r="271" spans="1:11" x14ac:dyDescent="0.35">
      <c r="A271" t="s">
        <v>574</v>
      </c>
      <c r="B271" t="s">
        <v>1762</v>
      </c>
      <c r="C271" t="s">
        <v>966</v>
      </c>
      <c r="D271">
        <v>27</v>
      </c>
      <c r="E271" t="s">
        <v>21</v>
      </c>
      <c r="F271" t="s">
        <v>13</v>
      </c>
      <c r="G271" t="s">
        <v>35</v>
      </c>
      <c r="H271" s="2">
        <v>42744</v>
      </c>
      <c r="I271" t="s">
        <v>962</v>
      </c>
      <c r="J271" t="s">
        <v>1763</v>
      </c>
      <c r="K271" t="s">
        <v>1764</v>
      </c>
    </row>
    <row r="272" spans="1:11" x14ac:dyDescent="0.35">
      <c r="A272" t="s">
        <v>576</v>
      </c>
      <c r="B272" t="s">
        <v>1765</v>
      </c>
      <c r="C272" t="s">
        <v>957</v>
      </c>
      <c r="D272">
        <v>25</v>
      </c>
      <c r="E272" t="s">
        <v>48</v>
      </c>
      <c r="F272" t="s">
        <v>24</v>
      </c>
      <c r="G272" t="s">
        <v>14</v>
      </c>
      <c r="H272" s="2">
        <v>45242</v>
      </c>
      <c r="I272" t="s">
        <v>958</v>
      </c>
      <c r="J272" t="s">
        <v>1766</v>
      </c>
      <c r="K272" t="s">
        <v>1767</v>
      </c>
    </row>
    <row r="273" spans="1:11" x14ac:dyDescent="0.35">
      <c r="A273" t="s">
        <v>578</v>
      </c>
      <c r="B273" t="s">
        <v>1768</v>
      </c>
      <c r="C273" t="s">
        <v>957</v>
      </c>
      <c r="D273">
        <v>53</v>
      </c>
      <c r="E273" t="s">
        <v>21</v>
      </c>
      <c r="F273" t="s">
        <v>44</v>
      </c>
      <c r="G273" t="s">
        <v>25</v>
      </c>
      <c r="H273" s="2">
        <v>45599</v>
      </c>
      <c r="I273" t="s">
        <v>962</v>
      </c>
      <c r="J273" t="s">
        <v>1769</v>
      </c>
      <c r="K273" t="s">
        <v>1770</v>
      </c>
    </row>
    <row r="274" spans="1:11" x14ac:dyDescent="0.35">
      <c r="A274" t="s">
        <v>580</v>
      </c>
      <c r="B274" t="s">
        <v>1771</v>
      </c>
      <c r="C274" t="s">
        <v>966</v>
      </c>
      <c r="D274">
        <v>34</v>
      </c>
      <c r="E274" t="s">
        <v>77</v>
      </c>
      <c r="F274" t="s">
        <v>24</v>
      </c>
      <c r="G274" t="s">
        <v>35</v>
      </c>
      <c r="H274" s="2">
        <v>43837</v>
      </c>
      <c r="I274" t="s">
        <v>958</v>
      </c>
      <c r="J274" t="s">
        <v>1772</v>
      </c>
      <c r="K274" t="s">
        <v>1773</v>
      </c>
    </row>
    <row r="275" spans="1:11" x14ac:dyDescent="0.35">
      <c r="A275" t="s">
        <v>582</v>
      </c>
      <c r="B275" t="s">
        <v>1774</v>
      </c>
      <c r="C275" t="s">
        <v>966</v>
      </c>
      <c r="D275">
        <v>24</v>
      </c>
      <c r="E275" t="s">
        <v>88</v>
      </c>
      <c r="F275" t="s">
        <v>24</v>
      </c>
      <c r="G275" t="s">
        <v>35</v>
      </c>
      <c r="H275" s="2">
        <v>44659</v>
      </c>
      <c r="I275" t="s">
        <v>962</v>
      </c>
      <c r="J275" t="s">
        <v>1775</v>
      </c>
      <c r="K275" t="s">
        <v>1776</v>
      </c>
    </row>
    <row r="276" spans="1:11" x14ac:dyDescent="0.35">
      <c r="A276" t="s">
        <v>584</v>
      </c>
      <c r="B276" t="s">
        <v>745</v>
      </c>
      <c r="C276" t="s">
        <v>966</v>
      </c>
      <c r="D276">
        <v>34</v>
      </c>
      <c r="E276" t="s">
        <v>41</v>
      </c>
      <c r="F276" t="s">
        <v>13</v>
      </c>
      <c r="G276" t="s">
        <v>25</v>
      </c>
      <c r="H276" s="2">
        <v>43794</v>
      </c>
      <c r="I276" t="s">
        <v>962</v>
      </c>
      <c r="J276" t="s">
        <v>1777</v>
      </c>
      <c r="K276" t="s">
        <v>1778</v>
      </c>
    </row>
    <row r="277" spans="1:11" x14ac:dyDescent="0.35">
      <c r="A277" t="s">
        <v>586</v>
      </c>
      <c r="B277" t="s">
        <v>1779</v>
      </c>
      <c r="C277" t="s">
        <v>966</v>
      </c>
      <c r="D277">
        <v>39</v>
      </c>
      <c r="E277" t="s">
        <v>41</v>
      </c>
      <c r="F277" t="s">
        <v>30</v>
      </c>
      <c r="G277" t="s">
        <v>25</v>
      </c>
      <c r="H277" s="2">
        <v>43026</v>
      </c>
      <c r="I277" t="s">
        <v>958</v>
      </c>
      <c r="J277" t="s">
        <v>1780</v>
      </c>
      <c r="K277" t="s">
        <v>1781</v>
      </c>
    </row>
    <row r="278" spans="1:11" x14ac:dyDescent="0.35">
      <c r="A278" t="s">
        <v>588</v>
      </c>
      <c r="B278" t="s">
        <v>1782</v>
      </c>
      <c r="C278" t="s">
        <v>957</v>
      </c>
      <c r="D278">
        <v>50</v>
      </c>
      <c r="E278" t="s">
        <v>72</v>
      </c>
      <c r="F278" t="s">
        <v>30</v>
      </c>
      <c r="G278" t="s">
        <v>40</v>
      </c>
      <c r="H278" s="2">
        <v>44588</v>
      </c>
      <c r="I278" t="s">
        <v>962</v>
      </c>
      <c r="J278" t="s">
        <v>1783</v>
      </c>
      <c r="K278" t="s">
        <v>1784</v>
      </c>
    </row>
    <row r="279" spans="1:11" x14ac:dyDescent="0.35">
      <c r="A279" t="s">
        <v>590</v>
      </c>
      <c r="B279" t="s">
        <v>1785</v>
      </c>
      <c r="C279" t="s">
        <v>966</v>
      </c>
      <c r="D279">
        <v>22</v>
      </c>
      <c r="E279" t="s">
        <v>36</v>
      </c>
      <c r="F279" t="s">
        <v>63</v>
      </c>
      <c r="G279" t="s">
        <v>54</v>
      </c>
      <c r="H279" s="2">
        <v>43129</v>
      </c>
      <c r="I279" t="s">
        <v>958</v>
      </c>
      <c r="J279" t="s">
        <v>1786</v>
      </c>
      <c r="K279" t="s">
        <v>1787</v>
      </c>
    </row>
    <row r="280" spans="1:11" x14ac:dyDescent="0.35">
      <c r="A280" t="s">
        <v>592</v>
      </c>
      <c r="B280" t="s">
        <v>1788</v>
      </c>
      <c r="C280" t="s">
        <v>966</v>
      </c>
      <c r="D280">
        <v>37</v>
      </c>
      <c r="E280" t="s">
        <v>48</v>
      </c>
      <c r="F280" t="s">
        <v>24</v>
      </c>
      <c r="G280" t="s">
        <v>20</v>
      </c>
      <c r="H280" s="2">
        <v>45066</v>
      </c>
      <c r="I280" t="s">
        <v>962</v>
      </c>
      <c r="J280" t="s">
        <v>1789</v>
      </c>
      <c r="K280" t="s">
        <v>1790</v>
      </c>
    </row>
    <row r="281" spans="1:11" x14ac:dyDescent="0.35">
      <c r="A281" t="s">
        <v>594</v>
      </c>
      <c r="B281" t="s">
        <v>1791</v>
      </c>
      <c r="C281" t="s">
        <v>957</v>
      </c>
      <c r="D281">
        <v>55</v>
      </c>
      <c r="E281" t="s">
        <v>88</v>
      </c>
      <c r="F281" t="s">
        <v>30</v>
      </c>
      <c r="G281" t="s">
        <v>25</v>
      </c>
      <c r="H281" s="2">
        <v>43001</v>
      </c>
      <c r="I281" t="s">
        <v>962</v>
      </c>
      <c r="J281" t="s">
        <v>1792</v>
      </c>
      <c r="K281" t="s">
        <v>1793</v>
      </c>
    </row>
    <row r="282" spans="1:11" x14ac:dyDescent="0.35">
      <c r="A282" t="s">
        <v>596</v>
      </c>
      <c r="B282" t="s">
        <v>1794</v>
      </c>
      <c r="C282" t="s">
        <v>966</v>
      </c>
      <c r="D282">
        <v>48</v>
      </c>
      <c r="E282" t="s">
        <v>48</v>
      </c>
      <c r="F282" t="s">
        <v>19</v>
      </c>
      <c r="G282" t="s">
        <v>20</v>
      </c>
      <c r="H282" s="2">
        <v>44513</v>
      </c>
      <c r="I282" t="s">
        <v>958</v>
      </c>
      <c r="J282" t="s">
        <v>1795</v>
      </c>
      <c r="K282" t="s">
        <v>1796</v>
      </c>
    </row>
    <row r="283" spans="1:11" x14ac:dyDescent="0.35">
      <c r="A283" t="s">
        <v>598</v>
      </c>
      <c r="B283" t="s">
        <v>1797</v>
      </c>
      <c r="C283" t="s">
        <v>957</v>
      </c>
      <c r="D283">
        <v>30</v>
      </c>
      <c r="E283" t="s">
        <v>51</v>
      </c>
      <c r="F283" t="s">
        <v>30</v>
      </c>
      <c r="G283" t="s">
        <v>20</v>
      </c>
      <c r="H283" s="2">
        <v>43197</v>
      </c>
      <c r="I283" t="s">
        <v>958</v>
      </c>
      <c r="J283" t="s">
        <v>1798</v>
      </c>
      <c r="K283" t="s">
        <v>1799</v>
      </c>
    </row>
    <row r="284" spans="1:11" x14ac:dyDescent="0.35">
      <c r="A284" t="s">
        <v>600</v>
      </c>
      <c r="B284" t="s">
        <v>1800</v>
      </c>
      <c r="C284" t="s">
        <v>966</v>
      </c>
      <c r="D284">
        <v>34</v>
      </c>
      <c r="E284" t="s">
        <v>15</v>
      </c>
      <c r="F284" t="s">
        <v>19</v>
      </c>
      <c r="G284" t="s">
        <v>25</v>
      </c>
      <c r="H284" s="2">
        <v>44998</v>
      </c>
      <c r="I284" t="s">
        <v>962</v>
      </c>
      <c r="J284" t="s">
        <v>1801</v>
      </c>
      <c r="K284" t="s">
        <v>1802</v>
      </c>
    </row>
    <row r="285" spans="1:11" x14ac:dyDescent="0.35">
      <c r="A285" t="s">
        <v>602</v>
      </c>
      <c r="B285" t="s">
        <v>1803</v>
      </c>
      <c r="C285" t="s">
        <v>966</v>
      </c>
      <c r="D285">
        <v>55</v>
      </c>
      <c r="E285" t="s">
        <v>41</v>
      </c>
      <c r="F285" t="s">
        <v>24</v>
      </c>
      <c r="G285" t="s">
        <v>25</v>
      </c>
      <c r="H285" s="2">
        <v>43418</v>
      </c>
      <c r="I285" t="s">
        <v>958</v>
      </c>
      <c r="J285" t="s">
        <v>1804</v>
      </c>
      <c r="K285" t="s">
        <v>1805</v>
      </c>
    </row>
    <row r="286" spans="1:11" x14ac:dyDescent="0.35">
      <c r="A286" t="s">
        <v>604</v>
      </c>
      <c r="B286" t="s">
        <v>1806</v>
      </c>
      <c r="C286" t="s">
        <v>966</v>
      </c>
      <c r="D286">
        <v>36</v>
      </c>
      <c r="E286" t="s">
        <v>41</v>
      </c>
      <c r="F286" t="s">
        <v>24</v>
      </c>
      <c r="G286" t="s">
        <v>20</v>
      </c>
      <c r="H286" s="2">
        <v>42423</v>
      </c>
      <c r="I286" t="s">
        <v>958</v>
      </c>
      <c r="J286" t="s">
        <v>1807</v>
      </c>
      <c r="K286" t="s">
        <v>1808</v>
      </c>
    </row>
    <row r="287" spans="1:11" x14ac:dyDescent="0.35">
      <c r="A287" t="s">
        <v>606</v>
      </c>
      <c r="B287" t="s">
        <v>1809</v>
      </c>
      <c r="C287" t="s">
        <v>966</v>
      </c>
      <c r="D287">
        <v>27</v>
      </c>
      <c r="E287" t="s">
        <v>88</v>
      </c>
      <c r="F287" t="s">
        <v>30</v>
      </c>
      <c r="G287" t="s">
        <v>54</v>
      </c>
      <c r="H287" s="2">
        <v>42618</v>
      </c>
      <c r="I287" t="s">
        <v>962</v>
      </c>
      <c r="J287" t="s">
        <v>1810</v>
      </c>
      <c r="K287" t="s">
        <v>1811</v>
      </c>
    </row>
    <row r="288" spans="1:11" x14ac:dyDescent="0.35">
      <c r="A288" t="s">
        <v>608</v>
      </c>
      <c r="B288" t="s">
        <v>1812</v>
      </c>
      <c r="C288" t="s">
        <v>966</v>
      </c>
      <c r="D288">
        <v>45</v>
      </c>
      <c r="E288" t="s">
        <v>77</v>
      </c>
      <c r="F288" t="s">
        <v>30</v>
      </c>
      <c r="G288" t="s">
        <v>25</v>
      </c>
      <c r="H288" s="2">
        <v>43458</v>
      </c>
      <c r="I288" t="s">
        <v>958</v>
      </c>
      <c r="J288" t="s">
        <v>1813</v>
      </c>
      <c r="K288" t="s">
        <v>1814</v>
      </c>
    </row>
    <row r="289" spans="1:11" x14ac:dyDescent="0.35">
      <c r="A289" t="s">
        <v>610</v>
      </c>
      <c r="B289" t="s">
        <v>1815</v>
      </c>
      <c r="C289" t="s">
        <v>957</v>
      </c>
      <c r="D289">
        <v>41</v>
      </c>
      <c r="E289" t="s">
        <v>15</v>
      </c>
      <c r="F289" t="s">
        <v>13</v>
      </c>
      <c r="G289" t="s">
        <v>25</v>
      </c>
      <c r="H289" s="2">
        <v>42767</v>
      </c>
      <c r="I289" t="s">
        <v>958</v>
      </c>
      <c r="J289" t="s">
        <v>1816</v>
      </c>
      <c r="K289" t="s">
        <v>1817</v>
      </c>
    </row>
    <row r="290" spans="1:11" x14ac:dyDescent="0.35">
      <c r="A290" t="s">
        <v>612</v>
      </c>
      <c r="B290" t="s">
        <v>1818</v>
      </c>
      <c r="C290" t="s">
        <v>957</v>
      </c>
      <c r="D290">
        <v>56</v>
      </c>
      <c r="E290" t="s">
        <v>26</v>
      </c>
      <c r="F290" t="s">
        <v>13</v>
      </c>
      <c r="G290" t="s">
        <v>14</v>
      </c>
      <c r="H290" s="2">
        <v>44525</v>
      </c>
      <c r="I290" t="s">
        <v>958</v>
      </c>
      <c r="J290" t="s">
        <v>1819</v>
      </c>
      <c r="K290" t="s">
        <v>1820</v>
      </c>
    </row>
    <row r="291" spans="1:11" x14ac:dyDescent="0.35">
      <c r="A291" t="s">
        <v>614</v>
      </c>
      <c r="B291" t="s">
        <v>1821</v>
      </c>
      <c r="C291" t="s">
        <v>957</v>
      </c>
      <c r="D291">
        <v>57</v>
      </c>
      <c r="E291" t="s">
        <v>36</v>
      </c>
      <c r="F291" t="s">
        <v>63</v>
      </c>
      <c r="G291" t="s">
        <v>54</v>
      </c>
      <c r="H291" s="2">
        <v>42802</v>
      </c>
      <c r="I291" t="s">
        <v>962</v>
      </c>
      <c r="J291" t="s">
        <v>1822</v>
      </c>
      <c r="K291" t="s">
        <v>1823</v>
      </c>
    </row>
    <row r="292" spans="1:11" x14ac:dyDescent="0.35">
      <c r="A292" t="s">
        <v>616</v>
      </c>
      <c r="B292" t="s">
        <v>1824</v>
      </c>
      <c r="C292" t="s">
        <v>966</v>
      </c>
      <c r="D292">
        <v>49</v>
      </c>
      <c r="E292" t="s">
        <v>15</v>
      </c>
      <c r="F292" t="s">
        <v>13</v>
      </c>
      <c r="G292" t="s">
        <v>14</v>
      </c>
      <c r="H292" s="2">
        <v>44622</v>
      </c>
      <c r="I292" t="s">
        <v>962</v>
      </c>
      <c r="J292" t="s">
        <v>1825</v>
      </c>
      <c r="K292" t="s">
        <v>1826</v>
      </c>
    </row>
    <row r="293" spans="1:11" x14ac:dyDescent="0.35">
      <c r="A293" t="s">
        <v>618</v>
      </c>
      <c r="B293" t="s">
        <v>1827</v>
      </c>
      <c r="C293" t="s">
        <v>966</v>
      </c>
      <c r="D293">
        <v>32</v>
      </c>
      <c r="E293" t="s">
        <v>36</v>
      </c>
      <c r="F293" t="s">
        <v>39</v>
      </c>
      <c r="G293" t="s">
        <v>35</v>
      </c>
      <c r="H293" s="2">
        <v>43813</v>
      </c>
      <c r="I293" t="s">
        <v>962</v>
      </c>
      <c r="J293" t="s">
        <v>1828</v>
      </c>
      <c r="K293" t="s">
        <v>1829</v>
      </c>
    </row>
    <row r="294" spans="1:11" x14ac:dyDescent="0.35">
      <c r="A294" t="s">
        <v>620</v>
      </c>
      <c r="B294" t="s">
        <v>1830</v>
      </c>
      <c r="C294" t="s">
        <v>966</v>
      </c>
      <c r="D294">
        <v>45</v>
      </c>
      <c r="E294" t="s">
        <v>26</v>
      </c>
      <c r="F294" t="s">
        <v>30</v>
      </c>
      <c r="G294" t="s">
        <v>54</v>
      </c>
      <c r="H294" s="2">
        <v>44133</v>
      </c>
      <c r="I294" t="s">
        <v>962</v>
      </c>
      <c r="J294" t="s">
        <v>1831</v>
      </c>
      <c r="K294" t="s">
        <v>1832</v>
      </c>
    </row>
    <row r="295" spans="1:11" x14ac:dyDescent="0.35">
      <c r="A295" t="s">
        <v>622</v>
      </c>
      <c r="B295" t="s">
        <v>1833</v>
      </c>
      <c r="C295" t="s">
        <v>957</v>
      </c>
      <c r="D295">
        <v>58</v>
      </c>
      <c r="E295" t="s">
        <v>36</v>
      </c>
      <c r="F295" t="s">
        <v>13</v>
      </c>
      <c r="G295" t="s">
        <v>35</v>
      </c>
      <c r="H295" s="2">
        <v>45506</v>
      </c>
      <c r="I295" t="s">
        <v>962</v>
      </c>
      <c r="J295" t="s">
        <v>1834</v>
      </c>
      <c r="K295" t="s">
        <v>1835</v>
      </c>
    </row>
    <row r="296" spans="1:11" x14ac:dyDescent="0.35">
      <c r="A296" t="s">
        <v>624</v>
      </c>
      <c r="B296" t="s">
        <v>1836</v>
      </c>
      <c r="C296" t="s">
        <v>966</v>
      </c>
      <c r="D296">
        <v>50</v>
      </c>
      <c r="E296" t="s">
        <v>88</v>
      </c>
      <c r="F296" t="s">
        <v>63</v>
      </c>
      <c r="G296" t="s">
        <v>20</v>
      </c>
      <c r="H296" s="2">
        <v>45344</v>
      </c>
      <c r="I296" t="s">
        <v>958</v>
      </c>
      <c r="J296" t="s">
        <v>1837</v>
      </c>
      <c r="K296" t="s">
        <v>1838</v>
      </c>
    </row>
    <row r="297" spans="1:11" x14ac:dyDescent="0.35">
      <c r="A297" t="s">
        <v>626</v>
      </c>
      <c r="B297" t="s">
        <v>1839</v>
      </c>
      <c r="C297" t="s">
        <v>966</v>
      </c>
      <c r="D297">
        <v>60</v>
      </c>
      <c r="E297" t="s">
        <v>77</v>
      </c>
      <c r="F297" t="s">
        <v>39</v>
      </c>
      <c r="G297" t="s">
        <v>14</v>
      </c>
      <c r="H297" s="2">
        <v>46016</v>
      </c>
      <c r="I297" t="s">
        <v>962</v>
      </c>
      <c r="J297" t="s">
        <v>1840</v>
      </c>
      <c r="K297" t="s">
        <v>1841</v>
      </c>
    </row>
    <row r="298" spans="1:11" x14ac:dyDescent="0.35">
      <c r="A298" t="s">
        <v>628</v>
      </c>
      <c r="B298" t="s">
        <v>1842</v>
      </c>
      <c r="C298" t="s">
        <v>957</v>
      </c>
      <c r="D298">
        <v>41</v>
      </c>
      <c r="E298" t="s">
        <v>21</v>
      </c>
      <c r="F298" t="s">
        <v>13</v>
      </c>
      <c r="G298" t="s">
        <v>40</v>
      </c>
      <c r="H298" s="2">
        <v>42458</v>
      </c>
      <c r="I298" t="s">
        <v>962</v>
      </c>
      <c r="J298" t="s">
        <v>1843</v>
      </c>
      <c r="K298" t="s">
        <v>1844</v>
      </c>
    </row>
    <row r="299" spans="1:11" x14ac:dyDescent="0.35">
      <c r="A299" t="s">
        <v>630</v>
      </c>
      <c r="B299" t="s">
        <v>1845</v>
      </c>
      <c r="C299" t="s">
        <v>957</v>
      </c>
      <c r="D299">
        <v>28</v>
      </c>
      <c r="E299" t="s">
        <v>77</v>
      </c>
      <c r="F299" t="s">
        <v>63</v>
      </c>
      <c r="G299" t="s">
        <v>40</v>
      </c>
      <c r="H299" s="2">
        <v>43009</v>
      </c>
      <c r="I299" t="s">
        <v>958</v>
      </c>
      <c r="J299" t="s">
        <v>1846</v>
      </c>
      <c r="K299" t="s">
        <v>1847</v>
      </c>
    </row>
    <row r="300" spans="1:11" x14ac:dyDescent="0.35">
      <c r="A300" t="s">
        <v>632</v>
      </c>
      <c r="B300" t="s">
        <v>1848</v>
      </c>
      <c r="C300" t="s">
        <v>966</v>
      </c>
      <c r="D300">
        <v>45</v>
      </c>
      <c r="E300" t="s">
        <v>41</v>
      </c>
      <c r="F300" t="s">
        <v>13</v>
      </c>
      <c r="G300" t="s">
        <v>14</v>
      </c>
      <c r="H300" s="2">
        <v>43419</v>
      </c>
      <c r="I300" t="s">
        <v>962</v>
      </c>
      <c r="J300" t="s">
        <v>1849</v>
      </c>
      <c r="K300" t="s">
        <v>1850</v>
      </c>
    </row>
    <row r="301" spans="1:11" x14ac:dyDescent="0.35">
      <c r="A301" t="s">
        <v>634</v>
      </c>
      <c r="B301" t="s">
        <v>1851</v>
      </c>
      <c r="C301" t="s">
        <v>957</v>
      </c>
      <c r="D301">
        <v>58</v>
      </c>
      <c r="E301" t="s">
        <v>26</v>
      </c>
      <c r="F301" t="s">
        <v>39</v>
      </c>
      <c r="G301" t="s">
        <v>14</v>
      </c>
      <c r="H301" s="2">
        <v>45377</v>
      </c>
      <c r="I301" t="s">
        <v>958</v>
      </c>
      <c r="J301" t="s">
        <v>1852</v>
      </c>
      <c r="K301" t="s">
        <v>1853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1"/>
  <sheetViews>
    <sheetView workbookViewId="0"/>
  </sheetViews>
  <sheetFormatPr defaultRowHeight="14.5" x14ac:dyDescent="0.35"/>
  <cols>
    <col min="1" max="1" width="10" customWidth="1"/>
    <col min="2" max="2" width="27" customWidth="1"/>
    <col min="3" max="3" width="16" customWidth="1"/>
    <col min="4" max="4" width="14" customWidth="1"/>
    <col min="5" max="5" width="15" customWidth="1"/>
    <col min="6" max="6" width="14" customWidth="1"/>
    <col min="7" max="8" width="13" customWidth="1"/>
  </cols>
  <sheetData>
    <row r="1" spans="1:8" x14ac:dyDescent="0.35">
      <c r="A1" s="1" t="s">
        <v>1854</v>
      </c>
      <c r="B1" s="1" t="s">
        <v>1855</v>
      </c>
      <c r="C1" s="1" t="s">
        <v>1856</v>
      </c>
      <c r="D1" s="1" t="s">
        <v>1857</v>
      </c>
      <c r="E1" s="1" t="s">
        <v>1858</v>
      </c>
      <c r="F1" s="1" t="s">
        <v>1859</v>
      </c>
      <c r="G1" s="1" t="s">
        <v>1860</v>
      </c>
      <c r="H1" s="1" t="s">
        <v>640</v>
      </c>
    </row>
    <row r="2" spans="1:8" x14ac:dyDescent="0.35">
      <c r="A2" t="s">
        <v>1861</v>
      </c>
      <c r="B2" t="s">
        <v>1862</v>
      </c>
      <c r="C2" t="s">
        <v>1863</v>
      </c>
      <c r="D2" t="s">
        <v>1864</v>
      </c>
      <c r="E2">
        <v>1481857</v>
      </c>
      <c r="F2" s="2">
        <v>45561</v>
      </c>
      <c r="G2" s="2">
        <v>46218</v>
      </c>
      <c r="H2" t="s">
        <v>1865</v>
      </c>
    </row>
    <row r="3" spans="1:8" x14ac:dyDescent="0.35">
      <c r="A3" t="s">
        <v>1866</v>
      </c>
      <c r="B3" t="s">
        <v>1867</v>
      </c>
      <c r="C3" t="s">
        <v>1863</v>
      </c>
      <c r="D3" t="s">
        <v>1864</v>
      </c>
      <c r="E3">
        <v>276747</v>
      </c>
      <c r="F3" s="2">
        <v>46159</v>
      </c>
      <c r="G3" s="2">
        <v>46137</v>
      </c>
      <c r="H3" t="s">
        <v>1865</v>
      </c>
    </row>
    <row r="4" spans="1:8" x14ac:dyDescent="0.35">
      <c r="A4" t="s">
        <v>1868</v>
      </c>
      <c r="B4" t="s">
        <v>1869</v>
      </c>
      <c r="C4" t="s">
        <v>1863</v>
      </c>
      <c r="D4" t="s">
        <v>1870</v>
      </c>
      <c r="E4">
        <v>1579325</v>
      </c>
      <c r="F4" s="2">
        <v>46339</v>
      </c>
      <c r="G4" s="2">
        <v>46269</v>
      </c>
      <c r="H4" t="s">
        <v>1871</v>
      </c>
    </row>
    <row r="5" spans="1:8" x14ac:dyDescent="0.35">
      <c r="A5" t="s">
        <v>1872</v>
      </c>
      <c r="B5" t="s">
        <v>1243</v>
      </c>
      <c r="C5" t="s">
        <v>1863</v>
      </c>
      <c r="D5" t="s">
        <v>1864</v>
      </c>
      <c r="E5">
        <v>167959</v>
      </c>
      <c r="F5" s="2">
        <v>45186</v>
      </c>
      <c r="G5" s="2">
        <v>47096</v>
      </c>
      <c r="H5" t="s">
        <v>1873</v>
      </c>
    </row>
    <row r="6" spans="1:8" x14ac:dyDescent="0.35">
      <c r="A6" t="s">
        <v>1874</v>
      </c>
      <c r="B6" t="s">
        <v>1875</v>
      </c>
      <c r="C6" t="s">
        <v>1876</v>
      </c>
      <c r="D6" t="s">
        <v>1870</v>
      </c>
      <c r="E6">
        <v>1459310</v>
      </c>
      <c r="F6" s="2">
        <v>45590</v>
      </c>
      <c r="G6" s="2">
        <v>46475</v>
      </c>
      <c r="H6" t="s">
        <v>1871</v>
      </c>
    </row>
    <row r="7" spans="1:8" x14ac:dyDescent="0.35">
      <c r="A7" t="s">
        <v>1877</v>
      </c>
      <c r="B7" t="s">
        <v>1878</v>
      </c>
      <c r="C7" t="s">
        <v>1863</v>
      </c>
      <c r="D7" t="s">
        <v>1870</v>
      </c>
      <c r="E7">
        <v>331895</v>
      </c>
      <c r="F7" s="2">
        <v>46103</v>
      </c>
      <c r="G7" s="2">
        <v>47056</v>
      </c>
      <c r="H7" t="s">
        <v>1873</v>
      </c>
    </row>
    <row r="8" spans="1:8" x14ac:dyDescent="0.35">
      <c r="A8" t="s">
        <v>1879</v>
      </c>
      <c r="B8" t="s">
        <v>1880</v>
      </c>
      <c r="C8" t="s">
        <v>1863</v>
      </c>
      <c r="D8" t="s">
        <v>1870</v>
      </c>
      <c r="E8">
        <v>1051494</v>
      </c>
      <c r="F8" s="2">
        <v>46172</v>
      </c>
      <c r="G8" s="2">
        <v>46830</v>
      </c>
      <c r="H8" t="s">
        <v>1871</v>
      </c>
    </row>
    <row r="9" spans="1:8" x14ac:dyDescent="0.35">
      <c r="A9" t="s">
        <v>1881</v>
      </c>
      <c r="B9" t="s">
        <v>1882</v>
      </c>
      <c r="C9" t="s">
        <v>1883</v>
      </c>
      <c r="D9" t="s">
        <v>1864</v>
      </c>
      <c r="E9">
        <v>674441</v>
      </c>
      <c r="F9" s="2">
        <v>45536</v>
      </c>
      <c r="G9" s="2">
        <v>46123</v>
      </c>
      <c r="H9" t="s">
        <v>1884</v>
      </c>
    </row>
    <row r="10" spans="1:8" x14ac:dyDescent="0.35">
      <c r="A10" t="s">
        <v>1885</v>
      </c>
      <c r="B10" t="s">
        <v>1886</v>
      </c>
      <c r="C10" t="s">
        <v>1887</v>
      </c>
      <c r="D10" t="s">
        <v>1870</v>
      </c>
      <c r="E10">
        <v>1221247</v>
      </c>
      <c r="F10" s="2">
        <v>45589</v>
      </c>
      <c r="G10" s="2">
        <v>46912</v>
      </c>
      <c r="H10" t="s">
        <v>1871</v>
      </c>
    </row>
    <row r="11" spans="1:8" x14ac:dyDescent="0.35">
      <c r="A11" t="s">
        <v>1888</v>
      </c>
      <c r="B11" t="s">
        <v>1889</v>
      </c>
      <c r="C11" t="s">
        <v>1863</v>
      </c>
      <c r="D11" t="s">
        <v>1890</v>
      </c>
      <c r="E11">
        <v>685688</v>
      </c>
      <c r="F11" s="2">
        <v>44967</v>
      </c>
      <c r="G11" s="2">
        <v>47022</v>
      </c>
      <c r="H11" t="s">
        <v>1884</v>
      </c>
    </row>
    <row r="12" spans="1:8" x14ac:dyDescent="0.35">
      <c r="A12" t="s">
        <v>1891</v>
      </c>
      <c r="B12" t="s">
        <v>1892</v>
      </c>
      <c r="C12" t="s">
        <v>1876</v>
      </c>
      <c r="D12" t="s">
        <v>1864</v>
      </c>
      <c r="E12">
        <v>942500</v>
      </c>
      <c r="F12" s="2">
        <v>44708</v>
      </c>
      <c r="G12" s="2">
        <v>46568</v>
      </c>
      <c r="H12" t="s">
        <v>1884</v>
      </c>
    </row>
    <row r="13" spans="1:8" x14ac:dyDescent="0.35">
      <c r="A13" t="s">
        <v>1893</v>
      </c>
      <c r="B13" t="s">
        <v>1894</v>
      </c>
      <c r="C13" t="s">
        <v>1887</v>
      </c>
      <c r="D13" t="s">
        <v>1864</v>
      </c>
      <c r="E13">
        <v>1476486</v>
      </c>
      <c r="F13" s="2">
        <v>45937</v>
      </c>
      <c r="G13" s="2">
        <v>46870</v>
      </c>
      <c r="H13" t="s">
        <v>1884</v>
      </c>
    </row>
    <row r="14" spans="1:8" x14ac:dyDescent="0.35">
      <c r="A14" t="s">
        <v>1895</v>
      </c>
      <c r="B14" t="s">
        <v>1896</v>
      </c>
      <c r="C14" t="s">
        <v>1883</v>
      </c>
      <c r="D14" t="s">
        <v>1864</v>
      </c>
      <c r="E14">
        <v>1652043</v>
      </c>
      <c r="F14" s="2">
        <v>45218</v>
      </c>
      <c r="G14" s="2">
        <v>46728</v>
      </c>
      <c r="H14" t="s">
        <v>1873</v>
      </c>
    </row>
    <row r="15" spans="1:8" x14ac:dyDescent="0.35">
      <c r="A15" t="s">
        <v>1897</v>
      </c>
      <c r="B15" t="s">
        <v>1898</v>
      </c>
      <c r="C15" t="s">
        <v>1876</v>
      </c>
      <c r="D15" t="s">
        <v>1870</v>
      </c>
      <c r="E15">
        <v>1398502</v>
      </c>
      <c r="F15" s="2">
        <v>45824</v>
      </c>
      <c r="G15" s="2">
        <v>46928</v>
      </c>
      <c r="H15" t="s">
        <v>1871</v>
      </c>
    </row>
    <row r="16" spans="1:8" x14ac:dyDescent="0.35">
      <c r="A16" t="s">
        <v>1899</v>
      </c>
      <c r="B16" t="s">
        <v>1900</v>
      </c>
      <c r="C16" t="s">
        <v>1887</v>
      </c>
      <c r="D16" t="s">
        <v>1864</v>
      </c>
      <c r="E16">
        <v>1967437</v>
      </c>
      <c r="F16" s="2">
        <v>44970</v>
      </c>
      <c r="G16" s="2">
        <v>46788</v>
      </c>
      <c r="H16" t="s">
        <v>1871</v>
      </c>
    </row>
    <row r="17" spans="1:8" x14ac:dyDescent="0.35">
      <c r="A17" t="s">
        <v>1901</v>
      </c>
      <c r="B17" t="s">
        <v>1902</v>
      </c>
      <c r="C17" t="s">
        <v>1887</v>
      </c>
      <c r="D17" t="s">
        <v>1890</v>
      </c>
      <c r="E17">
        <v>479931</v>
      </c>
      <c r="F17" s="2">
        <v>44673</v>
      </c>
      <c r="G17" s="2">
        <v>46520</v>
      </c>
      <c r="H17" t="s">
        <v>1871</v>
      </c>
    </row>
    <row r="18" spans="1:8" x14ac:dyDescent="0.35">
      <c r="A18" t="s">
        <v>1903</v>
      </c>
      <c r="B18" t="s">
        <v>1904</v>
      </c>
      <c r="C18" t="s">
        <v>1887</v>
      </c>
      <c r="D18" t="s">
        <v>1870</v>
      </c>
      <c r="E18">
        <v>1326638</v>
      </c>
      <c r="F18" s="2">
        <v>45982</v>
      </c>
      <c r="G18" s="2">
        <v>46250</v>
      </c>
      <c r="H18" t="s">
        <v>1865</v>
      </c>
    </row>
    <row r="19" spans="1:8" x14ac:dyDescent="0.35">
      <c r="A19" t="s">
        <v>1905</v>
      </c>
      <c r="B19" t="s">
        <v>1906</v>
      </c>
      <c r="C19" t="s">
        <v>1863</v>
      </c>
      <c r="D19" t="s">
        <v>1864</v>
      </c>
      <c r="E19">
        <v>2007695</v>
      </c>
      <c r="F19" s="2">
        <v>45241</v>
      </c>
      <c r="G19" s="2">
        <v>46451</v>
      </c>
      <c r="H19" t="s">
        <v>1871</v>
      </c>
    </row>
    <row r="20" spans="1:8" x14ac:dyDescent="0.35">
      <c r="A20" t="s">
        <v>1907</v>
      </c>
      <c r="B20" t="s">
        <v>1908</v>
      </c>
      <c r="C20" t="s">
        <v>1883</v>
      </c>
      <c r="D20" t="s">
        <v>1890</v>
      </c>
      <c r="E20">
        <v>974804</v>
      </c>
      <c r="F20" s="2">
        <v>45551</v>
      </c>
      <c r="G20" s="2">
        <v>46312</v>
      </c>
      <c r="H20" t="s">
        <v>1873</v>
      </c>
    </row>
    <row r="21" spans="1:8" x14ac:dyDescent="0.35">
      <c r="A21" t="s">
        <v>1909</v>
      </c>
      <c r="B21" t="s">
        <v>1910</v>
      </c>
      <c r="C21" t="s">
        <v>1887</v>
      </c>
      <c r="D21" t="s">
        <v>1870</v>
      </c>
      <c r="E21">
        <v>1699602</v>
      </c>
      <c r="F21" s="2">
        <v>44910</v>
      </c>
      <c r="G21" s="2">
        <v>46146</v>
      </c>
      <c r="H21" t="s">
        <v>1865</v>
      </c>
    </row>
    <row r="22" spans="1:8" x14ac:dyDescent="0.35">
      <c r="A22" t="s">
        <v>1911</v>
      </c>
      <c r="B22" t="s">
        <v>1912</v>
      </c>
      <c r="C22" t="s">
        <v>1883</v>
      </c>
      <c r="D22" t="s">
        <v>1864</v>
      </c>
      <c r="E22">
        <v>961780</v>
      </c>
      <c r="F22" s="2">
        <v>45514</v>
      </c>
      <c r="G22" s="2">
        <v>46040</v>
      </c>
      <c r="H22" t="s">
        <v>1873</v>
      </c>
    </row>
    <row r="23" spans="1:8" x14ac:dyDescent="0.35">
      <c r="A23" t="s">
        <v>1913</v>
      </c>
      <c r="B23" t="s">
        <v>1914</v>
      </c>
      <c r="C23" t="s">
        <v>1883</v>
      </c>
      <c r="D23" t="s">
        <v>1890</v>
      </c>
      <c r="E23">
        <v>1750095</v>
      </c>
      <c r="F23" s="2">
        <v>46307</v>
      </c>
      <c r="G23" s="2">
        <v>46760</v>
      </c>
      <c r="H23" t="s">
        <v>1873</v>
      </c>
    </row>
    <row r="24" spans="1:8" x14ac:dyDescent="0.35">
      <c r="A24" t="s">
        <v>1915</v>
      </c>
      <c r="B24" t="s">
        <v>1912</v>
      </c>
      <c r="C24" t="s">
        <v>1883</v>
      </c>
      <c r="D24" t="s">
        <v>1890</v>
      </c>
      <c r="E24">
        <v>200020</v>
      </c>
      <c r="F24" s="2">
        <v>45353</v>
      </c>
      <c r="G24" s="2">
        <v>46496</v>
      </c>
      <c r="H24" t="s">
        <v>1884</v>
      </c>
    </row>
    <row r="25" spans="1:8" x14ac:dyDescent="0.35">
      <c r="A25" t="s">
        <v>1916</v>
      </c>
      <c r="B25" t="s">
        <v>1917</v>
      </c>
      <c r="C25" t="s">
        <v>1887</v>
      </c>
      <c r="D25" t="s">
        <v>1870</v>
      </c>
      <c r="E25">
        <v>2252972</v>
      </c>
      <c r="F25" s="2">
        <v>45554</v>
      </c>
      <c r="G25" s="2">
        <v>47111</v>
      </c>
      <c r="H25" t="s">
        <v>1873</v>
      </c>
    </row>
    <row r="26" spans="1:8" x14ac:dyDescent="0.35">
      <c r="A26" t="s">
        <v>1918</v>
      </c>
      <c r="B26" t="s">
        <v>1919</v>
      </c>
      <c r="C26" t="s">
        <v>1876</v>
      </c>
      <c r="D26" t="s">
        <v>1890</v>
      </c>
      <c r="E26">
        <v>901891</v>
      </c>
      <c r="F26" s="2">
        <v>45499</v>
      </c>
      <c r="G26" s="2">
        <v>46067</v>
      </c>
      <c r="H26" t="s">
        <v>1873</v>
      </c>
    </row>
    <row r="27" spans="1:8" x14ac:dyDescent="0.35">
      <c r="A27" t="s">
        <v>1920</v>
      </c>
      <c r="B27" t="s">
        <v>1921</v>
      </c>
      <c r="C27" t="s">
        <v>1883</v>
      </c>
      <c r="D27" t="s">
        <v>1870</v>
      </c>
      <c r="E27">
        <v>1157637</v>
      </c>
      <c r="F27" s="2">
        <v>45565</v>
      </c>
      <c r="G27" s="2">
        <v>46828</v>
      </c>
      <c r="H27" t="s">
        <v>1871</v>
      </c>
    </row>
    <row r="28" spans="1:8" x14ac:dyDescent="0.35">
      <c r="A28" t="s">
        <v>1922</v>
      </c>
      <c r="B28" t="s">
        <v>1923</v>
      </c>
      <c r="C28" t="s">
        <v>1883</v>
      </c>
      <c r="D28" t="s">
        <v>1890</v>
      </c>
      <c r="E28">
        <v>197058</v>
      </c>
      <c r="F28" s="2">
        <v>45282</v>
      </c>
      <c r="G28" s="2">
        <v>46750</v>
      </c>
      <c r="H28" t="s">
        <v>1865</v>
      </c>
    </row>
    <row r="29" spans="1:8" x14ac:dyDescent="0.35">
      <c r="A29" t="s">
        <v>1924</v>
      </c>
      <c r="B29" t="s">
        <v>1022</v>
      </c>
      <c r="C29" t="s">
        <v>1883</v>
      </c>
      <c r="D29" t="s">
        <v>1864</v>
      </c>
      <c r="E29">
        <v>1110714</v>
      </c>
      <c r="F29" s="2">
        <v>45843</v>
      </c>
      <c r="G29" s="2">
        <v>46550</v>
      </c>
      <c r="H29" t="s">
        <v>1884</v>
      </c>
    </row>
    <row r="30" spans="1:8" x14ac:dyDescent="0.35">
      <c r="A30" t="s">
        <v>1925</v>
      </c>
      <c r="B30" t="s">
        <v>1926</v>
      </c>
      <c r="C30" t="s">
        <v>1883</v>
      </c>
      <c r="D30" t="s">
        <v>1864</v>
      </c>
      <c r="E30">
        <v>243588</v>
      </c>
      <c r="F30" s="2">
        <v>44872</v>
      </c>
      <c r="G30" s="2">
        <v>46722</v>
      </c>
      <c r="H30" t="s">
        <v>1884</v>
      </c>
    </row>
    <row r="31" spans="1:8" x14ac:dyDescent="0.35">
      <c r="A31" t="s">
        <v>1927</v>
      </c>
      <c r="B31" t="s">
        <v>1928</v>
      </c>
      <c r="C31" t="s">
        <v>1887</v>
      </c>
      <c r="D31" t="s">
        <v>1890</v>
      </c>
      <c r="E31">
        <v>695713</v>
      </c>
      <c r="F31" s="2">
        <v>45344</v>
      </c>
      <c r="G31" s="2">
        <v>47089</v>
      </c>
      <c r="H31" t="s">
        <v>1871</v>
      </c>
    </row>
    <row r="32" spans="1:8" x14ac:dyDescent="0.35">
      <c r="A32" t="s">
        <v>1929</v>
      </c>
      <c r="B32" t="s">
        <v>1930</v>
      </c>
      <c r="C32" t="s">
        <v>1876</v>
      </c>
      <c r="D32" t="s">
        <v>1890</v>
      </c>
      <c r="E32">
        <v>1870422</v>
      </c>
      <c r="F32" s="2">
        <v>44874</v>
      </c>
      <c r="G32" s="2">
        <v>46896</v>
      </c>
      <c r="H32" t="s">
        <v>1865</v>
      </c>
    </row>
    <row r="33" spans="1:8" x14ac:dyDescent="0.35">
      <c r="A33" t="s">
        <v>1931</v>
      </c>
      <c r="B33" t="s">
        <v>1932</v>
      </c>
      <c r="C33" t="s">
        <v>1863</v>
      </c>
      <c r="D33" t="s">
        <v>1890</v>
      </c>
      <c r="E33">
        <v>1501120</v>
      </c>
      <c r="F33" s="2">
        <v>44831</v>
      </c>
      <c r="G33" s="2">
        <v>46446</v>
      </c>
      <c r="H33" t="s">
        <v>1871</v>
      </c>
    </row>
    <row r="34" spans="1:8" x14ac:dyDescent="0.35">
      <c r="A34" t="s">
        <v>1933</v>
      </c>
      <c r="B34" t="s">
        <v>1934</v>
      </c>
      <c r="C34" t="s">
        <v>1876</v>
      </c>
      <c r="D34" t="s">
        <v>1864</v>
      </c>
      <c r="E34">
        <v>2390602</v>
      </c>
      <c r="F34" s="2">
        <v>45194</v>
      </c>
      <c r="G34" s="2">
        <v>47095</v>
      </c>
      <c r="H34" t="s">
        <v>1871</v>
      </c>
    </row>
    <row r="35" spans="1:8" x14ac:dyDescent="0.35">
      <c r="A35" t="s">
        <v>1935</v>
      </c>
      <c r="B35" t="s">
        <v>1936</v>
      </c>
      <c r="C35" t="s">
        <v>1876</v>
      </c>
      <c r="D35" t="s">
        <v>1890</v>
      </c>
      <c r="E35">
        <v>1923820</v>
      </c>
      <c r="F35" s="2">
        <v>45718</v>
      </c>
      <c r="G35" s="2">
        <v>46346</v>
      </c>
      <c r="H35" t="s">
        <v>1865</v>
      </c>
    </row>
    <row r="36" spans="1:8" x14ac:dyDescent="0.35">
      <c r="A36" t="s">
        <v>1937</v>
      </c>
      <c r="B36" t="s">
        <v>1938</v>
      </c>
      <c r="C36" t="s">
        <v>1887</v>
      </c>
      <c r="D36" t="s">
        <v>1864</v>
      </c>
      <c r="E36">
        <v>404432</v>
      </c>
      <c r="F36" s="2">
        <v>45212</v>
      </c>
      <c r="G36" s="2">
        <v>46321</v>
      </c>
      <c r="H36" t="s">
        <v>1873</v>
      </c>
    </row>
    <row r="37" spans="1:8" x14ac:dyDescent="0.35">
      <c r="A37" t="s">
        <v>1939</v>
      </c>
      <c r="B37" t="s">
        <v>1940</v>
      </c>
      <c r="C37" t="s">
        <v>1863</v>
      </c>
      <c r="D37" t="s">
        <v>1870</v>
      </c>
      <c r="E37">
        <v>1456672</v>
      </c>
      <c r="F37" s="2">
        <v>45183</v>
      </c>
      <c r="G37" s="2">
        <v>46930</v>
      </c>
      <c r="H37" t="s">
        <v>1865</v>
      </c>
    </row>
    <row r="38" spans="1:8" x14ac:dyDescent="0.35">
      <c r="A38" t="s">
        <v>1941</v>
      </c>
      <c r="B38" t="s">
        <v>1942</v>
      </c>
      <c r="C38" t="s">
        <v>1876</v>
      </c>
      <c r="D38" t="s">
        <v>1864</v>
      </c>
      <c r="E38">
        <v>757354</v>
      </c>
      <c r="F38" s="2">
        <v>44831</v>
      </c>
      <c r="G38" s="2">
        <v>46401</v>
      </c>
      <c r="H38" t="s">
        <v>1873</v>
      </c>
    </row>
    <row r="39" spans="1:8" x14ac:dyDescent="0.35">
      <c r="A39" t="s">
        <v>1943</v>
      </c>
      <c r="B39" t="s">
        <v>1944</v>
      </c>
      <c r="C39" t="s">
        <v>1876</v>
      </c>
      <c r="D39" t="s">
        <v>1890</v>
      </c>
      <c r="E39">
        <v>1239302</v>
      </c>
      <c r="F39" s="2">
        <v>45037</v>
      </c>
      <c r="G39" s="2">
        <v>46495</v>
      </c>
      <c r="H39" t="s">
        <v>1873</v>
      </c>
    </row>
    <row r="40" spans="1:8" x14ac:dyDescent="0.35">
      <c r="A40" t="s">
        <v>1945</v>
      </c>
      <c r="B40" t="s">
        <v>1946</v>
      </c>
      <c r="C40" t="s">
        <v>1887</v>
      </c>
      <c r="D40" t="s">
        <v>1890</v>
      </c>
      <c r="E40">
        <v>1626851</v>
      </c>
      <c r="F40" s="2">
        <v>46159</v>
      </c>
      <c r="G40" s="2">
        <v>46999</v>
      </c>
      <c r="H40" t="s">
        <v>1871</v>
      </c>
    </row>
    <row r="41" spans="1:8" x14ac:dyDescent="0.35">
      <c r="A41" t="s">
        <v>1947</v>
      </c>
      <c r="B41" t="s">
        <v>1948</v>
      </c>
      <c r="C41" t="s">
        <v>1863</v>
      </c>
      <c r="D41" t="s">
        <v>1890</v>
      </c>
      <c r="E41">
        <v>2226902</v>
      </c>
      <c r="F41" s="2">
        <v>45892</v>
      </c>
      <c r="G41" s="2">
        <v>46788</v>
      </c>
      <c r="H41" t="s">
        <v>1871</v>
      </c>
    </row>
    <row r="42" spans="1:8" x14ac:dyDescent="0.35">
      <c r="A42" t="s">
        <v>1949</v>
      </c>
      <c r="B42" t="s">
        <v>1950</v>
      </c>
      <c r="C42" t="s">
        <v>1863</v>
      </c>
      <c r="D42" t="s">
        <v>1870</v>
      </c>
      <c r="E42">
        <v>1745126</v>
      </c>
      <c r="F42" s="2">
        <v>44843</v>
      </c>
      <c r="G42" s="2">
        <v>46358</v>
      </c>
      <c r="H42" t="s">
        <v>1871</v>
      </c>
    </row>
    <row r="43" spans="1:8" x14ac:dyDescent="0.35">
      <c r="A43" t="s">
        <v>1951</v>
      </c>
      <c r="B43" t="s">
        <v>1952</v>
      </c>
      <c r="C43" t="s">
        <v>1887</v>
      </c>
      <c r="D43" t="s">
        <v>1870</v>
      </c>
      <c r="E43">
        <v>1069058</v>
      </c>
      <c r="F43" s="2">
        <v>46127</v>
      </c>
      <c r="G43" s="2">
        <v>46053</v>
      </c>
      <c r="H43" t="s">
        <v>1865</v>
      </c>
    </row>
    <row r="44" spans="1:8" x14ac:dyDescent="0.35">
      <c r="A44" t="s">
        <v>1953</v>
      </c>
      <c r="B44" t="s">
        <v>1954</v>
      </c>
      <c r="C44" t="s">
        <v>1876</v>
      </c>
      <c r="D44" t="s">
        <v>1890</v>
      </c>
      <c r="E44">
        <v>1852432</v>
      </c>
      <c r="F44" s="2">
        <v>45936</v>
      </c>
      <c r="G44" s="2">
        <v>46438</v>
      </c>
      <c r="H44" t="s">
        <v>1871</v>
      </c>
    </row>
    <row r="45" spans="1:8" x14ac:dyDescent="0.35">
      <c r="A45" t="s">
        <v>1955</v>
      </c>
      <c r="B45" t="s">
        <v>1956</v>
      </c>
      <c r="C45" t="s">
        <v>1876</v>
      </c>
      <c r="D45" t="s">
        <v>1870</v>
      </c>
      <c r="E45">
        <v>397395</v>
      </c>
      <c r="F45" s="2">
        <v>46337</v>
      </c>
      <c r="G45" s="2">
        <v>47026</v>
      </c>
      <c r="H45" t="s">
        <v>1865</v>
      </c>
    </row>
    <row r="46" spans="1:8" x14ac:dyDescent="0.35">
      <c r="A46" t="s">
        <v>1957</v>
      </c>
      <c r="B46" t="s">
        <v>1958</v>
      </c>
      <c r="C46" t="s">
        <v>1876</v>
      </c>
      <c r="D46" t="s">
        <v>1870</v>
      </c>
      <c r="E46">
        <v>2039082</v>
      </c>
      <c r="F46" s="2">
        <v>45391</v>
      </c>
      <c r="G46" s="2">
        <v>46108</v>
      </c>
      <c r="H46" t="s">
        <v>1884</v>
      </c>
    </row>
    <row r="47" spans="1:8" x14ac:dyDescent="0.35">
      <c r="A47" t="s">
        <v>1959</v>
      </c>
      <c r="B47" t="s">
        <v>1960</v>
      </c>
      <c r="C47" t="s">
        <v>1863</v>
      </c>
      <c r="D47" t="s">
        <v>1890</v>
      </c>
      <c r="E47">
        <v>1432387</v>
      </c>
      <c r="F47" s="2">
        <v>46082</v>
      </c>
      <c r="G47" s="2">
        <v>47098</v>
      </c>
      <c r="H47" t="s">
        <v>1873</v>
      </c>
    </row>
    <row r="48" spans="1:8" x14ac:dyDescent="0.35">
      <c r="A48" t="s">
        <v>1961</v>
      </c>
      <c r="B48" t="s">
        <v>1962</v>
      </c>
      <c r="C48" t="s">
        <v>1887</v>
      </c>
      <c r="D48" t="s">
        <v>1870</v>
      </c>
      <c r="E48">
        <v>2303760</v>
      </c>
      <c r="F48" s="2">
        <v>45497</v>
      </c>
      <c r="G48" s="2">
        <v>46109</v>
      </c>
      <c r="H48" t="s">
        <v>1871</v>
      </c>
    </row>
    <row r="49" spans="1:8" x14ac:dyDescent="0.35">
      <c r="A49" t="s">
        <v>1963</v>
      </c>
      <c r="B49" t="s">
        <v>1964</v>
      </c>
      <c r="C49" t="s">
        <v>1863</v>
      </c>
      <c r="D49" t="s">
        <v>1890</v>
      </c>
      <c r="E49">
        <v>2295596</v>
      </c>
      <c r="F49" s="2">
        <v>44642</v>
      </c>
      <c r="G49" s="2">
        <v>46816</v>
      </c>
      <c r="H49" t="s">
        <v>1873</v>
      </c>
    </row>
    <row r="50" spans="1:8" x14ac:dyDescent="0.35">
      <c r="A50" t="s">
        <v>1965</v>
      </c>
      <c r="B50" t="s">
        <v>1966</v>
      </c>
      <c r="C50" t="s">
        <v>1883</v>
      </c>
      <c r="D50" t="s">
        <v>1870</v>
      </c>
      <c r="E50">
        <v>916290</v>
      </c>
      <c r="F50" s="2">
        <v>45377</v>
      </c>
      <c r="G50" s="2">
        <v>46646</v>
      </c>
      <c r="H50" t="s">
        <v>1865</v>
      </c>
    </row>
    <row r="51" spans="1:8" x14ac:dyDescent="0.35">
      <c r="A51" t="s">
        <v>1967</v>
      </c>
      <c r="B51" t="s">
        <v>1968</v>
      </c>
      <c r="C51" t="s">
        <v>1876</v>
      </c>
      <c r="D51" t="s">
        <v>1870</v>
      </c>
      <c r="E51">
        <v>2055030</v>
      </c>
      <c r="F51" s="2">
        <v>45164</v>
      </c>
      <c r="G51" s="2">
        <v>46134</v>
      </c>
      <c r="H51" t="s">
        <v>1871</v>
      </c>
    </row>
    <row r="52" spans="1:8" x14ac:dyDescent="0.35">
      <c r="A52" t="s">
        <v>1969</v>
      </c>
      <c r="B52" t="s">
        <v>1970</v>
      </c>
      <c r="C52" t="s">
        <v>1863</v>
      </c>
      <c r="D52" t="s">
        <v>1864</v>
      </c>
      <c r="E52">
        <v>2064391</v>
      </c>
      <c r="F52" s="2">
        <v>46041</v>
      </c>
      <c r="G52" s="2">
        <v>47048</v>
      </c>
      <c r="H52" t="s">
        <v>1873</v>
      </c>
    </row>
    <row r="53" spans="1:8" x14ac:dyDescent="0.35">
      <c r="A53" t="s">
        <v>1971</v>
      </c>
      <c r="B53" t="s">
        <v>1972</v>
      </c>
      <c r="C53" t="s">
        <v>1876</v>
      </c>
      <c r="D53" t="s">
        <v>1870</v>
      </c>
      <c r="E53">
        <v>874015</v>
      </c>
      <c r="F53" s="2">
        <v>45408</v>
      </c>
      <c r="G53" s="2">
        <v>46685</v>
      </c>
      <c r="H53" t="s">
        <v>1884</v>
      </c>
    </row>
    <row r="54" spans="1:8" x14ac:dyDescent="0.35">
      <c r="A54" t="s">
        <v>1973</v>
      </c>
      <c r="B54" t="s">
        <v>1974</v>
      </c>
      <c r="C54" t="s">
        <v>1876</v>
      </c>
      <c r="D54" t="s">
        <v>1870</v>
      </c>
      <c r="E54">
        <v>224488</v>
      </c>
      <c r="F54" s="2">
        <v>45770</v>
      </c>
      <c r="G54" s="2">
        <v>46436</v>
      </c>
      <c r="H54" t="s">
        <v>1884</v>
      </c>
    </row>
    <row r="55" spans="1:8" x14ac:dyDescent="0.35">
      <c r="A55" t="s">
        <v>1975</v>
      </c>
      <c r="B55" t="s">
        <v>1976</v>
      </c>
      <c r="C55" t="s">
        <v>1883</v>
      </c>
      <c r="D55" t="s">
        <v>1870</v>
      </c>
      <c r="E55">
        <v>498240</v>
      </c>
      <c r="F55" s="2">
        <v>45978</v>
      </c>
      <c r="G55" s="2">
        <v>46358</v>
      </c>
      <c r="H55" t="s">
        <v>1873</v>
      </c>
    </row>
    <row r="56" spans="1:8" x14ac:dyDescent="0.35">
      <c r="A56" t="s">
        <v>1977</v>
      </c>
      <c r="B56" t="s">
        <v>1978</v>
      </c>
      <c r="C56" t="s">
        <v>1887</v>
      </c>
      <c r="D56" t="s">
        <v>1890</v>
      </c>
      <c r="E56">
        <v>502483</v>
      </c>
      <c r="F56" s="2">
        <v>45482</v>
      </c>
      <c r="G56" s="2">
        <v>46766</v>
      </c>
      <c r="H56" t="s">
        <v>1873</v>
      </c>
    </row>
    <row r="57" spans="1:8" x14ac:dyDescent="0.35">
      <c r="A57" t="s">
        <v>1979</v>
      </c>
      <c r="B57" t="s">
        <v>1980</v>
      </c>
      <c r="C57" t="s">
        <v>1863</v>
      </c>
      <c r="D57" t="s">
        <v>1890</v>
      </c>
      <c r="E57">
        <v>2317049</v>
      </c>
      <c r="F57" s="2">
        <v>46182</v>
      </c>
      <c r="G57" s="2">
        <v>47070</v>
      </c>
      <c r="H57" t="s">
        <v>1871</v>
      </c>
    </row>
    <row r="58" spans="1:8" x14ac:dyDescent="0.35">
      <c r="A58" t="s">
        <v>1981</v>
      </c>
      <c r="B58" t="s">
        <v>1982</v>
      </c>
      <c r="C58" t="s">
        <v>1863</v>
      </c>
      <c r="D58" t="s">
        <v>1864</v>
      </c>
      <c r="E58">
        <v>1708293</v>
      </c>
      <c r="F58" s="2">
        <v>46135</v>
      </c>
      <c r="G58" s="2">
        <v>46372</v>
      </c>
      <c r="H58" t="s">
        <v>1865</v>
      </c>
    </row>
    <row r="59" spans="1:8" x14ac:dyDescent="0.35">
      <c r="A59" t="s">
        <v>1983</v>
      </c>
      <c r="B59" t="s">
        <v>1984</v>
      </c>
      <c r="C59" t="s">
        <v>1876</v>
      </c>
      <c r="D59" t="s">
        <v>1864</v>
      </c>
      <c r="E59">
        <v>2491843</v>
      </c>
      <c r="F59" s="2">
        <v>46341</v>
      </c>
      <c r="G59" s="2">
        <v>46319</v>
      </c>
      <c r="H59" t="s">
        <v>1871</v>
      </c>
    </row>
    <row r="60" spans="1:8" x14ac:dyDescent="0.35">
      <c r="A60" t="s">
        <v>1985</v>
      </c>
      <c r="B60" t="s">
        <v>1986</v>
      </c>
      <c r="C60" t="s">
        <v>1863</v>
      </c>
      <c r="D60" t="s">
        <v>1870</v>
      </c>
      <c r="E60">
        <v>335211</v>
      </c>
      <c r="F60" s="2">
        <v>45195</v>
      </c>
      <c r="G60" s="2">
        <v>46936</v>
      </c>
      <c r="H60" t="s">
        <v>1865</v>
      </c>
    </row>
    <row r="61" spans="1:8" x14ac:dyDescent="0.35">
      <c r="A61" t="s">
        <v>1987</v>
      </c>
      <c r="B61" t="s">
        <v>1988</v>
      </c>
      <c r="C61" t="s">
        <v>1887</v>
      </c>
      <c r="D61" t="s">
        <v>1864</v>
      </c>
      <c r="E61">
        <v>877894</v>
      </c>
      <c r="F61" s="2">
        <v>44977</v>
      </c>
      <c r="G61" s="2">
        <v>46030</v>
      </c>
      <c r="H61" t="s">
        <v>1865</v>
      </c>
    </row>
    <row r="62" spans="1:8" x14ac:dyDescent="0.35">
      <c r="A62" t="s">
        <v>1989</v>
      </c>
      <c r="B62" t="s">
        <v>1990</v>
      </c>
      <c r="C62" t="s">
        <v>1863</v>
      </c>
      <c r="D62" t="s">
        <v>1870</v>
      </c>
      <c r="E62">
        <v>171203</v>
      </c>
      <c r="F62" s="2">
        <v>46313</v>
      </c>
      <c r="G62" s="2">
        <v>47044</v>
      </c>
      <c r="H62" t="s">
        <v>1873</v>
      </c>
    </row>
    <row r="63" spans="1:8" x14ac:dyDescent="0.35">
      <c r="A63" t="s">
        <v>1991</v>
      </c>
      <c r="B63" t="s">
        <v>1992</v>
      </c>
      <c r="C63" t="s">
        <v>1876</v>
      </c>
      <c r="D63" t="s">
        <v>1864</v>
      </c>
      <c r="E63">
        <v>2189749</v>
      </c>
      <c r="F63" s="2">
        <v>45767</v>
      </c>
      <c r="G63" s="2">
        <v>46997</v>
      </c>
      <c r="H63" t="s">
        <v>1884</v>
      </c>
    </row>
    <row r="64" spans="1:8" x14ac:dyDescent="0.35">
      <c r="A64" t="s">
        <v>1993</v>
      </c>
      <c r="B64" t="s">
        <v>1994</v>
      </c>
      <c r="C64" t="s">
        <v>1863</v>
      </c>
      <c r="D64" t="s">
        <v>1864</v>
      </c>
      <c r="E64">
        <v>1840299</v>
      </c>
      <c r="F64" s="2">
        <v>45793</v>
      </c>
      <c r="G64" s="2">
        <v>46036</v>
      </c>
      <c r="H64" t="s">
        <v>1871</v>
      </c>
    </row>
    <row r="65" spans="1:8" x14ac:dyDescent="0.35">
      <c r="A65" t="s">
        <v>1995</v>
      </c>
      <c r="B65" t="s">
        <v>1996</v>
      </c>
      <c r="C65" t="s">
        <v>1883</v>
      </c>
      <c r="D65" t="s">
        <v>1890</v>
      </c>
      <c r="E65">
        <v>2415717</v>
      </c>
      <c r="F65" s="2">
        <v>45849</v>
      </c>
      <c r="G65" s="2">
        <v>46448</v>
      </c>
      <c r="H65" t="s">
        <v>1873</v>
      </c>
    </row>
    <row r="66" spans="1:8" x14ac:dyDescent="0.35">
      <c r="A66" t="s">
        <v>1997</v>
      </c>
      <c r="B66" t="s">
        <v>1998</v>
      </c>
      <c r="C66" t="s">
        <v>1876</v>
      </c>
      <c r="D66" t="s">
        <v>1864</v>
      </c>
      <c r="E66">
        <v>895275</v>
      </c>
      <c r="F66" s="2">
        <v>45899</v>
      </c>
      <c r="G66" s="2">
        <v>46737</v>
      </c>
      <c r="H66" t="s">
        <v>1873</v>
      </c>
    </row>
    <row r="67" spans="1:8" x14ac:dyDescent="0.35">
      <c r="A67" t="s">
        <v>1999</v>
      </c>
      <c r="B67" t="s">
        <v>2000</v>
      </c>
      <c r="C67" t="s">
        <v>1887</v>
      </c>
      <c r="D67" t="s">
        <v>1890</v>
      </c>
      <c r="E67">
        <v>729744</v>
      </c>
      <c r="F67" s="2">
        <v>45745</v>
      </c>
      <c r="G67" s="2">
        <v>46634</v>
      </c>
      <c r="H67" t="s">
        <v>1865</v>
      </c>
    </row>
    <row r="68" spans="1:8" x14ac:dyDescent="0.35">
      <c r="A68" t="s">
        <v>2001</v>
      </c>
      <c r="B68" t="s">
        <v>2002</v>
      </c>
      <c r="C68" t="s">
        <v>1887</v>
      </c>
      <c r="D68" t="s">
        <v>1864</v>
      </c>
      <c r="E68">
        <v>487851</v>
      </c>
      <c r="F68" s="2">
        <v>45415</v>
      </c>
      <c r="G68" s="2">
        <v>46388</v>
      </c>
      <c r="H68" t="s">
        <v>1871</v>
      </c>
    </row>
    <row r="69" spans="1:8" x14ac:dyDescent="0.35">
      <c r="A69" t="s">
        <v>2003</v>
      </c>
      <c r="B69" t="s">
        <v>2004</v>
      </c>
      <c r="C69" t="s">
        <v>1876</v>
      </c>
      <c r="D69" t="s">
        <v>1870</v>
      </c>
      <c r="E69">
        <v>1312778</v>
      </c>
      <c r="F69" s="2">
        <v>46096</v>
      </c>
      <c r="G69" s="2">
        <v>46760</v>
      </c>
      <c r="H69" t="s">
        <v>1873</v>
      </c>
    </row>
    <row r="70" spans="1:8" x14ac:dyDescent="0.35">
      <c r="A70" t="s">
        <v>2005</v>
      </c>
      <c r="B70" t="s">
        <v>2006</v>
      </c>
      <c r="C70" t="s">
        <v>1883</v>
      </c>
      <c r="D70" t="s">
        <v>1870</v>
      </c>
      <c r="E70">
        <v>510599</v>
      </c>
      <c r="F70" s="2">
        <v>45316</v>
      </c>
      <c r="G70" s="2">
        <v>46799</v>
      </c>
      <c r="H70" t="s">
        <v>1873</v>
      </c>
    </row>
    <row r="71" spans="1:8" x14ac:dyDescent="0.35">
      <c r="A71" t="s">
        <v>2007</v>
      </c>
      <c r="B71" t="s">
        <v>2008</v>
      </c>
      <c r="C71" t="s">
        <v>1887</v>
      </c>
      <c r="D71" t="s">
        <v>1870</v>
      </c>
      <c r="E71">
        <v>1912326</v>
      </c>
      <c r="F71" s="2">
        <v>45526</v>
      </c>
      <c r="G71" s="2">
        <v>46298</v>
      </c>
      <c r="H71" t="s">
        <v>1873</v>
      </c>
    </row>
    <row r="72" spans="1:8" x14ac:dyDescent="0.35">
      <c r="A72" t="s">
        <v>2009</v>
      </c>
      <c r="B72" t="s">
        <v>2010</v>
      </c>
      <c r="C72" t="s">
        <v>1883</v>
      </c>
      <c r="D72" t="s">
        <v>1890</v>
      </c>
      <c r="E72">
        <v>1270994</v>
      </c>
      <c r="F72" s="2">
        <v>45409</v>
      </c>
      <c r="G72" s="2">
        <v>47097</v>
      </c>
      <c r="H72" t="s">
        <v>1871</v>
      </c>
    </row>
    <row r="73" spans="1:8" x14ac:dyDescent="0.35">
      <c r="A73" t="s">
        <v>2011</v>
      </c>
      <c r="B73" t="s">
        <v>2012</v>
      </c>
      <c r="C73" t="s">
        <v>1887</v>
      </c>
      <c r="D73" t="s">
        <v>1864</v>
      </c>
      <c r="E73">
        <v>996823</v>
      </c>
      <c r="F73" s="2">
        <v>45732</v>
      </c>
      <c r="G73" s="2">
        <v>47106</v>
      </c>
      <c r="H73" t="s">
        <v>1873</v>
      </c>
    </row>
    <row r="74" spans="1:8" x14ac:dyDescent="0.35">
      <c r="A74" t="s">
        <v>2013</v>
      </c>
      <c r="B74" t="s">
        <v>1448</v>
      </c>
      <c r="C74" t="s">
        <v>1883</v>
      </c>
      <c r="D74" t="s">
        <v>1870</v>
      </c>
      <c r="E74">
        <v>2148629</v>
      </c>
      <c r="F74" s="2">
        <v>45808</v>
      </c>
      <c r="G74" s="2">
        <v>46671</v>
      </c>
      <c r="H74" t="s">
        <v>1865</v>
      </c>
    </row>
    <row r="75" spans="1:8" x14ac:dyDescent="0.35">
      <c r="A75" t="s">
        <v>2014</v>
      </c>
      <c r="B75" t="s">
        <v>2015</v>
      </c>
      <c r="C75" t="s">
        <v>1883</v>
      </c>
      <c r="D75" t="s">
        <v>1864</v>
      </c>
      <c r="E75">
        <v>2323650</v>
      </c>
      <c r="F75" s="2">
        <v>45820</v>
      </c>
      <c r="G75" s="2">
        <v>47039</v>
      </c>
      <c r="H75" t="s">
        <v>1884</v>
      </c>
    </row>
    <row r="76" spans="1:8" x14ac:dyDescent="0.35">
      <c r="A76" t="s">
        <v>2016</v>
      </c>
      <c r="B76" t="s">
        <v>2017</v>
      </c>
      <c r="C76" t="s">
        <v>1876</v>
      </c>
      <c r="D76" t="s">
        <v>1890</v>
      </c>
      <c r="E76">
        <v>2185713</v>
      </c>
      <c r="F76" s="2">
        <v>45038</v>
      </c>
      <c r="G76" s="2">
        <v>46617</v>
      </c>
      <c r="H76" t="s">
        <v>1871</v>
      </c>
    </row>
    <row r="77" spans="1:8" x14ac:dyDescent="0.35">
      <c r="A77" t="s">
        <v>2018</v>
      </c>
      <c r="B77" t="s">
        <v>2019</v>
      </c>
      <c r="C77" t="s">
        <v>1887</v>
      </c>
      <c r="D77" t="s">
        <v>1864</v>
      </c>
      <c r="E77">
        <v>126630</v>
      </c>
      <c r="F77" s="2">
        <v>45514</v>
      </c>
      <c r="G77" s="2">
        <v>46264</v>
      </c>
      <c r="H77" t="s">
        <v>1871</v>
      </c>
    </row>
    <row r="78" spans="1:8" x14ac:dyDescent="0.35">
      <c r="A78" t="s">
        <v>2020</v>
      </c>
      <c r="B78" t="s">
        <v>2017</v>
      </c>
      <c r="C78" t="s">
        <v>1863</v>
      </c>
      <c r="D78" t="s">
        <v>1864</v>
      </c>
      <c r="E78">
        <v>1859093</v>
      </c>
      <c r="F78" s="2">
        <v>45245</v>
      </c>
      <c r="G78" s="2">
        <v>46739</v>
      </c>
      <c r="H78" t="s">
        <v>1871</v>
      </c>
    </row>
    <row r="79" spans="1:8" x14ac:dyDescent="0.35">
      <c r="A79" t="s">
        <v>2021</v>
      </c>
      <c r="B79" t="s">
        <v>2022</v>
      </c>
      <c r="C79" t="s">
        <v>1876</v>
      </c>
      <c r="D79" t="s">
        <v>1890</v>
      </c>
      <c r="E79">
        <v>167384</v>
      </c>
      <c r="F79" s="2">
        <v>45138</v>
      </c>
      <c r="G79" s="2">
        <v>46544</v>
      </c>
      <c r="H79" t="s">
        <v>1873</v>
      </c>
    </row>
    <row r="80" spans="1:8" x14ac:dyDescent="0.35">
      <c r="A80" t="s">
        <v>2023</v>
      </c>
      <c r="B80" t="s">
        <v>2024</v>
      </c>
      <c r="C80" t="s">
        <v>1883</v>
      </c>
      <c r="D80" t="s">
        <v>1890</v>
      </c>
      <c r="E80">
        <v>1410891</v>
      </c>
      <c r="F80" s="2">
        <v>45688</v>
      </c>
      <c r="G80" s="2">
        <v>46686</v>
      </c>
      <c r="H80" t="s">
        <v>1873</v>
      </c>
    </row>
    <row r="81" spans="1:8" x14ac:dyDescent="0.35">
      <c r="A81" t="s">
        <v>2025</v>
      </c>
      <c r="B81" t="s">
        <v>2026</v>
      </c>
      <c r="C81" t="s">
        <v>1883</v>
      </c>
      <c r="D81" t="s">
        <v>1870</v>
      </c>
      <c r="E81">
        <v>597465</v>
      </c>
      <c r="F81" s="2">
        <v>45373</v>
      </c>
      <c r="G81" s="2">
        <v>46082</v>
      </c>
      <c r="H81" t="s">
        <v>1871</v>
      </c>
    </row>
    <row r="82" spans="1:8" x14ac:dyDescent="0.35">
      <c r="A82" t="s">
        <v>2027</v>
      </c>
      <c r="B82" t="s">
        <v>2028</v>
      </c>
      <c r="C82" t="s">
        <v>1883</v>
      </c>
      <c r="D82" t="s">
        <v>1870</v>
      </c>
      <c r="E82">
        <v>933760</v>
      </c>
      <c r="F82" s="2">
        <v>45939</v>
      </c>
      <c r="G82" s="2">
        <v>47004</v>
      </c>
      <c r="H82" t="s">
        <v>1884</v>
      </c>
    </row>
    <row r="83" spans="1:8" x14ac:dyDescent="0.35">
      <c r="A83" t="s">
        <v>2029</v>
      </c>
      <c r="B83" t="s">
        <v>2030</v>
      </c>
      <c r="C83" t="s">
        <v>1876</v>
      </c>
      <c r="D83" t="s">
        <v>1870</v>
      </c>
      <c r="E83">
        <v>269142</v>
      </c>
      <c r="F83" s="2">
        <v>44880</v>
      </c>
      <c r="G83" s="2">
        <v>46966</v>
      </c>
      <c r="H83" t="s">
        <v>1865</v>
      </c>
    </row>
    <row r="84" spans="1:8" x14ac:dyDescent="0.35">
      <c r="A84" t="s">
        <v>2031</v>
      </c>
      <c r="B84" t="s">
        <v>2032</v>
      </c>
      <c r="C84" t="s">
        <v>1863</v>
      </c>
      <c r="D84" t="s">
        <v>1890</v>
      </c>
      <c r="E84">
        <v>2059740</v>
      </c>
      <c r="F84" s="2">
        <v>44676</v>
      </c>
      <c r="G84" s="2">
        <v>47090</v>
      </c>
      <c r="H84" t="s">
        <v>1865</v>
      </c>
    </row>
    <row r="85" spans="1:8" x14ac:dyDescent="0.35">
      <c r="A85" t="s">
        <v>2033</v>
      </c>
      <c r="B85" t="s">
        <v>2034</v>
      </c>
      <c r="C85" t="s">
        <v>1883</v>
      </c>
      <c r="D85" t="s">
        <v>1890</v>
      </c>
      <c r="E85">
        <v>2489541</v>
      </c>
      <c r="F85" s="2">
        <v>45659</v>
      </c>
      <c r="G85" s="2">
        <v>46061</v>
      </c>
      <c r="H85" t="s">
        <v>1871</v>
      </c>
    </row>
    <row r="86" spans="1:8" x14ac:dyDescent="0.35">
      <c r="A86" t="s">
        <v>2035</v>
      </c>
      <c r="B86" t="s">
        <v>2036</v>
      </c>
      <c r="C86" t="s">
        <v>1883</v>
      </c>
      <c r="D86" t="s">
        <v>1864</v>
      </c>
      <c r="E86">
        <v>1511331</v>
      </c>
      <c r="F86" s="2">
        <v>44867</v>
      </c>
      <c r="G86" s="2">
        <v>46597</v>
      </c>
      <c r="H86" t="s">
        <v>1873</v>
      </c>
    </row>
    <row r="87" spans="1:8" x14ac:dyDescent="0.35">
      <c r="A87" t="s">
        <v>2037</v>
      </c>
      <c r="B87" t="s">
        <v>2038</v>
      </c>
      <c r="C87" t="s">
        <v>1863</v>
      </c>
      <c r="D87" t="s">
        <v>1890</v>
      </c>
      <c r="E87">
        <v>1542508</v>
      </c>
      <c r="F87" s="2">
        <v>45656</v>
      </c>
      <c r="G87" s="2">
        <v>46362</v>
      </c>
      <c r="H87" t="s">
        <v>1884</v>
      </c>
    </row>
    <row r="88" spans="1:8" x14ac:dyDescent="0.35">
      <c r="A88" t="s">
        <v>2039</v>
      </c>
      <c r="B88" t="s">
        <v>2040</v>
      </c>
      <c r="C88" t="s">
        <v>1887</v>
      </c>
      <c r="D88" t="s">
        <v>1870</v>
      </c>
      <c r="E88">
        <v>905924</v>
      </c>
      <c r="F88" s="2">
        <v>46006</v>
      </c>
      <c r="G88" s="2">
        <v>46667</v>
      </c>
      <c r="H88" t="s">
        <v>1873</v>
      </c>
    </row>
    <row r="89" spans="1:8" x14ac:dyDescent="0.35">
      <c r="A89" t="s">
        <v>2041</v>
      </c>
      <c r="B89" t="s">
        <v>2042</v>
      </c>
      <c r="C89" t="s">
        <v>1863</v>
      </c>
      <c r="D89" t="s">
        <v>1864</v>
      </c>
      <c r="E89">
        <v>1258742</v>
      </c>
      <c r="F89" s="2">
        <v>45579</v>
      </c>
      <c r="G89" s="2">
        <v>46509</v>
      </c>
      <c r="H89" t="s">
        <v>1865</v>
      </c>
    </row>
    <row r="90" spans="1:8" x14ac:dyDescent="0.35">
      <c r="A90" t="s">
        <v>2043</v>
      </c>
      <c r="B90" t="s">
        <v>2044</v>
      </c>
      <c r="C90" t="s">
        <v>1883</v>
      </c>
      <c r="D90" t="s">
        <v>1864</v>
      </c>
      <c r="E90">
        <v>2015432</v>
      </c>
      <c r="F90" s="2">
        <v>45637</v>
      </c>
      <c r="G90" s="2">
        <v>46642</v>
      </c>
      <c r="H90" t="s">
        <v>1871</v>
      </c>
    </row>
    <row r="91" spans="1:8" x14ac:dyDescent="0.35">
      <c r="A91" t="s">
        <v>2045</v>
      </c>
      <c r="B91" t="s">
        <v>2046</v>
      </c>
      <c r="C91" t="s">
        <v>1883</v>
      </c>
      <c r="D91" t="s">
        <v>1864</v>
      </c>
      <c r="E91">
        <v>590732</v>
      </c>
      <c r="F91" s="2">
        <v>46154</v>
      </c>
      <c r="G91" s="2">
        <v>46436</v>
      </c>
      <c r="H91" t="s">
        <v>1873</v>
      </c>
    </row>
    <row r="92" spans="1:8" x14ac:dyDescent="0.35">
      <c r="A92" t="s">
        <v>2047</v>
      </c>
      <c r="B92" t="s">
        <v>2048</v>
      </c>
      <c r="C92" t="s">
        <v>1887</v>
      </c>
      <c r="D92" t="s">
        <v>1870</v>
      </c>
      <c r="E92">
        <v>1981323</v>
      </c>
      <c r="F92" s="2">
        <v>45586</v>
      </c>
      <c r="G92" s="2">
        <v>46338</v>
      </c>
      <c r="H92" t="s">
        <v>1871</v>
      </c>
    </row>
    <row r="93" spans="1:8" x14ac:dyDescent="0.35">
      <c r="A93" t="s">
        <v>2049</v>
      </c>
      <c r="B93" t="s">
        <v>2050</v>
      </c>
      <c r="C93" t="s">
        <v>1863</v>
      </c>
      <c r="D93" t="s">
        <v>1890</v>
      </c>
      <c r="E93">
        <v>1546549</v>
      </c>
      <c r="F93" s="2">
        <v>46351</v>
      </c>
      <c r="G93" s="2">
        <v>47095</v>
      </c>
      <c r="H93" t="s">
        <v>1865</v>
      </c>
    </row>
    <row r="94" spans="1:8" x14ac:dyDescent="0.35">
      <c r="A94" t="s">
        <v>2051</v>
      </c>
      <c r="B94" t="s">
        <v>2052</v>
      </c>
      <c r="C94" t="s">
        <v>1876</v>
      </c>
      <c r="D94" t="s">
        <v>1864</v>
      </c>
      <c r="E94">
        <v>1492954</v>
      </c>
      <c r="F94" s="2">
        <v>46245</v>
      </c>
      <c r="G94" s="2">
        <v>47080</v>
      </c>
      <c r="H94" t="s">
        <v>1871</v>
      </c>
    </row>
    <row r="95" spans="1:8" x14ac:dyDescent="0.35">
      <c r="A95" t="s">
        <v>2053</v>
      </c>
      <c r="B95" t="s">
        <v>2054</v>
      </c>
      <c r="C95" t="s">
        <v>1887</v>
      </c>
      <c r="D95" t="s">
        <v>1870</v>
      </c>
      <c r="E95">
        <v>980617</v>
      </c>
      <c r="F95" s="2">
        <v>45355</v>
      </c>
      <c r="G95" s="2">
        <v>47092</v>
      </c>
      <c r="H95" t="s">
        <v>1873</v>
      </c>
    </row>
    <row r="96" spans="1:8" x14ac:dyDescent="0.35">
      <c r="A96" t="s">
        <v>2055</v>
      </c>
      <c r="B96" t="s">
        <v>2056</v>
      </c>
      <c r="C96" t="s">
        <v>1883</v>
      </c>
      <c r="D96" t="s">
        <v>1864</v>
      </c>
      <c r="E96">
        <v>137238</v>
      </c>
      <c r="F96" s="2">
        <v>45969</v>
      </c>
      <c r="G96" s="2">
        <v>46201</v>
      </c>
      <c r="H96" t="s">
        <v>1865</v>
      </c>
    </row>
    <row r="97" spans="1:8" x14ac:dyDescent="0.35">
      <c r="A97" t="s">
        <v>2057</v>
      </c>
      <c r="B97" t="s">
        <v>2058</v>
      </c>
      <c r="C97" t="s">
        <v>1887</v>
      </c>
      <c r="D97" t="s">
        <v>1864</v>
      </c>
      <c r="E97">
        <v>2078219</v>
      </c>
      <c r="F97" s="2">
        <v>45628</v>
      </c>
      <c r="G97" s="2">
        <v>46662</v>
      </c>
      <c r="H97" t="s">
        <v>1873</v>
      </c>
    </row>
    <row r="98" spans="1:8" x14ac:dyDescent="0.35">
      <c r="A98" t="s">
        <v>2059</v>
      </c>
      <c r="B98" t="s">
        <v>2060</v>
      </c>
      <c r="C98" t="s">
        <v>1876</v>
      </c>
      <c r="D98" t="s">
        <v>1870</v>
      </c>
      <c r="E98">
        <v>1429222</v>
      </c>
      <c r="F98" s="2">
        <v>44972</v>
      </c>
      <c r="G98" s="2">
        <v>46417</v>
      </c>
      <c r="H98" t="s">
        <v>1865</v>
      </c>
    </row>
    <row r="99" spans="1:8" x14ac:dyDescent="0.35">
      <c r="A99" t="s">
        <v>2061</v>
      </c>
      <c r="B99" t="s">
        <v>2062</v>
      </c>
      <c r="C99" t="s">
        <v>1883</v>
      </c>
      <c r="D99" t="s">
        <v>1870</v>
      </c>
      <c r="E99">
        <v>1280352</v>
      </c>
      <c r="F99" s="2">
        <v>45936</v>
      </c>
      <c r="G99" s="2">
        <v>46263</v>
      </c>
      <c r="H99" t="s">
        <v>1865</v>
      </c>
    </row>
    <row r="100" spans="1:8" x14ac:dyDescent="0.35">
      <c r="A100" t="s">
        <v>2063</v>
      </c>
      <c r="B100" t="s">
        <v>2064</v>
      </c>
      <c r="C100" t="s">
        <v>1876</v>
      </c>
      <c r="D100" t="s">
        <v>1870</v>
      </c>
      <c r="E100">
        <v>746296</v>
      </c>
      <c r="F100" s="2">
        <v>44796</v>
      </c>
      <c r="G100" s="2">
        <v>46054</v>
      </c>
      <c r="H100" t="s">
        <v>1873</v>
      </c>
    </row>
    <row r="101" spans="1:8" x14ac:dyDescent="0.35">
      <c r="A101" t="s">
        <v>2065</v>
      </c>
      <c r="B101" t="s">
        <v>2066</v>
      </c>
      <c r="C101" t="s">
        <v>1883</v>
      </c>
      <c r="D101" t="s">
        <v>1890</v>
      </c>
      <c r="E101">
        <v>986448</v>
      </c>
      <c r="F101" s="2">
        <v>45214</v>
      </c>
      <c r="G101" s="2">
        <v>46578</v>
      </c>
      <c r="H101" t="s">
        <v>1871</v>
      </c>
    </row>
    <row r="102" spans="1:8" x14ac:dyDescent="0.35">
      <c r="A102" t="s">
        <v>2067</v>
      </c>
      <c r="B102" t="s">
        <v>2068</v>
      </c>
      <c r="C102" t="s">
        <v>1876</v>
      </c>
      <c r="D102" t="s">
        <v>1864</v>
      </c>
      <c r="E102">
        <v>1308110</v>
      </c>
      <c r="F102" s="2">
        <v>44707</v>
      </c>
      <c r="G102" s="2">
        <v>46660</v>
      </c>
      <c r="H102" t="s">
        <v>1865</v>
      </c>
    </row>
    <row r="103" spans="1:8" x14ac:dyDescent="0.35">
      <c r="A103" t="s">
        <v>2069</v>
      </c>
      <c r="B103" t="s">
        <v>2070</v>
      </c>
      <c r="C103" t="s">
        <v>1863</v>
      </c>
      <c r="D103" t="s">
        <v>1864</v>
      </c>
      <c r="E103">
        <v>2387344</v>
      </c>
      <c r="F103" s="2">
        <v>44828</v>
      </c>
      <c r="G103" s="2">
        <v>46082</v>
      </c>
      <c r="H103" t="s">
        <v>1884</v>
      </c>
    </row>
    <row r="104" spans="1:8" x14ac:dyDescent="0.35">
      <c r="A104" t="s">
        <v>2071</v>
      </c>
      <c r="B104" t="s">
        <v>2072</v>
      </c>
      <c r="C104" t="s">
        <v>1887</v>
      </c>
      <c r="D104" t="s">
        <v>1870</v>
      </c>
      <c r="E104">
        <v>331627</v>
      </c>
      <c r="F104" s="2">
        <v>44672</v>
      </c>
      <c r="G104" s="2">
        <v>46199</v>
      </c>
      <c r="H104" t="s">
        <v>1884</v>
      </c>
    </row>
    <row r="105" spans="1:8" x14ac:dyDescent="0.35">
      <c r="A105" t="s">
        <v>2073</v>
      </c>
      <c r="B105" t="s">
        <v>2074</v>
      </c>
      <c r="C105" t="s">
        <v>1876</v>
      </c>
      <c r="D105" t="s">
        <v>1890</v>
      </c>
      <c r="E105">
        <v>1763818</v>
      </c>
      <c r="F105" s="2">
        <v>45782</v>
      </c>
      <c r="G105" s="2">
        <v>46936</v>
      </c>
      <c r="H105" t="s">
        <v>1865</v>
      </c>
    </row>
    <row r="106" spans="1:8" x14ac:dyDescent="0.35">
      <c r="A106" t="s">
        <v>2075</v>
      </c>
      <c r="B106" t="s">
        <v>2076</v>
      </c>
      <c r="C106" t="s">
        <v>1883</v>
      </c>
      <c r="D106" t="s">
        <v>1864</v>
      </c>
      <c r="E106">
        <v>1430471</v>
      </c>
      <c r="F106" s="2">
        <v>46022</v>
      </c>
      <c r="G106" s="2">
        <v>47115</v>
      </c>
      <c r="H106" t="s">
        <v>1873</v>
      </c>
    </row>
    <row r="107" spans="1:8" x14ac:dyDescent="0.35">
      <c r="A107" t="s">
        <v>2077</v>
      </c>
      <c r="B107" t="s">
        <v>2078</v>
      </c>
      <c r="C107" t="s">
        <v>1876</v>
      </c>
      <c r="D107" t="s">
        <v>1864</v>
      </c>
      <c r="E107">
        <v>2073267</v>
      </c>
      <c r="F107" s="2">
        <v>46226</v>
      </c>
      <c r="G107" s="2">
        <v>46982</v>
      </c>
      <c r="H107" t="s">
        <v>1873</v>
      </c>
    </row>
    <row r="108" spans="1:8" x14ac:dyDescent="0.35">
      <c r="A108" t="s">
        <v>2079</v>
      </c>
      <c r="B108" t="s">
        <v>2080</v>
      </c>
      <c r="C108" t="s">
        <v>1883</v>
      </c>
      <c r="D108" t="s">
        <v>1890</v>
      </c>
      <c r="E108">
        <v>2030858</v>
      </c>
      <c r="F108" s="2">
        <v>45881</v>
      </c>
      <c r="G108" s="2">
        <v>46976</v>
      </c>
      <c r="H108" t="s">
        <v>1884</v>
      </c>
    </row>
    <row r="109" spans="1:8" x14ac:dyDescent="0.35">
      <c r="A109" t="s">
        <v>2081</v>
      </c>
      <c r="B109" t="s">
        <v>2082</v>
      </c>
      <c r="C109" t="s">
        <v>1876</v>
      </c>
      <c r="D109" t="s">
        <v>1864</v>
      </c>
      <c r="E109">
        <v>1091795</v>
      </c>
      <c r="F109" s="2">
        <v>46325</v>
      </c>
      <c r="G109" s="2">
        <v>46551</v>
      </c>
      <c r="H109" t="s">
        <v>1865</v>
      </c>
    </row>
    <row r="110" spans="1:8" x14ac:dyDescent="0.35">
      <c r="A110" t="s">
        <v>2083</v>
      </c>
      <c r="B110" t="s">
        <v>2084</v>
      </c>
      <c r="C110" t="s">
        <v>1876</v>
      </c>
      <c r="D110" t="s">
        <v>1890</v>
      </c>
      <c r="E110">
        <v>1764489</v>
      </c>
      <c r="F110" s="2">
        <v>45924</v>
      </c>
      <c r="G110" s="2">
        <v>46699</v>
      </c>
      <c r="H110" t="s">
        <v>1865</v>
      </c>
    </row>
    <row r="111" spans="1:8" x14ac:dyDescent="0.35">
      <c r="A111" t="s">
        <v>2085</v>
      </c>
      <c r="B111" t="s">
        <v>2086</v>
      </c>
      <c r="C111" t="s">
        <v>1863</v>
      </c>
      <c r="D111" t="s">
        <v>1864</v>
      </c>
      <c r="E111">
        <v>2021206</v>
      </c>
      <c r="F111" s="2">
        <v>44695</v>
      </c>
      <c r="G111" s="2">
        <v>46996</v>
      </c>
      <c r="H111" t="s">
        <v>1873</v>
      </c>
    </row>
    <row r="112" spans="1:8" x14ac:dyDescent="0.35">
      <c r="A112" t="s">
        <v>2087</v>
      </c>
      <c r="B112" t="s">
        <v>2088</v>
      </c>
      <c r="C112" t="s">
        <v>1863</v>
      </c>
      <c r="D112" t="s">
        <v>1870</v>
      </c>
      <c r="E112">
        <v>1594049</v>
      </c>
      <c r="F112" s="2">
        <v>46294</v>
      </c>
      <c r="G112" s="2">
        <v>46372</v>
      </c>
      <c r="H112" t="s">
        <v>1865</v>
      </c>
    </row>
    <row r="113" spans="1:8" x14ac:dyDescent="0.35">
      <c r="A113" t="s">
        <v>2089</v>
      </c>
      <c r="B113" t="s">
        <v>2090</v>
      </c>
      <c r="C113" t="s">
        <v>1876</v>
      </c>
      <c r="D113" t="s">
        <v>1890</v>
      </c>
      <c r="E113">
        <v>1582199</v>
      </c>
      <c r="F113" s="2">
        <v>44772</v>
      </c>
      <c r="G113" s="2">
        <v>46853</v>
      </c>
      <c r="H113" t="s">
        <v>1873</v>
      </c>
    </row>
    <row r="114" spans="1:8" x14ac:dyDescent="0.35">
      <c r="A114" t="s">
        <v>2091</v>
      </c>
      <c r="B114" t="s">
        <v>2092</v>
      </c>
      <c r="C114" t="s">
        <v>1887</v>
      </c>
      <c r="D114" t="s">
        <v>1870</v>
      </c>
      <c r="E114">
        <v>1486796</v>
      </c>
      <c r="F114" s="2">
        <v>45653</v>
      </c>
      <c r="G114" s="2">
        <v>46967</v>
      </c>
      <c r="H114" t="s">
        <v>1884</v>
      </c>
    </row>
    <row r="115" spans="1:8" x14ac:dyDescent="0.35">
      <c r="A115" t="s">
        <v>2093</v>
      </c>
      <c r="B115" t="s">
        <v>2094</v>
      </c>
      <c r="C115" t="s">
        <v>1876</v>
      </c>
      <c r="D115" t="s">
        <v>1890</v>
      </c>
      <c r="E115">
        <v>1854101</v>
      </c>
      <c r="F115" s="2">
        <v>45061</v>
      </c>
      <c r="G115" s="2">
        <v>46348</v>
      </c>
      <c r="H115" t="s">
        <v>1884</v>
      </c>
    </row>
    <row r="116" spans="1:8" x14ac:dyDescent="0.35">
      <c r="A116" t="s">
        <v>2095</v>
      </c>
      <c r="B116" t="s">
        <v>2096</v>
      </c>
      <c r="C116" t="s">
        <v>1887</v>
      </c>
      <c r="D116" t="s">
        <v>1870</v>
      </c>
      <c r="E116">
        <v>1729842</v>
      </c>
      <c r="F116" s="2">
        <v>44988</v>
      </c>
      <c r="G116" s="2">
        <v>46905</v>
      </c>
      <c r="H116" t="s">
        <v>1884</v>
      </c>
    </row>
    <row r="117" spans="1:8" x14ac:dyDescent="0.35">
      <c r="A117" t="s">
        <v>2097</v>
      </c>
      <c r="B117" t="s">
        <v>2098</v>
      </c>
      <c r="C117" t="s">
        <v>1883</v>
      </c>
      <c r="D117" t="s">
        <v>1890</v>
      </c>
      <c r="E117">
        <v>2499056</v>
      </c>
      <c r="F117" s="2">
        <v>45983</v>
      </c>
      <c r="G117" s="2">
        <v>46506</v>
      </c>
      <c r="H117" t="s">
        <v>1871</v>
      </c>
    </row>
    <row r="118" spans="1:8" x14ac:dyDescent="0.35">
      <c r="A118" t="s">
        <v>2099</v>
      </c>
      <c r="B118" t="s">
        <v>2100</v>
      </c>
      <c r="C118" t="s">
        <v>1863</v>
      </c>
      <c r="D118" t="s">
        <v>1864</v>
      </c>
      <c r="E118">
        <v>446712</v>
      </c>
      <c r="F118" s="2">
        <v>45774</v>
      </c>
      <c r="G118" s="2">
        <v>46971</v>
      </c>
      <c r="H118" t="s">
        <v>1865</v>
      </c>
    </row>
    <row r="119" spans="1:8" x14ac:dyDescent="0.35">
      <c r="A119" t="s">
        <v>2101</v>
      </c>
      <c r="B119" t="s">
        <v>2102</v>
      </c>
      <c r="C119" t="s">
        <v>1887</v>
      </c>
      <c r="D119" t="s">
        <v>1870</v>
      </c>
      <c r="E119">
        <v>2448206</v>
      </c>
      <c r="F119" s="2">
        <v>44922</v>
      </c>
      <c r="G119" s="2">
        <v>46653</v>
      </c>
      <c r="H119" t="s">
        <v>1884</v>
      </c>
    </row>
    <row r="120" spans="1:8" x14ac:dyDescent="0.35">
      <c r="A120" t="s">
        <v>2103</v>
      </c>
      <c r="B120" t="s">
        <v>2104</v>
      </c>
      <c r="C120" t="s">
        <v>1887</v>
      </c>
      <c r="D120" t="s">
        <v>1890</v>
      </c>
      <c r="E120">
        <v>411955</v>
      </c>
      <c r="F120" s="2">
        <v>46229</v>
      </c>
      <c r="G120" s="2">
        <v>46799</v>
      </c>
      <c r="H120" t="s">
        <v>1865</v>
      </c>
    </row>
    <row r="121" spans="1:8" x14ac:dyDescent="0.35">
      <c r="A121" t="s">
        <v>2105</v>
      </c>
      <c r="B121" t="s">
        <v>2106</v>
      </c>
      <c r="C121" t="s">
        <v>1887</v>
      </c>
      <c r="D121" t="s">
        <v>1864</v>
      </c>
      <c r="E121">
        <v>2193224</v>
      </c>
      <c r="F121" s="2">
        <v>45007</v>
      </c>
      <c r="G121" s="2">
        <v>46307</v>
      </c>
      <c r="H121" t="s">
        <v>1873</v>
      </c>
    </row>
    <row r="122" spans="1:8" x14ac:dyDescent="0.35">
      <c r="A122" t="s">
        <v>2107</v>
      </c>
      <c r="B122" t="s">
        <v>2108</v>
      </c>
      <c r="C122" t="s">
        <v>1876</v>
      </c>
      <c r="D122" t="s">
        <v>1870</v>
      </c>
      <c r="E122">
        <v>735410</v>
      </c>
      <c r="F122" s="2">
        <v>45650</v>
      </c>
      <c r="G122" s="2">
        <v>46619</v>
      </c>
      <c r="H122" t="s">
        <v>1884</v>
      </c>
    </row>
    <row r="123" spans="1:8" x14ac:dyDescent="0.35">
      <c r="A123" t="s">
        <v>2109</v>
      </c>
      <c r="B123" t="s">
        <v>2110</v>
      </c>
      <c r="C123" t="s">
        <v>1876</v>
      </c>
      <c r="D123" t="s">
        <v>1864</v>
      </c>
      <c r="E123">
        <v>1995524</v>
      </c>
      <c r="F123" s="2">
        <v>45957</v>
      </c>
      <c r="G123" s="2">
        <v>46671</v>
      </c>
      <c r="H123" t="s">
        <v>1865</v>
      </c>
    </row>
    <row r="124" spans="1:8" x14ac:dyDescent="0.35">
      <c r="A124" t="s">
        <v>2111</v>
      </c>
      <c r="B124" t="s">
        <v>2112</v>
      </c>
      <c r="C124" t="s">
        <v>1863</v>
      </c>
      <c r="D124" t="s">
        <v>1890</v>
      </c>
      <c r="E124">
        <v>1397375</v>
      </c>
      <c r="F124" s="2">
        <v>45267</v>
      </c>
      <c r="G124" s="2">
        <v>46205</v>
      </c>
      <c r="H124" t="s">
        <v>1873</v>
      </c>
    </row>
    <row r="125" spans="1:8" x14ac:dyDescent="0.35">
      <c r="A125" t="s">
        <v>2113</v>
      </c>
      <c r="B125" t="s">
        <v>2114</v>
      </c>
      <c r="C125" t="s">
        <v>1863</v>
      </c>
      <c r="D125" t="s">
        <v>1864</v>
      </c>
      <c r="E125">
        <v>2260872</v>
      </c>
      <c r="F125" s="2">
        <v>46307</v>
      </c>
      <c r="G125" s="2">
        <v>46625</v>
      </c>
      <c r="H125" t="s">
        <v>1873</v>
      </c>
    </row>
    <row r="126" spans="1:8" x14ac:dyDescent="0.35">
      <c r="A126" t="s">
        <v>2115</v>
      </c>
      <c r="B126" t="s">
        <v>2116</v>
      </c>
      <c r="C126" t="s">
        <v>1887</v>
      </c>
      <c r="D126" t="s">
        <v>1864</v>
      </c>
      <c r="E126">
        <v>1668633</v>
      </c>
      <c r="F126" s="2">
        <v>46002</v>
      </c>
      <c r="G126" s="2">
        <v>46758</v>
      </c>
      <c r="H126" t="s">
        <v>1873</v>
      </c>
    </row>
    <row r="127" spans="1:8" x14ac:dyDescent="0.35">
      <c r="A127" t="s">
        <v>2117</v>
      </c>
      <c r="B127" t="s">
        <v>2118</v>
      </c>
      <c r="C127" t="s">
        <v>1887</v>
      </c>
      <c r="D127" t="s">
        <v>1864</v>
      </c>
      <c r="E127">
        <v>1303671</v>
      </c>
      <c r="F127" s="2">
        <v>45446</v>
      </c>
      <c r="G127" s="2">
        <v>46830</v>
      </c>
      <c r="H127" t="s">
        <v>1865</v>
      </c>
    </row>
    <row r="128" spans="1:8" x14ac:dyDescent="0.35">
      <c r="A128" t="s">
        <v>2119</v>
      </c>
      <c r="B128" t="s">
        <v>2120</v>
      </c>
      <c r="C128" t="s">
        <v>1863</v>
      </c>
      <c r="D128" t="s">
        <v>1870</v>
      </c>
      <c r="E128">
        <v>1725536</v>
      </c>
      <c r="F128" s="2">
        <v>45453</v>
      </c>
      <c r="G128" s="2">
        <v>46455</v>
      </c>
      <c r="H128" t="s">
        <v>1871</v>
      </c>
    </row>
    <row r="129" spans="1:8" x14ac:dyDescent="0.35">
      <c r="A129" t="s">
        <v>2121</v>
      </c>
      <c r="B129" t="s">
        <v>2122</v>
      </c>
      <c r="C129" t="s">
        <v>1876</v>
      </c>
      <c r="D129" t="s">
        <v>1864</v>
      </c>
      <c r="E129">
        <v>2111755</v>
      </c>
      <c r="F129" s="2">
        <v>45699</v>
      </c>
      <c r="G129" s="2">
        <v>46810</v>
      </c>
      <c r="H129" t="s">
        <v>1865</v>
      </c>
    </row>
    <row r="130" spans="1:8" x14ac:dyDescent="0.35">
      <c r="A130" t="s">
        <v>2123</v>
      </c>
      <c r="B130" t="s">
        <v>2124</v>
      </c>
      <c r="C130" t="s">
        <v>1876</v>
      </c>
      <c r="D130" t="s">
        <v>1870</v>
      </c>
      <c r="E130">
        <v>1870012</v>
      </c>
      <c r="F130" s="2">
        <v>46349</v>
      </c>
      <c r="G130" s="2">
        <v>46280</v>
      </c>
      <c r="H130" t="s">
        <v>1871</v>
      </c>
    </row>
    <row r="131" spans="1:8" x14ac:dyDescent="0.35">
      <c r="A131" t="s">
        <v>2125</v>
      </c>
      <c r="B131" t="s">
        <v>2126</v>
      </c>
      <c r="C131" t="s">
        <v>1887</v>
      </c>
      <c r="D131" t="s">
        <v>1890</v>
      </c>
      <c r="E131">
        <v>168665</v>
      </c>
      <c r="F131" s="2">
        <v>44594</v>
      </c>
      <c r="G131" s="2">
        <v>46317</v>
      </c>
      <c r="H131" t="s">
        <v>1884</v>
      </c>
    </row>
    <row r="132" spans="1:8" x14ac:dyDescent="0.35">
      <c r="A132" t="s">
        <v>2127</v>
      </c>
      <c r="B132" t="s">
        <v>2128</v>
      </c>
      <c r="C132" t="s">
        <v>1876</v>
      </c>
      <c r="D132" t="s">
        <v>1864</v>
      </c>
      <c r="E132">
        <v>1951799</v>
      </c>
      <c r="F132" s="2">
        <v>44843</v>
      </c>
      <c r="G132" s="2">
        <v>46874</v>
      </c>
      <c r="H132" t="s">
        <v>1884</v>
      </c>
    </row>
    <row r="133" spans="1:8" x14ac:dyDescent="0.35">
      <c r="A133" t="s">
        <v>2129</v>
      </c>
      <c r="B133" t="s">
        <v>2130</v>
      </c>
      <c r="C133" t="s">
        <v>1876</v>
      </c>
      <c r="D133" t="s">
        <v>1870</v>
      </c>
      <c r="E133">
        <v>1905532</v>
      </c>
      <c r="F133" s="2">
        <v>45605</v>
      </c>
      <c r="G133" s="2">
        <v>46891</v>
      </c>
      <c r="H133" t="s">
        <v>1884</v>
      </c>
    </row>
    <row r="134" spans="1:8" x14ac:dyDescent="0.35">
      <c r="A134" t="s">
        <v>2131</v>
      </c>
      <c r="B134" t="s">
        <v>2132</v>
      </c>
      <c r="C134" t="s">
        <v>1883</v>
      </c>
      <c r="D134" t="s">
        <v>1864</v>
      </c>
      <c r="E134">
        <v>1733610</v>
      </c>
      <c r="F134" s="2">
        <v>44942</v>
      </c>
      <c r="G134" s="2">
        <v>46892</v>
      </c>
      <c r="H134" t="s">
        <v>1873</v>
      </c>
    </row>
    <row r="135" spans="1:8" x14ac:dyDescent="0.35">
      <c r="A135" t="s">
        <v>2133</v>
      </c>
      <c r="B135" t="s">
        <v>2134</v>
      </c>
      <c r="C135" t="s">
        <v>1876</v>
      </c>
      <c r="D135" t="s">
        <v>1890</v>
      </c>
      <c r="E135">
        <v>2209421</v>
      </c>
      <c r="F135" s="2">
        <v>45589</v>
      </c>
      <c r="G135" s="2">
        <v>46574</v>
      </c>
      <c r="H135" t="s">
        <v>1884</v>
      </c>
    </row>
    <row r="136" spans="1:8" x14ac:dyDescent="0.35">
      <c r="A136" t="s">
        <v>2135</v>
      </c>
      <c r="B136" t="s">
        <v>2136</v>
      </c>
      <c r="C136" t="s">
        <v>1883</v>
      </c>
      <c r="D136" t="s">
        <v>1864</v>
      </c>
      <c r="E136">
        <v>2410787</v>
      </c>
      <c r="F136" s="2">
        <v>44639</v>
      </c>
      <c r="G136" s="2">
        <v>47012</v>
      </c>
      <c r="H136" t="s">
        <v>1865</v>
      </c>
    </row>
    <row r="137" spans="1:8" x14ac:dyDescent="0.35">
      <c r="A137" t="s">
        <v>2137</v>
      </c>
      <c r="B137" t="s">
        <v>2138</v>
      </c>
      <c r="C137" t="s">
        <v>1863</v>
      </c>
      <c r="D137" t="s">
        <v>1890</v>
      </c>
      <c r="E137">
        <v>594645</v>
      </c>
      <c r="F137" s="2">
        <v>44725</v>
      </c>
      <c r="G137" s="2">
        <v>46313</v>
      </c>
      <c r="H137" t="s">
        <v>1865</v>
      </c>
    </row>
    <row r="138" spans="1:8" x14ac:dyDescent="0.35">
      <c r="A138" t="s">
        <v>2139</v>
      </c>
      <c r="B138" t="s">
        <v>2140</v>
      </c>
      <c r="C138" t="s">
        <v>1887</v>
      </c>
      <c r="D138" t="s">
        <v>1890</v>
      </c>
      <c r="E138">
        <v>2070084</v>
      </c>
      <c r="F138" s="2">
        <v>46384</v>
      </c>
      <c r="G138" s="2">
        <v>46204</v>
      </c>
      <c r="H138" t="s">
        <v>1871</v>
      </c>
    </row>
    <row r="139" spans="1:8" x14ac:dyDescent="0.35">
      <c r="A139" t="s">
        <v>2141</v>
      </c>
      <c r="B139" t="s">
        <v>2142</v>
      </c>
      <c r="C139" t="s">
        <v>1887</v>
      </c>
      <c r="D139" t="s">
        <v>1890</v>
      </c>
      <c r="E139">
        <v>2101605</v>
      </c>
      <c r="F139" s="2">
        <v>45859</v>
      </c>
      <c r="G139" s="2">
        <v>46662</v>
      </c>
      <c r="H139" t="s">
        <v>1873</v>
      </c>
    </row>
    <row r="140" spans="1:8" x14ac:dyDescent="0.35">
      <c r="A140" t="s">
        <v>2143</v>
      </c>
      <c r="B140" t="s">
        <v>2144</v>
      </c>
      <c r="C140" t="s">
        <v>1887</v>
      </c>
      <c r="D140" t="s">
        <v>1870</v>
      </c>
      <c r="E140">
        <v>1560937</v>
      </c>
      <c r="F140" s="2">
        <v>45491</v>
      </c>
      <c r="G140" s="2">
        <v>47072</v>
      </c>
      <c r="H140" t="s">
        <v>1884</v>
      </c>
    </row>
    <row r="141" spans="1:8" x14ac:dyDescent="0.35">
      <c r="A141" t="s">
        <v>2145</v>
      </c>
      <c r="B141" t="s">
        <v>2146</v>
      </c>
      <c r="C141" t="s">
        <v>1863</v>
      </c>
      <c r="D141" t="s">
        <v>1870</v>
      </c>
      <c r="E141">
        <v>1510470</v>
      </c>
      <c r="F141" s="2">
        <v>46196</v>
      </c>
      <c r="G141" s="2">
        <v>46626</v>
      </c>
      <c r="H141" t="s">
        <v>1865</v>
      </c>
    </row>
    <row r="142" spans="1:8" x14ac:dyDescent="0.35">
      <c r="A142" t="s">
        <v>2147</v>
      </c>
      <c r="B142" t="s">
        <v>2148</v>
      </c>
      <c r="C142" t="s">
        <v>1887</v>
      </c>
      <c r="D142" t="s">
        <v>1890</v>
      </c>
      <c r="E142">
        <v>822580</v>
      </c>
      <c r="F142" s="2">
        <v>45785</v>
      </c>
      <c r="G142" s="2">
        <v>46645</v>
      </c>
      <c r="H142" t="s">
        <v>1865</v>
      </c>
    </row>
    <row r="143" spans="1:8" x14ac:dyDescent="0.35">
      <c r="A143" t="s">
        <v>2149</v>
      </c>
      <c r="B143" t="s">
        <v>2150</v>
      </c>
      <c r="C143" t="s">
        <v>1863</v>
      </c>
      <c r="D143" t="s">
        <v>1890</v>
      </c>
      <c r="E143">
        <v>377604</v>
      </c>
      <c r="F143" s="2">
        <v>44908</v>
      </c>
      <c r="G143" s="2">
        <v>46128</v>
      </c>
      <c r="H143" t="s">
        <v>1865</v>
      </c>
    </row>
    <row r="144" spans="1:8" x14ac:dyDescent="0.35">
      <c r="A144" t="s">
        <v>2151</v>
      </c>
      <c r="B144" t="s">
        <v>2152</v>
      </c>
      <c r="C144" t="s">
        <v>1883</v>
      </c>
      <c r="D144" t="s">
        <v>1870</v>
      </c>
      <c r="E144">
        <v>234496</v>
      </c>
      <c r="F144" s="2">
        <v>44730</v>
      </c>
      <c r="G144" s="2">
        <v>46282</v>
      </c>
      <c r="H144" t="s">
        <v>1873</v>
      </c>
    </row>
    <row r="145" spans="1:8" x14ac:dyDescent="0.35">
      <c r="A145" t="s">
        <v>2153</v>
      </c>
      <c r="B145" t="s">
        <v>2154</v>
      </c>
      <c r="C145" t="s">
        <v>1883</v>
      </c>
      <c r="D145" t="s">
        <v>1864</v>
      </c>
      <c r="E145">
        <v>1285382</v>
      </c>
      <c r="F145" s="2">
        <v>45823</v>
      </c>
      <c r="G145" s="2">
        <v>46598</v>
      </c>
      <c r="H145" t="s">
        <v>1865</v>
      </c>
    </row>
    <row r="146" spans="1:8" x14ac:dyDescent="0.35">
      <c r="A146" t="s">
        <v>2155</v>
      </c>
      <c r="B146" t="s">
        <v>2156</v>
      </c>
      <c r="C146" t="s">
        <v>1887</v>
      </c>
      <c r="D146" t="s">
        <v>1890</v>
      </c>
      <c r="E146">
        <v>1197750</v>
      </c>
      <c r="F146" s="2">
        <v>44790</v>
      </c>
      <c r="G146" s="2">
        <v>46380</v>
      </c>
      <c r="H146" t="s">
        <v>1871</v>
      </c>
    </row>
    <row r="147" spans="1:8" x14ac:dyDescent="0.35">
      <c r="A147" t="s">
        <v>2157</v>
      </c>
      <c r="B147" t="s">
        <v>2158</v>
      </c>
      <c r="C147" t="s">
        <v>1883</v>
      </c>
      <c r="D147" t="s">
        <v>1864</v>
      </c>
      <c r="E147">
        <v>1993399</v>
      </c>
      <c r="F147" s="2">
        <v>45097</v>
      </c>
      <c r="G147" s="2">
        <v>46506</v>
      </c>
      <c r="H147" t="s">
        <v>1884</v>
      </c>
    </row>
    <row r="148" spans="1:8" x14ac:dyDescent="0.35">
      <c r="A148" t="s">
        <v>2159</v>
      </c>
      <c r="B148" t="s">
        <v>2160</v>
      </c>
      <c r="C148" t="s">
        <v>1887</v>
      </c>
      <c r="D148" t="s">
        <v>1870</v>
      </c>
      <c r="E148">
        <v>878368</v>
      </c>
      <c r="F148" s="2">
        <v>44734</v>
      </c>
      <c r="G148" s="2">
        <v>46320</v>
      </c>
      <c r="H148" t="s">
        <v>1871</v>
      </c>
    </row>
    <row r="149" spans="1:8" x14ac:dyDescent="0.35">
      <c r="A149" t="s">
        <v>2161</v>
      </c>
      <c r="B149" t="s">
        <v>2162</v>
      </c>
      <c r="C149" t="s">
        <v>1863</v>
      </c>
      <c r="D149" t="s">
        <v>1870</v>
      </c>
      <c r="E149">
        <v>2200157</v>
      </c>
      <c r="F149" s="2">
        <v>45049</v>
      </c>
      <c r="G149" s="2">
        <v>46924</v>
      </c>
      <c r="H149" t="s">
        <v>1871</v>
      </c>
    </row>
    <row r="150" spans="1:8" x14ac:dyDescent="0.35">
      <c r="A150" t="s">
        <v>2163</v>
      </c>
      <c r="B150" t="s">
        <v>2164</v>
      </c>
      <c r="C150" t="s">
        <v>1883</v>
      </c>
      <c r="D150" t="s">
        <v>1864</v>
      </c>
      <c r="E150">
        <v>1004397</v>
      </c>
      <c r="F150" s="2">
        <v>45877</v>
      </c>
      <c r="G150" s="2">
        <v>46564</v>
      </c>
      <c r="H150" t="s">
        <v>1873</v>
      </c>
    </row>
    <row r="151" spans="1:8" x14ac:dyDescent="0.35">
      <c r="A151" t="s">
        <v>2165</v>
      </c>
      <c r="B151" t="s">
        <v>2166</v>
      </c>
      <c r="C151" t="s">
        <v>1876</v>
      </c>
      <c r="D151" t="s">
        <v>1870</v>
      </c>
      <c r="E151">
        <v>340298</v>
      </c>
      <c r="F151" s="2">
        <v>45378</v>
      </c>
      <c r="G151" s="2">
        <v>46998</v>
      </c>
      <c r="H151" t="s">
        <v>1865</v>
      </c>
    </row>
    <row r="152" spans="1:8" x14ac:dyDescent="0.35">
      <c r="A152" t="s">
        <v>2167</v>
      </c>
      <c r="B152" t="s">
        <v>2168</v>
      </c>
      <c r="C152" t="s">
        <v>1876</v>
      </c>
      <c r="D152" t="s">
        <v>1870</v>
      </c>
      <c r="E152">
        <v>2117605</v>
      </c>
      <c r="F152" s="2">
        <v>45961</v>
      </c>
      <c r="G152" s="2">
        <v>46821</v>
      </c>
      <c r="H152" t="s">
        <v>1884</v>
      </c>
    </row>
    <row r="153" spans="1:8" x14ac:dyDescent="0.35">
      <c r="A153" t="s">
        <v>2169</v>
      </c>
      <c r="B153" t="s">
        <v>2170</v>
      </c>
      <c r="C153" t="s">
        <v>1876</v>
      </c>
      <c r="D153" t="s">
        <v>1890</v>
      </c>
      <c r="E153">
        <v>1221529</v>
      </c>
      <c r="F153" s="2">
        <v>46344</v>
      </c>
      <c r="G153" s="2">
        <v>46913</v>
      </c>
      <c r="H153" t="s">
        <v>1873</v>
      </c>
    </row>
    <row r="154" spans="1:8" x14ac:dyDescent="0.35">
      <c r="A154" t="s">
        <v>2171</v>
      </c>
      <c r="B154" t="s">
        <v>2172</v>
      </c>
      <c r="C154" t="s">
        <v>1863</v>
      </c>
      <c r="D154" t="s">
        <v>1870</v>
      </c>
      <c r="E154">
        <v>1331282</v>
      </c>
      <c r="F154" s="2">
        <v>45951</v>
      </c>
      <c r="G154" s="2">
        <v>46669</v>
      </c>
      <c r="H154" t="s">
        <v>1873</v>
      </c>
    </row>
    <row r="155" spans="1:8" x14ac:dyDescent="0.35">
      <c r="A155" t="s">
        <v>2173</v>
      </c>
      <c r="B155" t="s">
        <v>2174</v>
      </c>
      <c r="C155" t="s">
        <v>1883</v>
      </c>
      <c r="D155" t="s">
        <v>1870</v>
      </c>
      <c r="E155">
        <v>528375</v>
      </c>
      <c r="F155" s="2">
        <v>45812</v>
      </c>
      <c r="G155" s="2">
        <v>46581</v>
      </c>
      <c r="H155" t="s">
        <v>1865</v>
      </c>
    </row>
    <row r="156" spans="1:8" x14ac:dyDescent="0.35">
      <c r="A156" t="s">
        <v>2175</v>
      </c>
      <c r="B156" t="s">
        <v>2176</v>
      </c>
      <c r="C156" t="s">
        <v>1883</v>
      </c>
      <c r="D156" t="s">
        <v>1864</v>
      </c>
      <c r="E156">
        <v>1253829</v>
      </c>
      <c r="F156" s="2">
        <v>45084</v>
      </c>
      <c r="G156" s="2">
        <v>46824</v>
      </c>
      <c r="H156" t="s">
        <v>1884</v>
      </c>
    </row>
    <row r="157" spans="1:8" x14ac:dyDescent="0.35">
      <c r="A157" t="s">
        <v>2177</v>
      </c>
      <c r="B157" t="s">
        <v>2178</v>
      </c>
      <c r="C157" t="s">
        <v>1876</v>
      </c>
      <c r="D157" t="s">
        <v>1890</v>
      </c>
      <c r="E157">
        <v>1134169</v>
      </c>
      <c r="F157" s="2">
        <v>45253</v>
      </c>
      <c r="G157" s="2">
        <v>46391</v>
      </c>
      <c r="H157" t="s">
        <v>1865</v>
      </c>
    </row>
    <row r="158" spans="1:8" x14ac:dyDescent="0.35">
      <c r="A158" t="s">
        <v>2179</v>
      </c>
      <c r="B158" t="s">
        <v>2180</v>
      </c>
      <c r="C158" t="s">
        <v>1887</v>
      </c>
      <c r="D158" t="s">
        <v>1890</v>
      </c>
      <c r="E158">
        <v>2416853</v>
      </c>
      <c r="F158" s="2">
        <v>44579</v>
      </c>
      <c r="G158" s="2">
        <v>46162</v>
      </c>
      <c r="H158" t="s">
        <v>1873</v>
      </c>
    </row>
    <row r="159" spans="1:8" x14ac:dyDescent="0.35">
      <c r="A159" t="s">
        <v>2181</v>
      </c>
      <c r="B159" t="s">
        <v>2182</v>
      </c>
      <c r="C159" t="s">
        <v>1887</v>
      </c>
      <c r="D159" t="s">
        <v>1890</v>
      </c>
      <c r="E159">
        <v>1844902</v>
      </c>
      <c r="F159" s="2">
        <v>44774</v>
      </c>
      <c r="G159" s="2">
        <v>46936</v>
      </c>
      <c r="H159" t="s">
        <v>1865</v>
      </c>
    </row>
    <row r="160" spans="1:8" x14ac:dyDescent="0.35">
      <c r="A160" t="s">
        <v>2183</v>
      </c>
      <c r="B160" t="s">
        <v>2184</v>
      </c>
      <c r="C160" t="s">
        <v>1883</v>
      </c>
      <c r="D160" t="s">
        <v>1870</v>
      </c>
      <c r="E160">
        <v>1040298</v>
      </c>
      <c r="F160" s="2">
        <v>44957</v>
      </c>
      <c r="G160" s="2">
        <v>46092</v>
      </c>
      <c r="H160" t="s">
        <v>1873</v>
      </c>
    </row>
    <row r="161" spans="1:8" x14ac:dyDescent="0.35">
      <c r="A161" t="s">
        <v>2185</v>
      </c>
      <c r="B161" t="s">
        <v>2186</v>
      </c>
      <c r="C161" t="s">
        <v>1887</v>
      </c>
      <c r="D161" t="s">
        <v>1890</v>
      </c>
      <c r="E161">
        <v>505629</v>
      </c>
      <c r="F161" s="2">
        <v>45906</v>
      </c>
      <c r="G161" s="2">
        <v>46467</v>
      </c>
      <c r="H161" t="s">
        <v>1873</v>
      </c>
    </row>
    <row r="162" spans="1:8" x14ac:dyDescent="0.35">
      <c r="A162" t="s">
        <v>2187</v>
      </c>
      <c r="B162" t="s">
        <v>2188</v>
      </c>
      <c r="C162" t="s">
        <v>1887</v>
      </c>
      <c r="D162" t="s">
        <v>1890</v>
      </c>
      <c r="E162">
        <v>623220</v>
      </c>
      <c r="F162" s="2">
        <v>44828</v>
      </c>
      <c r="G162" s="2">
        <v>46792</v>
      </c>
      <c r="H162" t="s">
        <v>1871</v>
      </c>
    </row>
    <row r="163" spans="1:8" x14ac:dyDescent="0.35">
      <c r="A163" t="s">
        <v>2189</v>
      </c>
      <c r="B163" t="s">
        <v>2190</v>
      </c>
      <c r="C163" t="s">
        <v>1876</v>
      </c>
      <c r="D163" t="s">
        <v>1870</v>
      </c>
      <c r="E163">
        <v>584917</v>
      </c>
      <c r="F163" s="2">
        <v>45165</v>
      </c>
      <c r="G163" s="2">
        <v>46979</v>
      </c>
      <c r="H163" t="s">
        <v>1873</v>
      </c>
    </row>
    <row r="164" spans="1:8" x14ac:dyDescent="0.35">
      <c r="A164" t="s">
        <v>2191</v>
      </c>
      <c r="B164" t="s">
        <v>2192</v>
      </c>
      <c r="C164" t="s">
        <v>1883</v>
      </c>
      <c r="D164" t="s">
        <v>1870</v>
      </c>
      <c r="E164">
        <v>2021880</v>
      </c>
      <c r="F164" s="2">
        <v>45979</v>
      </c>
      <c r="G164" s="2">
        <v>46685</v>
      </c>
      <c r="H164" t="s">
        <v>1865</v>
      </c>
    </row>
    <row r="165" spans="1:8" x14ac:dyDescent="0.35">
      <c r="A165" t="s">
        <v>2193</v>
      </c>
      <c r="B165" t="s">
        <v>2194</v>
      </c>
      <c r="C165" t="s">
        <v>1887</v>
      </c>
      <c r="D165" t="s">
        <v>1870</v>
      </c>
      <c r="E165">
        <v>799334</v>
      </c>
      <c r="F165" s="2">
        <v>46153</v>
      </c>
      <c r="G165" s="2">
        <v>46150</v>
      </c>
      <c r="H165" t="s">
        <v>1884</v>
      </c>
    </row>
    <row r="166" spans="1:8" x14ac:dyDescent="0.35">
      <c r="A166" t="s">
        <v>2195</v>
      </c>
      <c r="B166" t="s">
        <v>2196</v>
      </c>
      <c r="C166" t="s">
        <v>1883</v>
      </c>
      <c r="D166" t="s">
        <v>1864</v>
      </c>
      <c r="E166">
        <v>1749866</v>
      </c>
      <c r="F166" s="2">
        <v>45090</v>
      </c>
      <c r="G166" s="2">
        <v>46565</v>
      </c>
      <c r="H166" t="s">
        <v>1871</v>
      </c>
    </row>
    <row r="167" spans="1:8" x14ac:dyDescent="0.35">
      <c r="A167" t="s">
        <v>2197</v>
      </c>
      <c r="B167" t="s">
        <v>2198</v>
      </c>
      <c r="C167" t="s">
        <v>1887</v>
      </c>
      <c r="D167" t="s">
        <v>1870</v>
      </c>
      <c r="E167">
        <v>1967904</v>
      </c>
      <c r="F167" s="2">
        <v>44972</v>
      </c>
      <c r="G167" s="2">
        <v>46827</v>
      </c>
      <c r="H167" t="s">
        <v>1871</v>
      </c>
    </row>
    <row r="168" spans="1:8" x14ac:dyDescent="0.35">
      <c r="A168" t="s">
        <v>2199</v>
      </c>
      <c r="B168" t="s">
        <v>2200</v>
      </c>
      <c r="C168" t="s">
        <v>1887</v>
      </c>
      <c r="D168" t="s">
        <v>1864</v>
      </c>
      <c r="E168">
        <v>2183837</v>
      </c>
      <c r="F168" s="2">
        <v>45669</v>
      </c>
      <c r="G168" s="2">
        <v>46906</v>
      </c>
      <c r="H168" t="s">
        <v>1871</v>
      </c>
    </row>
    <row r="169" spans="1:8" x14ac:dyDescent="0.35">
      <c r="A169" t="s">
        <v>2201</v>
      </c>
      <c r="B169" t="s">
        <v>2202</v>
      </c>
      <c r="C169" t="s">
        <v>1863</v>
      </c>
      <c r="D169" t="s">
        <v>1890</v>
      </c>
      <c r="E169">
        <v>565643</v>
      </c>
      <c r="F169" s="2">
        <v>45092</v>
      </c>
      <c r="G169" s="2">
        <v>46234</v>
      </c>
      <c r="H169" t="s">
        <v>1873</v>
      </c>
    </row>
    <row r="170" spans="1:8" x14ac:dyDescent="0.35">
      <c r="A170" t="s">
        <v>2203</v>
      </c>
      <c r="B170" t="s">
        <v>2204</v>
      </c>
      <c r="C170" t="s">
        <v>1887</v>
      </c>
      <c r="D170" t="s">
        <v>1890</v>
      </c>
      <c r="E170">
        <v>425846</v>
      </c>
      <c r="F170" s="2">
        <v>46052</v>
      </c>
      <c r="G170" s="2">
        <v>46536</v>
      </c>
      <c r="H170" t="s">
        <v>1884</v>
      </c>
    </row>
    <row r="171" spans="1:8" x14ac:dyDescent="0.35">
      <c r="A171" t="s">
        <v>2205</v>
      </c>
      <c r="B171" t="s">
        <v>2206</v>
      </c>
      <c r="C171" t="s">
        <v>1863</v>
      </c>
      <c r="D171" t="s">
        <v>1864</v>
      </c>
      <c r="E171">
        <v>198705</v>
      </c>
      <c r="F171" s="2">
        <v>45899</v>
      </c>
      <c r="G171" s="2">
        <v>46024</v>
      </c>
      <c r="H171" t="s">
        <v>1873</v>
      </c>
    </row>
    <row r="172" spans="1:8" x14ac:dyDescent="0.35">
      <c r="A172" t="s">
        <v>2207</v>
      </c>
      <c r="B172" t="s">
        <v>2208</v>
      </c>
      <c r="C172" t="s">
        <v>1883</v>
      </c>
      <c r="D172" t="s">
        <v>1864</v>
      </c>
      <c r="E172">
        <v>1757807</v>
      </c>
      <c r="F172" s="2">
        <v>45995</v>
      </c>
      <c r="G172" s="2">
        <v>46698</v>
      </c>
      <c r="H172" t="s">
        <v>1884</v>
      </c>
    </row>
    <row r="173" spans="1:8" x14ac:dyDescent="0.35">
      <c r="A173" t="s">
        <v>2209</v>
      </c>
      <c r="B173" t="s">
        <v>2210</v>
      </c>
      <c r="C173" t="s">
        <v>1863</v>
      </c>
      <c r="D173" t="s">
        <v>1870</v>
      </c>
      <c r="E173">
        <v>135534</v>
      </c>
      <c r="F173" s="2">
        <v>45455</v>
      </c>
      <c r="G173" s="2">
        <v>46850</v>
      </c>
      <c r="H173" t="s">
        <v>1873</v>
      </c>
    </row>
    <row r="174" spans="1:8" x14ac:dyDescent="0.35">
      <c r="A174" t="s">
        <v>2211</v>
      </c>
      <c r="B174" t="s">
        <v>2212</v>
      </c>
      <c r="C174" t="s">
        <v>1876</v>
      </c>
      <c r="D174" t="s">
        <v>1864</v>
      </c>
      <c r="E174">
        <v>2385464</v>
      </c>
      <c r="F174" s="2">
        <v>45349</v>
      </c>
      <c r="G174" s="2">
        <v>47010</v>
      </c>
      <c r="H174" t="s">
        <v>1873</v>
      </c>
    </row>
    <row r="175" spans="1:8" x14ac:dyDescent="0.35">
      <c r="A175" t="s">
        <v>2213</v>
      </c>
      <c r="B175" t="s">
        <v>2214</v>
      </c>
      <c r="C175" t="s">
        <v>1883</v>
      </c>
      <c r="D175" t="s">
        <v>1870</v>
      </c>
      <c r="E175">
        <v>2499193</v>
      </c>
      <c r="F175" s="2">
        <v>45958</v>
      </c>
      <c r="G175" s="2">
        <v>46643</v>
      </c>
      <c r="H175" t="s">
        <v>1884</v>
      </c>
    </row>
    <row r="176" spans="1:8" x14ac:dyDescent="0.35">
      <c r="A176" t="s">
        <v>2215</v>
      </c>
      <c r="B176" t="s">
        <v>2216</v>
      </c>
      <c r="C176" t="s">
        <v>1887</v>
      </c>
      <c r="D176" t="s">
        <v>1870</v>
      </c>
      <c r="E176">
        <v>351503</v>
      </c>
      <c r="F176" s="2">
        <v>45656</v>
      </c>
      <c r="G176" s="2">
        <v>46719</v>
      </c>
      <c r="H176" t="s">
        <v>1873</v>
      </c>
    </row>
    <row r="177" spans="1:8" x14ac:dyDescent="0.35">
      <c r="A177" t="s">
        <v>2217</v>
      </c>
      <c r="B177" t="s">
        <v>2218</v>
      </c>
      <c r="C177" t="s">
        <v>1883</v>
      </c>
      <c r="D177" t="s">
        <v>1890</v>
      </c>
      <c r="E177">
        <v>2047867</v>
      </c>
      <c r="F177" s="2">
        <v>44977</v>
      </c>
      <c r="G177" s="2">
        <v>46384</v>
      </c>
      <c r="H177" t="s">
        <v>1873</v>
      </c>
    </row>
    <row r="178" spans="1:8" x14ac:dyDescent="0.35">
      <c r="A178" t="s">
        <v>2219</v>
      </c>
      <c r="B178" t="s">
        <v>2220</v>
      </c>
      <c r="C178" t="s">
        <v>1876</v>
      </c>
      <c r="D178" t="s">
        <v>1870</v>
      </c>
      <c r="E178">
        <v>1731299</v>
      </c>
      <c r="F178" s="2">
        <v>45987</v>
      </c>
      <c r="G178" s="2">
        <v>46821</v>
      </c>
      <c r="H178" t="s">
        <v>1873</v>
      </c>
    </row>
    <row r="179" spans="1:8" x14ac:dyDescent="0.35">
      <c r="A179" t="s">
        <v>2221</v>
      </c>
      <c r="B179" t="s">
        <v>2222</v>
      </c>
      <c r="C179" t="s">
        <v>1863</v>
      </c>
      <c r="D179" t="s">
        <v>1864</v>
      </c>
      <c r="E179">
        <v>1626850</v>
      </c>
      <c r="F179" s="2">
        <v>46374</v>
      </c>
      <c r="G179" s="2">
        <v>46919</v>
      </c>
      <c r="H179" t="s">
        <v>1871</v>
      </c>
    </row>
    <row r="180" spans="1:8" x14ac:dyDescent="0.35">
      <c r="A180" t="s">
        <v>2223</v>
      </c>
      <c r="B180" t="s">
        <v>2224</v>
      </c>
      <c r="C180" t="s">
        <v>1887</v>
      </c>
      <c r="D180" t="s">
        <v>1864</v>
      </c>
      <c r="E180">
        <v>706963</v>
      </c>
      <c r="F180" s="2">
        <v>44613</v>
      </c>
      <c r="G180" s="2">
        <v>46511</v>
      </c>
      <c r="H180" t="s">
        <v>1884</v>
      </c>
    </row>
    <row r="181" spans="1:8" x14ac:dyDescent="0.35">
      <c r="A181" t="s">
        <v>2225</v>
      </c>
      <c r="B181" t="s">
        <v>2226</v>
      </c>
      <c r="C181" t="s">
        <v>1887</v>
      </c>
      <c r="D181" t="s">
        <v>1890</v>
      </c>
      <c r="E181">
        <v>1750609</v>
      </c>
      <c r="F181" s="2">
        <v>45879</v>
      </c>
      <c r="G181" s="2">
        <v>46653</v>
      </c>
      <c r="H181" t="s">
        <v>1884</v>
      </c>
    </row>
    <row r="182" spans="1:8" x14ac:dyDescent="0.35">
      <c r="A182" t="s">
        <v>2227</v>
      </c>
      <c r="B182" t="s">
        <v>2228</v>
      </c>
      <c r="C182" t="s">
        <v>1863</v>
      </c>
      <c r="D182" t="s">
        <v>1864</v>
      </c>
      <c r="E182">
        <v>2359506</v>
      </c>
      <c r="F182" s="2">
        <v>44637</v>
      </c>
      <c r="G182" s="2">
        <v>46717</v>
      </c>
      <c r="H182" t="s">
        <v>1873</v>
      </c>
    </row>
    <row r="183" spans="1:8" x14ac:dyDescent="0.35">
      <c r="A183" t="s">
        <v>2229</v>
      </c>
      <c r="B183" t="s">
        <v>2230</v>
      </c>
      <c r="C183" t="s">
        <v>1887</v>
      </c>
      <c r="D183" t="s">
        <v>1870</v>
      </c>
      <c r="E183">
        <v>1536494</v>
      </c>
      <c r="F183" s="2">
        <v>44804</v>
      </c>
      <c r="G183" s="2">
        <v>46456</v>
      </c>
      <c r="H183" t="s">
        <v>1884</v>
      </c>
    </row>
    <row r="184" spans="1:8" x14ac:dyDescent="0.35">
      <c r="A184" t="s">
        <v>2231</v>
      </c>
      <c r="B184" t="s">
        <v>2232</v>
      </c>
      <c r="C184" t="s">
        <v>1876</v>
      </c>
      <c r="D184" t="s">
        <v>1890</v>
      </c>
      <c r="E184">
        <v>2370501</v>
      </c>
      <c r="F184" s="2">
        <v>45748</v>
      </c>
      <c r="G184" s="2">
        <v>46500</v>
      </c>
      <c r="H184" t="s">
        <v>1873</v>
      </c>
    </row>
    <row r="185" spans="1:8" x14ac:dyDescent="0.35">
      <c r="A185" t="s">
        <v>2233</v>
      </c>
      <c r="B185" t="s">
        <v>2234</v>
      </c>
      <c r="C185" t="s">
        <v>1876</v>
      </c>
      <c r="D185" t="s">
        <v>1870</v>
      </c>
      <c r="E185">
        <v>274676</v>
      </c>
      <c r="F185" s="2">
        <v>45901</v>
      </c>
      <c r="G185" s="2">
        <v>46062</v>
      </c>
      <c r="H185" t="s">
        <v>1884</v>
      </c>
    </row>
    <row r="186" spans="1:8" x14ac:dyDescent="0.35">
      <c r="A186" t="s">
        <v>2235</v>
      </c>
      <c r="B186" t="s">
        <v>2236</v>
      </c>
      <c r="C186" t="s">
        <v>1876</v>
      </c>
      <c r="D186" t="s">
        <v>1890</v>
      </c>
      <c r="E186">
        <v>312106</v>
      </c>
      <c r="F186" s="2">
        <v>45890</v>
      </c>
      <c r="G186" s="2">
        <v>46290</v>
      </c>
      <c r="H186" t="s">
        <v>1873</v>
      </c>
    </row>
    <row r="187" spans="1:8" x14ac:dyDescent="0.35">
      <c r="A187" t="s">
        <v>2237</v>
      </c>
      <c r="B187" t="s">
        <v>2238</v>
      </c>
      <c r="C187" t="s">
        <v>1887</v>
      </c>
      <c r="D187" t="s">
        <v>1870</v>
      </c>
      <c r="E187">
        <v>842464</v>
      </c>
      <c r="F187" s="2">
        <v>46242</v>
      </c>
      <c r="G187" s="2">
        <v>46222</v>
      </c>
      <c r="H187" t="s">
        <v>1884</v>
      </c>
    </row>
    <row r="188" spans="1:8" x14ac:dyDescent="0.35">
      <c r="A188" t="s">
        <v>2239</v>
      </c>
      <c r="B188" t="s">
        <v>2240</v>
      </c>
      <c r="C188" t="s">
        <v>1887</v>
      </c>
      <c r="D188" t="s">
        <v>1864</v>
      </c>
      <c r="E188">
        <v>835923</v>
      </c>
      <c r="F188" s="2">
        <v>44795</v>
      </c>
      <c r="G188" s="2">
        <v>47041</v>
      </c>
      <c r="H188" t="s">
        <v>1871</v>
      </c>
    </row>
    <row r="189" spans="1:8" x14ac:dyDescent="0.35">
      <c r="A189" t="s">
        <v>2241</v>
      </c>
      <c r="B189" t="s">
        <v>2242</v>
      </c>
      <c r="C189" t="s">
        <v>1876</v>
      </c>
      <c r="D189" t="s">
        <v>1870</v>
      </c>
      <c r="E189">
        <v>384702</v>
      </c>
      <c r="F189" s="2">
        <v>45252</v>
      </c>
      <c r="G189" s="2">
        <v>46846</v>
      </c>
      <c r="H189" t="s">
        <v>1865</v>
      </c>
    </row>
    <row r="190" spans="1:8" x14ac:dyDescent="0.35">
      <c r="A190" t="s">
        <v>2243</v>
      </c>
      <c r="B190" t="s">
        <v>2244</v>
      </c>
      <c r="C190" t="s">
        <v>1876</v>
      </c>
      <c r="D190" t="s">
        <v>1870</v>
      </c>
      <c r="E190">
        <v>626682</v>
      </c>
      <c r="F190" s="2">
        <v>46275</v>
      </c>
      <c r="G190" s="2">
        <v>46459</v>
      </c>
      <c r="H190" t="s">
        <v>1873</v>
      </c>
    </row>
    <row r="191" spans="1:8" x14ac:dyDescent="0.35">
      <c r="A191" t="s">
        <v>2245</v>
      </c>
      <c r="B191" t="s">
        <v>2246</v>
      </c>
      <c r="C191" t="s">
        <v>1883</v>
      </c>
      <c r="D191" t="s">
        <v>1864</v>
      </c>
      <c r="E191">
        <v>847492</v>
      </c>
      <c r="F191" s="2">
        <v>44809</v>
      </c>
      <c r="G191" s="2">
        <v>46583</v>
      </c>
      <c r="H191" t="s">
        <v>1871</v>
      </c>
    </row>
    <row r="192" spans="1:8" x14ac:dyDescent="0.35">
      <c r="A192" t="s">
        <v>2247</v>
      </c>
      <c r="B192" t="s">
        <v>2248</v>
      </c>
      <c r="C192" t="s">
        <v>1876</v>
      </c>
      <c r="D192" t="s">
        <v>1890</v>
      </c>
      <c r="E192">
        <v>1861283</v>
      </c>
      <c r="F192" s="2">
        <v>45319</v>
      </c>
      <c r="G192" s="2">
        <v>46360</v>
      </c>
      <c r="H192" t="s">
        <v>1884</v>
      </c>
    </row>
    <row r="193" spans="1:8" x14ac:dyDescent="0.35">
      <c r="A193" t="s">
        <v>2249</v>
      </c>
      <c r="B193" t="s">
        <v>2250</v>
      </c>
      <c r="C193" t="s">
        <v>1887</v>
      </c>
      <c r="D193" t="s">
        <v>1864</v>
      </c>
      <c r="E193">
        <v>1141919</v>
      </c>
      <c r="F193" s="2">
        <v>44766</v>
      </c>
      <c r="G193" s="2">
        <v>46793</v>
      </c>
      <c r="H193" t="s">
        <v>1871</v>
      </c>
    </row>
    <row r="194" spans="1:8" x14ac:dyDescent="0.35">
      <c r="A194" t="s">
        <v>2251</v>
      </c>
      <c r="B194" t="s">
        <v>2252</v>
      </c>
      <c r="C194" t="s">
        <v>1863</v>
      </c>
      <c r="D194" t="s">
        <v>1864</v>
      </c>
      <c r="E194">
        <v>185558</v>
      </c>
      <c r="F194" s="2">
        <v>44575</v>
      </c>
      <c r="G194" s="2">
        <v>46037</v>
      </c>
      <c r="H194" t="s">
        <v>1871</v>
      </c>
    </row>
    <row r="195" spans="1:8" x14ac:dyDescent="0.35">
      <c r="A195" t="s">
        <v>2253</v>
      </c>
      <c r="B195" t="s">
        <v>2254</v>
      </c>
      <c r="C195" t="s">
        <v>1883</v>
      </c>
      <c r="D195" t="s">
        <v>1870</v>
      </c>
      <c r="E195">
        <v>493885</v>
      </c>
      <c r="F195" s="2">
        <v>45982</v>
      </c>
      <c r="G195" s="2">
        <v>46997</v>
      </c>
      <c r="H195" t="s">
        <v>1871</v>
      </c>
    </row>
    <row r="196" spans="1:8" x14ac:dyDescent="0.35">
      <c r="A196" t="s">
        <v>2255</v>
      </c>
      <c r="B196" t="s">
        <v>804</v>
      </c>
      <c r="C196" t="s">
        <v>1876</v>
      </c>
      <c r="D196" t="s">
        <v>1890</v>
      </c>
      <c r="E196">
        <v>984698</v>
      </c>
      <c r="F196" s="2">
        <v>45116</v>
      </c>
      <c r="G196" s="2">
        <v>47094</v>
      </c>
      <c r="H196" t="s">
        <v>1884</v>
      </c>
    </row>
    <row r="197" spans="1:8" x14ac:dyDescent="0.35">
      <c r="A197" t="s">
        <v>2256</v>
      </c>
      <c r="B197" t="s">
        <v>2257</v>
      </c>
      <c r="C197" t="s">
        <v>1876</v>
      </c>
      <c r="D197" t="s">
        <v>1864</v>
      </c>
      <c r="E197">
        <v>1848184</v>
      </c>
      <c r="F197" s="2">
        <v>45812</v>
      </c>
      <c r="G197" s="2">
        <v>46100</v>
      </c>
      <c r="H197" t="s">
        <v>1871</v>
      </c>
    </row>
    <row r="198" spans="1:8" x14ac:dyDescent="0.35">
      <c r="A198" t="s">
        <v>2258</v>
      </c>
      <c r="B198" t="s">
        <v>1336</v>
      </c>
      <c r="C198" t="s">
        <v>1887</v>
      </c>
      <c r="D198" t="s">
        <v>1890</v>
      </c>
      <c r="E198">
        <v>2216680</v>
      </c>
      <c r="F198" s="2">
        <v>46254</v>
      </c>
      <c r="G198" s="2">
        <v>46639</v>
      </c>
      <c r="H198" t="s">
        <v>1865</v>
      </c>
    </row>
    <row r="199" spans="1:8" x14ac:dyDescent="0.35">
      <c r="A199" t="s">
        <v>2259</v>
      </c>
      <c r="B199" t="s">
        <v>2260</v>
      </c>
      <c r="C199" t="s">
        <v>1887</v>
      </c>
      <c r="D199" t="s">
        <v>1890</v>
      </c>
      <c r="E199">
        <v>1876515</v>
      </c>
      <c r="F199" s="2">
        <v>45044</v>
      </c>
      <c r="G199" s="2">
        <v>46416</v>
      </c>
      <c r="H199" t="s">
        <v>1873</v>
      </c>
    </row>
    <row r="200" spans="1:8" x14ac:dyDescent="0.35">
      <c r="A200" t="s">
        <v>2261</v>
      </c>
      <c r="B200" t="s">
        <v>2262</v>
      </c>
      <c r="C200" t="s">
        <v>1887</v>
      </c>
      <c r="D200" t="s">
        <v>1890</v>
      </c>
      <c r="E200">
        <v>2343815</v>
      </c>
      <c r="F200" s="2">
        <v>45303</v>
      </c>
      <c r="G200" s="2">
        <v>47062</v>
      </c>
      <c r="H200" t="s">
        <v>1871</v>
      </c>
    </row>
    <row r="201" spans="1:8" x14ac:dyDescent="0.35">
      <c r="A201" t="s">
        <v>2263</v>
      </c>
      <c r="B201" t="s">
        <v>808</v>
      </c>
      <c r="C201" t="s">
        <v>1876</v>
      </c>
      <c r="D201" t="s">
        <v>1870</v>
      </c>
      <c r="E201">
        <v>2067063</v>
      </c>
      <c r="F201" s="2">
        <v>44670</v>
      </c>
      <c r="G201" s="2">
        <v>46419</v>
      </c>
      <c r="H201" t="s">
        <v>1873</v>
      </c>
    </row>
    <row r="202" spans="1:8" x14ac:dyDescent="0.35">
      <c r="A202" t="s">
        <v>2264</v>
      </c>
      <c r="B202" t="s">
        <v>2265</v>
      </c>
      <c r="C202" t="s">
        <v>1863</v>
      </c>
      <c r="D202" t="s">
        <v>1870</v>
      </c>
      <c r="E202">
        <v>745863</v>
      </c>
      <c r="F202" s="2">
        <v>44923</v>
      </c>
      <c r="G202" s="2">
        <v>46350</v>
      </c>
      <c r="H202" t="s">
        <v>1873</v>
      </c>
    </row>
    <row r="203" spans="1:8" x14ac:dyDescent="0.35">
      <c r="A203" t="s">
        <v>2266</v>
      </c>
      <c r="B203" t="s">
        <v>2267</v>
      </c>
      <c r="C203" t="s">
        <v>1883</v>
      </c>
      <c r="D203" t="s">
        <v>1870</v>
      </c>
      <c r="E203">
        <v>346608</v>
      </c>
      <c r="F203" s="2">
        <v>44991</v>
      </c>
      <c r="G203" s="2">
        <v>46913</v>
      </c>
      <c r="H203" t="s">
        <v>1865</v>
      </c>
    </row>
    <row r="204" spans="1:8" x14ac:dyDescent="0.35">
      <c r="A204" t="s">
        <v>2268</v>
      </c>
      <c r="B204" t="s">
        <v>2269</v>
      </c>
      <c r="C204" t="s">
        <v>1863</v>
      </c>
      <c r="D204" t="s">
        <v>1864</v>
      </c>
      <c r="E204">
        <v>1522133</v>
      </c>
      <c r="F204" s="2">
        <v>44775</v>
      </c>
      <c r="G204" s="2">
        <v>46130</v>
      </c>
      <c r="H204" t="s">
        <v>1871</v>
      </c>
    </row>
    <row r="205" spans="1:8" x14ac:dyDescent="0.35">
      <c r="A205" t="s">
        <v>2270</v>
      </c>
      <c r="B205" t="s">
        <v>2271</v>
      </c>
      <c r="C205" t="s">
        <v>1887</v>
      </c>
      <c r="D205" t="s">
        <v>1870</v>
      </c>
      <c r="E205">
        <v>782891</v>
      </c>
      <c r="F205" s="2">
        <v>45616</v>
      </c>
      <c r="G205" s="2">
        <v>46260</v>
      </c>
      <c r="H205" t="s">
        <v>1873</v>
      </c>
    </row>
    <row r="206" spans="1:8" x14ac:dyDescent="0.35">
      <c r="A206" t="s">
        <v>2272</v>
      </c>
      <c r="B206" t="s">
        <v>2273</v>
      </c>
      <c r="C206" t="s">
        <v>1863</v>
      </c>
      <c r="D206" t="s">
        <v>1890</v>
      </c>
      <c r="E206">
        <v>1106919</v>
      </c>
      <c r="F206" s="2">
        <v>45749</v>
      </c>
      <c r="G206" s="2">
        <v>46690</v>
      </c>
      <c r="H206" t="s">
        <v>1884</v>
      </c>
    </row>
    <row r="207" spans="1:8" x14ac:dyDescent="0.35">
      <c r="A207" t="s">
        <v>2274</v>
      </c>
      <c r="B207" t="s">
        <v>2275</v>
      </c>
      <c r="C207" t="s">
        <v>1883</v>
      </c>
      <c r="D207" t="s">
        <v>1864</v>
      </c>
      <c r="E207">
        <v>953623</v>
      </c>
      <c r="F207" s="2">
        <v>46157</v>
      </c>
      <c r="G207" s="2">
        <v>46248</v>
      </c>
      <c r="H207" t="s">
        <v>1865</v>
      </c>
    </row>
    <row r="208" spans="1:8" x14ac:dyDescent="0.35">
      <c r="A208" t="s">
        <v>2276</v>
      </c>
      <c r="B208" t="s">
        <v>2277</v>
      </c>
      <c r="C208" t="s">
        <v>1887</v>
      </c>
      <c r="D208" t="s">
        <v>1864</v>
      </c>
      <c r="E208">
        <v>1075387</v>
      </c>
      <c r="F208" s="2">
        <v>46072</v>
      </c>
      <c r="G208" s="2">
        <v>46867</v>
      </c>
      <c r="H208" t="s">
        <v>1871</v>
      </c>
    </row>
    <row r="209" spans="1:8" x14ac:dyDescent="0.35">
      <c r="A209" t="s">
        <v>2278</v>
      </c>
      <c r="B209" t="s">
        <v>2279</v>
      </c>
      <c r="C209" t="s">
        <v>1876</v>
      </c>
      <c r="D209" t="s">
        <v>1864</v>
      </c>
      <c r="E209">
        <v>1695096</v>
      </c>
      <c r="F209" s="2">
        <v>45526</v>
      </c>
      <c r="G209" s="2">
        <v>47015</v>
      </c>
      <c r="H209" t="s">
        <v>1873</v>
      </c>
    </row>
    <row r="210" spans="1:8" x14ac:dyDescent="0.35">
      <c r="A210" t="s">
        <v>2280</v>
      </c>
      <c r="B210" t="s">
        <v>2281</v>
      </c>
      <c r="C210" t="s">
        <v>1876</v>
      </c>
      <c r="D210" t="s">
        <v>1864</v>
      </c>
      <c r="E210">
        <v>1948150</v>
      </c>
      <c r="F210" s="2">
        <v>45810</v>
      </c>
      <c r="G210" s="2">
        <v>46954</v>
      </c>
      <c r="H210" t="s">
        <v>1871</v>
      </c>
    </row>
    <row r="211" spans="1:8" x14ac:dyDescent="0.35">
      <c r="A211" t="s">
        <v>2282</v>
      </c>
      <c r="B211" t="s">
        <v>2283</v>
      </c>
      <c r="C211" t="s">
        <v>1883</v>
      </c>
      <c r="D211" t="s">
        <v>1864</v>
      </c>
      <c r="E211">
        <v>1744581</v>
      </c>
      <c r="F211" s="2">
        <v>45499</v>
      </c>
      <c r="G211" s="2">
        <v>46420</v>
      </c>
      <c r="H211" t="s">
        <v>1865</v>
      </c>
    </row>
    <row r="212" spans="1:8" x14ac:dyDescent="0.35">
      <c r="A212" t="s">
        <v>2284</v>
      </c>
      <c r="B212" t="s">
        <v>2285</v>
      </c>
      <c r="C212" t="s">
        <v>1876</v>
      </c>
      <c r="D212" t="s">
        <v>1870</v>
      </c>
      <c r="E212">
        <v>1251180</v>
      </c>
      <c r="F212" s="2">
        <v>44822</v>
      </c>
      <c r="G212" s="2">
        <v>46088</v>
      </c>
      <c r="H212" t="s">
        <v>1873</v>
      </c>
    </row>
    <row r="213" spans="1:8" x14ac:dyDescent="0.35">
      <c r="A213" t="s">
        <v>2286</v>
      </c>
      <c r="B213" t="s">
        <v>2287</v>
      </c>
      <c r="C213" t="s">
        <v>1876</v>
      </c>
      <c r="D213" t="s">
        <v>1864</v>
      </c>
      <c r="E213">
        <v>1296939</v>
      </c>
      <c r="F213" s="2">
        <v>46306</v>
      </c>
      <c r="G213" s="2">
        <v>46976</v>
      </c>
      <c r="H213" t="s">
        <v>1884</v>
      </c>
    </row>
    <row r="214" spans="1:8" x14ac:dyDescent="0.35">
      <c r="A214" t="s">
        <v>2288</v>
      </c>
      <c r="B214" t="s">
        <v>2289</v>
      </c>
      <c r="C214" t="s">
        <v>1876</v>
      </c>
      <c r="D214" t="s">
        <v>1870</v>
      </c>
      <c r="E214">
        <v>1874157</v>
      </c>
      <c r="F214" s="2">
        <v>45012</v>
      </c>
      <c r="G214" s="2">
        <v>46627</v>
      </c>
      <c r="H214" t="s">
        <v>1871</v>
      </c>
    </row>
    <row r="215" spans="1:8" x14ac:dyDescent="0.35">
      <c r="A215" t="s">
        <v>2290</v>
      </c>
      <c r="B215" t="s">
        <v>2291</v>
      </c>
      <c r="C215" t="s">
        <v>1876</v>
      </c>
      <c r="D215" t="s">
        <v>1864</v>
      </c>
      <c r="E215">
        <v>832761</v>
      </c>
      <c r="F215" s="2">
        <v>45405</v>
      </c>
      <c r="G215" s="2">
        <v>47091</v>
      </c>
      <c r="H215" t="s">
        <v>1884</v>
      </c>
    </row>
    <row r="216" spans="1:8" x14ac:dyDescent="0.35">
      <c r="A216" t="s">
        <v>2292</v>
      </c>
      <c r="B216" t="s">
        <v>2293</v>
      </c>
      <c r="C216" t="s">
        <v>1863</v>
      </c>
      <c r="D216" t="s">
        <v>1870</v>
      </c>
      <c r="E216">
        <v>1027826</v>
      </c>
      <c r="F216" s="2">
        <v>45133</v>
      </c>
      <c r="G216" s="2">
        <v>46052</v>
      </c>
      <c r="H216" t="s">
        <v>1884</v>
      </c>
    </row>
    <row r="217" spans="1:8" x14ac:dyDescent="0.35">
      <c r="A217" t="s">
        <v>2294</v>
      </c>
      <c r="B217" t="s">
        <v>2295</v>
      </c>
      <c r="C217" t="s">
        <v>1876</v>
      </c>
      <c r="D217" t="s">
        <v>1870</v>
      </c>
      <c r="E217">
        <v>1154542</v>
      </c>
      <c r="F217" s="2">
        <v>45451</v>
      </c>
      <c r="G217" s="2">
        <v>46478</v>
      </c>
      <c r="H217" t="s">
        <v>1871</v>
      </c>
    </row>
    <row r="218" spans="1:8" x14ac:dyDescent="0.35">
      <c r="A218" t="s">
        <v>2296</v>
      </c>
      <c r="B218" t="s">
        <v>2297</v>
      </c>
      <c r="C218" t="s">
        <v>1863</v>
      </c>
      <c r="D218" t="s">
        <v>1864</v>
      </c>
      <c r="E218">
        <v>141296</v>
      </c>
      <c r="F218" s="2">
        <v>44644</v>
      </c>
      <c r="G218" s="2">
        <v>46986</v>
      </c>
      <c r="H218" t="s">
        <v>1873</v>
      </c>
    </row>
    <row r="219" spans="1:8" x14ac:dyDescent="0.35">
      <c r="A219" t="s">
        <v>2298</v>
      </c>
      <c r="B219" t="s">
        <v>2299</v>
      </c>
      <c r="C219" t="s">
        <v>1863</v>
      </c>
      <c r="D219" t="s">
        <v>1870</v>
      </c>
      <c r="E219">
        <v>1905505</v>
      </c>
      <c r="F219" s="2">
        <v>46220</v>
      </c>
      <c r="G219" s="2">
        <v>46223</v>
      </c>
      <c r="H219" t="s">
        <v>1884</v>
      </c>
    </row>
    <row r="220" spans="1:8" x14ac:dyDescent="0.35">
      <c r="A220" t="s">
        <v>2300</v>
      </c>
      <c r="B220" t="s">
        <v>2301</v>
      </c>
      <c r="C220" t="s">
        <v>1876</v>
      </c>
      <c r="D220" t="s">
        <v>1864</v>
      </c>
      <c r="E220">
        <v>2197376</v>
      </c>
      <c r="F220" s="2">
        <v>45705</v>
      </c>
      <c r="G220" s="2">
        <v>46048</v>
      </c>
      <c r="H220" t="s">
        <v>1884</v>
      </c>
    </row>
    <row r="221" spans="1:8" x14ac:dyDescent="0.35">
      <c r="A221" t="s">
        <v>2302</v>
      </c>
      <c r="B221" t="s">
        <v>2303</v>
      </c>
      <c r="C221" t="s">
        <v>1876</v>
      </c>
      <c r="D221" t="s">
        <v>1870</v>
      </c>
      <c r="E221">
        <v>1034385</v>
      </c>
      <c r="F221" s="2">
        <v>45167</v>
      </c>
      <c r="G221" s="2">
        <v>46512</v>
      </c>
      <c r="H221" t="s">
        <v>1873</v>
      </c>
    </row>
    <row r="222" spans="1:8" x14ac:dyDescent="0.35">
      <c r="A222" t="s">
        <v>2304</v>
      </c>
      <c r="B222" t="s">
        <v>2305</v>
      </c>
      <c r="C222" t="s">
        <v>1863</v>
      </c>
      <c r="D222" t="s">
        <v>1890</v>
      </c>
      <c r="E222">
        <v>186815</v>
      </c>
      <c r="F222" s="2">
        <v>45186</v>
      </c>
      <c r="G222" s="2">
        <v>46354</v>
      </c>
      <c r="H222" t="s">
        <v>1884</v>
      </c>
    </row>
    <row r="223" spans="1:8" x14ac:dyDescent="0.35">
      <c r="A223" t="s">
        <v>2306</v>
      </c>
      <c r="B223" t="s">
        <v>2307</v>
      </c>
      <c r="C223" t="s">
        <v>1863</v>
      </c>
      <c r="D223" t="s">
        <v>1870</v>
      </c>
      <c r="E223">
        <v>222397</v>
      </c>
      <c r="F223" s="2">
        <v>46142</v>
      </c>
      <c r="G223" s="2">
        <v>46306</v>
      </c>
      <c r="H223" t="s">
        <v>1884</v>
      </c>
    </row>
    <row r="224" spans="1:8" x14ac:dyDescent="0.35">
      <c r="A224" t="s">
        <v>2308</v>
      </c>
      <c r="B224" t="s">
        <v>2309</v>
      </c>
      <c r="C224" t="s">
        <v>1883</v>
      </c>
      <c r="D224" t="s">
        <v>1890</v>
      </c>
      <c r="E224">
        <v>895718</v>
      </c>
      <c r="F224" s="2">
        <v>45512</v>
      </c>
      <c r="G224" s="2">
        <v>46025</v>
      </c>
      <c r="H224" t="s">
        <v>1873</v>
      </c>
    </row>
    <row r="225" spans="1:8" x14ac:dyDescent="0.35">
      <c r="A225" t="s">
        <v>2310</v>
      </c>
      <c r="B225" t="s">
        <v>2311</v>
      </c>
      <c r="C225" t="s">
        <v>1883</v>
      </c>
      <c r="D225" t="s">
        <v>1890</v>
      </c>
      <c r="E225">
        <v>1734300</v>
      </c>
      <c r="F225" s="2">
        <v>44628</v>
      </c>
      <c r="G225" s="2">
        <v>46630</v>
      </c>
      <c r="H225" t="s">
        <v>1884</v>
      </c>
    </row>
    <row r="226" spans="1:8" x14ac:dyDescent="0.35">
      <c r="A226" t="s">
        <v>2312</v>
      </c>
      <c r="B226" t="s">
        <v>2313</v>
      </c>
      <c r="C226" t="s">
        <v>1876</v>
      </c>
      <c r="D226" t="s">
        <v>1890</v>
      </c>
      <c r="E226">
        <v>1251578</v>
      </c>
      <c r="F226" s="2">
        <v>44727</v>
      </c>
      <c r="G226" s="2">
        <v>46710</v>
      </c>
      <c r="H226" t="s">
        <v>1873</v>
      </c>
    </row>
    <row r="227" spans="1:8" x14ac:dyDescent="0.35">
      <c r="A227" t="s">
        <v>2314</v>
      </c>
      <c r="B227" t="s">
        <v>2315</v>
      </c>
      <c r="C227" t="s">
        <v>1883</v>
      </c>
      <c r="D227" t="s">
        <v>1864</v>
      </c>
      <c r="E227">
        <v>2278961</v>
      </c>
      <c r="F227" s="2">
        <v>44789</v>
      </c>
      <c r="G227" s="2">
        <v>46807</v>
      </c>
      <c r="H227" t="s">
        <v>1865</v>
      </c>
    </row>
    <row r="228" spans="1:8" x14ac:dyDescent="0.35">
      <c r="A228" t="s">
        <v>2316</v>
      </c>
      <c r="B228" t="s">
        <v>2317</v>
      </c>
      <c r="C228" t="s">
        <v>1887</v>
      </c>
      <c r="D228" t="s">
        <v>1870</v>
      </c>
      <c r="E228">
        <v>2071831</v>
      </c>
      <c r="F228" s="2">
        <v>45312</v>
      </c>
      <c r="G228" s="2">
        <v>46381</v>
      </c>
      <c r="H228" t="s">
        <v>1873</v>
      </c>
    </row>
    <row r="229" spans="1:8" x14ac:dyDescent="0.35">
      <c r="A229" t="s">
        <v>2318</v>
      </c>
      <c r="B229" t="s">
        <v>2319</v>
      </c>
      <c r="C229" t="s">
        <v>1876</v>
      </c>
      <c r="D229" t="s">
        <v>1864</v>
      </c>
      <c r="E229">
        <v>2471990</v>
      </c>
      <c r="F229" s="2">
        <v>45247</v>
      </c>
      <c r="G229" s="2">
        <v>46511</v>
      </c>
      <c r="H229" t="s">
        <v>1873</v>
      </c>
    </row>
    <row r="230" spans="1:8" x14ac:dyDescent="0.35">
      <c r="A230" t="s">
        <v>2320</v>
      </c>
      <c r="B230" t="s">
        <v>2321</v>
      </c>
      <c r="C230" t="s">
        <v>1876</v>
      </c>
      <c r="D230" t="s">
        <v>1890</v>
      </c>
      <c r="E230">
        <v>2126947</v>
      </c>
      <c r="F230" s="2">
        <v>46120</v>
      </c>
      <c r="G230" s="2">
        <v>46484</v>
      </c>
      <c r="H230" t="s">
        <v>1865</v>
      </c>
    </row>
    <row r="231" spans="1:8" x14ac:dyDescent="0.35">
      <c r="A231" t="s">
        <v>2322</v>
      </c>
      <c r="B231" t="s">
        <v>2323</v>
      </c>
      <c r="C231" t="s">
        <v>1883</v>
      </c>
      <c r="D231" t="s">
        <v>1890</v>
      </c>
      <c r="E231">
        <v>1599379</v>
      </c>
      <c r="F231" s="2">
        <v>45955</v>
      </c>
      <c r="G231" s="2">
        <v>46889</v>
      </c>
      <c r="H231" t="s">
        <v>1865</v>
      </c>
    </row>
    <row r="232" spans="1:8" x14ac:dyDescent="0.35">
      <c r="A232" t="s">
        <v>2324</v>
      </c>
      <c r="B232" t="s">
        <v>2325</v>
      </c>
      <c r="C232" t="s">
        <v>1887</v>
      </c>
      <c r="D232" t="s">
        <v>1870</v>
      </c>
      <c r="E232">
        <v>348421</v>
      </c>
      <c r="F232" s="2">
        <v>45269</v>
      </c>
      <c r="G232" s="2">
        <v>46949</v>
      </c>
      <c r="H232" t="s">
        <v>1884</v>
      </c>
    </row>
    <row r="233" spans="1:8" x14ac:dyDescent="0.35">
      <c r="A233" t="s">
        <v>2326</v>
      </c>
      <c r="B233" t="s">
        <v>2327</v>
      </c>
      <c r="C233" t="s">
        <v>1887</v>
      </c>
      <c r="D233" t="s">
        <v>1870</v>
      </c>
      <c r="E233">
        <v>2223234</v>
      </c>
      <c r="F233" s="2">
        <v>46015</v>
      </c>
      <c r="G233" s="2">
        <v>47112</v>
      </c>
      <c r="H233" t="s">
        <v>1865</v>
      </c>
    </row>
    <row r="234" spans="1:8" x14ac:dyDescent="0.35">
      <c r="A234" t="s">
        <v>2328</v>
      </c>
      <c r="B234" t="s">
        <v>2184</v>
      </c>
      <c r="C234" t="s">
        <v>1883</v>
      </c>
      <c r="D234" t="s">
        <v>1890</v>
      </c>
      <c r="E234">
        <v>2015734</v>
      </c>
      <c r="F234" s="2">
        <v>45981</v>
      </c>
      <c r="G234" s="2">
        <v>46157</v>
      </c>
      <c r="H234" t="s">
        <v>1871</v>
      </c>
    </row>
    <row r="235" spans="1:8" x14ac:dyDescent="0.35">
      <c r="A235" t="s">
        <v>2329</v>
      </c>
      <c r="B235" t="s">
        <v>2330</v>
      </c>
      <c r="C235" t="s">
        <v>1887</v>
      </c>
      <c r="D235" t="s">
        <v>1864</v>
      </c>
      <c r="E235">
        <v>2040463</v>
      </c>
      <c r="F235" s="2">
        <v>45362</v>
      </c>
      <c r="G235" s="2">
        <v>46389</v>
      </c>
      <c r="H235" t="s">
        <v>1865</v>
      </c>
    </row>
    <row r="236" spans="1:8" x14ac:dyDescent="0.35">
      <c r="A236" t="s">
        <v>2331</v>
      </c>
      <c r="B236" t="s">
        <v>2332</v>
      </c>
      <c r="C236" t="s">
        <v>1887</v>
      </c>
      <c r="D236" t="s">
        <v>1864</v>
      </c>
      <c r="E236">
        <v>442740</v>
      </c>
      <c r="F236" s="2">
        <v>45127</v>
      </c>
      <c r="G236" s="2">
        <v>46252</v>
      </c>
      <c r="H236" t="s">
        <v>1871</v>
      </c>
    </row>
    <row r="237" spans="1:8" x14ac:dyDescent="0.35">
      <c r="A237" t="s">
        <v>2333</v>
      </c>
      <c r="B237" t="s">
        <v>2334</v>
      </c>
      <c r="C237" t="s">
        <v>1876</v>
      </c>
      <c r="D237" t="s">
        <v>1864</v>
      </c>
      <c r="E237">
        <v>2201753</v>
      </c>
      <c r="F237" s="2">
        <v>45628</v>
      </c>
      <c r="G237" s="2">
        <v>46069</v>
      </c>
      <c r="H237" t="s">
        <v>1865</v>
      </c>
    </row>
    <row r="238" spans="1:8" x14ac:dyDescent="0.35">
      <c r="A238" t="s">
        <v>2335</v>
      </c>
      <c r="B238" t="s">
        <v>2336</v>
      </c>
      <c r="C238" t="s">
        <v>1876</v>
      </c>
      <c r="D238" t="s">
        <v>1870</v>
      </c>
      <c r="E238">
        <v>1867081</v>
      </c>
      <c r="F238" s="2">
        <v>45272</v>
      </c>
      <c r="G238" s="2">
        <v>46883</v>
      </c>
      <c r="H238" t="s">
        <v>1884</v>
      </c>
    </row>
    <row r="239" spans="1:8" x14ac:dyDescent="0.35">
      <c r="A239" t="s">
        <v>2337</v>
      </c>
      <c r="B239" t="s">
        <v>2338</v>
      </c>
      <c r="C239" t="s">
        <v>1883</v>
      </c>
      <c r="D239" t="s">
        <v>1864</v>
      </c>
      <c r="E239">
        <v>210103</v>
      </c>
      <c r="F239" s="2">
        <v>44690</v>
      </c>
      <c r="G239" s="2">
        <v>46068</v>
      </c>
      <c r="H239" t="s">
        <v>1871</v>
      </c>
    </row>
    <row r="240" spans="1:8" x14ac:dyDescent="0.35">
      <c r="A240" t="s">
        <v>2339</v>
      </c>
      <c r="B240" t="s">
        <v>2340</v>
      </c>
      <c r="C240" t="s">
        <v>1883</v>
      </c>
      <c r="D240" t="s">
        <v>1870</v>
      </c>
      <c r="E240">
        <v>2299446</v>
      </c>
      <c r="F240" s="2">
        <v>45747</v>
      </c>
      <c r="G240" s="2">
        <v>46725</v>
      </c>
      <c r="H240" t="s">
        <v>1865</v>
      </c>
    </row>
    <row r="241" spans="1:8" x14ac:dyDescent="0.35">
      <c r="A241" t="s">
        <v>2341</v>
      </c>
      <c r="B241" t="s">
        <v>2342</v>
      </c>
      <c r="C241" t="s">
        <v>1863</v>
      </c>
      <c r="D241" t="s">
        <v>1870</v>
      </c>
      <c r="E241">
        <v>2159054</v>
      </c>
      <c r="F241" s="2">
        <v>45184</v>
      </c>
      <c r="G241" s="2">
        <v>46293</v>
      </c>
      <c r="H241" t="s">
        <v>1865</v>
      </c>
    </row>
    <row r="242" spans="1:8" x14ac:dyDescent="0.35">
      <c r="A242" t="s">
        <v>2343</v>
      </c>
      <c r="B242" t="s">
        <v>2344</v>
      </c>
      <c r="C242" t="s">
        <v>1883</v>
      </c>
      <c r="D242" t="s">
        <v>1864</v>
      </c>
      <c r="E242">
        <v>840317</v>
      </c>
      <c r="F242" s="2">
        <v>45553</v>
      </c>
      <c r="G242" s="2">
        <v>46784</v>
      </c>
      <c r="H242" t="s">
        <v>1865</v>
      </c>
    </row>
    <row r="243" spans="1:8" x14ac:dyDescent="0.35">
      <c r="A243" t="s">
        <v>2345</v>
      </c>
      <c r="B243" t="s">
        <v>2346</v>
      </c>
      <c r="C243" t="s">
        <v>1876</v>
      </c>
      <c r="D243" t="s">
        <v>1870</v>
      </c>
      <c r="E243">
        <v>318470</v>
      </c>
      <c r="F243" s="2">
        <v>45144</v>
      </c>
      <c r="G243" s="2">
        <v>46956</v>
      </c>
      <c r="H243" t="s">
        <v>1871</v>
      </c>
    </row>
    <row r="244" spans="1:8" x14ac:dyDescent="0.35">
      <c r="A244" t="s">
        <v>2347</v>
      </c>
      <c r="B244" t="s">
        <v>2348</v>
      </c>
      <c r="C244" t="s">
        <v>1883</v>
      </c>
      <c r="D244" t="s">
        <v>1864</v>
      </c>
      <c r="E244">
        <v>794401</v>
      </c>
      <c r="F244" s="2">
        <v>44921</v>
      </c>
      <c r="G244" s="2">
        <v>46337</v>
      </c>
      <c r="H244" t="s">
        <v>1871</v>
      </c>
    </row>
    <row r="245" spans="1:8" x14ac:dyDescent="0.35">
      <c r="A245" t="s">
        <v>2349</v>
      </c>
      <c r="B245" t="s">
        <v>2350</v>
      </c>
      <c r="C245" t="s">
        <v>1887</v>
      </c>
      <c r="D245" t="s">
        <v>1864</v>
      </c>
      <c r="E245">
        <v>1117847</v>
      </c>
      <c r="F245" s="2">
        <v>45210</v>
      </c>
      <c r="G245" s="2">
        <v>46282</v>
      </c>
      <c r="H245" t="s">
        <v>1884</v>
      </c>
    </row>
    <row r="246" spans="1:8" x14ac:dyDescent="0.35">
      <c r="A246" t="s">
        <v>2351</v>
      </c>
      <c r="B246" t="s">
        <v>2352</v>
      </c>
      <c r="C246" t="s">
        <v>1883</v>
      </c>
      <c r="D246" t="s">
        <v>1864</v>
      </c>
      <c r="E246">
        <v>1212226</v>
      </c>
      <c r="F246" s="2">
        <v>44982</v>
      </c>
      <c r="G246" s="2">
        <v>46094</v>
      </c>
      <c r="H246" t="s">
        <v>1865</v>
      </c>
    </row>
    <row r="247" spans="1:8" x14ac:dyDescent="0.35">
      <c r="A247" t="s">
        <v>2353</v>
      </c>
      <c r="B247" t="s">
        <v>2354</v>
      </c>
      <c r="C247" t="s">
        <v>1876</v>
      </c>
      <c r="D247" t="s">
        <v>1870</v>
      </c>
      <c r="E247">
        <v>1562198</v>
      </c>
      <c r="F247" s="2">
        <v>45480</v>
      </c>
      <c r="G247" s="2">
        <v>46355</v>
      </c>
      <c r="H247" t="s">
        <v>1865</v>
      </c>
    </row>
    <row r="248" spans="1:8" x14ac:dyDescent="0.35">
      <c r="A248" t="s">
        <v>2355</v>
      </c>
      <c r="B248" t="s">
        <v>2356</v>
      </c>
      <c r="C248" t="s">
        <v>1887</v>
      </c>
      <c r="D248" t="s">
        <v>1870</v>
      </c>
      <c r="E248">
        <v>629566</v>
      </c>
      <c r="F248" s="2">
        <v>45584</v>
      </c>
      <c r="G248" s="2">
        <v>46320</v>
      </c>
      <c r="H248" t="s">
        <v>1884</v>
      </c>
    </row>
    <row r="249" spans="1:8" x14ac:dyDescent="0.35">
      <c r="A249" t="s">
        <v>2357</v>
      </c>
      <c r="B249" t="s">
        <v>2358</v>
      </c>
      <c r="C249" t="s">
        <v>1876</v>
      </c>
      <c r="D249" t="s">
        <v>1864</v>
      </c>
      <c r="E249">
        <v>1463091</v>
      </c>
      <c r="F249" s="2">
        <v>46074</v>
      </c>
      <c r="G249" s="2">
        <v>47062</v>
      </c>
      <c r="H249" t="s">
        <v>1865</v>
      </c>
    </row>
    <row r="250" spans="1:8" x14ac:dyDescent="0.35">
      <c r="A250" t="s">
        <v>2359</v>
      </c>
      <c r="B250" t="s">
        <v>2360</v>
      </c>
      <c r="C250" t="s">
        <v>1863</v>
      </c>
      <c r="D250" t="s">
        <v>1870</v>
      </c>
      <c r="E250">
        <v>1359655</v>
      </c>
      <c r="F250" s="2">
        <v>46106</v>
      </c>
      <c r="G250" s="2">
        <v>46324</v>
      </c>
      <c r="H250" t="s">
        <v>1884</v>
      </c>
    </row>
    <row r="251" spans="1:8" x14ac:dyDescent="0.35">
      <c r="A251" t="s">
        <v>2361</v>
      </c>
      <c r="B251" t="s">
        <v>2362</v>
      </c>
      <c r="C251" t="s">
        <v>1887</v>
      </c>
      <c r="D251" t="s">
        <v>1890</v>
      </c>
      <c r="E251">
        <v>1540545</v>
      </c>
      <c r="F251" s="2">
        <v>45542</v>
      </c>
      <c r="G251" s="2">
        <v>46105</v>
      </c>
      <c r="H251" t="s">
        <v>1871</v>
      </c>
    </row>
    <row r="252" spans="1:8" x14ac:dyDescent="0.35">
      <c r="A252" t="s">
        <v>2363</v>
      </c>
      <c r="B252" t="s">
        <v>2364</v>
      </c>
      <c r="C252" t="s">
        <v>1887</v>
      </c>
      <c r="D252" t="s">
        <v>1870</v>
      </c>
      <c r="E252">
        <v>2430893</v>
      </c>
      <c r="F252" s="2">
        <v>44612</v>
      </c>
      <c r="G252" s="2">
        <v>46845</v>
      </c>
      <c r="H252" t="s">
        <v>1871</v>
      </c>
    </row>
    <row r="253" spans="1:8" x14ac:dyDescent="0.35">
      <c r="A253" t="s">
        <v>2365</v>
      </c>
      <c r="B253" t="s">
        <v>2366</v>
      </c>
      <c r="C253" t="s">
        <v>1883</v>
      </c>
      <c r="D253" t="s">
        <v>1864</v>
      </c>
      <c r="E253">
        <v>1990545</v>
      </c>
      <c r="F253" s="2">
        <v>45230</v>
      </c>
      <c r="G253" s="2">
        <v>46135</v>
      </c>
      <c r="H253" t="s">
        <v>1871</v>
      </c>
    </row>
    <row r="254" spans="1:8" x14ac:dyDescent="0.35">
      <c r="A254" t="s">
        <v>2367</v>
      </c>
      <c r="B254" t="s">
        <v>2368</v>
      </c>
      <c r="C254" t="s">
        <v>1876</v>
      </c>
      <c r="D254" t="s">
        <v>1870</v>
      </c>
      <c r="E254">
        <v>2328023</v>
      </c>
      <c r="F254" s="2">
        <v>44962</v>
      </c>
      <c r="G254" s="2">
        <v>46069</v>
      </c>
      <c r="H254" t="s">
        <v>1873</v>
      </c>
    </row>
    <row r="255" spans="1:8" x14ac:dyDescent="0.35">
      <c r="A255" t="s">
        <v>2369</v>
      </c>
      <c r="B255" t="s">
        <v>2370</v>
      </c>
      <c r="C255" t="s">
        <v>1863</v>
      </c>
      <c r="D255" t="s">
        <v>1890</v>
      </c>
      <c r="E255">
        <v>2378264</v>
      </c>
      <c r="F255" s="2">
        <v>45937</v>
      </c>
      <c r="G255" s="2">
        <v>46201</v>
      </c>
      <c r="H255" t="s">
        <v>1884</v>
      </c>
    </row>
    <row r="256" spans="1:8" x14ac:dyDescent="0.35">
      <c r="A256" t="s">
        <v>2371</v>
      </c>
      <c r="B256" t="s">
        <v>2372</v>
      </c>
      <c r="C256" t="s">
        <v>1863</v>
      </c>
      <c r="D256" t="s">
        <v>1870</v>
      </c>
      <c r="E256">
        <v>935582</v>
      </c>
      <c r="F256" s="2">
        <v>45797</v>
      </c>
      <c r="G256" s="2">
        <v>47070</v>
      </c>
      <c r="H256" t="s">
        <v>1873</v>
      </c>
    </row>
    <row r="257" spans="1:8" x14ac:dyDescent="0.35">
      <c r="A257" t="s">
        <v>2373</v>
      </c>
      <c r="B257" t="s">
        <v>2374</v>
      </c>
      <c r="C257" t="s">
        <v>1863</v>
      </c>
      <c r="D257" t="s">
        <v>1864</v>
      </c>
      <c r="E257">
        <v>1634415</v>
      </c>
      <c r="F257" s="2">
        <v>46028</v>
      </c>
      <c r="G257" s="2">
        <v>46898</v>
      </c>
      <c r="H257" t="s">
        <v>1865</v>
      </c>
    </row>
    <row r="258" spans="1:8" x14ac:dyDescent="0.35">
      <c r="A258" t="s">
        <v>2375</v>
      </c>
      <c r="B258" t="s">
        <v>2376</v>
      </c>
      <c r="C258" t="s">
        <v>1883</v>
      </c>
      <c r="D258" t="s">
        <v>1864</v>
      </c>
      <c r="E258">
        <v>1739473</v>
      </c>
      <c r="F258" s="2">
        <v>45144</v>
      </c>
      <c r="G258" s="2">
        <v>46729</v>
      </c>
      <c r="H258" t="s">
        <v>1865</v>
      </c>
    </row>
    <row r="259" spans="1:8" x14ac:dyDescent="0.35">
      <c r="A259" t="s">
        <v>2377</v>
      </c>
      <c r="B259" t="s">
        <v>2378</v>
      </c>
      <c r="C259" t="s">
        <v>1863</v>
      </c>
      <c r="D259" t="s">
        <v>1890</v>
      </c>
      <c r="E259">
        <v>1412203</v>
      </c>
      <c r="F259" s="2">
        <v>44741</v>
      </c>
      <c r="G259" s="2">
        <v>46464</v>
      </c>
      <c r="H259" t="s">
        <v>1884</v>
      </c>
    </row>
    <row r="260" spans="1:8" x14ac:dyDescent="0.35">
      <c r="A260" t="s">
        <v>2379</v>
      </c>
      <c r="B260" t="s">
        <v>448</v>
      </c>
      <c r="C260" t="s">
        <v>1863</v>
      </c>
      <c r="D260" t="s">
        <v>1870</v>
      </c>
      <c r="E260">
        <v>1863193</v>
      </c>
      <c r="F260" s="2">
        <v>44897</v>
      </c>
      <c r="G260" s="2">
        <v>46891</v>
      </c>
      <c r="H260" t="s">
        <v>1884</v>
      </c>
    </row>
    <row r="261" spans="1:8" x14ac:dyDescent="0.35">
      <c r="A261" t="s">
        <v>2380</v>
      </c>
      <c r="B261" t="s">
        <v>2381</v>
      </c>
      <c r="C261" t="s">
        <v>1887</v>
      </c>
      <c r="D261" t="s">
        <v>1864</v>
      </c>
      <c r="E261">
        <v>705389</v>
      </c>
      <c r="F261" s="2">
        <v>44987</v>
      </c>
      <c r="G261" s="2">
        <v>46644</v>
      </c>
      <c r="H261" t="s">
        <v>1884</v>
      </c>
    </row>
    <row r="262" spans="1:8" x14ac:dyDescent="0.35">
      <c r="A262" t="s">
        <v>2382</v>
      </c>
      <c r="B262" t="s">
        <v>2383</v>
      </c>
      <c r="C262" t="s">
        <v>1883</v>
      </c>
      <c r="D262" t="s">
        <v>1864</v>
      </c>
      <c r="E262">
        <v>2323272</v>
      </c>
      <c r="F262" s="2">
        <v>45771</v>
      </c>
      <c r="G262" s="2">
        <v>46792</v>
      </c>
      <c r="H262" t="s">
        <v>1873</v>
      </c>
    </row>
    <row r="263" spans="1:8" x14ac:dyDescent="0.35">
      <c r="A263" t="s">
        <v>2384</v>
      </c>
      <c r="B263" t="s">
        <v>2385</v>
      </c>
      <c r="C263" t="s">
        <v>1863</v>
      </c>
      <c r="D263" t="s">
        <v>1890</v>
      </c>
      <c r="E263">
        <v>147761</v>
      </c>
      <c r="F263" s="2">
        <v>45121</v>
      </c>
      <c r="G263" s="2">
        <v>46871</v>
      </c>
      <c r="H263" t="s">
        <v>1871</v>
      </c>
    </row>
    <row r="264" spans="1:8" x14ac:dyDescent="0.35">
      <c r="A264" t="s">
        <v>2386</v>
      </c>
      <c r="B264" t="s">
        <v>2387</v>
      </c>
      <c r="C264" t="s">
        <v>1863</v>
      </c>
      <c r="D264" t="s">
        <v>1890</v>
      </c>
      <c r="E264">
        <v>2451252</v>
      </c>
      <c r="F264" s="2">
        <v>45725</v>
      </c>
      <c r="G264" s="2">
        <v>46303</v>
      </c>
      <c r="H264" t="s">
        <v>1871</v>
      </c>
    </row>
    <row r="265" spans="1:8" x14ac:dyDescent="0.35">
      <c r="A265" t="s">
        <v>2388</v>
      </c>
      <c r="B265" t="s">
        <v>2389</v>
      </c>
      <c r="C265" t="s">
        <v>1863</v>
      </c>
      <c r="D265" t="s">
        <v>1870</v>
      </c>
      <c r="E265">
        <v>900167</v>
      </c>
      <c r="F265" s="2">
        <v>45696</v>
      </c>
      <c r="G265" s="2">
        <v>47027</v>
      </c>
      <c r="H265" t="s">
        <v>1873</v>
      </c>
    </row>
    <row r="266" spans="1:8" x14ac:dyDescent="0.35">
      <c r="A266" t="s">
        <v>2390</v>
      </c>
      <c r="B266" t="s">
        <v>2391</v>
      </c>
      <c r="C266" t="s">
        <v>1883</v>
      </c>
      <c r="D266" t="s">
        <v>1870</v>
      </c>
      <c r="E266">
        <v>1386650</v>
      </c>
      <c r="F266" s="2">
        <v>45707</v>
      </c>
      <c r="G266" s="2">
        <v>46972</v>
      </c>
      <c r="H266" t="s">
        <v>1871</v>
      </c>
    </row>
    <row r="267" spans="1:8" x14ac:dyDescent="0.35">
      <c r="A267" t="s">
        <v>2392</v>
      </c>
      <c r="B267" t="s">
        <v>2393</v>
      </c>
      <c r="C267" t="s">
        <v>1887</v>
      </c>
      <c r="D267" t="s">
        <v>1864</v>
      </c>
      <c r="E267">
        <v>232575</v>
      </c>
      <c r="F267" s="2">
        <v>45099</v>
      </c>
      <c r="G267" s="2">
        <v>46637</v>
      </c>
      <c r="H267" t="s">
        <v>1884</v>
      </c>
    </row>
    <row r="268" spans="1:8" x14ac:dyDescent="0.35">
      <c r="A268" t="s">
        <v>2394</v>
      </c>
      <c r="B268" t="s">
        <v>2395</v>
      </c>
      <c r="C268" t="s">
        <v>1883</v>
      </c>
      <c r="D268" t="s">
        <v>1870</v>
      </c>
      <c r="E268">
        <v>640835</v>
      </c>
      <c r="F268" s="2">
        <v>44929</v>
      </c>
      <c r="G268" s="2">
        <v>47030</v>
      </c>
      <c r="H268" t="s">
        <v>1871</v>
      </c>
    </row>
    <row r="269" spans="1:8" x14ac:dyDescent="0.35">
      <c r="A269" t="s">
        <v>2396</v>
      </c>
      <c r="B269" t="s">
        <v>2397</v>
      </c>
      <c r="C269" t="s">
        <v>1887</v>
      </c>
      <c r="D269" t="s">
        <v>1870</v>
      </c>
      <c r="E269">
        <v>239296</v>
      </c>
      <c r="F269" s="2">
        <v>45571</v>
      </c>
      <c r="G269" s="2">
        <v>46159</v>
      </c>
      <c r="H269" t="s">
        <v>1865</v>
      </c>
    </row>
    <row r="270" spans="1:8" x14ac:dyDescent="0.35">
      <c r="A270" t="s">
        <v>2398</v>
      </c>
      <c r="B270" t="s">
        <v>2399</v>
      </c>
      <c r="C270" t="s">
        <v>1863</v>
      </c>
      <c r="D270" t="s">
        <v>1870</v>
      </c>
      <c r="E270">
        <v>2135303</v>
      </c>
      <c r="F270" s="2">
        <v>45848</v>
      </c>
      <c r="G270" s="2">
        <v>46997</v>
      </c>
      <c r="H270" t="s">
        <v>1873</v>
      </c>
    </row>
    <row r="271" spans="1:8" x14ac:dyDescent="0.35">
      <c r="A271" t="s">
        <v>2400</v>
      </c>
      <c r="B271" t="s">
        <v>2401</v>
      </c>
      <c r="C271" t="s">
        <v>1887</v>
      </c>
      <c r="D271" t="s">
        <v>1870</v>
      </c>
      <c r="E271">
        <v>1685323</v>
      </c>
      <c r="F271" s="2">
        <v>44895</v>
      </c>
      <c r="G271" s="2">
        <v>46142</v>
      </c>
      <c r="H271" t="s">
        <v>1871</v>
      </c>
    </row>
    <row r="272" spans="1:8" x14ac:dyDescent="0.35">
      <c r="A272" t="s">
        <v>2402</v>
      </c>
      <c r="B272" t="s">
        <v>2403</v>
      </c>
      <c r="C272" t="s">
        <v>1863</v>
      </c>
      <c r="D272" t="s">
        <v>1890</v>
      </c>
      <c r="E272">
        <v>1460839</v>
      </c>
      <c r="F272" s="2">
        <v>44839</v>
      </c>
      <c r="G272" s="2">
        <v>46754</v>
      </c>
      <c r="H272" t="s">
        <v>1871</v>
      </c>
    </row>
    <row r="273" spans="1:8" x14ac:dyDescent="0.35">
      <c r="A273" t="s">
        <v>2404</v>
      </c>
      <c r="B273" t="s">
        <v>2405</v>
      </c>
      <c r="C273" t="s">
        <v>1883</v>
      </c>
      <c r="D273" t="s">
        <v>1870</v>
      </c>
      <c r="E273">
        <v>341829</v>
      </c>
      <c r="F273" s="2">
        <v>45421</v>
      </c>
      <c r="G273" s="2">
        <v>46752</v>
      </c>
      <c r="H273" t="s">
        <v>1873</v>
      </c>
    </row>
    <row r="274" spans="1:8" x14ac:dyDescent="0.35">
      <c r="A274" t="s">
        <v>2406</v>
      </c>
      <c r="B274" t="s">
        <v>2407</v>
      </c>
      <c r="C274" t="s">
        <v>1883</v>
      </c>
      <c r="D274" t="s">
        <v>1890</v>
      </c>
      <c r="E274">
        <v>1335745</v>
      </c>
      <c r="F274" s="2">
        <v>45870</v>
      </c>
      <c r="G274" s="2">
        <v>46180</v>
      </c>
      <c r="H274" t="s">
        <v>1871</v>
      </c>
    </row>
    <row r="275" spans="1:8" x14ac:dyDescent="0.35">
      <c r="A275" t="s">
        <v>2408</v>
      </c>
      <c r="B275" t="s">
        <v>2409</v>
      </c>
      <c r="C275" t="s">
        <v>1887</v>
      </c>
      <c r="D275" t="s">
        <v>1890</v>
      </c>
      <c r="E275">
        <v>888595</v>
      </c>
      <c r="F275" s="2">
        <v>46103</v>
      </c>
      <c r="G275" s="2">
        <v>46365</v>
      </c>
      <c r="H275" t="s">
        <v>1865</v>
      </c>
    </row>
    <row r="276" spans="1:8" x14ac:dyDescent="0.35">
      <c r="A276" t="s">
        <v>2410</v>
      </c>
      <c r="B276" t="s">
        <v>2078</v>
      </c>
      <c r="C276" t="s">
        <v>1883</v>
      </c>
      <c r="D276" t="s">
        <v>1870</v>
      </c>
      <c r="E276">
        <v>1446282</v>
      </c>
      <c r="F276" s="2">
        <v>45965</v>
      </c>
      <c r="G276" s="2">
        <v>46765</v>
      </c>
      <c r="H276" t="s">
        <v>1873</v>
      </c>
    </row>
    <row r="277" spans="1:8" x14ac:dyDescent="0.35">
      <c r="A277" t="s">
        <v>2411</v>
      </c>
      <c r="B277" t="s">
        <v>2412</v>
      </c>
      <c r="C277" t="s">
        <v>1883</v>
      </c>
      <c r="D277" t="s">
        <v>1864</v>
      </c>
      <c r="E277">
        <v>2361521</v>
      </c>
      <c r="F277" s="2">
        <v>44588</v>
      </c>
      <c r="G277" s="2">
        <v>46303</v>
      </c>
      <c r="H277" t="s">
        <v>1865</v>
      </c>
    </row>
    <row r="278" spans="1:8" x14ac:dyDescent="0.35">
      <c r="A278" t="s">
        <v>2413</v>
      </c>
      <c r="B278" t="s">
        <v>2414</v>
      </c>
      <c r="C278" t="s">
        <v>1863</v>
      </c>
      <c r="D278" t="s">
        <v>1870</v>
      </c>
      <c r="E278">
        <v>1684534</v>
      </c>
      <c r="F278" s="2">
        <v>45258</v>
      </c>
      <c r="G278" s="2">
        <v>46356</v>
      </c>
      <c r="H278" t="s">
        <v>1873</v>
      </c>
    </row>
    <row r="279" spans="1:8" x14ac:dyDescent="0.35">
      <c r="A279" t="s">
        <v>2415</v>
      </c>
      <c r="B279" t="s">
        <v>2416</v>
      </c>
      <c r="C279" t="s">
        <v>1876</v>
      </c>
      <c r="D279" t="s">
        <v>1890</v>
      </c>
      <c r="E279">
        <v>1033839</v>
      </c>
      <c r="F279" s="2">
        <v>45014</v>
      </c>
      <c r="G279" s="2">
        <v>46408</v>
      </c>
      <c r="H279" t="s">
        <v>1873</v>
      </c>
    </row>
    <row r="280" spans="1:8" x14ac:dyDescent="0.35">
      <c r="A280" t="s">
        <v>2417</v>
      </c>
      <c r="B280" t="s">
        <v>2418</v>
      </c>
      <c r="C280" t="s">
        <v>1863</v>
      </c>
      <c r="D280" t="s">
        <v>1864</v>
      </c>
      <c r="E280">
        <v>1870477</v>
      </c>
      <c r="F280" s="2">
        <v>44800</v>
      </c>
      <c r="G280" s="2">
        <v>46291</v>
      </c>
      <c r="H280" t="s">
        <v>1873</v>
      </c>
    </row>
    <row r="281" spans="1:8" x14ac:dyDescent="0.35">
      <c r="A281" t="s">
        <v>2419</v>
      </c>
      <c r="B281" t="s">
        <v>2420</v>
      </c>
      <c r="C281" t="s">
        <v>1883</v>
      </c>
      <c r="D281" t="s">
        <v>1870</v>
      </c>
      <c r="E281">
        <v>2131245</v>
      </c>
      <c r="F281" s="2">
        <v>45977</v>
      </c>
      <c r="G281" s="2">
        <v>46765</v>
      </c>
      <c r="H281" t="s">
        <v>1871</v>
      </c>
    </row>
    <row r="282" spans="1:8" x14ac:dyDescent="0.35">
      <c r="A282" t="s">
        <v>2421</v>
      </c>
      <c r="B282" t="s">
        <v>2422</v>
      </c>
      <c r="C282" t="s">
        <v>1883</v>
      </c>
      <c r="D282" t="s">
        <v>1864</v>
      </c>
      <c r="E282">
        <v>1973621</v>
      </c>
      <c r="F282" s="2">
        <v>46015</v>
      </c>
      <c r="G282" s="2">
        <v>46646</v>
      </c>
      <c r="H282" t="s">
        <v>1873</v>
      </c>
    </row>
    <row r="283" spans="1:8" x14ac:dyDescent="0.35">
      <c r="A283" t="s">
        <v>2423</v>
      </c>
      <c r="B283" t="s">
        <v>2424</v>
      </c>
      <c r="C283" t="s">
        <v>1876</v>
      </c>
      <c r="D283" t="s">
        <v>1864</v>
      </c>
      <c r="E283">
        <v>617431</v>
      </c>
      <c r="F283" s="2">
        <v>46316</v>
      </c>
      <c r="G283" s="2">
        <v>46314</v>
      </c>
      <c r="H283" t="s">
        <v>1871</v>
      </c>
    </row>
    <row r="284" spans="1:8" x14ac:dyDescent="0.35">
      <c r="A284" t="s">
        <v>2425</v>
      </c>
      <c r="B284" t="s">
        <v>2426</v>
      </c>
      <c r="C284" t="s">
        <v>1876</v>
      </c>
      <c r="D284" t="s">
        <v>1864</v>
      </c>
      <c r="E284">
        <v>1409447</v>
      </c>
      <c r="F284" s="2">
        <v>44828</v>
      </c>
      <c r="G284" s="2">
        <v>46183</v>
      </c>
      <c r="H284" t="s">
        <v>1884</v>
      </c>
    </row>
    <row r="285" spans="1:8" x14ac:dyDescent="0.35">
      <c r="A285" t="s">
        <v>2427</v>
      </c>
      <c r="B285" t="s">
        <v>2428</v>
      </c>
      <c r="C285" t="s">
        <v>1887</v>
      </c>
      <c r="D285" t="s">
        <v>1864</v>
      </c>
      <c r="E285">
        <v>588596</v>
      </c>
      <c r="F285" s="2">
        <v>46148</v>
      </c>
      <c r="G285" s="2">
        <v>47014</v>
      </c>
      <c r="H285" t="s">
        <v>1884</v>
      </c>
    </row>
    <row r="286" spans="1:8" x14ac:dyDescent="0.35">
      <c r="A286" t="s">
        <v>2429</v>
      </c>
      <c r="B286" t="s">
        <v>2430</v>
      </c>
      <c r="C286" t="s">
        <v>1876</v>
      </c>
      <c r="D286" t="s">
        <v>1864</v>
      </c>
      <c r="E286">
        <v>298328</v>
      </c>
      <c r="F286" s="2">
        <v>44629</v>
      </c>
      <c r="G286" s="2">
        <v>47074</v>
      </c>
      <c r="H286" t="s">
        <v>1873</v>
      </c>
    </row>
    <row r="287" spans="1:8" x14ac:dyDescent="0.35">
      <c r="A287" t="s">
        <v>2431</v>
      </c>
      <c r="B287" t="s">
        <v>2432</v>
      </c>
      <c r="C287" t="s">
        <v>1887</v>
      </c>
      <c r="D287" t="s">
        <v>1870</v>
      </c>
      <c r="E287">
        <v>2087473</v>
      </c>
      <c r="F287" s="2">
        <v>44650</v>
      </c>
      <c r="G287" s="2">
        <v>46158</v>
      </c>
      <c r="H287" t="s">
        <v>1865</v>
      </c>
    </row>
    <row r="288" spans="1:8" x14ac:dyDescent="0.35">
      <c r="A288" t="s">
        <v>2433</v>
      </c>
      <c r="B288" t="s">
        <v>2434</v>
      </c>
      <c r="C288" t="s">
        <v>1887</v>
      </c>
      <c r="D288" t="s">
        <v>1864</v>
      </c>
      <c r="E288">
        <v>163085</v>
      </c>
      <c r="F288" s="2">
        <v>45794</v>
      </c>
      <c r="G288" s="2">
        <v>46443</v>
      </c>
      <c r="H288" t="s">
        <v>1871</v>
      </c>
    </row>
    <row r="289" spans="1:8" x14ac:dyDescent="0.35">
      <c r="A289" t="s">
        <v>2435</v>
      </c>
      <c r="B289" t="s">
        <v>2436</v>
      </c>
      <c r="C289" t="s">
        <v>1883</v>
      </c>
      <c r="D289" t="s">
        <v>1864</v>
      </c>
      <c r="E289">
        <v>895031</v>
      </c>
      <c r="F289" s="2">
        <v>44747</v>
      </c>
      <c r="G289" s="2">
        <v>46321</v>
      </c>
      <c r="H289" t="s">
        <v>1865</v>
      </c>
    </row>
    <row r="290" spans="1:8" x14ac:dyDescent="0.35">
      <c r="A290" t="s">
        <v>2437</v>
      </c>
      <c r="B290" t="s">
        <v>787</v>
      </c>
      <c r="C290" t="s">
        <v>1883</v>
      </c>
      <c r="D290" t="s">
        <v>1864</v>
      </c>
      <c r="E290">
        <v>1578932</v>
      </c>
      <c r="F290" s="2">
        <v>46313</v>
      </c>
      <c r="G290" s="2">
        <v>47048</v>
      </c>
      <c r="H290" t="s">
        <v>1871</v>
      </c>
    </row>
    <row r="291" spans="1:8" x14ac:dyDescent="0.35">
      <c r="A291" t="s">
        <v>2438</v>
      </c>
      <c r="B291" t="s">
        <v>2439</v>
      </c>
      <c r="C291" t="s">
        <v>1887</v>
      </c>
      <c r="D291" t="s">
        <v>1864</v>
      </c>
      <c r="E291">
        <v>2237742</v>
      </c>
      <c r="F291" s="2">
        <v>46240</v>
      </c>
      <c r="G291" s="2">
        <v>46051</v>
      </c>
      <c r="H291" t="s">
        <v>1871</v>
      </c>
    </row>
    <row r="292" spans="1:8" x14ac:dyDescent="0.35">
      <c r="A292" t="s">
        <v>2440</v>
      </c>
      <c r="B292" t="s">
        <v>2441</v>
      </c>
      <c r="C292" t="s">
        <v>1883</v>
      </c>
      <c r="D292" t="s">
        <v>1864</v>
      </c>
      <c r="E292">
        <v>923408</v>
      </c>
      <c r="F292" s="2">
        <v>46106</v>
      </c>
      <c r="G292" s="2">
        <v>46031</v>
      </c>
      <c r="H292" t="s">
        <v>1873</v>
      </c>
    </row>
    <row r="293" spans="1:8" x14ac:dyDescent="0.35">
      <c r="A293" t="s">
        <v>2442</v>
      </c>
      <c r="B293" t="s">
        <v>2443</v>
      </c>
      <c r="C293" t="s">
        <v>1863</v>
      </c>
      <c r="D293" t="s">
        <v>1870</v>
      </c>
      <c r="E293">
        <v>1017645</v>
      </c>
      <c r="F293" s="2">
        <v>45991</v>
      </c>
      <c r="G293" s="2">
        <v>46402</v>
      </c>
      <c r="H293" t="s">
        <v>1884</v>
      </c>
    </row>
    <row r="294" spans="1:8" x14ac:dyDescent="0.35">
      <c r="A294" t="s">
        <v>2444</v>
      </c>
      <c r="B294" t="s">
        <v>2445</v>
      </c>
      <c r="C294" t="s">
        <v>1876</v>
      </c>
      <c r="D294" t="s">
        <v>1870</v>
      </c>
      <c r="E294">
        <v>570151</v>
      </c>
      <c r="F294" s="2">
        <v>45339</v>
      </c>
      <c r="G294" s="2">
        <v>46891</v>
      </c>
      <c r="H294" t="s">
        <v>1871</v>
      </c>
    </row>
    <row r="295" spans="1:8" x14ac:dyDescent="0.35">
      <c r="A295" t="s">
        <v>2446</v>
      </c>
      <c r="B295" t="s">
        <v>2447</v>
      </c>
      <c r="C295" t="s">
        <v>1876</v>
      </c>
      <c r="D295" t="s">
        <v>1870</v>
      </c>
      <c r="E295">
        <v>2276925</v>
      </c>
      <c r="F295" s="2">
        <v>44793</v>
      </c>
      <c r="G295" s="2">
        <v>46666</v>
      </c>
      <c r="H295" t="s">
        <v>1873</v>
      </c>
    </row>
    <row r="296" spans="1:8" x14ac:dyDescent="0.35">
      <c r="A296" t="s">
        <v>2448</v>
      </c>
      <c r="B296" t="s">
        <v>2449</v>
      </c>
      <c r="C296" t="s">
        <v>1887</v>
      </c>
      <c r="D296" t="s">
        <v>1890</v>
      </c>
      <c r="E296">
        <v>2074133</v>
      </c>
      <c r="F296" s="2">
        <v>44840</v>
      </c>
      <c r="G296" s="2">
        <v>47038</v>
      </c>
      <c r="H296" t="s">
        <v>1865</v>
      </c>
    </row>
    <row r="297" spans="1:8" x14ac:dyDescent="0.35">
      <c r="A297" t="s">
        <v>2450</v>
      </c>
      <c r="B297" t="s">
        <v>2451</v>
      </c>
      <c r="C297" t="s">
        <v>1887</v>
      </c>
      <c r="D297" t="s">
        <v>1864</v>
      </c>
      <c r="E297">
        <v>1329097</v>
      </c>
      <c r="F297" s="2">
        <v>45233</v>
      </c>
      <c r="G297" s="2">
        <v>47034</v>
      </c>
      <c r="H297" t="s">
        <v>1873</v>
      </c>
    </row>
    <row r="298" spans="1:8" x14ac:dyDescent="0.35">
      <c r="A298" t="s">
        <v>2452</v>
      </c>
      <c r="B298" t="s">
        <v>2453</v>
      </c>
      <c r="C298" t="s">
        <v>1883</v>
      </c>
      <c r="D298" t="s">
        <v>1870</v>
      </c>
      <c r="E298">
        <v>1733888</v>
      </c>
      <c r="F298" s="2">
        <v>45791</v>
      </c>
      <c r="G298" s="2">
        <v>46661</v>
      </c>
      <c r="H298" t="s">
        <v>1884</v>
      </c>
    </row>
    <row r="299" spans="1:8" x14ac:dyDescent="0.35">
      <c r="A299" t="s">
        <v>2454</v>
      </c>
      <c r="B299" t="s">
        <v>2455</v>
      </c>
      <c r="C299" t="s">
        <v>1863</v>
      </c>
      <c r="D299" t="s">
        <v>1870</v>
      </c>
      <c r="E299">
        <v>1067381</v>
      </c>
      <c r="F299" s="2">
        <v>46313</v>
      </c>
      <c r="G299" s="2">
        <v>46899</v>
      </c>
      <c r="H299" t="s">
        <v>1871</v>
      </c>
    </row>
    <row r="300" spans="1:8" x14ac:dyDescent="0.35">
      <c r="A300" t="s">
        <v>2456</v>
      </c>
      <c r="B300" t="s">
        <v>2457</v>
      </c>
      <c r="C300" t="s">
        <v>1863</v>
      </c>
      <c r="D300" t="s">
        <v>1890</v>
      </c>
      <c r="E300">
        <v>411961</v>
      </c>
      <c r="F300" s="2">
        <v>45314</v>
      </c>
      <c r="G300" s="2">
        <v>46390</v>
      </c>
      <c r="H300" t="s">
        <v>1873</v>
      </c>
    </row>
    <row r="301" spans="1:8" x14ac:dyDescent="0.35">
      <c r="A301" t="s">
        <v>2458</v>
      </c>
      <c r="B301" t="s">
        <v>2459</v>
      </c>
      <c r="C301" t="s">
        <v>1887</v>
      </c>
      <c r="D301" t="s">
        <v>1870</v>
      </c>
      <c r="E301">
        <v>2182122</v>
      </c>
      <c r="F301" s="2">
        <v>45459</v>
      </c>
      <c r="G301" s="2">
        <v>47093</v>
      </c>
      <c r="H301" t="s">
        <v>1873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1"/>
  <sheetViews>
    <sheetView workbookViewId="0"/>
  </sheetViews>
  <sheetFormatPr defaultRowHeight="14.5" x14ac:dyDescent="0.35"/>
  <cols>
    <col min="1" max="1" width="17" customWidth="1"/>
    <col min="2" max="2" width="12" customWidth="1"/>
    <col min="3" max="3" width="9" customWidth="1"/>
    <col min="4" max="4" width="11" customWidth="1"/>
    <col min="5" max="5" width="12" customWidth="1"/>
    <col min="6" max="6" width="16" customWidth="1"/>
  </cols>
  <sheetData>
    <row r="1" spans="1:6" x14ac:dyDescent="0.35">
      <c r="A1" s="1" t="s">
        <v>2</v>
      </c>
      <c r="B1" s="1" t="s">
        <v>4</v>
      </c>
      <c r="C1" s="1" t="s">
        <v>2460</v>
      </c>
      <c r="D1" s="1" t="s">
        <v>2461</v>
      </c>
      <c r="E1" s="1" t="s">
        <v>2462</v>
      </c>
      <c r="F1" s="1" t="s">
        <v>2463</v>
      </c>
    </row>
    <row r="2" spans="1:6" x14ac:dyDescent="0.35">
      <c r="A2" t="s">
        <v>63</v>
      </c>
      <c r="B2" t="s">
        <v>26</v>
      </c>
      <c r="C2">
        <v>12</v>
      </c>
      <c r="D2">
        <v>11</v>
      </c>
      <c r="E2">
        <v>-1</v>
      </c>
      <c r="F2" t="s">
        <v>2464</v>
      </c>
    </row>
    <row r="3" spans="1:6" x14ac:dyDescent="0.35">
      <c r="A3" t="s">
        <v>24</v>
      </c>
      <c r="B3" t="s">
        <v>51</v>
      </c>
      <c r="C3">
        <v>42</v>
      </c>
      <c r="D3">
        <v>40</v>
      </c>
      <c r="E3">
        <v>-2</v>
      </c>
      <c r="F3" t="s">
        <v>2465</v>
      </c>
    </row>
    <row r="4" spans="1:6" x14ac:dyDescent="0.35">
      <c r="A4" t="s">
        <v>44</v>
      </c>
      <c r="B4" t="s">
        <v>21</v>
      </c>
      <c r="C4">
        <v>28</v>
      </c>
      <c r="D4">
        <v>28</v>
      </c>
      <c r="E4">
        <v>0</v>
      </c>
      <c r="F4" t="s">
        <v>2464</v>
      </c>
    </row>
    <row r="5" spans="1:6" x14ac:dyDescent="0.35">
      <c r="A5" t="s">
        <v>13</v>
      </c>
      <c r="B5" t="s">
        <v>26</v>
      </c>
      <c r="C5">
        <v>30</v>
      </c>
      <c r="D5">
        <v>28</v>
      </c>
      <c r="E5">
        <v>-2</v>
      </c>
      <c r="F5" t="s">
        <v>2464</v>
      </c>
    </row>
    <row r="6" spans="1:6" x14ac:dyDescent="0.35">
      <c r="A6" t="s">
        <v>30</v>
      </c>
      <c r="B6" t="s">
        <v>41</v>
      </c>
      <c r="C6">
        <v>36</v>
      </c>
      <c r="D6">
        <v>37</v>
      </c>
      <c r="E6">
        <v>1</v>
      </c>
      <c r="F6" t="s">
        <v>2464</v>
      </c>
    </row>
    <row r="7" spans="1:6" x14ac:dyDescent="0.35">
      <c r="A7" t="s">
        <v>30</v>
      </c>
      <c r="B7" t="s">
        <v>26</v>
      </c>
      <c r="C7">
        <v>22</v>
      </c>
      <c r="D7">
        <v>31</v>
      </c>
      <c r="E7">
        <v>9</v>
      </c>
      <c r="F7" t="s">
        <v>45</v>
      </c>
    </row>
    <row r="8" spans="1:6" x14ac:dyDescent="0.35">
      <c r="A8" t="s">
        <v>39</v>
      </c>
      <c r="B8" t="s">
        <v>26</v>
      </c>
      <c r="C8">
        <v>35</v>
      </c>
      <c r="D8">
        <v>42</v>
      </c>
      <c r="E8">
        <v>7</v>
      </c>
      <c r="F8" t="s">
        <v>45</v>
      </c>
    </row>
    <row r="9" spans="1:6" x14ac:dyDescent="0.35">
      <c r="A9" t="s">
        <v>13</v>
      </c>
      <c r="B9" t="s">
        <v>88</v>
      </c>
      <c r="C9">
        <v>37</v>
      </c>
      <c r="D9">
        <v>38</v>
      </c>
      <c r="E9">
        <v>1</v>
      </c>
      <c r="F9" t="s">
        <v>2465</v>
      </c>
    </row>
    <row r="10" spans="1:6" x14ac:dyDescent="0.35">
      <c r="A10" t="s">
        <v>63</v>
      </c>
      <c r="B10" t="s">
        <v>88</v>
      </c>
      <c r="C10">
        <v>12</v>
      </c>
      <c r="D10">
        <v>13</v>
      </c>
      <c r="E10">
        <v>1</v>
      </c>
      <c r="F10" t="s">
        <v>2465</v>
      </c>
    </row>
    <row r="11" spans="1:6" x14ac:dyDescent="0.35">
      <c r="A11" t="s">
        <v>19</v>
      </c>
      <c r="B11" t="s">
        <v>15</v>
      </c>
      <c r="C11">
        <v>45</v>
      </c>
      <c r="D11">
        <v>44</v>
      </c>
      <c r="E11">
        <v>-1</v>
      </c>
      <c r="F11" t="s">
        <v>2464</v>
      </c>
    </row>
    <row r="12" spans="1:6" x14ac:dyDescent="0.35">
      <c r="A12" t="s">
        <v>19</v>
      </c>
      <c r="B12" t="s">
        <v>88</v>
      </c>
      <c r="C12">
        <v>8</v>
      </c>
      <c r="D12">
        <v>18</v>
      </c>
      <c r="E12">
        <v>10</v>
      </c>
      <c r="F12" t="s">
        <v>2464</v>
      </c>
    </row>
    <row r="13" spans="1:6" x14ac:dyDescent="0.35">
      <c r="A13" t="s">
        <v>63</v>
      </c>
      <c r="B13" t="s">
        <v>41</v>
      </c>
      <c r="C13">
        <v>6</v>
      </c>
      <c r="D13">
        <v>5</v>
      </c>
      <c r="E13">
        <v>-1</v>
      </c>
      <c r="F13" t="s">
        <v>2464</v>
      </c>
    </row>
    <row r="14" spans="1:6" x14ac:dyDescent="0.35">
      <c r="A14" t="s">
        <v>44</v>
      </c>
      <c r="B14" t="s">
        <v>41</v>
      </c>
      <c r="C14">
        <v>25</v>
      </c>
      <c r="D14">
        <v>24</v>
      </c>
      <c r="E14">
        <v>-1</v>
      </c>
      <c r="F14" t="s">
        <v>2464</v>
      </c>
    </row>
    <row r="15" spans="1:6" x14ac:dyDescent="0.35">
      <c r="A15" t="s">
        <v>19</v>
      </c>
      <c r="B15" t="s">
        <v>36</v>
      </c>
      <c r="C15">
        <v>11</v>
      </c>
      <c r="D15">
        <v>20</v>
      </c>
      <c r="E15">
        <v>9</v>
      </c>
      <c r="F15" t="s">
        <v>45</v>
      </c>
    </row>
    <row r="16" spans="1:6" x14ac:dyDescent="0.35">
      <c r="A16" t="s">
        <v>44</v>
      </c>
      <c r="B16" t="s">
        <v>88</v>
      </c>
      <c r="C16">
        <v>34</v>
      </c>
      <c r="D16">
        <v>34</v>
      </c>
      <c r="E16">
        <v>0</v>
      </c>
      <c r="F16" t="s">
        <v>45</v>
      </c>
    </row>
    <row r="17" spans="1:6" x14ac:dyDescent="0.35">
      <c r="A17" t="s">
        <v>39</v>
      </c>
      <c r="B17" t="s">
        <v>48</v>
      </c>
      <c r="C17">
        <v>37</v>
      </c>
      <c r="D17">
        <v>38</v>
      </c>
      <c r="E17">
        <v>1</v>
      </c>
      <c r="F17" t="s">
        <v>2464</v>
      </c>
    </row>
    <row r="18" spans="1:6" x14ac:dyDescent="0.35">
      <c r="A18" t="s">
        <v>30</v>
      </c>
      <c r="B18" t="s">
        <v>77</v>
      </c>
      <c r="C18">
        <v>39</v>
      </c>
      <c r="D18">
        <v>36</v>
      </c>
      <c r="E18">
        <v>-3</v>
      </c>
      <c r="F18" t="s">
        <v>45</v>
      </c>
    </row>
    <row r="19" spans="1:6" x14ac:dyDescent="0.35">
      <c r="A19" t="s">
        <v>63</v>
      </c>
      <c r="B19" t="s">
        <v>48</v>
      </c>
      <c r="C19">
        <v>12</v>
      </c>
      <c r="D19">
        <v>15</v>
      </c>
      <c r="E19">
        <v>3</v>
      </c>
      <c r="F19" t="s">
        <v>45</v>
      </c>
    </row>
    <row r="20" spans="1:6" x14ac:dyDescent="0.35">
      <c r="A20" t="s">
        <v>19</v>
      </c>
      <c r="B20" t="s">
        <v>77</v>
      </c>
      <c r="C20">
        <v>33</v>
      </c>
      <c r="D20">
        <v>37</v>
      </c>
      <c r="E20">
        <v>4</v>
      </c>
      <c r="F20" t="s">
        <v>2465</v>
      </c>
    </row>
    <row r="21" spans="1:6" x14ac:dyDescent="0.35">
      <c r="A21" t="s">
        <v>30</v>
      </c>
      <c r="B21" t="s">
        <v>72</v>
      </c>
      <c r="C21">
        <v>40</v>
      </c>
      <c r="D21">
        <v>47</v>
      </c>
      <c r="E21">
        <v>7</v>
      </c>
      <c r="F21" t="s">
        <v>2464</v>
      </c>
    </row>
    <row r="22" spans="1:6" x14ac:dyDescent="0.35">
      <c r="A22" t="s">
        <v>63</v>
      </c>
      <c r="B22" t="s">
        <v>51</v>
      </c>
      <c r="C22">
        <v>15</v>
      </c>
      <c r="D22">
        <v>19</v>
      </c>
      <c r="E22">
        <v>4</v>
      </c>
      <c r="F22" t="s">
        <v>45</v>
      </c>
    </row>
    <row r="23" spans="1:6" x14ac:dyDescent="0.35">
      <c r="A23" t="s">
        <v>63</v>
      </c>
      <c r="B23" t="s">
        <v>15</v>
      </c>
      <c r="C23">
        <v>50</v>
      </c>
      <c r="D23">
        <v>53</v>
      </c>
      <c r="E23">
        <v>3</v>
      </c>
      <c r="F23" t="s">
        <v>2464</v>
      </c>
    </row>
    <row r="24" spans="1:6" x14ac:dyDescent="0.35">
      <c r="A24" t="s">
        <v>24</v>
      </c>
      <c r="B24" t="s">
        <v>36</v>
      </c>
      <c r="C24">
        <v>48</v>
      </c>
      <c r="D24">
        <v>52</v>
      </c>
      <c r="E24">
        <v>4</v>
      </c>
      <c r="F24" t="s">
        <v>2464</v>
      </c>
    </row>
    <row r="25" spans="1:6" x14ac:dyDescent="0.35">
      <c r="A25" t="s">
        <v>63</v>
      </c>
      <c r="B25" t="s">
        <v>88</v>
      </c>
      <c r="C25">
        <v>39</v>
      </c>
      <c r="D25">
        <v>45</v>
      </c>
      <c r="E25">
        <v>6</v>
      </c>
      <c r="F25" t="s">
        <v>2464</v>
      </c>
    </row>
    <row r="26" spans="1:6" x14ac:dyDescent="0.35">
      <c r="A26" t="s">
        <v>19</v>
      </c>
      <c r="B26" t="s">
        <v>26</v>
      </c>
      <c r="C26">
        <v>15</v>
      </c>
      <c r="D26">
        <v>20</v>
      </c>
      <c r="E26">
        <v>5</v>
      </c>
      <c r="F26" t="s">
        <v>45</v>
      </c>
    </row>
    <row r="27" spans="1:6" x14ac:dyDescent="0.35">
      <c r="A27" t="s">
        <v>63</v>
      </c>
      <c r="B27" t="s">
        <v>41</v>
      </c>
      <c r="C27">
        <v>36</v>
      </c>
      <c r="D27">
        <v>42</v>
      </c>
      <c r="E27">
        <v>6</v>
      </c>
      <c r="F27" t="s">
        <v>2464</v>
      </c>
    </row>
    <row r="28" spans="1:6" x14ac:dyDescent="0.35">
      <c r="A28" t="s">
        <v>44</v>
      </c>
      <c r="B28" t="s">
        <v>48</v>
      </c>
      <c r="C28">
        <v>27</v>
      </c>
      <c r="D28">
        <v>36</v>
      </c>
      <c r="E28">
        <v>9</v>
      </c>
      <c r="F28" t="s">
        <v>2465</v>
      </c>
    </row>
    <row r="29" spans="1:6" x14ac:dyDescent="0.35">
      <c r="A29" t="s">
        <v>19</v>
      </c>
      <c r="B29" t="s">
        <v>51</v>
      </c>
      <c r="C29">
        <v>6</v>
      </c>
      <c r="D29">
        <v>12</v>
      </c>
      <c r="E29">
        <v>6</v>
      </c>
      <c r="F29" t="s">
        <v>45</v>
      </c>
    </row>
    <row r="30" spans="1:6" x14ac:dyDescent="0.35">
      <c r="A30" t="s">
        <v>24</v>
      </c>
      <c r="B30" t="s">
        <v>41</v>
      </c>
      <c r="C30">
        <v>27</v>
      </c>
      <c r="D30">
        <v>36</v>
      </c>
      <c r="E30">
        <v>9</v>
      </c>
      <c r="F30" t="s">
        <v>2465</v>
      </c>
    </row>
    <row r="31" spans="1:6" x14ac:dyDescent="0.35">
      <c r="A31" t="s">
        <v>63</v>
      </c>
      <c r="B31" t="s">
        <v>15</v>
      </c>
      <c r="C31">
        <v>45</v>
      </c>
      <c r="D31">
        <v>47</v>
      </c>
      <c r="E31">
        <v>2</v>
      </c>
      <c r="F31" t="s">
        <v>45</v>
      </c>
    </row>
    <row r="32" spans="1:6" x14ac:dyDescent="0.35">
      <c r="A32" t="s">
        <v>63</v>
      </c>
      <c r="B32" t="s">
        <v>48</v>
      </c>
      <c r="C32">
        <v>27</v>
      </c>
      <c r="D32">
        <v>29</v>
      </c>
      <c r="E32">
        <v>2</v>
      </c>
      <c r="F32" t="s">
        <v>2465</v>
      </c>
    </row>
    <row r="33" spans="1:6" x14ac:dyDescent="0.35">
      <c r="A33" t="s">
        <v>13</v>
      </c>
      <c r="B33" t="s">
        <v>21</v>
      </c>
      <c r="C33">
        <v>47</v>
      </c>
      <c r="D33">
        <v>47</v>
      </c>
      <c r="E33">
        <v>0</v>
      </c>
      <c r="F33" t="s">
        <v>2464</v>
      </c>
    </row>
    <row r="34" spans="1:6" x14ac:dyDescent="0.35">
      <c r="A34" t="s">
        <v>19</v>
      </c>
      <c r="B34" t="s">
        <v>15</v>
      </c>
      <c r="C34">
        <v>24</v>
      </c>
      <c r="D34">
        <v>30</v>
      </c>
      <c r="E34">
        <v>6</v>
      </c>
      <c r="F34" t="s">
        <v>45</v>
      </c>
    </row>
    <row r="35" spans="1:6" x14ac:dyDescent="0.35">
      <c r="A35" t="s">
        <v>13</v>
      </c>
      <c r="B35" t="s">
        <v>77</v>
      </c>
      <c r="C35">
        <v>12</v>
      </c>
      <c r="D35">
        <v>14</v>
      </c>
      <c r="E35">
        <v>2</v>
      </c>
      <c r="F35" t="s">
        <v>2464</v>
      </c>
    </row>
    <row r="36" spans="1:6" x14ac:dyDescent="0.35">
      <c r="A36" t="s">
        <v>63</v>
      </c>
      <c r="B36" t="s">
        <v>26</v>
      </c>
      <c r="C36">
        <v>25</v>
      </c>
      <c r="D36">
        <v>22</v>
      </c>
      <c r="E36">
        <v>-3</v>
      </c>
      <c r="F36" t="s">
        <v>2464</v>
      </c>
    </row>
    <row r="37" spans="1:6" x14ac:dyDescent="0.35">
      <c r="A37" t="s">
        <v>44</v>
      </c>
      <c r="B37" t="s">
        <v>77</v>
      </c>
      <c r="C37">
        <v>37</v>
      </c>
      <c r="D37">
        <v>40</v>
      </c>
      <c r="E37">
        <v>3</v>
      </c>
      <c r="F37" t="s">
        <v>2464</v>
      </c>
    </row>
    <row r="38" spans="1:6" x14ac:dyDescent="0.35">
      <c r="A38" t="s">
        <v>19</v>
      </c>
      <c r="B38" t="s">
        <v>48</v>
      </c>
      <c r="C38">
        <v>35</v>
      </c>
      <c r="D38">
        <v>41</v>
      </c>
      <c r="E38">
        <v>6</v>
      </c>
      <c r="F38" t="s">
        <v>45</v>
      </c>
    </row>
    <row r="39" spans="1:6" x14ac:dyDescent="0.35">
      <c r="A39" t="s">
        <v>44</v>
      </c>
      <c r="B39" t="s">
        <v>41</v>
      </c>
      <c r="C39">
        <v>41</v>
      </c>
      <c r="D39">
        <v>44</v>
      </c>
      <c r="E39">
        <v>3</v>
      </c>
      <c r="F39" t="s">
        <v>2465</v>
      </c>
    </row>
    <row r="40" spans="1:6" x14ac:dyDescent="0.35">
      <c r="A40" t="s">
        <v>24</v>
      </c>
      <c r="B40" t="s">
        <v>21</v>
      </c>
      <c r="C40">
        <v>36</v>
      </c>
      <c r="D40">
        <v>34</v>
      </c>
      <c r="E40">
        <v>-2</v>
      </c>
      <c r="F40" t="s">
        <v>45</v>
      </c>
    </row>
    <row r="41" spans="1:6" x14ac:dyDescent="0.35">
      <c r="A41" t="s">
        <v>30</v>
      </c>
      <c r="B41" t="s">
        <v>48</v>
      </c>
      <c r="C41">
        <v>36</v>
      </c>
      <c r="D41">
        <v>41</v>
      </c>
      <c r="E41">
        <v>5</v>
      </c>
      <c r="F41" t="s">
        <v>2465</v>
      </c>
    </row>
    <row r="42" spans="1:6" x14ac:dyDescent="0.35">
      <c r="A42" t="s">
        <v>44</v>
      </c>
      <c r="B42" t="s">
        <v>26</v>
      </c>
      <c r="C42">
        <v>44</v>
      </c>
      <c r="D42">
        <v>45</v>
      </c>
      <c r="E42">
        <v>1</v>
      </c>
      <c r="F42" t="s">
        <v>2465</v>
      </c>
    </row>
    <row r="43" spans="1:6" x14ac:dyDescent="0.35">
      <c r="A43" t="s">
        <v>30</v>
      </c>
      <c r="B43" t="s">
        <v>15</v>
      </c>
      <c r="C43">
        <v>36</v>
      </c>
      <c r="D43">
        <v>43</v>
      </c>
      <c r="E43">
        <v>7</v>
      </c>
      <c r="F43" t="s">
        <v>2464</v>
      </c>
    </row>
    <row r="44" spans="1:6" x14ac:dyDescent="0.35">
      <c r="A44" t="s">
        <v>44</v>
      </c>
      <c r="B44" t="s">
        <v>77</v>
      </c>
      <c r="C44">
        <v>18</v>
      </c>
      <c r="D44">
        <v>19</v>
      </c>
      <c r="E44">
        <v>1</v>
      </c>
      <c r="F44" t="s">
        <v>45</v>
      </c>
    </row>
    <row r="45" spans="1:6" x14ac:dyDescent="0.35">
      <c r="A45" t="s">
        <v>30</v>
      </c>
      <c r="B45" t="s">
        <v>21</v>
      </c>
      <c r="C45">
        <v>41</v>
      </c>
      <c r="D45">
        <v>44</v>
      </c>
      <c r="E45">
        <v>3</v>
      </c>
      <c r="F45" t="s">
        <v>2464</v>
      </c>
    </row>
    <row r="46" spans="1:6" x14ac:dyDescent="0.35">
      <c r="A46" t="s">
        <v>30</v>
      </c>
      <c r="B46" t="s">
        <v>41</v>
      </c>
      <c r="C46">
        <v>10</v>
      </c>
      <c r="D46">
        <v>18</v>
      </c>
      <c r="E46">
        <v>8</v>
      </c>
      <c r="F46" t="s">
        <v>2465</v>
      </c>
    </row>
    <row r="47" spans="1:6" x14ac:dyDescent="0.35">
      <c r="A47" t="s">
        <v>44</v>
      </c>
      <c r="B47" t="s">
        <v>15</v>
      </c>
      <c r="C47">
        <v>42</v>
      </c>
      <c r="D47">
        <v>44</v>
      </c>
      <c r="E47">
        <v>2</v>
      </c>
      <c r="F47" t="s">
        <v>2464</v>
      </c>
    </row>
    <row r="48" spans="1:6" x14ac:dyDescent="0.35">
      <c r="A48" t="s">
        <v>63</v>
      </c>
      <c r="B48" t="s">
        <v>21</v>
      </c>
      <c r="C48">
        <v>38</v>
      </c>
      <c r="D48">
        <v>42</v>
      </c>
      <c r="E48">
        <v>4</v>
      </c>
      <c r="F48" t="s">
        <v>45</v>
      </c>
    </row>
    <row r="49" spans="1:6" x14ac:dyDescent="0.35">
      <c r="A49" t="s">
        <v>30</v>
      </c>
      <c r="B49" t="s">
        <v>72</v>
      </c>
      <c r="C49">
        <v>9</v>
      </c>
      <c r="D49">
        <v>16</v>
      </c>
      <c r="E49">
        <v>7</v>
      </c>
      <c r="F49" t="s">
        <v>2464</v>
      </c>
    </row>
    <row r="50" spans="1:6" x14ac:dyDescent="0.35">
      <c r="A50" t="s">
        <v>24</v>
      </c>
      <c r="B50" t="s">
        <v>36</v>
      </c>
      <c r="C50">
        <v>24</v>
      </c>
      <c r="D50">
        <v>27</v>
      </c>
      <c r="E50">
        <v>3</v>
      </c>
      <c r="F50" t="s">
        <v>45</v>
      </c>
    </row>
    <row r="51" spans="1:6" x14ac:dyDescent="0.35">
      <c r="A51" t="s">
        <v>63</v>
      </c>
      <c r="B51" t="s">
        <v>72</v>
      </c>
      <c r="C51">
        <v>17</v>
      </c>
      <c r="D51">
        <v>20</v>
      </c>
      <c r="E51">
        <v>3</v>
      </c>
      <c r="F51" t="s">
        <v>2464</v>
      </c>
    </row>
    <row r="52" spans="1:6" x14ac:dyDescent="0.35">
      <c r="A52" t="s">
        <v>24</v>
      </c>
      <c r="B52" t="s">
        <v>36</v>
      </c>
      <c r="C52">
        <v>37</v>
      </c>
      <c r="D52">
        <v>41</v>
      </c>
      <c r="E52">
        <v>4</v>
      </c>
      <c r="F52" t="s">
        <v>2465</v>
      </c>
    </row>
    <row r="53" spans="1:6" x14ac:dyDescent="0.35">
      <c r="A53" t="s">
        <v>24</v>
      </c>
      <c r="B53" t="s">
        <v>36</v>
      </c>
      <c r="C53">
        <v>6</v>
      </c>
      <c r="D53">
        <v>13</v>
      </c>
      <c r="E53">
        <v>7</v>
      </c>
      <c r="F53" t="s">
        <v>2465</v>
      </c>
    </row>
    <row r="54" spans="1:6" x14ac:dyDescent="0.35">
      <c r="A54" t="s">
        <v>13</v>
      </c>
      <c r="B54" t="s">
        <v>88</v>
      </c>
      <c r="C54">
        <v>41</v>
      </c>
      <c r="D54">
        <v>45</v>
      </c>
      <c r="E54">
        <v>4</v>
      </c>
      <c r="F54" t="s">
        <v>45</v>
      </c>
    </row>
    <row r="55" spans="1:6" x14ac:dyDescent="0.35">
      <c r="A55" t="s">
        <v>30</v>
      </c>
      <c r="B55" t="s">
        <v>41</v>
      </c>
      <c r="C55">
        <v>45</v>
      </c>
      <c r="D55">
        <v>50</v>
      </c>
      <c r="E55">
        <v>5</v>
      </c>
      <c r="F55" t="s">
        <v>45</v>
      </c>
    </row>
    <row r="56" spans="1:6" x14ac:dyDescent="0.35">
      <c r="A56" t="s">
        <v>24</v>
      </c>
      <c r="B56" t="s">
        <v>77</v>
      </c>
      <c r="C56">
        <v>41</v>
      </c>
      <c r="D56">
        <v>49</v>
      </c>
      <c r="E56">
        <v>8</v>
      </c>
      <c r="F56" t="s">
        <v>2464</v>
      </c>
    </row>
    <row r="57" spans="1:6" x14ac:dyDescent="0.35">
      <c r="A57" t="s">
        <v>63</v>
      </c>
      <c r="B57" t="s">
        <v>51</v>
      </c>
      <c r="C57">
        <v>17</v>
      </c>
      <c r="D57">
        <v>19</v>
      </c>
      <c r="E57">
        <v>2</v>
      </c>
      <c r="F57" t="s">
        <v>2465</v>
      </c>
    </row>
    <row r="58" spans="1:6" x14ac:dyDescent="0.35">
      <c r="A58" t="s">
        <v>24</v>
      </c>
      <c r="B58" t="s">
        <v>72</v>
      </c>
      <c r="C58">
        <v>14</v>
      </c>
      <c r="D58">
        <v>22</v>
      </c>
      <c r="E58">
        <v>8</v>
      </c>
      <c r="F58" t="s">
        <v>45</v>
      </c>
    </row>
    <row r="59" spans="1:6" x14ac:dyDescent="0.35">
      <c r="A59" t="s">
        <v>30</v>
      </c>
      <c r="B59" t="s">
        <v>15</v>
      </c>
      <c r="C59">
        <v>31</v>
      </c>
      <c r="D59">
        <v>33</v>
      </c>
      <c r="E59">
        <v>2</v>
      </c>
      <c r="F59" t="s">
        <v>2464</v>
      </c>
    </row>
    <row r="60" spans="1:6" x14ac:dyDescent="0.35">
      <c r="A60" t="s">
        <v>63</v>
      </c>
      <c r="B60" t="s">
        <v>72</v>
      </c>
      <c r="C60">
        <v>18</v>
      </c>
      <c r="D60">
        <v>28</v>
      </c>
      <c r="E60">
        <v>10</v>
      </c>
      <c r="F60" t="s">
        <v>45</v>
      </c>
    </row>
    <row r="61" spans="1:6" x14ac:dyDescent="0.35">
      <c r="A61" t="s">
        <v>44</v>
      </c>
      <c r="B61" t="s">
        <v>41</v>
      </c>
      <c r="C61">
        <v>46</v>
      </c>
      <c r="D61">
        <v>45</v>
      </c>
      <c r="E61">
        <v>-1</v>
      </c>
      <c r="F61" t="s">
        <v>2465</v>
      </c>
    </row>
    <row r="62" spans="1:6" x14ac:dyDescent="0.35">
      <c r="A62" t="s">
        <v>19</v>
      </c>
      <c r="B62" t="s">
        <v>51</v>
      </c>
      <c r="C62">
        <v>30</v>
      </c>
      <c r="D62">
        <v>30</v>
      </c>
      <c r="E62">
        <v>0</v>
      </c>
      <c r="F62" t="s">
        <v>2465</v>
      </c>
    </row>
    <row r="63" spans="1:6" x14ac:dyDescent="0.35">
      <c r="A63" t="s">
        <v>30</v>
      </c>
      <c r="B63" t="s">
        <v>72</v>
      </c>
      <c r="C63">
        <v>6</v>
      </c>
      <c r="D63">
        <v>6</v>
      </c>
      <c r="E63">
        <v>0</v>
      </c>
      <c r="F63" t="s">
        <v>45</v>
      </c>
    </row>
    <row r="64" spans="1:6" x14ac:dyDescent="0.35">
      <c r="A64" t="s">
        <v>63</v>
      </c>
      <c r="B64" t="s">
        <v>26</v>
      </c>
      <c r="C64">
        <v>36</v>
      </c>
      <c r="D64">
        <v>41</v>
      </c>
      <c r="E64">
        <v>5</v>
      </c>
      <c r="F64" t="s">
        <v>2464</v>
      </c>
    </row>
    <row r="65" spans="1:6" x14ac:dyDescent="0.35">
      <c r="A65" t="s">
        <v>13</v>
      </c>
      <c r="B65" t="s">
        <v>72</v>
      </c>
      <c r="C65">
        <v>7</v>
      </c>
      <c r="D65">
        <v>7</v>
      </c>
      <c r="E65">
        <v>0</v>
      </c>
      <c r="F65" t="s">
        <v>2465</v>
      </c>
    </row>
    <row r="66" spans="1:6" x14ac:dyDescent="0.35">
      <c r="A66" t="s">
        <v>30</v>
      </c>
      <c r="B66" t="s">
        <v>72</v>
      </c>
      <c r="C66">
        <v>6</v>
      </c>
      <c r="D66">
        <v>7</v>
      </c>
      <c r="E66">
        <v>1</v>
      </c>
      <c r="F66" t="s">
        <v>2464</v>
      </c>
    </row>
    <row r="67" spans="1:6" x14ac:dyDescent="0.35">
      <c r="A67" t="s">
        <v>24</v>
      </c>
      <c r="B67" t="s">
        <v>77</v>
      </c>
      <c r="C67">
        <v>40</v>
      </c>
      <c r="D67">
        <v>39</v>
      </c>
      <c r="E67">
        <v>-1</v>
      </c>
      <c r="F67" t="s">
        <v>2464</v>
      </c>
    </row>
    <row r="68" spans="1:6" x14ac:dyDescent="0.35">
      <c r="A68" t="s">
        <v>19</v>
      </c>
      <c r="B68" t="s">
        <v>77</v>
      </c>
      <c r="C68">
        <v>36</v>
      </c>
      <c r="D68">
        <v>45</v>
      </c>
      <c r="E68">
        <v>9</v>
      </c>
      <c r="F68" t="s">
        <v>2465</v>
      </c>
    </row>
    <row r="69" spans="1:6" x14ac:dyDescent="0.35">
      <c r="A69" t="s">
        <v>44</v>
      </c>
      <c r="B69" t="s">
        <v>15</v>
      </c>
      <c r="C69">
        <v>25</v>
      </c>
      <c r="D69">
        <v>31</v>
      </c>
      <c r="E69">
        <v>6</v>
      </c>
      <c r="F69" t="s">
        <v>45</v>
      </c>
    </row>
    <row r="70" spans="1:6" x14ac:dyDescent="0.35">
      <c r="A70" t="s">
        <v>24</v>
      </c>
      <c r="B70" t="s">
        <v>15</v>
      </c>
      <c r="C70">
        <v>28</v>
      </c>
      <c r="D70">
        <v>35</v>
      </c>
      <c r="E70">
        <v>7</v>
      </c>
      <c r="F70" t="s">
        <v>45</v>
      </c>
    </row>
    <row r="71" spans="1:6" x14ac:dyDescent="0.35">
      <c r="A71" t="s">
        <v>19</v>
      </c>
      <c r="B71" t="s">
        <v>41</v>
      </c>
      <c r="C71">
        <v>13</v>
      </c>
      <c r="D71">
        <v>13</v>
      </c>
      <c r="E71">
        <v>0</v>
      </c>
      <c r="F71" t="s">
        <v>2464</v>
      </c>
    </row>
    <row r="72" spans="1:6" x14ac:dyDescent="0.35">
      <c r="A72" t="s">
        <v>39</v>
      </c>
      <c r="B72" t="s">
        <v>41</v>
      </c>
      <c r="C72">
        <v>37</v>
      </c>
      <c r="D72">
        <v>35</v>
      </c>
      <c r="E72">
        <v>-2</v>
      </c>
      <c r="F72" t="s">
        <v>2464</v>
      </c>
    </row>
    <row r="73" spans="1:6" x14ac:dyDescent="0.35">
      <c r="A73" t="s">
        <v>19</v>
      </c>
      <c r="B73" t="s">
        <v>21</v>
      </c>
      <c r="C73">
        <v>21</v>
      </c>
      <c r="D73">
        <v>25</v>
      </c>
      <c r="E73">
        <v>4</v>
      </c>
      <c r="F73" t="s">
        <v>2464</v>
      </c>
    </row>
    <row r="74" spans="1:6" x14ac:dyDescent="0.35">
      <c r="A74" t="s">
        <v>30</v>
      </c>
      <c r="B74" t="s">
        <v>48</v>
      </c>
      <c r="C74">
        <v>12</v>
      </c>
      <c r="D74">
        <v>21</v>
      </c>
      <c r="E74">
        <v>9</v>
      </c>
      <c r="F74" t="s">
        <v>45</v>
      </c>
    </row>
    <row r="75" spans="1:6" x14ac:dyDescent="0.35">
      <c r="A75" t="s">
        <v>63</v>
      </c>
      <c r="B75" t="s">
        <v>21</v>
      </c>
      <c r="C75">
        <v>42</v>
      </c>
      <c r="D75">
        <v>50</v>
      </c>
      <c r="E75">
        <v>8</v>
      </c>
      <c r="F75" t="s">
        <v>45</v>
      </c>
    </row>
    <row r="76" spans="1:6" x14ac:dyDescent="0.35">
      <c r="A76" t="s">
        <v>19</v>
      </c>
      <c r="B76" t="s">
        <v>51</v>
      </c>
      <c r="C76">
        <v>18</v>
      </c>
      <c r="D76">
        <v>17</v>
      </c>
      <c r="E76">
        <v>-1</v>
      </c>
      <c r="F76" t="s">
        <v>2465</v>
      </c>
    </row>
    <row r="77" spans="1:6" x14ac:dyDescent="0.35">
      <c r="A77" t="s">
        <v>63</v>
      </c>
      <c r="B77" t="s">
        <v>72</v>
      </c>
      <c r="C77">
        <v>22</v>
      </c>
      <c r="D77">
        <v>26</v>
      </c>
      <c r="E77">
        <v>4</v>
      </c>
      <c r="F77" t="s">
        <v>2464</v>
      </c>
    </row>
    <row r="78" spans="1:6" x14ac:dyDescent="0.35">
      <c r="A78" t="s">
        <v>39</v>
      </c>
      <c r="B78" t="s">
        <v>48</v>
      </c>
      <c r="C78">
        <v>8</v>
      </c>
      <c r="D78">
        <v>12</v>
      </c>
      <c r="E78">
        <v>4</v>
      </c>
      <c r="F78" t="s">
        <v>2464</v>
      </c>
    </row>
    <row r="79" spans="1:6" x14ac:dyDescent="0.35">
      <c r="A79" t="s">
        <v>39</v>
      </c>
      <c r="B79" t="s">
        <v>26</v>
      </c>
      <c r="C79">
        <v>12</v>
      </c>
      <c r="D79">
        <v>14</v>
      </c>
      <c r="E79">
        <v>2</v>
      </c>
      <c r="F79" t="s">
        <v>45</v>
      </c>
    </row>
    <row r="80" spans="1:6" x14ac:dyDescent="0.35">
      <c r="A80" t="s">
        <v>44</v>
      </c>
      <c r="B80" t="s">
        <v>51</v>
      </c>
      <c r="C80">
        <v>48</v>
      </c>
      <c r="D80">
        <v>48</v>
      </c>
      <c r="E80">
        <v>0</v>
      </c>
      <c r="F80" t="s">
        <v>45</v>
      </c>
    </row>
    <row r="81" spans="1:6" x14ac:dyDescent="0.35">
      <c r="A81" t="s">
        <v>44</v>
      </c>
      <c r="B81" t="s">
        <v>72</v>
      </c>
      <c r="C81">
        <v>35</v>
      </c>
      <c r="D81">
        <v>43</v>
      </c>
      <c r="E81">
        <v>8</v>
      </c>
      <c r="F81" t="s">
        <v>2465</v>
      </c>
    </row>
    <row r="82" spans="1:6" x14ac:dyDescent="0.35">
      <c r="A82" t="s">
        <v>19</v>
      </c>
      <c r="B82" t="s">
        <v>77</v>
      </c>
      <c r="C82">
        <v>46</v>
      </c>
      <c r="D82">
        <v>52</v>
      </c>
      <c r="E82">
        <v>6</v>
      </c>
      <c r="F82" t="s">
        <v>2464</v>
      </c>
    </row>
    <row r="83" spans="1:6" x14ac:dyDescent="0.35">
      <c r="A83" t="s">
        <v>44</v>
      </c>
      <c r="B83" t="s">
        <v>36</v>
      </c>
      <c r="C83">
        <v>47</v>
      </c>
      <c r="D83">
        <v>47</v>
      </c>
      <c r="E83">
        <v>0</v>
      </c>
      <c r="F83" t="s">
        <v>45</v>
      </c>
    </row>
    <row r="84" spans="1:6" x14ac:dyDescent="0.35">
      <c r="A84" t="s">
        <v>24</v>
      </c>
      <c r="B84" t="s">
        <v>48</v>
      </c>
      <c r="C84">
        <v>24</v>
      </c>
      <c r="D84">
        <v>31</v>
      </c>
      <c r="E84">
        <v>7</v>
      </c>
      <c r="F84" t="s">
        <v>2464</v>
      </c>
    </row>
    <row r="85" spans="1:6" x14ac:dyDescent="0.35">
      <c r="A85" t="s">
        <v>30</v>
      </c>
      <c r="B85" t="s">
        <v>21</v>
      </c>
      <c r="C85">
        <v>12</v>
      </c>
      <c r="D85">
        <v>17</v>
      </c>
      <c r="E85">
        <v>5</v>
      </c>
      <c r="F85" t="s">
        <v>45</v>
      </c>
    </row>
    <row r="86" spans="1:6" x14ac:dyDescent="0.35">
      <c r="A86" t="s">
        <v>63</v>
      </c>
      <c r="B86" t="s">
        <v>72</v>
      </c>
      <c r="C86">
        <v>29</v>
      </c>
      <c r="D86">
        <v>26</v>
      </c>
      <c r="E86">
        <v>-3</v>
      </c>
      <c r="F86" t="s">
        <v>45</v>
      </c>
    </row>
    <row r="87" spans="1:6" x14ac:dyDescent="0.35">
      <c r="A87" t="s">
        <v>30</v>
      </c>
      <c r="B87" t="s">
        <v>21</v>
      </c>
      <c r="C87">
        <v>10</v>
      </c>
      <c r="D87">
        <v>20</v>
      </c>
      <c r="E87">
        <v>10</v>
      </c>
      <c r="F87" t="s">
        <v>45</v>
      </c>
    </row>
    <row r="88" spans="1:6" x14ac:dyDescent="0.35">
      <c r="A88" t="s">
        <v>13</v>
      </c>
      <c r="B88" t="s">
        <v>88</v>
      </c>
      <c r="C88">
        <v>18</v>
      </c>
      <c r="D88">
        <v>28</v>
      </c>
      <c r="E88">
        <v>10</v>
      </c>
      <c r="F88" t="s">
        <v>2464</v>
      </c>
    </row>
    <row r="89" spans="1:6" x14ac:dyDescent="0.35">
      <c r="A89" t="s">
        <v>30</v>
      </c>
      <c r="B89" t="s">
        <v>26</v>
      </c>
      <c r="C89">
        <v>25</v>
      </c>
      <c r="D89">
        <v>34</v>
      </c>
      <c r="E89">
        <v>9</v>
      </c>
      <c r="F89" t="s">
        <v>2465</v>
      </c>
    </row>
    <row r="90" spans="1:6" x14ac:dyDescent="0.35">
      <c r="A90" t="s">
        <v>19</v>
      </c>
      <c r="B90" t="s">
        <v>88</v>
      </c>
      <c r="C90">
        <v>22</v>
      </c>
      <c r="D90">
        <v>32</v>
      </c>
      <c r="E90">
        <v>10</v>
      </c>
      <c r="F90" t="s">
        <v>45</v>
      </c>
    </row>
    <row r="91" spans="1:6" x14ac:dyDescent="0.35">
      <c r="A91" t="s">
        <v>44</v>
      </c>
      <c r="B91" t="s">
        <v>26</v>
      </c>
      <c r="C91">
        <v>31</v>
      </c>
      <c r="D91">
        <v>41</v>
      </c>
      <c r="E91">
        <v>10</v>
      </c>
      <c r="F91" t="s">
        <v>2465</v>
      </c>
    </row>
    <row r="92" spans="1:6" x14ac:dyDescent="0.35">
      <c r="A92" t="s">
        <v>44</v>
      </c>
      <c r="B92" t="s">
        <v>36</v>
      </c>
      <c r="C92">
        <v>15</v>
      </c>
      <c r="D92">
        <v>23</v>
      </c>
      <c r="E92">
        <v>8</v>
      </c>
      <c r="F92" t="s">
        <v>2465</v>
      </c>
    </row>
    <row r="93" spans="1:6" x14ac:dyDescent="0.35">
      <c r="A93" t="s">
        <v>39</v>
      </c>
      <c r="B93" t="s">
        <v>36</v>
      </c>
      <c r="C93">
        <v>27</v>
      </c>
      <c r="D93">
        <v>30</v>
      </c>
      <c r="E93">
        <v>3</v>
      </c>
      <c r="F93" t="s">
        <v>2464</v>
      </c>
    </row>
    <row r="94" spans="1:6" x14ac:dyDescent="0.35">
      <c r="A94" t="s">
        <v>24</v>
      </c>
      <c r="B94" t="s">
        <v>77</v>
      </c>
      <c r="C94">
        <v>25</v>
      </c>
      <c r="D94">
        <v>29</v>
      </c>
      <c r="E94">
        <v>4</v>
      </c>
      <c r="F94" t="s">
        <v>2465</v>
      </c>
    </row>
    <row r="95" spans="1:6" x14ac:dyDescent="0.35">
      <c r="A95" t="s">
        <v>13</v>
      </c>
      <c r="B95" t="s">
        <v>88</v>
      </c>
      <c r="C95">
        <v>46</v>
      </c>
      <c r="D95">
        <v>53</v>
      </c>
      <c r="E95">
        <v>7</v>
      </c>
      <c r="F95" t="s">
        <v>2464</v>
      </c>
    </row>
    <row r="96" spans="1:6" x14ac:dyDescent="0.35">
      <c r="A96" t="s">
        <v>63</v>
      </c>
      <c r="B96" t="s">
        <v>21</v>
      </c>
      <c r="C96">
        <v>13</v>
      </c>
      <c r="D96">
        <v>10</v>
      </c>
      <c r="E96">
        <v>-3</v>
      </c>
      <c r="F96" t="s">
        <v>2464</v>
      </c>
    </row>
    <row r="97" spans="1:6" x14ac:dyDescent="0.35">
      <c r="A97" t="s">
        <v>39</v>
      </c>
      <c r="B97" t="s">
        <v>15</v>
      </c>
      <c r="C97">
        <v>24</v>
      </c>
      <c r="D97">
        <v>26</v>
      </c>
      <c r="E97">
        <v>2</v>
      </c>
      <c r="F97" t="s">
        <v>2465</v>
      </c>
    </row>
    <row r="98" spans="1:6" x14ac:dyDescent="0.35">
      <c r="A98" t="s">
        <v>39</v>
      </c>
      <c r="B98" t="s">
        <v>51</v>
      </c>
      <c r="C98">
        <v>15</v>
      </c>
      <c r="D98">
        <v>15</v>
      </c>
      <c r="E98">
        <v>0</v>
      </c>
      <c r="F98" t="s">
        <v>2464</v>
      </c>
    </row>
    <row r="99" spans="1:6" x14ac:dyDescent="0.35">
      <c r="A99" t="s">
        <v>30</v>
      </c>
      <c r="B99" t="s">
        <v>48</v>
      </c>
      <c r="C99">
        <v>48</v>
      </c>
      <c r="D99">
        <v>51</v>
      </c>
      <c r="E99">
        <v>3</v>
      </c>
      <c r="F99" t="s">
        <v>45</v>
      </c>
    </row>
    <row r="100" spans="1:6" x14ac:dyDescent="0.35">
      <c r="A100" t="s">
        <v>24</v>
      </c>
      <c r="B100" t="s">
        <v>51</v>
      </c>
      <c r="C100">
        <v>35</v>
      </c>
      <c r="D100">
        <v>45</v>
      </c>
      <c r="E100">
        <v>10</v>
      </c>
      <c r="F100" t="s">
        <v>45</v>
      </c>
    </row>
    <row r="101" spans="1:6" x14ac:dyDescent="0.35">
      <c r="A101" t="s">
        <v>39</v>
      </c>
      <c r="B101" t="s">
        <v>48</v>
      </c>
      <c r="C101">
        <v>16</v>
      </c>
      <c r="D101">
        <v>23</v>
      </c>
      <c r="E101">
        <v>7</v>
      </c>
      <c r="F101" t="s">
        <v>45</v>
      </c>
    </row>
    <row r="102" spans="1:6" x14ac:dyDescent="0.35">
      <c r="A102" t="s">
        <v>63</v>
      </c>
      <c r="B102" t="s">
        <v>48</v>
      </c>
      <c r="C102">
        <v>17</v>
      </c>
      <c r="D102">
        <v>15</v>
      </c>
      <c r="E102">
        <v>-2</v>
      </c>
      <c r="F102" t="s">
        <v>2465</v>
      </c>
    </row>
    <row r="103" spans="1:6" x14ac:dyDescent="0.35">
      <c r="A103" t="s">
        <v>30</v>
      </c>
      <c r="B103" t="s">
        <v>41</v>
      </c>
      <c r="C103">
        <v>30</v>
      </c>
      <c r="D103">
        <v>33</v>
      </c>
      <c r="E103">
        <v>3</v>
      </c>
      <c r="F103" t="s">
        <v>2465</v>
      </c>
    </row>
    <row r="104" spans="1:6" x14ac:dyDescent="0.35">
      <c r="A104" t="s">
        <v>39</v>
      </c>
      <c r="B104" t="s">
        <v>41</v>
      </c>
      <c r="C104">
        <v>6</v>
      </c>
      <c r="D104">
        <v>3</v>
      </c>
      <c r="E104">
        <v>-3</v>
      </c>
      <c r="F104" t="s">
        <v>2464</v>
      </c>
    </row>
    <row r="105" spans="1:6" x14ac:dyDescent="0.35">
      <c r="A105" t="s">
        <v>63</v>
      </c>
      <c r="B105" t="s">
        <v>21</v>
      </c>
      <c r="C105">
        <v>19</v>
      </c>
      <c r="D105">
        <v>17</v>
      </c>
      <c r="E105">
        <v>-2</v>
      </c>
      <c r="F105" t="s">
        <v>45</v>
      </c>
    </row>
    <row r="106" spans="1:6" x14ac:dyDescent="0.35">
      <c r="A106" t="s">
        <v>13</v>
      </c>
      <c r="B106" t="s">
        <v>77</v>
      </c>
      <c r="C106">
        <v>49</v>
      </c>
      <c r="D106">
        <v>59</v>
      </c>
      <c r="E106">
        <v>10</v>
      </c>
      <c r="F106" t="s">
        <v>45</v>
      </c>
    </row>
    <row r="107" spans="1:6" x14ac:dyDescent="0.35">
      <c r="A107" t="s">
        <v>39</v>
      </c>
      <c r="B107" t="s">
        <v>72</v>
      </c>
      <c r="C107">
        <v>44</v>
      </c>
      <c r="D107">
        <v>47</v>
      </c>
      <c r="E107">
        <v>3</v>
      </c>
      <c r="F107" t="s">
        <v>2465</v>
      </c>
    </row>
    <row r="108" spans="1:6" x14ac:dyDescent="0.35">
      <c r="A108" t="s">
        <v>13</v>
      </c>
      <c r="B108" t="s">
        <v>41</v>
      </c>
      <c r="C108">
        <v>10</v>
      </c>
      <c r="D108">
        <v>12</v>
      </c>
      <c r="E108">
        <v>2</v>
      </c>
      <c r="F108" t="s">
        <v>2465</v>
      </c>
    </row>
    <row r="109" spans="1:6" x14ac:dyDescent="0.35">
      <c r="A109" t="s">
        <v>39</v>
      </c>
      <c r="B109" t="s">
        <v>26</v>
      </c>
      <c r="C109">
        <v>5</v>
      </c>
      <c r="D109">
        <v>13</v>
      </c>
      <c r="E109">
        <v>8</v>
      </c>
      <c r="F109" t="s">
        <v>45</v>
      </c>
    </row>
    <row r="110" spans="1:6" x14ac:dyDescent="0.35">
      <c r="A110" t="s">
        <v>19</v>
      </c>
      <c r="B110" t="s">
        <v>21</v>
      </c>
      <c r="C110">
        <v>48</v>
      </c>
      <c r="D110">
        <v>52</v>
      </c>
      <c r="E110">
        <v>4</v>
      </c>
      <c r="F110" t="s">
        <v>2464</v>
      </c>
    </row>
    <row r="111" spans="1:6" x14ac:dyDescent="0.35">
      <c r="A111" t="s">
        <v>30</v>
      </c>
      <c r="B111" t="s">
        <v>72</v>
      </c>
      <c r="C111">
        <v>18</v>
      </c>
      <c r="D111">
        <v>18</v>
      </c>
      <c r="E111">
        <v>0</v>
      </c>
      <c r="F111" t="s">
        <v>45</v>
      </c>
    </row>
    <row r="112" spans="1:6" x14ac:dyDescent="0.35">
      <c r="A112" t="s">
        <v>13</v>
      </c>
      <c r="B112" t="s">
        <v>26</v>
      </c>
      <c r="C112">
        <v>36</v>
      </c>
      <c r="D112">
        <v>39</v>
      </c>
      <c r="E112">
        <v>3</v>
      </c>
      <c r="F112" t="s">
        <v>2465</v>
      </c>
    </row>
    <row r="113" spans="1:6" x14ac:dyDescent="0.35">
      <c r="A113" t="s">
        <v>30</v>
      </c>
      <c r="B113" t="s">
        <v>72</v>
      </c>
      <c r="C113">
        <v>43</v>
      </c>
      <c r="D113">
        <v>43</v>
      </c>
      <c r="E113">
        <v>0</v>
      </c>
      <c r="F113" t="s">
        <v>2464</v>
      </c>
    </row>
    <row r="114" spans="1:6" x14ac:dyDescent="0.35">
      <c r="A114" t="s">
        <v>63</v>
      </c>
      <c r="B114" t="s">
        <v>51</v>
      </c>
      <c r="C114">
        <v>48</v>
      </c>
      <c r="D114">
        <v>48</v>
      </c>
      <c r="E114">
        <v>0</v>
      </c>
      <c r="F114" t="s">
        <v>45</v>
      </c>
    </row>
    <row r="115" spans="1:6" x14ac:dyDescent="0.35">
      <c r="A115" t="s">
        <v>44</v>
      </c>
      <c r="B115" t="s">
        <v>72</v>
      </c>
      <c r="C115">
        <v>14</v>
      </c>
      <c r="D115">
        <v>11</v>
      </c>
      <c r="E115">
        <v>-3</v>
      </c>
      <c r="F115" t="s">
        <v>2465</v>
      </c>
    </row>
    <row r="116" spans="1:6" x14ac:dyDescent="0.35">
      <c r="A116" t="s">
        <v>13</v>
      </c>
      <c r="B116" t="s">
        <v>48</v>
      </c>
      <c r="C116">
        <v>44</v>
      </c>
      <c r="D116">
        <v>48</v>
      </c>
      <c r="E116">
        <v>4</v>
      </c>
      <c r="F116" t="s">
        <v>2464</v>
      </c>
    </row>
    <row r="117" spans="1:6" x14ac:dyDescent="0.35">
      <c r="A117" t="s">
        <v>63</v>
      </c>
      <c r="B117" t="s">
        <v>15</v>
      </c>
      <c r="C117">
        <v>48</v>
      </c>
      <c r="D117">
        <v>55</v>
      </c>
      <c r="E117">
        <v>7</v>
      </c>
      <c r="F117" t="s">
        <v>2465</v>
      </c>
    </row>
    <row r="118" spans="1:6" x14ac:dyDescent="0.35">
      <c r="A118" t="s">
        <v>30</v>
      </c>
      <c r="B118" t="s">
        <v>48</v>
      </c>
      <c r="C118">
        <v>35</v>
      </c>
      <c r="D118">
        <v>34</v>
      </c>
      <c r="E118">
        <v>-1</v>
      </c>
      <c r="F118" t="s">
        <v>2464</v>
      </c>
    </row>
    <row r="119" spans="1:6" x14ac:dyDescent="0.35">
      <c r="A119" t="s">
        <v>13</v>
      </c>
      <c r="B119" t="s">
        <v>26</v>
      </c>
      <c r="C119">
        <v>30</v>
      </c>
      <c r="D119">
        <v>37</v>
      </c>
      <c r="E119">
        <v>7</v>
      </c>
      <c r="F119" t="s">
        <v>2464</v>
      </c>
    </row>
    <row r="120" spans="1:6" x14ac:dyDescent="0.35">
      <c r="A120" t="s">
        <v>39</v>
      </c>
      <c r="B120" t="s">
        <v>72</v>
      </c>
      <c r="C120">
        <v>32</v>
      </c>
      <c r="D120">
        <v>40</v>
      </c>
      <c r="E120">
        <v>8</v>
      </c>
      <c r="F120" t="s">
        <v>2465</v>
      </c>
    </row>
    <row r="121" spans="1:6" x14ac:dyDescent="0.35">
      <c r="A121" t="s">
        <v>19</v>
      </c>
      <c r="B121" t="s">
        <v>77</v>
      </c>
      <c r="C121">
        <v>11</v>
      </c>
      <c r="D121">
        <v>16</v>
      </c>
      <c r="E121">
        <v>5</v>
      </c>
      <c r="F121" t="s">
        <v>45</v>
      </c>
    </row>
    <row r="122" spans="1:6" x14ac:dyDescent="0.35">
      <c r="A122" t="s">
        <v>44</v>
      </c>
      <c r="B122" t="s">
        <v>41</v>
      </c>
      <c r="C122">
        <v>20</v>
      </c>
      <c r="D122">
        <v>24</v>
      </c>
      <c r="E122">
        <v>4</v>
      </c>
      <c r="F122" t="s">
        <v>2464</v>
      </c>
    </row>
    <row r="123" spans="1:6" x14ac:dyDescent="0.35">
      <c r="A123" t="s">
        <v>24</v>
      </c>
      <c r="B123" t="s">
        <v>77</v>
      </c>
      <c r="C123">
        <v>43</v>
      </c>
      <c r="D123">
        <v>51</v>
      </c>
      <c r="E123">
        <v>8</v>
      </c>
      <c r="F123" t="s">
        <v>2465</v>
      </c>
    </row>
    <row r="124" spans="1:6" x14ac:dyDescent="0.35">
      <c r="A124" t="s">
        <v>39</v>
      </c>
      <c r="B124" t="s">
        <v>26</v>
      </c>
      <c r="C124">
        <v>21</v>
      </c>
      <c r="D124">
        <v>26</v>
      </c>
      <c r="E124">
        <v>5</v>
      </c>
      <c r="F124" t="s">
        <v>45</v>
      </c>
    </row>
    <row r="125" spans="1:6" x14ac:dyDescent="0.35">
      <c r="A125" t="s">
        <v>44</v>
      </c>
      <c r="B125" t="s">
        <v>51</v>
      </c>
      <c r="C125">
        <v>30</v>
      </c>
      <c r="D125">
        <v>37</v>
      </c>
      <c r="E125">
        <v>7</v>
      </c>
      <c r="F125" t="s">
        <v>2464</v>
      </c>
    </row>
    <row r="126" spans="1:6" x14ac:dyDescent="0.35">
      <c r="A126" t="s">
        <v>13</v>
      </c>
      <c r="B126" t="s">
        <v>72</v>
      </c>
      <c r="C126">
        <v>7</v>
      </c>
      <c r="D126">
        <v>13</v>
      </c>
      <c r="E126">
        <v>6</v>
      </c>
      <c r="F126" t="s">
        <v>2465</v>
      </c>
    </row>
    <row r="127" spans="1:6" x14ac:dyDescent="0.35">
      <c r="A127" t="s">
        <v>44</v>
      </c>
      <c r="B127" t="s">
        <v>88</v>
      </c>
      <c r="C127">
        <v>37</v>
      </c>
      <c r="D127">
        <v>41</v>
      </c>
      <c r="E127">
        <v>4</v>
      </c>
      <c r="F127" t="s">
        <v>2465</v>
      </c>
    </row>
    <row r="128" spans="1:6" x14ac:dyDescent="0.35">
      <c r="A128" t="s">
        <v>24</v>
      </c>
      <c r="B128" t="s">
        <v>36</v>
      </c>
      <c r="C128">
        <v>10</v>
      </c>
      <c r="D128">
        <v>12</v>
      </c>
      <c r="E128">
        <v>2</v>
      </c>
      <c r="F128" t="s">
        <v>45</v>
      </c>
    </row>
    <row r="129" spans="1:6" x14ac:dyDescent="0.35">
      <c r="A129" t="s">
        <v>19</v>
      </c>
      <c r="B129" t="s">
        <v>48</v>
      </c>
      <c r="C129">
        <v>14</v>
      </c>
      <c r="D129">
        <v>15</v>
      </c>
      <c r="E129">
        <v>1</v>
      </c>
      <c r="F129" t="s">
        <v>2465</v>
      </c>
    </row>
    <row r="130" spans="1:6" x14ac:dyDescent="0.35">
      <c r="A130" t="s">
        <v>30</v>
      </c>
      <c r="B130" t="s">
        <v>72</v>
      </c>
      <c r="C130">
        <v>13</v>
      </c>
      <c r="D130">
        <v>17</v>
      </c>
      <c r="E130">
        <v>4</v>
      </c>
      <c r="F130" t="s">
        <v>2464</v>
      </c>
    </row>
    <row r="131" spans="1:6" x14ac:dyDescent="0.35">
      <c r="A131" t="s">
        <v>44</v>
      </c>
      <c r="B131" t="s">
        <v>72</v>
      </c>
      <c r="C131">
        <v>28</v>
      </c>
      <c r="D131">
        <v>31</v>
      </c>
      <c r="E131">
        <v>3</v>
      </c>
      <c r="F131" t="s">
        <v>2464</v>
      </c>
    </row>
    <row r="132" spans="1:6" x14ac:dyDescent="0.35">
      <c r="A132" t="s">
        <v>44</v>
      </c>
      <c r="B132" t="s">
        <v>26</v>
      </c>
      <c r="C132">
        <v>21</v>
      </c>
      <c r="D132">
        <v>26</v>
      </c>
      <c r="E132">
        <v>5</v>
      </c>
      <c r="F132" t="s">
        <v>2465</v>
      </c>
    </row>
    <row r="133" spans="1:6" x14ac:dyDescent="0.35">
      <c r="A133" t="s">
        <v>63</v>
      </c>
      <c r="B133" t="s">
        <v>51</v>
      </c>
      <c r="C133">
        <v>25</v>
      </c>
      <c r="D133">
        <v>33</v>
      </c>
      <c r="E133">
        <v>8</v>
      </c>
      <c r="F133" t="s">
        <v>2464</v>
      </c>
    </row>
    <row r="134" spans="1:6" x14ac:dyDescent="0.35">
      <c r="A134" t="s">
        <v>30</v>
      </c>
      <c r="B134" t="s">
        <v>88</v>
      </c>
      <c r="C134">
        <v>47</v>
      </c>
      <c r="D134">
        <v>54</v>
      </c>
      <c r="E134">
        <v>7</v>
      </c>
      <c r="F134" t="s">
        <v>2465</v>
      </c>
    </row>
    <row r="135" spans="1:6" x14ac:dyDescent="0.35">
      <c r="A135" t="s">
        <v>19</v>
      </c>
      <c r="B135" t="s">
        <v>21</v>
      </c>
      <c r="C135">
        <v>17</v>
      </c>
      <c r="D135">
        <v>16</v>
      </c>
      <c r="E135">
        <v>-1</v>
      </c>
      <c r="F135" t="s">
        <v>2465</v>
      </c>
    </row>
    <row r="136" spans="1:6" x14ac:dyDescent="0.35">
      <c r="A136" t="s">
        <v>44</v>
      </c>
      <c r="B136" t="s">
        <v>51</v>
      </c>
      <c r="C136">
        <v>7</v>
      </c>
      <c r="D136">
        <v>11</v>
      </c>
      <c r="E136">
        <v>4</v>
      </c>
      <c r="F136" t="s">
        <v>2464</v>
      </c>
    </row>
    <row r="137" spans="1:6" x14ac:dyDescent="0.35">
      <c r="A137" t="s">
        <v>19</v>
      </c>
      <c r="B137" t="s">
        <v>88</v>
      </c>
      <c r="C137">
        <v>34</v>
      </c>
      <c r="D137">
        <v>37</v>
      </c>
      <c r="E137">
        <v>3</v>
      </c>
      <c r="F137" t="s">
        <v>2465</v>
      </c>
    </row>
    <row r="138" spans="1:6" x14ac:dyDescent="0.35">
      <c r="A138" t="s">
        <v>24</v>
      </c>
      <c r="B138" t="s">
        <v>36</v>
      </c>
      <c r="C138">
        <v>33</v>
      </c>
      <c r="D138">
        <v>35</v>
      </c>
      <c r="E138">
        <v>2</v>
      </c>
      <c r="F138" t="s">
        <v>45</v>
      </c>
    </row>
    <row r="139" spans="1:6" x14ac:dyDescent="0.35">
      <c r="A139" t="s">
        <v>19</v>
      </c>
      <c r="B139" t="s">
        <v>51</v>
      </c>
      <c r="C139">
        <v>34</v>
      </c>
      <c r="D139">
        <v>38</v>
      </c>
      <c r="E139">
        <v>4</v>
      </c>
      <c r="F139" t="s">
        <v>2465</v>
      </c>
    </row>
    <row r="140" spans="1:6" x14ac:dyDescent="0.35">
      <c r="A140" t="s">
        <v>13</v>
      </c>
      <c r="B140" t="s">
        <v>72</v>
      </c>
      <c r="C140">
        <v>27</v>
      </c>
      <c r="D140">
        <v>25</v>
      </c>
      <c r="E140">
        <v>-2</v>
      </c>
      <c r="F140" t="s">
        <v>2465</v>
      </c>
    </row>
    <row r="141" spans="1:6" x14ac:dyDescent="0.35">
      <c r="A141" t="s">
        <v>39</v>
      </c>
      <c r="B141" t="s">
        <v>72</v>
      </c>
      <c r="C141">
        <v>15</v>
      </c>
      <c r="D141">
        <v>23</v>
      </c>
      <c r="E141">
        <v>8</v>
      </c>
      <c r="F141" t="s">
        <v>2464</v>
      </c>
    </row>
    <row r="142" spans="1:6" x14ac:dyDescent="0.35">
      <c r="A142" t="s">
        <v>13</v>
      </c>
      <c r="B142" t="s">
        <v>41</v>
      </c>
      <c r="C142">
        <v>47</v>
      </c>
      <c r="D142">
        <v>53</v>
      </c>
      <c r="E142">
        <v>6</v>
      </c>
      <c r="F142" t="s">
        <v>2465</v>
      </c>
    </row>
    <row r="143" spans="1:6" x14ac:dyDescent="0.35">
      <c r="A143" t="s">
        <v>39</v>
      </c>
      <c r="B143" t="s">
        <v>51</v>
      </c>
      <c r="C143">
        <v>38</v>
      </c>
      <c r="D143">
        <v>47</v>
      </c>
      <c r="E143">
        <v>9</v>
      </c>
      <c r="F143" t="s">
        <v>45</v>
      </c>
    </row>
    <row r="144" spans="1:6" x14ac:dyDescent="0.35">
      <c r="A144" t="s">
        <v>30</v>
      </c>
      <c r="B144" t="s">
        <v>88</v>
      </c>
      <c r="C144">
        <v>9</v>
      </c>
      <c r="D144">
        <v>9</v>
      </c>
      <c r="E144">
        <v>0</v>
      </c>
      <c r="F144" t="s">
        <v>2464</v>
      </c>
    </row>
    <row r="145" spans="1:6" x14ac:dyDescent="0.35">
      <c r="A145" t="s">
        <v>19</v>
      </c>
      <c r="B145" t="s">
        <v>72</v>
      </c>
      <c r="C145">
        <v>11</v>
      </c>
      <c r="D145">
        <v>13</v>
      </c>
      <c r="E145">
        <v>2</v>
      </c>
      <c r="F145" t="s">
        <v>2464</v>
      </c>
    </row>
    <row r="146" spans="1:6" x14ac:dyDescent="0.35">
      <c r="A146" t="s">
        <v>63</v>
      </c>
      <c r="B146" t="s">
        <v>48</v>
      </c>
      <c r="C146">
        <v>48</v>
      </c>
      <c r="D146">
        <v>46</v>
      </c>
      <c r="E146">
        <v>-2</v>
      </c>
      <c r="F146" t="s">
        <v>2464</v>
      </c>
    </row>
    <row r="147" spans="1:6" x14ac:dyDescent="0.35">
      <c r="A147" t="s">
        <v>44</v>
      </c>
      <c r="B147" t="s">
        <v>51</v>
      </c>
      <c r="C147">
        <v>11</v>
      </c>
      <c r="D147">
        <v>21</v>
      </c>
      <c r="E147">
        <v>10</v>
      </c>
      <c r="F147" t="s">
        <v>2465</v>
      </c>
    </row>
    <row r="148" spans="1:6" x14ac:dyDescent="0.35">
      <c r="A148" t="s">
        <v>30</v>
      </c>
      <c r="B148" t="s">
        <v>88</v>
      </c>
      <c r="C148">
        <v>10</v>
      </c>
      <c r="D148">
        <v>14</v>
      </c>
      <c r="E148">
        <v>4</v>
      </c>
      <c r="F148" t="s">
        <v>45</v>
      </c>
    </row>
    <row r="149" spans="1:6" x14ac:dyDescent="0.35">
      <c r="A149" t="s">
        <v>39</v>
      </c>
      <c r="B149" t="s">
        <v>77</v>
      </c>
      <c r="C149">
        <v>45</v>
      </c>
      <c r="D149">
        <v>46</v>
      </c>
      <c r="E149">
        <v>1</v>
      </c>
      <c r="F149" t="s">
        <v>45</v>
      </c>
    </row>
    <row r="150" spans="1:6" x14ac:dyDescent="0.35">
      <c r="A150" t="s">
        <v>39</v>
      </c>
      <c r="B150" t="s">
        <v>88</v>
      </c>
      <c r="C150">
        <v>7</v>
      </c>
      <c r="D150">
        <v>14</v>
      </c>
      <c r="E150">
        <v>7</v>
      </c>
      <c r="F150" t="s">
        <v>45</v>
      </c>
    </row>
    <row r="151" spans="1:6" x14ac:dyDescent="0.35">
      <c r="A151" t="s">
        <v>13</v>
      </c>
      <c r="B151" t="s">
        <v>77</v>
      </c>
      <c r="C151">
        <v>41</v>
      </c>
      <c r="D151">
        <v>40</v>
      </c>
      <c r="E151">
        <v>-1</v>
      </c>
      <c r="F151" t="s">
        <v>2464</v>
      </c>
    </row>
    <row r="152" spans="1:6" x14ac:dyDescent="0.35">
      <c r="A152" t="s">
        <v>30</v>
      </c>
      <c r="B152" t="s">
        <v>77</v>
      </c>
      <c r="C152">
        <v>23</v>
      </c>
      <c r="D152">
        <v>25</v>
      </c>
      <c r="E152">
        <v>2</v>
      </c>
      <c r="F152" t="s">
        <v>2464</v>
      </c>
    </row>
    <row r="153" spans="1:6" x14ac:dyDescent="0.35">
      <c r="A153" t="s">
        <v>39</v>
      </c>
      <c r="B153" t="s">
        <v>26</v>
      </c>
      <c r="C153">
        <v>9</v>
      </c>
      <c r="D153">
        <v>14</v>
      </c>
      <c r="E153">
        <v>5</v>
      </c>
      <c r="F153" t="s">
        <v>2465</v>
      </c>
    </row>
    <row r="154" spans="1:6" x14ac:dyDescent="0.35">
      <c r="A154" t="s">
        <v>13</v>
      </c>
      <c r="B154" t="s">
        <v>21</v>
      </c>
      <c r="C154">
        <v>30</v>
      </c>
      <c r="D154">
        <v>31</v>
      </c>
      <c r="E154">
        <v>1</v>
      </c>
      <c r="F154" t="s">
        <v>45</v>
      </c>
    </row>
    <row r="155" spans="1:6" x14ac:dyDescent="0.35">
      <c r="A155" t="s">
        <v>30</v>
      </c>
      <c r="B155" t="s">
        <v>21</v>
      </c>
      <c r="C155">
        <v>10</v>
      </c>
      <c r="D155">
        <v>7</v>
      </c>
      <c r="E155">
        <v>-3</v>
      </c>
      <c r="F155" t="s">
        <v>2465</v>
      </c>
    </row>
    <row r="156" spans="1:6" x14ac:dyDescent="0.35">
      <c r="A156" t="s">
        <v>63</v>
      </c>
      <c r="B156" t="s">
        <v>72</v>
      </c>
      <c r="C156">
        <v>29</v>
      </c>
      <c r="D156">
        <v>38</v>
      </c>
      <c r="E156">
        <v>9</v>
      </c>
      <c r="F156" t="s">
        <v>2464</v>
      </c>
    </row>
    <row r="157" spans="1:6" x14ac:dyDescent="0.35">
      <c r="A157" t="s">
        <v>19</v>
      </c>
      <c r="B157" t="s">
        <v>72</v>
      </c>
      <c r="C157">
        <v>46</v>
      </c>
      <c r="D157">
        <v>45</v>
      </c>
      <c r="E157">
        <v>-1</v>
      </c>
      <c r="F157" t="s">
        <v>45</v>
      </c>
    </row>
    <row r="158" spans="1:6" x14ac:dyDescent="0.35">
      <c r="A158" t="s">
        <v>30</v>
      </c>
      <c r="B158" t="s">
        <v>72</v>
      </c>
      <c r="C158">
        <v>32</v>
      </c>
      <c r="D158">
        <v>40</v>
      </c>
      <c r="E158">
        <v>8</v>
      </c>
      <c r="F158" t="s">
        <v>2464</v>
      </c>
    </row>
    <row r="159" spans="1:6" x14ac:dyDescent="0.35">
      <c r="A159" t="s">
        <v>44</v>
      </c>
      <c r="B159" t="s">
        <v>15</v>
      </c>
      <c r="C159">
        <v>43</v>
      </c>
      <c r="D159">
        <v>42</v>
      </c>
      <c r="E159">
        <v>-1</v>
      </c>
      <c r="F159" t="s">
        <v>45</v>
      </c>
    </row>
    <row r="160" spans="1:6" x14ac:dyDescent="0.35">
      <c r="A160" t="s">
        <v>63</v>
      </c>
      <c r="B160" t="s">
        <v>88</v>
      </c>
      <c r="C160">
        <v>37</v>
      </c>
      <c r="D160">
        <v>37</v>
      </c>
      <c r="E160">
        <v>0</v>
      </c>
      <c r="F160" t="s">
        <v>45</v>
      </c>
    </row>
    <row r="161" spans="1:6" x14ac:dyDescent="0.35">
      <c r="A161" t="s">
        <v>39</v>
      </c>
      <c r="B161" t="s">
        <v>41</v>
      </c>
      <c r="C161">
        <v>35</v>
      </c>
      <c r="D161">
        <v>36</v>
      </c>
      <c r="E161">
        <v>1</v>
      </c>
      <c r="F161" t="s">
        <v>45</v>
      </c>
    </row>
    <row r="162" spans="1:6" x14ac:dyDescent="0.35">
      <c r="A162" t="s">
        <v>63</v>
      </c>
      <c r="B162" t="s">
        <v>48</v>
      </c>
      <c r="C162">
        <v>10</v>
      </c>
      <c r="D162">
        <v>19</v>
      </c>
      <c r="E162">
        <v>9</v>
      </c>
      <c r="F162" t="s">
        <v>2464</v>
      </c>
    </row>
    <row r="163" spans="1:6" x14ac:dyDescent="0.35">
      <c r="A163" t="s">
        <v>24</v>
      </c>
      <c r="B163" t="s">
        <v>26</v>
      </c>
      <c r="C163">
        <v>16</v>
      </c>
      <c r="D163">
        <v>19</v>
      </c>
      <c r="E163">
        <v>3</v>
      </c>
      <c r="F163" t="s">
        <v>2465</v>
      </c>
    </row>
    <row r="164" spans="1:6" x14ac:dyDescent="0.35">
      <c r="A164" t="s">
        <v>44</v>
      </c>
      <c r="B164" t="s">
        <v>88</v>
      </c>
      <c r="C164">
        <v>7</v>
      </c>
      <c r="D164">
        <v>12</v>
      </c>
      <c r="E164">
        <v>5</v>
      </c>
      <c r="F164" t="s">
        <v>2464</v>
      </c>
    </row>
    <row r="165" spans="1:6" x14ac:dyDescent="0.35">
      <c r="A165" t="s">
        <v>24</v>
      </c>
      <c r="B165" t="s">
        <v>51</v>
      </c>
      <c r="C165">
        <v>19</v>
      </c>
      <c r="D165">
        <v>26</v>
      </c>
      <c r="E165">
        <v>7</v>
      </c>
      <c r="F165" t="s">
        <v>45</v>
      </c>
    </row>
    <row r="166" spans="1:6" x14ac:dyDescent="0.35">
      <c r="A166" t="s">
        <v>24</v>
      </c>
      <c r="B166" t="s">
        <v>36</v>
      </c>
      <c r="C166">
        <v>38</v>
      </c>
      <c r="D166">
        <v>45</v>
      </c>
      <c r="E166">
        <v>7</v>
      </c>
      <c r="F166" t="s">
        <v>2465</v>
      </c>
    </row>
    <row r="167" spans="1:6" x14ac:dyDescent="0.35">
      <c r="A167" t="s">
        <v>63</v>
      </c>
      <c r="B167" t="s">
        <v>15</v>
      </c>
      <c r="C167">
        <v>23</v>
      </c>
      <c r="D167">
        <v>27</v>
      </c>
      <c r="E167">
        <v>4</v>
      </c>
      <c r="F167" t="s">
        <v>45</v>
      </c>
    </row>
    <row r="168" spans="1:6" x14ac:dyDescent="0.35">
      <c r="A168" t="s">
        <v>13</v>
      </c>
      <c r="B168" t="s">
        <v>72</v>
      </c>
      <c r="C168">
        <v>24</v>
      </c>
      <c r="D168">
        <v>23</v>
      </c>
      <c r="E168">
        <v>-1</v>
      </c>
      <c r="F168" t="s">
        <v>2465</v>
      </c>
    </row>
    <row r="169" spans="1:6" x14ac:dyDescent="0.35">
      <c r="A169" t="s">
        <v>44</v>
      </c>
      <c r="B169" t="s">
        <v>41</v>
      </c>
      <c r="C169">
        <v>38</v>
      </c>
      <c r="D169">
        <v>41</v>
      </c>
      <c r="E169">
        <v>3</v>
      </c>
      <c r="F169" t="s">
        <v>2465</v>
      </c>
    </row>
    <row r="170" spans="1:6" x14ac:dyDescent="0.35">
      <c r="A170" t="s">
        <v>19</v>
      </c>
      <c r="B170" t="s">
        <v>36</v>
      </c>
      <c r="C170">
        <v>40</v>
      </c>
      <c r="D170">
        <v>38</v>
      </c>
      <c r="E170">
        <v>-2</v>
      </c>
      <c r="F170" t="s">
        <v>2465</v>
      </c>
    </row>
    <row r="171" spans="1:6" x14ac:dyDescent="0.35">
      <c r="A171" t="s">
        <v>63</v>
      </c>
      <c r="B171" t="s">
        <v>15</v>
      </c>
      <c r="C171">
        <v>37</v>
      </c>
      <c r="D171">
        <v>40</v>
      </c>
      <c r="E171">
        <v>3</v>
      </c>
      <c r="F171" t="s">
        <v>45</v>
      </c>
    </row>
    <row r="172" spans="1:6" x14ac:dyDescent="0.35">
      <c r="A172" t="s">
        <v>39</v>
      </c>
      <c r="B172" t="s">
        <v>72</v>
      </c>
      <c r="C172">
        <v>47</v>
      </c>
      <c r="D172">
        <v>55</v>
      </c>
      <c r="E172">
        <v>8</v>
      </c>
      <c r="F172" t="s">
        <v>45</v>
      </c>
    </row>
    <row r="173" spans="1:6" x14ac:dyDescent="0.35">
      <c r="A173" t="s">
        <v>19</v>
      </c>
      <c r="B173" t="s">
        <v>36</v>
      </c>
      <c r="C173">
        <v>21</v>
      </c>
      <c r="D173">
        <v>27</v>
      </c>
      <c r="E173">
        <v>6</v>
      </c>
      <c r="F173" t="s">
        <v>2465</v>
      </c>
    </row>
    <row r="174" spans="1:6" x14ac:dyDescent="0.35">
      <c r="A174" t="s">
        <v>24</v>
      </c>
      <c r="B174" t="s">
        <v>88</v>
      </c>
      <c r="C174">
        <v>12</v>
      </c>
      <c r="D174">
        <v>20</v>
      </c>
      <c r="E174">
        <v>8</v>
      </c>
      <c r="F174" t="s">
        <v>2465</v>
      </c>
    </row>
    <row r="175" spans="1:6" x14ac:dyDescent="0.35">
      <c r="A175" t="s">
        <v>63</v>
      </c>
      <c r="B175" t="s">
        <v>77</v>
      </c>
      <c r="C175">
        <v>16</v>
      </c>
      <c r="D175">
        <v>26</v>
      </c>
      <c r="E175">
        <v>10</v>
      </c>
      <c r="F175" t="s">
        <v>2465</v>
      </c>
    </row>
    <row r="176" spans="1:6" x14ac:dyDescent="0.35">
      <c r="A176" t="s">
        <v>44</v>
      </c>
      <c r="B176" t="s">
        <v>48</v>
      </c>
      <c r="C176">
        <v>31</v>
      </c>
      <c r="D176">
        <v>39</v>
      </c>
      <c r="E176">
        <v>8</v>
      </c>
      <c r="F176" t="s">
        <v>2464</v>
      </c>
    </row>
    <row r="177" spans="1:6" x14ac:dyDescent="0.35">
      <c r="A177" t="s">
        <v>24</v>
      </c>
      <c r="B177" t="s">
        <v>88</v>
      </c>
      <c r="C177">
        <v>34</v>
      </c>
      <c r="D177">
        <v>43</v>
      </c>
      <c r="E177">
        <v>9</v>
      </c>
      <c r="F177" t="s">
        <v>2464</v>
      </c>
    </row>
    <row r="178" spans="1:6" x14ac:dyDescent="0.35">
      <c r="A178" t="s">
        <v>30</v>
      </c>
      <c r="B178" t="s">
        <v>51</v>
      </c>
      <c r="C178">
        <v>21</v>
      </c>
      <c r="D178">
        <v>23</v>
      </c>
      <c r="E178">
        <v>2</v>
      </c>
      <c r="F178" t="s">
        <v>2465</v>
      </c>
    </row>
    <row r="179" spans="1:6" x14ac:dyDescent="0.35">
      <c r="A179" t="s">
        <v>24</v>
      </c>
      <c r="B179" t="s">
        <v>41</v>
      </c>
      <c r="C179">
        <v>16</v>
      </c>
      <c r="D179">
        <v>14</v>
      </c>
      <c r="E179">
        <v>-2</v>
      </c>
      <c r="F179" t="s">
        <v>45</v>
      </c>
    </row>
    <row r="180" spans="1:6" x14ac:dyDescent="0.35">
      <c r="A180" t="s">
        <v>63</v>
      </c>
      <c r="B180" t="s">
        <v>36</v>
      </c>
      <c r="C180">
        <v>48</v>
      </c>
      <c r="D180">
        <v>46</v>
      </c>
      <c r="E180">
        <v>-2</v>
      </c>
      <c r="F180" t="s">
        <v>2465</v>
      </c>
    </row>
    <row r="181" spans="1:6" x14ac:dyDescent="0.35">
      <c r="A181" t="s">
        <v>19</v>
      </c>
      <c r="B181" t="s">
        <v>77</v>
      </c>
      <c r="C181">
        <v>5</v>
      </c>
      <c r="D181">
        <v>8</v>
      </c>
      <c r="E181">
        <v>3</v>
      </c>
      <c r="F181" t="s">
        <v>2465</v>
      </c>
    </row>
    <row r="182" spans="1:6" x14ac:dyDescent="0.35">
      <c r="A182" t="s">
        <v>63</v>
      </c>
      <c r="B182" t="s">
        <v>26</v>
      </c>
      <c r="C182">
        <v>46</v>
      </c>
      <c r="D182">
        <v>50</v>
      </c>
      <c r="E182">
        <v>4</v>
      </c>
      <c r="F182" t="s">
        <v>2464</v>
      </c>
    </row>
    <row r="183" spans="1:6" x14ac:dyDescent="0.35">
      <c r="A183" t="s">
        <v>63</v>
      </c>
      <c r="B183" t="s">
        <v>72</v>
      </c>
      <c r="C183">
        <v>43</v>
      </c>
      <c r="D183">
        <v>51</v>
      </c>
      <c r="E183">
        <v>8</v>
      </c>
      <c r="F183" t="s">
        <v>2464</v>
      </c>
    </row>
    <row r="184" spans="1:6" x14ac:dyDescent="0.35">
      <c r="A184" t="s">
        <v>24</v>
      </c>
      <c r="B184" t="s">
        <v>26</v>
      </c>
      <c r="C184">
        <v>44</v>
      </c>
      <c r="D184">
        <v>46</v>
      </c>
      <c r="E184">
        <v>2</v>
      </c>
      <c r="F184" t="s">
        <v>45</v>
      </c>
    </row>
    <row r="185" spans="1:6" x14ac:dyDescent="0.35">
      <c r="A185" t="s">
        <v>13</v>
      </c>
      <c r="B185" t="s">
        <v>77</v>
      </c>
      <c r="C185">
        <v>10</v>
      </c>
      <c r="D185">
        <v>9</v>
      </c>
      <c r="E185">
        <v>-1</v>
      </c>
      <c r="F185" t="s">
        <v>2465</v>
      </c>
    </row>
    <row r="186" spans="1:6" x14ac:dyDescent="0.35">
      <c r="A186" t="s">
        <v>19</v>
      </c>
      <c r="B186" t="s">
        <v>21</v>
      </c>
      <c r="C186">
        <v>12</v>
      </c>
      <c r="D186">
        <v>22</v>
      </c>
      <c r="E186">
        <v>10</v>
      </c>
      <c r="F186" t="s">
        <v>2465</v>
      </c>
    </row>
    <row r="187" spans="1:6" x14ac:dyDescent="0.35">
      <c r="A187" t="s">
        <v>24</v>
      </c>
      <c r="B187" t="s">
        <v>51</v>
      </c>
      <c r="C187">
        <v>18</v>
      </c>
      <c r="D187">
        <v>22</v>
      </c>
      <c r="E187">
        <v>4</v>
      </c>
      <c r="F187" t="s">
        <v>2464</v>
      </c>
    </row>
    <row r="188" spans="1:6" x14ac:dyDescent="0.35">
      <c r="A188" t="s">
        <v>30</v>
      </c>
      <c r="B188" t="s">
        <v>36</v>
      </c>
      <c r="C188">
        <v>20</v>
      </c>
      <c r="D188">
        <v>23</v>
      </c>
      <c r="E188">
        <v>3</v>
      </c>
      <c r="F188" t="s">
        <v>2465</v>
      </c>
    </row>
    <row r="189" spans="1:6" x14ac:dyDescent="0.35">
      <c r="A189" t="s">
        <v>30</v>
      </c>
      <c r="B189" t="s">
        <v>88</v>
      </c>
      <c r="C189">
        <v>10</v>
      </c>
      <c r="D189">
        <v>11</v>
      </c>
      <c r="E189">
        <v>1</v>
      </c>
      <c r="F189" t="s">
        <v>2465</v>
      </c>
    </row>
    <row r="190" spans="1:6" x14ac:dyDescent="0.35">
      <c r="A190" t="s">
        <v>19</v>
      </c>
      <c r="B190" t="s">
        <v>15</v>
      </c>
      <c r="C190">
        <v>35</v>
      </c>
      <c r="D190">
        <v>38</v>
      </c>
      <c r="E190">
        <v>3</v>
      </c>
      <c r="F190" t="s">
        <v>2465</v>
      </c>
    </row>
    <row r="191" spans="1:6" x14ac:dyDescent="0.35">
      <c r="A191" t="s">
        <v>24</v>
      </c>
      <c r="B191" t="s">
        <v>88</v>
      </c>
      <c r="C191">
        <v>14</v>
      </c>
      <c r="D191">
        <v>22</v>
      </c>
      <c r="E191">
        <v>8</v>
      </c>
      <c r="F191" t="s">
        <v>45</v>
      </c>
    </row>
    <row r="192" spans="1:6" x14ac:dyDescent="0.35">
      <c r="A192" t="s">
        <v>30</v>
      </c>
      <c r="B192" t="s">
        <v>88</v>
      </c>
      <c r="C192">
        <v>35</v>
      </c>
      <c r="D192">
        <v>32</v>
      </c>
      <c r="E192">
        <v>-3</v>
      </c>
      <c r="F192" t="s">
        <v>2464</v>
      </c>
    </row>
    <row r="193" spans="1:6" x14ac:dyDescent="0.35">
      <c r="A193" t="s">
        <v>44</v>
      </c>
      <c r="B193" t="s">
        <v>41</v>
      </c>
      <c r="C193">
        <v>20</v>
      </c>
      <c r="D193">
        <v>20</v>
      </c>
      <c r="E193">
        <v>0</v>
      </c>
      <c r="F193" t="s">
        <v>45</v>
      </c>
    </row>
    <row r="194" spans="1:6" x14ac:dyDescent="0.35">
      <c r="A194" t="s">
        <v>19</v>
      </c>
      <c r="B194" t="s">
        <v>15</v>
      </c>
      <c r="C194">
        <v>8</v>
      </c>
      <c r="D194">
        <v>10</v>
      </c>
      <c r="E194">
        <v>2</v>
      </c>
      <c r="F194" t="s">
        <v>2464</v>
      </c>
    </row>
    <row r="195" spans="1:6" x14ac:dyDescent="0.35">
      <c r="A195" t="s">
        <v>63</v>
      </c>
      <c r="B195" t="s">
        <v>88</v>
      </c>
      <c r="C195">
        <v>50</v>
      </c>
      <c r="D195">
        <v>53</v>
      </c>
      <c r="E195">
        <v>3</v>
      </c>
      <c r="F195" t="s">
        <v>2464</v>
      </c>
    </row>
    <row r="196" spans="1:6" x14ac:dyDescent="0.35">
      <c r="A196" t="s">
        <v>24</v>
      </c>
      <c r="B196" t="s">
        <v>36</v>
      </c>
      <c r="C196">
        <v>42</v>
      </c>
      <c r="D196">
        <v>48</v>
      </c>
      <c r="E196">
        <v>6</v>
      </c>
      <c r="F196" t="s">
        <v>45</v>
      </c>
    </row>
    <row r="197" spans="1:6" x14ac:dyDescent="0.35">
      <c r="A197" t="s">
        <v>63</v>
      </c>
      <c r="B197" t="s">
        <v>88</v>
      </c>
      <c r="C197">
        <v>7</v>
      </c>
      <c r="D197">
        <v>11</v>
      </c>
      <c r="E197">
        <v>4</v>
      </c>
      <c r="F197" t="s">
        <v>2464</v>
      </c>
    </row>
    <row r="198" spans="1:6" x14ac:dyDescent="0.35">
      <c r="A198" t="s">
        <v>39</v>
      </c>
      <c r="B198" t="s">
        <v>88</v>
      </c>
      <c r="C198">
        <v>42</v>
      </c>
      <c r="D198">
        <v>50</v>
      </c>
      <c r="E198">
        <v>8</v>
      </c>
      <c r="F198" t="s">
        <v>2465</v>
      </c>
    </row>
    <row r="199" spans="1:6" x14ac:dyDescent="0.35">
      <c r="A199" t="s">
        <v>39</v>
      </c>
      <c r="B199" t="s">
        <v>77</v>
      </c>
      <c r="C199">
        <v>50</v>
      </c>
      <c r="D199">
        <v>47</v>
      </c>
      <c r="E199">
        <v>-3</v>
      </c>
      <c r="F199" t="s">
        <v>45</v>
      </c>
    </row>
    <row r="200" spans="1:6" x14ac:dyDescent="0.35">
      <c r="A200" t="s">
        <v>39</v>
      </c>
      <c r="B200" t="s">
        <v>15</v>
      </c>
      <c r="C200">
        <v>41</v>
      </c>
      <c r="D200">
        <v>43</v>
      </c>
      <c r="E200">
        <v>2</v>
      </c>
      <c r="F200" t="s">
        <v>45</v>
      </c>
    </row>
    <row r="201" spans="1:6" x14ac:dyDescent="0.35">
      <c r="A201" t="s">
        <v>63</v>
      </c>
      <c r="B201" t="s">
        <v>15</v>
      </c>
      <c r="C201">
        <v>46</v>
      </c>
      <c r="D201">
        <v>49</v>
      </c>
      <c r="E201">
        <v>3</v>
      </c>
      <c r="F201" t="s">
        <v>45</v>
      </c>
    </row>
    <row r="202" spans="1:6" x14ac:dyDescent="0.35">
      <c r="A202" t="s">
        <v>44</v>
      </c>
      <c r="B202" t="s">
        <v>88</v>
      </c>
      <c r="C202">
        <v>44</v>
      </c>
      <c r="D202">
        <v>51</v>
      </c>
      <c r="E202">
        <v>7</v>
      </c>
      <c r="F202" t="s">
        <v>2464</v>
      </c>
    </row>
    <row r="203" spans="1:6" x14ac:dyDescent="0.35">
      <c r="A203" t="s">
        <v>13</v>
      </c>
      <c r="B203" t="s">
        <v>72</v>
      </c>
      <c r="C203">
        <v>32</v>
      </c>
      <c r="D203">
        <v>29</v>
      </c>
      <c r="E203">
        <v>-3</v>
      </c>
      <c r="F203" t="s">
        <v>2464</v>
      </c>
    </row>
    <row r="204" spans="1:6" x14ac:dyDescent="0.35">
      <c r="A204" t="s">
        <v>44</v>
      </c>
      <c r="B204" t="s">
        <v>88</v>
      </c>
      <c r="C204">
        <v>17</v>
      </c>
      <c r="D204">
        <v>21</v>
      </c>
      <c r="E204">
        <v>4</v>
      </c>
      <c r="F204" t="s">
        <v>2465</v>
      </c>
    </row>
    <row r="205" spans="1:6" x14ac:dyDescent="0.35">
      <c r="A205" t="s">
        <v>39</v>
      </c>
      <c r="B205" t="s">
        <v>48</v>
      </c>
      <c r="C205">
        <v>37</v>
      </c>
      <c r="D205">
        <v>37</v>
      </c>
      <c r="E205">
        <v>0</v>
      </c>
      <c r="F205" t="s">
        <v>2464</v>
      </c>
    </row>
    <row r="206" spans="1:6" x14ac:dyDescent="0.35">
      <c r="A206" t="s">
        <v>63</v>
      </c>
      <c r="B206" t="s">
        <v>51</v>
      </c>
      <c r="C206">
        <v>50</v>
      </c>
      <c r="D206">
        <v>57</v>
      </c>
      <c r="E206">
        <v>7</v>
      </c>
      <c r="F206" t="s">
        <v>45</v>
      </c>
    </row>
    <row r="207" spans="1:6" x14ac:dyDescent="0.35">
      <c r="A207" t="s">
        <v>63</v>
      </c>
      <c r="B207" t="s">
        <v>48</v>
      </c>
      <c r="C207">
        <v>50</v>
      </c>
      <c r="D207">
        <v>53</v>
      </c>
      <c r="E207">
        <v>3</v>
      </c>
      <c r="F207" t="s">
        <v>45</v>
      </c>
    </row>
    <row r="208" spans="1:6" x14ac:dyDescent="0.35">
      <c r="A208" t="s">
        <v>13</v>
      </c>
      <c r="B208" t="s">
        <v>72</v>
      </c>
      <c r="C208">
        <v>15</v>
      </c>
      <c r="D208">
        <v>21</v>
      </c>
      <c r="E208">
        <v>6</v>
      </c>
      <c r="F208" t="s">
        <v>2464</v>
      </c>
    </row>
    <row r="209" spans="1:6" x14ac:dyDescent="0.35">
      <c r="A209" t="s">
        <v>63</v>
      </c>
      <c r="B209" t="s">
        <v>51</v>
      </c>
      <c r="C209">
        <v>10</v>
      </c>
      <c r="D209">
        <v>17</v>
      </c>
      <c r="E209">
        <v>7</v>
      </c>
      <c r="F209" t="s">
        <v>2465</v>
      </c>
    </row>
    <row r="210" spans="1:6" x14ac:dyDescent="0.35">
      <c r="A210" t="s">
        <v>39</v>
      </c>
      <c r="B210" t="s">
        <v>88</v>
      </c>
      <c r="C210">
        <v>17</v>
      </c>
      <c r="D210">
        <v>16</v>
      </c>
      <c r="E210">
        <v>-1</v>
      </c>
      <c r="F210" t="s">
        <v>2465</v>
      </c>
    </row>
    <row r="211" spans="1:6" x14ac:dyDescent="0.35">
      <c r="A211" t="s">
        <v>44</v>
      </c>
      <c r="B211" t="s">
        <v>21</v>
      </c>
      <c r="C211">
        <v>31</v>
      </c>
      <c r="D211">
        <v>35</v>
      </c>
      <c r="E211">
        <v>4</v>
      </c>
      <c r="F211" t="s">
        <v>2465</v>
      </c>
    </row>
    <row r="212" spans="1:6" x14ac:dyDescent="0.35">
      <c r="A212" t="s">
        <v>19</v>
      </c>
      <c r="B212" t="s">
        <v>48</v>
      </c>
      <c r="C212">
        <v>40</v>
      </c>
      <c r="D212">
        <v>37</v>
      </c>
      <c r="E212">
        <v>-3</v>
      </c>
      <c r="F212" t="s">
        <v>45</v>
      </c>
    </row>
    <row r="213" spans="1:6" x14ac:dyDescent="0.35">
      <c r="A213" t="s">
        <v>13</v>
      </c>
      <c r="B213" t="s">
        <v>51</v>
      </c>
      <c r="C213">
        <v>27</v>
      </c>
      <c r="D213">
        <v>34</v>
      </c>
      <c r="E213">
        <v>7</v>
      </c>
      <c r="F213" t="s">
        <v>2464</v>
      </c>
    </row>
    <row r="214" spans="1:6" x14ac:dyDescent="0.35">
      <c r="A214" t="s">
        <v>19</v>
      </c>
      <c r="B214" t="s">
        <v>48</v>
      </c>
      <c r="C214">
        <v>7</v>
      </c>
      <c r="D214">
        <v>16</v>
      </c>
      <c r="E214">
        <v>9</v>
      </c>
      <c r="F214" t="s">
        <v>45</v>
      </c>
    </row>
    <row r="215" spans="1:6" x14ac:dyDescent="0.35">
      <c r="A215" t="s">
        <v>13</v>
      </c>
      <c r="B215" t="s">
        <v>15</v>
      </c>
      <c r="C215">
        <v>12</v>
      </c>
      <c r="D215">
        <v>18</v>
      </c>
      <c r="E215">
        <v>6</v>
      </c>
      <c r="F215" t="s">
        <v>2464</v>
      </c>
    </row>
    <row r="216" spans="1:6" x14ac:dyDescent="0.35">
      <c r="A216" t="s">
        <v>44</v>
      </c>
      <c r="B216" t="s">
        <v>48</v>
      </c>
      <c r="C216">
        <v>19</v>
      </c>
      <c r="D216">
        <v>23</v>
      </c>
      <c r="E216">
        <v>4</v>
      </c>
      <c r="F216" t="s">
        <v>45</v>
      </c>
    </row>
    <row r="217" spans="1:6" x14ac:dyDescent="0.35">
      <c r="A217" t="s">
        <v>39</v>
      </c>
      <c r="B217" t="s">
        <v>72</v>
      </c>
      <c r="C217">
        <v>7</v>
      </c>
      <c r="D217">
        <v>16</v>
      </c>
      <c r="E217">
        <v>9</v>
      </c>
      <c r="F217" t="s">
        <v>2465</v>
      </c>
    </row>
    <row r="218" spans="1:6" x14ac:dyDescent="0.35">
      <c r="A218" t="s">
        <v>39</v>
      </c>
      <c r="B218" t="s">
        <v>41</v>
      </c>
      <c r="C218">
        <v>49</v>
      </c>
      <c r="D218">
        <v>59</v>
      </c>
      <c r="E218">
        <v>10</v>
      </c>
      <c r="F218" t="s">
        <v>2464</v>
      </c>
    </row>
    <row r="219" spans="1:6" x14ac:dyDescent="0.35">
      <c r="A219" t="s">
        <v>19</v>
      </c>
      <c r="B219" t="s">
        <v>88</v>
      </c>
      <c r="C219">
        <v>11</v>
      </c>
      <c r="D219">
        <v>19</v>
      </c>
      <c r="E219">
        <v>8</v>
      </c>
      <c r="F219" t="s">
        <v>45</v>
      </c>
    </row>
    <row r="220" spans="1:6" x14ac:dyDescent="0.35">
      <c r="A220" t="s">
        <v>30</v>
      </c>
      <c r="B220" t="s">
        <v>41</v>
      </c>
      <c r="C220">
        <v>12</v>
      </c>
      <c r="D220">
        <v>10</v>
      </c>
      <c r="E220">
        <v>-2</v>
      </c>
      <c r="F220" t="s">
        <v>2464</v>
      </c>
    </row>
    <row r="221" spans="1:6" x14ac:dyDescent="0.35">
      <c r="A221" t="s">
        <v>39</v>
      </c>
      <c r="B221" t="s">
        <v>77</v>
      </c>
      <c r="C221">
        <v>11</v>
      </c>
      <c r="D221">
        <v>21</v>
      </c>
      <c r="E221">
        <v>10</v>
      </c>
      <c r="F221" t="s">
        <v>2464</v>
      </c>
    </row>
    <row r="222" spans="1:6" x14ac:dyDescent="0.35">
      <c r="A222" t="s">
        <v>24</v>
      </c>
      <c r="B222" t="s">
        <v>15</v>
      </c>
      <c r="C222">
        <v>11</v>
      </c>
      <c r="D222">
        <v>10</v>
      </c>
      <c r="E222">
        <v>-1</v>
      </c>
      <c r="F222" t="s">
        <v>2465</v>
      </c>
    </row>
    <row r="223" spans="1:6" x14ac:dyDescent="0.35">
      <c r="A223" t="s">
        <v>24</v>
      </c>
      <c r="B223" t="s">
        <v>72</v>
      </c>
      <c r="C223">
        <v>28</v>
      </c>
      <c r="D223">
        <v>27</v>
      </c>
      <c r="E223">
        <v>-1</v>
      </c>
      <c r="F223" t="s">
        <v>2464</v>
      </c>
    </row>
    <row r="224" spans="1:6" x14ac:dyDescent="0.35">
      <c r="A224" t="s">
        <v>39</v>
      </c>
      <c r="B224" t="s">
        <v>88</v>
      </c>
      <c r="C224">
        <v>33</v>
      </c>
      <c r="D224">
        <v>42</v>
      </c>
      <c r="E224">
        <v>9</v>
      </c>
      <c r="F224" t="s">
        <v>2464</v>
      </c>
    </row>
    <row r="225" spans="1:6" x14ac:dyDescent="0.35">
      <c r="A225" t="s">
        <v>24</v>
      </c>
      <c r="B225" t="s">
        <v>48</v>
      </c>
      <c r="C225">
        <v>11</v>
      </c>
      <c r="D225">
        <v>10</v>
      </c>
      <c r="E225">
        <v>-1</v>
      </c>
      <c r="F225" t="s">
        <v>45</v>
      </c>
    </row>
    <row r="226" spans="1:6" x14ac:dyDescent="0.35">
      <c r="A226" t="s">
        <v>30</v>
      </c>
      <c r="B226" t="s">
        <v>21</v>
      </c>
      <c r="C226">
        <v>13</v>
      </c>
      <c r="D226">
        <v>11</v>
      </c>
      <c r="E226">
        <v>-2</v>
      </c>
      <c r="F226" t="s">
        <v>45</v>
      </c>
    </row>
    <row r="227" spans="1:6" x14ac:dyDescent="0.35">
      <c r="A227" t="s">
        <v>30</v>
      </c>
      <c r="B227" t="s">
        <v>77</v>
      </c>
      <c r="C227">
        <v>31</v>
      </c>
      <c r="D227">
        <v>40</v>
      </c>
      <c r="E227">
        <v>9</v>
      </c>
      <c r="F227" t="s">
        <v>2465</v>
      </c>
    </row>
    <row r="228" spans="1:6" x14ac:dyDescent="0.35">
      <c r="A228" t="s">
        <v>44</v>
      </c>
      <c r="B228" t="s">
        <v>36</v>
      </c>
      <c r="C228">
        <v>35</v>
      </c>
      <c r="D228">
        <v>37</v>
      </c>
      <c r="E228">
        <v>2</v>
      </c>
      <c r="F228" t="s">
        <v>2465</v>
      </c>
    </row>
    <row r="229" spans="1:6" x14ac:dyDescent="0.35">
      <c r="A229" t="s">
        <v>44</v>
      </c>
      <c r="B229" t="s">
        <v>26</v>
      </c>
      <c r="C229">
        <v>10</v>
      </c>
      <c r="D229">
        <v>11</v>
      </c>
      <c r="E229">
        <v>1</v>
      </c>
      <c r="F229" t="s">
        <v>45</v>
      </c>
    </row>
    <row r="230" spans="1:6" x14ac:dyDescent="0.35">
      <c r="A230" t="s">
        <v>13</v>
      </c>
      <c r="B230" t="s">
        <v>51</v>
      </c>
      <c r="C230">
        <v>45</v>
      </c>
      <c r="D230">
        <v>52</v>
      </c>
      <c r="E230">
        <v>7</v>
      </c>
      <c r="F230" t="s">
        <v>2464</v>
      </c>
    </row>
    <row r="231" spans="1:6" x14ac:dyDescent="0.35">
      <c r="A231" t="s">
        <v>13</v>
      </c>
      <c r="B231" t="s">
        <v>51</v>
      </c>
      <c r="C231">
        <v>31</v>
      </c>
      <c r="D231">
        <v>40</v>
      </c>
      <c r="E231">
        <v>9</v>
      </c>
      <c r="F231" t="s">
        <v>45</v>
      </c>
    </row>
    <row r="232" spans="1:6" x14ac:dyDescent="0.35">
      <c r="A232" t="s">
        <v>63</v>
      </c>
      <c r="B232" t="s">
        <v>36</v>
      </c>
      <c r="C232">
        <v>31</v>
      </c>
      <c r="D232">
        <v>34</v>
      </c>
      <c r="E232">
        <v>3</v>
      </c>
      <c r="F232" t="s">
        <v>2464</v>
      </c>
    </row>
    <row r="233" spans="1:6" x14ac:dyDescent="0.35">
      <c r="A233" t="s">
        <v>63</v>
      </c>
      <c r="B233" t="s">
        <v>51</v>
      </c>
      <c r="C233">
        <v>28</v>
      </c>
      <c r="D233">
        <v>25</v>
      </c>
      <c r="E233">
        <v>-3</v>
      </c>
      <c r="F233" t="s">
        <v>2465</v>
      </c>
    </row>
    <row r="234" spans="1:6" x14ac:dyDescent="0.35">
      <c r="A234" t="s">
        <v>39</v>
      </c>
      <c r="B234" t="s">
        <v>15</v>
      </c>
      <c r="C234">
        <v>50</v>
      </c>
      <c r="D234">
        <v>59</v>
      </c>
      <c r="E234">
        <v>9</v>
      </c>
      <c r="F234" t="s">
        <v>2465</v>
      </c>
    </row>
    <row r="235" spans="1:6" x14ac:dyDescent="0.35">
      <c r="A235" t="s">
        <v>63</v>
      </c>
      <c r="B235" t="s">
        <v>51</v>
      </c>
      <c r="C235">
        <v>26</v>
      </c>
      <c r="D235">
        <v>28</v>
      </c>
      <c r="E235">
        <v>2</v>
      </c>
      <c r="F235" t="s">
        <v>45</v>
      </c>
    </row>
    <row r="236" spans="1:6" x14ac:dyDescent="0.35">
      <c r="A236" t="s">
        <v>30</v>
      </c>
      <c r="B236" t="s">
        <v>77</v>
      </c>
      <c r="C236">
        <v>8</v>
      </c>
      <c r="D236">
        <v>11</v>
      </c>
      <c r="E236">
        <v>3</v>
      </c>
      <c r="F236" t="s">
        <v>2464</v>
      </c>
    </row>
    <row r="237" spans="1:6" x14ac:dyDescent="0.35">
      <c r="A237" t="s">
        <v>39</v>
      </c>
      <c r="B237" t="s">
        <v>77</v>
      </c>
      <c r="C237">
        <v>46</v>
      </c>
      <c r="D237">
        <v>45</v>
      </c>
      <c r="E237">
        <v>-1</v>
      </c>
      <c r="F237" t="s">
        <v>2464</v>
      </c>
    </row>
    <row r="238" spans="1:6" x14ac:dyDescent="0.35">
      <c r="A238" t="s">
        <v>24</v>
      </c>
      <c r="B238" t="s">
        <v>36</v>
      </c>
      <c r="C238">
        <v>50</v>
      </c>
      <c r="D238">
        <v>59</v>
      </c>
      <c r="E238">
        <v>9</v>
      </c>
      <c r="F238" t="s">
        <v>45</v>
      </c>
    </row>
    <row r="239" spans="1:6" x14ac:dyDescent="0.35">
      <c r="A239" t="s">
        <v>24</v>
      </c>
      <c r="B239" t="s">
        <v>36</v>
      </c>
      <c r="C239">
        <v>31</v>
      </c>
      <c r="D239">
        <v>34</v>
      </c>
      <c r="E239">
        <v>3</v>
      </c>
      <c r="F239" t="s">
        <v>45</v>
      </c>
    </row>
    <row r="240" spans="1:6" x14ac:dyDescent="0.35">
      <c r="A240" t="s">
        <v>19</v>
      </c>
      <c r="B240" t="s">
        <v>72</v>
      </c>
      <c r="C240">
        <v>25</v>
      </c>
      <c r="D240">
        <v>27</v>
      </c>
      <c r="E240">
        <v>2</v>
      </c>
      <c r="F240" t="s">
        <v>2464</v>
      </c>
    </row>
    <row r="241" spans="1:6" x14ac:dyDescent="0.35">
      <c r="A241" t="s">
        <v>24</v>
      </c>
      <c r="B241" t="s">
        <v>26</v>
      </c>
      <c r="C241">
        <v>44</v>
      </c>
      <c r="D241">
        <v>43</v>
      </c>
      <c r="E241">
        <v>-1</v>
      </c>
      <c r="F241" t="s">
        <v>45</v>
      </c>
    </row>
    <row r="242" spans="1:6" x14ac:dyDescent="0.35">
      <c r="A242" t="s">
        <v>39</v>
      </c>
      <c r="B242" t="s">
        <v>41</v>
      </c>
      <c r="C242">
        <v>46</v>
      </c>
      <c r="D242">
        <v>46</v>
      </c>
      <c r="E242">
        <v>0</v>
      </c>
      <c r="F242" t="s">
        <v>2464</v>
      </c>
    </row>
    <row r="243" spans="1:6" x14ac:dyDescent="0.35">
      <c r="A243" t="s">
        <v>24</v>
      </c>
      <c r="B243" t="s">
        <v>48</v>
      </c>
      <c r="C243">
        <v>46</v>
      </c>
      <c r="D243">
        <v>50</v>
      </c>
      <c r="E243">
        <v>4</v>
      </c>
      <c r="F243" t="s">
        <v>2464</v>
      </c>
    </row>
    <row r="244" spans="1:6" x14ac:dyDescent="0.35">
      <c r="A244" t="s">
        <v>13</v>
      </c>
      <c r="B244" t="s">
        <v>72</v>
      </c>
      <c r="C244">
        <v>30</v>
      </c>
      <c r="D244">
        <v>39</v>
      </c>
      <c r="E244">
        <v>9</v>
      </c>
      <c r="F244" t="s">
        <v>2465</v>
      </c>
    </row>
    <row r="245" spans="1:6" x14ac:dyDescent="0.35">
      <c r="A245" t="s">
        <v>44</v>
      </c>
      <c r="B245" t="s">
        <v>26</v>
      </c>
      <c r="C245">
        <v>7</v>
      </c>
      <c r="D245">
        <v>12</v>
      </c>
      <c r="E245">
        <v>5</v>
      </c>
      <c r="F245" t="s">
        <v>2464</v>
      </c>
    </row>
    <row r="246" spans="1:6" x14ac:dyDescent="0.35">
      <c r="A246" t="s">
        <v>39</v>
      </c>
      <c r="B246" t="s">
        <v>72</v>
      </c>
      <c r="C246">
        <v>13</v>
      </c>
      <c r="D246">
        <v>18</v>
      </c>
      <c r="E246">
        <v>5</v>
      </c>
      <c r="F246" t="s">
        <v>2465</v>
      </c>
    </row>
    <row r="247" spans="1:6" x14ac:dyDescent="0.35">
      <c r="A247" t="s">
        <v>39</v>
      </c>
      <c r="B247" t="s">
        <v>72</v>
      </c>
      <c r="C247">
        <v>10</v>
      </c>
      <c r="D247">
        <v>15</v>
      </c>
      <c r="E247">
        <v>5</v>
      </c>
      <c r="F247" t="s">
        <v>2464</v>
      </c>
    </row>
    <row r="248" spans="1:6" x14ac:dyDescent="0.35">
      <c r="A248" t="s">
        <v>24</v>
      </c>
      <c r="B248" t="s">
        <v>51</v>
      </c>
      <c r="C248">
        <v>26</v>
      </c>
      <c r="D248">
        <v>35</v>
      </c>
      <c r="E248">
        <v>9</v>
      </c>
      <c r="F248" t="s">
        <v>2465</v>
      </c>
    </row>
    <row r="249" spans="1:6" x14ac:dyDescent="0.35">
      <c r="A249" t="s">
        <v>39</v>
      </c>
      <c r="B249" t="s">
        <v>41</v>
      </c>
      <c r="C249">
        <v>6</v>
      </c>
      <c r="D249">
        <v>15</v>
      </c>
      <c r="E249">
        <v>9</v>
      </c>
      <c r="F249" t="s">
        <v>45</v>
      </c>
    </row>
    <row r="250" spans="1:6" x14ac:dyDescent="0.35">
      <c r="A250" t="s">
        <v>30</v>
      </c>
      <c r="B250" t="s">
        <v>72</v>
      </c>
      <c r="C250">
        <v>20</v>
      </c>
      <c r="D250">
        <v>30</v>
      </c>
      <c r="E250">
        <v>10</v>
      </c>
      <c r="F250" t="s">
        <v>2464</v>
      </c>
    </row>
    <row r="251" spans="1:6" x14ac:dyDescent="0.35">
      <c r="A251" t="s">
        <v>19</v>
      </c>
      <c r="B251" t="s">
        <v>77</v>
      </c>
      <c r="C251">
        <v>32</v>
      </c>
      <c r="D251">
        <v>37</v>
      </c>
      <c r="E251">
        <v>5</v>
      </c>
      <c r="F251" t="s">
        <v>45</v>
      </c>
    </row>
    <row r="252" spans="1:6" x14ac:dyDescent="0.35">
      <c r="A252" t="s">
        <v>39</v>
      </c>
      <c r="B252" t="s">
        <v>48</v>
      </c>
      <c r="C252">
        <v>21</v>
      </c>
      <c r="D252">
        <v>28</v>
      </c>
      <c r="E252">
        <v>7</v>
      </c>
      <c r="F252" t="s">
        <v>2465</v>
      </c>
    </row>
    <row r="253" spans="1:6" x14ac:dyDescent="0.35">
      <c r="A253" t="s">
        <v>24</v>
      </c>
      <c r="B253" t="s">
        <v>15</v>
      </c>
      <c r="C253">
        <v>8</v>
      </c>
      <c r="D253">
        <v>17</v>
      </c>
      <c r="E253">
        <v>9</v>
      </c>
      <c r="F253" t="s">
        <v>45</v>
      </c>
    </row>
    <row r="254" spans="1:6" x14ac:dyDescent="0.35">
      <c r="A254" t="s">
        <v>24</v>
      </c>
      <c r="B254" t="s">
        <v>77</v>
      </c>
      <c r="C254">
        <v>24</v>
      </c>
      <c r="D254">
        <v>30</v>
      </c>
      <c r="E254">
        <v>6</v>
      </c>
      <c r="F254" t="s">
        <v>45</v>
      </c>
    </row>
    <row r="255" spans="1:6" x14ac:dyDescent="0.35">
      <c r="A255" t="s">
        <v>30</v>
      </c>
      <c r="B255" t="s">
        <v>41</v>
      </c>
      <c r="C255">
        <v>26</v>
      </c>
      <c r="D255">
        <v>26</v>
      </c>
      <c r="E255">
        <v>0</v>
      </c>
      <c r="F255" t="s">
        <v>2464</v>
      </c>
    </row>
    <row r="256" spans="1:6" x14ac:dyDescent="0.35">
      <c r="A256" t="s">
        <v>24</v>
      </c>
      <c r="B256" t="s">
        <v>36</v>
      </c>
      <c r="C256">
        <v>50</v>
      </c>
      <c r="D256">
        <v>57</v>
      </c>
      <c r="E256">
        <v>7</v>
      </c>
      <c r="F256" t="s">
        <v>2464</v>
      </c>
    </row>
    <row r="257" spans="1:6" x14ac:dyDescent="0.35">
      <c r="A257" t="s">
        <v>44</v>
      </c>
      <c r="B257" t="s">
        <v>72</v>
      </c>
      <c r="C257">
        <v>19</v>
      </c>
      <c r="D257">
        <v>21</v>
      </c>
      <c r="E257">
        <v>2</v>
      </c>
      <c r="F257" t="s">
        <v>2464</v>
      </c>
    </row>
    <row r="258" spans="1:6" x14ac:dyDescent="0.35">
      <c r="A258" t="s">
        <v>24</v>
      </c>
      <c r="B258" t="s">
        <v>51</v>
      </c>
      <c r="C258">
        <v>50</v>
      </c>
      <c r="D258">
        <v>56</v>
      </c>
      <c r="E258">
        <v>6</v>
      </c>
      <c r="F258" t="s">
        <v>2464</v>
      </c>
    </row>
    <row r="259" spans="1:6" x14ac:dyDescent="0.35">
      <c r="A259" t="s">
        <v>24</v>
      </c>
      <c r="B259" t="s">
        <v>21</v>
      </c>
      <c r="C259">
        <v>29</v>
      </c>
      <c r="D259">
        <v>34</v>
      </c>
      <c r="E259">
        <v>5</v>
      </c>
      <c r="F259" t="s">
        <v>2465</v>
      </c>
    </row>
    <row r="260" spans="1:6" x14ac:dyDescent="0.35">
      <c r="A260" t="s">
        <v>39</v>
      </c>
      <c r="B260" t="s">
        <v>21</v>
      </c>
      <c r="C260">
        <v>25</v>
      </c>
      <c r="D260">
        <v>30</v>
      </c>
      <c r="E260">
        <v>5</v>
      </c>
      <c r="F260" t="s">
        <v>45</v>
      </c>
    </row>
    <row r="261" spans="1:6" x14ac:dyDescent="0.35">
      <c r="A261" t="s">
        <v>13</v>
      </c>
      <c r="B261" t="s">
        <v>26</v>
      </c>
      <c r="C261">
        <v>34</v>
      </c>
      <c r="D261">
        <v>32</v>
      </c>
      <c r="E261">
        <v>-2</v>
      </c>
      <c r="F261" t="s">
        <v>45</v>
      </c>
    </row>
    <row r="262" spans="1:6" x14ac:dyDescent="0.35">
      <c r="A262" t="s">
        <v>19</v>
      </c>
      <c r="B262" t="s">
        <v>26</v>
      </c>
      <c r="C262">
        <v>10</v>
      </c>
      <c r="D262">
        <v>8</v>
      </c>
      <c r="E262">
        <v>-2</v>
      </c>
      <c r="F262" t="s">
        <v>2465</v>
      </c>
    </row>
    <row r="263" spans="1:6" x14ac:dyDescent="0.35">
      <c r="A263" t="s">
        <v>63</v>
      </c>
      <c r="B263" t="s">
        <v>15</v>
      </c>
      <c r="C263">
        <v>35</v>
      </c>
      <c r="D263">
        <v>35</v>
      </c>
      <c r="E263">
        <v>0</v>
      </c>
      <c r="F263" t="s">
        <v>45</v>
      </c>
    </row>
    <row r="264" spans="1:6" x14ac:dyDescent="0.35">
      <c r="A264" t="s">
        <v>63</v>
      </c>
      <c r="B264" t="s">
        <v>41</v>
      </c>
      <c r="C264">
        <v>48</v>
      </c>
      <c r="D264">
        <v>53</v>
      </c>
      <c r="E264">
        <v>5</v>
      </c>
      <c r="F264" t="s">
        <v>2464</v>
      </c>
    </row>
    <row r="265" spans="1:6" x14ac:dyDescent="0.35">
      <c r="A265" t="s">
        <v>63</v>
      </c>
      <c r="B265" t="s">
        <v>72</v>
      </c>
      <c r="C265">
        <v>38</v>
      </c>
      <c r="D265">
        <v>47</v>
      </c>
      <c r="E265">
        <v>9</v>
      </c>
      <c r="F265" t="s">
        <v>2464</v>
      </c>
    </row>
    <row r="266" spans="1:6" x14ac:dyDescent="0.35">
      <c r="A266" t="s">
        <v>63</v>
      </c>
      <c r="B266" t="s">
        <v>88</v>
      </c>
      <c r="C266">
        <v>36</v>
      </c>
      <c r="D266">
        <v>43</v>
      </c>
      <c r="E266">
        <v>7</v>
      </c>
      <c r="F266" t="s">
        <v>2464</v>
      </c>
    </row>
    <row r="267" spans="1:6" x14ac:dyDescent="0.35">
      <c r="A267" t="s">
        <v>63</v>
      </c>
      <c r="B267" t="s">
        <v>51</v>
      </c>
      <c r="C267">
        <v>36</v>
      </c>
      <c r="D267">
        <v>44</v>
      </c>
      <c r="E267">
        <v>8</v>
      </c>
      <c r="F267" t="s">
        <v>2465</v>
      </c>
    </row>
    <row r="268" spans="1:6" x14ac:dyDescent="0.35">
      <c r="A268" t="s">
        <v>63</v>
      </c>
      <c r="B268" t="s">
        <v>88</v>
      </c>
      <c r="C268">
        <v>37</v>
      </c>
      <c r="D268">
        <v>36</v>
      </c>
      <c r="E268">
        <v>-1</v>
      </c>
      <c r="F268" t="s">
        <v>2465</v>
      </c>
    </row>
    <row r="269" spans="1:6" x14ac:dyDescent="0.35">
      <c r="A269" t="s">
        <v>30</v>
      </c>
      <c r="B269" t="s">
        <v>36</v>
      </c>
      <c r="C269">
        <v>50</v>
      </c>
      <c r="D269">
        <v>55</v>
      </c>
      <c r="E269">
        <v>5</v>
      </c>
      <c r="F269" t="s">
        <v>2465</v>
      </c>
    </row>
    <row r="270" spans="1:6" x14ac:dyDescent="0.35">
      <c r="A270" t="s">
        <v>63</v>
      </c>
      <c r="B270" t="s">
        <v>88</v>
      </c>
      <c r="C270">
        <v>49</v>
      </c>
      <c r="D270">
        <v>49</v>
      </c>
      <c r="E270">
        <v>0</v>
      </c>
      <c r="F270" t="s">
        <v>2465</v>
      </c>
    </row>
    <row r="271" spans="1:6" x14ac:dyDescent="0.35">
      <c r="A271" t="s">
        <v>44</v>
      </c>
      <c r="B271" t="s">
        <v>15</v>
      </c>
      <c r="C271">
        <v>15</v>
      </c>
      <c r="D271">
        <v>20</v>
      </c>
      <c r="E271">
        <v>5</v>
      </c>
      <c r="F271" t="s">
        <v>2464</v>
      </c>
    </row>
    <row r="272" spans="1:6" x14ac:dyDescent="0.35">
      <c r="A272" t="s">
        <v>19</v>
      </c>
      <c r="B272" t="s">
        <v>48</v>
      </c>
      <c r="C272">
        <v>31</v>
      </c>
      <c r="D272">
        <v>29</v>
      </c>
      <c r="E272">
        <v>-2</v>
      </c>
      <c r="F272" t="s">
        <v>2464</v>
      </c>
    </row>
    <row r="273" spans="1:6" x14ac:dyDescent="0.35">
      <c r="A273" t="s">
        <v>39</v>
      </c>
      <c r="B273" t="s">
        <v>51</v>
      </c>
      <c r="C273">
        <v>23</v>
      </c>
      <c r="D273">
        <v>20</v>
      </c>
      <c r="E273">
        <v>-3</v>
      </c>
      <c r="F273" t="s">
        <v>2465</v>
      </c>
    </row>
    <row r="274" spans="1:6" x14ac:dyDescent="0.35">
      <c r="A274" t="s">
        <v>44</v>
      </c>
      <c r="B274" t="s">
        <v>72</v>
      </c>
      <c r="C274">
        <v>28</v>
      </c>
      <c r="D274">
        <v>29</v>
      </c>
      <c r="E274">
        <v>1</v>
      </c>
      <c r="F274" t="s">
        <v>45</v>
      </c>
    </row>
    <row r="275" spans="1:6" x14ac:dyDescent="0.35">
      <c r="A275" t="s">
        <v>30</v>
      </c>
      <c r="B275" t="s">
        <v>51</v>
      </c>
      <c r="C275">
        <v>36</v>
      </c>
      <c r="D275">
        <v>33</v>
      </c>
      <c r="E275">
        <v>-3</v>
      </c>
      <c r="F275" t="s">
        <v>2465</v>
      </c>
    </row>
    <row r="276" spans="1:6" x14ac:dyDescent="0.35">
      <c r="A276" t="s">
        <v>19</v>
      </c>
      <c r="B276" t="s">
        <v>72</v>
      </c>
      <c r="C276">
        <v>42</v>
      </c>
      <c r="D276">
        <v>45</v>
      </c>
      <c r="E276">
        <v>3</v>
      </c>
      <c r="F276" t="s">
        <v>45</v>
      </c>
    </row>
    <row r="277" spans="1:6" x14ac:dyDescent="0.35">
      <c r="A277" t="s">
        <v>30</v>
      </c>
      <c r="B277" t="s">
        <v>88</v>
      </c>
      <c r="C277">
        <v>18</v>
      </c>
      <c r="D277">
        <v>17</v>
      </c>
      <c r="E277">
        <v>-1</v>
      </c>
      <c r="F277" t="s">
        <v>2465</v>
      </c>
    </row>
    <row r="278" spans="1:6" x14ac:dyDescent="0.35">
      <c r="A278" t="s">
        <v>44</v>
      </c>
      <c r="B278" t="s">
        <v>15</v>
      </c>
      <c r="C278">
        <v>12</v>
      </c>
      <c r="D278">
        <v>17</v>
      </c>
      <c r="E278">
        <v>5</v>
      </c>
      <c r="F278" t="s">
        <v>2465</v>
      </c>
    </row>
    <row r="279" spans="1:6" x14ac:dyDescent="0.35">
      <c r="A279" t="s">
        <v>39</v>
      </c>
      <c r="B279" t="s">
        <v>72</v>
      </c>
      <c r="C279">
        <v>31</v>
      </c>
      <c r="D279">
        <v>35</v>
      </c>
      <c r="E279">
        <v>4</v>
      </c>
      <c r="F279" t="s">
        <v>2464</v>
      </c>
    </row>
    <row r="280" spans="1:6" x14ac:dyDescent="0.35">
      <c r="A280" t="s">
        <v>30</v>
      </c>
      <c r="B280" t="s">
        <v>26</v>
      </c>
      <c r="C280">
        <v>33</v>
      </c>
      <c r="D280">
        <v>35</v>
      </c>
      <c r="E280">
        <v>2</v>
      </c>
      <c r="F280" t="s">
        <v>45</v>
      </c>
    </row>
    <row r="281" spans="1:6" x14ac:dyDescent="0.35">
      <c r="A281" t="s">
        <v>30</v>
      </c>
      <c r="B281" t="s">
        <v>51</v>
      </c>
      <c r="C281">
        <v>43</v>
      </c>
      <c r="D281">
        <v>42</v>
      </c>
      <c r="E281">
        <v>-1</v>
      </c>
      <c r="F281" t="s">
        <v>2464</v>
      </c>
    </row>
    <row r="282" spans="1:6" x14ac:dyDescent="0.35">
      <c r="A282" t="s">
        <v>30</v>
      </c>
      <c r="B282" t="s">
        <v>88</v>
      </c>
      <c r="C282">
        <v>45</v>
      </c>
      <c r="D282">
        <v>49</v>
      </c>
      <c r="E282">
        <v>4</v>
      </c>
      <c r="F282" t="s">
        <v>2464</v>
      </c>
    </row>
    <row r="283" spans="1:6" x14ac:dyDescent="0.35">
      <c r="A283" t="s">
        <v>30</v>
      </c>
      <c r="B283" t="s">
        <v>48</v>
      </c>
      <c r="C283">
        <v>33</v>
      </c>
      <c r="D283">
        <v>32</v>
      </c>
      <c r="E283">
        <v>-1</v>
      </c>
      <c r="F283" t="s">
        <v>2465</v>
      </c>
    </row>
    <row r="284" spans="1:6" x14ac:dyDescent="0.35">
      <c r="A284" t="s">
        <v>39</v>
      </c>
      <c r="B284" t="s">
        <v>26</v>
      </c>
      <c r="C284">
        <v>44</v>
      </c>
      <c r="D284">
        <v>51</v>
      </c>
      <c r="E284">
        <v>7</v>
      </c>
      <c r="F284" t="s">
        <v>45</v>
      </c>
    </row>
    <row r="285" spans="1:6" x14ac:dyDescent="0.35">
      <c r="A285" t="s">
        <v>44</v>
      </c>
      <c r="B285" t="s">
        <v>36</v>
      </c>
      <c r="C285">
        <v>19</v>
      </c>
      <c r="D285">
        <v>22</v>
      </c>
      <c r="E285">
        <v>3</v>
      </c>
      <c r="F285" t="s">
        <v>2465</v>
      </c>
    </row>
    <row r="286" spans="1:6" x14ac:dyDescent="0.35">
      <c r="A286" t="s">
        <v>24</v>
      </c>
      <c r="B286" t="s">
        <v>72</v>
      </c>
      <c r="C286">
        <v>47</v>
      </c>
      <c r="D286">
        <v>51</v>
      </c>
      <c r="E286">
        <v>4</v>
      </c>
      <c r="F286" t="s">
        <v>2464</v>
      </c>
    </row>
    <row r="287" spans="1:6" x14ac:dyDescent="0.35">
      <c r="A287" t="s">
        <v>13</v>
      </c>
      <c r="B287" t="s">
        <v>77</v>
      </c>
      <c r="C287">
        <v>10</v>
      </c>
      <c r="D287">
        <v>20</v>
      </c>
      <c r="E287">
        <v>10</v>
      </c>
      <c r="F287" t="s">
        <v>2464</v>
      </c>
    </row>
    <row r="288" spans="1:6" x14ac:dyDescent="0.35">
      <c r="A288" t="s">
        <v>30</v>
      </c>
      <c r="B288" t="s">
        <v>72</v>
      </c>
      <c r="C288">
        <v>45</v>
      </c>
      <c r="D288">
        <v>54</v>
      </c>
      <c r="E288">
        <v>9</v>
      </c>
      <c r="F288" t="s">
        <v>2464</v>
      </c>
    </row>
    <row r="289" spans="1:6" x14ac:dyDescent="0.35">
      <c r="A289" t="s">
        <v>24</v>
      </c>
      <c r="B289" t="s">
        <v>36</v>
      </c>
      <c r="C289">
        <v>46</v>
      </c>
      <c r="D289">
        <v>44</v>
      </c>
      <c r="E289">
        <v>-2</v>
      </c>
      <c r="F289" t="s">
        <v>2465</v>
      </c>
    </row>
    <row r="290" spans="1:6" x14ac:dyDescent="0.35">
      <c r="A290" t="s">
        <v>39</v>
      </c>
      <c r="B290" t="s">
        <v>41</v>
      </c>
      <c r="C290">
        <v>17</v>
      </c>
      <c r="D290">
        <v>23</v>
      </c>
      <c r="E290">
        <v>6</v>
      </c>
      <c r="F290" t="s">
        <v>2465</v>
      </c>
    </row>
    <row r="291" spans="1:6" x14ac:dyDescent="0.35">
      <c r="A291" t="s">
        <v>13</v>
      </c>
      <c r="B291" t="s">
        <v>88</v>
      </c>
      <c r="C291">
        <v>41</v>
      </c>
      <c r="D291">
        <v>46</v>
      </c>
      <c r="E291">
        <v>5</v>
      </c>
      <c r="F291" t="s">
        <v>2464</v>
      </c>
    </row>
    <row r="292" spans="1:6" x14ac:dyDescent="0.35">
      <c r="A292" t="s">
        <v>24</v>
      </c>
      <c r="B292" t="s">
        <v>36</v>
      </c>
      <c r="C292">
        <v>6</v>
      </c>
      <c r="D292">
        <v>4</v>
      </c>
      <c r="E292">
        <v>-2</v>
      </c>
      <c r="F292" t="s">
        <v>2465</v>
      </c>
    </row>
    <row r="293" spans="1:6" x14ac:dyDescent="0.35">
      <c r="A293" t="s">
        <v>30</v>
      </c>
      <c r="B293" t="s">
        <v>21</v>
      </c>
      <c r="C293">
        <v>6</v>
      </c>
      <c r="D293">
        <v>7</v>
      </c>
      <c r="E293">
        <v>1</v>
      </c>
      <c r="F293" t="s">
        <v>2465</v>
      </c>
    </row>
    <row r="294" spans="1:6" x14ac:dyDescent="0.35">
      <c r="A294" t="s">
        <v>39</v>
      </c>
      <c r="B294" t="s">
        <v>88</v>
      </c>
      <c r="C294">
        <v>50</v>
      </c>
      <c r="D294">
        <v>60</v>
      </c>
      <c r="E294">
        <v>10</v>
      </c>
      <c r="F294" t="s">
        <v>2465</v>
      </c>
    </row>
    <row r="295" spans="1:6" x14ac:dyDescent="0.35">
      <c r="A295" t="s">
        <v>44</v>
      </c>
      <c r="B295" t="s">
        <v>26</v>
      </c>
      <c r="C295">
        <v>39</v>
      </c>
      <c r="D295">
        <v>45</v>
      </c>
      <c r="E295">
        <v>6</v>
      </c>
      <c r="F295" t="s">
        <v>2464</v>
      </c>
    </row>
    <row r="296" spans="1:6" x14ac:dyDescent="0.35">
      <c r="A296" t="s">
        <v>30</v>
      </c>
      <c r="B296" t="s">
        <v>77</v>
      </c>
      <c r="C296">
        <v>7</v>
      </c>
      <c r="D296">
        <v>11</v>
      </c>
      <c r="E296">
        <v>4</v>
      </c>
      <c r="F296" t="s">
        <v>45</v>
      </c>
    </row>
    <row r="297" spans="1:6" x14ac:dyDescent="0.35">
      <c r="A297" t="s">
        <v>63</v>
      </c>
      <c r="B297" t="s">
        <v>77</v>
      </c>
      <c r="C297">
        <v>32</v>
      </c>
      <c r="D297">
        <v>31</v>
      </c>
      <c r="E297">
        <v>-1</v>
      </c>
      <c r="F297" t="s">
        <v>2464</v>
      </c>
    </row>
    <row r="298" spans="1:6" x14ac:dyDescent="0.35">
      <c r="A298" t="s">
        <v>44</v>
      </c>
      <c r="B298" t="s">
        <v>15</v>
      </c>
      <c r="C298">
        <v>25</v>
      </c>
      <c r="D298">
        <v>28</v>
      </c>
      <c r="E298">
        <v>3</v>
      </c>
      <c r="F298" t="s">
        <v>2465</v>
      </c>
    </row>
    <row r="299" spans="1:6" x14ac:dyDescent="0.35">
      <c r="A299" t="s">
        <v>13</v>
      </c>
      <c r="B299" t="s">
        <v>72</v>
      </c>
      <c r="C299">
        <v>11</v>
      </c>
      <c r="D299">
        <v>16</v>
      </c>
      <c r="E299">
        <v>5</v>
      </c>
      <c r="F299" t="s">
        <v>2465</v>
      </c>
    </row>
    <row r="300" spans="1:6" x14ac:dyDescent="0.35">
      <c r="A300" t="s">
        <v>30</v>
      </c>
      <c r="B300" t="s">
        <v>15</v>
      </c>
      <c r="C300">
        <v>16</v>
      </c>
      <c r="D300">
        <v>17</v>
      </c>
      <c r="E300">
        <v>1</v>
      </c>
      <c r="F300" t="s">
        <v>2465</v>
      </c>
    </row>
    <row r="301" spans="1:6" x14ac:dyDescent="0.35">
      <c r="A301" t="s">
        <v>24</v>
      </c>
      <c r="B301" t="s">
        <v>51</v>
      </c>
      <c r="C301">
        <v>24</v>
      </c>
      <c r="D301">
        <v>27</v>
      </c>
      <c r="E301">
        <v>3</v>
      </c>
      <c r="F301" t="s">
        <v>2465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01"/>
  <sheetViews>
    <sheetView workbookViewId="0">
      <selection activeCell="D1" sqref="D1"/>
    </sheetView>
  </sheetViews>
  <sheetFormatPr defaultRowHeight="14.5" x14ac:dyDescent="0.35"/>
  <cols>
    <col min="1" max="1" width="10" customWidth="1"/>
    <col min="2" max="2" width="28" customWidth="1"/>
    <col min="3" max="3" width="10" customWidth="1"/>
    <col min="4" max="4" width="15" customWidth="1"/>
    <col min="5" max="5" width="13" customWidth="1"/>
    <col min="6" max="6" width="12" customWidth="1"/>
  </cols>
  <sheetData>
    <row r="1" spans="1:6" x14ac:dyDescent="0.35">
      <c r="A1" s="1" t="s">
        <v>0</v>
      </c>
      <c r="B1" s="1" t="s">
        <v>1</v>
      </c>
      <c r="C1" s="1" t="s">
        <v>2466</v>
      </c>
      <c r="D1" s="4" t="s">
        <v>2467</v>
      </c>
      <c r="E1" s="1" t="s">
        <v>636</v>
      </c>
      <c r="F1" s="1" t="s">
        <v>640</v>
      </c>
    </row>
    <row r="2" spans="1:6" x14ac:dyDescent="0.35">
      <c r="A2" t="s">
        <v>2468</v>
      </c>
      <c r="B2" t="s">
        <v>2469</v>
      </c>
      <c r="C2">
        <v>1484368</v>
      </c>
      <c r="D2">
        <v>118749.44</v>
      </c>
      <c r="E2" s="2">
        <v>44933</v>
      </c>
      <c r="F2" t="s">
        <v>1873</v>
      </c>
    </row>
    <row r="3" spans="1:6" x14ac:dyDescent="0.35">
      <c r="A3" t="s">
        <v>2470</v>
      </c>
      <c r="B3" t="s">
        <v>2471</v>
      </c>
      <c r="C3">
        <v>365374</v>
      </c>
      <c r="D3">
        <v>29229.919999999998</v>
      </c>
      <c r="E3" s="2">
        <v>45172</v>
      </c>
      <c r="F3" t="s">
        <v>2472</v>
      </c>
    </row>
    <row r="4" spans="1:6" x14ac:dyDescent="0.35">
      <c r="A4" t="s">
        <v>2473</v>
      </c>
      <c r="B4" t="s">
        <v>2474</v>
      </c>
      <c r="C4">
        <v>534163</v>
      </c>
      <c r="D4">
        <v>42733.04</v>
      </c>
      <c r="E4" s="2">
        <v>45217</v>
      </c>
      <c r="F4" t="s">
        <v>1873</v>
      </c>
    </row>
    <row r="5" spans="1:6" x14ac:dyDescent="0.35">
      <c r="A5" t="s">
        <v>2475</v>
      </c>
      <c r="B5" t="s">
        <v>2476</v>
      </c>
      <c r="C5">
        <v>1851504</v>
      </c>
      <c r="D5">
        <v>148120.32000000001</v>
      </c>
      <c r="E5" s="2">
        <v>45225</v>
      </c>
      <c r="F5" t="s">
        <v>2472</v>
      </c>
    </row>
    <row r="6" spans="1:6" x14ac:dyDescent="0.35">
      <c r="A6" t="s">
        <v>2477</v>
      </c>
      <c r="B6" t="s">
        <v>2478</v>
      </c>
      <c r="C6">
        <v>1695016</v>
      </c>
      <c r="D6">
        <v>135601.28</v>
      </c>
      <c r="E6" s="2">
        <v>46257</v>
      </c>
      <c r="F6" t="s">
        <v>1873</v>
      </c>
    </row>
    <row r="7" spans="1:6" x14ac:dyDescent="0.35">
      <c r="A7" t="s">
        <v>2479</v>
      </c>
      <c r="B7" t="s">
        <v>2480</v>
      </c>
      <c r="C7">
        <v>337592</v>
      </c>
      <c r="D7">
        <v>27007.360000000001</v>
      </c>
      <c r="E7" s="2">
        <v>44976</v>
      </c>
      <c r="F7" t="s">
        <v>1873</v>
      </c>
    </row>
    <row r="8" spans="1:6" x14ac:dyDescent="0.35">
      <c r="A8" t="s">
        <v>2481</v>
      </c>
      <c r="B8" t="s">
        <v>2482</v>
      </c>
      <c r="C8">
        <v>1111915</v>
      </c>
      <c r="D8">
        <v>88953.2</v>
      </c>
      <c r="E8" s="2">
        <v>45571</v>
      </c>
      <c r="F8" t="s">
        <v>2472</v>
      </c>
    </row>
    <row r="9" spans="1:6" x14ac:dyDescent="0.35">
      <c r="A9" t="s">
        <v>2483</v>
      </c>
      <c r="B9" t="s">
        <v>2484</v>
      </c>
      <c r="C9">
        <v>602686</v>
      </c>
      <c r="D9">
        <v>48214.879999999997</v>
      </c>
      <c r="E9" s="2">
        <v>45113</v>
      </c>
      <c r="F9" t="s">
        <v>1873</v>
      </c>
    </row>
    <row r="10" spans="1:6" x14ac:dyDescent="0.35">
      <c r="A10" t="s">
        <v>2485</v>
      </c>
      <c r="B10" t="s">
        <v>2486</v>
      </c>
      <c r="C10">
        <v>1455199</v>
      </c>
      <c r="D10">
        <v>116415.92</v>
      </c>
      <c r="E10" s="2">
        <v>45513</v>
      </c>
      <c r="F10" t="s">
        <v>2472</v>
      </c>
    </row>
    <row r="11" spans="1:6" x14ac:dyDescent="0.35">
      <c r="A11" t="s">
        <v>2487</v>
      </c>
      <c r="B11" t="s">
        <v>2488</v>
      </c>
      <c r="C11">
        <v>394551</v>
      </c>
      <c r="D11">
        <v>31564.080000000002</v>
      </c>
      <c r="E11" s="2">
        <v>45553</v>
      </c>
      <c r="F11" t="s">
        <v>1873</v>
      </c>
    </row>
    <row r="12" spans="1:6" x14ac:dyDescent="0.35">
      <c r="A12" t="s">
        <v>2489</v>
      </c>
      <c r="B12" t="s">
        <v>2490</v>
      </c>
      <c r="C12">
        <v>1829152</v>
      </c>
      <c r="D12">
        <v>146332.16</v>
      </c>
      <c r="E12" s="2">
        <v>45859</v>
      </c>
      <c r="F12" t="s">
        <v>1873</v>
      </c>
    </row>
    <row r="13" spans="1:6" x14ac:dyDescent="0.35">
      <c r="A13" t="s">
        <v>2491</v>
      </c>
      <c r="B13" t="s">
        <v>2492</v>
      </c>
      <c r="C13">
        <v>198109</v>
      </c>
      <c r="D13">
        <v>15848.72</v>
      </c>
      <c r="E13" s="2">
        <v>45113</v>
      </c>
      <c r="F13" t="s">
        <v>1873</v>
      </c>
    </row>
    <row r="14" spans="1:6" x14ac:dyDescent="0.35">
      <c r="A14" t="s">
        <v>2493</v>
      </c>
      <c r="B14" t="s">
        <v>2494</v>
      </c>
      <c r="C14">
        <v>1153124</v>
      </c>
      <c r="D14">
        <v>92249.919999999998</v>
      </c>
      <c r="E14" s="2">
        <v>46124</v>
      </c>
      <c r="F14" t="s">
        <v>1873</v>
      </c>
    </row>
    <row r="15" spans="1:6" x14ac:dyDescent="0.35">
      <c r="A15" t="s">
        <v>2495</v>
      </c>
      <c r="B15" t="s">
        <v>2496</v>
      </c>
      <c r="C15">
        <v>1397638</v>
      </c>
      <c r="D15">
        <v>111811.04</v>
      </c>
      <c r="E15" s="2">
        <v>45725</v>
      </c>
      <c r="F15" t="s">
        <v>2472</v>
      </c>
    </row>
    <row r="16" spans="1:6" x14ac:dyDescent="0.35">
      <c r="A16" t="s">
        <v>2497</v>
      </c>
      <c r="B16" t="s">
        <v>2498</v>
      </c>
      <c r="C16">
        <v>1990585</v>
      </c>
      <c r="D16">
        <v>159246.79999999999</v>
      </c>
      <c r="E16" s="2">
        <v>44733</v>
      </c>
      <c r="F16" t="s">
        <v>1873</v>
      </c>
    </row>
    <row r="17" spans="1:6" x14ac:dyDescent="0.35">
      <c r="A17" t="s">
        <v>2499</v>
      </c>
      <c r="B17" t="s">
        <v>2500</v>
      </c>
      <c r="C17">
        <v>717130</v>
      </c>
      <c r="D17">
        <v>57370.400000000001</v>
      </c>
      <c r="E17" s="2">
        <v>45326</v>
      </c>
      <c r="F17" t="s">
        <v>1873</v>
      </c>
    </row>
    <row r="18" spans="1:6" x14ac:dyDescent="0.35">
      <c r="A18" t="s">
        <v>2501</v>
      </c>
      <c r="B18" t="s">
        <v>2502</v>
      </c>
      <c r="C18">
        <v>1148281</v>
      </c>
      <c r="D18">
        <v>91862.48</v>
      </c>
      <c r="E18" s="2">
        <v>45662</v>
      </c>
      <c r="F18" t="s">
        <v>2472</v>
      </c>
    </row>
    <row r="19" spans="1:6" x14ac:dyDescent="0.35">
      <c r="A19" t="s">
        <v>2503</v>
      </c>
      <c r="B19" t="s">
        <v>2504</v>
      </c>
      <c r="C19">
        <v>2448477</v>
      </c>
      <c r="D19">
        <v>195878.16</v>
      </c>
      <c r="E19" s="2">
        <v>45487</v>
      </c>
      <c r="F19" t="s">
        <v>1873</v>
      </c>
    </row>
    <row r="20" spans="1:6" x14ac:dyDescent="0.35">
      <c r="A20" t="s">
        <v>2505</v>
      </c>
      <c r="B20" t="s">
        <v>2506</v>
      </c>
      <c r="C20">
        <v>124198</v>
      </c>
      <c r="D20">
        <v>9935.84</v>
      </c>
      <c r="E20" s="2">
        <v>46226</v>
      </c>
      <c r="F20" t="s">
        <v>2472</v>
      </c>
    </row>
    <row r="21" spans="1:6" x14ac:dyDescent="0.35">
      <c r="A21" t="s">
        <v>2507</v>
      </c>
      <c r="B21" t="s">
        <v>2508</v>
      </c>
      <c r="C21">
        <v>1333200</v>
      </c>
      <c r="D21">
        <v>106656</v>
      </c>
      <c r="E21" s="2">
        <v>45899</v>
      </c>
      <c r="F21" t="s">
        <v>1873</v>
      </c>
    </row>
    <row r="22" spans="1:6" x14ac:dyDescent="0.35">
      <c r="A22" t="s">
        <v>2509</v>
      </c>
      <c r="B22" t="s">
        <v>2510</v>
      </c>
      <c r="C22">
        <v>122277</v>
      </c>
      <c r="D22">
        <v>9782.16</v>
      </c>
      <c r="E22" s="2">
        <v>44685</v>
      </c>
      <c r="F22" t="s">
        <v>2472</v>
      </c>
    </row>
    <row r="23" spans="1:6" x14ac:dyDescent="0.35">
      <c r="A23" t="s">
        <v>2511</v>
      </c>
      <c r="B23" t="s">
        <v>2512</v>
      </c>
      <c r="C23">
        <v>1266315</v>
      </c>
      <c r="D23">
        <v>101305.2</v>
      </c>
      <c r="E23" s="2">
        <v>45786</v>
      </c>
      <c r="F23" t="s">
        <v>2472</v>
      </c>
    </row>
    <row r="24" spans="1:6" x14ac:dyDescent="0.35">
      <c r="A24" t="s">
        <v>2513</v>
      </c>
      <c r="B24" t="s">
        <v>2514</v>
      </c>
      <c r="C24">
        <v>1714479</v>
      </c>
      <c r="D24">
        <v>137158.32</v>
      </c>
      <c r="E24" s="2">
        <v>45281</v>
      </c>
      <c r="F24" t="s">
        <v>1873</v>
      </c>
    </row>
    <row r="25" spans="1:6" x14ac:dyDescent="0.35">
      <c r="A25" t="s">
        <v>2515</v>
      </c>
      <c r="B25" t="s">
        <v>2516</v>
      </c>
      <c r="C25">
        <v>2260472</v>
      </c>
      <c r="D25">
        <v>180837.76000000001</v>
      </c>
      <c r="E25" s="2">
        <v>45138</v>
      </c>
      <c r="F25" t="s">
        <v>1873</v>
      </c>
    </row>
    <row r="26" spans="1:6" x14ac:dyDescent="0.35">
      <c r="A26" t="s">
        <v>2517</v>
      </c>
      <c r="B26" t="s">
        <v>2518</v>
      </c>
      <c r="C26">
        <v>797029</v>
      </c>
      <c r="D26">
        <v>63762.32</v>
      </c>
      <c r="E26" s="2">
        <v>46075</v>
      </c>
      <c r="F26" t="s">
        <v>1873</v>
      </c>
    </row>
    <row r="27" spans="1:6" x14ac:dyDescent="0.35">
      <c r="A27" t="s">
        <v>2519</v>
      </c>
      <c r="B27" t="s">
        <v>2520</v>
      </c>
      <c r="C27">
        <v>1380968</v>
      </c>
      <c r="D27">
        <v>110477.44</v>
      </c>
      <c r="E27" s="2">
        <v>44745</v>
      </c>
      <c r="F27" t="s">
        <v>2472</v>
      </c>
    </row>
    <row r="28" spans="1:6" x14ac:dyDescent="0.35">
      <c r="A28" t="s">
        <v>2521</v>
      </c>
      <c r="B28" t="s">
        <v>2522</v>
      </c>
      <c r="C28">
        <v>635802</v>
      </c>
      <c r="D28">
        <v>50864.160000000003</v>
      </c>
      <c r="E28" s="2">
        <v>46262</v>
      </c>
      <c r="F28" t="s">
        <v>1873</v>
      </c>
    </row>
    <row r="29" spans="1:6" x14ac:dyDescent="0.35">
      <c r="A29" t="s">
        <v>2523</v>
      </c>
      <c r="B29" t="s">
        <v>2524</v>
      </c>
      <c r="C29">
        <v>2454042</v>
      </c>
      <c r="D29">
        <v>196323.36</v>
      </c>
      <c r="E29" s="2">
        <v>45134</v>
      </c>
      <c r="F29" t="s">
        <v>2472</v>
      </c>
    </row>
    <row r="30" spans="1:6" x14ac:dyDescent="0.35">
      <c r="A30" t="s">
        <v>2525</v>
      </c>
      <c r="B30" t="s">
        <v>2526</v>
      </c>
      <c r="C30">
        <v>1004369</v>
      </c>
      <c r="D30">
        <v>80349.52</v>
      </c>
      <c r="E30" s="2">
        <v>45812</v>
      </c>
      <c r="F30" t="s">
        <v>2472</v>
      </c>
    </row>
    <row r="31" spans="1:6" x14ac:dyDescent="0.35">
      <c r="A31" t="s">
        <v>2527</v>
      </c>
      <c r="B31" t="s">
        <v>2528</v>
      </c>
      <c r="C31">
        <v>1557116</v>
      </c>
      <c r="D31">
        <v>124569.28</v>
      </c>
      <c r="E31" s="2">
        <v>45862</v>
      </c>
      <c r="F31" t="s">
        <v>2472</v>
      </c>
    </row>
    <row r="32" spans="1:6" x14ac:dyDescent="0.35">
      <c r="A32" t="s">
        <v>2529</v>
      </c>
      <c r="B32" t="s">
        <v>2530</v>
      </c>
      <c r="C32">
        <v>2018837</v>
      </c>
      <c r="D32">
        <v>161506.96</v>
      </c>
      <c r="E32" s="2">
        <v>45121</v>
      </c>
      <c r="F32" t="s">
        <v>1873</v>
      </c>
    </row>
    <row r="33" spans="1:6" x14ac:dyDescent="0.35">
      <c r="A33" t="s">
        <v>2531</v>
      </c>
      <c r="B33" t="s">
        <v>2532</v>
      </c>
      <c r="C33">
        <v>1469048</v>
      </c>
      <c r="D33">
        <v>117523.84</v>
      </c>
      <c r="E33" s="2">
        <v>45261</v>
      </c>
      <c r="F33" t="s">
        <v>1873</v>
      </c>
    </row>
    <row r="34" spans="1:6" x14ac:dyDescent="0.35">
      <c r="A34" t="s">
        <v>2533</v>
      </c>
      <c r="B34" t="s">
        <v>2534</v>
      </c>
      <c r="C34">
        <v>2048538</v>
      </c>
      <c r="D34">
        <v>163883.04</v>
      </c>
      <c r="E34" s="2">
        <v>45789</v>
      </c>
      <c r="F34" t="s">
        <v>2472</v>
      </c>
    </row>
    <row r="35" spans="1:6" x14ac:dyDescent="0.35">
      <c r="A35" t="s">
        <v>2535</v>
      </c>
      <c r="B35" t="s">
        <v>2536</v>
      </c>
      <c r="C35">
        <v>186582</v>
      </c>
      <c r="D35">
        <v>14926.56</v>
      </c>
      <c r="E35" s="2">
        <v>45978</v>
      </c>
      <c r="F35" t="s">
        <v>1873</v>
      </c>
    </row>
    <row r="36" spans="1:6" x14ac:dyDescent="0.35">
      <c r="A36" t="s">
        <v>2537</v>
      </c>
      <c r="B36" t="s">
        <v>2538</v>
      </c>
      <c r="C36">
        <v>128587</v>
      </c>
      <c r="D36">
        <v>10286.959999999999</v>
      </c>
      <c r="E36" s="2">
        <v>45808</v>
      </c>
      <c r="F36" t="s">
        <v>2472</v>
      </c>
    </row>
    <row r="37" spans="1:6" x14ac:dyDescent="0.35">
      <c r="A37" t="s">
        <v>2539</v>
      </c>
      <c r="B37" t="s">
        <v>2540</v>
      </c>
      <c r="C37">
        <v>137948</v>
      </c>
      <c r="D37">
        <v>11035.84</v>
      </c>
      <c r="E37" s="2">
        <v>44581</v>
      </c>
      <c r="F37" t="s">
        <v>1873</v>
      </c>
    </row>
    <row r="38" spans="1:6" x14ac:dyDescent="0.35">
      <c r="A38" t="s">
        <v>2541</v>
      </c>
      <c r="B38" t="s">
        <v>2542</v>
      </c>
      <c r="C38">
        <v>1852931</v>
      </c>
      <c r="D38">
        <v>148234.48000000001</v>
      </c>
      <c r="E38" s="2">
        <v>45700</v>
      </c>
      <c r="F38" t="s">
        <v>2472</v>
      </c>
    </row>
    <row r="39" spans="1:6" x14ac:dyDescent="0.35">
      <c r="A39" t="s">
        <v>2543</v>
      </c>
      <c r="B39" t="s">
        <v>2544</v>
      </c>
      <c r="C39">
        <v>1767485</v>
      </c>
      <c r="D39">
        <v>141398.79999999999</v>
      </c>
      <c r="E39" s="2">
        <v>45664</v>
      </c>
      <c r="F39" t="s">
        <v>1873</v>
      </c>
    </row>
    <row r="40" spans="1:6" x14ac:dyDescent="0.35">
      <c r="A40" t="s">
        <v>2545</v>
      </c>
      <c r="B40" t="s">
        <v>2546</v>
      </c>
      <c r="C40">
        <v>445155</v>
      </c>
      <c r="D40">
        <v>35612.400000000001</v>
      </c>
      <c r="E40" s="2">
        <v>45665</v>
      </c>
      <c r="F40" t="s">
        <v>1873</v>
      </c>
    </row>
    <row r="41" spans="1:6" x14ac:dyDescent="0.35">
      <c r="A41" t="s">
        <v>2547</v>
      </c>
      <c r="B41" t="s">
        <v>2548</v>
      </c>
      <c r="C41">
        <v>1987206</v>
      </c>
      <c r="D41">
        <v>158976.48000000001</v>
      </c>
      <c r="E41" s="2">
        <v>45938</v>
      </c>
      <c r="F41" t="s">
        <v>1873</v>
      </c>
    </row>
    <row r="42" spans="1:6" x14ac:dyDescent="0.35">
      <c r="A42" t="s">
        <v>2549</v>
      </c>
      <c r="B42" t="s">
        <v>2550</v>
      </c>
      <c r="C42">
        <v>1600567</v>
      </c>
      <c r="D42">
        <v>128045.36</v>
      </c>
      <c r="E42" s="2">
        <v>46226</v>
      </c>
      <c r="F42" t="s">
        <v>2472</v>
      </c>
    </row>
    <row r="43" spans="1:6" x14ac:dyDescent="0.35">
      <c r="A43" t="s">
        <v>2551</v>
      </c>
      <c r="B43" t="s">
        <v>2552</v>
      </c>
      <c r="C43">
        <v>1621417</v>
      </c>
      <c r="D43">
        <v>129713.36</v>
      </c>
      <c r="E43" s="2">
        <v>45354</v>
      </c>
      <c r="F43" t="s">
        <v>1873</v>
      </c>
    </row>
    <row r="44" spans="1:6" x14ac:dyDescent="0.35">
      <c r="A44" t="s">
        <v>2553</v>
      </c>
      <c r="B44" t="s">
        <v>2554</v>
      </c>
      <c r="C44">
        <v>155363</v>
      </c>
      <c r="D44">
        <v>12429.04</v>
      </c>
      <c r="E44" s="2">
        <v>44817</v>
      </c>
      <c r="F44" t="s">
        <v>2472</v>
      </c>
    </row>
    <row r="45" spans="1:6" x14ac:dyDescent="0.35">
      <c r="A45" t="s">
        <v>2555</v>
      </c>
      <c r="B45" t="s">
        <v>2556</v>
      </c>
      <c r="C45">
        <v>1673908</v>
      </c>
      <c r="D45">
        <v>133912.64000000001</v>
      </c>
      <c r="E45" s="2">
        <v>44957</v>
      </c>
      <c r="F45" t="s">
        <v>2472</v>
      </c>
    </row>
    <row r="46" spans="1:6" x14ac:dyDescent="0.35">
      <c r="A46" t="s">
        <v>2557</v>
      </c>
      <c r="B46" t="s">
        <v>2558</v>
      </c>
      <c r="C46">
        <v>159272</v>
      </c>
      <c r="D46">
        <v>12741.76</v>
      </c>
      <c r="E46" s="2">
        <v>45015</v>
      </c>
      <c r="F46" t="s">
        <v>1873</v>
      </c>
    </row>
    <row r="47" spans="1:6" x14ac:dyDescent="0.35">
      <c r="A47" t="s">
        <v>2559</v>
      </c>
      <c r="B47" t="s">
        <v>2560</v>
      </c>
      <c r="C47">
        <v>1299163</v>
      </c>
      <c r="D47">
        <v>103933.04</v>
      </c>
      <c r="E47" s="2">
        <v>45955</v>
      </c>
      <c r="F47" t="s">
        <v>2472</v>
      </c>
    </row>
    <row r="48" spans="1:6" x14ac:dyDescent="0.35">
      <c r="A48" t="s">
        <v>2561</v>
      </c>
      <c r="B48" t="s">
        <v>2562</v>
      </c>
      <c r="C48">
        <v>923258</v>
      </c>
      <c r="D48">
        <v>73860.639999999999</v>
      </c>
      <c r="E48" s="2">
        <v>44746</v>
      </c>
      <c r="F48" t="s">
        <v>2472</v>
      </c>
    </row>
    <row r="49" spans="1:6" x14ac:dyDescent="0.35">
      <c r="A49" t="s">
        <v>2563</v>
      </c>
      <c r="B49" t="s">
        <v>2564</v>
      </c>
      <c r="C49">
        <v>1047560</v>
      </c>
      <c r="D49">
        <v>83804.800000000003</v>
      </c>
      <c r="E49" s="2">
        <v>45041</v>
      </c>
      <c r="F49" t="s">
        <v>2472</v>
      </c>
    </row>
    <row r="50" spans="1:6" x14ac:dyDescent="0.35">
      <c r="A50" t="s">
        <v>2565</v>
      </c>
      <c r="B50" t="s">
        <v>2566</v>
      </c>
      <c r="C50">
        <v>1642528</v>
      </c>
      <c r="D50">
        <v>131402.23999999999</v>
      </c>
      <c r="E50" s="2">
        <v>44637</v>
      </c>
      <c r="F50" t="s">
        <v>2472</v>
      </c>
    </row>
    <row r="51" spans="1:6" x14ac:dyDescent="0.35">
      <c r="A51" t="s">
        <v>2567</v>
      </c>
      <c r="B51" t="s">
        <v>2568</v>
      </c>
      <c r="C51">
        <v>2187111</v>
      </c>
      <c r="D51">
        <v>174968.88</v>
      </c>
      <c r="E51" s="2">
        <v>46003</v>
      </c>
      <c r="F51" t="s">
        <v>1873</v>
      </c>
    </row>
    <row r="52" spans="1:6" x14ac:dyDescent="0.35">
      <c r="A52" t="s">
        <v>2569</v>
      </c>
      <c r="B52" t="s">
        <v>2570</v>
      </c>
      <c r="C52">
        <v>149928</v>
      </c>
      <c r="D52">
        <v>11994.24</v>
      </c>
      <c r="E52" s="2">
        <v>44963</v>
      </c>
      <c r="F52" t="s">
        <v>2472</v>
      </c>
    </row>
    <row r="53" spans="1:6" x14ac:dyDescent="0.35">
      <c r="A53" t="s">
        <v>2571</v>
      </c>
      <c r="B53" t="s">
        <v>523</v>
      </c>
      <c r="C53">
        <v>585343</v>
      </c>
      <c r="D53">
        <v>46827.44</v>
      </c>
      <c r="E53" s="2">
        <v>46343</v>
      </c>
      <c r="F53" t="s">
        <v>2472</v>
      </c>
    </row>
    <row r="54" spans="1:6" x14ac:dyDescent="0.35">
      <c r="A54" t="s">
        <v>2572</v>
      </c>
      <c r="B54" t="s">
        <v>2573</v>
      </c>
      <c r="C54">
        <v>2218517</v>
      </c>
      <c r="D54">
        <v>177481.36</v>
      </c>
      <c r="E54" s="2">
        <v>45573</v>
      </c>
      <c r="F54" t="s">
        <v>1873</v>
      </c>
    </row>
    <row r="55" spans="1:6" x14ac:dyDescent="0.35">
      <c r="A55" t="s">
        <v>2574</v>
      </c>
      <c r="B55" t="s">
        <v>2575</v>
      </c>
      <c r="C55">
        <v>2434354</v>
      </c>
      <c r="D55">
        <v>194748.32</v>
      </c>
      <c r="E55" s="2">
        <v>44958</v>
      </c>
      <c r="F55" t="s">
        <v>1873</v>
      </c>
    </row>
    <row r="56" spans="1:6" x14ac:dyDescent="0.35">
      <c r="A56" t="s">
        <v>2576</v>
      </c>
      <c r="B56" t="s">
        <v>2577</v>
      </c>
      <c r="C56">
        <v>394142</v>
      </c>
      <c r="D56">
        <v>31531.360000000001</v>
      </c>
      <c r="E56" s="2">
        <v>45766</v>
      </c>
      <c r="F56" t="s">
        <v>1873</v>
      </c>
    </row>
    <row r="57" spans="1:6" x14ac:dyDescent="0.35">
      <c r="A57" t="s">
        <v>2578</v>
      </c>
      <c r="B57" t="s">
        <v>1906</v>
      </c>
      <c r="C57">
        <v>392836</v>
      </c>
      <c r="D57">
        <v>31426.880000000001</v>
      </c>
      <c r="E57" s="2">
        <v>44822</v>
      </c>
      <c r="F57" t="s">
        <v>2472</v>
      </c>
    </row>
    <row r="58" spans="1:6" x14ac:dyDescent="0.35">
      <c r="A58" t="s">
        <v>2579</v>
      </c>
      <c r="B58" t="s">
        <v>2580</v>
      </c>
      <c r="C58">
        <v>1076155</v>
      </c>
      <c r="D58">
        <v>86092.4</v>
      </c>
      <c r="E58" s="2">
        <v>46366</v>
      </c>
      <c r="F58" t="s">
        <v>2472</v>
      </c>
    </row>
    <row r="59" spans="1:6" x14ac:dyDescent="0.35">
      <c r="A59" t="s">
        <v>2581</v>
      </c>
      <c r="B59" t="s">
        <v>2582</v>
      </c>
      <c r="C59">
        <v>924683</v>
      </c>
      <c r="D59">
        <v>73974.64</v>
      </c>
      <c r="E59" s="2">
        <v>46298</v>
      </c>
      <c r="F59" t="s">
        <v>1873</v>
      </c>
    </row>
    <row r="60" spans="1:6" x14ac:dyDescent="0.35">
      <c r="A60" t="s">
        <v>2583</v>
      </c>
      <c r="B60" t="s">
        <v>2584</v>
      </c>
      <c r="C60">
        <v>2355318</v>
      </c>
      <c r="D60">
        <v>188425.44</v>
      </c>
      <c r="E60" s="2">
        <v>45820</v>
      </c>
      <c r="F60" t="s">
        <v>2472</v>
      </c>
    </row>
    <row r="61" spans="1:6" x14ac:dyDescent="0.35">
      <c r="A61" t="s">
        <v>2585</v>
      </c>
      <c r="B61" t="s">
        <v>2586</v>
      </c>
      <c r="C61">
        <v>2469296</v>
      </c>
      <c r="D61">
        <v>197543.67999999999</v>
      </c>
      <c r="E61" s="2">
        <v>46370</v>
      </c>
      <c r="F61" t="s">
        <v>2472</v>
      </c>
    </row>
    <row r="62" spans="1:6" x14ac:dyDescent="0.35">
      <c r="A62" t="s">
        <v>2587</v>
      </c>
      <c r="B62" t="s">
        <v>2588</v>
      </c>
      <c r="C62">
        <v>128199</v>
      </c>
      <c r="D62">
        <v>10255.92</v>
      </c>
      <c r="E62" s="2">
        <v>45436</v>
      </c>
      <c r="F62" t="s">
        <v>1873</v>
      </c>
    </row>
    <row r="63" spans="1:6" x14ac:dyDescent="0.35">
      <c r="A63" t="s">
        <v>2589</v>
      </c>
      <c r="B63" t="s">
        <v>2590</v>
      </c>
      <c r="C63">
        <v>1474757</v>
      </c>
      <c r="D63">
        <v>117980.56</v>
      </c>
      <c r="E63" s="2">
        <v>45447</v>
      </c>
      <c r="F63" t="s">
        <v>2472</v>
      </c>
    </row>
    <row r="64" spans="1:6" x14ac:dyDescent="0.35">
      <c r="A64" t="s">
        <v>2591</v>
      </c>
      <c r="B64" t="s">
        <v>2592</v>
      </c>
      <c r="C64">
        <v>1269388</v>
      </c>
      <c r="D64">
        <v>101551.03999999999</v>
      </c>
      <c r="E64" s="2">
        <v>44811</v>
      </c>
      <c r="F64" t="s">
        <v>2472</v>
      </c>
    </row>
    <row r="65" spans="1:6" x14ac:dyDescent="0.35">
      <c r="A65" t="s">
        <v>2593</v>
      </c>
      <c r="B65" t="s">
        <v>2594</v>
      </c>
      <c r="C65">
        <v>2198591</v>
      </c>
      <c r="D65">
        <v>175887.28</v>
      </c>
      <c r="E65" s="2">
        <v>45302</v>
      </c>
      <c r="F65" t="s">
        <v>1873</v>
      </c>
    </row>
    <row r="66" spans="1:6" x14ac:dyDescent="0.35">
      <c r="A66" t="s">
        <v>2595</v>
      </c>
      <c r="B66" t="s">
        <v>2596</v>
      </c>
      <c r="C66">
        <v>1061823</v>
      </c>
      <c r="D66">
        <v>84945.84</v>
      </c>
      <c r="E66" s="2">
        <v>44658</v>
      </c>
      <c r="F66" t="s">
        <v>2472</v>
      </c>
    </row>
    <row r="67" spans="1:6" x14ac:dyDescent="0.35">
      <c r="A67" t="s">
        <v>2597</v>
      </c>
      <c r="B67" t="s">
        <v>2598</v>
      </c>
      <c r="C67">
        <v>1881868</v>
      </c>
      <c r="D67">
        <v>150549.44</v>
      </c>
      <c r="E67" s="2">
        <v>45652</v>
      </c>
      <c r="F67" t="s">
        <v>2472</v>
      </c>
    </row>
    <row r="68" spans="1:6" x14ac:dyDescent="0.35">
      <c r="A68" t="s">
        <v>2599</v>
      </c>
      <c r="B68" t="s">
        <v>2600</v>
      </c>
      <c r="C68">
        <v>1446414</v>
      </c>
      <c r="D68">
        <v>115713.12</v>
      </c>
      <c r="E68" s="2">
        <v>44572</v>
      </c>
      <c r="F68" t="s">
        <v>2472</v>
      </c>
    </row>
    <row r="69" spans="1:6" x14ac:dyDescent="0.35">
      <c r="A69" t="s">
        <v>2601</v>
      </c>
      <c r="B69" t="s">
        <v>2602</v>
      </c>
      <c r="C69">
        <v>936245</v>
      </c>
      <c r="D69">
        <v>74899.600000000006</v>
      </c>
      <c r="E69" s="2">
        <v>45247</v>
      </c>
      <c r="F69" t="s">
        <v>1873</v>
      </c>
    </row>
    <row r="70" spans="1:6" x14ac:dyDescent="0.35">
      <c r="A70" t="s">
        <v>2603</v>
      </c>
      <c r="B70" t="s">
        <v>2604</v>
      </c>
      <c r="C70">
        <v>226417</v>
      </c>
      <c r="D70">
        <v>18113.36</v>
      </c>
      <c r="E70" s="2">
        <v>46072</v>
      </c>
      <c r="F70" t="s">
        <v>1873</v>
      </c>
    </row>
    <row r="71" spans="1:6" x14ac:dyDescent="0.35">
      <c r="A71" t="s">
        <v>2605</v>
      </c>
      <c r="B71" t="s">
        <v>691</v>
      </c>
      <c r="C71">
        <v>1897630</v>
      </c>
      <c r="D71">
        <v>151810.4</v>
      </c>
      <c r="E71" s="2">
        <v>44714</v>
      </c>
      <c r="F71" t="s">
        <v>1873</v>
      </c>
    </row>
    <row r="72" spans="1:6" x14ac:dyDescent="0.35">
      <c r="A72" t="s">
        <v>2606</v>
      </c>
      <c r="B72" t="s">
        <v>2607</v>
      </c>
      <c r="C72">
        <v>945761</v>
      </c>
      <c r="D72">
        <v>75660.88</v>
      </c>
      <c r="E72" s="2">
        <v>44898</v>
      </c>
      <c r="F72" t="s">
        <v>2472</v>
      </c>
    </row>
    <row r="73" spans="1:6" x14ac:dyDescent="0.35">
      <c r="A73" t="s">
        <v>2608</v>
      </c>
      <c r="B73" t="s">
        <v>2609</v>
      </c>
      <c r="C73">
        <v>1423614</v>
      </c>
      <c r="D73">
        <v>113889.12</v>
      </c>
      <c r="E73" s="2">
        <v>44690</v>
      </c>
      <c r="F73" t="s">
        <v>1873</v>
      </c>
    </row>
    <row r="74" spans="1:6" x14ac:dyDescent="0.35">
      <c r="A74" t="s">
        <v>2610</v>
      </c>
      <c r="B74" t="s">
        <v>2611</v>
      </c>
      <c r="C74">
        <v>236906</v>
      </c>
      <c r="D74">
        <v>18952.48</v>
      </c>
      <c r="E74" s="2">
        <v>45544</v>
      </c>
      <c r="F74" t="s">
        <v>2472</v>
      </c>
    </row>
    <row r="75" spans="1:6" x14ac:dyDescent="0.35">
      <c r="A75" t="s">
        <v>2612</v>
      </c>
      <c r="B75" t="s">
        <v>2613</v>
      </c>
      <c r="C75">
        <v>220761</v>
      </c>
      <c r="D75">
        <v>17660.88</v>
      </c>
      <c r="E75" s="2">
        <v>45775</v>
      </c>
      <c r="F75" t="s">
        <v>2472</v>
      </c>
    </row>
    <row r="76" spans="1:6" x14ac:dyDescent="0.35">
      <c r="A76" t="s">
        <v>2614</v>
      </c>
      <c r="B76" t="s">
        <v>2615</v>
      </c>
      <c r="C76">
        <v>1170293</v>
      </c>
      <c r="D76">
        <v>93623.44</v>
      </c>
      <c r="E76" s="2">
        <v>45068</v>
      </c>
      <c r="F76" t="s">
        <v>1873</v>
      </c>
    </row>
    <row r="77" spans="1:6" x14ac:dyDescent="0.35">
      <c r="A77" t="s">
        <v>2616</v>
      </c>
      <c r="B77" t="s">
        <v>2617</v>
      </c>
      <c r="C77">
        <v>2106323</v>
      </c>
      <c r="D77">
        <v>168505.84</v>
      </c>
      <c r="E77" s="2">
        <v>45050</v>
      </c>
      <c r="F77" t="s">
        <v>2472</v>
      </c>
    </row>
    <row r="78" spans="1:6" x14ac:dyDescent="0.35">
      <c r="A78" t="s">
        <v>2618</v>
      </c>
      <c r="B78" t="s">
        <v>2619</v>
      </c>
      <c r="C78">
        <v>348307</v>
      </c>
      <c r="D78">
        <v>27864.560000000001</v>
      </c>
      <c r="E78" s="2">
        <v>46244</v>
      </c>
      <c r="F78" t="s">
        <v>2472</v>
      </c>
    </row>
    <row r="79" spans="1:6" x14ac:dyDescent="0.35">
      <c r="A79" t="s">
        <v>2620</v>
      </c>
      <c r="B79" t="s">
        <v>2621</v>
      </c>
      <c r="C79">
        <v>2299675</v>
      </c>
      <c r="D79">
        <v>183974</v>
      </c>
      <c r="E79" s="2">
        <v>46188</v>
      </c>
      <c r="F79" t="s">
        <v>1873</v>
      </c>
    </row>
    <row r="80" spans="1:6" x14ac:dyDescent="0.35">
      <c r="A80" t="s">
        <v>2622</v>
      </c>
      <c r="B80" t="s">
        <v>2623</v>
      </c>
      <c r="C80">
        <v>425810</v>
      </c>
      <c r="D80">
        <v>34064.800000000003</v>
      </c>
      <c r="E80" s="2">
        <v>46150</v>
      </c>
      <c r="F80" t="s">
        <v>2472</v>
      </c>
    </row>
    <row r="81" spans="1:6" x14ac:dyDescent="0.35">
      <c r="A81" t="s">
        <v>2624</v>
      </c>
      <c r="B81" t="s">
        <v>1097</v>
      </c>
      <c r="C81">
        <v>521272</v>
      </c>
      <c r="D81">
        <v>41701.760000000002</v>
      </c>
      <c r="E81" s="2">
        <v>45842</v>
      </c>
      <c r="F81" t="s">
        <v>2472</v>
      </c>
    </row>
    <row r="82" spans="1:6" x14ac:dyDescent="0.35">
      <c r="A82" t="s">
        <v>2625</v>
      </c>
      <c r="B82" t="s">
        <v>2626</v>
      </c>
      <c r="C82">
        <v>643559</v>
      </c>
      <c r="D82">
        <v>51484.72</v>
      </c>
      <c r="E82" s="2">
        <v>44737</v>
      </c>
      <c r="F82" t="s">
        <v>1873</v>
      </c>
    </row>
    <row r="83" spans="1:6" x14ac:dyDescent="0.35">
      <c r="A83" t="s">
        <v>2627</v>
      </c>
      <c r="B83" t="s">
        <v>2628</v>
      </c>
      <c r="C83">
        <v>259853</v>
      </c>
      <c r="D83">
        <v>20788.240000000002</v>
      </c>
      <c r="E83" s="2">
        <v>45334</v>
      </c>
      <c r="F83" t="s">
        <v>2472</v>
      </c>
    </row>
    <row r="84" spans="1:6" x14ac:dyDescent="0.35">
      <c r="A84" t="s">
        <v>2629</v>
      </c>
      <c r="B84" t="s">
        <v>2630</v>
      </c>
      <c r="C84">
        <v>392748</v>
      </c>
      <c r="D84">
        <v>31419.84</v>
      </c>
      <c r="E84" s="2">
        <v>46164</v>
      </c>
      <c r="F84" t="s">
        <v>1873</v>
      </c>
    </row>
    <row r="85" spans="1:6" x14ac:dyDescent="0.35">
      <c r="A85" t="s">
        <v>2631</v>
      </c>
      <c r="B85" t="s">
        <v>2632</v>
      </c>
      <c r="C85">
        <v>380056</v>
      </c>
      <c r="D85">
        <v>30404.48</v>
      </c>
      <c r="E85" s="2">
        <v>46205</v>
      </c>
      <c r="F85" t="s">
        <v>2472</v>
      </c>
    </row>
    <row r="86" spans="1:6" x14ac:dyDescent="0.35">
      <c r="A86" t="s">
        <v>2633</v>
      </c>
      <c r="B86" t="s">
        <v>2634</v>
      </c>
      <c r="C86">
        <v>349801</v>
      </c>
      <c r="D86">
        <v>27984.080000000002</v>
      </c>
      <c r="E86" s="2">
        <v>45179</v>
      </c>
      <c r="F86" t="s">
        <v>2472</v>
      </c>
    </row>
    <row r="87" spans="1:6" x14ac:dyDescent="0.35">
      <c r="A87" t="s">
        <v>2635</v>
      </c>
      <c r="B87" t="s">
        <v>2636</v>
      </c>
      <c r="C87">
        <v>395944</v>
      </c>
      <c r="D87">
        <v>31675.52</v>
      </c>
      <c r="E87" s="2">
        <v>44770</v>
      </c>
      <c r="F87" t="s">
        <v>1873</v>
      </c>
    </row>
    <row r="88" spans="1:6" x14ac:dyDescent="0.35">
      <c r="A88" t="s">
        <v>2637</v>
      </c>
      <c r="B88" t="s">
        <v>2638</v>
      </c>
      <c r="C88">
        <v>2465698</v>
      </c>
      <c r="D88">
        <v>197255.84</v>
      </c>
      <c r="E88" s="2">
        <v>44668</v>
      </c>
      <c r="F88" t="s">
        <v>2472</v>
      </c>
    </row>
    <row r="89" spans="1:6" x14ac:dyDescent="0.35">
      <c r="A89" t="s">
        <v>2639</v>
      </c>
      <c r="B89" t="s">
        <v>2640</v>
      </c>
      <c r="C89">
        <v>1719940</v>
      </c>
      <c r="D89">
        <v>137595.20000000001</v>
      </c>
      <c r="E89" s="2">
        <v>45384</v>
      </c>
      <c r="F89" t="s">
        <v>1873</v>
      </c>
    </row>
    <row r="90" spans="1:6" x14ac:dyDescent="0.35">
      <c r="A90" t="s">
        <v>2641</v>
      </c>
      <c r="B90" t="s">
        <v>2642</v>
      </c>
      <c r="C90">
        <v>1844311</v>
      </c>
      <c r="D90">
        <v>147544.88</v>
      </c>
      <c r="E90" s="2">
        <v>45039</v>
      </c>
      <c r="F90" t="s">
        <v>1873</v>
      </c>
    </row>
    <row r="91" spans="1:6" x14ac:dyDescent="0.35">
      <c r="A91" t="s">
        <v>2643</v>
      </c>
      <c r="B91" t="s">
        <v>2644</v>
      </c>
      <c r="C91">
        <v>2021744</v>
      </c>
      <c r="D91">
        <v>161739.51999999999</v>
      </c>
      <c r="E91" s="2">
        <v>45348</v>
      </c>
      <c r="F91" t="s">
        <v>2472</v>
      </c>
    </row>
    <row r="92" spans="1:6" x14ac:dyDescent="0.35">
      <c r="A92" t="s">
        <v>2645</v>
      </c>
      <c r="B92" t="s">
        <v>2646</v>
      </c>
      <c r="C92">
        <v>1915605</v>
      </c>
      <c r="D92">
        <v>153248.4</v>
      </c>
      <c r="E92" s="2">
        <v>46364</v>
      </c>
      <c r="F92" t="s">
        <v>1873</v>
      </c>
    </row>
    <row r="93" spans="1:6" x14ac:dyDescent="0.35">
      <c r="A93" t="s">
        <v>2647</v>
      </c>
      <c r="B93" t="s">
        <v>2648</v>
      </c>
      <c r="C93">
        <v>1544454</v>
      </c>
      <c r="D93">
        <v>123556.32</v>
      </c>
      <c r="E93" s="2">
        <v>45895</v>
      </c>
      <c r="F93" t="s">
        <v>1873</v>
      </c>
    </row>
    <row r="94" spans="1:6" x14ac:dyDescent="0.35">
      <c r="A94" t="s">
        <v>2649</v>
      </c>
      <c r="B94" t="s">
        <v>2650</v>
      </c>
      <c r="C94">
        <v>2024535</v>
      </c>
      <c r="D94">
        <v>161962.79999999999</v>
      </c>
      <c r="E94" s="2">
        <v>45621</v>
      </c>
      <c r="F94" t="s">
        <v>2472</v>
      </c>
    </row>
    <row r="95" spans="1:6" x14ac:dyDescent="0.35">
      <c r="A95" t="s">
        <v>2651</v>
      </c>
      <c r="B95" t="s">
        <v>2652</v>
      </c>
      <c r="C95">
        <v>927325</v>
      </c>
      <c r="D95">
        <v>74186</v>
      </c>
      <c r="E95" s="2">
        <v>44783</v>
      </c>
      <c r="F95" t="s">
        <v>1873</v>
      </c>
    </row>
    <row r="96" spans="1:6" x14ac:dyDescent="0.35">
      <c r="A96" t="s">
        <v>2653</v>
      </c>
      <c r="B96" t="s">
        <v>2654</v>
      </c>
      <c r="C96">
        <v>171542</v>
      </c>
      <c r="D96">
        <v>13723.36</v>
      </c>
      <c r="E96" s="2">
        <v>45780</v>
      </c>
      <c r="F96" t="s">
        <v>1873</v>
      </c>
    </row>
    <row r="97" spans="1:6" x14ac:dyDescent="0.35">
      <c r="A97" t="s">
        <v>2655</v>
      </c>
      <c r="B97" t="s">
        <v>2656</v>
      </c>
      <c r="C97">
        <v>932078</v>
      </c>
      <c r="D97">
        <v>74566.240000000005</v>
      </c>
      <c r="E97" s="2">
        <v>45735</v>
      </c>
      <c r="F97" t="s">
        <v>1873</v>
      </c>
    </row>
    <row r="98" spans="1:6" x14ac:dyDescent="0.35">
      <c r="A98" t="s">
        <v>2657</v>
      </c>
      <c r="B98" t="s">
        <v>2658</v>
      </c>
      <c r="C98">
        <v>2254472</v>
      </c>
      <c r="D98">
        <v>180357.76000000001</v>
      </c>
      <c r="E98" s="2">
        <v>45086</v>
      </c>
      <c r="F98" t="s">
        <v>2472</v>
      </c>
    </row>
    <row r="99" spans="1:6" x14ac:dyDescent="0.35">
      <c r="A99" t="s">
        <v>2659</v>
      </c>
      <c r="B99" t="s">
        <v>2660</v>
      </c>
      <c r="C99">
        <v>1885831</v>
      </c>
      <c r="D99">
        <v>150866.48000000001</v>
      </c>
      <c r="E99" s="2">
        <v>45547</v>
      </c>
      <c r="F99" t="s">
        <v>2472</v>
      </c>
    </row>
    <row r="100" spans="1:6" x14ac:dyDescent="0.35">
      <c r="A100" t="s">
        <v>2661</v>
      </c>
      <c r="B100" t="s">
        <v>2662</v>
      </c>
      <c r="C100">
        <v>899819</v>
      </c>
      <c r="D100">
        <v>71985.52</v>
      </c>
      <c r="E100" s="2">
        <v>45059</v>
      </c>
      <c r="F100" t="s">
        <v>1873</v>
      </c>
    </row>
    <row r="101" spans="1:6" x14ac:dyDescent="0.35">
      <c r="A101" t="s">
        <v>2663</v>
      </c>
      <c r="B101" t="s">
        <v>2664</v>
      </c>
      <c r="C101">
        <v>304846</v>
      </c>
      <c r="D101">
        <v>24387.68</v>
      </c>
      <c r="E101" s="2">
        <v>44685</v>
      </c>
      <c r="F101" t="s">
        <v>1873</v>
      </c>
    </row>
    <row r="102" spans="1:6" x14ac:dyDescent="0.35">
      <c r="A102" t="s">
        <v>2665</v>
      </c>
      <c r="B102" t="s">
        <v>2666</v>
      </c>
      <c r="C102">
        <v>1427225</v>
      </c>
      <c r="D102">
        <v>114178</v>
      </c>
      <c r="E102" s="2">
        <v>45759</v>
      </c>
      <c r="F102" t="s">
        <v>2472</v>
      </c>
    </row>
    <row r="103" spans="1:6" x14ac:dyDescent="0.35">
      <c r="A103" t="s">
        <v>2667</v>
      </c>
      <c r="B103" t="s">
        <v>2668</v>
      </c>
      <c r="C103">
        <v>2272205</v>
      </c>
      <c r="D103">
        <v>181776.4</v>
      </c>
      <c r="E103" s="2">
        <v>45896</v>
      </c>
      <c r="F103" t="s">
        <v>2472</v>
      </c>
    </row>
    <row r="104" spans="1:6" x14ac:dyDescent="0.35">
      <c r="A104" t="s">
        <v>2669</v>
      </c>
      <c r="B104" t="s">
        <v>2670</v>
      </c>
      <c r="C104">
        <v>1425218</v>
      </c>
      <c r="D104">
        <v>114017.44</v>
      </c>
      <c r="E104" s="2">
        <v>45757</v>
      </c>
      <c r="F104" t="s">
        <v>1873</v>
      </c>
    </row>
    <row r="105" spans="1:6" x14ac:dyDescent="0.35">
      <c r="A105" t="s">
        <v>2671</v>
      </c>
      <c r="B105" t="s">
        <v>2672</v>
      </c>
      <c r="C105">
        <v>738278</v>
      </c>
      <c r="D105">
        <v>59062.239999999998</v>
      </c>
      <c r="E105" s="2">
        <v>45523</v>
      </c>
      <c r="F105" t="s">
        <v>2472</v>
      </c>
    </row>
    <row r="106" spans="1:6" x14ac:dyDescent="0.35">
      <c r="A106" t="s">
        <v>2673</v>
      </c>
      <c r="B106" t="s">
        <v>2674</v>
      </c>
      <c r="C106">
        <v>1558228</v>
      </c>
      <c r="D106">
        <v>124658.24000000001</v>
      </c>
      <c r="E106" s="2">
        <v>45158</v>
      </c>
      <c r="F106" t="s">
        <v>2472</v>
      </c>
    </row>
    <row r="107" spans="1:6" x14ac:dyDescent="0.35">
      <c r="A107" t="s">
        <v>2675</v>
      </c>
      <c r="B107" t="s">
        <v>2676</v>
      </c>
      <c r="C107">
        <v>153897</v>
      </c>
      <c r="D107">
        <v>12311.76</v>
      </c>
      <c r="E107" s="2">
        <v>45622</v>
      </c>
      <c r="F107" t="s">
        <v>1873</v>
      </c>
    </row>
    <row r="108" spans="1:6" x14ac:dyDescent="0.35">
      <c r="A108" t="s">
        <v>2677</v>
      </c>
      <c r="B108" t="s">
        <v>2678</v>
      </c>
      <c r="C108">
        <v>360407</v>
      </c>
      <c r="D108">
        <v>28832.560000000001</v>
      </c>
      <c r="E108" s="2">
        <v>45048</v>
      </c>
      <c r="F108" t="s">
        <v>1873</v>
      </c>
    </row>
    <row r="109" spans="1:6" x14ac:dyDescent="0.35">
      <c r="A109" t="s">
        <v>2679</v>
      </c>
      <c r="B109" t="s">
        <v>2680</v>
      </c>
      <c r="C109">
        <v>1890252</v>
      </c>
      <c r="D109">
        <v>151220.16</v>
      </c>
      <c r="E109" s="2">
        <v>45266</v>
      </c>
      <c r="F109" t="s">
        <v>1873</v>
      </c>
    </row>
    <row r="110" spans="1:6" x14ac:dyDescent="0.35">
      <c r="A110" t="s">
        <v>2681</v>
      </c>
      <c r="B110" t="s">
        <v>2682</v>
      </c>
      <c r="C110">
        <v>960420</v>
      </c>
      <c r="D110">
        <v>76833.600000000006</v>
      </c>
      <c r="E110" s="2">
        <v>45873</v>
      </c>
      <c r="F110" t="s">
        <v>1873</v>
      </c>
    </row>
    <row r="111" spans="1:6" x14ac:dyDescent="0.35">
      <c r="A111" t="s">
        <v>2683</v>
      </c>
      <c r="B111" t="s">
        <v>2684</v>
      </c>
      <c r="C111">
        <v>406906</v>
      </c>
      <c r="D111">
        <v>32552.48</v>
      </c>
      <c r="E111" s="2">
        <v>45261</v>
      </c>
      <c r="F111" t="s">
        <v>1873</v>
      </c>
    </row>
    <row r="112" spans="1:6" x14ac:dyDescent="0.35">
      <c r="A112" t="s">
        <v>2685</v>
      </c>
      <c r="B112" t="s">
        <v>2686</v>
      </c>
      <c r="C112">
        <v>2115335</v>
      </c>
      <c r="D112">
        <v>169226.8</v>
      </c>
      <c r="E112" s="2">
        <v>45984</v>
      </c>
      <c r="F112" t="s">
        <v>2472</v>
      </c>
    </row>
    <row r="113" spans="1:6" x14ac:dyDescent="0.35">
      <c r="A113" t="s">
        <v>2687</v>
      </c>
      <c r="B113" t="s">
        <v>2688</v>
      </c>
      <c r="C113">
        <v>1508924</v>
      </c>
      <c r="D113">
        <v>120713.92</v>
      </c>
      <c r="E113" s="2">
        <v>46306</v>
      </c>
      <c r="F113" t="s">
        <v>2472</v>
      </c>
    </row>
    <row r="114" spans="1:6" x14ac:dyDescent="0.35">
      <c r="A114" t="s">
        <v>2689</v>
      </c>
      <c r="B114" t="s">
        <v>2690</v>
      </c>
      <c r="C114">
        <v>1376745</v>
      </c>
      <c r="D114">
        <v>110139.6</v>
      </c>
      <c r="E114" s="2">
        <v>45419</v>
      </c>
      <c r="F114" t="s">
        <v>2472</v>
      </c>
    </row>
    <row r="115" spans="1:6" x14ac:dyDescent="0.35">
      <c r="A115" t="s">
        <v>2691</v>
      </c>
      <c r="B115" t="s">
        <v>2692</v>
      </c>
      <c r="C115">
        <v>800651</v>
      </c>
      <c r="D115">
        <v>64052.08</v>
      </c>
      <c r="E115" s="2">
        <v>44776</v>
      </c>
      <c r="F115" t="s">
        <v>2472</v>
      </c>
    </row>
    <row r="116" spans="1:6" x14ac:dyDescent="0.35">
      <c r="A116" t="s">
        <v>2693</v>
      </c>
      <c r="B116" t="s">
        <v>2694</v>
      </c>
      <c r="C116">
        <v>296966</v>
      </c>
      <c r="D116">
        <v>23757.279999999999</v>
      </c>
      <c r="E116" s="2">
        <v>45577</v>
      </c>
      <c r="F116" t="s">
        <v>1873</v>
      </c>
    </row>
    <row r="117" spans="1:6" x14ac:dyDescent="0.35">
      <c r="A117" t="s">
        <v>2695</v>
      </c>
      <c r="B117" t="s">
        <v>2696</v>
      </c>
      <c r="C117">
        <v>135506</v>
      </c>
      <c r="D117">
        <v>10840.48</v>
      </c>
      <c r="E117" s="2">
        <v>45870</v>
      </c>
      <c r="F117" t="s">
        <v>1873</v>
      </c>
    </row>
    <row r="118" spans="1:6" x14ac:dyDescent="0.35">
      <c r="A118" t="s">
        <v>2697</v>
      </c>
      <c r="B118" t="s">
        <v>2698</v>
      </c>
      <c r="C118">
        <v>1085839</v>
      </c>
      <c r="D118">
        <v>86867.12</v>
      </c>
      <c r="E118" s="2">
        <v>45517</v>
      </c>
      <c r="F118" t="s">
        <v>1873</v>
      </c>
    </row>
    <row r="119" spans="1:6" x14ac:dyDescent="0.35">
      <c r="A119" t="s">
        <v>2699</v>
      </c>
      <c r="B119" t="s">
        <v>2700</v>
      </c>
      <c r="C119">
        <v>1122518</v>
      </c>
      <c r="D119">
        <v>89801.44</v>
      </c>
      <c r="E119" s="2">
        <v>45546</v>
      </c>
      <c r="F119" t="s">
        <v>2472</v>
      </c>
    </row>
    <row r="120" spans="1:6" x14ac:dyDescent="0.35">
      <c r="A120" t="s">
        <v>2701</v>
      </c>
      <c r="B120" t="s">
        <v>2702</v>
      </c>
      <c r="C120">
        <v>1696688</v>
      </c>
      <c r="D120">
        <v>135735.04000000001</v>
      </c>
      <c r="E120" s="2">
        <v>44982</v>
      </c>
      <c r="F120" t="s">
        <v>2472</v>
      </c>
    </row>
    <row r="121" spans="1:6" x14ac:dyDescent="0.35">
      <c r="A121" t="s">
        <v>2703</v>
      </c>
      <c r="B121" t="s">
        <v>2704</v>
      </c>
      <c r="C121">
        <v>892777</v>
      </c>
      <c r="D121">
        <v>71422.16</v>
      </c>
      <c r="E121" s="2">
        <v>46253</v>
      </c>
      <c r="F121" t="s">
        <v>1873</v>
      </c>
    </row>
    <row r="122" spans="1:6" x14ac:dyDescent="0.35">
      <c r="A122" t="s">
        <v>2705</v>
      </c>
      <c r="B122" t="s">
        <v>2706</v>
      </c>
      <c r="C122">
        <v>1641765</v>
      </c>
      <c r="D122">
        <v>131341.20000000001</v>
      </c>
      <c r="E122" s="2">
        <v>44582</v>
      </c>
      <c r="F122" t="s">
        <v>1873</v>
      </c>
    </row>
    <row r="123" spans="1:6" x14ac:dyDescent="0.35">
      <c r="A123" t="s">
        <v>2707</v>
      </c>
      <c r="B123" t="s">
        <v>2708</v>
      </c>
      <c r="C123">
        <v>1621085</v>
      </c>
      <c r="D123">
        <v>129686.8</v>
      </c>
      <c r="E123" s="2">
        <v>44623</v>
      </c>
      <c r="F123" t="s">
        <v>1873</v>
      </c>
    </row>
    <row r="124" spans="1:6" x14ac:dyDescent="0.35">
      <c r="A124" t="s">
        <v>2709</v>
      </c>
      <c r="B124" t="s">
        <v>2710</v>
      </c>
      <c r="C124">
        <v>717277</v>
      </c>
      <c r="D124">
        <v>57382.16</v>
      </c>
      <c r="E124" s="2">
        <v>45157</v>
      </c>
      <c r="F124" t="s">
        <v>2472</v>
      </c>
    </row>
    <row r="125" spans="1:6" x14ac:dyDescent="0.35">
      <c r="A125" t="s">
        <v>2711</v>
      </c>
      <c r="B125" t="s">
        <v>2712</v>
      </c>
      <c r="C125">
        <v>935387</v>
      </c>
      <c r="D125">
        <v>74830.960000000006</v>
      </c>
      <c r="E125" s="2">
        <v>45854</v>
      </c>
      <c r="F125" t="s">
        <v>2472</v>
      </c>
    </row>
    <row r="126" spans="1:6" x14ac:dyDescent="0.35">
      <c r="A126" t="s">
        <v>2713</v>
      </c>
      <c r="B126" t="s">
        <v>2714</v>
      </c>
      <c r="C126">
        <v>304150</v>
      </c>
      <c r="D126">
        <v>24332</v>
      </c>
      <c r="E126" s="2">
        <v>44622</v>
      </c>
      <c r="F126" t="s">
        <v>1873</v>
      </c>
    </row>
    <row r="127" spans="1:6" x14ac:dyDescent="0.35">
      <c r="A127" t="s">
        <v>2715</v>
      </c>
      <c r="B127" t="s">
        <v>2716</v>
      </c>
      <c r="C127">
        <v>949738</v>
      </c>
      <c r="D127">
        <v>75979.039999999994</v>
      </c>
      <c r="E127" s="2">
        <v>45143</v>
      </c>
      <c r="F127" t="s">
        <v>1873</v>
      </c>
    </row>
    <row r="128" spans="1:6" x14ac:dyDescent="0.35">
      <c r="A128" t="s">
        <v>2717</v>
      </c>
      <c r="B128" t="s">
        <v>2718</v>
      </c>
      <c r="C128">
        <v>1038322</v>
      </c>
      <c r="D128">
        <v>83065.759999999995</v>
      </c>
      <c r="E128" s="2">
        <v>46375</v>
      </c>
      <c r="F128" t="s">
        <v>2472</v>
      </c>
    </row>
    <row r="129" spans="1:6" x14ac:dyDescent="0.35">
      <c r="A129" t="s">
        <v>2719</v>
      </c>
      <c r="B129" t="s">
        <v>2720</v>
      </c>
      <c r="C129">
        <v>851002</v>
      </c>
      <c r="D129">
        <v>68080.160000000003</v>
      </c>
      <c r="E129" s="2">
        <v>45257</v>
      </c>
      <c r="F129" t="s">
        <v>1873</v>
      </c>
    </row>
    <row r="130" spans="1:6" x14ac:dyDescent="0.35">
      <c r="A130" t="s">
        <v>2721</v>
      </c>
      <c r="B130" t="s">
        <v>2722</v>
      </c>
      <c r="C130">
        <v>868857</v>
      </c>
      <c r="D130">
        <v>69508.56</v>
      </c>
      <c r="E130" s="2">
        <v>44963</v>
      </c>
      <c r="F130" t="s">
        <v>1873</v>
      </c>
    </row>
    <row r="131" spans="1:6" x14ac:dyDescent="0.35">
      <c r="A131" t="s">
        <v>2723</v>
      </c>
      <c r="B131" t="s">
        <v>2724</v>
      </c>
      <c r="C131">
        <v>858522</v>
      </c>
      <c r="D131">
        <v>68681.759999999995</v>
      </c>
      <c r="E131" s="2">
        <v>46288</v>
      </c>
      <c r="F131" t="s">
        <v>2472</v>
      </c>
    </row>
    <row r="132" spans="1:6" x14ac:dyDescent="0.35">
      <c r="A132" t="s">
        <v>2725</v>
      </c>
      <c r="B132" t="s">
        <v>2726</v>
      </c>
      <c r="C132">
        <v>544422</v>
      </c>
      <c r="D132">
        <v>43553.760000000002</v>
      </c>
      <c r="E132" s="2">
        <v>44604</v>
      </c>
      <c r="F132" t="s">
        <v>1873</v>
      </c>
    </row>
    <row r="133" spans="1:6" x14ac:dyDescent="0.35">
      <c r="A133" t="s">
        <v>2727</v>
      </c>
      <c r="B133" t="s">
        <v>2728</v>
      </c>
      <c r="C133">
        <v>1709317</v>
      </c>
      <c r="D133">
        <v>136745.35999999999</v>
      </c>
      <c r="E133" s="2">
        <v>45903</v>
      </c>
      <c r="F133" t="s">
        <v>1873</v>
      </c>
    </row>
    <row r="134" spans="1:6" x14ac:dyDescent="0.35">
      <c r="A134" t="s">
        <v>2729</v>
      </c>
      <c r="B134" t="s">
        <v>2730</v>
      </c>
      <c r="C134">
        <v>1539282</v>
      </c>
      <c r="D134">
        <v>123142.56</v>
      </c>
      <c r="E134" s="2">
        <v>44992</v>
      </c>
      <c r="F134" t="s">
        <v>2472</v>
      </c>
    </row>
    <row r="135" spans="1:6" x14ac:dyDescent="0.35">
      <c r="A135" t="s">
        <v>2731</v>
      </c>
      <c r="B135" t="s">
        <v>2732</v>
      </c>
      <c r="C135">
        <v>2033456</v>
      </c>
      <c r="D135">
        <v>162676.48000000001</v>
      </c>
      <c r="E135" s="2">
        <v>45053</v>
      </c>
      <c r="F135" t="s">
        <v>2472</v>
      </c>
    </row>
    <row r="136" spans="1:6" x14ac:dyDescent="0.35">
      <c r="A136" t="s">
        <v>2733</v>
      </c>
      <c r="B136" t="s">
        <v>2734</v>
      </c>
      <c r="C136">
        <v>1681750</v>
      </c>
      <c r="D136">
        <v>134540</v>
      </c>
      <c r="E136" s="2">
        <v>45915</v>
      </c>
      <c r="F136" t="s">
        <v>1873</v>
      </c>
    </row>
    <row r="137" spans="1:6" x14ac:dyDescent="0.35">
      <c r="A137" t="s">
        <v>2735</v>
      </c>
      <c r="B137" t="s">
        <v>2736</v>
      </c>
      <c r="C137">
        <v>2330090</v>
      </c>
      <c r="D137">
        <v>186407.2</v>
      </c>
      <c r="E137" s="2">
        <v>46198</v>
      </c>
      <c r="F137" t="s">
        <v>2472</v>
      </c>
    </row>
    <row r="138" spans="1:6" x14ac:dyDescent="0.35">
      <c r="A138" t="s">
        <v>2737</v>
      </c>
      <c r="B138" t="s">
        <v>2738</v>
      </c>
      <c r="C138">
        <v>394213</v>
      </c>
      <c r="D138">
        <v>31537.040000000001</v>
      </c>
      <c r="E138" s="2">
        <v>44804</v>
      </c>
      <c r="F138" t="s">
        <v>1873</v>
      </c>
    </row>
    <row r="139" spans="1:6" x14ac:dyDescent="0.35">
      <c r="A139" t="s">
        <v>2739</v>
      </c>
      <c r="B139" t="s">
        <v>1914</v>
      </c>
      <c r="C139">
        <v>668592</v>
      </c>
      <c r="D139">
        <v>53487.360000000001</v>
      </c>
      <c r="E139" s="2">
        <v>46189</v>
      </c>
      <c r="F139" t="s">
        <v>1873</v>
      </c>
    </row>
    <row r="140" spans="1:6" x14ac:dyDescent="0.35">
      <c r="A140" t="s">
        <v>2740</v>
      </c>
      <c r="B140" t="s">
        <v>2741</v>
      </c>
      <c r="C140">
        <v>923969</v>
      </c>
      <c r="D140">
        <v>73917.52</v>
      </c>
      <c r="E140" s="2">
        <v>45652</v>
      </c>
      <c r="F140" t="s">
        <v>2472</v>
      </c>
    </row>
    <row r="141" spans="1:6" x14ac:dyDescent="0.35">
      <c r="A141" t="s">
        <v>2742</v>
      </c>
      <c r="B141" t="s">
        <v>2743</v>
      </c>
      <c r="C141">
        <v>1689740</v>
      </c>
      <c r="D141">
        <v>135179.20000000001</v>
      </c>
      <c r="E141" s="2">
        <v>45213</v>
      </c>
      <c r="F141" t="s">
        <v>2472</v>
      </c>
    </row>
    <row r="142" spans="1:6" x14ac:dyDescent="0.35">
      <c r="A142" t="s">
        <v>2744</v>
      </c>
      <c r="B142" t="s">
        <v>2745</v>
      </c>
      <c r="C142">
        <v>1145715</v>
      </c>
      <c r="D142">
        <v>91657.2</v>
      </c>
      <c r="E142" s="2">
        <v>44656</v>
      </c>
      <c r="F142" t="s">
        <v>1873</v>
      </c>
    </row>
    <row r="143" spans="1:6" x14ac:dyDescent="0.35">
      <c r="A143" t="s">
        <v>2746</v>
      </c>
      <c r="B143" t="s">
        <v>2747</v>
      </c>
      <c r="C143">
        <v>2365917</v>
      </c>
      <c r="D143">
        <v>189273.36</v>
      </c>
      <c r="E143" s="2">
        <v>45164</v>
      </c>
      <c r="F143" t="s">
        <v>1873</v>
      </c>
    </row>
    <row r="144" spans="1:6" x14ac:dyDescent="0.35">
      <c r="A144" t="s">
        <v>2748</v>
      </c>
      <c r="B144" t="s">
        <v>2749</v>
      </c>
      <c r="C144">
        <v>1494392</v>
      </c>
      <c r="D144">
        <v>119551.36</v>
      </c>
      <c r="E144" s="2">
        <v>45068</v>
      </c>
      <c r="F144" t="s">
        <v>1873</v>
      </c>
    </row>
    <row r="145" spans="1:6" x14ac:dyDescent="0.35">
      <c r="A145" t="s">
        <v>2750</v>
      </c>
      <c r="B145" t="s">
        <v>2751</v>
      </c>
      <c r="C145">
        <v>1294712</v>
      </c>
      <c r="D145">
        <v>103576.96000000001</v>
      </c>
      <c r="E145" s="2">
        <v>46349</v>
      </c>
      <c r="F145" t="s">
        <v>1873</v>
      </c>
    </row>
    <row r="146" spans="1:6" x14ac:dyDescent="0.35">
      <c r="A146" t="s">
        <v>2752</v>
      </c>
      <c r="B146" t="s">
        <v>2753</v>
      </c>
      <c r="C146">
        <v>2251836</v>
      </c>
      <c r="D146">
        <v>180146.88</v>
      </c>
      <c r="E146" s="2">
        <v>45758</v>
      </c>
      <c r="F146" t="s">
        <v>2472</v>
      </c>
    </row>
    <row r="147" spans="1:6" x14ac:dyDescent="0.35">
      <c r="A147" t="s">
        <v>2754</v>
      </c>
      <c r="B147" t="s">
        <v>2755</v>
      </c>
      <c r="C147">
        <v>997605</v>
      </c>
      <c r="D147">
        <v>79808.399999999994</v>
      </c>
      <c r="E147" s="2">
        <v>46051</v>
      </c>
      <c r="F147" t="s">
        <v>1873</v>
      </c>
    </row>
    <row r="148" spans="1:6" x14ac:dyDescent="0.35">
      <c r="A148" t="s">
        <v>2756</v>
      </c>
      <c r="B148" t="s">
        <v>2757</v>
      </c>
      <c r="C148">
        <v>2094121</v>
      </c>
      <c r="D148">
        <v>167529.68</v>
      </c>
      <c r="E148" s="2">
        <v>46181</v>
      </c>
      <c r="F148" t="s">
        <v>1873</v>
      </c>
    </row>
    <row r="149" spans="1:6" x14ac:dyDescent="0.35">
      <c r="A149" t="s">
        <v>2758</v>
      </c>
      <c r="B149" t="s">
        <v>454</v>
      </c>
      <c r="C149">
        <v>822267</v>
      </c>
      <c r="D149">
        <v>65781.36</v>
      </c>
      <c r="E149" s="2">
        <v>45603</v>
      </c>
      <c r="F149" t="s">
        <v>2472</v>
      </c>
    </row>
    <row r="150" spans="1:6" x14ac:dyDescent="0.35">
      <c r="A150" t="s">
        <v>2759</v>
      </c>
      <c r="B150" t="s">
        <v>2760</v>
      </c>
      <c r="C150">
        <v>2255565</v>
      </c>
      <c r="D150">
        <v>180445.2</v>
      </c>
      <c r="E150" s="2">
        <v>45328</v>
      </c>
      <c r="F150" t="s">
        <v>2472</v>
      </c>
    </row>
    <row r="151" spans="1:6" x14ac:dyDescent="0.35">
      <c r="A151" t="s">
        <v>2761</v>
      </c>
      <c r="B151" t="s">
        <v>2762</v>
      </c>
      <c r="C151">
        <v>2296392</v>
      </c>
      <c r="D151">
        <v>183711.35999999999</v>
      </c>
      <c r="E151" s="2">
        <v>45512</v>
      </c>
      <c r="F151" t="s">
        <v>1873</v>
      </c>
    </row>
    <row r="152" spans="1:6" x14ac:dyDescent="0.35">
      <c r="A152" t="s">
        <v>2763</v>
      </c>
      <c r="B152" t="s">
        <v>2764</v>
      </c>
      <c r="C152">
        <v>1469824</v>
      </c>
      <c r="D152">
        <v>117585.92</v>
      </c>
      <c r="E152" s="2">
        <v>46021</v>
      </c>
      <c r="F152" t="s">
        <v>2472</v>
      </c>
    </row>
    <row r="153" spans="1:6" x14ac:dyDescent="0.35">
      <c r="A153" t="s">
        <v>2765</v>
      </c>
      <c r="B153" t="s">
        <v>2766</v>
      </c>
      <c r="C153">
        <v>2324004</v>
      </c>
      <c r="D153">
        <v>185920.32</v>
      </c>
      <c r="E153" s="2">
        <v>45984</v>
      </c>
      <c r="F153" t="s">
        <v>2472</v>
      </c>
    </row>
    <row r="154" spans="1:6" x14ac:dyDescent="0.35">
      <c r="A154" t="s">
        <v>2767</v>
      </c>
      <c r="B154" t="s">
        <v>2768</v>
      </c>
      <c r="C154">
        <v>2195308</v>
      </c>
      <c r="D154">
        <v>175624.64</v>
      </c>
      <c r="E154" s="2">
        <v>45532</v>
      </c>
      <c r="F154" t="s">
        <v>2472</v>
      </c>
    </row>
    <row r="155" spans="1:6" x14ac:dyDescent="0.35">
      <c r="A155" t="s">
        <v>2769</v>
      </c>
      <c r="B155" t="s">
        <v>2770</v>
      </c>
      <c r="C155">
        <v>1801689</v>
      </c>
      <c r="D155">
        <v>144135.12</v>
      </c>
      <c r="E155" s="2">
        <v>45868</v>
      </c>
      <c r="F155" t="s">
        <v>1873</v>
      </c>
    </row>
    <row r="156" spans="1:6" x14ac:dyDescent="0.35">
      <c r="A156" t="s">
        <v>2771</v>
      </c>
      <c r="B156" t="s">
        <v>2772</v>
      </c>
      <c r="C156">
        <v>989058</v>
      </c>
      <c r="D156">
        <v>79124.639999999999</v>
      </c>
      <c r="E156" s="2">
        <v>45011</v>
      </c>
      <c r="F156" t="s">
        <v>1873</v>
      </c>
    </row>
    <row r="157" spans="1:6" x14ac:dyDescent="0.35">
      <c r="A157" t="s">
        <v>2773</v>
      </c>
      <c r="B157" t="s">
        <v>2774</v>
      </c>
      <c r="C157">
        <v>2016161</v>
      </c>
      <c r="D157">
        <v>161292.88</v>
      </c>
      <c r="E157" s="2">
        <v>46329</v>
      </c>
      <c r="F157" t="s">
        <v>1873</v>
      </c>
    </row>
    <row r="158" spans="1:6" x14ac:dyDescent="0.35">
      <c r="A158" t="s">
        <v>2775</v>
      </c>
      <c r="B158" t="s">
        <v>2776</v>
      </c>
      <c r="C158">
        <v>1780524</v>
      </c>
      <c r="D158">
        <v>142441.92000000001</v>
      </c>
      <c r="E158" s="2">
        <v>45009</v>
      </c>
      <c r="F158" t="s">
        <v>2472</v>
      </c>
    </row>
    <row r="159" spans="1:6" x14ac:dyDescent="0.35">
      <c r="A159" t="s">
        <v>2777</v>
      </c>
      <c r="B159" t="s">
        <v>2778</v>
      </c>
      <c r="C159">
        <v>1902675</v>
      </c>
      <c r="D159">
        <v>152214</v>
      </c>
      <c r="E159" s="2">
        <v>46382</v>
      </c>
      <c r="F159" t="s">
        <v>2472</v>
      </c>
    </row>
    <row r="160" spans="1:6" x14ac:dyDescent="0.35">
      <c r="A160" t="s">
        <v>2779</v>
      </c>
      <c r="B160" t="s">
        <v>2780</v>
      </c>
      <c r="C160">
        <v>779383</v>
      </c>
      <c r="D160">
        <v>62350.64</v>
      </c>
      <c r="E160" s="2">
        <v>46287</v>
      </c>
      <c r="F160" t="s">
        <v>2472</v>
      </c>
    </row>
    <row r="161" spans="1:6" x14ac:dyDescent="0.35">
      <c r="A161" t="s">
        <v>2781</v>
      </c>
      <c r="B161" t="s">
        <v>2782</v>
      </c>
      <c r="C161">
        <v>1187573</v>
      </c>
      <c r="D161">
        <v>95005.84</v>
      </c>
      <c r="E161" s="2">
        <v>45689</v>
      </c>
      <c r="F161" t="s">
        <v>1873</v>
      </c>
    </row>
    <row r="162" spans="1:6" x14ac:dyDescent="0.35">
      <c r="A162" t="s">
        <v>2783</v>
      </c>
      <c r="B162" t="s">
        <v>2784</v>
      </c>
      <c r="C162">
        <v>683422</v>
      </c>
      <c r="D162">
        <v>54673.760000000002</v>
      </c>
      <c r="E162" s="2">
        <v>46101</v>
      </c>
      <c r="F162" t="s">
        <v>1873</v>
      </c>
    </row>
    <row r="163" spans="1:6" x14ac:dyDescent="0.35">
      <c r="A163" t="s">
        <v>2785</v>
      </c>
      <c r="B163" t="s">
        <v>2786</v>
      </c>
      <c r="C163">
        <v>1357521</v>
      </c>
      <c r="D163">
        <v>108601.68</v>
      </c>
      <c r="E163" s="2">
        <v>45472</v>
      </c>
      <c r="F163" t="s">
        <v>2472</v>
      </c>
    </row>
    <row r="164" spans="1:6" x14ac:dyDescent="0.35">
      <c r="A164" t="s">
        <v>2787</v>
      </c>
      <c r="B164" t="s">
        <v>1550</v>
      </c>
      <c r="C164">
        <v>1085434</v>
      </c>
      <c r="D164">
        <v>86834.72</v>
      </c>
      <c r="E164" s="2">
        <v>45757</v>
      </c>
      <c r="F164" t="s">
        <v>1873</v>
      </c>
    </row>
    <row r="165" spans="1:6" x14ac:dyDescent="0.35">
      <c r="A165" t="s">
        <v>2788</v>
      </c>
      <c r="B165" t="s">
        <v>2789</v>
      </c>
      <c r="C165">
        <v>2071412</v>
      </c>
      <c r="D165">
        <v>165712.95999999999</v>
      </c>
      <c r="E165" s="2">
        <v>45611</v>
      </c>
      <c r="F165" t="s">
        <v>2472</v>
      </c>
    </row>
    <row r="166" spans="1:6" x14ac:dyDescent="0.35">
      <c r="A166" t="s">
        <v>2790</v>
      </c>
      <c r="B166" t="s">
        <v>2791</v>
      </c>
      <c r="C166">
        <v>1907202</v>
      </c>
      <c r="D166">
        <v>152576.16</v>
      </c>
      <c r="E166" s="2">
        <v>45485</v>
      </c>
      <c r="F166" t="s">
        <v>2472</v>
      </c>
    </row>
    <row r="167" spans="1:6" x14ac:dyDescent="0.35">
      <c r="A167" t="s">
        <v>2792</v>
      </c>
      <c r="B167" t="s">
        <v>2793</v>
      </c>
      <c r="C167">
        <v>1934060</v>
      </c>
      <c r="D167">
        <v>154724.79999999999</v>
      </c>
      <c r="E167" s="2">
        <v>45399</v>
      </c>
      <c r="F167" t="s">
        <v>2472</v>
      </c>
    </row>
    <row r="168" spans="1:6" x14ac:dyDescent="0.35">
      <c r="A168" t="s">
        <v>2794</v>
      </c>
      <c r="B168" t="s">
        <v>2795</v>
      </c>
      <c r="C168">
        <v>2206846</v>
      </c>
      <c r="D168">
        <v>176547.68</v>
      </c>
      <c r="E168" s="2">
        <v>45211</v>
      </c>
      <c r="F168" t="s">
        <v>2472</v>
      </c>
    </row>
    <row r="169" spans="1:6" x14ac:dyDescent="0.35">
      <c r="A169" t="s">
        <v>2796</v>
      </c>
      <c r="B169" t="s">
        <v>2797</v>
      </c>
      <c r="C169">
        <v>1723779</v>
      </c>
      <c r="D169">
        <v>137902.32</v>
      </c>
      <c r="E169" s="2">
        <v>44612</v>
      </c>
      <c r="F169" t="s">
        <v>1873</v>
      </c>
    </row>
    <row r="170" spans="1:6" x14ac:dyDescent="0.35">
      <c r="A170" t="s">
        <v>2798</v>
      </c>
      <c r="B170" t="s">
        <v>2799</v>
      </c>
      <c r="C170">
        <v>1972575</v>
      </c>
      <c r="D170">
        <v>157806</v>
      </c>
      <c r="E170" s="2">
        <v>45040</v>
      </c>
      <c r="F170" t="s">
        <v>2472</v>
      </c>
    </row>
    <row r="171" spans="1:6" x14ac:dyDescent="0.35">
      <c r="A171" t="s">
        <v>2800</v>
      </c>
      <c r="B171" t="s">
        <v>2801</v>
      </c>
      <c r="C171">
        <v>438299</v>
      </c>
      <c r="D171">
        <v>35063.919999999998</v>
      </c>
      <c r="E171" s="2">
        <v>45297</v>
      </c>
      <c r="F171" t="s">
        <v>1873</v>
      </c>
    </row>
    <row r="172" spans="1:6" x14ac:dyDescent="0.35">
      <c r="A172" t="s">
        <v>2802</v>
      </c>
      <c r="B172" t="s">
        <v>2803</v>
      </c>
      <c r="C172">
        <v>1355297</v>
      </c>
      <c r="D172">
        <v>108423.76</v>
      </c>
      <c r="E172" s="2">
        <v>46287</v>
      </c>
      <c r="F172" t="s">
        <v>1873</v>
      </c>
    </row>
    <row r="173" spans="1:6" x14ac:dyDescent="0.35">
      <c r="A173" t="s">
        <v>2804</v>
      </c>
      <c r="B173" t="s">
        <v>2805</v>
      </c>
      <c r="C173">
        <v>1279410</v>
      </c>
      <c r="D173">
        <v>102352.8</v>
      </c>
      <c r="E173" s="2">
        <v>45028</v>
      </c>
      <c r="F173" t="s">
        <v>1873</v>
      </c>
    </row>
    <row r="174" spans="1:6" x14ac:dyDescent="0.35">
      <c r="A174" t="s">
        <v>2806</v>
      </c>
      <c r="B174" t="s">
        <v>2807</v>
      </c>
      <c r="C174">
        <v>617393</v>
      </c>
      <c r="D174">
        <v>49391.44</v>
      </c>
      <c r="E174" s="2">
        <v>44708</v>
      </c>
      <c r="F174" t="s">
        <v>2472</v>
      </c>
    </row>
    <row r="175" spans="1:6" x14ac:dyDescent="0.35">
      <c r="A175" t="s">
        <v>2808</v>
      </c>
      <c r="B175" t="s">
        <v>2809</v>
      </c>
      <c r="C175">
        <v>280563</v>
      </c>
      <c r="D175">
        <v>22445.040000000001</v>
      </c>
      <c r="E175" s="2">
        <v>45680</v>
      </c>
      <c r="F175" t="s">
        <v>1873</v>
      </c>
    </row>
    <row r="176" spans="1:6" x14ac:dyDescent="0.35">
      <c r="A176" t="s">
        <v>2810</v>
      </c>
      <c r="B176" t="s">
        <v>2811</v>
      </c>
      <c r="C176">
        <v>1519881</v>
      </c>
      <c r="D176">
        <v>121590.48</v>
      </c>
      <c r="E176" s="2">
        <v>44964</v>
      </c>
      <c r="F176" t="s">
        <v>2472</v>
      </c>
    </row>
    <row r="177" spans="1:6" x14ac:dyDescent="0.35">
      <c r="A177" t="s">
        <v>2812</v>
      </c>
      <c r="B177" t="s">
        <v>2813</v>
      </c>
      <c r="C177">
        <v>1168675</v>
      </c>
      <c r="D177">
        <v>93494</v>
      </c>
      <c r="E177" s="2">
        <v>45181</v>
      </c>
      <c r="F177" t="s">
        <v>2472</v>
      </c>
    </row>
    <row r="178" spans="1:6" x14ac:dyDescent="0.35">
      <c r="A178" t="s">
        <v>2814</v>
      </c>
      <c r="B178" t="s">
        <v>2815</v>
      </c>
      <c r="C178">
        <v>919612</v>
      </c>
      <c r="D178">
        <v>73568.960000000006</v>
      </c>
      <c r="E178" s="2">
        <v>46007</v>
      </c>
      <c r="F178" t="s">
        <v>1873</v>
      </c>
    </row>
    <row r="179" spans="1:6" x14ac:dyDescent="0.35">
      <c r="A179" t="s">
        <v>2816</v>
      </c>
      <c r="B179" t="s">
        <v>2817</v>
      </c>
      <c r="C179">
        <v>2398034</v>
      </c>
      <c r="D179">
        <v>191842.72</v>
      </c>
      <c r="E179" s="2">
        <v>45096</v>
      </c>
      <c r="F179" t="s">
        <v>1873</v>
      </c>
    </row>
    <row r="180" spans="1:6" x14ac:dyDescent="0.35">
      <c r="A180" t="s">
        <v>2818</v>
      </c>
      <c r="B180" t="s">
        <v>2819</v>
      </c>
      <c r="C180">
        <v>1376085</v>
      </c>
      <c r="D180">
        <v>110086.8</v>
      </c>
      <c r="E180" s="2">
        <v>45139</v>
      </c>
      <c r="F180" t="s">
        <v>2472</v>
      </c>
    </row>
    <row r="181" spans="1:6" x14ac:dyDescent="0.35">
      <c r="A181" t="s">
        <v>2820</v>
      </c>
      <c r="B181" t="s">
        <v>2821</v>
      </c>
      <c r="C181">
        <v>1813706</v>
      </c>
      <c r="D181">
        <v>145096.48000000001</v>
      </c>
      <c r="E181" s="2">
        <v>45392</v>
      </c>
      <c r="F181" t="s">
        <v>1873</v>
      </c>
    </row>
    <row r="182" spans="1:6" x14ac:dyDescent="0.35">
      <c r="A182" t="s">
        <v>2822</v>
      </c>
      <c r="B182" t="s">
        <v>2823</v>
      </c>
      <c r="C182">
        <v>2099728</v>
      </c>
      <c r="D182">
        <v>167978.23999999999</v>
      </c>
      <c r="E182" s="2">
        <v>45901</v>
      </c>
      <c r="F182" t="s">
        <v>1873</v>
      </c>
    </row>
    <row r="183" spans="1:6" x14ac:dyDescent="0.35">
      <c r="A183" t="s">
        <v>2824</v>
      </c>
      <c r="B183" t="s">
        <v>2825</v>
      </c>
      <c r="C183">
        <v>1787258</v>
      </c>
      <c r="D183">
        <v>142980.64000000001</v>
      </c>
      <c r="E183" s="2">
        <v>45028</v>
      </c>
      <c r="F183" t="s">
        <v>1873</v>
      </c>
    </row>
    <row r="184" spans="1:6" x14ac:dyDescent="0.35">
      <c r="A184" t="s">
        <v>2826</v>
      </c>
      <c r="B184" t="s">
        <v>2827</v>
      </c>
      <c r="C184">
        <v>1000279</v>
      </c>
      <c r="D184">
        <v>80022.320000000007</v>
      </c>
      <c r="E184" s="2">
        <v>45533</v>
      </c>
      <c r="F184" t="s">
        <v>1873</v>
      </c>
    </row>
    <row r="185" spans="1:6" x14ac:dyDescent="0.35">
      <c r="A185" t="s">
        <v>2828</v>
      </c>
      <c r="B185" t="s">
        <v>2829</v>
      </c>
      <c r="C185">
        <v>2283528</v>
      </c>
      <c r="D185">
        <v>182682.23999999999</v>
      </c>
      <c r="E185" s="2">
        <v>45764</v>
      </c>
      <c r="F185" t="s">
        <v>2472</v>
      </c>
    </row>
    <row r="186" spans="1:6" x14ac:dyDescent="0.35">
      <c r="A186" t="s">
        <v>2830</v>
      </c>
      <c r="B186" t="s">
        <v>2831</v>
      </c>
      <c r="C186">
        <v>2055256</v>
      </c>
      <c r="D186">
        <v>164420.48000000001</v>
      </c>
      <c r="E186" s="2">
        <v>45259</v>
      </c>
      <c r="F186" t="s">
        <v>1873</v>
      </c>
    </row>
    <row r="187" spans="1:6" x14ac:dyDescent="0.35">
      <c r="A187" t="s">
        <v>2832</v>
      </c>
      <c r="B187" t="s">
        <v>2833</v>
      </c>
      <c r="C187">
        <v>1433131</v>
      </c>
      <c r="D187">
        <v>114650.48</v>
      </c>
      <c r="E187" s="2">
        <v>46294</v>
      </c>
      <c r="F187" t="s">
        <v>1873</v>
      </c>
    </row>
    <row r="188" spans="1:6" x14ac:dyDescent="0.35">
      <c r="A188" t="s">
        <v>2834</v>
      </c>
      <c r="B188" t="s">
        <v>2835</v>
      </c>
      <c r="C188">
        <v>1918488</v>
      </c>
      <c r="D188">
        <v>153479.04000000001</v>
      </c>
      <c r="E188" s="2">
        <v>46139</v>
      </c>
      <c r="F188" t="s">
        <v>2472</v>
      </c>
    </row>
    <row r="189" spans="1:6" x14ac:dyDescent="0.35">
      <c r="A189" t="s">
        <v>2836</v>
      </c>
      <c r="B189" t="s">
        <v>2837</v>
      </c>
      <c r="C189">
        <v>999062</v>
      </c>
      <c r="D189">
        <v>79924.960000000006</v>
      </c>
      <c r="E189" s="2">
        <v>45460</v>
      </c>
      <c r="F189" t="s">
        <v>2472</v>
      </c>
    </row>
    <row r="190" spans="1:6" x14ac:dyDescent="0.35">
      <c r="A190" t="s">
        <v>2838</v>
      </c>
      <c r="B190" t="s">
        <v>2839</v>
      </c>
      <c r="C190">
        <v>2462295</v>
      </c>
      <c r="D190">
        <v>196983.6</v>
      </c>
      <c r="E190" s="2">
        <v>44623</v>
      </c>
      <c r="F190" t="s">
        <v>2472</v>
      </c>
    </row>
    <row r="191" spans="1:6" x14ac:dyDescent="0.35">
      <c r="A191" t="s">
        <v>2840</v>
      </c>
      <c r="B191" t="s">
        <v>2841</v>
      </c>
      <c r="C191">
        <v>702799</v>
      </c>
      <c r="D191">
        <v>56223.92</v>
      </c>
      <c r="E191" s="2">
        <v>45744</v>
      </c>
      <c r="F191" t="s">
        <v>1873</v>
      </c>
    </row>
    <row r="192" spans="1:6" x14ac:dyDescent="0.35">
      <c r="A192" t="s">
        <v>2842</v>
      </c>
      <c r="B192" t="s">
        <v>2843</v>
      </c>
      <c r="C192">
        <v>1401661</v>
      </c>
      <c r="D192">
        <v>112132.88</v>
      </c>
      <c r="E192" s="2">
        <v>46073</v>
      </c>
      <c r="F192" t="s">
        <v>1873</v>
      </c>
    </row>
    <row r="193" spans="1:6" x14ac:dyDescent="0.35">
      <c r="A193" t="s">
        <v>2844</v>
      </c>
      <c r="B193" t="s">
        <v>2845</v>
      </c>
      <c r="C193">
        <v>2216314</v>
      </c>
      <c r="D193">
        <v>177305.12</v>
      </c>
      <c r="E193" s="2">
        <v>46221</v>
      </c>
      <c r="F193" t="s">
        <v>2472</v>
      </c>
    </row>
    <row r="194" spans="1:6" x14ac:dyDescent="0.35">
      <c r="A194" t="s">
        <v>2846</v>
      </c>
      <c r="B194" t="s">
        <v>2847</v>
      </c>
      <c r="C194">
        <v>1545317</v>
      </c>
      <c r="D194">
        <v>123625.36</v>
      </c>
      <c r="E194" s="2">
        <v>45023</v>
      </c>
      <c r="F194" t="s">
        <v>2472</v>
      </c>
    </row>
    <row r="195" spans="1:6" x14ac:dyDescent="0.35">
      <c r="A195" t="s">
        <v>2848</v>
      </c>
      <c r="B195" t="s">
        <v>2849</v>
      </c>
      <c r="C195">
        <v>1905596</v>
      </c>
      <c r="D195">
        <v>152447.67999999999</v>
      </c>
      <c r="E195" s="2">
        <v>45966</v>
      </c>
      <c r="F195" t="s">
        <v>2472</v>
      </c>
    </row>
    <row r="196" spans="1:6" x14ac:dyDescent="0.35">
      <c r="A196" t="s">
        <v>2850</v>
      </c>
      <c r="B196" t="s">
        <v>2851</v>
      </c>
      <c r="C196">
        <v>2374874</v>
      </c>
      <c r="D196">
        <v>189989.92</v>
      </c>
      <c r="E196" s="2">
        <v>45175</v>
      </c>
      <c r="F196" t="s">
        <v>2472</v>
      </c>
    </row>
    <row r="197" spans="1:6" x14ac:dyDescent="0.35">
      <c r="A197" t="s">
        <v>2852</v>
      </c>
      <c r="B197" t="s">
        <v>2853</v>
      </c>
      <c r="C197">
        <v>217474</v>
      </c>
      <c r="D197">
        <v>17397.919999999998</v>
      </c>
      <c r="E197" s="2">
        <v>45724</v>
      </c>
      <c r="F197" t="s">
        <v>1873</v>
      </c>
    </row>
    <row r="198" spans="1:6" x14ac:dyDescent="0.35">
      <c r="A198" t="s">
        <v>2854</v>
      </c>
      <c r="B198" t="s">
        <v>2855</v>
      </c>
      <c r="C198">
        <v>703573</v>
      </c>
      <c r="D198">
        <v>56285.84</v>
      </c>
      <c r="E198" s="2">
        <v>44876</v>
      </c>
      <c r="F198" t="s">
        <v>2472</v>
      </c>
    </row>
    <row r="199" spans="1:6" x14ac:dyDescent="0.35">
      <c r="A199" t="s">
        <v>2856</v>
      </c>
      <c r="B199" t="s">
        <v>2857</v>
      </c>
      <c r="C199">
        <v>1759494</v>
      </c>
      <c r="D199">
        <v>140759.51999999999</v>
      </c>
      <c r="E199" s="2">
        <v>45342</v>
      </c>
      <c r="F199" t="s">
        <v>1873</v>
      </c>
    </row>
    <row r="200" spans="1:6" x14ac:dyDescent="0.35">
      <c r="A200" t="s">
        <v>2858</v>
      </c>
      <c r="B200" t="s">
        <v>2859</v>
      </c>
      <c r="C200">
        <v>1758446</v>
      </c>
      <c r="D200">
        <v>140675.68</v>
      </c>
      <c r="E200" s="2">
        <v>44692</v>
      </c>
      <c r="F200" t="s">
        <v>2472</v>
      </c>
    </row>
    <row r="201" spans="1:6" x14ac:dyDescent="0.35">
      <c r="A201" t="s">
        <v>2860</v>
      </c>
      <c r="B201" t="s">
        <v>826</v>
      </c>
      <c r="C201">
        <v>909949</v>
      </c>
      <c r="D201">
        <v>72795.92</v>
      </c>
      <c r="E201" s="2">
        <v>45534</v>
      </c>
      <c r="F201" t="s">
        <v>1873</v>
      </c>
    </row>
    <row r="202" spans="1:6" x14ac:dyDescent="0.35">
      <c r="A202" t="s">
        <v>2861</v>
      </c>
      <c r="B202" t="s">
        <v>2862</v>
      </c>
      <c r="C202">
        <v>1499260</v>
      </c>
      <c r="D202">
        <v>119940.8</v>
      </c>
      <c r="E202" s="2">
        <v>45728</v>
      </c>
      <c r="F202" t="s">
        <v>2472</v>
      </c>
    </row>
    <row r="203" spans="1:6" x14ac:dyDescent="0.35">
      <c r="A203" t="s">
        <v>2863</v>
      </c>
      <c r="B203" t="s">
        <v>2864</v>
      </c>
      <c r="C203">
        <v>1397775</v>
      </c>
      <c r="D203">
        <v>111822</v>
      </c>
      <c r="E203" s="2">
        <v>44752</v>
      </c>
      <c r="F203" t="s">
        <v>1873</v>
      </c>
    </row>
    <row r="204" spans="1:6" x14ac:dyDescent="0.35">
      <c r="A204" t="s">
        <v>2865</v>
      </c>
      <c r="B204" t="s">
        <v>2866</v>
      </c>
      <c r="C204">
        <v>557521</v>
      </c>
      <c r="D204">
        <v>44601.68</v>
      </c>
      <c r="E204" s="2">
        <v>45944</v>
      </c>
      <c r="F204" t="s">
        <v>1873</v>
      </c>
    </row>
    <row r="205" spans="1:6" x14ac:dyDescent="0.35">
      <c r="A205" t="s">
        <v>2867</v>
      </c>
      <c r="B205" t="s">
        <v>2868</v>
      </c>
      <c r="C205">
        <v>254465</v>
      </c>
      <c r="D205">
        <v>20357.2</v>
      </c>
      <c r="E205" s="2">
        <v>46254</v>
      </c>
      <c r="F205" t="s">
        <v>2472</v>
      </c>
    </row>
    <row r="206" spans="1:6" x14ac:dyDescent="0.35">
      <c r="A206" t="s">
        <v>2869</v>
      </c>
      <c r="B206" t="s">
        <v>2870</v>
      </c>
      <c r="C206">
        <v>232568</v>
      </c>
      <c r="D206">
        <v>18605.439999999999</v>
      </c>
      <c r="E206" s="2">
        <v>44944</v>
      </c>
      <c r="F206" t="s">
        <v>1873</v>
      </c>
    </row>
    <row r="207" spans="1:6" x14ac:dyDescent="0.35">
      <c r="A207" t="s">
        <v>2871</v>
      </c>
      <c r="B207" t="s">
        <v>2872</v>
      </c>
      <c r="C207">
        <v>411466</v>
      </c>
      <c r="D207">
        <v>32917.279999999999</v>
      </c>
      <c r="E207" s="2">
        <v>45352</v>
      </c>
      <c r="F207" t="s">
        <v>2472</v>
      </c>
    </row>
    <row r="208" spans="1:6" x14ac:dyDescent="0.35">
      <c r="A208" t="s">
        <v>2873</v>
      </c>
      <c r="B208" t="s">
        <v>2874</v>
      </c>
      <c r="C208">
        <v>983574</v>
      </c>
      <c r="D208">
        <v>78685.919999999998</v>
      </c>
      <c r="E208" s="2">
        <v>45039</v>
      </c>
      <c r="F208" t="s">
        <v>2472</v>
      </c>
    </row>
    <row r="209" spans="1:6" x14ac:dyDescent="0.35">
      <c r="A209" t="s">
        <v>2875</v>
      </c>
      <c r="B209" t="s">
        <v>2876</v>
      </c>
      <c r="C209">
        <v>2319474</v>
      </c>
      <c r="D209">
        <v>185557.92</v>
      </c>
      <c r="E209" s="2">
        <v>44705</v>
      </c>
      <c r="F209" t="s">
        <v>2472</v>
      </c>
    </row>
    <row r="210" spans="1:6" x14ac:dyDescent="0.35">
      <c r="A210" t="s">
        <v>2877</v>
      </c>
      <c r="B210" t="s">
        <v>2878</v>
      </c>
      <c r="C210">
        <v>360976</v>
      </c>
      <c r="D210">
        <v>28878.080000000002</v>
      </c>
      <c r="E210" s="2">
        <v>45316</v>
      </c>
      <c r="F210" t="s">
        <v>1873</v>
      </c>
    </row>
    <row r="211" spans="1:6" x14ac:dyDescent="0.35">
      <c r="A211" t="s">
        <v>2879</v>
      </c>
      <c r="B211" t="s">
        <v>2880</v>
      </c>
      <c r="C211">
        <v>840689</v>
      </c>
      <c r="D211">
        <v>67255.12</v>
      </c>
      <c r="E211" s="2">
        <v>45231</v>
      </c>
      <c r="F211" t="s">
        <v>2472</v>
      </c>
    </row>
    <row r="212" spans="1:6" x14ac:dyDescent="0.35">
      <c r="A212" t="s">
        <v>2881</v>
      </c>
      <c r="B212" t="s">
        <v>2882</v>
      </c>
      <c r="C212">
        <v>1760414</v>
      </c>
      <c r="D212">
        <v>140833.12</v>
      </c>
      <c r="E212" s="2">
        <v>44883</v>
      </c>
      <c r="F212" t="s">
        <v>1873</v>
      </c>
    </row>
    <row r="213" spans="1:6" x14ac:dyDescent="0.35">
      <c r="A213" t="s">
        <v>2883</v>
      </c>
      <c r="B213" t="s">
        <v>2884</v>
      </c>
      <c r="C213">
        <v>661642</v>
      </c>
      <c r="D213">
        <v>52931.360000000001</v>
      </c>
      <c r="E213" s="2">
        <v>45660</v>
      </c>
      <c r="F213" t="s">
        <v>2472</v>
      </c>
    </row>
    <row r="214" spans="1:6" x14ac:dyDescent="0.35">
      <c r="A214" t="s">
        <v>2885</v>
      </c>
      <c r="B214" t="s">
        <v>2886</v>
      </c>
      <c r="C214">
        <v>2125930</v>
      </c>
      <c r="D214">
        <v>170074.4</v>
      </c>
      <c r="E214" s="2">
        <v>46083</v>
      </c>
      <c r="F214" t="s">
        <v>1873</v>
      </c>
    </row>
    <row r="215" spans="1:6" x14ac:dyDescent="0.35">
      <c r="A215" t="s">
        <v>2887</v>
      </c>
      <c r="B215" t="s">
        <v>2888</v>
      </c>
      <c r="C215">
        <v>1751554</v>
      </c>
      <c r="D215">
        <v>140124.32</v>
      </c>
      <c r="E215" s="2">
        <v>46334</v>
      </c>
      <c r="F215" t="s">
        <v>1873</v>
      </c>
    </row>
    <row r="216" spans="1:6" x14ac:dyDescent="0.35">
      <c r="A216" t="s">
        <v>2889</v>
      </c>
      <c r="B216" t="s">
        <v>2890</v>
      </c>
      <c r="C216">
        <v>664975</v>
      </c>
      <c r="D216">
        <v>53198</v>
      </c>
      <c r="E216" s="2">
        <v>46344</v>
      </c>
      <c r="F216" t="s">
        <v>1873</v>
      </c>
    </row>
    <row r="217" spans="1:6" x14ac:dyDescent="0.35">
      <c r="A217" t="s">
        <v>2891</v>
      </c>
      <c r="B217" t="s">
        <v>2892</v>
      </c>
      <c r="C217">
        <v>1419215</v>
      </c>
      <c r="D217">
        <v>113537.2</v>
      </c>
      <c r="E217" s="2">
        <v>45447</v>
      </c>
      <c r="F217" t="s">
        <v>2472</v>
      </c>
    </row>
    <row r="218" spans="1:6" x14ac:dyDescent="0.35">
      <c r="A218" t="s">
        <v>2893</v>
      </c>
      <c r="B218" t="s">
        <v>2894</v>
      </c>
      <c r="C218">
        <v>785976</v>
      </c>
      <c r="D218">
        <v>62878.080000000002</v>
      </c>
      <c r="E218" s="2">
        <v>45798</v>
      </c>
      <c r="F218" t="s">
        <v>2472</v>
      </c>
    </row>
    <row r="219" spans="1:6" x14ac:dyDescent="0.35">
      <c r="A219" t="s">
        <v>2895</v>
      </c>
      <c r="B219" t="s">
        <v>2896</v>
      </c>
      <c r="C219">
        <v>971329</v>
      </c>
      <c r="D219">
        <v>77706.320000000007</v>
      </c>
      <c r="E219" s="2">
        <v>45591</v>
      </c>
      <c r="F219" t="s">
        <v>2472</v>
      </c>
    </row>
    <row r="220" spans="1:6" x14ac:dyDescent="0.35">
      <c r="A220" t="s">
        <v>2897</v>
      </c>
      <c r="B220" t="s">
        <v>2898</v>
      </c>
      <c r="C220">
        <v>1275283</v>
      </c>
      <c r="D220">
        <v>102022.64</v>
      </c>
      <c r="E220" s="2">
        <v>44975</v>
      </c>
      <c r="F220" t="s">
        <v>1873</v>
      </c>
    </row>
    <row r="221" spans="1:6" x14ac:dyDescent="0.35">
      <c r="A221" t="s">
        <v>2899</v>
      </c>
      <c r="B221" t="s">
        <v>2900</v>
      </c>
      <c r="C221">
        <v>718493</v>
      </c>
      <c r="D221">
        <v>57479.44</v>
      </c>
      <c r="E221" s="2">
        <v>45474</v>
      </c>
      <c r="F221" t="s">
        <v>1873</v>
      </c>
    </row>
    <row r="222" spans="1:6" x14ac:dyDescent="0.35">
      <c r="A222" t="s">
        <v>2901</v>
      </c>
      <c r="B222" t="s">
        <v>2902</v>
      </c>
      <c r="C222">
        <v>1794520</v>
      </c>
      <c r="D222">
        <v>143561.60000000001</v>
      </c>
      <c r="E222" s="2">
        <v>45800</v>
      </c>
      <c r="F222" t="s">
        <v>1873</v>
      </c>
    </row>
    <row r="223" spans="1:6" x14ac:dyDescent="0.35">
      <c r="A223" t="s">
        <v>2903</v>
      </c>
      <c r="B223" t="s">
        <v>2904</v>
      </c>
      <c r="C223">
        <v>2325602</v>
      </c>
      <c r="D223">
        <v>186048.16</v>
      </c>
      <c r="E223" s="2">
        <v>45235</v>
      </c>
      <c r="F223" t="s">
        <v>2472</v>
      </c>
    </row>
    <row r="224" spans="1:6" x14ac:dyDescent="0.35">
      <c r="A224" t="s">
        <v>2905</v>
      </c>
      <c r="B224" t="s">
        <v>2906</v>
      </c>
      <c r="C224">
        <v>2050237</v>
      </c>
      <c r="D224">
        <v>164018.96</v>
      </c>
      <c r="E224" s="2">
        <v>45509</v>
      </c>
      <c r="F224" t="s">
        <v>1873</v>
      </c>
    </row>
    <row r="225" spans="1:6" x14ac:dyDescent="0.35">
      <c r="A225" t="s">
        <v>2907</v>
      </c>
      <c r="B225" t="s">
        <v>2908</v>
      </c>
      <c r="C225">
        <v>502112</v>
      </c>
      <c r="D225">
        <v>40168.959999999999</v>
      </c>
      <c r="E225" s="2">
        <v>45151</v>
      </c>
      <c r="F225" t="s">
        <v>2472</v>
      </c>
    </row>
    <row r="226" spans="1:6" x14ac:dyDescent="0.35">
      <c r="A226" t="s">
        <v>2909</v>
      </c>
      <c r="B226" t="s">
        <v>2910</v>
      </c>
      <c r="C226">
        <v>1574508</v>
      </c>
      <c r="D226">
        <v>125960.64</v>
      </c>
      <c r="E226" s="2">
        <v>45996</v>
      </c>
      <c r="F226" t="s">
        <v>2472</v>
      </c>
    </row>
    <row r="227" spans="1:6" x14ac:dyDescent="0.35">
      <c r="A227" t="s">
        <v>2911</v>
      </c>
      <c r="B227" t="s">
        <v>2912</v>
      </c>
      <c r="C227">
        <v>1760351</v>
      </c>
      <c r="D227">
        <v>140828.07999999999</v>
      </c>
      <c r="E227" s="2">
        <v>45817</v>
      </c>
      <c r="F227" t="s">
        <v>1873</v>
      </c>
    </row>
    <row r="228" spans="1:6" x14ac:dyDescent="0.35">
      <c r="A228" t="s">
        <v>2913</v>
      </c>
      <c r="B228" t="s">
        <v>2914</v>
      </c>
      <c r="C228">
        <v>1860857</v>
      </c>
      <c r="D228">
        <v>148868.56</v>
      </c>
      <c r="E228" s="2">
        <v>45072</v>
      </c>
      <c r="F228" t="s">
        <v>1873</v>
      </c>
    </row>
    <row r="229" spans="1:6" x14ac:dyDescent="0.35">
      <c r="A229" t="s">
        <v>2915</v>
      </c>
      <c r="B229" t="s">
        <v>2916</v>
      </c>
      <c r="C229">
        <v>1932260</v>
      </c>
      <c r="D229">
        <v>154580.79999999999</v>
      </c>
      <c r="E229" s="2">
        <v>45499</v>
      </c>
      <c r="F229" t="s">
        <v>2472</v>
      </c>
    </row>
    <row r="230" spans="1:6" x14ac:dyDescent="0.35">
      <c r="A230" t="s">
        <v>2917</v>
      </c>
      <c r="B230" t="s">
        <v>2918</v>
      </c>
      <c r="C230">
        <v>889421</v>
      </c>
      <c r="D230">
        <v>71153.679999999993</v>
      </c>
      <c r="E230" s="2">
        <v>45992</v>
      </c>
      <c r="F230" t="s">
        <v>1873</v>
      </c>
    </row>
    <row r="231" spans="1:6" x14ac:dyDescent="0.35">
      <c r="A231" t="s">
        <v>2919</v>
      </c>
      <c r="B231" t="s">
        <v>2920</v>
      </c>
      <c r="C231">
        <v>1770673</v>
      </c>
      <c r="D231">
        <v>141653.84</v>
      </c>
      <c r="E231" s="2">
        <v>45992</v>
      </c>
      <c r="F231" t="s">
        <v>1873</v>
      </c>
    </row>
    <row r="232" spans="1:6" x14ac:dyDescent="0.35">
      <c r="A232" t="s">
        <v>2921</v>
      </c>
      <c r="B232" t="s">
        <v>2922</v>
      </c>
      <c r="C232">
        <v>1125354</v>
      </c>
      <c r="D232">
        <v>90028.32</v>
      </c>
      <c r="E232" s="2">
        <v>46375</v>
      </c>
      <c r="F232" t="s">
        <v>1873</v>
      </c>
    </row>
    <row r="233" spans="1:6" x14ac:dyDescent="0.35">
      <c r="A233" t="s">
        <v>2923</v>
      </c>
      <c r="B233" t="s">
        <v>2924</v>
      </c>
      <c r="C233">
        <v>1268300</v>
      </c>
      <c r="D233">
        <v>101464</v>
      </c>
      <c r="E233" s="2">
        <v>46369</v>
      </c>
      <c r="F233" t="s">
        <v>2472</v>
      </c>
    </row>
    <row r="234" spans="1:6" x14ac:dyDescent="0.35">
      <c r="A234" t="s">
        <v>2925</v>
      </c>
      <c r="B234" t="s">
        <v>464</v>
      </c>
      <c r="C234">
        <v>399944</v>
      </c>
      <c r="D234">
        <v>31995.52</v>
      </c>
      <c r="E234" s="2">
        <v>45991</v>
      </c>
      <c r="F234" t="s">
        <v>1873</v>
      </c>
    </row>
    <row r="235" spans="1:6" x14ac:dyDescent="0.35">
      <c r="A235" t="s">
        <v>2926</v>
      </c>
      <c r="B235" t="s">
        <v>2927</v>
      </c>
      <c r="C235">
        <v>2189836</v>
      </c>
      <c r="D235">
        <v>175186.88</v>
      </c>
      <c r="E235" s="2">
        <v>45404</v>
      </c>
      <c r="F235" t="s">
        <v>1873</v>
      </c>
    </row>
    <row r="236" spans="1:6" x14ac:dyDescent="0.35">
      <c r="A236" t="s">
        <v>2928</v>
      </c>
      <c r="B236" t="s">
        <v>2929</v>
      </c>
      <c r="C236">
        <v>1666574</v>
      </c>
      <c r="D236">
        <v>133325.92000000001</v>
      </c>
      <c r="E236" s="2">
        <v>44718</v>
      </c>
      <c r="F236" t="s">
        <v>1873</v>
      </c>
    </row>
    <row r="237" spans="1:6" x14ac:dyDescent="0.35">
      <c r="A237" t="s">
        <v>2930</v>
      </c>
      <c r="B237" t="s">
        <v>2931</v>
      </c>
      <c r="C237">
        <v>2235585</v>
      </c>
      <c r="D237">
        <v>178846.8</v>
      </c>
      <c r="E237" s="2">
        <v>46131</v>
      </c>
      <c r="F237" t="s">
        <v>2472</v>
      </c>
    </row>
    <row r="238" spans="1:6" x14ac:dyDescent="0.35">
      <c r="A238" t="s">
        <v>2932</v>
      </c>
      <c r="B238" t="s">
        <v>2933</v>
      </c>
      <c r="C238">
        <v>1840067</v>
      </c>
      <c r="D238">
        <v>147205.35999999999</v>
      </c>
      <c r="E238" s="2">
        <v>45485</v>
      </c>
      <c r="F238" t="s">
        <v>1873</v>
      </c>
    </row>
    <row r="239" spans="1:6" x14ac:dyDescent="0.35">
      <c r="A239" t="s">
        <v>2934</v>
      </c>
      <c r="B239" t="s">
        <v>2935</v>
      </c>
      <c r="C239">
        <v>1180180</v>
      </c>
      <c r="D239">
        <v>94414.399999999994</v>
      </c>
      <c r="E239" s="2">
        <v>44986</v>
      </c>
      <c r="F239" t="s">
        <v>1873</v>
      </c>
    </row>
    <row r="240" spans="1:6" x14ac:dyDescent="0.35">
      <c r="A240" t="s">
        <v>2936</v>
      </c>
      <c r="B240" t="s">
        <v>2937</v>
      </c>
      <c r="C240">
        <v>2058470</v>
      </c>
      <c r="D240">
        <v>164677.6</v>
      </c>
      <c r="E240" s="2">
        <v>44616</v>
      </c>
      <c r="F240" t="s">
        <v>1873</v>
      </c>
    </row>
    <row r="241" spans="1:6" x14ac:dyDescent="0.35">
      <c r="A241" t="s">
        <v>2938</v>
      </c>
      <c r="B241" t="s">
        <v>2939</v>
      </c>
      <c r="C241">
        <v>2057365</v>
      </c>
      <c r="D241">
        <v>164589.20000000001</v>
      </c>
      <c r="E241" s="2">
        <v>45342</v>
      </c>
      <c r="F241" t="s">
        <v>2472</v>
      </c>
    </row>
    <row r="242" spans="1:6" x14ac:dyDescent="0.35">
      <c r="A242" t="s">
        <v>2940</v>
      </c>
      <c r="B242" t="s">
        <v>2941</v>
      </c>
      <c r="C242">
        <v>1794961</v>
      </c>
      <c r="D242">
        <v>143596.88</v>
      </c>
      <c r="E242" s="2">
        <v>46314</v>
      </c>
      <c r="F242" t="s">
        <v>1873</v>
      </c>
    </row>
    <row r="243" spans="1:6" x14ac:dyDescent="0.35">
      <c r="A243" t="s">
        <v>2942</v>
      </c>
      <c r="B243" t="s">
        <v>2943</v>
      </c>
      <c r="C243">
        <v>1783772</v>
      </c>
      <c r="D243">
        <v>142701.76000000001</v>
      </c>
      <c r="E243" s="2">
        <v>44639</v>
      </c>
      <c r="F243" t="s">
        <v>1873</v>
      </c>
    </row>
    <row r="244" spans="1:6" x14ac:dyDescent="0.35">
      <c r="A244" t="s">
        <v>2944</v>
      </c>
      <c r="B244" t="s">
        <v>2945</v>
      </c>
      <c r="C244">
        <v>1171116</v>
      </c>
      <c r="D244">
        <v>93689.279999999999</v>
      </c>
      <c r="E244" s="2">
        <v>44796</v>
      </c>
      <c r="F244" t="s">
        <v>1873</v>
      </c>
    </row>
    <row r="245" spans="1:6" x14ac:dyDescent="0.35">
      <c r="A245" t="s">
        <v>2946</v>
      </c>
      <c r="B245" t="s">
        <v>2947</v>
      </c>
      <c r="C245">
        <v>1492000</v>
      </c>
      <c r="D245">
        <v>119360</v>
      </c>
      <c r="E245" s="2">
        <v>45934</v>
      </c>
      <c r="F245" t="s">
        <v>2472</v>
      </c>
    </row>
    <row r="246" spans="1:6" x14ac:dyDescent="0.35">
      <c r="A246" t="s">
        <v>2948</v>
      </c>
      <c r="B246" t="s">
        <v>2949</v>
      </c>
      <c r="C246">
        <v>2153227</v>
      </c>
      <c r="D246">
        <v>172258.16</v>
      </c>
      <c r="E246" s="2">
        <v>45506</v>
      </c>
      <c r="F246" t="s">
        <v>1873</v>
      </c>
    </row>
    <row r="247" spans="1:6" x14ac:dyDescent="0.35">
      <c r="A247" t="s">
        <v>2950</v>
      </c>
      <c r="B247" t="s">
        <v>2951</v>
      </c>
      <c r="C247">
        <v>466234</v>
      </c>
      <c r="D247">
        <v>37298.720000000001</v>
      </c>
      <c r="E247" s="2">
        <v>45685</v>
      </c>
      <c r="F247" t="s">
        <v>1873</v>
      </c>
    </row>
    <row r="248" spans="1:6" x14ac:dyDescent="0.35">
      <c r="A248" t="s">
        <v>2952</v>
      </c>
      <c r="B248" t="s">
        <v>2953</v>
      </c>
      <c r="C248">
        <v>1955946</v>
      </c>
      <c r="D248">
        <v>156475.68</v>
      </c>
      <c r="E248" s="2">
        <v>44849</v>
      </c>
      <c r="F248" t="s">
        <v>2472</v>
      </c>
    </row>
    <row r="249" spans="1:6" x14ac:dyDescent="0.35">
      <c r="A249" t="s">
        <v>2954</v>
      </c>
      <c r="B249" t="s">
        <v>2955</v>
      </c>
      <c r="C249">
        <v>1290805</v>
      </c>
      <c r="D249">
        <v>103264.4</v>
      </c>
      <c r="E249" s="2">
        <v>46285</v>
      </c>
      <c r="F249" t="s">
        <v>1873</v>
      </c>
    </row>
    <row r="250" spans="1:6" x14ac:dyDescent="0.35">
      <c r="A250" t="s">
        <v>2956</v>
      </c>
      <c r="B250" t="s">
        <v>986</v>
      </c>
      <c r="C250">
        <v>835502</v>
      </c>
      <c r="D250">
        <v>66840.160000000003</v>
      </c>
      <c r="E250" s="2">
        <v>46279</v>
      </c>
      <c r="F250" t="s">
        <v>1873</v>
      </c>
    </row>
    <row r="251" spans="1:6" x14ac:dyDescent="0.35">
      <c r="A251" t="s">
        <v>2957</v>
      </c>
      <c r="B251" t="s">
        <v>2958</v>
      </c>
      <c r="C251">
        <v>541590</v>
      </c>
      <c r="D251">
        <v>43327.199999999997</v>
      </c>
      <c r="E251" s="2">
        <v>44924</v>
      </c>
      <c r="F251" t="s">
        <v>2472</v>
      </c>
    </row>
    <row r="252" spans="1:6" x14ac:dyDescent="0.35">
      <c r="A252" t="s">
        <v>2959</v>
      </c>
      <c r="B252" t="s">
        <v>2960</v>
      </c>
      <c r="C252">
        <v>640728</v>
      </c>
      <c r="D252">
        <v>51258.239999999998</v>
      </c>
      <c r="E252" s="2">
        <v>45656</v>
      </c>
      <c r="F252" t="s">
        <v>2472</v>
      </c>
    </row>
    <row r="253" spans="1:6" x14ac:dyDescent="0.35">
      <c r="A253" t="s">
        <v>2961</v>
      </c>
      <c r="B253" t="s">
        <v>2962</v>
      </c>
      <c r="C253">
        <v>826544</v>
      </c>
      <c r="D253">
        <v>66123.520000000004</v>
      </c>
      <c r="E253" s="2">
        <v>44720</v>
      </c>
      <c r="F253" t="s">
        <v>1873</v>
      </c>
    </row>
    <row r="254" spans="1:6" x14ac:dyDescent="0.35">
      <c r="A254" t="s">
        <v>2963</v>
      </c>
      <c r="B254" t="s">
        <v>2964</v>
      </c>
      <c r="C254">
        <v>1266103</v>
      </c>
      <c r="D254">
        <v>101288.24</v>
      </c>
      <c r="E254" s="2">
        <v>44876</v>
      </c>
      <c r="F254" t="s">
        <v>2472</v>
      </c>
    </row>
    <row r="255" spans="1:6" x14ac:dyDescent="0.35">
      <c r="A255" t="s">
        <v>2965</v>
      </c>
      <c r="B255" t="s">
        <v>2966</v>
      </c>
      <c r="C255">
        <v>1621925</v>
      </c>
      <c r="D255">
        <v>129754</v>
      </c>
      <c r="E255" s="2">
        <v>44926</v>
      </c>
      <c r="F255" t="s">
        <v>1873</v>
      </c>
    </row>
    <row r="256" spans="1:6" x14ac:dyDescent="0.35">
      <c r="A256" t="s">
        <v>2967</v>
      </c>
      <c r="B256" t="s">
        <v>2968</v>
      </c>
      <c r="C256">
        <v>264472</v>
      </c>
      <c r="D256">
        <v>21157.759999999998</v>
      </c>
      <c r="E256" s="2">
        <v>45944</v>
      </c>
      <c r="F256" t="s">
        <v>1873</v>
      </c>
    </row>
    <row r="257" spans="1:6" x14ac:dyDescent="0.35">
      <c r="A257" t="s">
        <v>2969</v>
      </c>
      <c r="B257" t="s">
        <v>2970</v>
      </c>
      <c r="C257">
        <v>1974126</v>
      </c>
      <c r="D257">
        <v>157930.07999999999</v>
      </c>
      <c r="E257" s="2">
        <v>45988</v>
      </c>
      <c r="F257" t="s">
        <v>1873</v>
      </c>
    </row>
    <row r="258" spans="1:6" x14ac:dyDescent="0.35">
      <c r="A258" t="s">
        <v>2971</v>
      </c>
      <c r="B258" t="s">
        <v>2708</v>
      </c>
      <c r="C258">
        <v>2313094</v>
      </c>
      <c r="D258">
        <v>185047.52</v>
      </c>
      <c r="E258" s="2">
        <v>45874</v>
      </c>
      <c r="F258" t="s">
        <v>1873</v>
      </c>
    </row>
    <row r="259" spans="1:6" x14ac:dyDescent="0.35">
      <c r="A259" t="s">
        <v>2972</v>
      </c>
      <c r="B259" t="s">
        <v>2973</v>
      </c>
      <c r="C259">
        <v>1758372</v>
      </c>
      <c r="D259">
        <v>140669.76000000001</v>
      </c>
      <c r="E259" s="2">
        <v>45975</v>
      </c>
      <c r="F259" t="s">
        <v>2472</v>
      </c>
    </row>
    <row r="260" spans="1:6" x14ac:dyDescent="0.35">
      <c r="A260" t="s">
        <v>2974</v>
      </c>
      <c r="B260" t="s">
        <v>2975</v>
      </c>
      <c r="C260">
        <v>1982215</v>
      </c>
      <c r="D260">
        <v>158577.20000000001</v>
      </c>
      <c r="E260" s="2">
        <v>44669</v>
      </c>
      <c r="F260" t="s">
        <v>1873</v>
      </c>
    </row>
    <row r="261" spans="1:6" x14ac:dyDescent="0.35">
      <c r="A261" t="s">
        <v>2976</v>
      </c>
      <c r="B261" t="s">
        <v>2977</v>
      </c>
      <c r="C261">
        <v>324114</v>
      </c>
      <c r="D261">
        <v>25929.119999999999</v>
      </c>
      <c r="E261" s="2">
        <v>46143</v>
      </c>
      <c r="F261" t="s">
        <v>2472</v>
      </c>
    </row>
    <row r="262" spans="1:6" x14ac:dyDescent="0.35">
      <c r="A262" t="s">
        <v>2978</v>
      </c>
      <c r="B262" t="s">
        <v>2979</v>
      </c>
      <c r="C262">
        <v>966150</v>
      </c>
      <c r="D262">
        <v>77292</v>
      </c>
      <c r="E262" s="2">
        <v>45073</v>
      </c>
      <c r="F262" t="s">
        <v>2472</v>
      </c>
    </row>
    <row r="263" spans="1:6" x14ac:dyDescent="0.35">
      <c r="A263" t="s">
        <v>2980</v>
      </c>
      <c r="B263" t="s">
        <v>2981</v>
      </c>
      <c r="C263">
        <v>1120510</v>
      </c>
      <c r="D263">
        <v>89640.8</v>
      </c>
      <c r="E263" s="2">
        <v>44971</v>
      </c>
      <c r="F263" t="s">
        <v>1873</v>
      </c>
    </row>
    <row r="264" spans="1:6" x14ac:dyDescent="0.35">
      <c r="A264" t="s">
        <v>2982</v>
      </c>
      <c r="B264" t="s">
        <v>2983</v>
      </c>
      <c r="C264">
        <v>187270</v>
      </c>
      <c r="D264">
        <v>14981.6</v>
      </c>
      <c r="E264" s="2">
        <v>45425</v>
      </c>
      <c r="F264" t="s">
        <v>1873</v>
      </c>
    </row>
    <row r="265" spans="1:6" x14ac:dyDescent="0.35">
      <c r="A265" t="s">
        <v>2984</v>
      </c>
      <c r="B265" t="s">
        <v>2985</v>
      </c>
      <c r="C265">
        <v>181068</v>
      </c>
      <c r="D265">
        <v>14485.44</v>
      </c>
      <c r="E265" s="2">
        <v>45252</v>
      </c>
      <c r="F265" t="s">
        <v>1873</v>
      </c>
    </row>
    <row r="266" spans="1:6" x14ac:dyDescent="0.35">
      <c r="A266" t="s">
        <v>2986</v>
      </c>
      <c r="B266" t="s">
        <v>2987</v>
      </c>
      <c r="C266">
        <v>384960</v>
      </c>
      <c r="D266">
        <v>30796.799999999999</v>
      </c>
      <c r="E266" s="2">
        <v>45013</v>
      </c>
      <c r="F266" t="s">
        <v>1873</v>
      </c>
    </row>
    <row r="267" spans="1:6" x14ac:dyDescent="0.35">
      <c r="A267" t="s">
        <v>2988</v>
      </c>
      <c r="B267" t="s">
        <v>2989</v>
      </c>
      <c r="C267">
        <v>824151</v>
      </c>
      <c r="D267">
        <v>65932.08</v>
      </c>
      <c r="E267" s="2">
        <v>46044</v>
      </c>
      <c r="F267" t="s">
        <v>1873</v>
      </c>
    </row>
    <row r="268" spans="1:6" x14ac:dyDescent="0.35">
      <c r="A268" t="s">
        <v>2990</v>
      </c>
      <c r="B268" t="s">
        <v>2991</v>
      </c>
      <c r="C268">
        <v>304601</v>
      </c>
      <c r="D268">
        <v>24368.080000000002</v>
      </c>
      <c r="E268" s="2">
        <v>45413</v>
      </c>
      <c r="F268" t="s">
        <v>1873</v>
      </c>
    </row>
    <row r="269" spans="1:6" x14ac:dyDescent="0.35">
      <c r="A269" t="s">
        <v>2992</v>
      </c>
      <c r="B269" t="s">
        <v>2993</v>
      </c>
      <c r="C269">
        <v>1492130</v>
      </c>
      <c r="D269">
        <v>119370.4</v>
      </c>
      <c r="E269" s="2">
        <v>45222</v>
      </c>
      <c r="F269" t="s">
        <v>1873</v>
      </c>
    </row>
    <row r="270" spans="1:6" x14ac:dyDescent="0.35">
      <c r="A270" t="s">
        <v>2994</v>
      </c>
      <c r="B270" t="s">
        <v>2995</v>
      </c>
      <c r="C270">
        <v>988721</v>
      </c>
      <c r="D270">
        <v>79097.679999999993</v>
      </c>
      <c r="E270" s="2">
        <v>45671</v>
      </c>
      <c r="F270" t="s">
        <v>2472</v>
      </c>
    </row>
    <row r="271" spans="1:6" x14ac:dyDescent="0.35">
      <c r="A271" t="s">
        <v>2996</v>
      </c>
      <c r="B271" t="s">
        <v>2997</v>
      </c>
      <c r="C271">
        <v>1914660</v>
      </c>
      <c r="D271">
        <v>153172.79999999999</v>
      </c>
      <c r="E271" s="2">
        <v>44809</v>
      </c>
      <c r="F271" t="s">
        <v>1873</v>
      </c>
    </row>
    <row r="272" spans="1:6" x14ac:dyDescent="0.35">
      <c r="A272" t="s">
        <v>2998</v>
      </c>
      <c r="B272" t="s">
        <v>2999</v>
      </c>
      <c r="C272">
        <v>1016658</v>
      </c>
      <c r="D272">
        <v>81332.639999999999</v>
      </c>
      <c r="E272" s="2">
        <v>44778</v>
      </c>
      <c r="F272" t="s">
        <v>2472</v>
      </c>
    </row>
    <row r="273" spans="1:6" x14ac:dyDescent="0.35">
      <c r="A273" t="s">
        <v>3000</v>
      </c>
      <c r="B273" t="s">
        <v>3001</v>
      </c>
      <c r="C273">
        <v>1476302</v>
      </c>
      <c r="D273">
        <v>118104.16</v>
      </c>
      <c r="E273" s="2">
        <v>44917</v>
      </c>
      <c r="F273" t="s">
        <v>1873</v>
      </c>
    </row>
    <row r="274" spans="1:6" x14ac:dyDescent="0.35">
      <c r="A274" t="s">
        <v>3002</v>
      </c>
      <c r="B274" t="s">
        <v>3003</v>
      </c>
      <c r="C274">
        <v>1806695</v>
      </c>
      <c r="D274">
        <v>144535.6</v>
      </c>
      <c r="E274" s="2">
        <v>45901</v>
      </c>
      <c r="F274" t="s">
        <v>2472</v>
      </c>
    </row>
    <row r="275" spans="1:6" x14ac:dyDescent="0.35">
      <c r="A275" t="s">
        <v>3004</v>
      </c>
      <c r="B275" t="s">
        <v>3005</v>
      </c>
      <c r="C275">
        <v>170253</v>
      </c>
      <c r="D275">
        <v>13620.24</v>
      </c>
      <c r="E275" s="2">
        <v>45359</v>
      </c>
      <c r="F275" t="s">
        <v>1873</v>
      </c>
    </row>
    <row r="276" spans="1:6" x14ac:dyDescent="0.35">
      <c r="A276" t="s">
        <v>3006</v>
      </c>
      <c r="B276" t="s">
        <v>3007</v>
      </c>
      <c r="C276">
        <v>2044245</v>
      </c>
      <c r="D276">
        <v>163539.6</v>
      </c>
      <c r="E276" s="2">
        <v>45012</v>
      </c>
      <c r="F276" t="s">
        <v>1873</v>
      </c>
    </row>
    <row r="277" spans="1:6" x14ac:dyDescent="0.35">
      <c r="A277" t="s">
        <v>3008</v>
      </c>
      <c r="B277" t="s">
        <v>3009</v>
      </c>
      <c r="C277">
        <v>1287935</v>
      </c>
      <c r="D277">
        <v>103034.8</v>
      </c>
      <c r="E277" s="2">
        <v>45893</v>
      </c>
      <c r="F277" t="s">
        <v>2472</v>
      </c>
    </row>
    <row r="278" spans="1:6" x14ac:dyDescent="0.35">
      <c r="A278" t="s">
        <v>3010</v>
      </c>
      <c r="B278" t="s">
        <v>3011</v>
      </c>
      <c r="C278">
        <v>304293</v>
      </c>
      <c r="D278">
        <v>24343.439999999999</v>
      </c>
      <c r="E278" s="2">
        <v>44699</v>
      </c>
      <c r="F278" t="s">
        <v>1873</v>
      </c>
    </row>
    <row r="279" spans="1:6" x14ac:dyDescent="0.35">
      <c r="A279" t="s">
        <v>3012</v>
      </c>
      <c r="B279" t="s">
        <v>3013</v>
      </c>
      <c r="C279">
        <v>1844265</v>
      </c>
      <c r="D279">
        <v>147541.20000000001</v>
      </c>
      <c r="E279" s="2">
        <v>45179</v>
      </c>
      <c r="F279" t="s">
        <v>2472</v>
      </c>
    </row>
    <row r="280" spans="1:6" x14ac:dyDescent="0.35">
      <c r="A280" t="s">
        <v>3014</v>
      </c>
      <c r="B280" t="s">
        <v>3015</v>
      </c>
      <c r="C280">
        <v>547037</v>
      </c>
      <c r="D280">
        <v>43762.96</v>
      </c>
      <c r="E280" s="2">
        <v>46021</v>
      </c>
      <c r="F280" t="s">
        <v>1873</v>
      </c>
    </row>
    <row r="281" spans="1:6" x14ac:dyDescent="0.35">
      <c r="A281" t="s">
        <v>3016</v>
      </c>
      <c r="B281" t="s">
        <v>3017</v>
      </c>
      <c r="C281">
        <v>1176713</v>
      </c>
      <c r="D281">
        <v>94137.04</v>
      </c>
      <c r="E281" s="2">
        <v>44756</v>
      </c>
      <c r="F281" t="s">
        <v>2472</v>
      </c>
    </row>
    <row r="282" spans="1:6" x14ac:dyDescent="0.35">
      <c r="A282" t="s">
        <v>3018</v>
      </c>
      <c r="B282" t="s">
        <v>3019</v>
      </c>
      <c r="C282">
        <v>1749761</v>
      </c>
      <c r="D282">
        <v>139980.88</v>
      </c>
      <c r="E282" s="2">
        <v>45950</v>
      </c>
      <c r="F282" t="s">
        <v>1873</v>
      </c>
    </row>
    <row r="283" spans="1:6" x14ac:dyDescent="0.35">
      <c r="A283" t="s">
        <v>3020</v>
      </c>
      <c r="B283" t="s">
        <v>3021</v>
      </c>
      <c r="C283">
        <v>1512704</v>
      </c>
      <c r="D283">
        <v>121016.32000000001</v>
      </c>
      <c r="E283" s="2">
        <v>44921</v>
      </c>
      <c r="F283" t="s">
        <v>2472</v>
      </c>
    </row>
    <row r="284" spans="1:6" x14ac:dyDescent="0.35">
      <c r="A284" t="s">
        <v>3022</v>
      </c>
      <c r="B284" t="s">
        <v>3023</v>
      </c>
      <c r="C284">
        <v>2142201</v>
      </c>
      <c r="D284">
        <v>171376.08</v>
      </c>
      <c r="E284" s="2">
        <v>44700</v>
      </c>
      <c r="F284" t="s">
        <v>2472</v>
      </c>
    </row>
    <row r="285" spans="1:6" x14ac:dyDescent="0.35">
      <c r="A285" t="s">
        <v>3024</v>
      </c>
      <c r="B285" t="s">
        <v>3025</v>
      </c>
      <c r="C285">
        <v>194024</v>
      </c>
      <c r="D285">
        <v>15521.92</v>
      </c>
      <c r="E285" s="2">
        <v>45808</v>
      </c>
      <c r="F285" t="s">
        <v>2472</v>
      </c>
    </row>
    <row r="286" spans="1:6" x14ac:dyDescent="0.35">
      <c r="A286" t="s">
        <v>3026</v>
      </c>
      <c r="B286" t="s">
        <v>3027</v>
      </c>
      <c r="C286">
        <v>1723781</v>
      </c>
      <c r="D286">
        <v>137902.48000000001</v>
      </c>
      <c r="E286" s="2">
        <v>45608</v>
      </c>
      <c r="F286" t="s">
        <v>1873</v>
      </c>
    </row>
    <row r="287" spans="1:6" x14ac:dyDescent="0.35">
      <c r="A287" t="s">
        <v>3028</v>
      </c>
      <c r="B287" t="s">
        <v>3029</v>
      </c>
      <c r="C287">
        <v>2231496</v>
      </c>
      <c r="D287">
        <v>178519.67999999999</v>
      </c>
      <c r="E287" s="2">
        <v>45765</v>
      </c>
      <c r="F287" t="s">
        <v>1873</v>
      </c>
    </row>
    <row r="288" spans="1:6" x14ac:dyDescent="0.35">
      <c r="A288" t="s">
        <v>3030</v>
      </c>
      <c r="B288" t="s">
        <v>3031</v>
      </c>
      <c r="C288">
        <v>1095619</v>
      </c>
      <c r="D288">
        <v>87649.52</v>
      </c>
      <c r="E288" s="2">
        <v>44605</v>
      </c>
      <c r="F288" t="s">
        <v>1873</v>
      </c>
    </row>
    <row r="289" spans="1:6" x14ac:dyDescent="0.35">
      <c r="A289" t="s">
        <v>3032</v>
      </c>
      <c r="B289" t="s">
        <v>3033</v>
      </c>
      <c r="C289">
        <v>1415405</v>
      </c>
      <c r="D289">
        <v>113232.4</v>
      </c>
      <c r="E289" s="2">
        <v>45046</v>
      </c>
      <c r="F289" t="s">
        <v>2472</v>
      </c>
    </row>
    <row r="290" spans="1:6" x14ac:dyDescent="0.35">
      <c r="A290" t="s">
        <v>3034</v>
      </c>
      <c r="B290" t="s">
        <v>3035</v>
      </c>
      <c r="C290">
        <v>1141504</v>
      </c>
      <c r="D290">
        <v>91320.320000000007</v>
      </c>
      <c r="E290" s="2">
        <v>45831</v>
      </c>
      <c r="F290" t="s">
        <v>1873</v>
      </c>
    </row>
    <row r="291" spans="1:6" x14ac:dyDescent="0.35">
      <c r="A291" t="s">
        <v>3036</v>
      </c>
      <c r="B291" t="s">
        <v>3037</v>
      </c>
      <c r="C291">
        <v>371335</v>
      </c>
      <c r="D291">
        <v>29706.799999999999</v>
      </c>
      <c r="E291" s="2">
        <v>44843</v>
      </c>
      <c r="F291" t="s">
        <v>2472</v>
      </c>
    </row>
    <row r="292" spans="1:6" x14ac:dyDescent="0.35">
      <c r="A292" t="s">
        <v>3038</v>
      </c>
      <c r="B292" t="s">
        <v>3039</v>
      </c>
      <c r="C292">
        <v>2211810</v>
      </c>
      <c r="D292">
        <v>176944.8</v>
      </c>
      <c r="E292" s="2">
        <v>45169</v>
      </c>
      <c r="F292" t="s">
        <v>1873</v>
      </c>
    </row>
    <row r="293" spans="1:6" x14ac:dyDescent="0.35">
      <c r="A293" t="s">
        <v>3040</v>
      </c>
      <c r="B293" t="s">
        <v>3041</v>
      </c>
      <c r="C293">
        <v>756152</v>
      </c>
      <c r="D293">
        <v>60492.160000000003</v>
      </c>
      <c r="E293" s="2">
        <v>45331</v>
      </c>
      <c r="F293" t="s">
        <v>1873</v>
      </c>
    </row>
    <row r="294" spans="1:6" x14ac:dyDescent="0.35">
      <c r="A294" t="s">
        <v>3042</v>
      </c>
      <c r="B294" t="s">
        <v>3043</v>
      </c>
      <c r="C294">
        <v>278992</v>
      </c>
      <c r="D294">
        <v>22319.360000000001</v>
      </c>
      <c r="E294" s="2">
        <v>45049</v>
      </c>
      <c r="F294" t="s">
        <v>2472</v>
      </c>
    </row>
    <row r="295" spans="1:6" x14ac:dyDescent="0.35">
      <c r="A295" t="s">
        <v>3044</v>
      </c>
      <c r="B295" t="s">
        <v>3045</v>
      </c>
      <c r="C295">
        <v>1498625</v>
      </c>
      <c r="D295">
        <v>119890</v>
      </c>
      <c r="E295" s="2">
        <v>44836</v>
      </c>
      <c r="F295" t="s">
        <v>2472</v>
      </c>
    </row>
    <row r="296" spans="1:6" x14ac:dyDescent="0.35">
      <c r="A296" t="s">
        <v>3046</v>
      </c>
      <c r="B296" t="s">
        <v>3047</v>
      </c>
      <c r="C296">
        <v>1451853</v>
      </c>
      <c r="D296">
        <v>116148.24</v>
      </c>
      <c r="E296" s="2">
        <v>45880</v>
      </c>
      <c r="F296" t="s">
        <v>1873</v>
      </c>
    </row>
    <row r="297" spans="1:6" x14ac:dyDescent="0.35">
      <c r="A297" t="s">
        <v>3048</v>
      </c>
      <c r="B297" t="s">
        <v>3049</v>
      </c>
      <c r="C297">
        <v>2304699</v>
      </c>
      <c r="D297">
        <v>184375.92</v>
      </c>
      <c r="E297" s="2">
        <v>46183</v>
      </c>
      <c r="F297" t="s">
        <v>2472</v>
      </c>
    </row>
    <row r="298" spans="1:6" x14ac:dyDescent="0.35">
      <c r="A298" t="s">
        <v>3050</v>
      </c>
      <c r="B298" t="s">
        <v>2252</v>
      </c>
      <c r="C298">
        <v>1329868</v>
      </c>
      <c r="D298">
        <v>106389.44</v>
      </c>
      <c r="E298" s="2">
        <v>46099</v>
      </c>
      <c r="F298" t="s">
        <v>1873</v>
      </c>
    </row>
    <row r="299" spans="1:6" x14ac:dyDescent="0.35">
      <c r="A299" t="s">
        <v>3051</v>
      </c>
      <c r="B299" t="s">
        <v>3052</v>
      </c>
      <c r="C299">
        <v>1080537</v>
      </c>
      <c r="D299">
        <v>86442.96</v>
      </c>
      <c r="E299" s="2">
        <v>46296</v>
      </c>
      <c r="F299" t="s">
        <v>2472</v>
      </c>
    </row>
    <row r="300" spans="1:6" x14ac:dyDescent="0.35">
      <c r="A300" t="s">
        <v>3053</v>
      </c>
      <c r="B300" t="s">
        <v>3054</v>
      </c>
      <c r="C300">
        <v>1557507</v>
      </c>
      <c r="D300">
        <v>124600.56</v>
      </c>
      <c r="E300" s="2">
        <v>45058</v>
      </c>
      <c r="F300" t="s">
        <v>1873</v>
      </c>
    </row>
    <row r="301" spans="1:6" x14ac:dyDescent="0.35">
      <c r="A301" t="s">
        <v>3055</v>
      </c>
      <c r="B301" t="s">
        <v>3056</v>
      </c>
      <c r="C301">
        <v>2382037</v>
      </c>
      <c r="D301">
        <v>190562.96</v>
      </c>
      <c r="E301" s="2">
        <v>44672</v>
      </c>
      <c r="F301" t="s">
        <v>1873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01"/>
  <sheetViews>
    <sheetView workbookViewId="0"/>
  </sheetViews>
  <sheetFormatPr defaultRowHeight="14.5" x14ac:dyDescent="0.35"/>
  <cols>
    <col min="1" max="1" width="13" customWidth="1"/>
    <col min="2" max="2" width="14" customWidth="1"/>
    <col min="3" max="3" width="12" customWidth="1"/>
    <col min="4" max="4" width="17" customWidth="1"/>
    <col min="5" max="5" width="8" customWidth="1"/>
    <col min="6" max="6" width="12" customWidth="1"/>
  </cols>
  <sheetData>
    <row r="1" spans="1:6" x14ac:dyDescent="0.35">
      <c r="A1" s="1" t="s">
        <v>636</v>
      </c>
      <c r="B1" s="1" t="s">
        <v>3057</v>
      </c>
      <c r="C1" s="1" t="s">
        <v>4</v>
      </c>
      <c r="D1" s="1" t="s">
        <v>2</v>
      </c>
      <c r="E1" s="1" t="s">
        <v>3058</v>
      </c>
      <c r="F1" s="1" t="s">
        <v>640</v>
      </c>
    </row>
    <row r="2" spans="1:6" x14ac:dyDescent="0.35">
      <c r="A2" s="2">
        <v>46203</v>
      </c>
      <c r="B2" t="s">
        <v>3059</v>
      </c>
      <c r="C2" t="s">
        <v>41</v>
      </c>
      <c r="D2" t="s">
        <v>30</v>
      </c>
      <c r="E2" t="s">
        <v>3060</v>
      </c>
      <c r="F2" t="s">
        <v>3061</v>
      </c>
    </row>
    <row r="3" spans="1:6" x14ac:dyDescent="0.35">
      <c r="A3" s="2">
        <v>44937</v>
      </c>
      <c r="B3" t="s">
        <v>3062</v>
      </c>
      <c r="C3" t="s">
        <v>77</v>
      </c>
      <c r="D3" t="s">
        <v>19</v>
      </c>
      <c r="E3" t="s">
        <v>3060</v>
      </c>
      <c r="F3" t="s">
        <v>3063</v>
      </c>
    </row>
    <row r="4" spans="1:6" x14ac:dyDescent="0.35">
      <c r="A4" s="2">
        <v>44956</v>
      </c>
      <c r="B4" t="s">
        <v>3064</v>
      </c>
      <c r="C4" t="s">
        <v>51</v>
      </c>
      <c r="D4" t="s">
        <v>13</v>
      </c>
      <c r="E4" t="s">
        <v>3065</v>
      </c>
      <c r="F4" t="s">
        <v>3063</v>
      </c>
    </row>
    <row r="5" spans="1:6" x14ac:dyDescent="0.35">
      <c r="A5" s="2">
        <v>44917</v>
      </c>
      <c r="B5" t="s">
        <v>3059</v>
      </c>
      <c r="C5" t="s">
        <v>21</v>
      </c>
      <c r="D5" t="s">
        <v>39</v>
      </c>
      <c r="E5" t="s">
        <v>3065</v>
      </c>
      <c r="F5" t="s">
        <v>3061</v>
      </c>
    </row>
    <row r="6" spans="1:6" x14ac:dyDescent="0.35">
      <c r="A6" s="2">
        <v>46046</v>
      </c>
      <c r="B6" t="s">
        <v>3062</v>
      </c>
      <c r="C6" t="s">
        <v>72</v>
      </c>
      <c r="D6" t="s">
        <v>13</v>
      </c>
      <c r="E6" t="s">
        <v>3066</v>
      </c>
      <c r="F6" t="s">
        <v>3063</v>
      </c>
    </row>
    <row r="7" spans="1:6" x14ac:dyDescent="0.35">
      <c r="A7" s="2">
        <v>45063</v>
      </c>
      <c r="B7" t="s">
        <v>3062</v>
      </c>
      <c r="C7" t="s">
        <v>51</v>
      </c>
      <c r="D7" t="s">
        <v>39</v>
      </c>
      <c r="E7" t="s">
        <v>3065</v>
      </c>
      <c r="F7" t="s">
        <v>3061</v>
      </c>
    </row>
    <row r="8" spans="1:6" x14ac:dyDescent="0.35">
      <c r="A8" s="2">
        <v>45146</v>
      </c>
      <c r="B8" t="s">
        <v>3062</v>
      </c>
      <c r="C8" t="s">
        <v>21</v>
      </c>
      <c r="D8" t="s">
        <v>44</v>
      </c>
      <c r="E8" t="s">
        <v>3060</v>
      </c>
      <c r="F8" t="s">
        <v>3063</v>
      </c>
    </row>
    <row r="9" spans="1:6" x14ac:dyDescent="0.35">
      <c r="A9" s="2">
        <v>45298</v>
      </c>
      <c r="B9" t="s">
        <v>3062</v>
      </c>
      <c r="C9" t="s">
        <v>26</v>
      </c>
      <c r="D9" t="s">
        <v>13</v>
      </c>
      <c r="E9" t="s">
        <v>3060</v>
      </c>
      <c r="F9" t="s">
        <v>3061</v>
      </c>
    </row>
    <row r="10" spans="1:6" x14ac:dyDescent="0.35">
      <c r="A10" s="2">
        <v>45427</v>
      </c>
      <c r="B10" t="s">
        <v>3062</v>
      </c>
      <c r="C10" t="s">
        <v>51</v>
      </c>
      <c r="D10" t="s">
        <v>30</v>
      </c>
      <c r="E10" t="s">
        <v>3060</v>
      </c>
      <c r="F10" t="s">
        <v>3063</v>
      </c>
    </row>
    <row r="11" spans="1:6" x14ac:dyDescent="0.35">
      <c r="A11" s="2">
        <v>46122</v>
      </c>
      <c r="B11" t="s">
        <v>3062</v>
      </c>
      <c r="C11" t="s">
        <v>26</v>
      </c>
      <c r="D11" t="s">
        <v>30</v>
      </c>
      <c r="E11" t="s">
        <v>3065</v>
      </c>
      <c r="F11" t="s">
        <v>3061</v>
      </c>
    </row>
    <row r="12" spans="1:6" x14ac:dyDescent="0.35">
      <c r="A12" s="2">
        <v>45780</v>
      </c>
      <c r="B12" t="s">
        <v>3059</v>
      </c>
      <c r="C12" t="s">
        <v>36</v>
      </c>
      <c r="D12" t="s">
        <v>24</v>
      </c>
      <c r="E12" t="s">
        <v>3065</v>
      </c>
      <c r="F12" t="s">
        <v>3061</v>
      </c>
    </row>
    <row r="13" spans="1:6" x14ac:dyDescent="0.35">
      <c r="A13" s="2">
        <v>45341</v>
      </c>
      <c r="B13" t="s">
        <v>3062</v>
      </c>
      <c r="C13" t="s">
        <v>72</v>
      </c>
      <c r="D13" t="s">
        <v>63</v>
      </c>
      <c r="E13" t="s">
        <v>3060</v>
      </c>
      <c r="F13" t="s">
        <v>3061</v>
      </c>
    </row>
    <row r="14" spans="1:6" x14ac:dyDescent="0.35">
      <c r="A14" s="2">
        <v>45713</v>
      </c>
      <c r="B14" t="s">
        <v>3062</v>
      </c>
      <c r="C14" t="s">
        <v>15</v>
      </c>
      <c r="D14" t="s">
        <v>44</v>
      </c>
      <c r="E14" t="s">
        <v>3065</v>
      </c>
      <c r="F14" t="s">
        <v>3061</v>
      </c>
    </row>
    <row r="15" spans="1:6" x14ac:dyDescent="0.35">
      <c r="A15" s="2">
        <v>44962</v>
      </c>
      <c r="B15" t="s">
        <v>3059</v>
      </c>
      <c r="C15" t="s">
        <v>21</v>
      </c>
      <c r="D15" t="s">
        <v>19</v>
      </c>
      <c r="E15" t="s">
        <v>3065</v>
      </c>
      <c r="F15" t="s">
        <v>3061</v>
      </c>
    </row>
    <row r="16" spans="1:6" x14ac:dyDescent="0.35">
      <c r="A16" s="2">
        <v>45568</v>
      </c>
      <c r="B16" t="s">
        <v>3062</v>
      </c>
      <c r="C16" t="s">
        <v>26</v>
      </c>
      <c r="D16" t="s">
        <v>63</v>
      </c>
      <c r="E16" t="s">
        <v>3066</v>
      </c>
      <c r="F16" t="s">
        <v>3061</v>
      </c>
    </row>
    <row r="17" spans="1:6" x14ac:dyDescent="0.35">
      <c r="A17" s="2">
        <v>45348</v>
      </c>
      <c r="B17" t="s">
        <v>3062</v>
      </c>
      <c r="C17" t="s">
        <v>72</v>
      </c>
      <c r="D17" t="s">
        <v>24</v>
      </c>
      <c r="E17" t="s">
        <v>3066</v>
      </c>
      <c r="F17" t="s">
        <v>3063</v>
      </c>
    </row>
    <row r="18" spans="1:6" x14ac:dyDescent="0.35">
      <c r="A18" s="2">
        <v>45399</v>
      </c>
      <c r="B18" t="s">
        <v>3064</v>
      </c>
      <c r="C18" t="s">
        <v>15</v>
      </c>
      <c r="D18" t="s">
        <v>63</v>
      </c>
      <c r="E18" t="s">
        <v>3066</v>
      </c>
      <c r="F18" t="s">
        <v>3063</v>
      </c>
    </row>
    <row r="19" spans="1:6" x14ac:dyDescent="0.35">
      <c r="A19" s="2">
        <v>44959</v>
      </c>
      <c r="B19" t="s">
        <v>3062</v>
      </c>
      <c r="C19" t="s">
        <v>72</v>
      </c>
      <c r="D19" t="s">
        <v>30</v>
      </c>
      <c r="E19" t="s">
        <v>3066</v>
      </c>
      <c r="F19" t="s">
        <v>3061</v>
      </c>
    </row>
    <row r="20" spans="1:6" x14ac:dyDescent="0.35">
      <c r="A20" s="2">
        <v>45605</v>
      </c>
      <c r="B20" t="s">
        <v>3062</v>
      </c>
      <c r="C20" t="s">
        <v>48</v>
      </c>
      <c r="D20" t="s">
        <v>24</v>
      </c>
      <c r="E20" t="s">
        <v>3065</v>
      </c>
      <c r="F20" t="s">
        <v>3061</v>
      </c>
    </row>
    <row r="21" spans="1:6" x14ac:dyDescent="0.35">
      <c r="A21" s="2">
        <v>45430</v>
      </c>
      <c r="B21" t="s">
        <v>3059</v>
      </c>
      <c r="C21" t="s">
        <v>21</v>
      </c>
      <c r="D21" t="s">
        <v>63</v>
      </c>
      <c r="E21" t="s">
        <v>3065</v>
      </c>
      <c r="F21" t="s">
        <v>3061</v>
      </c>
    </row>
    <row r="22" spans="1:6" x14ac:dyDescent="0.35">
      <c r="A22" s="2">
        <v>45854</v>
      </c>
      <c r="B22" t="s">
        <v>3064</v>
      </c>
      <c r="C22" t="s">
        <v>51</v>
      </c>
      <c r="D22" t="s">
        <v>44</v>
      </c>
      <c r="E22" t="s">
        <v>3066</v>
      </c>
      <c r="F22" t="s">
        <v>3061</v>
      </c>
    </row>
    <row r="23" spans="1:6" x14ac:dyDescent="0.35">
      <c r="A23" s="2">
        <v>45956</v>
      </c>
      <c r="B23" t="s">
        <v>3059</v>
      </c>
      <c r="C23" t="s">
        <v>72</v>
      </c>
      <c r="D23" t="s">
        <v>13</v>
      </c>
      <c r="E23" t="s">
        <v>3066</v>
      </c>
      <c r="F23" t="s">
        <v>3063</v>
      </c>
    </row>
    <row r="24" spans="1:6" x14ac:dyDescent="0.35">
      <c r="A24" s="2">
        <v>44587</v>
      </c>
      <c r="B24" t="s">
        <v>3064</v>
      </c>
      <c r="C24" t="s">
        <v>15</v>
      </c>
      <c r="D24" t="s">
        <v>24</v>
      </c>
      <c r="E24" t="s">
        <v>3066</v>
      </c>
      <c r="F24" t="s">
        <v>3061</v>
      </c>
    </row>
    <row r="25" spans="1:6" x14ac:dyDescent="0.35">
      <c r="A25" s="2">
        <v>45376</v>
      </c>
      <c r="B25" t="s">
        <v>3064</v>
      </c>
      <c r="C25" t="s">
        <v>36</v>
      </c>
      <c r="D25" t="s">
        <v>13</v>
      </c>
      <c r="E25" t="s">
        <v>3060</v>
      </c>
      <c r="F25" t="s">
        <v>3063</v>
      </c>
    </row>
    <row r="26" spans="1:6" x14ac:dyDescent="0.35">
      <c r="A26" s="2">
        <v>46261</v>
      </c>
      <c r="B26" t="s">
        <v>3062</v>
      </c>
      <c r="C26" t="s">
        <v>72</v>
      </c>
      <c r="D26" t="s">
        <v>24</v>
      </c>
      <c r="E26" t="s">
        <v>3060</v>
      </c>
      <c r="F26" t="s">
        <v>3061</v>
      </c>
    </row>
    <row r="27" spans="1:6" x14ac:dyDescent="0.35">
      <c r="A27" s="2">
        <v>45762</v>
      </c>
      <c r="B27" t="s">
        <v>3067</v>
      </c>
      <c r="C27" t="s">
        <v>26</v>
      </c>
      <c r="D27" t="s">
        <v>30</v>
      </c>
      <c r="E27" t="s">
        <v>3066</v>
      </c>
      <c r="F27" t="s">
        <v>3063</v>
      </c>
    </row>
    <row r="28" spans="1:6" x14ac:dyDescent="0.35">
      <c r="A28" s="2">
        <v>44785</v>
      </c>
      <c r="B28" t="s">
        <v>3067</v>
      </c>
      <c r="C28" t="s">
        <v>51</v>
      </c>
      <c r="D28" t="s">
        <v>44</v>
      </c>
      <c r="E28" t="s">
        <v>3066</v>
      </c>
      <c r="F28" t="s">
        <v>3063</v>
      </c>
    </row>
    <row r="29" spans="1:6" x14ac:dyDescent="0.35">
      <c r="A29" s="2">
        <v>46094</v>
      </c>
      <c r="B29" t="s">
        <v>3062</v>
      </c>
      <c r="C29" t="s">
        <v>72</v>
      </c>
      <c r="D29" t="s">
        <v>19</v>
      </c>
      <c r="E29" t="s">
        <v>3065</v>
      </c>
      <c r="F29" t="s">
        <v>3061</v>
      </c>
    </row>
    <row r="30" spans="1:6" x14ac:dyDescent="0.35">
      <c r="A30" s="2">
        <v>44565</v>
      </c>
      <c r="B30" t="s">
        <v>3064</v>
      </c>
      <c r="C30" t="s">
        <v>15</v>
      </c>
      <c r="D30" t="s">
        <v>30</v>
      </c>
      <c r="E30" t="s">
        <v>3066</v>
      </c>
      <c r="F30" t="s">
        <v>3061</v>
      </c>
    </row>
    <row r="31" spans="1:6" x14ac:dyDescent="0.35">
      <c r="A31" s="2">
        <v>45637</v>
      </c>
      <c r="B31" t="s">
        <v>3062</v>
      </c>
      <c r="C31" t="s">
        <v>72</v>
      </c>
      <c r="D31" t="s">
        <v>24</v>
      </c>
      <c r="E31" t="s">
        <v>3060</v>
      </c>
      <c r="F31" t="s">
        <v>3063</v>
      </c>
    </row>
    <row r="32" spans="1:6" x14ac:dyDescent="0.35">
      <c r="A32" s="2">
        <v>44923</v>
      </c>
      <c r="B32" t="s">
        <v>3067</v>
      </c>
      <c r="C32" t="s">
        <v>51</v>
      </c>
      <c r="D32" t="s">
        <v>24</v>
      </c>
      <c r="E32" t="s">
        <v>3065</v>
      </c>
      <c r="F32" t="s">
        <v>3063</v>
      </c>
    </row>
    <row r="33" spans="1:6" x14ac:dyDescent="0.35">
      <c r="A33" s="2">
        <v>45558</v>
      </c>
      <c r="B33" t="s">
        <v>3059</v>
      </c>
      <c r="C33" t="s">
        <v>36</v>
      </c>
      <c r="D33" t="s">
        <v>19</v>
      </c>
      <c r="E33" t="s">
        <v>3060</v>
      </c>
      <c r="F33" t="s">
        <v>3063</v>
      </c>
    </row>
    <row r="34" spans="1:6" x14ac:dyDescent="0.35">
      <c r="A34" s="2">
        <v>44942</v>
      </c>
      <c r="B34" t="s">
        <v>3059</v>
      </c>
      <c r="C34" t="s">
        <v>77</v>
      </c>
      <c r="D34" t="s">
        <v>24</v>
      </c>
      <c r="E34" t="s">
        <v>3065</v>
      </c>
      <c r="F34" t="s">
        <v>3063</v>
      </c>
    </row>
    <row r="35" spans="1:6" x14ac:dyDescent="0.35">
      <c r="A35" s="2">
        <v>45093</v>
      </c>
      <c r="B35" t="s">
        <v>3062</v>
      </c>
      <c r="C35" t="s">
        <v>88</v>
      </c>
      <c r="D35" t="s">
        <v>24</v>
      </c>
      <c r="E35" t="s">
        <v>3066</v>
      </c>
      <c r="F35" t="s">
        <v>3063</v>
      </c>
    </row>
    <row r="36" spans="1:6" x14ac:dyDescent="0.35">
      <c r="A36" s="2">
        <v>46340</v>
      </c>
      <c r="B36" t="s">
        <v>3059</v>
      </c>
      <c r="C36" t="s">
        <v>15</v>
      </c>
      <c r="D36" t="s">
        <v>44</v>
      </c>
      <c r="E36" t="s">
        <v>3065</v>
      </c>
      <c r="F36" t="s">
        <v>3061</v>
      </c>
    </row>
    <row r="37" spans="1:6" x14ac:dyDescent="0.35">
      <c r="A37" s="2">
        <v>44817</v>
      </c>
      <c r="B37" t="s">
        <v>3067</v>
      </c>
      <c r="C37" t="s">
        <v>15</v>
      </c>
      <c r="D37" t="s">
        <v>44</v>
      </c>
      <c r="E37" t="s">
        <v>3065</v>
      </c>
      <c r="F37" t="s">
        <v>3063</v>
      </c>
    </row>
    <row r="38" spans="1:6" x14ac:dyDescent="0.35">
      <c r="A38" s="2">
        <v>45540</v>
      </c>
      <c r="B38" t="s">
        <v>3062</v>
      </c>
      <c r="C38" t="s">
        <v>15</v>
      </c>
      <c r="D38" t="s">
        <v>19</v>
      </c>
      <c r="E38" t="s">
        <v>3065</v>
      </c>
      <c r="F38" t="s">
        <v>3061</v>
      </c>
    </row>
    <row r="39" spans="1:6" x14ac:dyDescent="0.35">
      <c r="A39" s="2">
        <v>46101</v>
      </c>
      <c r="B39" t="s">
        <v>3064</v>
      </c>
      <c r="C39" t="s">
        <v>41</v>
      </c>
      <c r="D39" t="s">
        <v>30</v>
      </c>
      <c r="E39" t="s">
        <v>3065</v>
      </c>
      <c r="F39" t="s">
        <v>3063</v>
      </c>
    </row>
    <row r="40" spans="1:6" x14ac:dyDescent="0.35">
      <c r="A40" s="2">
        <v>44994</v>
      </c>
      <c r="B40" t="s">
        <v>3064</v>
      </c>
      <c r="C40" t="s">
        <v>26</v>
      </c>
      <c r="D40" t="s">
        <v>39</v>
      </c>
      <c r="E40" t="s">
        <v>3066</v>
      </c>
      <c r="F40" t="s">
        <v>3061</v>
      </c>
    </row>
    <row r="41" spans="1:6" x14ac:dyDescent="0.35">
      <c r="A41" s="2">
        <v>45557</v>
      </c>
      <c r="B41" t="s">
        <v>3062</v>
      </c>
      <c r="C41" t="s">
        <v>48</v>
      </c>
      <c r="D41" t="s">
        <v>39</v>
      </c>
      <c r="E41" t="s">
        <v>3060</v>
      </c>
      <c r="F41" t="s">
        <v>3061</v>
      </c>
    </row>
    <row r="42" spans="1:6" x14ac:dyDescent="0.35">
      <c r="A42" s="2">
        <v>45321</v>
      </c>
      <c r="B42" t="s">
        <v>3067</v>
      </c>
      <c r="C42" t="s">
        <v>48</v>
      </c>
      <c r="D42" t="s">
        <v>30</v>
      </c>
      <c r="E42" t="s">
        <v>3065</v>
      </c>
      <c r="F42" t="s">
        <v>3061</v>
      </c>
    </row>
    <row r="43" spans="1:6" x14ac:dyDescent="0.35">
      <c r="A43" s="2">
        <v>45924</v>
      </c>
      <c r="B43" t="s">
        <v>3062</v>
      </c>
      <c r="C43" t="s">
        <v>26</v>
      </c>
      <c r="D43" t="s">
        <v>39</v>
      </c>
      <c r="E43" t="s">
        <v>3065</v>
      </c>
      <c r="F43" t="s">
        <v>3061</v>
      </c>
    </row>
    <row r="44" spans="1:6" x14ac:dyDescent="0.35">
      <c r="A44" s="2">
        <v>46350</v>
      </c>
      <c r="B44" t="s">
        <v>3067</v>
      </c>
      <c r="C44" t="s">
        <v>15</v>
      </c>
      <c r="D44" t="s">
        <v>19</v>
      </c>
      <c r="E44" t="s">
        <v>3060</v>
      </c>
      <c r="F44" t="s">
        <v>3061</v>
      </c>
    </row>
    <row r="45" spans="1:6" x14ac:dyDescent="0.35">
      <c r="A45" s="2">
        <v>46047</v>
      </c>
      <c r="B45" t="s">
        <v>3059</v>
      </c>
      <c r="C45" t="s">
        <v>77</v>
      </c>
      <c r="D45" t="s">
        <v>39</v>
      </c>
      <c r="E45" t="s">
        <v>3065</v>
      </c>
      <c r="F45" t="s">
        <v>3061</v>
      </c>
    </row>
    <row r="46" spans="1:6" x14ac:dyDescent="0.35">
      <c r="A46" s="2">
        <v>45994</v>
      </c>
      <c r="B46" t="s">
        <v>3059</v>
      </c>
      <c r="C46" t="s">
        <v>48</v>
      </c>
      <c r="D46" t="s">
        <v>63</v>
      </c>
      <c r="E46" t="s">
        <v>3066</v>
      </c>
      <c r="F46" t="s">
        <v>3061</v>
      </c>
    </row>
    <row r="47" spans="1:6" x14ac:dyDescent="0.35">
      <c r="A47" s="2">
        <v>45616</v>
      </c>
      <c r="B47" t="s">
        <v>3062</v>
      </c>
      <c r="C47" t="s">
        <v>21</v>
      </c>
      <c r="D47" t="s">
        <v>19</v>
      </c>
      <c r="E47" t="s">
        <v>3066</v>
      </c>
      <c r="F47" t="s">
        <v>3061</v>
      </c>
    </row>
    <row r="48" spans="1:6" x14ac:dyDescent="0.35">
      <c r="A48" s="2">
        <v>44596</v>
      </c>
      <c r="B48" t="s">
        <v>3067</v>
      </c>
      <c r="C48" t="s">
        <v>77</v>
      </c>
      <c r="D48" t="s">
        <v>30</v>
      </c>
      <c r="E48" t="s">
        <v>3066</v>
      </c>
      <c r="F48" t="s">
        <v>3061</v>
      </c>
    </row>
    <row r="49" spans="1:6" x14ac:dyDescent="0.35">
      <c r="A49" s="2">
        <v>45950</v>
      </c>
      <c r="B49" t="s">
        <v>3062</v>
      </c>
      <c r="C49" t="s">
        <v>21</v>
      </c>
      <c r="D49" t="s">
        <v>39</v>
      </c>
      <c r="E49" t="s">
        <v>3060</v>
      </c>
      <c r="F49" t="s">
        <v>3061</v>
      </c>
    </row>
    <row r="50" spans="1:6" x14ac:dyDescent="0.35">
      <c r="A50" s="2">
        <v>46075</v>
      </c>
      <c r="B50" t="s">
        <v>3064</v>
      </c>
      <c r="C50" t="s">
        <v>48</v>
      </c>
      <c r="D50" t="s">
        <v>63</v>
      </c>
      <c r="E50" t="s">
        <v>3060</v>
      </c>
      <c r="F50" t="s">
        <v>3063</v>
      </c>
    </row>
    <row r="51" spans="1:6" x14ac:dyDescent="0.35">
      <c r="A51" s="2">
        <v>46065</v>
      </c>
      <c r="B51" t="s">
        <v>3062</v>
      </c>
      <c r="C51" t="s">
        <v>72</v>
      </c>
      <c r="D51" t="s">
        <v>39</v>
      </c>
      <c r="E51" t="s">
        <v>3065</v>
      </c>
      <c r="F51" t="s">
        <v>3063</v>
      </c>
    </row>
    <row r="52" spans="1:6" x14ac:dyDescent="0.35">
      <c r="A52" s="2">
        <v>46343</v>
      </c>
      <c r="B52" t="s">
        <v>3064</v>
      </c>
      <c r="C52" t="s">
        <v>51</v>
      </c>
      <c r="D52" t="s">
        <v>63</v>
      </c>
      <c r="E52" t="s">
        <v>3065</v>
      </c>
      <c r="F52" t="s">
        <v>3061</v>
      </c>
    </row>
    <row r="53" spans="1:6" x14ac:dyDescent="0.35">
      <c r="A53" s="2">
        <v>46266</v>
      </c>
      <c r="B53" t="s">
        <v>3062</v>
      </c>
      <c r="C53" t="s">
        <v>51</v>
      </c>
      <c r="D53" t="s">
        <v>63</v>
      </c>
      <c r="E53" t="s">
        <v>3065</v>
      </c>
      <c r="F53" t="s">
        <v>3061</v>
      </c>
    </row>
    <row r="54" spans="1:6" x14ac:dyDescent="0.35">
      <c r="A54" s="2">
        <v>45919</v>
      </c>
      <c r="B54" t="s">
        <v>3059</v>
      </c>
      <c r="C54" t="s">
        <v>21</v>
      </c>
      <c r="D54" t="s">
        <v>13</v>
      </c>
      <c r="E54" t="s">
        <v>3065</v>
      </c>
      <c r="F54" t="s">
        <v>3063</v>
      </c>
    </row>
    <row r="55" spans="1:6" x14ac:dyDescent="0.35">
      <c r="A55" s="2">
        <v>44778</v>
      </c>
      <c r="B55" t="s">
        <v>3062</v>
      </c>
      <c r="C55" t="s">
        <v>77</v>
      </c>
      <c r="D55" t="s">
        <v>13</v>
      </c>
      <c r="E55" t="s">
        <v>3060</v>
      </c>
      <c r="F55" t="s">
        <v>3061</v>
      </c>
    </row>
    <row r="56" spans="1:6" x14ac:dyDescent="0.35">
      <c r="A56" s="2">
        <v>46131</v>
      </c>
      <c r="B56" t="s">
        <v>3067</v>
      </c>
      <c r="C56" t="s">
        <v>21</v>
      </c>
      <c r="D56" t="s">
        <v>24</v>
      </c>
      <c r="E56" t="s">
        <v>3060</v>
      </c>
      <c r="F56" t="s">
        <v>3061</v>
      </c>
    </row>
    <row r="57" spans="1:6" x14ac:dyDescent="0.35">
      <c r="A57" s="2">
        <v>45935</v>
      </c>
      <c r="B57" t="s">
        <v>3064</v>
      </c>
      <c r="C57" t="s">
        <v>51</v>
      </c>
      <c r="D57" t="s">
        <v>39</v>
      </c>
      <c r="E57" t="s">
        <v>3066</v>
      </c>
      <c r="F57" t="s">
        <v>3061</v>
      </c>
    </row>
    <row r="58" spans="1:6" x14ac:dyDescent="0.35">
      <c r="A58" s="2">
        <v>44747</v>
      </c>
      <c r="B58" t="s">
        <v>3067</v>
      </c>
      <c r="C58" t="s">
        <v>21</v>
      </c>
      <c r="D58" t="s">
        <v>39</v>
      </c>
      <c r="E58" t="s">
        <v>3066</v>
      </c>
      <c r="F58" t="s">
        <v>3063</v>
      </c>
    </row>
    <row r="59" spans="1:6" x14ac:dyDescent="0.35">
      <c r="A59" s="2">
        <v>45880</v>
      </c>
      <c r="B59" t="s">
        <v>3067</v>
      </c>
      <c r="C59" t="s">
        <v>26</v>
      </c>
      <c r="D59" t="s">
        <v>24</v>
      </c>
      <c r="E59" t="s">
        <v>3066</v>
      </c>
      <c r="F59" t="s">
        <v>3061</v>
      </c>
    </row>
    <row r="60" spans="1:6" x14ac:dyDescent="0.35">
      <c r="A60" s="2">
        <v>45901</v>
      </c>
      <c r="B60" t="s">
        <v>3062</v>
      </c>
      <c r="C60" t="s">
        <v>21</v>
      </c>
      <c r="D60" t="s">
        <v>13</v>
      </c>
      <c r="E60" t="s">
        <v>3060</v>
      </c>
      <c r="F60" t="s">
        <v>3063</v>
      </c>
    </row>
    <row r="61" spans="1:6" x14ac:dyDescent="0.35">
      <c r="A61" s="2">
        <v>45157</v>
      </c>
      <c r="B61" t="s">
        <v>3064</v>
      </c>
      <c r="C61" t="s">
        <v>15</v>
      </c>
      <c r="D61" t="s">
        <v>19</v>
      </c>
      <c r="E61" t="s">
        <v>3060</v>
      </c>
      <c r="F61" t="s">
        <v>3063</v>
      </c>
    </row>
    <row r="62" spans="1:6" x14ac:dyDescent="0.35">
      <c r="A62" s="2">
        <v>46086</v>
      </c>
      <c r="B62" t="s">
        <v>3064</v>
      </c>
      <c r="C62" t="s">
        <v>41</v>
      </c>
      <c r="D62" t="s">
        <v>44</v>
      </c>
      <c r="E62" t="s">
        <v>3065</v>
      </c>
      <c r="F62" t="s">
        <v>3061</v>
      </c>
    </row>
    <row r="63" spans="1:6" x14ac:dyDescent="0.35">
      <c r="A63" s="2">
        <v>45340</v>
      </c>
      <c r="B63" t="s">
        <v>3064</v>
      </c>
      <c r="C63" t="s">
        <v>72</v>
      </c>
      <c r="D63" t="s">
        <v>19</v>
      </c>
      <c r="E63" t="s">
        <v>3066</v>
      </c>
      <c r="F63" t="s">
        <v>3063</v>
      </c>
    </row>
    <row r="64" spans="1:6" x14ac:dyDescent="0.35">
      <c r="A64" s="2">
        <v>46296</v>
      </c>
      <c r="B64" t="s">
        <v>3062</v>
      </c>
      <c r="C64" t="s">
        <v>26</v>
      </c>
      <c r="D64" t="s">
        <v>44</v>
      </c>
      <c r="E64" t="s">
        <v>3060</v>
      </c>
      <c r="F64" t="s">
        <v>3063</v>
      </c>
    </row>
    <row r="65" spans="1:6" x14ac:dyDescent="0.35">
      <c r="A65" s="2">
        <v>45626</v>
      </c>
      <c r="B65" t="s">
        <v>3059</v>
      </c>
      <c r="C65" t="s">
        <v>15</v>
      </c>
      <c r="D65" t="s">
        <v>63</v>
      </c>
      <c r="E65" t="s">
        <v>3065</v>
      </c>
      <c r="F65" t="s">
        <v>3061</v>
      </c>
    </row>
    <row r="66" spans="1:6" x14ac:dyDescent="0.35">
      <c r="A66" s="2">
        <v>45209</v>
      </c>
      <c r="B66" t="s">
        <v>3059</v>
      </c>
      <c r="C66" t="s">
        <v>72</v>
      </c>
      <c r="D66" t="s">
        <v>30</v>
      </c>
      <c r="E66" t="s">
        <v>3065</v>
      </c>
      <c r="F66" t="s">
        <v>3061</v>
      </c>
    </row>
    <row r="67" spans="1:6" x14ac:dyDescent="0.35">
      <c r="A67" s="2">
        <v>45954</v>
      </c>
      <c r="B67" t="s">
        <v>3062</v>
      </c>
      <c r="C67" t="s">
        <v>51</v>
      </c>
      <c r="D67" t="s">
        <v>39</v>
      </c>
      <c r="E67" t="s">
        <v>3060</v>
      </c>
      <c r="F67" t="s">
        <v>3063</v>
      </c>
    </row>
    <row r="68" spans="1:6" x14ac:dyDescent="0.35">
      <c r="A68" s="2">
        <v>46091</v>
      </c>
      <c r="B68" t="s">
        <v>3064</v>
      </c>
      <c r="C68" t="s">
        <v>41</v>
      </c>
      <c r="D68" t="s">
        <v>44</v>
      </c>
      <c r="E68" t="s">
        <v>3060</v>
      </c>
      <c r="F68" t="s">
        <v>3063</v>
      </c>
    </row>
    <row r="69" spans="1:6" x14ac:dyDescent="0.35">
      <c r="A69" s="2">
        <v>45122</v>
      </c>
      <c r="B69" t="s">
        <v>3062</v>
      </c>
      <c r="C69" t="s">
        <v>21</v>
      </c>
      <c r="D69" t="s">
        <v>63</v>
      </c>
      <c r="E69" t="s">
        <v>3060</v>
      </c>
      <c r="F69" t="s">
        <v>3061</v>
      </c>
    </row>
    <row r="70" spans="1:6" x14ac:dyDescent="0.35">
      <c r="A70" s="2">
        <v>44682</v>
      </c>
      <c r="B70" t="s">
        <v>3067</v>
      </c>
      <c r="C70" t="s">
        <v>51</v>
      </c>
      <c r="D70" t="s">
        <v>30</v>
      </c>
      <c r="E70" t="s">
        <v>3066</v>
      </c>
      <c r="F70" t="s">
        <v>3063</v>
      </c>
    </row>
    <row r="71" spans="1:6" x14ac:dyDescent="0.35">
      <c r="A71" s="2">
        <v>46298</v>
      </c>
      <c r="B71" t="s">
        <v>3059</v>
      </c>
      <c r="C71" t="s">
        <v>77</v>
      </c>
      <c r="D71" t="s">
        <v>30</v>
      </c>
      <c r="E71" t="s">
        <v>3065</v>
      </c>
      <c r="F71" t="s">
        <v>3061</v>
      </c>
    </row>
    <row r="72" spans="1:6" x14ac:dyDescent="0.35">
      <c r="A72" s="2">
        <v>46051</v>
      </c>
      <c r="B72" t="s">
        <v>3062</v>
      </c>
      <c r="C72" t="s">
        <v>72</v>
      </c>
      <c r="D72" t="s">
        <v>30</v>
      </c>
      <c r="E72" t="s">
        <v>3066</v>
      </c>
      <c r="F72" t="s">
        <v>3063</v>
      </c>
    </row>
    <row r="73" spans="1:6" x14ac:dyDescent="0.35">
      <c r="A73" s="2">
        <v>44606</v>
      </c>
      <c r="B73" t="s">
        <v>3062</v>
      </c>
      <c r="C73" t="s">
        <v>48</v>
      </c>
      <c r="D73" t="s">
        <v>63</v>
      </c>
      <c r="E73" t="s">
        <v>3066</v>
      </c>
      <c r="F73" t="s">
        <v>3061</v>
      </c>
    </row>
    <row r="74" spans="1:6" x14ac:dyDescent="0.35">
      <c r="A74" s="2">
        <v>45275</v>
      </c>
      <c r="B74" t="s">
        <v>3062</v>
      </c>
      <c r="C74" t="s">
        <v>26</v>
      </c>
      <c r="D74" t="s">
        <v>19</v>
      </c>
      <c r="E74" t="s">
        <v>3066</v>
      </c>
      <c r="F74" t="s">
        <v>3061</v>
      </c>
    </row>
    <row r="75" spans="1:6" x14ac:dyDescent="0.35">
      <c r="A75" s="2">
        <v>45140</v>
      </c>
      <c r="B75" t="s">
        <v>3059</v>
      </c>
      <c r="C75" t="s">
        <v>36</v>
      </c>
      <c r="D75" t="s">
        <v>63</v>
      </c>
      <c r="E75" t="s">
        <v>3065</v>
      </c>
      <c r="F75" t="s">
        <v>3063</v>
      </c>
    </row>
    <row r="76" spans="1:6" x14ac:dyDescent="0.35">
      <c r="A76" s="2">
        <v>45224</v>
      </c>
      <c r="B76" t="s">
        <v>3064</v>
      </c>
      <c r="C76" t="s">
        <v>72</v>
      </c>
      <c r="D76" t="s">
        <v>63</v>
      </c>
      <c r="E76" t="s">
        <v>3066</v>
      </c>
      <c r="F76" t="s">
        <v>3063</v>
      </c>
    </row>
    <row r="77" spans="1:6" x14ac:dyDescent="0.35">
      <c r="A77" s="2">
        <v>45744</v>
      </c>
      <c r="B77" t="s">
        <v>3059</v>
      </c>
      <c r="C77" t="s">
        <v>88</v>
      </c>
      <c r="D77" t="s">
        <v>24</v>
      </c>
      <c r="E77" t="s">
        <v>3060</v>
      </c>
      <c r="F77" t="s">
        <v>3061</v>
      </c>
    </row>
    <row r="78" spans="1:6" x14ac:dyDescent="0.35">
      <c r="A78" s="2">
        <v>44858</v>
      </c>
      <c r="B78" t="s">
        <v>3059</v>
      </c>
      <c r="C78" t="s">
        <v>21</v>
      </c>
      <c r="D78" t="s">
        <v>30</v>
      </c>
      <c r="E78" t="s">
        <v>3066</v>
      </c>
      <c r="F78" t="s">
        <v>3063</v>
      </c>
    </row>
    <row r="79" spans="1:6" x14ac:dyDescent="0.35">
      <c r="A79" s="2">
        <v>46067</v>
      </c>
      <c r="B79" t="s">
        <v>3064</v>
      </c>
      <c r="C79" t="s">
        <v>48</v>
      </c>
      <c r="D79" t="s">
        <v>24</v>
      </c>
      <c r="E79" t="s">
        <v>3066</v>
      </c>
      <c r="F79" t="s">
        <v>3063</v>
      </c>
    </row>
    <row r="80" spans="1:6" x14ac:dyDescent="0.35">
      <c r="A80" s="2">
        <v>45951</v>
      </c>
      <c r="B80" t="s">
        <v>3059</v>
      </c>
      <c r="C80" t="s">
        <v>26</v>
      </c>
      <c r="D80" t="s">
        <v>63</v>
      </c>
      <c r="E80" t="s">
        <v>3066</v>
      </c>
      <c r="F80" t="s">
        <v>3063</v>
      </c>
    </row>
    <row r="81" spans="1:6" x14ac:dyDescent="0.35">
      <c r="A81" s="2">
        <v>44677</v>
      </c>
      <c r="B81" t="s">
        <v>3064</v>
      </c>
      <c r="C81" t="s">
        <v>48</v>
      </c>
      <c r="D81" t="s">
        <v>63</v>
      </c>
      <c r="E81" t="s">
        <v>3065</v>
      </c>
      <c r="F81" t="s">
        <v>3063</v>
      </c>
    </row>
    <row r="82" spans="1:6" x14ac:dyDescent="0.35">
      <c r="A82" s="2">
        <v>44802</v>
      </c>
      <c r="B82" t="s">
        <v>3067</v>
      </c>
      <c r="C82" t="s">
        <v>41</v>
      </c>
      <c r="D82" t="s">
        <v>63</v>
      </c>
      <c r="E82" t="s">
        <v>3065</v>
      </c>
      <c r="F82" t="s">
        <v>3061</v>
      </c>
    </row>
    <row r="83" spans="1:6" x14ac:dyDescent="0.35">
      <c r="A83" s="2">
        <v>45063</v>
      </c>
      <c r="B83" t="s">
        <v>3064</v>
      </c>
      <c r="C83" t="s">
        <v>15</v>
      </c>
      <c r="D83" t="s">
        <v>13</v>
      </c>
      <c r="E83" t="s">
        <v>3060</v>
      </c>
      <c r="F83" t="s">
        <v>3061</v>
      </c>
    </row>
    <row r="84" spans="1:6" x14ac:dyDescent="0.35">
      <c r="A84" s="2">
        <v>45181</v>
      </c>
      <c r="B84" t="s">
        <v>3059</v>
      </c>
      <c r="C84" t="s">
        <v>26</v>
      </c>
      <c r="D84" t="s">
        <v>30</v>
      </c>
      <c r="E84" t="s">
        <v>3066</v>
      </c>
      <c r="F84" t="s">
        <v>3063</v>
      </c>
    </row>
    <row r="85" spans="1:6" x14ac:dyDescent="0.35">
      <c r="A85" s="2">
        <v>46154</v>
      </c>
      <c r="B85" t="s">
        <v>3062</v>
      </c>
      <c r="C85" t="s">
        <v>26</v>
      </c>
      <c r="D85" t="s">
        <v>44</v>
      </c>
      <c r="E85" t="s">
        <v>3066</v>
      </c>
      <c r="F85" t="s">
        <v>3061</v>
      </c>
    </row>
    <row r="86" spans="1:6" x14ac:dyDescent="0.35">
      <c r="A86" s="2">
        <v>45314</v>
      </c>
      <c r="B86" t="s">
        <v>3064</v>
      </c>
      <c r="C86" t="s">
        <v>15</v>
      </c>
      <c r="D86" t="s">
        <v>19</v>
      </c>
      <c r="E86" t="s">
        <v>3065</v>
      </c>
      <c r="F86" t="s">
        <v>3063</v>
      </c>
    </row>
    <row r="87" spans="1:6" x14ac:dyDescent="0.35">
      <c r="A87" s="2">
        <v>45563</v>
      </c>
      <c r="B87" t="s">
        <v>3059</v>
      </c>
      <c r="C87" t="s">
        <v>77</v>
      </c>
      <c r="D87" t="s">
        <v>39</v>
      </c>
      <c r="E87" t="s">
        <v>3066</v>
      </c>
      <c r="F87" t="s">
        <v>3061</v>
      </c>
    </row>
    <row r="88" spans="1:6" x14ac:dyDescent="0.35">
      <c r="A88" s="2">
        <v>45122</v>
      </c>
      <c r="B88" t="s">
        <v>3064</v>
      </c>
      <c r="C88" t="s">
        <v>41</v>
      </c>
      <c r="D88" t="s">
        <v>13</v>
      </c>
      <c r="E88" t="s">
        <v>3060</v>
      </c>
      <c r="F88" t="s">
        <v>3061</v>
      </c>
    </row>
    <row r="89" spans="1:6" x14ac:dyDescent="0.35">
      <c r="A89" s="2">
        <v>45882</v>
      </c>
      <c r="B89" t="s">
        <v>3062</v>
      </c>
      <c r="C89" t="s">
        <v>72</v>
      </c>
      <c r="D89" t="s">
        <v>39</v>
      </c>
      <c r="E89" t="s">
        <v>3065</v>
      </c>
      <c r="F89" t="s">
        <v>3063</v>
      </c>
    </row>
    <row r="90" spans="1:6" x14ac:dyDescent="0.35">
      <c r="A90" s="2">
        <v>45228</v>
      </c>
      <c r="B90" t="s">
        <v>3064</v>
      </c>
      <c r="C90" t="s">
        <v>36</v>
      </c>
      <c r="D90" t="s">
        <v>13</v>
      </c>
      <c r="E90" t="s">
        <v>3060</v>
      </c>
      <c r="F90" t="s">
        <v>3063</v>
      </c>
    </row>
    <row r="91" spans="1:6" x14ac:dyDescent="0.35">
      <c r="A91" s="2">
        <v>45368</v>
      </c>
      <c r="B91" t="s">
        <v>3062</v>
      </c>
      <c r="C91" t="s">
        <v>15</v>
      </c>
      <c r="D91" t="s">
        <v>39</v>
      </c>
      <c r="E91" t="s">
        <v>3066</v>
      </c>
      <c r="F91" t="s">
        <v>3063</v>
      </c>
    </row>
    <row r="92" spans="1:6" x14ac:dyDescent="0.35">
      <c r="A92" s="2">
        <v>46105</v>
      </c>
      <c r="B92" t="s">
        <v>3059</v>
      </c>
      <c r="C92" t="s">
        <v>15</v>
      </c>
      <c r="D92" t="s">
        <v>13</v>
      </c>
      <c r="E92" t="s">
        <v>3066</v>
      </c>
      <c r="F92" t="s">
        <v>3063</v>
      </c>
    </row>
    <row r="93" spans="1:6" x14ac:dyDescent="0.35">
      <c r="A93" s="2">
        <v>44572</v>
      </c>
      <c r="B93" t="s">
        <v>3062</v>
      </c>
      <c r="C93" t="s">
        <v>48</v>
      </c>
      <c r="D93" t="s">
        <v>19</v>
      </c>
      <c r="E93" t="s">
        <v>3065</v>
      </c>
      <c r="F93" t="s">
        <v>3063</v>
      </c>
    </row>
    <row r="94" spans="1:6" x14ac:dyDescent="0.35">
      <c r="A94" s="2">
        <v>45739</v>
      </c>
      <c r="B94" t="s">
        <v>3059</v>
      </c>
      <c r="C94" t="s">
        <v>51</v>
      </c>
      <c r="D94" t="s">
        <v>19</v>
      </c>
      <c r="E94" t="s">
        <v>3066</v>
      </c>
      <c r="F94" t="s">
        <v>3061</v>
      </c>
    </row>
    <row r="95" spans="1:6" x14ac:dyDescent="0.35">
      <c r="A95" s="2">
        <v>46305</v>
      </c>
      <c r="B95" t="s">
        <v>3064</v>
      </c>
      <c r="C95" t="s">
        <v>15</v>
      </c>
      <c r="D95" t="s">
        <v>19</v>
      </c>
      <c r="E95" t="s">
        <v>3066</v>
      </c>
      <c r="F95" t="s">
        <v>3061</v>
      </c>
    </row>
    <row r="96" spans="1:6" x14ac:dyDescent="0.35">
      <c r="A96" s="2">
        <v>45306</v>
      </c>
      <c r="B96" t="s">
        <v>3059</v>
      </c>
      <c r="C96" t="s">
        <v>26</v>
      </c>
      <c r="D96" t="s">
        <v>24</v>
      </c>
      <c r="E96" t="s">
        <v>3065</v>
      </c>
      <c r="F96" t="s">
        <v>3063</v>
      </c>
    </row>
    <row r="97" spans="1:6" x14ac:dyDescent="0.35">
      <c r="A97" s="2">
        <v>45177</v>
      </c>
      <c r="B97" t="s">
        <v>3064</v>
      </c>
      <c r="C97" t="s">
        <v>36</v>
      </c>
      <c r="D97" t="s">
        <v>30</v>
      </c>
      <c r="E97" t="s">
        <v>3060</v>
      </c>
      <c r="F97" t="s">
        <v>3061</v>
      </c>
    </row>
    <row r="98" spans="1:6" x14ac:dyDescent="0.35">
      <c r="A98" s="2">
        <v>44848</v>
      </c>
      <c r="B98" t="s">
        <v>3062</v>
      </c>
      <c r="C98" t="s">
        <v>48</v>
      </c>
      <c r="D98" t="s">
        <v>39</v>
      </c>
      <c r="E98" t="s">
        <v>3060</v>
      </c>
      <c r="F98" t="s">
        <v>3063</v>
      </c>
    </row>
    <row r="99" spans="1:6" x14ac:dyDescent="0.35">
      <c r="A99" s="2">
        <v>45970</v>
      </c>
      <c r="B99" t="s">
        <v>3064</v>
      </c>
      <c r="C99" t="s">
        <v>77</v>
      </c>
      <c r="D99" t="s">
        <v>13</v>
      </c>
      <c r="E99" t="s">
        <v>3065</v>
      </c>
      <c r="F99" t="s">
        <v>3063</v>
      </c>
    </row>
    <row r="100" spans="1:6" x14ac:dyDescent="0.35">
      <c r="A100" s="2">
        <v>44852</v>
      </c>
      <c r="B100" t="s">
        <v>3067</v>
      </c>
      <c r="C100" t="s">
        <v>21</v>
      </c>
      <c r="D100" t="s">
        <v>13</v>
      </c>
      <c r="E100" t="s">
        <v>3066</v>
      </c>
      <c r="F100" t="s">
        <v>3063</v>
      </c>
    </row>
    <row r="101" spans="1:6" x14ac:dyDescent="0.35">
      <c r="A101" s="2">
        <v>45773</v>
      </c>
      <c r="B101" t="s">
        <v>3067</v>
      </c>
      <c r="C101" t="s">
        <v>72</v>
      </c>
      <c r="D101" t="s">
        <v>13</v>
      </c>
      <c r="E101" t="s">
        <v>3066</v>
      </c>
      <c r="F101" t="s">
        <v>3061</v>
      </c>
    </row>
    <row r="102" spans="1:6" x14ac:dyDescent="0.35">
      <c r="A102" s="2">
        <v>44714</v>
      </c>
      <c r="B102" t="s">
        <v>3067</v>
      </c>
      <c r="C102" t="s">
        <v>72</v>
      </c>
      <c r="D102" t="s">
        <v>63</v>
      </c>
      <c r="E102" t="s">
        <v>3066</v>
      </c>
      <c r="F102" t="s">
        <v>3063</v>
      </c>
    </row>
    <row r="103" spans="1:6" x14ac:dyDescent="0.35">
      <c r="A103" s="2">
        <v>45381</v>
      </c>
      <c r="B103" t="s">
        <v>3062</v>
      </c>
      <c r="C103" t="s">
        <v>15</v>
      </c>
      <c r="D103" t="s">
        <v>44</v>
      </c>
      <c r="E103" t="s">
        <v>3066</v>
      </c>
      <c r="F103" t="s">
        <v>3061</v>
      </c>
    </row>
    <row r="104" spans="1:6" x14ac:dyDescent="0.35">
      <c r="A104" s="2">
        <v>45984</v>
      </c>
      <c r="B104" t="s">
        <v>3059</v>
      </c>
      <c r="C104" t="s">
        <v>36</v>
      </c>
      <c r="D104" t="s">
        <v>13</v>
      </c>
      <c r="E104" t="s">
        <v>3065</v>
      </c>
      <c r="F104" t="s">
        <v>3061</v>
      </c>
    </row>
    <row r="105" spans="1:6" x14ac:dyDescent="0.35">
      <c r="A105" s="2">
        <v>45858</v>
      </c>
      <c r="B105" t="s">
        <v>3059</v>
      </c>
      <c r="C105" t="s">
        <v>48</v>
      </c>
      <c r="D105" t="s">
        <v>39</v>
      </c>
      <c r="E105" t="s">
        <v>3066</v>
      </c>
      <c r="F105" t="s">
        <v>3063</v>
      </c>
    </row>
    <row r="106" spans="1:6" x14ac:dyDescent="0.35">
      <c r="A106" s="2">
        <v>45421</v>
      </c>
      <c r="B106" t="s">
        <v>3059</v>
      </c>
      <c r="C106" t="s">
        <v>48</v>
      </c>
      <c r="D106" t="s">
        <v>30</v>
      </c>
      <c r="E106" t="s">
        <v>3060</v>
      </c>
      <c r="F106" t="s">
        <v>3061</v>
      </c>
    </row>
    <row r="107" spans="1:6" x14ac:dyDescent="0.35">
      <c r="A107" s="2">
        <v>44615</v>
      </c>
      <c r="B107" t="s">
        <v>3059</v>
      </c>
      <c r="C107" t="s">
        <v>15</v>
      </c>
      <c r="D107" t="s">
        <v>44</v>
      </c>
      <c r="E107" t="s">
        <v>3065</v>
      </c>
      <c r="F107" t="s">
        <v>3063</v>
      </c>
    </row>
    <row r="108" spans="1:6" x14ac:dyDescent="0.35">
      <c r="A108" s="2">
        <v>45962</v>
      </c>
      <c r="B108" t="s">
        <v>3062</v>
      </c>
      <c r="C108" t="s">
        <v>15</v>
      </c>
      <c r="D108" t="s">
        <v>44</v>
      </c>
      <c r="E108" t="s">
        <v>3066</v>
      </c>
      <c r="F108" t="s">
        <v>3063</v>
      </c>
    </row>
    <row r="109" spans="1:6" x14ac:dyDescent="0.35">
      <c r="A109" s="2">
        <v>45305</v>
      </c>
      <c r="B109" t="s">
        <v>3067</v>
      </c>
      <c r="C109" t="s">
        <v>72</v>
      </c>
      <c r="D109" t="s">
        <v>13</v>
      </c>
      <c r="E109" t="s">
        <v>3065</v>
      </c>
      <c r="F109" t="s">
        <v>3061</v>
      </c>
    </row>
    <row r="110" spans="1:6" x14ac:dyDescent="0.35">
      <c r="A110" s="2">
        <v>44582</v>
      </c>
      <c r="B110" t="s">
        <v>3064</v>
      </c>
      <c r="C110" t="s">
        <v>26</v>
      </c>
      <c r="D110" t="s">
        <v>13</v>
      </c>
      <c r="E110" t="s">
        <v>3060</v>
      </c>
      <c r="F110" t="s">
        <v>3063</v>
      </c>
    </row>
    <row r="111" spans="1:6" x14ac:dyDescent="0.35">
      <c r="A111" s="2">
        <v>46165</v>
      </c>
      <c r="B111" t="s">
        <v>3064</v>
      </c>
      <c r="C111" t="s">
        <v>51</v>
      </c>
      <c r="D111" t="s">
        <v>39</v>
      </c>
      <c r="E111" t="s">
        <v>3066</v>
      </c>
      <c r="F111" t="s">
        <v>3061</v>
      </c>
    </row>
    <row r="112" spans="1:6" x14ac:dyDescent="0.35">
      <c r="A112" s="2">
        <v>45767</v>
      </c>
      <c r="B112" t="s">
        <v>3062</v>
      </c>
      <c r="C112" t="s">
        <v>15</v>
      </c>
      <c r="D112" t="s">
        <v>39</v>
      </c>
      <c r="E112" t="s">
        <v>3060</v>
      </c>
      <c r="F112" t="s">
        <v>3061</v>
      </c>
    </row>
    <row r="113" spans="1:6" x14ac:dyDescent="0.35">
      <c r="A113" s="2">
        <v>45691</v>
      </c>
      <c r="B113" t="s">
        <v>3067</v>
      </c>
      <c r="C113" t="s">
        <v>41</v>
      </c>
      <c r="D113" t="s">
        <v>19</v>
      </c>
      <c r="E113" t="s">
        <v>3065</v>
      </c>
      <c r="F113" t="s">
        <v>3063</v>
      </c>
    </row>
    <row r="114" spans="1:6" x14ac:dyDescent="0.35">
      <c r="A114" s="2">
        <v>45213</v>
      </c>
      <c r="B114" t="s">
        <v>3062</v>
      </c>
      <c r="C114" t="s">
        <v>51</v>
      </c>
      <c r="D114" t="s">
        <v>44</v>
      </c>
      <c r="E114" t="s">
        <v>3066</v>
      </c>
      <c r="F114" t="s">
        <v>3061</v>
      </c>
    </row>
    <row r="115" spans="1:6" x14ac:dyDescent="0.35">
      <c r="A115" s="2">
        <v>45538</v>
      </c>
      <c r="B115" t="s">
        <v>3059</v>
      </c>
      <c r="C115" t="s">
        <v>72</v>
      </c>
      <c r="D115" t="s">
        <v>19</v>
      </c>
      <c r="E115" t="s">
        <v>3066</v>
      </c>
      <c r="F115" t="s">
        <v>3063</v>
      </c>
    </row>
    <row r="116" spans="1:6" x14ac:dyDescent="0.35">
      <c r="A116" s="2">
        <v>45908</v>
      </c>
      <c r="B116" t="s">
        <v>3059</v>
      </c>
      <c r="C116" t="s">
        <v>51</v>
      </c>
      <c r="D116" t="s">
        <v>63</v>
      </c>
      <c r="E116" t="s">
        <v>3066</v>
      </c>
      <c r="F116" t="s">
        <v>3061</v>
      </c>
    </row>
    <row r="117" spans="1:6" x14ac:dyDescent="0.35">
      <c r="A117" s="2">
        <v>44670</v>
      </c>
      <c r="B117" t="s">
        <v>3067</v>
      </c>
      <c r="C117" t="s">
        <v>21</v>
      </c>
      <c r="D117" t="s">
        <v>24</v>
      </c>
      <c r="E117" t="s">
        <v>3066</v>
      </c>
      <c r="F117" t="s">
        <v>3061</v>
      </c>
    </row>
    <row r="118" spans="1:6" x14ac:dyDescent="0.35">
      <c r="A118" s="2">
        <v>46009</v>
      </c>
      <c r="B118" t="s">
        <v>3062</v>
      </c>
      <c r="C118" t="s">
        <v>51</v>
      </c>
      <c r="D118" t="s">
        <v>63</v>
      </c>
      <c r="E118" t="s">
        <v>3060</v>
      </c>
      <c r="F118" t="s">
        <v>3061</v>
      </c>
    </row>
    <row r="119" spans="1:6" x14ac:dyDescent="0.35">
      <c r="A119" s="2">
        <v>45590</v>
      </c>
      <c r="B119" t="s">
        <v>3067</v>
      </c>
      <c r="C119" t="s">
        <v>72</v>
      </c>
      <c r="D119" t="s">
        <v>63</v>
      </c>
      <c r="E119" t="s">
        <v>3066</v>
      </c>
      <c r="F119" t="s">
        <v>3063</v>
      </c>
    </row>
    <row r="120" spans="1:6" x14ac:dyDescent="0.35">
      <c r="A120" s="2">
        <v>45187</v>
      </c>
      <c r="B120" t="s">
        <v>3064</v>
      </c>
      <c r="C120" t="s">
        <v>72</v>
      </c>
      <c r="D120" t="s">
        <v>63</v>
      </c>
      <c r="E120" t="s">
        <v>3060</v>
      </c>
      <c r="F120" t="s">
        <v>3063</v>
      </c>
    </row>
    <row r="121" spans="1:6" x14ac:dyDescent="0.35">
      <c r="A121" s="2">
        <v>45861</v>
      </c>
      <c r="B121" t="s">
        <v>3064</v>
      </c>
      <c r="C121" t="s">
        <v>15</v>
      </c>
      <c r="D121" t="s">
        <v>24</v>
      </c>
      <c r="E121" t="s">
        <v>3065</v>
      </c>
      <c r="F121" t="s">
        <v>3063</v>
      </c>
    </row>
    <row r="122" spans="1:6" x14ac:dyDescent="0.35">
      <c r="A122" s="2">
        <v>44900</v>
      </c>
      <c r="B122" t="s">
        <v>3064</v>
      </c>
      <c r="C122" t="s">
        <v>15</v>
      </c>
      <c r="D122" t="s">
        <v>24</v>
      </c>
      <c r="E122" t="s">
        <v>3060</v>
      </c>
      <c r="F122" t="s">
        <v>3061</v>
      </c>
    </row>
    <row r="123" spans="1:6" x14ac:dyDescent="0.35">
      <c r="A123" s="2">
        <v>46217</v>
      </c>
      <c r="B123" t="s">
        <v>3064</v>
      </c>
      <c r="C123" t="s">
        <v>26</v>
      </c>
      <c r="D123" t="s">
        <v>24</v>
      </c>
      <c r="E123" t="s">
        <v>3066</v>
      </c>
      <c r="F123" t="s">
        <v>3063</v>
      </c>
    </row>
    <row r="124" spans="1:6" x14ac:dyDescent="0.35">
      <c r="A124" s="2">
        <v>45544</v>
      </c>
      <c r="B124" t="s">
        <v>3062</v>
      </c>
      <c r="C124" t="s">
        <v>36</v>
      </c>
      <c r="D124" t="s">
        <v>24</v>
      </c>
      <c r="E124" t="s">
        <v>3066</v>
      </c>
      <c r="F124" t="s">
        <v>3063</v>
      </c>
    </row>
    <row r="125" spans="1:6" x14ac:dyDescent="0.35">
      <c r="A125" s="2">
        <v>45392</v>
      </c>
      <c r="B125" t="s">
        <v>3064</v>
      </c>
      <c r="C125" t="s">
        <v>41</v>
      </c>
      <c r="D125" t="s">
        <v>13</v>
      </c>
      <c r="E125" t="s">
        <v>3066</v>
      </c>
      <c r="F125" t="s">
        <v>3063</v>
      </c>
    </row>
    <row r="126" spans="1:6" x14ac:dyDescent="0.35">
      <c r="A126" s="2">
        <v>46024</v>
      </c>
      <c r="B126" t="s">
        <v>3062</v>
      </c>
      <c r="C126" t="s">
        <v>36</v>
      </c>
      <c r="D126" t="s">
        <v>24</v>
      </c>
      <c r="E126" t="s">
        <v>3060</v>
      </c>
      <c r="F126" t="s">
        <v>3063</v>
      </c>
    </row>
    <row r="127" spans="1:6" x14ac:dyDescent="0.35">
      <c r="A127" s="2">
        <v>46075</v>
      </c>
      <c r="B127" t="s">
        <v>3064</v>
      </c>
      <c r="C127" t="s">
        <v>41</v>
      </c>
      <c r="D127" t="s">
        <v>63</v>
      </c>
      <c r="E127" t="s">
        <v>3065</v>
      </c>
      <c r="F127" t="s">
        <v>3063</v>
      </c>
    </row>
    <row r="128" spans="1:6" x14ac:dyDescent="0.35">
      <c r="A128" s="2">
        <v>44920</v>
      </c>
      <c r="B128" t="s">
        <v>3064</v>
      </c>
      <c r="C128" t="s">
        <v>48</v>
      </c>
      <c r="D128" t="s">
        <v>30</v>
      </c>
      <c r="E128" t="s">
        <v>3065</v>
      </c>
      <c r="F128" t="s">
        <v>3061</v>
      </c>
    </row>
    <row r="129" spans="1:6" x14ac:dyDescent="0.35">
      <c r="A129" s="2">
        <v>44666</v>
      </c>
      <c r="B129" t="s">
        <v>3062</v>
      </c>
      <c r="C129" t="s">
        <v>88</v>
      </c>
      <c r="D129" t="s">
        <v>63</v>
      </c>
      <c r="E129" t="s">
        <v>3065</v>
      </c>
      <c r="F129" t="s">
        <v>3061</v>
      </c>
    </row>
    <row r="130" spans="1:6" x14ac:dyDescent="0.35">
      <c r="A130" s="2">
        <v>44793</v>
      </c>
      <c r="B130" t="s">
        <v>3067</v>
      </c>
      <c r="C130" t="s">
        <v>21</v>
      </c>
      <c r="D130" t="s">
        <v>30</v>
      </c>
      <c r="E130" t="s">
        <v>3066</v>
      </c>
      <c r="F130" t="s">
        <v>3063</v>
      </c>
    </row>
    <row r="131" spans="1:6" x14ac:dyDescent="0.35">
      <c r="A131" s="2">
        <v>45156</v>
      </c>
      <c r="B131" t="s">
        <v>3067</v>
      </c>
      <c r="C131" t="s">
        <v>88</v>
      </c>
      <c r="D131" t="s">
        <v>44</v>
      </c>
      <c r="E131" t="s">
        <v>3060</v>
      </c>
      <c r="F131" t="s">
        <v>3063</v>
      </c>
    </row>
    <row r="132" spans="1:6" x14ac:dyDescent="0.35">
      <c r="A132" s="2">
        <v>44566</v>
      </c>
      <c r="B132" t="s">
        <v>3062</v>
      </c>
      <c r="C132" t="s">
        <v>21</v>
      </c>
      <c r="D132" t="s">
        <v>44</v>
      </c>
      <c r="E132" t="s">
        <v>3066</v>
      </c>
      <c r="F132" t="s">
        <v>3063</v>
      </c>
    </row>
    <row r="133" spans="1:6" x14ac:dyDescent="0.35">
      <c r="A133" s="2">
        <v>45510</v>
      </c>
      <c r="B133" t="s">
        <v>3062</v>
      </c>
      <c r="C133" t="s">
        <v>77</v>
      </c>
      <c r="D133" t="s">
        <v>44</v>
      </c>
      <c r="E133" t="s">
        <v>3065</v>
      </c>
      <c r="F133" t="s">
        <v>3061</v>
      </c>
    </row>
    <row r="134" spans="1:6" x14ac:dyDescent="0.35">
      <c r="A134" s="2">
        <v>45234</v>
      </c>
      <c r="B134" t="s">
        <v>3067</v>
      </c>
      <c r="C134" t="s">
        <v>48</v>
      </c>
      <c r="D134" t="s">
        <v>19</v>
      </c>
      <c r="E134" t="s">
        <v>3065</v>
      </c>
      <c r="F134" t="s">
        <v>3061</v>
      </c>
    </row>
    <row r="135" spans="1:6" x14ac:dyDescent="0.35">
      <c r="A135" s="2">
        <v>46385</v>
      </c>
      <c r="B135" t="s">
        <v>3059</v>
      </c>
      <c r="C135" t="s">
        <v>26</v>
      </c>
      <c r="D135" t="s">
        <v>44</v>
      </c>
      <c r="E135" t="s">
        <v>3065</v>
      </c>
      <c r="F135" t="s">
        <v>3063</v>
      </c>
    </row>
    <row r="136" spans="1:6" x14ac:dyDescent="0.35">
      <c r="A136" s="2">
        <v>45444</v>
      </c>
      <c r="B136" t="s">
        <v>3062</v>
      </c>
      <c r="C136" t="s">
        <v>21</v>
      </c>
      <c r="D136" t="s">
        <v>19</v>
      </c>
      <c r="E136" t="s">
        <v>3066</v>
      </c>
      <c r="F136" t="s">
        <v>3063</v>
      </c>
    </row>
    <row r="137" spans="1:6" x14ac:dyDescent="0.35">
      <c r="A137" s="2">
        <v>45403</v>
      </c>
      <c r="B137" t="s">
        <v>3064</v>
      </c>
      <c r="C137" t="s">
        <v>88</v>
      </c>
      <c r="D137" t="s">
        <v>19</v>
      </c>
      <c r="E137" t="s">
        <v>3065</v>
      </c>
      <c r="F137" t="s">
        <v>3061</v>
      </c>
    </row>
    <row r="138" spans="1:6" x14ac:dyDescent="0.35">
      <c r="A138" s="2">
        <v>45025</v>
      </c>
      <c r="B138" t="s">
        <v>3062</v>
      </c>
      <c r="C138" t="s">
        <v>26</v>
      </c>
      <c r="D138" t="s">
        <v>44</v>
      </c>
      <c r="E138" t="s">
        <v>3060</v>
      </c>
      <c r="F138" t="s">
        <v>3061</v>
      </c>
    </row>
    <row r="139" spans="1:6" x14ac:dyDescent="0.35">
      <c r="A139" s="2">
        <v>45439</v>
      </c>
      <c r="B139" t="s">
        <v>3059</v>
      </c>
      <c r="C139" t="s">
        <v>36</v>
      </c>
      <c r="D139" t="s">
        <v>30</v>
      </c>
      <c r="E139" t="s">
        <v>3060</v>
      </c>
      <c r="F139" t="s">
        <v>3063</v>
      </c>
    </row>
    <row r="140" spans="1:6" x14ac:dyDescent="0.35">
      <c r="A140" s="2">
        <v>45460</v>
      </c>
      <c r="B140" t="s">
        <v>3062</v>
      </c>
      <c r="C140" t="s">
        <v>51</v>
      </c>
      <c r="D140" t="s">
        <v>13</v>
      </c>
      <c r="E140" t="s">
        <v>3060</v>
      </c>
      <c r="F140" t="s">
        <v>3061</v>
      </c>
    </row>
    <row r="141" spans="1:6" x14ac:dyDescent="0.35">
      <c r="A141" s="2">
        <v>44573</v>
      </c>
      <c r="B141" t="s">
        <v>3067</v>
      </c>
      <c r="C141" t="s">
        <v>21</v>
      </c>
      <c r="D141" t="s">
        <v>19</v>
      </c>
      <c r="E141" t="s">
        <v>3065</v>
      </c>
      <c r="F141" t="s">
        <v>3061</v>
      </c>
    </row>
    <row r="142" spans="1:6" x14ac:dyDescent="0.35">
      <c r="A142" s="2">
        <v>44644</v>
      </c>
      <c r="B142" t="s">
        <v>3059</v>
      </c>
      <c r="C142" t="s">
        <v>26</v>
      </c>
      <c r="D142" t="s">
        <v>63</v>
      </c>
      <c r="E142" t="s">
        <v>3066</v>
      </c>
      <c r="F142" t="s">
        <v>3061</v>
      </c>
    </row>
    <row r="143" spans="1:6" x14ac:dyDescent="0.35">
      <c r="A143" s="2">
        <v>44626</v>
      </c>
      <c r="B143" t="s">
        <v>3059</v>
      </c>
      <c r="C143" t="s">
        <v>21</v>
      </c>
      <c r="D143" t="s">
        <v>63</v>
      </c>
      <c r="E143" t="s">
        <v>3066</v>
      </c>
      <c r="F143" t="s">
        <v>3061</v>
      </c>
    </row>
    <row r="144" spans="1:6" x14ac:dyDescent="0.35">
      <c r="A144" s="2">
        <v>44805</v>
      </c>
      <c r="B144" t="s">
        <v>3062</v>
      </c>
      <c r="C144" t="s">
        <v>88</v>
      </c>
      <c r="D144" t="s">
        <v>39</v>
      </c>
      <c r="E144" t="s">
        <v>3060</v>
      </c>
      <c r="F144" t="s">
        <v>3063</v>
      </c>
    </row>
    <row r="145" spans="1:6" x14ac:dyDescent="0.35">
      <c r="A145" s="2">
        <v>45227</v>
      </c>
      <c r="B145" t="s">
        <v>3062</v>
      </c>
      <c r="C145" t="s">
        <v>36</v>
      </c>
      <c r="D145" t="s">
        <v>24</v>
      </c>
      <c r="E145" t="s">
        <v>3066</v>
      </c>
      <c r="F145" t="s">
        <v>3061</v>
      </c>
    </row>
    <row r="146" spans="1:6" x14ac:dyDescent="0.35">
      <c r="A146" s="2">
        <v>44831</v>
      </c>
      <c r="B146" t="s">
        <v>3064</v>
      </c>
      <c r="C146" t="s">
        <v>15</v>
      </c>
      <c r="D146" t="s">
        <v>30</v>
      </c>
      <c r="E146" t="s">
        <v>3065</v>
      </c>
      <c r="F146" t="s">
        <v>3063</v>
      </c>
    </row>
    <row r="147" spans="1:6" x14ac:dyDescent="0.35">
      <c r="A147" s="2">
        <v>44880</v>
      </c>
      <c r="B147" t="s">
        <v>3067</v>
      </c>
      <c r="C147" t="s">
        <v>36</v>
      </c>
      <c r="D147" t="s">
        <v>19</v>
      </c>
      <c r="E147" t="s">
        <v>3066</v>
      </c>
      <c r="F147" t="s">
        <v>3063</v>
      </c>
    </row>
    <row r="148" spans="1:6" x14ac:dyDescent="0.35">
      <c r="A148" s="2">
        <v>44668</v>
      </c>
      <c r="B148" t="s">
        <v>3067</v>
      </c>
      <c r="C148" t="s">
        <v>26</v>
      </c>
      <c r="D148" t="s">
        <v>39</v>
      </c>
      <c r="E148" t="s">
        <v>3066</v>
      </c>
      <c r="F148" t="s">
        <v>3063</v>
      </c>
    </row>
    <row r="149" spans="1:6" x14ac:dyDescent="0.35">
      <c r="A149" s="2">
        <v>45451</v>
      </c>
      <c r="B149" t="s">
        <v>3062</v>
      </c>
      <c r="C149" t="s">
        <v>72</v>
      </c>
      <c r="D149" t="s">
        <v>44</v>
      </c>
      <c r="E149" t="s">
        <v>3060</v>
      </c>
      <c r="F149" t="s">
        <v>3063</v>
      </c>
    </row>
    <row r="150" spans="1:6" x14ac:dyDescent="0.35">
      <c r="A150" s="2">
        <v>46120</v>
      </c>
      <c r="B150" t="s">
        <v>3062</v>
      </c>
      <c r="C150" t="s">
        <v>21</v>
      </c>
      <c r="D150" t="s">
        <v>39</v>
      </c>
      <c r="E150" t="s">
        <v>3065</v>
      </c>
      <c r="F150" t="s">
        <v>3063</v>
      </c>
    </row>
    <row r="151" spans="1:6" x14ac:dyDescent="0.35">
      <c r="A151" s="2">
        <v>45072</v>
      </c>
      <c r="B151" t="s">
        <v>3067</v>
      </c>
      <c r="C151" t="s">
        <v>15</v>
      </c>
      <c r="D151" t="s">
        <v>30</v>
      </c>
      <c r="E151" t="s">
        <v>3060</v>
      </c>
      <c r="F151" t="s">
        <v>3063</v>
      </c>
    </row>
    <row r="152" spans="1:6" x14ac:dyDescent="0.35">
      <c r="A152" s="2">
        <v>45926</v>
      </c>
      <c r="B152" t="s">
        <v>3062</v>
      </c>
      <c r="C152" t="s">
        <v>21</v>
      </c>
      <c r="D152" t="s">
        <v>63</v>
      </c>
      <c r="E152" t="s">
        <v>3066</v>
      </c>
      <c r="F152" t="s">
        <v>3063</v>
      </c>
    </row>
    <row r="153" spans="1:6" x14ac:dyDescent="0.35">
      <c r="A153" s="2">
        <v>45997</v>
      </c>
      <c r="B153" t="s">
        <v>3059</v>
      </c>
      <c r="C153" t="s">
        <v>21</v>
      </c>
      <c r="D153" t="s">
        <v>30</v>
      </c>
      <c r="E153" t="s">
        <v>3066</v>
      </c>
      <c r="F153" t="s">
        <v>3063</v>
      </c>
    </row>
    <row r="154" spans="1:6" x14ac:dyDescent="0.35">
      <c r="A154" s="2">
        <v>45031</v>
      </c>
      <c r="B154" t="s">
        <v>3064</v>
      </c>
      <c r="C154" t="s">
        <v>51</v>
      </c>
      <c r="D154" t="s">
        <v>63</v>
      </c>
      <c r="E154" t="s">
        <v>3065</v>
      </c>
      <c r="F154" t="s">
        <v>3061</v>
      </c>
    </row>
    <row r="155" spans="1:6" x14ac:dyDescent="0.35">
      <c r="A155" s="2">
        <v>44955</v>
      </c>
      <c r="B155" t="s">
        <v>3059</v>
      </c>
      <c r="C155" t="s">
        <v>26</v>
      </c>
      <c r="D155" t="s">
        <v>19</v>
      </c>
      <c r="E155" t="s">
        <v>3066</v>
      </c>
      <c r="F155" t="s">
        <v>3063</v>
      </c>
    </row>
    <row r="156" spans="1:6" x14ac:dyDescent="0.35">
      <c r="A156" s="2">
        <v>44748</v>
      </c>
      <c r="B156" t="s">
        <v>3064</v>
      </c>
      <c r="C156" t="s">
        <v>26</v>
      </c>
      <c r="D156" t="s">
        <v>63</v>
      </c>
      <c r="E156" t="s">
        <v>3066</v>
      </c>
      <c r="F156" t="s">
        <v>3061</v>
      </c>
    </row>
    <row r="157" spans="1:6" x14ac:dyDescent="0.35">
      <c r="A157" s="2">
        <v>45995</v>
      </c>
      <c r="B157" t="s">
        <v>3059</v>
      </c>
      <c r="C157" t="s">
        <v>21</v>
      </c>
      <c r="D157" t="s">
        <v>44</v>
      </c>
      <c r="E157" t="s">
        <v>3060</v>
      </c>
      <c r="F157" t="s">
        <v>3061</v>
      </c>
    </row>
    <row r="158" spans="1:6" x14ac:dyDescent="0.35">
      <c r="A158" s="2">
        <v>44687</v>
      </c>
      <c r="B158" t="s">
        <v>3062</v>
      </c>
      <c r="C158" t="s">
        <v>77</v>
      </c>
      <c r="D158" t="s">
        <v>44</v>
      </c>
      <c r="E158" t="s">
        <v>3065</v>
      </c>
      <c r="F158" t="s">
        <v>3061</v>
      </c>
    </row>
    <row r="159" spans="1:6" x14ac:dyDescent="0.35">
      <c r="A159" s="2">
        <v>45306</v>
      </c>
      <c r="B159" t="s">
        <v>3067</v>
      </c>
      <c r="C159" t="s">
        <v>48</v>
      </c>
      <c r="D159" t="s">
        <v>24</v>
      </c>
      <c r="E159" t="s">
        <v>3060</v>
      </c>
      <c r="F159" t="s">
        <v>3063</v>
      </c>
    </row>
    <row r="160" spans="1:6" x14ac:dyDescent="0.35">
      <c r="A160" s="2">
        <v>45217</v>
      </c>
      <c r="B160" t="s">
        <v>3064</v>
      </c>
      <c r="C160" t="s">
        <v>51</v>
      </c>
      <c r="D160" t="s">
        <v>19</v>
      </c>
      <c r="E160" t="s">
        <v>3065</v>
      </c>
      <c r="F160" t="s">
        <v>3063</v>
      </c>
    </row>
    <row r="161" spans="1:6" x14ac:dyDescent="0.35">
      <c r="A161" s="2">
        <v>45914</v>
      </c>
      <c r="B161" t="s">
        <v>3067</v>
      </c>
      <c r="C161" t="s">
        <v>21</v>
      </c>
      <c r="D161" t="s">
        <v>44</v>
      </c>
      <c r="E161" t="s">
        <v>3060</v>
      </c>
      <c r="F161" t="s">
        <v>3061</v>
      </c>
    </row>
    <row r="162" spans="1:6" x14ac:dyDescent="0.35">
      <c r="A162" s="2">
        <v>45804</v>
      </c>
      <c r="B162" t="s">
        <v>3064</v>
      </c>
      <c r="C162" t="s">
        <v>26</v>
      </c>
      <c r="D162" t="s">
        <v>13</v>
      </c>
      <c r="E162" t="s">
        <v>3060</v>
      </c>
      <c r="F162" t="s">
        <v>3061</v>
      </c>
    </row>
    <row r="163" spans="1:6" x14ac:dyDescent="0.35">
      <c r="A163" s="2">
        <v>45306</v>
      </c>
      <c r="B163" t="s">
        <v>3067</v>
      </c>
      <c r="C163" t="s">
        <v>72</v>
      </c>
      <c r="D163" t="s">
        <v>19</v>
      </c>
      <c r="E163" t="s">
        <v>3065</v>
      </c>
      <c r="F163" t="s">
        <v>3063</v>
      </c>
    </row>
    <row r="164" spans="1:6" x14ac:dyDescent="0.35">
      <c r="A164" s="2">
        <v>45960</v>
      </c>
      <c r="B164" t="s">
        <v>3059</v>
      </c>
      <c r="C164" t="s">
        <v>48</v>
      </c>
      <c r="D164" t="s">
        <v>44</v>
      </c>
      <c r="E164" t="s">
        <v>3066</v>
      </c>
      <c r="F164" t="s">
        <v>3061</v>
      </c>
    </row>
    <row r="165" spans="1:6" x14ac:dyDescent="0.35">
      <c r="A165" s="2">
        <v>46083</v>
      </c>
      <c r="B165" t="s">
        <v>3067</v>
      </c>
      <c r="C165" t="s">
        <v>21</v>
      </c>
      <c r="D165" t="s">
        <v>24</v>
      </c>
      <c r="E165" t="s">
        <v>3060</v>
      </c>
      <c r="F165" t="s">
        <v>3063</v>
      </c>
    </row>
    <row r="166" spans="1:6" x14ac:dyDescent="0.35">
      <c r="A166" s="2">
        <v>45758</v>
      </c>
      <c r="B166" t="s">
        <v>3062</v>
      </c>
      <c r="C166" t="s">
        <v>15</v>
      </c>
      <c r="D166" t="s">
        <v>19</v>
      </c>
      <c r="E166" t="s">
        <v>3065</v>
      </c>
      <c r="F166" t="s">
        <v>3063</v>
      </c>
    </row>
    <row r="167" spans="1:6" x14ac:dyDescent="0.35">
      <c r="A167" s="2">
        <v>44646</v>
      </c>
      <c r="B167" t="s">
        <v>3059</v>
      </c>
      <c r="C167" t="s">
        <v>21</v>
      </c>
      <c r="D167" t="s">
        <v>24</v>
      </c>
      <c r="E167" t="s">
        <v>3060</v>
      </c>
      <c r="F167" t="s">
        <v>3063</v>
      </c>
    </row>
    <row r="168" spans="1:6" x14ac:dyDescent="0.35">
      <c r="A168" s="2">
        <v>44715</v>
      </c>
      <c r="B168" t="s">
        <v>3067</v>
      </c>
      <c r="C168" t="s">
        <v>72</v>
      </c>
      <c r="D168" t="s">
        <v>24</v>
      </c>
      <c r="E168" t="s">
        <v>3060</v>
      </c>
      <c r="F168" t="s">
        <v>3063</v>
      </c>
    </row>
    <row r="169" spans="1:6" x14ac:dyDescent="0.35">
      <c r="A169" s="2">
        <v>45654</v>
      </c>
      <c r="B169" t="s">
        <v>3059</v>
      </c>
      <c r="C169" t="s">
        <v>77</v>
      </c>
      <c r="D169" t="s">
        <v>13</v>
      </c>
      <c r="E169" t="s">
        <v>3065</v>
      </c>
      <c r="F169" t="s">
        <v>3061</v>
      </c>
    </row>
    <row r="170" spans="1:6" x14ac:dyDescent="0.35">
      <c r="A170" s="2">
        <v>45689</v>
      </c>
      <c r="B170" t="s">
        <v>3067</v>
      </c>
      <c r="C170" t="s">
        <v>36</v>
      </c>
      <c r="D170" t="s">
        <v>44</v>
      </c>
      <c r="E170" t="s">
        <v>3060</v>
      </c>
      <c r="F170" t="s">
        <v>3061</v>
      </c>
    </row>
    <row r="171" spans="1:6" x14ac:dyDescent="0.35">
      <c r="A171" s="2">
        <v>45851</v>
      </c>
      <c r="B171" t="s">
        <v>3064</v>
      </c>
      <c r="C171" t="s">
        <v>26</v>
      </c>
      <c r="D171" t="s">
        <v>19</v>
      </c>
      <c r="E171" t="s">
        <v>3060</v>
      </c>
      <c r="F171" t="s">
        <v>3061</v>
      </c>
    </row>
    <row r="172" spans="1:6" x14ac:dyDescent="0.35">
      <c r="A172" s="2">
        <v>45634</v>
      </c>
      <c r="B172" t="s">
        <v>3064</v>
      </c>
      <c r="C172" t="s">
        <v>51</v>
      </c>
      <c r="D172" t="s">
        <v>39</v>
      </c>
      <c r="E172" t="s">
        <v>3060</v>
      </c>
      <c r="F172" t="s">
        <v>3063</v>
      </c>
    </row>
    <row r="173" spans="1:6" x14ac:dyDescent="0.35">
      <c r="A173" s="2">
        <v>45155</v>
      </c>
      <c r="B173" t="s">
        <v>3064</v>
      </c>
      <c r="C173" t="s">
        <v>41</v>
      </c>
      <c r="D173" t="s">
        <v>19</v>
      </c>
      <c r="E173" t="s">
        <v>3066</v>
      </c>
      <c r="F173" t="s">
        <v>3063</v>
      </c>
    </row>
    <row r="174" spans="1:6" x14ac:dyDescent="0.35">
      <c r="A174" s="2">
        <v>46078</v>
      </c>
      <c r="B174" t="s">
        <v>3062</v>
      </c>
      <c r="C174" t="s">
        <v>88</v>
      </c>
      <c r="D174" t="s">
        <v>24</v>
      </c>
      <c r="E174" t="s">
        <v>3066</v>
      </c>
      <c r="F174" t="s">
        <v>3063</v>
      </c>
    </row>
    <row r="175" spans="1:6" x14ac:dyDescent="0.35">
      <c r="A175" s="2">
        <v>44900</v>
      </c>
      <c r="B175" t="s">
        <v>3062</v>
      </c>
      <c r="C175" t="s">
        <v>36</v>
      </c>
      <c r="D175" t="s">
        <v>63</v>
      </c>
      <c r="E175" t="s">
        <v>3066</v>
      </c>
      <c r="F175" t="s">
        <v>3061</v>
      </c>
    </row>
    <row r="176" spans="1:6" x14ac:dyDescent="0.35">
      <c r="A176" s="2">
        <v>45382</v>
      </c>
      <c r="B176" t="s">
        <v>3067</v>
      </c>
      <c r="C176" t="s">
        <v>21</v>
      </c>
      <c r="D176" t="s">
        <v>13</v>
      </c>
      <c r="E176" t="s">
        <v>3065</v>
      </c>
      <c r="F176" t="s">
        <v>3063</v>
      </c>
    </row>
    <row r="177" spans="1:6" x14ac:dyDescent="0.35">
      <c r="A177" s="2">
        <v>45733</v>
      </c>
      <c r="B177" t="s">
        <v>3059</v>
      </c>
      <c r="C177" t="s">
        <v>41</v>
      </c>
      <c r="D177" t="s">
        <v>24</v>
      </c>
      <c r="E177" t="s">
        <v>3065</v>
      </c>
      <c r="F177" t="s">
        <v>3061</v>
      </c>
    </row>
    <row r="178" spans="1:6" x14ac:dyDescent="0.35">
      <c r="A178" s="2">
        <v>45593</v>
      </c>
      <c r="B178" t="s">
        <v>3067</v>
      </c>
      <c r="C178" t="s">
        <v>72</v>
      </c>
      <c r="D178" t="s">
        <v>30</v>
      </c>
      <c r="E178" t="s">
        <v>3065</v>
      </c>
      <c r="F178" t="s">
        <v>3061</v>
      </c>
    </row>
    <row r="179" spans="1:6" x14ac:dyDescent="0.35">
      <c r="A179" s="2">
        <v>46012</v>
      </c>
      <c r="B179" t="s">
        <v>3067</v>
      </c>
      <c r="C179" t="s">
        <v>36</v>
      </c>
      <c r="D179" t="s">
        <v>19</v>
      </c>
      <c r="E179" t="s">
        <v>3065</v>
      </c>
      <c r="F179" t="s">
        <v>3063</v>
      </c>
    </row>
    <row r="180" spans="1:6" x14ac:dyDescent="0.35">
      <c r="A180" s="2">
        <v>44655</v>
      </c>
      <c r="B180" t="s">
        <v>3059</v>
      </c>
      <c r="C180" t="s">
        <v>72</v>
      </c>
      <c r="D180" t="s">
        <v>19</v>
      </c>
      <c r="E180" t="s">
        <v>3066</v>
      </c>
      <c r="F180" t="s">
        <v>3063</v>
      </c>
    </row>
    <row r="181" spans="1:6" x14ac:dyDescent="0.35">
      <c r="A181" s="2">
        <v>46371</v>
      </c>
      <c r="B181" t="s">
        <v>3067</v>
      </c>
      <c r="C181" t="s">
        <v>51</v>
      </c>
      <c r="D181" t="s">
        <v>44</v>
      </c>
      <c r="E181" t="s">
        <v>3065</v>
      </c>
      <c r="F181" t="s">
        <v>3063</v>
      </c>
    </row>
    <row r="182" spans="1:6" x14ac:dyDescent="0.35">
      <c r="A182" s="2">
        <v>46248</v>
      </c>
      <c r="B182" t="s">
        <v>3059</v>
      </c>
      <c r="C182" t="s">
        <v>36</v>
      </c>
      <c r="D182" t="s">
        <v>19</v>
      </c>
      <c r="E182" t="s">
        <v>3065</v>
      </c>
      <c r="F182" t="s">
        <v>3061</v>
      </c>
    </row>
    <row r="183" spans="1:6" x14ac:dyDescent="0.35">
      <c r="A183" s="2">
        <v>45857</v>
      </c>
      <c r="B183" t="s">
        <v>3067</v>
      </c>
      <c r="C183" t="s">
        <v>48</v>
      </c>
      <c r="D183" t="s">
        <v>19</v>
      </c>
      <c r="E183" t="s">
        <v>3066</v>
      </c>
      <c r="F183" t="s">
        <v>3061</v>
      </c>
    </row>
    <row r="184" spans="1:6" x14ac:dyDescent="0.35">
      <c r="A184" s="2">
        <v>46040</v>
      </c>
      <c r="B184" t="s">
        <v>3059</v>
      </c>
      <c r="C184" t="s">
        <v>26</v>
      </c>
      <c r="D184" t="s">
        <v>39</v>
      </c>
      <c r="E184" t="s">
        <v>3060</v>
      </c>
      <c r="F184" t="s">
        <v>3061</v>
      </c>
    </row>
    <row r="185" spans="1:6" x14ac:dyDescent="0.35">
      <c r="A185" s="2">
        <v>44679</v>
      </c>
      <c r="B185" t="s">
        <v>3064</v>
      </c>
      <c r="C185" t="s">
        <v>48</v>
      </c>
      <c r="D185" t="s">
        <v>13</v>
      </c>
      <c r="E185" t="s">
        <v>3066</v>
      </c>
      <c r="F185" t="s">
        <v>3061</v>
      </c>
    </row>
    <row r="186" spans="1:6" x14ac:dyDescent="0.35">
      <c r="A186" s="2">
        <v>44923</v>
      </c>
      <c r="B186" t="s">
        <v>3067</v>
      </c>
      <c r="C186" t="s">
        <v>77</v>
      </c>
      <c r="D186" t="s">
        <v>39</v>
      </c>
      <c r="E186" t="s">
        <v>3066</v>
      </c>
      <c r="F186" t="s">
        <v>3063</v>
      </c>
    </row>
    <row r="187" spans="1:6" x14ac:dyDescent="0.35">
      <c r="A187" s="2">
        <v>46041</v>
      </c>
      <c r="B187" t="s">
        <v>3062</v>
      </c>
      <c r="C187" t="s">
        <v>72</v>
      </c>
      <c r="D187" t="s">
        <v>30</v>
      </c>
      <c r="E187" t="s">
        <v>3066</v>
      </c>
      <c r="F187" t="s">
        <v>3063</v>
      </c>
    </row>
    <row r="188" spans="1:6" x14ac:dyDescent="0.35">
      <c r="A188" s="2">
        <v>46234</v>
      </c>
      <c r="B188" t="s">
        <v>3062</v>
      </c>
      <c r="C188" t="s">
        <v>21</v>
      </c>
      <c r="D188" t="s">
        <v>44</v>
      </c>
      <c r="E188" t="s">
        <v>3060</v>
      </c>
      <c r="F188" t="s">
        <v>3063</v>
      </c>
    </row>
    <row r="189" spans="1:6" x14ac:dyDescent="0.35">
      <c r="A189" s="2">
        <v>45753</v>
      </c>
      <c r="B189" t="s">
        <v>3062</v>
      </c>
      <c r="C189" t="s">
        <v>51</v>
      </c>
      <c r="D189" t="s">
        <v>63</v>
      </c>
      <c r="E189" t="s">
        <v>3065</v>
      </c>
      <c r="F189" t="s">
        <v>3061</v>
      </c>
    </row>
    <row r="190" spans="1:6" x14ac:dyDescent="0.35">
      <c r="A190" s="2">
        <v>45316</v>
      </c>
      <c r="B190" t="s">
        <v>3059</v>
      </c>
      <c r="C190" t="s">
        <v>88</v>
      </c>
      <c r="D190" t="s">
        <v>19</v>
      </c>
      <c r="E190" t="s">
        <v>3060</v>
      </c>
      <c r="F190" t="s">
        <v>3063</v>
      </c>
    </row>
    <row r="191" spans="1:6" x14ac:dyDescent="0.35">
      <c r="A191" s="2">
        <v>45502</v>
      </c>
      <c r="B191" t="s">
        <v>3059</v>
      </c>
      <c r="C191" t="s">
        <v>51</v>
      </c>
      <c r="D191" t="s">
        <v>13</v>
      </c>
      <c r="E191" t="s">
        <v>3066</v>
      </c>
      <c r="F191" t="s">
        <v>3061</v>
      </c>
    </row>
    <row r="192" spans="1:6" x14ac:dyDescent="0.35">
      <c r="A192" s="2">
        <v>46055</v>
      </c>
      <c r="B192" t="s">
        <v>3059</v>
      </c>
      <c r="C192" t="s">
        <v>72</v>
      </c>
      <c r="D192" t="s">
        <v>19</v>
      </c>
      <c r="E192" t="s">
        <v>3060</v>
      </c>
      <c r="F192" t="s">
        <v>3063</v>
      </c>
    </row>
    <row r="193" spans="1:6" x14ac:dyDescent="0.35">
      <c r="A193" s="2">
        <v>46374</v>
      </c>
      <c r="B193" t="s">
        <v>3059</v>
      </c>
      <c r="C193" t="s">
        <v>26</v>
      </c>
      <c r="D193" t="s">
        <v>24</v>
      </c>
      <c r="E193" t="s">
        <v>3066</v>
      </c>
      <c r="F193" t="s">
        <v>3063</v>
      </c>
    </row>
    <row r="194" spans="1:6" x14ac:dyDescent="0.35">
      <c r="A194" s="2">
        <v>44704</v>
      </c>
      <c r="B194" t="s">
        <v>3059</v>
      </c>
      <c r="C194" t="s">
        <v>15</v>
      </c>
      <c r="D194" t="s">
        <v>63</v>
      </c>
      <c r="E194" t="s">
        <v>3065</v>
      </c>
      <c r="F194" t="s">
        <v>3061</v>
      </c>
    </row>
    <row r="195" spans="1:6" x14ac:dyDescent="0.35">
      <c r="A195" s="2">
        <v>45883</v>
      </c>
      <c r="B195" t="s">
        <v>3062</v>
      </c>
      <c r="C195" t="s">
        <v>15</v>
      </c>
      <c r="D195" t="s">
        <v>24</v>
      </c>
      <c r="E195" t="s">
        <v>3066</v>
      </c>
      <c r="F195" t="s">
        <v>3063</v>
      </c>
    </row>
    <row r="196" spans="1:6" x14ac:dyDescent="0.35">
      <c r="A196" s="2">
        <v>46050</v>
      </c>
      <c r="B196" t="s">
        <v>3064</v>
      </c>
      <c r="C196" t="s">
        <v>41</v>
      </c>
      <c r="D196" t="s">
        <v>19</v>
      </c>
      <c r="E196" t="s">
        <v>3060</v>
      </c>
      <c r="F196" t="s">
        <v>3061</v>
      </c>
    </row>
    <row r="197" spans="1:6" x14ac:dyDescent="0.35">
      <c r="A197" s="2">
        <v>44604</v>
      </c>
      <c r="B197" t="s">
        <v>3064</v>
      </c>
      <c r="C197" t="s">
        <v>77</v>
      </c>
      <c r="D197" t="s">
        <v>30</v>
      </c>
      <c r="E197" t="s">
        <v>3066</v>
      </c>
      <c r="F197" t="s">
        <v>3063</v>
      </c>
    </row>
    <row r="198" spans="1:6" x14ac:dyDescent="0.35">
      <c r="A198" s="2">
        <v>44832</v>
      </c>
      <c r="B198" t="s">
        <v>3059</v>
      </c>
      <c r="C198" t="s">
        <v>15</v>
      </c>
      <c r="D198" t="s">
        <v>44</v>
      </c>
      <c r="E198" t="s">
        <v>3065</v>
      </c>
      <c r="F198" t="s">
        <v>3063</v>
      </c>
    </row>
    <row r="199" spans="1:6" x14ac:dyDescent="0.35">
      <c r="A199" s="2">
        <v>46184</v>
      </c>
      <c r="B199" t="s">
        <v>3064</v>
      </c>
      <c r="C199" t="s">
        <v>15</v>
      </c>
      <c r="D199" t="s">
        <v>39</v>
      </c>
      <c r="E199" t="s">
        <v>3066</v>
      </c>
      <c r="F199" t="s">
        <v>3061</v>
      </c>
    </row>
    <row r="200" spans="1:6" x14ac:dyDescent="0.35">
      <c r="A200" s="2">
        <v>46308</v>
      </c>
      <c r="B200" t="s">
        <v>3064</v>
      </c>
      <c r="C200" t="s">
        <v>21</v>
      </c>
      <c r="D200" t="s">
        <v>13</v>
      </c>
      <c r="E200" t="s">
        <v>3060</v>
      </c>
      <c r="F200" t="s">
        <v>3061</v>
      </c>
    </row>
    <row r="201" spans="1:6" x14ac:dyDescent="0.35">
      <c r="A201" s="2">
        <v>46232</v>
      </c>
      <c r="B201" t="s">
        <v>3059</v>
      </c>
      <c r="C201" t="s">
        <v>72</v>
      </c>
      <c r="D201" t="s">
        <v>44</v>
      </c>
      <c r="E201" t="s">
        <v>3060</v>
      </c>
      <c r="F201" t="s">
        <v>3063</v>
      </c>
    </row>
    <row r="202" spans="1:6" x14ac:dyDescent="0.35">
      <c r="A202" s="2">
        <v>45061</v>
      </c>
      <c r="B202" t="s">
        <v>3064</v>
      </c>
      <c r="C202" t="s">
        <v>36</v>
      </c>
      <c r="D202" t="s">
        <v>24</v>
      </c>
      <c r="E202" t="s">
        <v>3060</v>
      </c>
      <c r="F202" t="s">
        <v>3063</v>
      </c>
    </row>
    <row r="203" spans="1:6" x14ac:dyDescent="0.35">
      <c r="A203" s="2">
        <v>44605</v>
      </c>
      <c r="B203" t="s">
        <v>3064</v>
      </c>
      <c r="C203" t="s">
        <v>15</v>
      </c>
      <c r="D203" t="s">
        <v>39</v>
      </c>
      <c r="E203" t="s">
        <v>3060</v>
      </c>
      <c r="F203" t="s">
        <v>3063</v>
      </c>
    </row>
    <row r="204" spans="1:6" x14ac:dyDescent="0.35">
      <c r="A204" s="2">
        <v>45609</v>
      </c>
      <c r="B204" t="s">
        <v>3062</v>
      </c>
      <c r="C204" t="s">
        <v>51</v>
      </c>
      <c r="D204" t="s">
        <v>19</v>
      </c>
      <c r="E204" t="s">
        <v>3065</v>
      </c>
      <c r="F204" t="s">
        <v>3063</v>
      </c>
    </row>
    <row r="205" spans="1:6" x14ac:dyDescent="0.35">
      <c r="A205" s="2">
        <v>45026</v>
      </c>
      <c r="B205" t="s">
        <v>3062</v>
      </c>
      <c r="C205" t="s">
        <v>26</v>
      </c>
      <c r="D205" t="s">
        <v>13</v>
      </c>
      <c r="E205" t="s">
        <v>3060</v>
      </c>
      <c r="F205" t="s">
        <v>3061</v>
      </c>
    </row>
    <row r="206" spans="1:6" x14ac:dyDescent="0.35">
      <c r="A206" s="2">
        <v>45024</v>
      </c>
      <c r="B206" t="s">
        <v>3062</v>
      </c>
      <c r="C206" t="s">
        <v>15</v>
      </c>
      <c r="D206" t="s">
        <v>63</v>
      </c>
      <c r="E206" t="s">
        <v>3065</v>
      </c>
      <c r="F206" t="s">
        <v>3063</v>
      </c>
    </row>
    <row r="207" spans="1:6" x14ac:dyDescent="0.35">
      <c r="A207" s="2">
        <v>45021</v>
      </c>
      <c r="B207" t="s">
        <v>3064</v>
      </c>
      <c r="C207" t="s">
        <v>72</v>
      </c>
      <c r="D207" t="s">
        <v>44</v>
      </c>
      <c r="E207" t="s">
        <v>3065</v>
      </c>
      <c r="F207" t="s">
        <v>3061</v>
      </c>
    </row>
    <row r="208" spans="1:6" x14ac:dyDescent="0.35">
      <c r="A208" s="2">
        <v>44804</v>
      </c>
      <c r="B208" t="s">
        <v>3067</v>
      </c>
      <c r="C208" t="s">
        <v>15</v>
      </c>
      <c r="D208" t="s">
        <v>19</v>
      </c>
      <c r="E208" t="s">
        <v>3066</v>
      </c>
      <c r="F208" t="s">
        <v>3063</v>
      </c>
    </row>
    <row r="209" spans="1:6" x14ac:dyDescent="0.35">
      <c r="A209" s="2">
        <v>44926</v>
      </c>
      <c r="B209" t="s">
        <v>3062</v>
      </c>
      <c r="C209" t="s">
        <v>36</v>
      </c>
      <c r="D209" t="s">
        <v>44</v>
      </c>
      <c r="E209" t="s">
        <v>3066</v>
      </c>
      <c r="F209" t="s">
        <v>3063</v>
      </c>
    </row>
    <row r="210" spans="1:6" x14ac:dyDescent="0.35">
      <c r="A210" s="2">
        <v>45953</v>
      </c>
      <c r="B210" t="s">
        <v>3062</v>
      </c>
      <c r="C210" t="s">
        <v>51</v>
      </c>
      <c r="D210" t="s">
        <v>24</v>
      </c>
      <c r="E210" t="s">
        <v>3066</v>
      </c>
      <c r="F210" t="s">
        <v>3061</v>
      </c>
    </row>
    <row r="211" spans="1:6" x14ac:dyDescent="0.35">
      <c r="A211" s="2">
        <v>45841</v>
      </c>
      <c r="B211" t="s">
        <v>3067</v>
      </c>
      <c r="C211" t="s">
        <v>48</v>
      </c>
      <c r="D211" t="s">
        <v>19</v>
      </c>
      <c r="E211" t="s">
        <v>3060</v>
      </c>
      <c r="F211" t="s">
        <v>3061</v>
      </c>
    </row>
    <row r="212" spans="1:6" x14ac:dyDescent="0.35">
      <c r="A212" s="2">
        <v>45917</v>
      </c>
      <c r="B212" t="s">
        <v>3067</v>
      </c>
      <c r="C212" t="s">
        <v>72</v>
      </c>
      <c r="D212" t="s">
        <v>30</v>
      </c>
      <c r="E212" t="s">
        <v>3066</v>
      </c>
      <c r="F212" t="s">
        <v>3063</v>
      </c>
    </row>
    <row r="213" spans="1:6" x14ac:dyDescent="0.35">
      <c r="A213" s="2">
        <v>46177</v>
      </c>
      <c r="B213" t="s">
        <v>3064</v>
      </c>
      <c r="C213" t="s">
        <v>51</v>
      </c>
      <c r="D213" t="s">
        <v>30</v>
      </c>
      <c r="E213" t="s">
        <v>3066</v>
      </c>
      <c r="F213" t="s">
        <v>3063</v>
      </c>
    </row>
    <row r="214" spans="1:6" x14ac:dyDescent="0.35">
      <c r="A214" s="2">
        <v>45217</v>
      </c>
      <c r="B214" t="s">
        <v>3059</v>
      </c>
      <c r="C214" t="s">
        <v>26</v>
      </c>
      <c r="D214" t="s">
        <v>63</v>
      </c>
      <c r="E214" t="s">
        <v>3066</v>
      </c>
      <c r="F214" t="s">
        <v>3061</v>
      </c>
    </row>
    <row r="215" spans="1:6" x14ac:dyDescent="0.35">
      <c r="A215" s="2">
        <v>46230</v>
      </c>
      <c r="B215" t="s">
        <v>3064</v>
      </c>
      <c r="C215" t="s">
        <v>15</v>
      </c>
      <c r="D215" t="s">
        <v>39</v>
      </c>
      <c r="E215" t="s">
        <v>3060</v>
      </c>
      <c r="F215" t="s">
        <v>3061</v>
      </c>
    </row>
    <row r="216" spans="1:6" x14ac:dyDescent="0.35">
      <c r="A216" s="2">
        <v>44858</v>
      </c>
      <c r="B216" t="s">
        <v>3064</v>
      </c>
      <c r="C216" t="s">
        <v>48</v>
      </c>
      <c r="D216" t="s">
        <v>13</v>
      </c>
      <c r="E216" t="s">
        <v>3065</v>
      </c>
      <c r="F216" t="s">
        <v>3061</v>
      </c>
    </row>
    <row r="217" spans="1:6" x14ac:dyDescent="0.35">
      <c r="A217" s="2">
        <v>45284</v>
      </c>
      <c r="B217" t="s">
        <v>3067</v>
      </c>
      <c r="C217" t="s">
        <v>88</v>
      </c>
      <c r="D217" t="s">
        <v>63</v>
      </c>
      <c r="E217" t="s">
        <v>3060</v>
      </c>
      <c r="F217" t="s">
        <v>3061</v>
      </c>
    </row>
    <row r="218" spans="1:6" x14ac:dyDescent="0.35">
      <c r="A218" s="2">
        <v>45794</v>
      </c>
      <c r="B218" t="s">
        <v>3067</v>
      </c>
      <c r="C218" t="s">
        <v>51</v>
      </c>
      <c r="D218" t="s">
        <v>30</v>
      </c>
      <c r="E218" t="s">
        <v>3066</v>
      </c>
      <c r="F218" t="s">
        <v>3063</v>
      </c>
    </row>
    <row r="219" spans="1:6" x14ac:dyDescent="0.35">
      <c r="A219" s="2">
        <v>45346</v>
      </c>
      <c r="B219" t="s">
        <v>3062</v>
      </c>
      <c r="C219" t="s">
        <v>36</v>
      </c>
      <c r="D219" t="s">
        <v>63</v>
      </c>
      <c r="E219" t="s">
        <v>3066</v>
      </c>
      <c r="F219" t="s">
        <v>3061</v>
      </c>
    </row>
    <row r="220" spans="1:6" x14ac:dyDescent="0.35">
      <c r="A220" s="2">
        <v>45652</v>
      </c>
      <c r="B220" t="s">
        <v>3059</v>
      </c>
      <c r="C220" t="s">
        <v>26</v>
      </c>
      <c r="D220" t="s">
        <v>19</v>
      </c>
      <c r="E220" t="s">
        <v>3066</v>
      </c>
      <c r="F220" t="s">
        <v>3061</v>
      </c>
    </row>
    <row r="221" spans="1:6" x14ac:dyDescent="0.35">
      <c r="A221" s="2">
        <v>45641</v>
      </c>
      <c r="B221" t="s">
        <v>3059</v>
      </c>
      <c r="C221" t="s">
        <v>15</v>
      </c>
      <c r="D221" t="s">
        <v>13</v>
      </c>
      <c r="E221" t="s">
        <v>3060</v>
      </c>
      <c r="F221" t="s">
        <v>3063</v>
      </c>
    </row>
    <row r="222" spans="1:6" x14ac:dyDescent="0.35">
      <c r="A222" s="2">
        <v>44978</v>
      </c>
      <c r="B222" t="s">
        <v>3064</v>
      </c>
      <c r="C222" t="s">
        <v>48</v>
      </c>
      <c r="D222" t="s">
        <v>39</v>
      </c>
      <c r="E222" t="s">
        <v>3060</v>
      </c>
      <c r="F222" t="s">
        <v>3063</v>
      </c>
    </row>
    <row r="223" spans="1:6" x14ac:dyDescent="0.35">
      <c r="A223" s="2">
        <v>44787</v>
      </c>
      <c r="B223" t="s">
        <v>3064</v>
      </c>
      <c r="C223" t="s">
        <v>48</v>
      </c>
      <c r="D223" t="s">
        <v>44</v>
      </c>
      <c r="E223" t="s">
        <v>3065</v>
      </c>
      <c r="F223" t="s">
        <v>3061</v>
      </c>
    </row>
    <row r="224" spans="1:6" x14ac:dyDescent="0.35">
      <c r="A224" s="2">
        <v>45504</v>
      </c>
      <c r="B224" t="s">
        <v>3059</v>
      </c>
      <c r="C224" t="s">
        <v>36</v>
      </c>
      <c r="D224" t="s">
        <v>63</v>
      </c>
      <c r="E224" t="s">
        <v>3065</v>
      </c>
      <c r="F224" t="s">
        <v>3063</v>
      </c>
    </row>
    <row r="225" spans="1:6" x14ac:dyDescent="0.35">
      <c r="A225" s="2">
        <v>46257</v>
      </c>
      <c r="B225" t="s">
        <v>3059</v>
      </c>
      <c r="C225" t="s">
        <v>77</v>
      </c>
      <c r="D225" t="s">
        <v>24</v>
      </c>
      <c r="E225" t="s">
        <v>3065</v>
      </c>
      <c r="F225" t="s">
        <v>3063</v>
      </c>
    </row>
    <row r="226" spans="1:6" x14ac:dyDescent="0.35">
      <c r="A226" s="2">
        <v>45986</v>
      </c>
      <c r="B226" t="s">
        <v>3059</v>
      </c>
      <c r="C226" t="s">
        <v>26</v>
      </c>
      <c r="D226" t="s">
        <v>24</v>
      </c>
      <c r="E226" t="s">
        <v>3065</v>
      </c>
      <c r="F226" t="s">
        <v>3061</v>
      </c>
    </row>
    <row r="227" spans="1:6" x14ac:dyDescent="0.35">
      <c r="A227" s="2">
        <v>45323</v>
      </c>
      <c r="B227" t="s">
        <v>3064</v>
      </c>
      <c r="C227" t="s">
        <v>15</v>
      </c>
      <c r="D227" t="s">
        <v>24</v>
      </c>
      <c r="E227" t="s">
        <v>3066</v>
      </c>
      <c r="F227" t="s">
        <v>3063</v>
      </c>
    </row>
    <row r="228" spans="1:6" x14ac:dyDescent="0.35">
      <c r="A228" s="2">
        <v>45538</v>
      </c>
      <c r="B228" t="s">
        <v>3059</v>
      </c>
      <c r="C228" t="s">
        <v>77</v>
      </c>
      <c r="D228" t="s">
        <v>13</v>
      </c>
      <c r="E228" t="s">
        <v>3060</v>
      </c>
      <c r="F228" t="s">
        <v>3063</v>
      </c>
    </row>
    <row r="229" spans="1:6" x14ac:dyDescent="0.35">
      <c r="A229" s="2">
        <v>44723</v>
      </c>
      <c r="B229" t="s">
        <v>3059</v>
      </c>
      <c r="C229" t="s">
        <v>15</v>
      </c>
      <c r="D229" t="s">
        <v>19</v>
      </c>
      <c r="E229" t="s">
        <v>3066</v>
      </c>
      <c r="F229" t="s">
        <v>3061</v>
      </c>
    </row>
    <row r="230" spans="1:6" x14ac:dyDescent="0.35">
      <c r="A230" s="2">
        <v>44868</v>
      </c>
      <c r="B230" t="s">
        <v>3059</v>
      </c>
      <c r="C230" t="s">
        <v>88</v>
      </c>
      <c r="D230" t="s">
        <v>24</v>
      </c>
      <c r="E230" t="s">
        <v>3065</v>
      </c>
      <c r="F230" t="s">
        <v>3061</v>
      </c>
    </row>
    <row r="231" spans="1:6" x14ac:dyDescent="0.35">
      <c r="A231" s="2">
        <v>45524</v>
      </c>
      <c r="B231" t="s">
        <v>3062</v>
      </c>
      <c r="C231" t="s">
        <v>48</v>
      </c>
      <c r="D231" t="s">
        <v>63</v>
      </c>
      <c r="E231" t="s">
        <v>3066</v>
      </c>
      <c r="F231" t="s">
        <v>3063</v>
      </c>
    </row>
    <row r="232" spans="1:6" x14ac:dyDescent="0.35">
      <c r="A232" s="2">
        <v>45149</v>
      </c>
      <c r="B232" t="s">
        <v>3064</v>
      </c>
      <c r="C232" t="s">
        <v>51</v>
      </c>
      <c r="D232" t="s">
        <v>19</v>
      </c>
      <c r="E232" t="s">
        <v>3066</v>
      </c>
      <c r="F232" t="s">
        <v>3063</v>
      </c>
    </row>
    <row r="233" spans="1:6" x14ac:dyDescent="0.35">
      <c r="A233" s="2">
        <v>45799</v>
      </c>
      <c r="B233" t="s">
        <v>3059</v>
      </c>
      <c r="C233" t="s">
        <v>36</v>
      </c>
      <c r="D233" t="s">
        <v>13</v>
      </c>
      <c r="E233" t="s">
        <v>3065</v>
      </c>
      <c r="F233" t="s">
        <v>3061</v>
      </c>
    </row>
    <row r="234" spans="1:6" x14ac:dyDescent="0.35">
      <c r="A234" s="2">
        <v>46267</v>
      </c>
      <c r="B234" t="s">
        <v>3062</v>
      </c>
      <c r="C234" t="s">
        <v>88</v>
      </c>
      <c r="D234" t="s">
        <v>39</v>
      </c>
      <c r="E234" t="s">
        <v>3066</v>
      </c>
      <c r="F234" t="s">
        <v>3061</v>
      </c>
    </row>
    <row r="235" spans="1:6" x14ac:dyDescent="0.35">
      <c r="A235" s="2">
        <v>45733</v>
      </c>
      <c r="B235" t="s">
        <v>3067</v>
      </c>
      <c r="C235" t="s">
        <v>21</v>
      </c>
      <c r="D235" t="s">
        <v>63</v>
      </c>
      <c r="E235" t="s">
        <v>3065</v>
      </c>
      <c r="F235" t="s">
        <v>3061</v>
      </c>
    </row>
    <row r="236" spans="1:6" x14ac:dyDescent="0.35">
      <c r="A236" s="2">
        <v>44750</v>
      </c>
      <c r="B236" t="s">
        <v>3062</v>
      </c>
      <c r="C236" t="s">
        <v>51</v>
      </c>
      <c r="D236" t="s">
        <v>24</v>
      </c>
      <c r="E236" t="s">
        <v>3065</v>
      </c>
      <c r="F236" t="s">
        <v>3061</v>
      </c>
    </row>
    <row r="237" spans="1:6" x14ac:dyDescent="0.35">
      <c r="A237" s="2">
        <v>45829</v>
      </c>
      <c r="B237" t="s">
        <v>3064</v>
      </c>
      <c r="C237" t="s">
        <v>21</v>
      </c>
      <c r="D237" t="s">
        <v>63</v>
      </c>
      <c r="E237" t="s">
        <v>3065</v>
      </c>
      <c r="F237" t="s">
        <v>3063</v>
      </c>
    </row>
    <row r="238" spans="1:6" x14ac:dyDescent="0.35">
      <c r="A238" s="2">
        <v>46234</v>
      </c>
      <c r="B238" t="s">
        <v>3062</v>
      </c>
      <c r="C238" t="s">
        <v>88</v>
      </c>
      <c r="D238" t="s">
        <v>44</v>
      </c>
      <c r="E238" t="s">
        <v>3066</v>
      </c>
      <c r="F238" t="s">
        <v>3061</v>
      </c>
    </row>
    <row r="239" spans="1:6" x14ac:dyDescent="0.35">
      <c r="A239" s="2">
        <v>46256</v>
      </c>
      <c r="B239" t="s">
        <v>3062</v>
      </c>
      <c r="C239" t="s">
        <v>51</v>
      </c>
      <c r="D239" t="s">
        <v>19</v>
      </c>
      <c r="E239" t="s">
        <v>3060</v>
      </c>
      <c r="F239" t="s">
        <v>3061</v>
      </c>
    </row>
    <row r="240" spans="1:6" x14ac:dyDescent="0.35">
      <c r="A240" s="2">
        <v>44960</v>
      </c>
      <c r="B240" t="s">
        <v>3067</v>
      </c>
      <c r="C240" t="s">
        <v>15</v>
      </c>
      <c r="D240" t="s">
        <v>19</v>
      </c>
      <c r="E240" t="s">
        <v>3065</v>
      </c>
      <c r="F240" t="s">
        <v>3061</v>
      </c>
    </row>
    <row r="241" spans="1:6" x14ac:dyDescent="0.35">
      <c r="A241" s="2">
        <v>45797</v>
      </c>
      <c r="B241" t="s">
        <v>3067</v>
      </c>
      <c r="C241" t="s">
        <v>77</v>
      </c>
      <c r="D241" t="s">
        <v>13</v>
      </c>
      <c r="E241" t="s">
        <v>3060</v>
      </c>
      <c r="F241" t="s">
        <v>3063</v>
      </c>
    </row>
    <row r="242" spans="1:6" x14ac:dyDescent="0.35">
      <c r="A242" s="2">
        <v>45671</v>
      </c>
      <c r="B242" t="s">
        <v>3064</v>
      </c>
      <c r="C242" t="s">
        <v>15</v>
      </c>
      <c r="D242" t="s">
        <v>13</v>
      </c>
      <c r="E242" t="s">
        <v>3066</v>
      </c>
      <c r="F242" t="s">
        <v>3063</v>
      </c>
    </row>
    <row r="243" spans="1:6" x14ac:dyDescent="0.35">
      <c r="A243" s="2">
        <v>46111</v>
      </c>
      <c r="B243" t="s">
        <v>3067</v>
      </c>
      <c r="C243" t="s">
        <v>21</v>
      </c>
      <c r="D243" t="s">
        <v>39</v>
      </c>
      <c r="E243" t="s">
        <v>3065</v>
      </c>
      <c r="F243" t="s">
        <v>3063</v>
      </c>
    </row>
    <row r="244" spans="1:6" x14ac:dyDescent="0.35">
      <c r="A244" s="2">
        <v>45054</v>
      </c>
      <c r="B244" t="s">
        <v>3067</v>
      </c>
      <c r="C244" t="s">
        <v>15</v>
      </c>
      <c r="D244" t="s">
        <v>39</v>
      </c>
      <c r="E244" t="s">
        <v>3066</v>
      </c>
      <c r="F244" t="s">
        <v>3063</v>
      </c>
    </row>
    <row r="245" spans="1:6" x14ac:dyDescent="0.35">
      <c r="A245" s="2">
        <v>45716</v>
      </c>
      <c r="B245" t="s">
        <v>3062</v>
      </c>
      <c r="C245" t="s">
        <v>77</v>
      </c>
      <c r="D245" t="s">
        <v>19</v>
      </c>
      <c r="E245" t="s">
        <v>3060</v>
      </c>
      <c r="F245" t="s">
        <v>3063</v>
      </c>
    </row>
    <row r="246" spans="1:6" x14ac:dyDescent="0.35">
      <c r="A246" s="2">
        <v>45194</v>
      </c>
      <c r="B246" t="s">
        <v>3064</v>
      </c>
      <c r="C246" t="s">
        <v>48</v>
      </c>
      <c r="D246" t="s">
        <v>30</v>
      </c>
      <c r="E246" t="s">
        <v>3060</v>
      </c>
      <c r="F246" t="s">
        <v>3061</v>
      </c>
    </row>
    <row r="247" spans="1:6" x14ac:dyDescent="0.35">
      <c r="A247" s="2">
        <v>45586</v>
      </c>
      <c r="B247" t="s">
        <v>3059</v>
      </c>
      <c r="C247" t="s">
        <v>48</v>
      </c>
      <c r="D247" t="s">
        <v>30</v>
      </c>
      <c r="E247" t="s">
        <v>3060</v>
      </c>
      <c r="F247" t="s">
        <v>3061</v>
      </c>
    </row>
    <row r="248" spans="1:6" x14ac:dyDescent="0.35">
      <c r="A248" s="2">
        <v>44827</v>
      </c>
      <c r="B248" t="s">
        <v>3064</v>
      </c>
      <c r="C248" t="s">
        <v>48</v>
      </c>
      <c r="D248" t="s">
        <v>63</v>
      </c>
      <c r="E248" t="s">
        <v>3066</v>
      </c>
      <c r="F248" t="s">
        <v>3063</v>
      </c>
    </row>
    <row r="249" spans="1:6" x14ac:dyDescent="0.35">
      <c r="A249" s="2">
        <v>45590</v>
      </c>
      <c r="B249" t="s">
        <v>3059</v>
      </c>
      <c r="C249" t="s">
        <v>77</v>
      </c>
      <c r="D249" t="s">
        <v>39</v>
      </c>
      <c r="E249" t="s">
        <v>3060</v>
      </c>
      <c r="F249" t="s">
        <v>3061</v>
      </c>
    </row>
    <row r="250" spans="1:6" x14ac:dyDescent="0.35">
      <c r="A250" s="2">
        <v>45762</v>
      </c>
      <c r="B250" t="s">
        <v>3064</v>
      </c>
      <c r="C250" t="s">
        <v>72</v>
      </c>
      <c r="D250" t="s">
        <v>13</v>
      </c>
      <c r="E250" t="s">
        <v>3065</v>
      </c>
      <c r="F250" t="s">
        <v>3061</v>
      </c>
    </row>
    <row r="251" spans="1:6" x14ac:dyDescent="0.35">
      <c r="A251" s="2">
        <v>44723</v>
      </c>
      <c r="B251" t="s">
        <v>3064</v>
      </c>
      <c r="C251" t="s">
        <v>21</v>
      </c>
      <c r="D251" t="s">
        <v>13</v>
      </c>
      <c r="E251" t="s">
        <v>3066</v>
      </c>
      <c r="F251" t="s">
        <v>3063</v>
      </c>
    </row>
    <row r="252" spans="1:6" x14ac:dyDescent="0.35">
      <c r="A252" s="2">
        <v>46136</v>
      </c>
      <c r="B252" t="s">
        <v>3059</v>
      </c>
      <c r="C252" t="s">
        <v>36</v>
      </c>
      <c r="D252" t="s">
        <v>39</v>
      </c>
      <c r="E252" t="s">
        <v>3066</v>
      </c>
      <c r="F252" t="s">
        <v>3061</v>
      </c>
    </row>
    <row r="253" spans="1:6" x14ac:dyDescent="0.35">
      <c r="A253" s="2">
        <v>45478</v>
      </c>
      <c r="B253" t="s">
        <v>3059</v>
      </c>
      <c r="C253" t="s">
        <v>48</v>
      </c>
      <c r="D253" t="s">
        <v>44</v>
      </c>
      <c r="E253" t="s">
        <v>3060</v>
      </c>
      <c r="F253" t="s">
        <v>3061</v>
      </c>
    </row>
    <row r="254" spans="1:6" x14ac:dyDescent="0.35">
      <c r="A254" s="2">
        <v>44643</v>
      </c>
      <c r="B254" t="s">
        <v>3062</v>
      </c>
      <c r="C254" t="s">
        <v>21</v>
      </c>
      <c r="D254" t="s">
        <v>13</v>
      </c>
      <c r="E254" t="s">
        <v>3066</v>
      </c>
      <c r="F254" t="s">
        <v>3063</v>
      </c>
    </row>
    <row r="255" spans="1:6" x14ac:dyDescent="0.35">
      <c r="A255" s="2">
        <v>44874</v>
      </c>
      <c r="B255" t="s">
        <v>3062</v>
      </c>
      <c r="C255" t="s">
        <v>15</v>
      </c>
      <c r="D255" t="s">
        <v>30</v>
      </c>
      <c r="E255" t="s">
        <v>3065</v>
      </c>
      <c r="F255" t="s">
        <v>3063</v>
      </c>
    </row>
    <row r="256" spans="1:6" x14ac:dyDescent="0.35">
      <c r="A256" s="2">
        <v>46131</v>
      </c>
      <c r="B256" t="s">
        <v>3067</v>
      </c>
      <c r="C256" t="s">
        <v>36</v>
      </c>
      <c r="D256" t="s">
        <v>30</v>
      </c>
      <c r="E256" t="s">
        <v>3065</v>
      </c>
      <c r="F256" t="s">
        <v>3061</v>
      </c>
    </row>
    <row r="257" spans="1:6" x14ac:dyDescent="0.35">
      <c r="A257" s="2">
        <v>44754</v>
      </c>
      <c r="B257" t="s">
        <v>3062</v>
      </c>
      <c r="C257" t="s">
        <v>48</v>
      </c>
      <c r="D257" t="s">
        <v>13</v>
      </c>
      <c r="E257" t="s">
        <v>3060</v>
      </c>
      <c r="F257" t="s">
        <v>3063</v>
      </c>
    </row>
    <row r="258" spans="1:6" x14ac:dyDescent="0.35">
      <c r="A258" s="2">
        <v>44701</v>
      </c>
      <c r="B258" t="s">
        <v>3067</v>
      </c>
      <c r="C258" t="s">
        <v>41</v>
      </c>
      <c r="D258" t="s">
        <v>44</v>
      </c>
      <c r="E258" t="s">
        <v>3060</v>
      </c>
      <c r="F258" t="s">
        <v>3063</v>
      </c>
    </row>
    <row r="259" spans="1:6" x14ac:dyDescent="0.35">
      <c r="A259" s="2">
        <v>44707</v>
      </c>
      <c r="B259" t="s">
        <v>3059</v>
      </c>
      <c r="C259" t="s">
        <v>88</v>
      </c>
      <c r="D259" t="s">
        <v>44</v>
      </c>
      <c r="E259" t="s">
        <v>3060</v>
      </c>
      <c r="F259" t="s">
        <v>3061</v>
      </c>
    </row>
    <row r="260" spans="1:6" x14ac:dyDescent="0.35">
      <c r="A260" s="2">
        <v>46124</v>
      </c>
      <c r="B260" t="s">
        <v>3062</v>
      </c>
      <c r="C260" t="s">
        <v>51</v>
      </c>
      <c r="D260" t="s">
        <v>19</v>
      </c>
      <c r="E260" t="s">
        <v>3066</v>
      </c>
      <c r="F260" t="s">
        <v>3061</v>
      </c>
    </row>
    <row r="261" spans="1:6" x14ac:dyDescent="0.35">
      <c r="A261" s="2">
        <v>44643</v>
      </c>
      <c r="B261" t="s">
        <v>3067</v>
      </c>
      <c r="C261" t="s">
        <v>72</v>
      </c>
      <c r="D261" t="s">
        <v>63</v>
      </c>
      <c r="E261" t="s">
        <v>3060</v>
      </c>
      <c r="F261" t="s">
        <v>3063</v>
      </c>
    </row>
    <row r="262" spans="1:6" x14ac:dyDescent="0.35">
      <c r="A262" s="2">
        <v>45464</v>
      </c>
      <c r="B262" t="s">
        <v>3067</v>
      </c>
      <c r="C262" t="s">
        <v>36</v>
      </c>
      <c r="D262" t="s">
        <v>30</v>
      </c>
      <c r="E262" t="s">
        <v>3066</v>
      </c>
      <c r="F262" t="s">
        <v>3061</v>
      </c>
    </row>
    <row r="263" spans="1:6" x14ac:dyDescent="0.35">
      <c r="A263" s="2">
        <v>45327</v>
      </c>
      <c r="B263" t="s">
        <v>3064</v>
      </c>
      <c r="C263" t="s">
        <v>26</v>
      </c>
      <c r="D263" t="s">
        <v>39</v>
      </c>
      <c r="E263" t="s">
        <v>3060</v>
      </c>
      <c r="F263" t="s">
        <v>3061</v>
      </c>
    </row>
    <row r="264" spans="1:6" x14ac:dyDescent="0.35">
      <c r="A264" s="2">
        <v>46358</v>
      </c>
      <c r="B264" t="s">
        <v>3064</v>
      </c>
      <c r="C264" t="s">
        <v>41</v>
      </c>
      <c r="D264" t="s">
        <v>24</v>
      </c>
      <c r="E264" t="s">
        <v>3065</v>
      </c>
      <c r="F264" t="s">
        <v>3063</v>
      </c>
    </row>
    <row r="265" spans="1:6" x14ac:dyDescent="0.35">
      <c r="A265" s="2">
        <v>45995</v>
      </c>
      <c r="B265" t="s">
        <v>3064</v>
      </c>
      <c r="C265" t="s">
        <v>51</v>
      </c>
      <c r="D265" t="s">
        <v>30</v>
      </c>
      <c r="E265" t="s">
        <v>3065</v>
      </c>
      <c r="F265" t="s">
        <v>3061</v>
      </c>
    </row>
    <row r="266" spans="1:6" x14ac:dyDescent="0.35">
      <c r="A266" s="2">
        <v>45331</v>
      </c>
      <c r="B266" t="s">
        <v>3059</v>
      </c>
      <c r="C266" t="s">
        <v>41</v>
      </c>
      <c r="D266" t="s">
        <v>63</v>
      </c>
      <c r="E266" t="s">
        <v>3065</v>
      </c>
      <c r="F266" t="s">
        <v>3063</v>
      </c>
    </row>
    <row r="267" spans="1:6" x14ac:dyDescent="0.35">
      <c r="A267" s="2">
        <v>45357</v>
      </c>
      <c r="B267" t="s">
        <v>3062</v>
      </c>
      <c r="C267" t="s">
        <v>15</v>
      </c>
      <c r="D267" t="s">
        <v>44</v>
      </c>
      <c r="E267" t="s">
        <v>3060</v>
      </c>
      <c r="F267" t="s">
        <v>3061</v>
      </c>
    </row>
    <row r="268" spans="1:6" x14ac:dyDescent="0.35">
      <c r="A268" s="2">
        <v>45877</v>
      </c>
      <c r="B268" t="s">
        <v>3062</v>
      </c>
      <c r="C268" t="s">
        <v>15</v>
      </c>
      <c r="D268" t="s">
        <v>19</v>
      </c>
      <c r="E268" t="s">
        <v>3065</v>
      </c>
      <c r="F268" t="s">
        <v>3063</v>
      </c>
    </row>
    <row r="269" spans="1:6" x14ac:dyDescent="0.35">
      <c r="A269" s="2">
        <v>45374</v>
      </c>
      <c r="B269" t="s">
        <v>3062</v>
      </c>
      <c r="C269" t="s">
        <v>21</v>
      </c>
      <c r="D269" t="s">
        <v>63</v>
      </c>
      <c r="E269" t="s">
        <v>3060</v>
      </c>
      <c r="F269" t="s">
        <v>3063</v>
      </c>
    </row>
    <row r="270" spans="1:6" x14ac:dyDescent="0.35">
      <c r="A270" s="2">
        <v>45211</v>
      </c>
      <c r="B270" t="s">
        <v>3067</v>
      </c>
      <c r="C270" t="s">
        <v>41</v>
      </c>
      <c r="D270" t="s">
        <v>63</v>
      </c>
      <c r="E270" t="s">
        <v>3065</v>
      </c>
      <c r="F270" t="s">
        <v>3061</v>
      </c>
    </row>
    <row r="271" spans="1:6" x14ac:dyDescent="0.35">
      <c r="A271" s="2">
        <v>44796</v>
      </c>
      <c r="B271" t="s">
        <v>3067</v>
      </c>
      <c r="C271" t="s">
        <v>88</v>
      </c>
      <c r="D271" t="s">
        <v>19</v>
      </c>
      <c r="E271" t="s">
        <v>3066</v>
      </c>
      <c r="F271" t="s">
        <v>3063</v>
      </c>
    </row>
    <row r="272" spans="1:6" x14ac:dyDescent="0.35">
      <c r="A272" s="2">
        <v>45524</v>
      </c>
      <c r="B272" t="s">
        <v>3059</v>
      </c>
      <c r="C272" t="s">
        <v>21</v>
      </c>
      <c r="D272" t="s">
        <v>44</v>
      </c>
      <c r="E272" t="s">
        <v>3066</v>
      </c>
      <c r="F272" t="s">
        <v>3063</v>
      </c>
    </row>
    <row r="273" spans="1:6" x14ac:dyDescent="0.35">
      <c r="A273" s="2">
        <v>45793</v>
      </c>
      <c r="B273" t="s">
        <v>3062</v>
      </c>
      <c r="C273" t="s">
        <v>77</v>
      </c>
      <c r="D273" t="s">
        <v>30</v>
      </c>
      <c r="E273" t="s">
        <v>3060</v>
      </c>
      <c r="F273" t="s">
        <v>3061</v>
      </c>
    </row>
    <row r="274" spans="1:6" x14ac:dyDescent="0.35">
      <c r="A274" s="2">
        <v>45531</v>
      </c>
      <c r="B274" t="s">
        <v>3059</v>
      </c>
      <c r="C274" t="s">
        <v>77</v>
      </c>
      <c r="D274" t="s">
        <v>13</v>
      </c>
      <c r="E274" t="s">
        <v>3065</v>
      </c>
      <c r="F274" t="s">
        <v>3061</v>
      </c>
    </row>
    <row r="275" spans="1:6" x14ac:dyDescent="0.35">
      <c r="A275" s="2">
        <v>45114</v>
      </c>
      <c r="B275" t="s">
        <v>3067</v>
      </c>
      <c r="C275" t="s">
        <v>51</v>
      </c>
      <c r="D275" t="s">
        <v>19</v>
      </c>
      <c r="E275" t="s">
        <v>3065</v>
      </c>
      <c r="F275" t="s">
        <v>3063</v>
      </c>
    </row>
    <row r="276" spans="1:6" x14ac:dyDescent="0.35">
      <c r="A276" s="2">
        <v>45122</v>
      </c>
      <c r="B276" t="s">
        <v>3062</v>
      </c>
      <c r="C276" t="s">
        <v>15</v>
      </c>
      <c r="D276" t="s">
        <v>44</v>
      </c>
      <c r="E276" t="s">
        <v>3066</v>
      </c>
      <c r="F276" t="s">
        <v>3061</v>
      </c>
    </row>
    <row r="277" spans="1:6" x14ac:dyDescent="0.35">
      <c r="A277" s="2">
        <v>46346</v>
      </c>
      <c r="B277" t="s">
        <v>3062</v>
      </c>
      <c r="C277" t="s">
        <v>36</v>
      </c>
      <c r="D277" t="s">
        <v>13</v>
      </c>
      <c r="E277" t="s">
        <v>3066</v>
      </c>
      <c r="F277" t="s">
        <v>3061</v>
      </c>
    </row>
    <row r="278" spans="1:6" x14ac:dyDescent="0.35">
      <c r="A278" s="2">
        <v>44938</v>
      </c>
      <c r="B278" t="s">
        <v>3064</v>
      </c>
      <c r="C278" t="s">
        <v>15</v>
      </c>
      <c r="D278" t="s">
        <v>63</v>
      </c>
      <c r="E278" t="s">
        <v>3060</v>
      </c>
      <c r="F278" t="s">
        <v>3061</v>
      </c>
    </row>
    <row r="279" spans="1:6" x14ac:dyDescent="0.35">
      <c r="A279" s="2">
        <v>44898</v>
      </c>
      <c r="B279" t="s">
        <v>3059</v>
      </c>
      <c r="C279" t="s">
        <v>48</v>
      </c>
      <c r="D279" t="s">
        <v>63</v>
      </c>
      <c r="E279" t="s">
        <v>3060</v>
      </c>
      <c r="F279" t="s">
        <v>3061</v>
      </c>
    </row>
    <row r="280" spans="1:6" x14ac:dyDescent="0.35">
      <c r="A280" s="2">
        <v>45658</v>
      </c>
      <c r="B280" t="s">
        <v>3059</v>
      </c>
      <c r="C280" t="s">
        <v>26</v>
      </c>
      <c r="D280" t="s">
        <v>44</v>
      </c>
      <c r="E280" t="s">
        <v>3066</v>
      </c>
      <c r="F280" t="s">
        <v>3061</v>
      </c>
    </row>
    <row r="281" spans="1:6" x14ac:dyDescent="0.35">
      <c r="A281" s="2">
        <v>46247</v>
      </c>
      <c r="B281" t="s">
        <v>3064</v>
      </c>
      <c r="C281" t="s">
        <v>36</v>
      </c>
      <c r="D281" t="s">
        <v>30</v>
      </c>
      <c r="E281" t="s">
        <v>3066</v>
      </c>
      <c r="F281" t="s">
        <v>3063</v>
      </c>
    </row>
    <row r="282" spans="1:6" x14ac:dyDescent="0.35">
      <c r="A282" s="2">
        <v>44721</v>
      </c>
      <c r="B282" t="s">
        <v>3059</v>
      </c>
      <c r="C282" t="s">
        <v>48</v>
      </c>
      <c r="D282" t="s">
        <v>24</v>
      </c>
      <c r="E282" t="s">
        <v>3066</v>
      </c>
      <c r="F282" t="s">
        <v>3061</v>
      </c>
    </row>
    <row r="283" spans="1:6" x14ac:dyDescent="0.35">
      <c r="A283" s="2">
        <v>44591</v>
      </c>
      <c r="B283" t="s">
        <v>3059</v>
      </c>
      <c r="C283" t="s">
        <v>88</v>
      </c>
      <c r="D283" t="s">
        <v>13</v>
      </c>
      <c r="E283" t="s">
        <v>3060</v>
      </c>
      <c r="F283" t="s">
        <v>3061</v>
      </c>
    </row>
    <row r="284" spans="1:6" x14ac:dyDescent="0.35">
      <c r="A284" s="2">
        <v>44794</v>
      </c>
      <c r="B284" t="s">
        <v>3062</v>
      </c>
      <c r="C284" t="s">
        <v>72</v>
      </c>
      <c r="D284" t="s">
        <v>39</v>
      </c>
      <c r="E284" t="s">
        <v>3066</v>
      </c>
      <c r="F284" t="s">
        <v>3063</v>
      </c>
    </row>
    <row r="285" spans="1:6" x14ac:dyDescent="0.35">
      <c r="A285" s="2">
        <v>45484</v>
      </c>
      <c r="B285" t="s">
        <v>3059</v>
      </c>
      <c r="C285" t="s">
        <v>88</v>
      </c>
      <c r="D285" t="s">
        <v>24</v>
      </c>
      <c r="E285" t="s">
        <v>3066</v>
      </c>
      <c r="F285" t="s">
        <v>3063</v>
      </c>
    </row>
    <row r="286" spans="1:6" x14ac:dyDescent="0.35">
      <c r="A286" s="2">
        <v>44636</v>
      </c>
      <c r="B286" t="s">
        <v>3059</v>
      </c>
      <c r="C286" t="s">
        <v>21</v>
      </c>
      <c r="D286" t="s">
        <v>63</v>
      </c>
      <c r="E286" t="s">
        <v>3066</v>
      </c>
      <c r="F286" t="s">
        <v>3063</v>
      </c>
    </row>
    <row r="287" spans="1:6" x14ac:dyDescent="0.35">
      <c r="A287" s="2">
        <v>45792</v>
      </c>
      <c r="B287" t="s">
        <v>3062</v>
      </c>
      <c r="C287" t="s">
        <v>21</v>
      </c>
      <c r="D287" t="s">
        <v>44</v>
      </c>
      <c r="E287" t="s">
        <v>3065</v>
      </c>
      <c r="F287" t="s">
        <v>3063</v>
      </c>
    </row>
    <row r="288" spans="1:6" x14ac:dyDescent="0.35">
      <c r="A288" s="2">
        <v>45953</v>
      </c>
      <c r="B288" t="s">
        <v>3064</v>
      </c>
      <c r="C288" t="s">
        <v>48</v>
      </c>
      <c r="D288" t="s">
        <v>30</v>
      </c>
      <c r="E288" t="s">
        <v>3060</v>
      </c>
      <c r="F288" t="s">
        <v>3063</v>
      </c>
    </row>
    <row r="289" spans="1:6" x14ac:dyDescent="0.35">
      <c r="A289" s="2">
        <v>45180</v>
      </c>
      <c r="B289" t="s">
        <v>3067</v>
      </c>
      <c r="C289" t="s">
        <v>36</v>
      </c>
      <c r="D289" t="s">
        <v>30</v>
      </c>
      <c r="E289" t="s">
        <v>3065</v>
      </c>
      <c r="F289" t="s">
        <v>3061</v>
      </c>
    </row>
    <row r="290" spans="1:6" x14ac:dyDescent="0.35">
      <c r="A290" s="2">
        <v>45890</v>
      </c>
      <c r="B290" t="s">
        <v>3062</v>
      </c>
      <c r="C290" t="s">
        <v>26</v>
      </c>
      <c r="D290" t="s">
        <v>63</v>
      </c>
      <c r="E290" t="s">
        <v>3060</v>
      </c>
      <c r="F290" t="s">
        <v>3061</v>
      </c>
    </row>
    <row r="291" spans="1:6" x14ac:dyDescent="0.35">
      <c r="A291" s="2">
        <v>46258</v>
      </c>
      <c r="B291" t="s">
        <v>3062</v>
      </c>
      <c r="C291" t="s">
        <v>36</v>
      </c>
      <c r="D291" t="s">
        <v>30</v>
      </c>
      <c r="E291" t="s">
        <v>3060</v>
      </c>
      <c r="F291" t="s">
        <v>3063</v>
      </c>
    </row>
    <row r="292" spans="1:6" x14ac:dyDescent="0.35">
      <c r="A292" s="2">
        <v>44922</v>
      </c>
      <c r="B292" t="s">
        <v>3062</v>
      </c>
      <c r="C292" t="s">
        <v>26</v>
      </c>
      <c r="D292" t="s">
        <v>44</v>
      </c>
      <c r="E292" t="s">
        <v>3065</v>
      </c>
      <c r="F292" t="s">
        <v>3063</v>
      </c>
    </row>
    <row r="293" spans="1:6" x14ac:dyDescent="0.35">
      <c r="A293" s="2">
        <v>45673</v>
      </c>
      <c r="B293" t="s">
        <v>3062</v>
      </c>
      <c r="C293" t="s">
        <v>26</v>
      </c>
      <c r="D293" t="s">
        <v>44</v>
      </c>
      <c r="E293" t="s">
        <v>3066</v>
      </c>
      <c r="F293" t="s">
        <v>3061</v>
      </c>
    </row>
    <row r="294" spans="1:6" x14ac:dyDescent="0.35">
      <c r="A294" s="2">
        <v>45860</v>
      </c>
      <c r="B294" t="s">
        <v>3067</v>
      </c>
      <c r="C294" t="s">
        <v>41</v>
      </c>
      <c r="D294" t="s">
        <v>30</v>
      </c>
      <c r="E294" t="s">
        <v>3065</v>
      </c>
      <c r="F294" t="s">
        <v>3063</v>
      </c>
    </row>
    <row r="295" spans="1:6" x14ac:dyDescent="0.35">
      <c r="A295" s="2">
        <v>46212</v>
      </c>
      <c r="B295" t="s">
        <v>3064</v>
      </c>
      <c r="C295" t="s">
        <v>15</v>
      </c>
      <c r="D295" t="s">
        <v>24</v>
      </c>
      <c r="E295" t="s">
        <v>3065</v>
      </c>
      <c r="F295" t="s">
        <v>3061</v>
      </c>
    </row>
    <row r="296" spans="1:6" x14ac:dyDescent="0.35">
      <c r="A296" s="2">
        <v>44774</v>
      </c>
      <c r="B296" t="s">
        <v>3062</v>
      </c>
      <c r="C296" t="s">
        <v>41</v>
      </c>
      <c r="D296" t="s">
        <v>39</v>
      </c>
      <c r="E296" t="s">
        <v>3065</v>
      </c>
      <c r="F296" t="s">
        <v>3061</v>
      </c>
    </row>
    <row r="297" spans="1:6" x14ac:dyDescent="0.35">
      <c r="A297" s="2">
        <v>45592</v>
      </c>
      <c r="B297" t="s">
        <v>3064</v>
      </c>
      <c r="C297" t="s">
        <v>72</v>
      </c>
      <c r="D297" t="s">
        <v>30</v>
      </c>
      <c r="E297" t="s">
        <v>3060</v>
      </c>
      <c r="F297" t="s">
        <v>3063</v>
      </c>
    </row>
    <row r="298" spans="1:6" x14ac:dyDescent="0.35">
      <c r="A298" s="2">
        <v>45018</v>
      </c>
      <c r="B298" t="s">
        <v>3062</v>
      </c>
      <c r="C298" t="s">
        <v>36</v>
      </c>
      <c r="D298" t="s">
        <v>63</v>
      </c>
      <c r="E298" t="s">
        <v>3065</v>
      </c>
      <c r="F298" t="s">
        <v>3063</v>
      </c>
    </row>
    <row r="299" spans="1:6" x14ac:dyDescent="0.35">
      <c r="A299" s="2">
        <v>46315</v>
      </c>
      <c r="B299" t="s">
        <v>3062</v>
      </c>
      <c r="C299" t="s">
        <v>15</v>
      </c>
      <c r="D299" t="s">
        <v>44</v>
      </c>
      <c r="E299" t="s">
        <v>3060</v>
      </c>
      <c r="F299" t="s">
        <v>3061</v>
      </c>
    </row>
    <row r="300" spans="1:6" x14ac:dyDescent="0.35">
      <c r="A300" s="2">
        <v>46242</v>
      </c>
      <c r="B300" t="s">
        <v>3062</v>
      </c>
      <c r="C300" t="s">
        <v>77</v>
      </c>
      <c r="D300" t="s">
        <v>44</v>
      </c>
      <c r="E300" t="s">
        <v>3065</v>
      </c>
      <c r="F300" t="s">
        <v>3061</v>
      </c>
    </row>
    <row r="301" spans="1:6" x14ac:dyDescent="0.35">
      <c r="A301" s="2">
        <v>45110</v>
      </c>
      <c r="B301" t="s">
        <v>3067</v>
      </c>
      <c r="C301" t="s">
        <v>72</v>
      </c>
      <c r="D301" t="s">
        <v>30</v>
      </c>
      <c r="E301" t="s">
        <v>3060</v>
      </c>
      <c r="F301" t="s">
        <v>3063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1"/>
  <sheetViews>
    <sheetView workbookViewId="0"/>
  </sheetViews>
  <sheetFormatPr defaultRowHeight="14.5" x14ac:dyDescent="0.35"/>
  <cols>
    <col min="1" max="1" width="10" customWidth="1"/>
    <col min="2" max="2" width="30" customWidth="1"/>
    <col min="3" max="4" width="15" customWidth="1"/>
    <col min="5" max="5" width="13" customWidth="1"/>
    <col min="6" max="6" width="15" customWidth="1"/>
  </cols>
  <sheetData>
    <row r="1" spans="1:6" x14ac:dyDescent="0.35">
      <c r="A1" s="1" t="s">
        <v>0</v>
      </c>
      <c r="B1" s="1" t="s">
        <v>1</v>
      </c>
      <c r="C1" s="1" t="s">
        <v>3068</v>
      </c>
      <c r="D1" s="1" t="s">
        <v>3069</v>
      </c>
      <c r="E1" s="1" t="s">
        <v>636</v>
      </c>
      <c r="F1" s="1" t="s">
        <v>640</v>
      </c>
    </row>
    <row r="2" spans="1:6" x14ac:dyDescent="0.35">
      <c r="A2" t="s">
        <v>11</v>
      </c>
      <c r="B2" t="s">
        <v>3070</v>
      </c>
      <c r="C2" t="s">
        <v>20</v>
      </c>
      <c r="D2" t="s">
        <v>3067</v>
      </c>
      <c r="E2" s="2">
        <v>44628</v>
      </c>
      <c r="F2" t="s">
        <v>1884</v>
      </c>
    </row>
    <row r="3" spans="1:6" x14ac:dyDescent="0.35">
      <c r="A3" t="s">
        <v>17</v>
      </c>
      <c r="B3" t="s">
        <v>3071</v>
      </c>
      <c r="C3" t="s">
        <v>20</v>
      </c>
      <c r="D3" t="s">
        <v>3072</v>
      </c>
      <c r="E3" s="2">
        <v>46180</v>
      </c>
      <c r="F3" t="s">
        <v>3073</v>
      </c>
    </row>
    <row r="4" spans="1:6" x14ac:dyDescent="0.35">
      <c r="A4" t="s">
        <v>22</v>
      </c>
      <c r="B4" t="s">
        <v>3074</v>
      </c>
      <c r="C4" t="s">
        <v>25</v>
      </c>
      <c r="D4" t="s">
        <v>3075</v>
      </c>
      <c r="E4" s="2">
        <v>45790</v>
      </c>
      <c r="F4" t="s">
        <v>3073</v>
      </c>
    </row>
    <row r="5" spans="1:6" x14ac:dyDescent="0.35">
      <c r="A5" t="s">
        <v>28</v>
      </c>
      <c r="B5" t="s">
        <v>3076</v>
      </c>
      <c r="C5" t="s">
        <v>40</v>
      </c>
      <c r="D5" t="s">
        <v>3072</v>
      </c>
      <c r="E5" s="2">
        <v>45733</v>
      </c>
      <c r="F5" t="s">
        <v>3073</v>
      </c>
    </row>
    <row r="6" spans="1:6" x14ac:dyDescent="0.35">
      <c r="A6" t="s">
        <v>31</v>
      </c>
      <c r="B6" t="s">
        <v>3077</v>
      </c>
      <c r="C6" t="s">
        <v>14</v>
      </c>
      <c r="D6" t="s">
        <v>3075</v>
      </c>
      <c r="E6" s="2">
        <v>45363</v>
      </c>
      <c r="F6" t="s">
        <v>1884</v>
      </c>
    </row>
    <row r="7" spans="1:6" x14ac:dyDescent="0.35">
      <c r="A7" t="s">
        <v>33</v>
      </c>
      <c r="B7" t="s">
        <v>3078</v>
      </c>
      <c r="C7" t="s">
        <v>25</v>
      </c>
      <c r="D7" t="s">
        <v>3075</v>
      </c>
      <c r="E7" s="2">
        <v>45367</v>
      </c>
      <c r="F7" t="s">
        <v>1884</v>
      </c>
    </row>
    <row r="8" spans="1:6" x14ac:dyDescent="0.35">
      <c r="A8" t="s">
        <v>37</v>
      </c>
      <c r="B8" t="s">
        <v>3079</v>
      </c>
      <c r="C8" t="s">
        <v>25</v>
      </c>
      <c r="D8" t="s">
        <v>3067</v>
      </c>
      <c r="E8" s="2">
        <v>44825</v>
      </c>
      <c r="F8" t="s">
        <v>3080</v>
      </c>
    </row>
    <row r="9" spans="1:6" x14ac:dyDescent="0.35">
      <c r="A9" t="s">
        <v>42</v>
      </c>
      <c r="B9" t="s">
        <v>3081</v>
      </c>
      <c r="C9" t="s">
        <v>35</v>
      </c>
      <c r="D9" t="s">
        <v>3075</v>
      </c>
      <c r="E9" s="2">
        <v>44917</v>
      </c>
      <c r="F9" t="s">
        <v>3073</v>
      </c>
    </row>
    <row r="10" spans="1:6" x14ac:dyDescent="0.35">
      <c r="A10" t="s">
        <v>46</v>
      </c>
      <c r="B10" t="s">
        <v>3082</v>
      </c>
      <c r="C10" t="s">
        <v>40</v>
      </c>
      <c r="D10" t="s">
        <v>3075</v>
      </c>
      <c r="E10" s="2">
        <v>44886</v>
      </c>
      <c r="F10" t="s">
        <v>3073</v>
      </c>
    </row>
    <row r="11" spans="1:6" x14ac:dyDescent="0.35">
      <c r="A11" t="s">
        <v>49</v>
      </c>
      <c r="B11" t="s">
        <v>3083</v>
      </c>
      <c r="C11" t="s">
        <v>14</v>
      </c>
      <c r="D11" t="s">
        <v>3072</v>
      </c>
      <c r="E11" s="2">
        <v>46016</v>
      </c>
      <c r="F11" t="s">
        <v>1884</v>
      </c>
    </row>
    <row r="12" spans="1:6" x14ac:dyDescent="0.35">
      <c r="A12" t="s">
        <v>52</v>
      </c>
      <c r="B12" t="s">
        <v>3084</v>
      </c>
      <c r="C12" t="s">
        <v>25</v>
      </c>
      <c r="D12" t="s">
        <v>3072</v>
      </c>
      <c r="E12" s="2">
        <v>45855</v>
      </c>
      <c r="F12" t="s">
        <v>3080</v>
      </c>
    </row>
    <row r="13" spans="1:6" x14ac:dyDescent="0.35">
      <c r="A13" t="s">
        <v>55</v>
      </c>
      <c r="B13" t="s">
        <v>3085</v>
      </c>
      <c r="C13" t="s">
        <v>35</v>
      </c>
      <c r="D13" t="s">
        <v>3075</v>
      </c>
      <c r="E13" s="2">
        <v>45094</v>
      </c>
      <c r="F13" t="s">
        <v>3080</v>
      </c>
    </row>
    <row r="14" spans="1:6" x14ac:dyDescent="0.35">
      <c r="A14" t="s">
        <v>57</v>
      </c>
      <c r="B14" t="s">
        <v>3086</v>
      </c>
      <c r="C14" t="s">
        <v>14</v>
      </c>
      <c r="D14" t="s">
        <v>3067</v>
      </c>
      <c r="E14" s="2">
        <v>44979</v>
      </c>
      <c r="F14" t="s">
        <v>1884</v>
      </c>
    </row>
    <row r="15" spans="1:6" x14ac:dyDescent="0.35">
      <c r="A15" t="s">
        <v>59</v>
      </c>
      <c r="B15" t="s">
        <v>3087</v>
      </c>
      <c r="C15" t="s">
        <v>20</v>
      </c>
      <c r="D15" t="s">
        <v>3072</v>
      </c>
      <c r="E15" s="2">
        <v>45457</v>
      </c>
      <c r="F15" t="s">
        <v>1884</v>
      </c>
    </row>
    <row r="16" spans="1:6" x14ac:dyDescent="0.35">
      <c r="A16" t="s">
        <v>61</v>
      </c>
      <c r="B16" t="s">
        <v>3088</v>
      </c>
      <c r="C16" t="s">
        <v>54</v>
      </c>
      <c r="D16" t="s">
        <v>3075</v>
      </c>
      <c r="E16" s="2">
        <v>44875</v>
      </c>
      <c r="F16" t="s">
        <v>1884</v>
      </c>
    </row>
    <row r="17" spans="1:6" x14ac:dyDescent="0.35">
      <c r="A17" t="s">
        <v>64</v>
      </c>
      <c r="B17" t="s">
        <v>3089</v>
      </c>
      <c r="C17" t="s">
        <v>25</v>
      </c>
      <c r="D17" t="s">
        <v>3075</v>
      </c>
      <c r="E17" s="2">
        <v>45675</v>
      </c>
      <c r="F17" t="s">
        <v>1884</v>
      </c>
    </row>
    <row r="18" spans="1:6" x14ac:dyDescent="0.35">
      <c r="A18" t="s">
        <v>66</v>
      </c>
      <c r="B18" t="s">
        <v>3090</v>
      </c>
      <c r="C18" t="s">
        <v>25</v>
      </c>
      <c r="D18" t="s">
        <v>3067</v>
      </c>
      <c r="E18" s="2">
        <v>44613</v>
      </c>
      <c r="F18" t="s">
        <v>3080</v>
      </c>
    </row>
    <row r="19" spans="1:6" x14ac:dyDescent="0.35">
      <c r="A19" t="s">
        <v>68</v>
      </c>
      <c r="B19" t="s">
        <v>3091</v>
      </c>
      <c r="C19" t="s">
        <v>54</v>
      </c>
      <c r="D19" t="s">
        <v>3072</v>
      </c>
      <c r="E19" s="2">
        <v>45491</v>
      </c>
      <c r="F19" t="s">
        <v>3080</v>
      </c>
    </row>
    <row r="20" spans="1:6" x14ac:dyDescent="0.35">
      <c r="A20" t="s">
        <v>70</v>
      </c>
      <c r="B20" t="s">
        <v>3092</v>
      </c>
      <c r="C20" t="s">
        <v>54</v>
      </c>
      <c r="D20" t="s">
        <v>3067</v>
      </c>
      <c r="E20" s="2">
        <v>44944</v>
      </c>
      <c r="F20" t="s">
        <v>1884</v>
      </c>
    </row>
    <row r="21" spans="1:6" x14ac:dyDescent="0.35">
      <c r="A21" t="s">
        <v>73</v>
      </c>
      <c r="B21" t="s">
        <v>3093</v>
      </c>
      <c r="C21" t="s">
        <v>54</v>
      </c>
      <c r="D21" t="s">
        <v>3072</v>
      </c>
      <c r="E21" s="2">
        <v>45170</v>
      </c>
      <c r="F21" t="s">
        <v>1884</v>
      </c>
    </row>
    <row r="22" spans="1:6" x14ac:dyDescent="0.35">
      <c r="A22" t="s">
        <v>75</v>
      </c>
      <c r="B22" t="s">
        <v>3094</v>
      </c>
      <c r="C22" t="s">
        <v>25</v>
      </c>
      <c r="D22" t="s">
        <v>3072</v>
      </c>
      <c r="E22" s="2">
        <v>46049</v>
      </c>
      <c r="F22" t="s">
        <v>3073</v>
      </c>
    </row>
    <row r="23" spans="1:6" x14ac:dyDescent="0.35">
      <c r="A23" t="s">
        <v>78</v>
      </c>
      <c r="B23" t="s">
        <v>3095</v>
      </c>
      <c r="C23" t="s">
        <v>40</v>
      </c>
      <c r="D23" t="s">
        <v>3075</v>
      </c>
      <c r="E23" s="2">
        <v>44667</v>
      </c>
      <c r="F23" t="s">
        <v>3073</v>
      </c>
    </row>
    <row r="24" spans="1:6" x14ac:dyDescent="0.35">
      <c r="A24" t="s">
        <v>80</v>
      </c>
      <c r="B24" t="s">
        <v>3096</v>
      </c>
      <c r="C24" t="s">
        <v>20</v>
      </c>
      <c r="D24" t="s">
        <v>3072</v>
      </c>
      <c r="E24" s="2">
        <v>45846</v>
      </c>
      <c r="F24" t="s">
        <v>1884</v>
      </c>
    </row>
    <row r="25" spans="1:6" x14ac:dyDescent="0.35">
      <c r="A25" t="s">
        <v>82</v>
      </c>
      <c r="B25" t="s">
        <v>3097</v>
      </c>
      <c r="C25" t="s">
        <v>54</v>
      </c>
      <c r="D25" t="s">
        <v>3075</v>
      </c>
      <c r="E25" s="2">
        <v>46337</v>
      </c>
      <c r="F25" t="s">
        <v>1884</v>
      </c>
    </row>
    <row r="26" spans="1:6" x14ac:dyDescent="0.35">
      <c r="A26" t="s">
        <v>84</v>
      </c>
      <c r="B26" t="s">
        <v>3098</v>
      </c>
      <c r="C26" t="s">
        <v>20</v>
      </c>
      <c r="D26" t="s">
        <v>3067</v>
      </c>
      <c r="E26" s="2">
        <v>45782</v>
      </c>
      <c r="F26" t="s">
        <v>1884</v>
      </c>
    </row>
    <row r="27" spans="1:6" x14ac:dyDescent="0.35">
      <c r="A27" t="s">
        <v>86</v>
      </c>
      <c r="B27" t="s">
        <v>3099</v>
      </c>
      <c r="C27" t="s">
        <v>20</v>
      </c>
      <c r="D27" t="s">
        <v>3072</v>
      </c>
      <c r="E27" s="2">
        <v>45140</v>
      </c>
      <c r="F27" t="s">
        <v>3073</v>
      </c>
    </row>
    <row r="28" spans="1:6" x14ac:dyDescent="0.35">
      <c r="A28" t="s">
        <v>89</v>
      </c>
      <c r="B28" t="s">
        <v>3100</v>
      </c>
      <c r="C28" t="s">
        <v>14</v>
      </c>
      <c r="D28" t="s">
        <v>3072</v>
      </c>
      <c r="E28" s="2">
        <v>44720</v>
      </c>
      <c r="F28" t="s">
        <v>3073</v>
      </c>
    </row>
    <row r="29" spans="1:6" x14ac:dyDescent="0.35">
      <c r="A29" t="s">
        <v>91</v>
      </c>
      <c r="B29" t="s">
        <v>3101</v>
      </c>
      <c r="C29" t="s">
        <v>40</v>
      </c>
      <c r="D29" t="s">
        <v>3072</v>
      </c>
      <c r="E29" s="2">
        <v>45362</v>
      </c>
      <c r="F29" t="s">
        <v>1884</v>
      </c>
    </row>
    <row r="30" spans="1:6" x14ac:dyDescent="0.35">
      <c r="A30" t="s">
        <v>93</v>
      </c>
      <c r="B30" t="s">
        <v>3102</v>
      </c>
      <c r="C30" t="s">
        <v>35</v>
      </c>
      <c r="D30" t="s">
        <v>3072</v>
      </c>
      <c r="E30" s="2">
        <v>45409</v>
      </c>
      <c r="F30" t="s">
        <v>1884</v>
      </c>
    </row>
    <row r="31" spans="1:6" x14ac:dyDescent="0.35">
      <c r="A31" t="s">
        <v>95</v>
      </c>
      <c r="B31" t="s">
        <v>3103</v>
      </c>
      <c r="C31" t="s">
        <v>35</v>
      </c>
      <c r="D31" t="s">
        <v>3075</v>
      </c>
      <c r="E31" s="2">
        <v>44718</v>
      </c>
      <c r="F31" t="s">
        <v>1884</v>
      </c>
    </row>
    <row r="32" spans="1:6" x14ac:dyDescent="0.35">
      <c r="A32" t="s">
        <v>97</v>
      </c>
      <c r="B32" t="s">
        <v>3104</v>
      </c>
      <c r="C32" t="s">
        <v>54</v>
      </c>
      <c r="D32" t="s">
        <v>3067</v>
      </c>
      <c r="E32" s="2">
        <v>45330</v>
      </c>
      <c r="F32" t="s">
        <v>3073</v>
      </c>
    </row>
    <row r="33" spans="1:6" x14ac:dyDescent="0.35">
      <c r="A33" t="s">
        <v>99</v>
      </c>
      <c r="B33" t="s">
        <v>3105</v>
      </c>
      <c r="C33" t="s">
        <v>54</v>
      </c>
      <c r="D33" t="s">
        <v>3067</v>
      </c>
      <c r="E33" s="2">
        <v>46217</v>
      </c>
      <c r="F33" t="s">
        <v>1884</v>
      </c>
    </row>
    <row r="34" spans="1:6" x14ac:dyDescent="0.35">
      <c r="A34" t="s">
        <v>101</v>
      </c>
      <c r="B34" t="s">
        <v>3106</v>
      </c>
      <c r="C34" t="s">
        <v>14</v>
      </c>
      <c r="D34" t="s">
        <v>3067</v>
      </c>
      <c r="E34" s="2">
        <v>44582</v>
      </c>
      <c r="F34" t="s">
        <v>1884</v>
      </c>
    </row>
    <row r="35" spans="1:6" x14ac:dyDescent="0.35">
      <c r="A35" t="s">
        <v>103</v>
      </c>
      <c r="B35" t="s">
        <v>3107</v>
      </c>
      <c r="C35" t="s">
        <v>54</v>
      </c>
      <c r="D35" t="s">
        <v>3075</v>
      </c>
      <c r="E35" s="2">
        <v>45854</v>
      </c>
      <c r="F35" t="s">
        <v>3080</v>
      </c>
    </row>
    <row r="36" spans="1:6" x14ac:dyDescent="0.35">
      <c r="A36" t="s">
        <v>105</v>
      </c>
      <c r="B36" t="s">
        <v>3108</v>
      </c>
      <c r="C36" t="s">
        <v>20</v>
      </c>
      <c r="D36" t="s">
        <v>3072</v>
      </c>
      <c r="E36" s="2">
        <v>45264</v>
      </c>
      <c r="F36" t="s">
        <v>3073</v>
      </c>
    </row>
    <row r="37" spans="1:6" x14ac:dyDescent="0.35">
      <c r="A37" t="s">
        <v>107</v>
      </c>
      <c r="B37" t="s">
        <v>3109</v>
      </c>
      <c r="C37" t="s">
        <v>35</v>
      </c>
      <c r="D37" t="s">
        <v>3075</v>
      </c>
      <c r="E37" s="2">
        <v>45790</v>
      </c>
      <c r="F37" t="s">
        <v>3080</v>
      </c>
    </row>
    <row r="38" spans="1:6" x14ac:dyDescent="0.35">
      <c r="A38" t="s">
        <v>109</v>
      </c>
      <c r="B38" t="s">
        <v>3110</v>
      </c>
      <c r="C38" t="s">
        <v>20</v>
      </c>
      <c r="D38" t="s">
        <v>3072</v>
      </c>
      <c r="E38" s="2">
        <v>45630</v>
      </c>
      <c r="F38" t="s">
        <v>3080</v>
      </c>
    </row>
    <row r="39" spans="1:6" x14ac:dyDescent="0.35">
      <c r="A39" t="s">
        <v>111</v>
      </c>
      <c r="B39" t="s">
        <v>3111</v>
      </c>
      <c r="C39" t="s">
        <v>40</v>
      </c>
      <c r="D39" t="s">
        <v>3072</v>
      </c>
      <c r="E39" s="2">
        <v>44956</v>
      </c>
      <c r="F39" t="s">
        <v>3080</v>
      </c>
    </row>
    <row r="40" spans="1:6" x14ac:dyDescent="0.35">
      <c r="A40" t="s">
        <v>113</v>
      </c>
      <c r="B40" t="s">
        <v>3112</v>
      </c>
      <c r="C40" t="s">
        <v>20</v>
      </c>
      <c r="D40" t="s">
        <v>3075</v>
      </c>
      <c r="E40" s="2">
        <v>44609</v>
      </c>
      <c r="F40" t="s">
        <v>3080</v>
      </c>
    </row>
    <row r="41" spans="1:6" x14ac:dyDescent="0.35">
      <c r="A41" t="s">
        <v>115</v>
      </c>
      <c r="B41" t="s">
        <v>3113</v>
      </c>
      <c r="C41" t="s">
        <v>25</v>
      </c>
      <c r="D41" t="s">
        <v>3072</v>
      </c>
      <c r="E41" s="2">
        <v>45004</v>
      </c>
      <c r="F41" t="s">
        <v>3073</v>
      </c>
    </row>
    <row r="42" spans="1:6" x14ac:dyDescent="0.35">
      <c r="A42" t="s">
        <v>117</v>
      </c>
      <c r="B42" t="s">
        <v>3114</v>
      </c>
      <c r="C42" t="s">
        <v>20</v>
      </c>
      <c r="D42" t="s">
        <v>3072</v>
      </c>
      <c r="E42" s="2">
        <v>44622</v>
      </c>
      <c r="F42" t="s">
        <v>3073</v>
      </c>
    </row>
    <row r="43" spans="1:6" x14ac:dyDescent="0.35">
      <c r="A43" t="s">
        <v>119</v>
      </c>
      <c r="B43" t="s">
        <v>3115</v>
      </c>
      <c r="C43" t="s">
        <v>14</v>
      </c>
      <c r="D43" t="s">
        <v>3072</v>
      </c>
      <c r="E43" s="2">
        <v>44732</v>
      </c>
      <c r="F43" t="s">
        <v>3080</v>
      </c>
    </row>
    <row r="44" spans="1:6" x14ac:dyDescent="0.35">
      <c r="A44" t="s">
        <v>121</v>
      </c>
      <c r="B44" t="s">
        <v>3116</v>
      </c>
      <c r="C44" t="s">
        <v>54</v>
      </c>
      <c r="D44" t="s">
        <v>3072</v>
      </c>
      <c r="E44" s="2">
        <v>45110</v>
      </c>
      <c r="F44" t="s">
        <v>3073</v>
      </c>
    </row>
    <row r="45" spans="1:6" x14ac:dyDescent="0.35">
      <c r="A45" t="s">
        <v>123</v>
      </c>
      <c r="B45" t="s">
        <v>3117</v>
      </c>
      <c r="C45" t="s">
        <v>35</v>
      </c>
      <c r="D45" t="s">
        <v>3072</v>
      </c>
      <c r="E45" s="2">
        <v>44750</v>
      </c>
      <c r="F45" t="s">
        <v>3073</v>
      </c>
    </row>
    <row r="46" spans="1:6" x14ac:dyDescent="0.35">
      <c r="A46" t="s">
        <v>125</v>
      </c>
      <c r="B46" t="s">
        <v>3118</v>
      </c>
      <c r="C46" t="s">
        <v>54</v>
      </c>
      <c r="D46" t="s">
        <v>3075</v>
      </c>
      <c r="E46" s="2">
        <v>45897</v>
      </c>
      <c r="F46" t="s">
        <v>3073</v>
      </c>
    </row>
    <row r="47" spans="1:6" x14ac:dyDescent="0.35">
      <c r="A47" t="s">
        <v>127</v>
      </c>
      <c r="B47" t="s">
        <v>3119</v>
      </c>
      <c r="C47" t="s">
        <v>35</v>
      </c>
      <c r="D47" t="s">
        <v>3075</v>
      </c>
      <c r="E47" s="2">
        <v>46218</v>
      </c>
      <c r="F47" t="s">
        <v>3073</v>
      </c>
    </row>
    <row r="48" spans="1:6" x14ac:dyDescent="0.35">
      <c r="A48" t="s">
        <v>129</v>
      </c>
      <c r="B48" t="s">
        <v>3120</v>
      </c>
      <c r="C48" t="s">
        <v>35</v>
      </c>
      <c r="D48" t="s">
        <v>3075</v>
      </c>
      <c r="E48" s="2">
        <v>45381</v>
      </c>
      <c r="F48" t="s">
        <v>1884</v>
      </c>
    </row>
    <row r="49" spans="1:6" x14ac:dyDescent="0.35">
      <c r="A49" t="s">
        <v>131</v>
      </c>
      <c r="B49" t="s">
        <v>3121</v>
      </c>
      <c r="C49" t="s">
        <v>40</v>
      </c>
      <c r="D49" t="s">
        <v>3072</v>
      </c>
      <c r="E49" s="2">
        <v>44967</v>
      </c>
      <c r="F49" t="s">
        <v>3080</v>
      </c>
    </row>
    <row r="50" spans="1:6" x14ac:dyDescent="0.35">
      <c r="A50" t="s">
        <v>133</v>
      </c>
      <c r="B50" t="s">
        <v>3122</v>
      </c>
      <c r="C50" t="s">
        <v>54</v>
      </c>
      <c r="D50" t="s">
        <v>3067</v>
      </c>
      <c r="E50" s="2">
        <v>45366</v>
      </c>
      <c r="F50" t="s">
        <v>1884</v>
      </c>
    </row>
    <row r="51" spans="1:6" x14ac:dyDescent="0.35">
      <c r="A51" t="s">
        <v>135</v>
      </c>
      <c r="B51" t="s">
        <v>3123</v>
      </c>
      <c r="C51" t="s">
        <v>25</v>
      </c>
      <c r="D51" t="s">
        <v>3075</v>
      </c>
      <c r="E51" s="2">
        <v>45200</v>
      </c>
      <c r="F51" t="s">
        <v>1884</v>
      </c>
    </row>
    <row r="52" spans="1:6" x14ac:dyDescent="0.35">
      <c r="A52" t="s">
        <v>137</v>
      </c>
      <c r="B52" t="s">
        <v>3124</v>
      </c>
      <c r="C52" t="s">
        <v>14</v>
      </c>
      <c r="D52" t="s">
        <v>3075</v>
      </c>
      <c r="E52" s="2">
        <v>45561</v>
      </c>
      <c r="F52" t="s">
        <v>3073</v>
      </c>
    </row>
    <row r="53" spans="1:6" x14ac:dyDescent="0.35">
      <c r="A53" t="s">
        <v>139</v>
      </c>
      <c r="B53" t="s">
        <v>3125</v>
      </c>
      <c r="C53" t="s">
        <v>35</v>
      </c>
      <c r="D53" t="s">
        <v>3067</v>
      </c>
      <c r="E53" s="2">
        <v>45783</v>
      </c>
      <c r="F53" t="s">
        <v>3080</v>
      </c>
    </row>
    <row r="54" spans="1:6" x14ac:dyDescent="0.35">
      <c r="A54" t="s">
        <v>141</v>
      </c>
      <c r="B54" t="s">
        <v>2558</v>
      </c>
      <c r="C54" t="s">
        <v>40</v>
      </c>
      <c r="D54" t="s">
        <v>3067</v>
      </c>
      <c r="E54" s="2">
        <v>45837</v>
      </c>
      <c r="F54" t="s">
        <v>1884</v>
      </c>
    </row>
    <row r="55" spans="1:6" x14ac:dyDescent="0.35">
      <c r="A55" t="s">
        <v>143</v>
      </c>
      <c r="B55" t="s">
        <v>3126</v>
      </c>
      <c r="C55" t="s">
        <v>25</v>
      </c>
      <c r="D55" t="s">
        <v>3067</v>
      </c>
      <c r="E55" s="2">
        <v>45441</v>
      </c>
      <c r="F55" t="s">
        <v>1884</v>
      </c>
    </row>
    <row r="56" spans="1:6" x14ac:dyDescent="0.35">
      <c r="A56" t="s">
        <v>145</v>
      </c>
      <c r="B56" t="s">
        <v>3127</v>
      </c>
      <c r="C56" t="s">
        <v>25</v>
      </c>
      <c r="D56" t="s">
        <v>3067</v>
      </c>
      <c r="E56" s="2">
        <v>45327</v>
      </c>
      <c r="F56" t="s">
        <v>3080</v>
      </c>
    </row>
    <row r="57" spans="1:6" x14ac:dyDescent="0.35">
      <c r="A57" t="s">
        <v>147</v>
      </c>
      <c r="B57" t="s">
        <v>3128</v>
      </c>
      <c r="C57" t="s">
        <v>20</v>
      </c>
      <c r="D57" t="s">
        <v>3067</v>
      </c>
      <c r="E57" s="2">
        <v>44904</v>
      </c>
      <c r="F57" t="s">
        <v>1884</v>
      </c>
    </row>
    <row r="58" spans="1:6" x14ac:dyDescent="0.35">
      <c r="A58" t="s">
        <v>149</v>
      </c>
      <c r="B58" t="s">
        <v>1345</v>
      </c>
      <c r="C58" t="s">
        <v>25</v>
      </c>
      <c r="D58" t="s">
        <v>3067</v>
      </c>
      <c r="E58" s="2">
        <v>45763</v>
      </c>
      <c r="F58" t="s">
        <v>3073</v>
      </c>
    </row>
    <row r="59" spans="1:6" x14ac:dyDescent="0.35">
      <c r="A59" t="s">
        <v>151</v>
      </c>
      <c r="B59" t="s">
        <v>3129</v>
      </c>
      <c r="C59" t="s">
        <v>40</v>
      </c>
      <c r="D59" t="s">
        <v>3075</v>
      </c>
      <c r="E59" s="2">
        <v>46255</v>
      </c>
      <c r="F59" t="s">
        <v>3080</v>
      </c>
    </row>
    <row r="60" spans="1:6" x14ac:dyDescent="0.35">
      <c r="A60" t="s">
        <v>153</v>
      </c>
      <c r="B60" t="s">
        <v>3130</v>
      </c>
      <c r="C60" t="s">
        <v>25</v>
      </c>
      <c r="D60" t="s">
        <v>3067</v>
      </c>
      <c r="E60" s="2">
        <v>45377</v>
      </c>
      <c r="F60" t="s">
        <v>1884</v>
      </c>
    </row>
    <row r="61" spans="1:6" x14ac:dyDescent="0.35">
      <c r="A61" t="s">
        <v>155</v>
      </c>
      <c r="B61" t="s">
        <v>3131</v>
      </c>
      <c r="C61" t="s">
        <v>20</v>
      </c>
      <c r="D61" t="s">
        <v>3072</v>
      </c>
      <c r="E61" s="2">
        <v>46218</v>
      </c>
      <c r="F61" t="s">
        <v>3073</v>
      </c>
    </row>
    <row r="62" spans="1:6" x14ac:dyDescent="0.35">
      <c r="A62" t="s">
        <v>157</v>
      </c>
      <c r="B62" t="s">
        <v>3132</v>
      </c>
      <c r="C62" t="s">
        <v>35</v>
      </c>
      <c r="D62" t="s">
        <v>3072</v>
      </c>
      <c r="E62" s="2">
        <v>45294</v>
      </c>
      <c r="F62" t="s">
        <v>1884</v>
      </c>
    </row>
    <row r="63" spans="1:6" x14ac:dyDescent="0.35">
      <c r="A63" t="s">
        <v>159</v>
      </c>
      <c r="B63" t="s">
        <v>3133</v>
      </c>
      <c r="C63" t="s">
        <v>20</v>
      </c>
      <c r="D63" t="s">
        <v>3072</v>
      </c>
      <c r="E63" s="2">
        <v>45907</v>
      </c>
      <c r="F63" t="s">
        <v>3073</v>
      </c>
    </row>
    <row r="64" spans="1:6" x14ac:dyDescent="0.35">
      <c r="A64" t="s">
        <v>161</v>
      </c>
      <c r="B64" t="s">
        <v>3134</v>
      </c>
      <c r="C64" t="s">
        <v>40</v>
      </c>
      <c r="D64" t="s">
        <v>3072</v>
      </c>
      <c r="E64" s="2">
        <v>46158</v>
      </c>
      <c r="F64" t="s">
        <v>3073</v>
      </c>
    </row>
    <row r="65" spans="1:6" x14ac:dyDescent="0.35">
      <c r="A65" t="s">
        <v>163</v>
      </c>
      <c r="B65" t="s">
        <v>3135</v>
      </c>
      <c r="C65" t="s">
        <v>20</v>
      </c>
      <c r="D65" t="s">
        <v>3072</v>
      </c>
      <c r="E65" s="2">
        <v>45214</v>
      </c>
      <c r="F65" t="s">
        <v>3080</v>
      </c>
    </row>
    <row r="66" spans="1:6" x14ac:dyDescent="0.35">
      <c r="A66" t="s">
        <v>165</v>
      </c>
      <c r="B66" t="s">
        <v>3136</v>
      </c>
      <c r="C66" t="s">
        <v>20</v>
      </c>
      <c r="D66" t="s">
        <v>3075</v>
      </c>
      <c r="E66" s="2">
        <v>45235</v>
      </c>
      <c r="F66" t="s">
        <v>1884</v>
      </c>
    </row>
    <row r="67" spans="1:6" x14ac:dyDescent="0.35">
      <c r="A67" t="s">
        <v>167</v>
      </c>
      <c r="B67" t="s">
        <v>3137</v>
      </c>
      <c r="C67" t="s">
        <v>35</v>
      </c>
      <c r="D67" t="s">
        <v>3075</v>
      </c>
      <c r="E67" s="2">
        <v>46190</v>
      </c>
      <c r="F67" t="s">
        <v>3073</v>
      </c>
    </row>
    <row r="68" spans="1:6" x14ac:dyDescent="0.35">
      <c r="A68" t="s">
        <v>169</v>
      </c>
      <c r="B68" t="s">
        <v>3138</v>
      </c>
      <c r="C68" t="s">
        <v>14</v>
      </c>
      <c r="D68" t="s">
        <v>3075</v>
      </c>
      <c r="E68" s="2">
        <v>44697</v>
      </c>
      <c r="F68" t="s">
        <v>3073</v>
      </c>
    </row>
    <row r="69" spans="1:6" x14ac:dyDescent="0.35">
      <c r="A69" t="s">
        <v>171</v>
      </c>
      <c r="B69" t="s">
        <v>3139</v>
      </c>
      <c r="C69" t="s">
        <v>40</v>
      </c>
      <c r="D69" t="s">
        <v>3075</v>
      </c>
      <c r="E69" s="2">
        <v>44996</v>
      </c>
      <c r="F69" t="s">
        <v>3080</v>
      </c>
    </row>
    <row r="70" spans="1:6" x14ac:dyDescent="0.35">
      <c r="A70" t="s">
        <v>173</v>
      </c>
      <c r="B70" t="s">
        <v>3140</v>
      </c>
      <c r="C70" t="s">
        <v>14</v>
      </c>
      <c r="D70" t="s">
        <v>3072</v>
      </c>
      <c r="E70" s="2">
        <v>45710</v>
      </c>
      <c r="F70" t="s">
        <v>3073</v>
      </c>
    </row>
    <row r="71" spans="1:6" x14ac:dyDescent="0.35">
      <c r="A71" t="s">
        <v>175</v>
      </c>
      <c r="B71" t="s">
        <v>3141</v>
      </c>
      <c r="C71" t="s">
        <v>54</v>
      </c>
      <c r="D71" t="s">
        <v>3075</v>
      </c>
      <c r="E71" s="2">
        <v>46371</v>
      </c>
      <c r="F71" t="s">
        <v>3080</v>
      </c>
    </row>
    <row r="72" spans="1:6" x14ac:dyDescent="0.35">
      <c r="A72" t="s">
        <v>177</v>
      </c>
      <c r="B72" t="s">
        <v>3142</v>
      </c>
      <c r="C72" t="s">
        <v>20</v>
      </c>
      <c r="D72" t="s">
        <v>3075</v>
      </c>
      <c r="E72" s="2">
        <v>45885</v>
      </c>
      <c r="F72" t="s">
        <v>3073</v>
      </c>
    </row>
    <row r="73" spans="1:6" x14ac:dyDescent="0.35">
      <c r="A73" t="s">
        <v>179</v>
      </c>
      <c r="B73" t="s">
        <v>3143</v>
      </c>
      <c r="C73" t="s">
        <v>54</v>
      </c>
      <c r="D73" t="s">
        <v>3067</v>
      </c>
      <c r="E73" s="2">
        <v>45212</v>
      </c>
      <c r="F73" t="s">
        <v>3073</v>
      </c>
    </row>
    <row r="74" spans="1:6" x14ac:dyDescent="0.35">
      <c r="A74" t="s">
        <v>181</v>
      </c>
      <c r="B74" t="s">
        <v>3144</v>
      </c>
      <c r="C74" t="s">
        <v>14</v>
      </c>
      <c r="D74" t="s">
        <v>3072</v>
      </c>
      <c r="E74" s="2">
        <v>44663</v>
      </c>
      <c r="F74" t="s">
        <v>3073</v>
      </c>
    </row>
    <row r="75" spans="1:6" x14ac:dyDescent="0.35">
      <c r="A75" t="s">
        <v>183</v>
      </c>
      <c r="B75" t="s">
        <v>3145</v>
      </c>
      <c r="C75" t="s">
        <v>35</v>
      </c>
      <c r="D75" t="s">
        <v>3072</v>
      </c>
      <c r="E75" s="2">
        <v>45124</v>
      </c>
      <c r="F75" t="s">
        <v>3073</v>
      </c>
    </row>
    <row r="76" spans="1:6" x14ac:dyDescent="0.35">
      <c r="A76" t="s">
        <v>185</v>
      </c>
      <c r="B76" t="s">
        <v>3146</v>
      </c>
      <c r="C76" t="s">
        <v>20</v>
      </c>
      <c r="D76" t="s">
        <v>3072</v>
      </c>
      <c r="E76" s="2">
        <v>45489</v>
      </c>
      <c r="F76" t="s">
        <v>1884</v>
      </c>
    </row>
    <row r="77" spans="1:6" x14ac:dyDescent="0.35">
      <c r="A77" t="s">
        <v>187</v>
      </c>
      <c r="B77" t="s">
        <v>3147</v>
      </c>
      <c r="C77" t="s">
        <v>25</v>
      </c>
      <c r="D77" t="s">
        <v>3067</v>
      </c>
      <c r="E77" s="2">
        <v>45772</v>
      </c>
      <c r="F77" t="s">
        <v>3073</v>
      </c>
    </row>
    <row r="78" spans="1:6" x14ac:dyDescent="0.35">
      <c r="A78" t="s">
        <v>189</v>
      </c>
      <c r="B78" t="s">
        <v>3148</v>
      </c>
      <c r="C78" t="s">
        <v>14</v>
      </c>
      <c r="D78" t="s">
        <v>3075</v>
      </c>
      <c r="E78" s="2">
        <v>44605</v>
      </c>
      <c r="F78" t="s">
        <v>3073</v>
      </c>
    </row>
    <row r="79" spans="1:6" x14ac:dyDescent="0.35">
      <c r="A79" t="s">
        <v>191</v>
      </c>
      <c r="B79" t="s">
        <v>3149</v>
      </c>
      <c r="C79" t="s">
        <v>20</v>
      </c>
      <c r="D79" t="s">
        <v>3075</v>
      </c>
      <c r="E79" s="2">
        <v>46166</v>
      </c>
      <c r="F79" t="s">
        <v>3080</v>
      </c>
    </row>
    <row r="80" spans="1:6" x14ac:dyDescent="0.35">
      <c r="A80" t="s">
        <v>193</v>
      </c>
      <c r="B80" t="s">
        <v>3150</v>
      </c>
      <c r="C80" t="s">
        <v>20</v>
      </c>
      <c r="D80" t="s">
        <v>3067</v>
      </c>
      <c r="E80" s="2">
        <v>45144</v>
      </c>
      <c r="F80" t="s">
        <v>1884</v>
      </c>
    </row>
    <row r="81" spans="1:6" x14ac:dyDescent="0.35">
      <c r="A81" t="s">
        <v>195</v>
      </c>
      <c r="B81" t="s">
        <v>3151</v>
      </c>
      <c r="C81" t="s">
        <v>35</v>
      </c>
      <c r="D81" t="s">
        <v>3072</v>
      </c>
      <c r="E81" s="2">
        <v>45654</v>
      </c>
      <c r="F81" t="s">
        <v>3080</v>
      </c>
    </row>
    <row r="82" spans="1:6" x14ac:dyDescent="0.35">
      <c r="A82" t="s">
        <v>197</v>
      </c>
      <c r="B82" t="s">
        <v>3152</v>
      </c>
      <c r="C82" t="s">
        <v>20</v>
      </c>
      <c r="D82" t="s">
        <v>3067</v>
      </c>
      <c r="E82" s="2">
        <v>45882</v>
      </c>
      <c r="F82" t="s">
        <v>1884</v>
      </c>
    </row>
    <row r="83" spans="1:6" x14ac:dyDescent="0.35">
      <c r="A83" t="s">
        <v>199</v>
      </c>
      <c r="B83" t="s">
        <v>3153</v>
      </c>
      <c r="C83" t="s">
        <v>20</v>
      </c>
      <c r="D83" t="s">
        <v>3067</v>
      </c>
      <c r="E83" s="2">
        <v>44756</v>
      </c>
      <c r="F83" t="s">
        <v>3073</v>
      </c>
    </row>
    <row r="84" spans="1:6" x14ac:dyDescent="0.35">
      <c r="A84" t="s">
        <v>201</v>
      </c>
      <c r="B84" t="s">
        <v>2407</v>
      </c>
      <c r="C84" t="s">
        <v>54</v>
      </c>
      <c r="D84" t="s">
        <v>3067</v>
      </c>
      <c r="E84" s="2">
        <v>45124</v>
      </c>
      <c r="F84" t="s">
        <v>3073</v>
      </c>
    </row>
    <row r="85" spans="1:6" x14ac:dyDescent="0.35">
      <c r="A85" t="s">
        <v>203</v>
      </c>
      <c r="B85" t="s">
        <v>3154</v>
      </c>
      <c r="C85" t="s">
        <v>40</v>
      </c>
      <c r="D85" t="s">
        <v>3067</v>
      </c>
      <c r="E85" s="2">
        <v>44725</v>
      </c>
      <c r="F85" t="s">
        <v>3080</v>
      </c>
    </row>
    <row r="86" spans="1:6" x14ac:dyDescent="0.35">
      <c r="A86" t="s">
        <v>205</v>
      </c>
      <c r="B86" t="s">
        <v>3155</v>
      </c>
      <c r="C86" t="s">
        <v>40</v>
      </c>
      <c r="D86" t="s">
        <v>3067</v>
      </c>
      <c r="E86" s="2">
        <v>45816</v>
      </c>
      <c r="F86" t="s">
        <v>1884</v>
      </c>
    </row>
    <row r="87" spans="1:6" x14ac:dyDescent="0.35">
      <c r="A87" t="s">
        <v>207</v>
      </c>
      <c r="B87" t="s">
        <v>3156</v>
      </c>
      <c r="C87" t="s">
        <v>35</v>
      </c>
      <c r="D87" t="s">
        <v>3067</v>
      </c>
      <c r="E87" s="2">
        <v>45988</v>
      </c>
      <c r="F87" t="s">
        <v>3073</v>
      </c>
    </row>
    <row r="88" spans="1:6" x14ac:dyDescent="0.35">
      <c r="A88" t="s">
        <v>209</v>
      </c>
      <c r="B88" t="s">
        <v>3157</v>
      </c>
      <c r="C88" t="s">
        <v>35</v>
      </c>
      <c r="D88" t="s">
        <v>3075</v>
      </c>
      <c r="E88" s="2">
        <v>44810</v>
      </c>
      <c r="F88" t="s">
        <v>3073</v>
      </c>
    </row>
    <row r="89" spans="1:6" x14ac:dyDescent="0.35">
      <c r="A89" t="s">
        <v>211</v>
      </c>
      <c r="B89" t="s">
        <v>3158</v>
      </c>
      <c r="C89" t="s">
        <v>25</v>
      </c>
      <c r="D89" t="s">
        <v>3072</v>
      </c>
      <c r="E89" s="2">
        <v>44621</v>
      </c>
      <c r="F89" t="s">
        <v>1884</v>
      </c>
    </row>
    <row r="90" spans="1:6" x14ac:dyDescent="0.35">
      <c r="A90" t="s">
        <v>213</v>
      </c>
      <c r="B90" t="s">
        <v>3159</v>
      </c>
      <c r="C90" t="s">
        <v>20</v>
      </c>
      <c r="D90" t="s">
        <v>3072</v>
      </c>
      <c r="E90" s="2">
        <v>44846</v>
      </c>
      <c r="F90" t="s">
        <v>1884</v>
      </c>
    </row>
    <row r="91" spans="1:6" x14ac:dyDescent="0.35">
      <c r="A91" t="s">
        <v>215</v>
      </c>
      <c r="B91" t="s">
        <v>3160</v>
      </c>
      <c r="C91" t="s">
        <v>40</v>
      </c>
      <c r="D91" t="s">
        <v>3075</v>
      </c>
      <c r="E91" s="2">
        <v>46045</v>
      </c>
      <c r="F91" t="s">
        <v>3073</v>
      </c>
    </row>
    <row r="92" spans="1:6" x14ac:dyDescent="0.35">
      <c r="A92" t="s">
        <v>217</v>
      </c>
      <c r="B92" t="s">
        <v>3161</v>
      </c>
      <c r="C92" t="s">
        <v>14</v>
      </c>
      <c r="D92" t="s">
        <v>3072</v>
      </c>
      <c r="E92" s="2">
        <v>44742</v>
      </c>
      <c r="F92" t="s">
        <v>1884</v>
      </c>
    </row>
    <row r="93" spans="1:6" x14ac:dyDescent="0.35">
      <c r="A93" t="s">
        <v>219</v>
      </c>
      <c r="B93" t="s">
        <v>3162</v>
      </c>
      <c r="C93" t="s">
        <v>54</v>
      </c>
      <c r="D93" t="s">
        <v>3067</v>
      </c>
      <c r="E93" s="2">
        <v>46233</v>
      </c>
      <c r="F93" t="s">
        <v>3080</v>
      </c>
    </row>
    <row r="94" spans="1:6" x14ac:dyDescent="0.35">
      <c r="A94" t="s">
        <v>221</v>
      </c>
      <c r="B94" t="s">
        <v>1906</v>
      </c>
      <c r="C94" t="s">
        <v>20</v>
      </c>
      <c r="D94" t="s">
        <v>3075</v>
      </c>
      <c r="E94" s="2">
        <v>46339</v>
      </c>
      <c r="F94" t="s">
        <v>1884</v>
      </c>
    </row>
    <row r="95" spans="1:6" x14ac:dyDescent="0.35">
      <c r="A95" t="s">
        <v>223</v>
      </c>
      <c r="B95" t="s">
        <v>3163</v>
      </c>
      <c r="C95" t="s">
        <v>40</v>
      </c>
      <c r="D95" t="s">
        <v>3072</v>
      </c>
      <c r="E95" s="2">
        <v>44788</v>
      </c>
      <c r="F95" t="s">
        <v>1884</v>
      </c>
    </row>
    <row r="96" spans="1:6" x14ac:dyDescent="0.35">
      <c r="A96" t="s">
        <v>225</v>
      </c>
      <c r="B96" t="s">
        <v>3164</v>
      </c>
      <c r="C96" t="s">
        <v>40</v>
      </c>
      <c r="D96" t="s">
        <v>3072</v>
      </c>
      <c r="E96" s="2">
        <v>45102</v>
      </c>
      <c r="F96" t="s">
        <v>3073</v>
      </c>
    </row>
    <row r="97" spans="1:6" x14ac:dyDescent="0.35">
      <c r="A97" t="s">
        <v>227</v>
      </c>
      <c r="B97" t="s">
        <v>3165</v>
      </c>
      <c r="C97" t="s">
        <v>54</v>
      </c>
      <c r="D97" t="s">
        <v>3075</v>
      </c>
      <c r="E97" s="2">
        <v>46183</v>
      </c>
      <c r="F97" t="s">
        <v>3073</v>
      </c>
    </row>
    <row r="98" spans="1:6" x14ac:dyDescent="0.35">
      <c r="A98" t="s">
        <v>229</v>
      </c>
      <c r="B98" t="s">
        <v>3166</v>
      </c>
      <c r="C98" t="s">
        <v>40</v>
      </c>
      <c r="D98" t="s">
        <v>3075</v>
      </c>
      <c r="E98" s="2">
        <v>44910</v>
      </c>
      <c r="F98" t="s">
        <v>1884</v>
      </c>
    </row>
    <row r="99" spans="1:6" x14ac:dyDescent="0.35">
      <c r="A99" t="s">
        <v>231</v>
      </c>
      <c r="B99" t="s">
        <v>3167</v>
      </c>
      <c r="C99" t="s">
        <v>25</v>
      </c>
      <c r="D99" t="s">
        <v>3067</v>
      </c>
      <c r="E99" s="2">
        <v>44807</v>
      </c>
      <c r="F99" t="s">
        <v>1884</v>
      </c>
    </row>
    <row r="100" spans="1:6" x14ac:dyDescent="0.35">
      <c r="A100" t="s">
        <v>233</v>
      </c>
      <c r="B100" t="s">
        <v>3168</v>
      </c>
      <c r="C100" t="s">
        <v>40</v>
      </c>
      <c r="D100" t="s">
        <v>3072</v>
      </c>
      <c r="E100" s="2">
        <v>46104</v>
      </c>
      <c r="F100" t="s">
        <v>3080</v>
      </c>
    </row>
    <row r="101" spans="1:6" x14ac:dyDescent="0.35">
      <c r="A101" t="s">
        <v>235</v>
      </c>
      <c r="B101" t="s">
        <v>3169</v>
      </c>
      <c r="C101" t="s">
        <v>35</v>
      </c>
      <c r="D101" t="s">
        <v>3075</v>
      </c>
      <c r="E101" s="2">
        <v>45477</v>
      </c>
      <c r="F101" t="s">
        <v>3080</v>
      </c>
    </row>
    <row r="102" spans="1:6" x14ac:dyDescent="0.35">
      <c r="A102" t="s">
        <v>237</v>
      </c>
      <c r="B102" t="s">
        <v>3170</v>
      </c>
      <c r="C102" t="s">
        <v>20</v>
      </c>
      <c r="D102" t="s">
        <v>3075</v>
      </c>
      <c r="E102" s="2">
        <v>45642</v>
      </c>
      <c r="F102" t="s">
        <v>1884</v>
      </c>
    </row>
    <row r="103" spans="1:6" x14ac:dyDescent="0.35">
      <c r="A103" t="s">
        <v>239</v>
      </c>
      <c r="B103" t="s">
        <v>3171</v>
      </c>
      <c r="C103" t="s">
        <v>25</v>
      </c>
      <c r="D103" t="s">
        <v>3067</v>
      </c>
      <c r="E103" s="2">
        <v>45916</v>
      </c>
      <c r="F103" t="s">
        <v>3073</v>
      </c>
    </row>
    <row r="104" spans="1:6" x14ac:dyDescent="0.35">
      <c r="A104" t="s">
        <v>241</v>
      </c>
      <c r="B104" t="s">
        <v>3172</v>
      </c>
      <c r="C104" t="s">
        <v>40</v>
      </c>
      <c r="D104" t="s">
        <v>3067</v>
      </c>
      <c r="E104" s="2">
        <v>46144</v>
      </c>
      <c r="F104" t="s">
        <v>3080</v>
      </c>
    </row>
    <row r="105" spans="1:6" x14ac:dyDescent="0.35">
      <c r="A105" t="s">
        <v>243</v>
      </c>
      <c r="B105" t="s">
        <v>3173</v>
      </c>
      <c r="C105" t="s">
        <v>35</v>
      </c>
      <c r="D105" t="s">
        <v>3072</v>
      </c>
      <c r="E105" s="2">
        <v>44750</v>
      </c>
      <c r="F105" t="s">
        <v>3073</v>
      </c>
    </row>
    <row r="106" spans="1:6" x14ac:dyDescent="0.35">
      <c r="A106" t="s">
        <v>245</v>
      </c>
      <c r="B106" t="s">
        <v>3174</v>
      </c>
      <c r="C106" t="s">
        <v>40</v>
      </c>
      <c r="D106" t="s">
        <v>3075</v>
      </c>
      <c r="E106" s="2">
        <v>44731</v>
      </c>
      <c r="F106" t="s">
        <v>3073</v>
      </c>
    </row>
    <row r="107" spans="1:6" x14ac:dyDescent="0.35">
      <c r="A107" t="s">
        <v>247</v>
      </c>
      <c r="B107" t="s">
        <v>3175</v>
      </c>
      <c r="C107" t="s">
        <v>25</v>
      </c>
      <c r="D107" t="s">
        <v>3072</v>
      </c>
      <c r="E107" s="2">
        <v>45912</v>
      </c>
      <c r="F107" t="s">
        <v>3080</v>
      </c>
    </row>
    <row r="108" spans="1:6" x14ac:dyDescent="0.35">
      <c r="A108" t="s">
        <v>249</v>
      </c>
      <c r="B108" t="s">
        <v>3176</v>
      </c>
      <c r="C108" t="s">
        <v>54</v>
      </c>
      <c r="D108" t="s">
        <v>3072</v>
      </c>
      <c r="E108" s="2">
        <v>45985</v>
      </c>
      <c r="F108" t="s">
        <v>1884</v>
      </c>
    </row>
    <row r="109" spans="1:6" x14ac:dyDescent="0.35">
      <c r="A109" t="s">
        <v>251</v>
      </c>
      <c r="B109" t="s">
        <v>3177</v>
      </c>
      <c r="C109" t="s">
        <v>20</v>
      </c>
      <c r="D109" t="s">
        <v>3067</v>
      </c>
      <c r="E109" s="2">
        <v>44685</v>
      </c>
      <c r="F109" t="s">
        <v>1884</v>
      </c>
    </row>
    <row r="110" spans="1:6" x14ac:dyDescent="0.35">
      <c r="A110" t="s">
        <v>253</v>
      </c>
      <c r="B110" t="s">
        <v>3178</v>
      </c>
      <c r="C110" t="s">
        <v>20</v>
      </c>
      <c r="D110" t="s">
        <v>3075</v>
      </c>
      <c r="E110" s="2">
        <v>45004</v>
      </c>
      <c r="F110" t="s">
        <v>3073</v>
      </c>
    </row>
    <row r="111" spans="1:6" x14ac:dyDescent="0.35">
      <c r="A111" t="s">
        <v>255</v>
      </c>
      <c r="B111" t="s">
        <v>3179</v>
      </c>
      <c r="C111" t="s">
        <v>35</v>
      </c>
      <c r="D111" t="s">
        <v>3072</v>
      </c>
      <c r="E111" s="2">
        <v>45560</v>
      </c>
      <c r="F111" t="s">
        <v>1884</v>
      </c>
    </row>
    <row r="112" spans="1:6" x14ac:dyDescent="0.35">
      <c r="A112" t="s">
        <v>257</v>
      </c>
      <c r="B112" t="s">
        <v>3180</v>
      </c>
      <c r="C112" t="s">
        <v>40</v>
      </c>
      <c r="D112" t="s">
        <v>3072</v>
      </c>
      <c r="E112" s="2">
        <v>46229</v>
      </c>
      <c r="F112" t="s">
        <v>3080</v>
      </c>
    </row>
    <row r="113" spans="1:6" x14ac:dyDescent="0.35">
      <c r="A113" t="s">
        <v>259</v>
      </c>
      <c r="B113" t="s">
        <v>3181</v>
      </c>
      <c r="C113" t="s">
        <v>25</v>
      </c>
      <c r="D113" t="s">
        <v>3075</v>
      </c>
      <c r="E113" s="2">
        <v>46320</v>
      </c>
      <c r="F113" t="s">
        <v>3073</v>
      </c>
    </row>
    <row r="114" spans="1:6" x14ac:dyDescent="0.35">
      <c r="A114" t="s">
        <v>261</v>
      </c>
      <c r="B114" t="s">
        <v>3182</v>
      </c>
      <c r="C114" t="s">
        <v>40</v>
      </c>
      <c r="D114" t="s">
        <v>3075</v>
      </c>
      <c r="E114" s="2">
        <v>45491</v>
      </c>
      <c r="F114" t="s">
        <v>3080</v>
      </c>
    </row>
    <row r="115" spans="1:6" x14ac:dyDescent="0.35">
      <c r="A115" t="s">
        <v>263</v>
      </c>
      <c r="B115" t="s">
        <v>3183</v>
      </c>
      <c r="C115" t="s">
        <v>14</v>
      </c>
      <c r="D115" t="s">
        <v>3075</v>
      </c>
      <c r="E115" s="2">
        <v>44778</v>
      </c>
      <c r="F115" t="s">
        <v>1884</v>
      </c>
    </row>
    <row r="116" spans="1:6" x14ac:dyDescent="0.35">
      <c r="A116" t="s">
        <v>265</v>
      </c>
      <c r="B116" t="s">
        <v>3184</v>
      </c>
      <c r="C116" t="s">
        <v>14</v>
      </c>
      <c r="D116" t="s">
        <v>3067</v>
      </c>
      <c r="E116" s="2">
        <v>45351</v>
      </c>
      <c r="F116" t="s">
        <v>3073</v>
      </c>
    </row>
    <row r="117" spans="1:6" x14ac:dyDescent="0.35">
      <c r="A117" t="s">
        <v>267</v>
      </c>
      <c r="B117" t="s">
        <v>3185</v>
      </c>
      <c r="C117" t="s">
        <v>25</v>
      </c>
      <c r="D117" t="s">
        <v>3075</v>
      </c>
      <c r="E117" s="2">
        <v>44977</v>
      </c>
      <c r="F117" t="s">
        <v>3073</v>
      </c>
    </row>
    <row r="118" spans="1:6" x14ac:dyDescent="0.35">
      <c r="A118" t="s">
        <v>269</v>
      </c>
      <c r="B118" t="s">
        <v>3186</v>
      </c>
      <c r="C118" t="s">
        <v>14</v>
      </c>
      <c r="D118" t="s">
        <v>3072</v>
      </c>
      <c r="E118" s="2">
        <v>45131</v>
      </c>
      <c r="F118" t="s">
        <v>3073</v>
      </c>
    </row>
    <row r="119" spans="1:6" x14ac:dyDescent="0.35">
      <c r="A119" t="s">
        <v>271</v>
      </c>
      <c r="B119" t="s">
        <v>3187</v>
      </c>
      <c r="C119" t="s">
        <v>14</v>
      </c>
      <c r="D119" t="s">
        <v>3075</v>
      </c>
      <c r="E119" s="2">
        <v>45191</v>
      </c>
      <c r="F119" t="s">
        <v>3080</v>
      </c>
    </row>
    <row r="120" spans="1:6" x14ac:dyDescent="0.35">
      <c r="A120" t="s">
        <v>273</v>
      </c>
      <c r="B120" t="s">
        <v>3188</v>
      </c>
      <c r="C120" t="s">
        <v>54</v>
      </c>
      <c r="D120" t="s">
        <v>3072</v>
      </c>
      <c r="E120" s="2">
        <v>44863</v>
      </c>
      <c r="F120" t="s">
        <v>3073</v>
      </c>
    </row>
    <row r="121" spans="1:6" x14ac:dyDescent="0.35">
      <c r="A121" t="s">
        <v>275</v>
      </c>
      <c r="B121" t="s">
        <v>3189</v>
      </c>
      <c r="C121" t="s">
        <v>20</v>
      </c>
      <c r="D121" t="s">
        <v>3075</v>
      </c>
      <c r="E121" s="2">
        <v>44787</v>
      </c>
      <c r="F121" t="s">
        <v>1884</v>
      </c>
    </row>
    <row r="122" spans="1:6" x14ac:dyDescent="0.35">
      <c r="A122" t="s">
        <v>277</v>
      </c>
      <c r="B122" t="s">
        <v>3190</v>
      </c>
      <c r="C122" t="s">
        <v>20</v>
      </c>
      <c r="D122" t="s">
        <v>3067</v>
      </c>
      <c r="E122" s="2">
        <v>44945</v>
      </c>
      <c r="F122" t="s">
        <v>3073</v>
      </c>
    </row>
    <row r="123" spans="1:6" x14ac:dyDescent="0.35">
      <c r="A123" t="s">
        <v>279</v>
      </c>
      <c r="B123" t="s">
        <v>3191</v>
      </c>
      <c r="C123" t="s">
        <v>20</v>
      </c>
      <c r="D123" t="s">
        <v>3067</v>
      </c>
      <c r="E123" s="2">
        <v>45917</v>
      </c>
      <c r="F123" t="s">
        <v>3080</v>
      </c>
    </row>
    <row r="124" spans="1:6" x14ac:dyDescent="0.35">
      <c r="A124" t="s">
        <v>281</v>
      </c>
      <c r="B124" t="s">
        <v>3192</v>
      </c>
      <c r="C124" t="s">
        <v>35</v>
      </c>
      <c r="D124" t="s">
        <v>3067</v>
      </c>
      <c r="E124" s="2">
        <v>45105</v>
      </c>
      <c r="F124" t="s">
        <v>1884</v>
      </c>
    </row>
    <row r="125" spans="1:6" x14ac:dyDescent="0.35">
      <c r="A125" t="s">
        <v>283</v>
      </c>
      <c r="B125" t="s">
        <v>3193</v>
      </c>
      <c r="C125" t="s">
        <v>25</v>
      </c>
      <c r="D125" t="s">
        <v>3072</v>
      </c>
      <c r="E125" s="2">
        <v>45287</v>
      </c>
      <c r="F125" t="s">
        <v>3073</v>
      </c>
    </row>
    <row r="126" spans="1:6" x14ac:dyDescent="0.35">
      <c r="A126" t="s">
        <v>285</v>
      </c>
      <c r="B126" t="s">
        <v>3194</v>
      </c>
      <c r="C126" t="s">
        <v>14</v>
      </c>
      <c r="D126" t="s">
        <v>3072</v>
      </c>
      <c r="E126" s="2">
        <v>45374</v>
      </c>
      <c r="F126" t="s">
        <v>3080</v>
      </c>
    </row>
    <row r="127" spans="1:6" x14ac:dyDescent="0.35">
      <c r="A127" t="s">
        <v>287</v>
      </c>
      <c r="B127" t="s">
        <v>3195</v>
      </c>
      <c r="C127" t="s">
        <v>35</v>
      </c>
      <c r="D127" t="s">
        <v>3075</v>
      </c>
      <c r="E127" s="2">
        <v>45245</v>
      </c>
      <c r="F127" t="s">
        <v>1884</v>
      </c>
    </row>
    <row r="128" spans="1:6" x14ac:dyDescent="0.35">
      <c r="A128" t="s">
        <v>289</v>
      </c>
      <c r="B128" t="s">
        <v>3196</v>
      </c>
      <c r="C128" t="s">
        <v>35</v>
      </c>
      <c r="D128" t="s">
        <v>3067</v>
      </c>
      <c r="E128" s="2">
        <v>45319</v>
      </c>
      <c r="F128" t="s">
        <v>1884</v>
      </c>
    </row>
    <row r="129" spans="1:6" x14ac:dyDescent="0.35">
      <c r="A129" t="s">
        <v>291</v>
      </c>
      <c r="B129" t="s">
        <v>3197</v>
      </c>
      <c r="C129" t="s">
        <v>20</v>
      </c>
      <c r="D129" t="s">
        <v>3075</v>
      </c>
      <c r="E129" s="2">
        <v>45345</v>
      </c>
      <c r="F129" t="s">
        <v>3080</v>
      </c>
    </row>
    <row r="130" spans="1:6" x14ac:dyDescent="0.35">
      <c r="A130" t="s">
        <v>293</v>
      </c>
      <c r="B130" t="s">
        <v>3198</v>
      </c>
      <c r="C130" t="s">
        <v>35</v>
      </c>
      <c r="D130" t="s">
        <v>3072</v>
      </c>
      <c r="E130" s="2">
        <v>45164</v>
      </c>
      <c r="F130" t="s">
        <v>1884</v>
      </c>
    </row>
    <row r="131" spans="1:6" x14ac:dyDescent="0.35">
      <c r="A131" t="s">
        <v>295</v>
      </c>
      <c r="B131" t="s">
        <v>3199</v>
      </c>
      <c r="C131" t="s">
        <v>35</v>
      </c>
      <c r="D131" t="s">
        <v>3072</v>
      </c>
      <c r="E131" s="2">
        <v>45778</v>
      </c>
      <c r="F131" t="s">
        <v>3073</v>
      </c>
    </row>
    <row r="132" spans="1:6" x14ac:dyDescent="0.35">
      <c r="A132" t="s">
        <v>297</v>
      </c>
      <c r="B132" t="s">
        <v>3200</v>
      </c>
      <c r="C132" t="s">
        <v>25</v>
      </c>
      <c r="D132" t="s">
        <v>3075</v>
      </c>
      <c r="E132" s="2">
        <v>45572</v>
      </c>
      <c r="F132" t="s">
        <v>3080</v>
      </c>
    </row>
    <row r="133" spans="1:6" x14ac:dyDescent="0.35">
      <c r="A133" t="s">
        <v>299</v>
      </c>
      <c r="B133" t="s">
        <v>3201</v>
      </c>
      <c r="C133" t="s">
        <v>35</v>
      </c>
      <c r="D133" t="s">
        <v>3072</v>
      </c>
      <c r="E133" s="2">
        <v>45957</v>
      </c>
      <c r="F133" t="s">
        <v>1884</v>
      </c>
    </row>
    <row r="134" spans="1:6" x14ac:dyDescent="0.35">
      <c r="A134" t="s">
        <v>301</v>
      </c>
      <c r="B134" t="s">
        <v>3202</v>
      </c>
      <c r="C134" t="s">
        <v>54</v>
      </c>
      <c r="D134" t="s">
        <v>3072</v>
      </c>
      <c r="E134" s="2">
        <v>44789</v>
      </c>
      <c r="F134" t="s">
        <v>1884</v>
      </c>
    </row>
    <row r="135" spans="1:6" x14ac:dyDescent="0.35">
      <c r="A135" t="s">
        <v>303</v>
      </c>
      <c r="B135" t="s">
        <v>2520</v>
      </c>
      <c r="C135" t="s">
        <v>20</v>
      </c>
      <c r="D135" t="s">
        <v>3072</v>
      </c>
      <c r="E135" s="2">
        <v>44635</v>
      </c>
      <c r="F135" t="s">
        <v>3080</v>
      </c>
    </row>
    <row r="136" spans="1:6" x14ac:dyDescent="0.35">
      <c r="A136" t="s">
        <v>305</v>
      </c>
      <c r="B136" t="s">
        <v>3203</v>
      </c>
      <c r="C136" t="s">
        <v>40</v>
      </c>
      <c r="D136" t="s">
        <v>3072</v>
      </c>
      <c r="E136" s="2">
        <v>44696</v>
      </c>
      <c r="F136" t="s">
        <v>3080</v>
      </c>
    </row>
    <row r="137" spans="1:6" x14ac:dyDescent="0.35">
      <c r="A137" t="s">
        <v>307</v>
      </c>
      <c r="B137" t="s">
        <v>3204</v>
      </c>
      <c r="C137" t="s">
        <v>20</v>
      </c>
      <c r="D137" t="s">
        <v>3067</v>
      </c>
      <c r="E137" s="2">
        <v>45025</v>
      </c>
      <c r="F137" t="s">
        <v>3080</v>
      </c>
    </row>
    <row r="138" spans="1:6" x14ac:dyDescent="0.35">
      <c r="A138" t="s">
        <v>309</v>
      </c>
      <c r="B138" t="s">
        <v>3205</v>
      </c>
      <c r="C138" t="s">
        <v>54</v>
      </c>
      <c r="D138" t="s">
        <v>3075</v>
      </c>
      <c r="E138" s="2">
        <v>45390</v>
      </c>
      <c r="F138" t="s">
        <v>3073</v>
      </c>
    </row>
    <row r="139" spans="1:6" x14ac:dyDescent="0.35">
      <c r="A139" t="s">
        <v>311</v>
      </c>
      <c r="B139" t="s">
        <v>3206</v>
      </c>
      <c r="C139" t="s">
        <v>35</v>
      </c>
      <c r="D139" t="s">
        <v>3072</v>
      </c>
      <c r="E139" s="2">
        <v>45012</v>
      </c>
      <c r="F139" t="s">
        <v>3080</v>
      </c>
    </row>
    <row r="140" spans="1:6" x14ac:dyDescent="0.35">
      <c r="A140" t="s">
        <v>313</v>
      </c>
      <c r="B140" t="s">
        <v>3207</v>
      </c>
      <c r="C140" t="s">
        <v>54</v>
      </c>
      <c r="D140" t="s">
        <v>3067</v>
      </c>
      <c r="E140" s="2">
        <v>45576</v>
      </c>
      <c r="F140" t="s">
        <v>1884</v>
      </c>
    </row>
    <row r="141" spans="1:6" x14ac:dyDescent="0.35">
      <c r="A141" t="s">
        <v>315</v>
      </c>
      <c r="B141" t="s">
        <v>3208</v>
      </c>
      <c r="C141" t="s">
        <v>14</v>
      </c>
      <c r="D141" t="s">
        <v>3072</v>
      </c>
      <c r="E141" s="2">
        <v>45273</v>
      </c>
      <c r="F141" t="s">
        <v>3080</v>
      </c>
    </row>
    <row r="142" spans="1:6" x14ac:dyDescent="0.35">
      <c r="A142" t="s">
        <v>317</v>
      </c>
      <c r="B142" t="s">
        <v>3209</v>
      </c>
      <c r="C142" t="s">
        <v>40</v>
      </c>
      <c r="D142" t="s">
        <v>3075</v>
      </c>
      <c r="E142" s="2">
        <v>45783</v>
      </c>
      <c r="F142" t="s">
        <v>3073</v>
      </c>
    </row>
    <row r="143" spans="1:6" x14ac:dyDescent="0.35">
      <c r="A143" t="s">
        <v>319</v>
      </c>
      <c r="B143" t="s">
        <v>3210</v>
      </c>
      <c r="C143" t="s">
        <v>54</v>
      </c>
      <c r="D143" t="s">
        <v>3072</v>
      </c>
      <c r="E143" s="2">
        <v>44755</v>
      </c>
      <c r="F143" t="s">
        <v>1884</v>
      </c>
    </row>
    <row r="144" spans="1:6" x14ac:dyDescent="0.35">
      <c r="A144" t="s">
        <v>321</v>
      </c>
      <c r="B144" t="s">
        <v>3211</v>
      </c>
      <c r="C144" t="s">
        <v>25</v>
      </c>
      <c r="D144" t="s">
        <v>3075</v>
      </c>
      <c r="E144" s="2">
        <v>45836</v>
      </c>
      <c r="F144" t="s">
        <v>3073</v>
      </c>
    </row>
    <row r="145" spans="1:6" x14ac:dyDescent="0.35">
      <c r="A145" t="s">
        <v>323</v>
      </c>
      <c r="B145" t="s">
        <v>3212</v>
      </c>
      <c r="C145" t="s">
        <v>54</v>
      </c>
      <c r="D145" t="s">
        <v>3067</v>
      </c>
      <c r="E145" s="2">
        <v>46308</v>
      </c>
      <c r="F145" t="s">
        <v>3080</v>
      </c>
    </row>
    <row r="146" spans="1:6" x14ac:dyDescent="0.35">
      <c r="A146" t="s">
        <v>325</v>
      </c>
      <c r="B146" t="s">
        <v>3213</v>
      </c>
      <c r="C146" t="s">
        <v>14</v>
      </c>
      <c r="D146" t="s">
        <v>3072</v>
      </c>
      <c r="E146" s="2">
        <v>45207</v>
      </c>
      <c r="F146" t="s">
        <v>3080</v>
      </c>
    </row>
    <row r="147" spans="1:6" x14ac:dyDescent="0.35">
      <c r="A147" t="s">
        <v>327</v>
      </c>
      <c r="B147" t="s">
        <v>3214</v>
      </c>
      <c r="C147" t="s">
        <v>20</v>
      </c>
      <c r="D147" t="s">
        <v>3072</v>
      </c>
      <c r="E147" s="2">
        <v>44945</v>
      </c>
      <c r="F147" t="s">
        <v>3073</v>
      </c>
    </row>
    <row r="148" spans="1:6" x14ac:dyDescent="0.35">
      <c r="A148" t="s">
        <v>329</v>
      </c>
      <c r="B148" t="s">
        <v>3215</v>
      </c>
      <c r="C148" t="s">
        <v>35</v>
      </c>
      <c r="D148" t="s">
        <v>3072</v>
      </c>
      <c r="E148" s="2">
        <v>44588</v>
      </c>
      <c r="F148" t="s">
        <v>3080</v>
      </c>
    </row>
    <row r="149" spans="1:6" x14ac:dyDescent="0.35">
      <c r="A149" t="s">
        <v>331</v>
      </c>
      <c r="B149" t="s">
        <v>3216</v>
      </c>
      <c r="C149" t="s">
        <v>35</v>
      </c>
      <c r="D149" t="s">
        <v>3067</v>
      </c>
      <c r="E149" s="2">
        <v>45246</v>
      </c>
      <c r="F149" t="s">
        <v>1884</v>
      </c>
    </row>
    <row r="150" spans="1:6" x14ac:dyDescent="0.35">
      <c r="A150" t="s">
        <v>333</v>
      </c>
      <c r="B150" t="s">
        <v>3217</v>
      </c>
      <c r="C150" t="s">
        <v>14</v>
      </c>
      <c r="D150" t="s">
        <v>3067</v>
      </c>
      <c r="E150" s="2">
        <v>46366</v>
      </c>
      <c r="F150" t="s">
        <v>1884</v>
      </c>
    </row>
    <row r="151" spans="1:6" x14ac:dyDescent="0.35">
      <c r="A151" t="s">
        <v>335</v>
      </c>
      <c r="B151" t="s">
        <v>3218</v>
      </c>
      <c r="C151" t="s">
        <v>14</v>
      </c>
      <c r="D151" t="s">
        <v>3075</v>
      </c>
      <c r="E151" s="2">
        <v>46119</v>
      </c>
      <c r="F151" t="s">
        <v>1884</v>
      </c>
    </row>
    <row r="152" spans="1:6" x14ac:dyDescent="0.35">
      <c r="A152" t="s">
        <v>337</v>
      </c>
      <c r="B152" t="s">
        <v>3219</v>
      </c>
      <c r="C152" t="s">
        <v>25</v>
      </c>
      <c r="D152" t="s">
        <v>3067</v>
      </c>
      <c r="E152" s="2">
        <v>45532</v>
      </c>
      <c r="F152" t="s">
        <v>3080</v>
      </c>
    </row>
    <row r="153" spans="1:6" x14ac:dyDescent="0.35">
      <c r="A153" t="s">
        <v>339</v>
      </c>
      <c r="B153" t="s">
        <v>3220</v>
      </c>
      <c r="C153" t="s">
        <v>20</v>
      </c>
      <c r="D153" t="s">
        <v>3067</v>
      </c>
      <c r="E153" s="2">
        <v>46350</v>
      </c>
      <c r="F153" t="s">
        <v>1884</v>
      </c>
    </row>
    <row r="154" spans="1:6" x14ac:dyDescent="0.35">
      <c r="A154" t="s">
        <v>341</v>
      </c>
      <c r="B154" t="s">
        <v>3221</v>
      </c>
      <c r="C154" t="s">
        <v>35</v>
      </c>
      <c r="D154" t="s">
        <v>3072</v>
      </c>
      <c r="E154" s="2">
        <v>44654</v>
      </c>
      <c r="F154" t="s">
        <v>1884</v>
      </c>
    </row>
    <row r="155" spans="1:6" x14ac:dyDescent="0.35">
      <c r="A155" t="s">
        <v>343</v>
      </c>
      <c r="B155" t="s">
        <v>3222</v>
      </c>
      <c r="C155" t="s">
        <v>25</v>
      </c>
      <c r="D155" t="s">
        <v>3075</v>
      </c>
      <c r="E155" s="2">
        <v>45157</v>
      </c>
      <c r="F155" t="s">
        <v>1884</v>
      </c>
    </row>
    <row r="156" spans="1:6" x14ac:dyDescent="0.35">
      <c r="A156" t="s">
        <v>345</v>
      </c>
      <c r="B156" t="s">
        <v>3223</v>
      </c>
      <c r="C156" t="s">
        <v>25</v>
      </c>
      <c r="D156" t="s">
        <v>3075</v>
      </c>
      <c r="E156" s="2">
        <v>44904</v>
      </c>
      <c r="F156" t="s">
        <v>1884</v>
      </c>
    </row>
    <row r="157" spans="1:6" x14ac:dyDescent="0.35">
      <c r="A157" t="s">
        <v>347</v>
      </c>
      <c r="B157" t="s">
        <v>3224</v>
      </c>
      <c r="C157" t="s">
        <v>20</v>
      </c>
      <c r="D157" t="s">
        <v>3072</v>
      </c>
      <c r="E157" s="2">
        <v>45185</v>
      </c>
      <c r="F157" t="s">
        <v>3080</v>
      </c>
    </row>
    <row r="158" spans="1:6" x14ac:dyDescent="0.35">
      <c r="A158" t="s">
        <v>349</v>
      </c>
      <c r="B158" t="s">
        <v>3225</v>
      </c>
      <c r="C158" t="s">
        <v>40</v>
      </c>
      <c r="D158" t="s">
        <v>3067</v>
      </c>
      <c r="E158" s="2">
        <v>45566</v>
      </c>
      <c r="F158" t="s">
        <v>3080</v>
      </c>
    </row>
    <row r="159" spans="1:6" x14ac:dyDescent="0.35">
      <c r="A159" t="s">
        <v>351</v>
      </c>
      <c r="B159" t="s">
        <v>3226</v>
      </c>
      <c r="C159" t="s">
        <v>40</v>
      </c>
      <c r="D159" t="s">
        <v>3075</v>
      </c>
      <c r="E159" s="2">
        <v>45089</v>
      </c>
      <c r="F159" t="s">
        <v>3080</v>
      </c>
    </row>
    <row r="160" spans="1:6" x14ac:dyDescent="0.35">
      <c r="A160" t="s">
        <v>353</v>
      </c>
      <c r="B160" t="s">
        <v>3227</v>
      </c>
      <c r="C160" t="s">
        <v>35</v>
      </c>
      <c r="D160" t="s">
        <v>3067</v>
      </c>
      <c r="E160" s="2">
        <v>45308</v>
      </c>
      <c r="F160" t="s">
        <v>3073</v>
      </c>
    </row>
    <row r="161" spans="1:6" x14ac:dyDescent="0.35">
      <c r="A161" t="s">
        <v>355</v>
      </c>
      <c r="B161" t="s">
        <v>3228</v>
      </c>
      <c r="C161" t="s">
        <v>20</v>
      </c>
      <c r="D161" t="s">
        <v>3067</v>
      </c>
      <c r="E161" s="2">
        <v>45178</v>
      </c>
      <c r="F161" t="s">
        <v>3080</v>
      </c>
    </row>
    <row r="162" spans="1:6" x14ac:dyDescent="0.35">
      <c r="A162" t="s">
        <v>357</v>
      </c>
      <c r="B162" t="s">
        <v>3229</v>
      </c>
      <c r="C162" t="s">
        <v>40</v>
      </c>
      <c r="D162" t="s">
        <v>3075</v>
      </c>
      <c r="E162" s="2">
        <v>46148</v>
      </c>
      <c r="F162" t="s">
        <v>3080</v>
      </c>
    </row>
    <row r="163" spans="1:6" x14ac:dyDescent="0.35">
      <c r="A163" t="s">
        <v>359</v>
      </c>
      <c r="B163" t="s">
        <v>3230</v>
      </c>
      <c r="C163" t="s">
        <v>25</v>
      </c>
      <c r="D163" t="s">
        <v>3067</v>
      </c>
      <c r="E163" s="2">
        <v>44792</v>
      </c>
      <c r="F163" t="s">
        <v>3073</v>
      </c>
    </row>
    <row r="164" spans="1:6" x14ac:dyDescent="0.35">
      <c r="A164" t="s">
        <v>361</v>
      </c>
      <c r="B164" t="s">
        <v>3231</v>
      </c>
      <c r="C164" t="s">
        <v>54</v>
      </c>
      <c r="D164" t="s">
        <v>3075</v>
      </c>
      <c r="E164" s="2">
        <v>46053</v>
      </c>
      <c r="F164" t="s">
        <v>3080</v>
      </c>
    </row>
    <row r="165" spans="1:6" x14ac:dyDescent="0.35">
      <c r="A165" t="s">
        <v>363</v>
      </c>
      <c r="B165" t="s">
        <v>3232</v>
      </c>
      <c r="C165" t="s">
        <v>20</v>
      </c>
      <c r="D165" t="s">
        <v>3072</v>
      </c>
      <c r="E165" s="2">
        <v>45402</v>
      </c>
      <c r="F165" t="s">
        <v>1884</v>
      </c>
    </row>
    <row r="166" spans="1:6" x14ac:dyDescent="0.35">
      <c r="A166" t="s">
        <v>365</v>
      </c>
      <c r="B166" t="s">
        <v>3233</v>
      </c>
      <c r="C166" t="s">
        <v>54</v>
      </c>
      <c r="D166" t="s">
        <v>3072</v>
      </c>
      <c r="E166" s="2">
        <v>45293</v>
      </c>
      <c r="F166" t="s">
        <v>3073</v>
      </c>
    </row>
    <row r="167" spans="1:6" x14ac:dyDescent="0.35">
      <c r="A167" t="s">
        <v>367</v>
      </c>
      <c r="B167" t="s">
        <v>3234</v>
      </c>
      <c r="C167" t="s">
        <v>20</v>
      </c>
      <c r="D167" t="s">
        <v>3072</v>
      </c>
      <c r="E167" s="2">
        <v>45744</v>
      </c>
      <c r="F167" t="s">
        <v>3080</v>
      </c>
    </row>
    <row r="168" spans="1:6" x14ac:dyDescent="0.35">
      <c r="A168" t="s">
        <v>369</v>
      </c>
      <c r="B168" t="s">
        <v>3235</v>
      </c>
      <c r="C168" t="s">
        <v>54</v>
      </c>
      <c r="D168" t="s">
        <v>3067</v>
      </c>
      <c r="E168" s="2">
        <v>45298</v>
      </c>
      <c r="F168" t="s">
        <v>1884</v>
      </c>
    </row>
    <row r="169" spans="1:6" x14ac:dyDescent="0.35">
      <c r="A169" t="s">
        <v>371</v>
      </c>
      <c r="B169" t="s">
        <v>3236</v>
      </c>
      <c r="C169" t="s">
        <v>54</v>
      </c>
      <c r="D169" t="s">
        <v>3072</v>
      </c>
      <c r="E169" s="2">
        <v>44958</v>
      </c>
      <c r="F169" t="s">
        <v>3073</v>
      </c>
    </row>
    <row r="170" spans="1:6" x14ac:dyDescent="0.35">
      <c r="A170" t="s">
        <v>373</v>
      </c>
      <c r="B170" t="s">
        <v>3237</v>
      </c>
      <c r="C170" t="s">
        <v>54</v>
      </c>
      <c r="D170" t="s">
        <v>3072</v>
      </c>
      <c r="E170" s="2">
        <v>45122</v>
      </c>
      <c r="F170" t="s">
        <v>3080</v>
      </c>
    </row>
    <row r="171" spans="1:6" x14ac:dyDescent="0.35">
      <c r="A171" t="s">
        <v>375</v>
      </c>
      <c r="B171" t="s">
        <v>3238</v>
      </c>
      <c r="C171" t="s">
        <v>54</v>
      </c>
      <c r="D171" t="s">
        <v>3075</v>
      </c>
      <c r="E171" s="2">
        <v>45482</v>
      </c>
      <c r="F171" t="s">
        <v>3080</v>
      </c>
    </row>
    <row r="172" spans="1:6" x14ac:dyDescent="0.35">
      <c r="A172" t="s">
        <v>377</v>
      </c>
      <c r="B172" t="s">
        <v>3239</v>
      </c>
      <c r="C172" t="s">
        <v>14</v>
      </c>
      <c r="D172" t="s">
        <v>3067</v>
      </c>
      <c r="E172" s="2">
        <v>45952</v>
      </c>
      <c r="F172" t="s">
        <v>3073</v>
      </c>
    </row>
    <row r="173" spans="1:6" x14ac:dyDescent="0.35">
      <c r="A173" t="s">
        <v>379</v>
      </c>
      <c r="B173" t="s">
        <v>1628</v>
      </c>
      <c r="C173" t="s">
        <v>40</v>
      </c>
      <c r="D173" t="s">
        <v>3067</v>
      </c>
      <c r="E173" s="2">
        <v>45768</v>
      </c>
      <c r="F173" t="s">
        <v>3073</v>
      </c>
    </row>
    <row r="174" spans="1:6" x14ac:dyDescent="0.35">
      <c r="A174" t="s">
        <v>381</v>
      </c>
      <c r="B174" t="s">
        <v>3240</v>
      </c>
      <c r="C174" t="s">
        <v>40</v>
      </c>
      <c r="D174" t="s">
        <v>3067</v>
      </c>
      <c r="E174" s="2">
        <v>44952</v>
      </c>
      <c r="F174" t="s">
        <v>1884</v>
      </c>
    </row>
    <row r="175" spans="1:6" x14ac:dyDescent="0.35">
      <c r="A175" t="s">
        <v>383</v>
      </c>
      <c r="B175" t="s">
        <v>3241</v>
      </c>
      <c r="C175" t="s">
        <v>25</v>
      </c>
      <c r="D175" t="s">
        <v>3075</v>
      </c>
      <c r="E175" s="2">
        <v>45999</v>
      </c>
      <c r="F175" t="s">
        <v>3073</v>
      </c>
    </row>
    <row r="176" spans="1:6" x14ac:dyDescent="0.35">
      <c r="A176" t="s">
        <v>385</v>
      </c>
      <c r="B176" t="s">
        <v>3242</v>
      </c>
      <c r="C176" t="s">
        <v>25</v>
      </c>
      <c r="D176" t="s">
        <v>3072</v>
      </c>
      <c r="E176" s="2">
        <v>45449</v>
      </c>
      <c r="F176" t="s">
        <v>3073</v>
      </c>
    </row>
    <row r="177" spans="1:6" x14ac:dyDescent="0.35">
      <c r="A177" t="s">
        <v>387</v>
      </c>
      <c r="B177" t="s">
        <v>3243</v>
      </c>
      <c r="C177" t="s">
        <v>25</v>
      </c>
      <c r="D177" t="s">
        <v>3067</v>
      </c>
      <c r="E177" s="2">
        <v>45152</v>
      </c>
      <c r="F177" t="s">
        <v>1884</v>
      </c>
    </row>
    <row r="178" spans="1:6" x14ac:dyDescent="0.35">
      <c r="A178" t="s">
        <v>389</v>
      </c>
      <c r="B178" t="s">
        <v>3244</v>
      </c>
      <c r="C178" t="s">
        <v>20</v>
      </c>
      <c r="D178" t="s">
        <v>3067</v>
      </c>
      <c r="E178" s="2">
        <v>45965</v>
      </c>
      <c r="F178" t="s">
        <v>1884</v>
      </c>
    </row>
    <row r="179" spans="1:6" x14ac:dyDescent="0.35">
      <c r="A179" t="s">
        <v>391</v>
      </c>
      <c r="B179" t="s">
        <v>3245</v>
      </c>
      <c r="C179" t="s">
        <v>35</v>
      </c>
      <c r="D179" t="s">
        <v>3075</v>
      </c>
      <c r="E179" s="2">
        <v>44869</v>
      </c>
      <c r="F179" t="s">
        <v>3080</v>
      </c>
    </row>
    <row r="180" spans="1:6" x14ac:dyDescent="0.35">
      <c r="A180" t="s">
        <v>393</v>
      </c>
      <c r="B180" t="s">
        <v>3246</v>
      </c>
      <c r="C180" t="s">
        <v>40</v>
      </c>
      <c r="D180" t="s">
        <v>3075</v>
      </c>
      <c r="E180" s="2">
        <v>45705</v>
      </c>
      <c r="F180" t="s">
        <v>3080</v>
      </c>
    </row>
    <row r="181" spans="1:6" x14ac:dyDescent="0.35">
      <c r="A181" t="s">
        <v>395</v>
      </c>
      <c r="B181" t="s">
        <v>3247</v>
      </c>
      <c r="C181" t="s">
        <v>14</v>
      </c>
      <c r="D181" t="s">
        <v>3067</v>
      </c>
      <c r="E181" s="2">
        <v>45559</v>
      </c>
      <c r="F181" t="s">
        <v>3073</v>
      </c>
    </row>
    <row r="182" spans="1:6" x14ac:dyDescent="0.35">
      <c r="A182" t="s">
        <v>397</v>
      </c>
      <c r="B182" t="s">
        <v>3248</v>
      </c>
      <c r="C182" t="s">
        <v>20</v>
      </c>
      <c r="D182" t="s">
        <v>3067</v>
      </c>
      <c r="E182" s="2">
        <v>44593</v>
      </c>
      <c r="F182" t="s">
        <v>3073</v>
      </c>
    </row>
    <row r="183" spans="1:6" x14ac:dyDescent="0.35">
      <c r="A183" t="s">
        <v>399</v>
      </c>
      <c r="B183" t="s">
        <v>3249</v>
      </c>
      <c r="C183" t="s">
        <v>20</v>
      </c>
      <c r="D183" t="s">
        <v>3072</v>
      </c>
      <c r="E183" s="2">
        <v>45141</v>
      </c>
      <c r="F183" t="s">
        <v>3080</v>
      </c>
    </row>
    <row r="184" spans="1:6" x14ac:dyDescent="0.35">
      <c r="A184" t="s">
        <v>401</v>
      </c>
      <c r="B184" t="s">
        <v>3250</v>
      </c>
      <c r="C184" t="s">
        <v>20</v>
      </c>
      <c r="D184" t="s">
        <v>3072</v>
      </c>
      <c r="E184" s="2">
        <v>45562</v>
      </c>
      <c r="F184" t="s">
        <v>3073</v>
      </c>
    </row>
    <row r="185" spans="1:6" x14ac:dyDescent="0.35">
      <c r="A185" t="s">
        <v>403</v>
      </c>
      <c r="B185" t="s">
        <v>3251</v>
      </c>
      <c r="C185" t="s">
        <v>20</v>
      </c>
      <c r="D185" t="s">
        <v>3067</v>
      </c>
      <c r="E185" s="2">
        <v>45283</v>
      </c>
      <c r="F185" t="s">
        <v>3080</v>
      </c>
    </row>
    <row r="186" spans="1:6" x14ac:dyDescent="0.35">
      <c r="A186" t="s">
        <v>405</v>
      </c>
      <c r="B186" t="s">
        <v>3252</v>
      </c>
      <c r="C186" t="s">
        <v>20</v>
      </c>
      <c r="D186" t="s">
        <v>3072</v>
      </c>
      <c r="E186" s="2">
        <v>45076</v>
      </c>
      <c r="F186" t="s">
        <v>1884</v>
      </c>
    </row>
    <row r="187" spans="1:6" x14ac:dyDescent="0.35">
      <c r="A187" t="s">
        <v>407</v>
      </c>
      <c r="B187" t="s">
        <v>3253</v>
      </c>
      <c r="C187" t="s">
        <v>40</v>
      </c>
      <c r="D187" t="s">
        <v>3067</v>
      </c>
      <c r="E187" s="2">
        <v>46170</v>
      </c>
      <c r="F187" t="s">
        <v>3080</v>
      </c>
    </row>
    <row r="188" spans="1:6" x14ac:dyDescent="0.35">
      <c r="A188" t="s">
        <v>409</v>
      </c>
      <c r="B188" t="s">
        <v>3254</v>
      </c>
      <c r="C188" t="s">
        <v>54</v>
      </c>
      <c r="D188" t="s">
        <v>3075</v>
      </c>
      <c r="E188" s="2">
        <v>44879</v>
      </c>
      <c r="F188" t="s">
        <v>1884</v>
      </c>
    </row>
    <row r="189" spans="1:6" x14ac:dyDescent="0.35">
      <c r="A189" t="s">
        <v>411</v>
      </c>
      <c r="B189" t="s">
        <v>2670</v>
      </c>
      <c r="C189" t="s">
        <v>54</v>
      </c>
      <c r="D189" t="s">
        <v>3067</v>
      </c>
      <c r="E189" s="2">
        <v>44854</v>
      </c>
      <c r="F189" t="s">
        <v>3080</v>
      </c>
    </row>
    <row r="190" spans="1:6" x14ac:dyDescent="0.35">
      <c r="A190" t="s">
        <v>413</v>
      </c>
      <c r="B190" t="s">
        <v>3255</v>
      </c>
      <c r="C190" t="s">
        <v>14</v>
      </c>
      <c r="D190" t="s">
        <v>3067</v>
      </c>
      <c r="E190" s="2">
        <v>45760</v>
      </c>
      <c r="F190" t="s">
        <v>1884</v>
      </c>
    </row>
    <row r="191" spans="1:6" x14ac:dyDescent="0.35">
      <c r="A191" t="s">
        <v>415</v>
      </c>
      <c r="B191" t="s">
        <v>3256</v>
      </c>
      <c r="C191" t="s">
        <v>40</v>
      </c>
      <c r="D191" t="s">
        <v>3072</v>
      </c>
      <c r="E191" s="2">
        <v>44627</v>
      </c>
      <c r="F191" t="s">
        <v>3073</v>
      </c>
    </row>
    <row r="192" spans="1:6" x14ac:dyDescent="0.35">
      <c r="A192" t="s">
        <v>417</v>
      </c>
      <c r="B192" t="s">
        <v>3257</v>
      </c>
      <c r="C192" t="s">
        <v>40</v>
      </c>
      <c r="D192" t="s">
        <v>3072</v>
      </c>
      <c r="E192" s="2">
        <v>46224</v>
      </c>
      <c r="F192" t="s">
        <v>3080</v>
      </c>
    </row>
    <row r="193" spans="1:6" x14ac:dyDescent="0.35">
      <c r="A193" t="s">
        <v>419</v>
      </c>
      <c r="B193" t="s">
        <v>3258</v>
      </c>
      <c r="C193" t="s">
        <v>54</v>
      </c>
      <c r="D193" t="s">
        <v>3067</v>
      </c>
      <c r="E193" s="2">
        <v>45427</v>
      </c>
      <c r="F193" t="s">
        <v>3073</v>
      </c>
    </row>
    <row r="194" spans="1:6" x14ac:dyDescent="0.35">
      <c r="A194" t="s">
        <v>421</v>
      </c>
      <c r="B194" t="s">
        <v>3259</v>
      </c>
      <c r="C194" t="s">
        <v>20</v>
      </c>
      <c r="D194" t="s">
        <v>3067</v>
      </c>
      <c r="E194" s="2">
        <v>45180</v>
      </c>
      <c r="F194" t="s">
        <v>3080</v>
      </c>
    </row>
    <row r="195" spans="1:6" x14ac:dyDescent="0.35">
      <c r="A195" t="s">
        <v>423</v>
      </c>
      <c r="B195" t="s">
        <v>3260</v>
      </c>
      <c r="C195" t="s">
        <v>40</v>
      </c>
      <c r="D195" t="s">
        <v>3072</v>
      </c>
      <c r="E195" s="2">
        <v>45716</v>
      </c>
      <c r="F195" t="s">
        <v>3073</v>
      </c>
    </row>
    <row r="196" spans="1:6" x14ac:dyDescent="0.35">
      <c r="A196" t="s">
        <v>425</v>
      </c>
      <c r="B196" t="s">
        <v>3261</v>
      </c>
      <c r="C196" t="s">
        <v>54</v>
      </c>
      <c r="D196" t="s">
        <v>3067</v>
      </c>
      <c r="E196" s="2">
        <v>46209</v>
      </c>
      <c r="F196" t="s">
        <v>3080</v>
      </c>
    </row>
    <row r="197" spans="1:6" x14ac:dyDescent="0.35">
      <c r="A197" t="s">
        <v>427</v>
      </c>
      <c r="B197" t="s">
        <v>3262</v>
      </c>
      <c r="C197" t="s">
        <v>14</v>
      </c>
      <c r="D197" t="s">
        <v>3075</v>
      </c>
      <c r="E197" s="2">
        <v>46134</v>
      </c>
      <c r="F197" t="s">
        <v>1884</v>
      </c>
    </row>
    <row r="198" spans="1:6" x14ac:dyDescent="0.35">
      <c r="A198" t="s">
        <v>429</v>
      </c>
      <c r="B198" t="s">
        <v>3263</v>
      </c>
      <c r="C198" t="s">
        <v>40</v>
      </c>
      <c r="D198" t="s">
        <v>3072</v>
      </c>
      <c r="E198" s="2">
        <v>45414</v>
      </c>
      <c r="F198" t="s">
        <v>3080</v>
      </c>
    </row>
    <row r="199" spans="1:6" x14ac:dyDescent="0.35">
      <c r="A199" t="s">
        <v>431</v>
      </c>
      <c r="B199" t="s">
        <v>3264</v>
      </c>
      <c r="C199" t="s">
        <v>14</v>
      </c>
      <c r="D199" t="s">
        <v>3067</v>
      </c>
      <c r="E199" s="2">
        <v>45186</v>
      </c>
      <c r="F199" t="s">
        <v>1884</v>
      </c>
    </row>
    <row r="200" spans="1:6" x14ac:dyDescent="0.35">
      <c r="A200" t="s">
        <v>433</v>
      </c>
      <c r="B200" t="s">
        <v>3265</v>
      </c>
      <c r="C200" t="s">
        <v>40</v>
      </c>
      <c r="D200" t="s">
        <v>3075</v>
      </c>
      <c r="E200" s="2">
        <v>45848</v>
      </c>
      <c r="F200" t="s">
        <v>3073</v>
      </c>
    </row>
    <row r="201" spans="1:6" x14ac:dyDescent="0.35">
      <c r="A201" t="s">
        <v>435</v>
      </c>
      <c r="B201" t="s">
        <v>3266</v>
      </c>
      <c r="C201" t="s">
        <v>25</v>
      </c>
      <c r="D201" t="s">
        <v>3072</v>
      </c>
      <c r="E201" s="2">
        <v>45331</v>
      </c>
      <c r="F201" t="s">
        <v>3073</v>
      </c>
    </row>
    <row r="202" spans="1:6" x14ac:dyDescent="0.35">
      <c r="A202" t="s">
        <v>437</v>
      </c>
      <c r="B202" t="s">
        <v>3267</v>
      </c>
      <c r="C202" t="s">
        <v>20</v>
      </c>
      <c r="D202" t="s">
        <v>3072</v>
      </c>
      <c r="E202" s="2">
        <v>45640</v>
      </c>
      <c r="F202" t="s">
        <v>3073</v>
      </c>
    </row>
    <row r="203" spans="1:6" x14ac:dyDescent="0.35">
      <c r="A203" t="s">
        <v>439</v>
      </c>
      <c r="B203" t="s">
        <v>3268</v>
      </c>
      <c r="C203" t="s">
        <v>54</v>
      </c>
      <c r="D203" t="s">
        <v>3067</v>
      </c>
      <c r="E203" s="2">
        <v>45593</v>
      </c>
      <c r="F203" t="s">
        <v>3080</v>
      </c>
    </row>
    <row r="204" spans="1:6" x14ac:dyDescent="0.35">
      <c r="A204" t="s">
        <v>441</v>
      </c>
      <c r="B204" t="s">
        <v>3269</v>
      </c>
      <c r="C204" t="s">
        <v>54</v>
      </c>
      <c r="D204" t="s">
        <v>3067</v>
      </c>
      <c r="E204" s="2">
        <v>45521</v>
      </c>
      <c r="F204" t="s">
        <v>3073</v>
      </c>
    </row>
    <row r="205" spans="1:6" x14ac:dyDescent="0.35">
      <c r="A205" t="s">
        <v>443</v>
      </c>
      <c r="B205" t="s">
        <v>3270</v>
      </c>
      <c r="C205" t="s">
        <v>35</v>
      </c>
      <c r="D205" t="s">
        <v>3067</v>
      </c>
      <c r="E205" s="2">
        <v>45423</v>
      </c>
      <c r="F205" t="s">
        <v>3073</v>
      </c>
    </row>
    <row r="206" spans="1:6" x14ac:dyDescent="0.35">
      <c r="A206" t="s">
        <v>445</v>
      </c>
      <c r="B206" t="s">
        <v>3271</v>
      </c>
      <c r="C206" t="s">
        <v>35</v>
      </c>
      <c r="D206" t="s">
        <v>3072</v>
      </c>
      <c r="E206" s="2">
        <v>45706</v>
      </c>
      <c r="F206" t="s">
        <v>1884</v>
      </c>
    </row>
    <row r="207" spans="1:6" x14ac:dyDescent="0.35">
      <c r="A207" t="s">
        <v>447</v>
      </c>
      <c r="B207" t="s">
        <v>3272</v>
      </c>
      <c r="C207" t="s">
        <v>35</v>
      </c>
      <c r="D207" t="s">
        <v>3072</v>
      </c>
      <c r="E207" s="2">
        <v>46109</v>
      </c>
      <c r="F207" t="s">
        <v>1884</v>
      </c>
    </row>
    <row r="208" spans="1:6" x14ac:dyDescent="0.35">
      <c r="A208" t="s">
        <v>449</v>
      </c>
      <c r="B208" t="s">
        <v>3273</v>
      </c>
      <c r="C208" t="s">
        <v>25</v>
      </c>
      <c r="D208" t="s">
        <v>3067</v>
      </c>
      <c r="E208" s="2">
        <v>46173</v>
      </c>
      <c r="F208" t="s">
        <v>1884</v>
      </c>
    </row>
    <row r="209" spans="1:6" x14ac:dyDescent="0.35">
      <c r="A209" t="s">
        <v>451</v>
      </c>
      <c r="B209" t="s">
        <v>3274</v>
      </c>
      <c r="C209" t="s">
        <v>25</v>
      </c>
      <c r="D209" t="s">
        <v>3075</v>
      </c>
      <c r="E209" s="2">
        <v>45326</v>
      </c>
      <c r="F209" t="s">
        <v>1884</v>
      </c>
    </row>
    <row r="210" spans="1:6" x14ac:dyDescent="0.35">
      <c r="A210" t="s">
        <v>453</v>
      </c>
      <c r="B210" t="s">
        <v>3275</v>
      </c>
      <c r="C210" t="s">
        <v>25</v>
      </c>
      <c r="D210" t="s">
        <v>3075</v>
      </c>
      <c r="E210" s="2">
        <v>45720</v>
      </c>
      <c r="F210" t="s">
        <v>3073</v>
      </c>
    </row>
    <row r="211" spans="1:6" x14ac:dyDescent="0.35">
      <c r="A211" t="s">
        <v>455</v>
      </c>
      <c r="B211" t="s">
        <v>3276</v>
      </c>
      <c r="C211" t="s">
        <v>20</v>
      </c>
      <c r="D211" t="s">
        <v>3067</v>
      </c>
      <c r="E211" s="2">
        <v>44819</v>
      </c>
      <c r="F211" t="s">
        <v>3073</v>
      </c>
    </row>
    <row r="212" spans="1:6" x14ac:dyDescent="0.35">
      <c r="A212" t="s">
        <v>457</v>
      </c>
      <c r="B212" t="s">
        <v>3277</v>
      </c>
      <c r="C212" t="s">
        <v>54</v>
      </c>
      <c r="D212" t="s">
        <v>3072</v>
      </c>
      <c r="E212" s="2">
        <v>45509</v>
      </c>
      <c r="F212" t="s">
        <v>3080</v>
      </c>
    </row>
    <row r="213" spans="1:6" x14ac:dyDescent="0.35">
      <c r="A213" t="s">
        <v>459</v>
      </c>
      <c r="B213" t="s">
        <v>3278</v>
      </c>
      <c r="C213" t="s">
        <v>35</v>
      </c>
      <c r="D213" t="s">
        <v>3072</v>
      </c>
      <c r="E213" s="2">
        <v>44735</v>
      </c>
      <c r="F213" t="s">
        <v>1884</v>
      </c>
    </row>
    <row r="214" spans="1:6" x14ac:dyDescent="0.35">
      <c r="A214" t="s">
        <v>461</v>
      </c>
      <c r="B214" t="s">
        <v>3279</v>
      </c>
      <c r="C214" t="s">
        <v>40</v>
      </c>
      <c r="D214" t="s">
        <v>3075</v>
      </c>
      <c r="E214" s="2">
        <v>44781</v>
      </c>
      <c r="F214" t="s">
        <v>3073</v>
      </c>
    </row>
    <row r="215" spans="1:6" x14ac:dyDescent="0.35">
      <c r="A215" t="s">
        <v>463</v>
      </c>
      <c r="B215" t="s">
        <v>2482</v>
      </c>
      <c r="C215" t="s">
        <v>25</v>
      </c>
      <c r="D215" t="s">
        <v>3072</v>
      </c>
      <c r="E215" s="2">
        <v>46245</v>
      </c>
      <c r="F215" t="s">
        <v>3073</v>
      </c>
    </row>
    <row r="216" spans="1:6" x14ac:dyDescent="0.35">
      <c r="A216" t="s">
        <v>465</v>
      </c>
      <c r="B216" t="s">
        <v>3280</v>
      </c>
      <c r="C216" t="s">
        <v>25</v>
      </c>
      <c r="D216" t="s">
        <v>3067</v>
      </c>
      <c r="E216" s="2">
        <v>45976</v>
      </c>
      <c r="F216" t="s">
        <v>3073</v>
      </c>
    </row>
    <row r="217" spans="1:6" x14ac:dyDescent="0.35">
      <c r="A217" t="s">
        <v>467</v>
      </c>
      <c r="B217" t="s">
        <v>3281</v>
      </c>
      <c r="C217" t="s">
        <v>20</v>
      </c>
      <c r="D217" t="s">
        <v>3072</v>
      </c>
      <c r="E217" s="2">
        <v>46078</v>
      </c>
      <c r="F217" t="s">
        <v>3080</v>
      </c>
    </row>
    <row r="218" spans="1:6" x14ac:dyDescent="0.35">
      <c r="A218" t="s">
        <v>469</v>
      </c>
      <c r="B218" t="s">
        <v>3282</v>
      </c>
      <c r="C218" t="s">
        <v>54</v>
      </c>
      <c r="D218" t="s">
        <v>3075</v>
      </c>
      <c r="E218" s="2">
        <v>46076</v>
      </c>
      <c r="F218" t="s">
        <v>3080</v>
      </c>
    </row>
    <row r="219" spans="1:6" x14ac:dyDescent="0.35">
      <c r="A219" t="s">
        <v>471</v>
      </c>
      <c r="B219" t="s">
        <v>3283</v>
      </c>
      <c r="C219" t="s">
        <v>20</v>
      </c>
      <c r="D219" t="s">
        <v>3075</v>
      </c>
      <c r="E219" s="2">
        <v>44981</v>
      </c>
      <c r="F219" t="s">
        <v>3080</v>
      </c>
    </row>
    <row r="220" spans="1:6" x14ac:dyDescent="0.35">
      <c r="A220" t="s">
        <v>473</v>
      </c>
      <c r="B220" t="s">
        <v>3284</v>
      </c>
      <c r="C220" t="s">
        <v>14</v>
      </c>
      <c r="D220" t="s">
        <v>3075</v>
      </c>
      <c r="E220" s="2">
        <v>46078</v>
      </c>
      <c r="F220" t="s">
        <v>3073</v>
      </c>
    </row>
    <row r="221" spans="1:6" x14ac:dyDescent="0.35">
      <c r="A221" t="s">
        <v>475</v>
      </c>
      <c r="B221" t="s">
        <v>3285</v>
      </c>
      <c r="C221" t="s">
        <v>14</v>
      </c>
      <c r="D221" t="s">
        <v>3072</v>
      </c>
      <c r="E221" s="2">
        <v>45945</v>
      </c>
      <c r="F221" t="s">
        <v>3080</v>
      </c>
    </row>
    <row r="222" spans="1:6" x14ac:dyDescent="0.35">
      <c r="A222" t="s">
        <v>477</v>
      </c>
      <c r="B222" t="s">
        <v>3286</v>
      </c>
      <c r="C222" t="s">
        <v>14</v>
      </c>
      <c r="D222" t="s">
        <v>3067</v>
      </c>
      <c r="E222" s="2">
        <v>45848</v>
      </c>
      <c r="F222" t="s">
        <v>3073</v>
      </c>
    </row>
    <row r="223" spans="1:6" x14ac:dyDescent="0.35">
      <c r="A223" t="s">
        <v>479</v>
      </c>
      <c r="B223" t="s">
        <v>3287</v>
      </c>
      <c r="C223" t="s">
        <v>54</v>
      </c>
      <c r="D223" t="s">
        <v>3072</v>
      </c>
      <c r="E223" s="2">
        <v>46211</v>
      </c>
      <c r="F223" t="s">
        <v>3073</v>
      </c>
    </row>
    <row r="224" spans="1:6" x14ac:dyDescent="0.35">
      <c r="A224" t="s">
        <v>481</v>
      </c>
      <c r="B224" t="s">
        <v>3288</v>
      </c>
      <c r="C224" t="s">
        <v>25</v>
      </c>
      <c r="D224" t="s">
        <v>3075</v>
      </c>
      <c r="E224" s="2">
        <v>44973</v>
      </c>
      <c r="F224" t="s">
        <v>1884</v>
      </c>
    </row>
    <row r="225" spans="1:6" x14ac:dyDescent="0.35">
      <c r="A225" t="s">
        <v>482</v>
      </c>
      <c r="B225" t="s">
        <v>3289</v>
      </c>
      <c r="C225" t="s">
        <v>20</v>
      </c>
      <c r="D225" t="s">
        <v>3072</v>
      </c>
      <c r="E225" s="2">
        <v>44875</v>
      </c>
      <c r="F225" t="s">
        <v>3080</v>
      </c>
    </row>
    <row r="226" spans="1:6" x14ac:dyDescent="0.35">
      <c r="A226" t="s">
        <v>484</v>
      </c>
      <c r="B226" t="s">
        <v>3290</v>
      </c>
      <c r="C226" t="s">
        <v>20</v>
      </c>
      <c r="D226" t="s">
        <v>3075</v>
      </c>
      <c r="E226" s="2">
        <v>44760</v>
      </c>
      <c r="F226" t="s">
        <v>1884</v>
      </c>
    </row>
    <row r="227" spans="1:6" x14ac:dyDescent="0.35">
      <c r="A227" t="s">
        <v>486</v>
      </c>
      <c r="B227" t="s">
        <v>3291</v>
      </c>
      <c r="C227" t="s">
        <v>14</v>
      </c>
      <c r="D227" t="s">
        <v>3072</v>
      </c>
      <c r="E227" s="2">
        <v>45532</v>
      </c>
      <c r="F227" t="s">
        <v>1884</v>
      </c>
    </row>
    <row r="228" spans="1:6" x14ac:dyDescent="0.35">
      <c r="A228" t="s">
        <v>488</v>
      </c>
      <c r="B228" t="s">
        <v>3292</v>
      </c>
      <c r="C228" t="s">
        <v>25</v>
      </c>
      <c r="D228" t="s">
        <v>3067</v>
      </c>
      <c r="E228" s="2">
        <v>45362</v>
      </c>
      <c r="F228" t="s">
        <v>1884</v>
      </c>
    </row>
    <row r="229" spans="1:6" x14ac:dyDescent="0.35">
      <c r="A229" t="s">
        <v>490</v>
      </c>
      <c r="B229" t="s">
        <v>3293</v>
      </c>
      <c r="C229" t="s">
        <v>20</v>
      </c>
      <c r="D229" t="s">
        <v>3067</v>
      </c>
      <c r="E229" s="2">
        <v>45390</v>
      </c>
      <c r="F229" t="s">
        <v>3073</v>
      </c>
    </row>
    <row r="230" spans="1:6" x14ac:dyDescent="0.35">
      <c r="A230" t="s">
        <v>492</v>
      </c>
      <c r="B230" t="s">
        <v>3294</v>
      </c>
      <c r="C230" t="s">
        <v>14</v>
      </c>
      <c r="D230" t="s">
        <v>3072</v>
      </c>
      <c r="E230" s="2">
        <v>46285</v>
      </c>
      <c r="F230" t="s">
        <v>3080</v>
      </c>
    </row>
    <row r="231" spans="1:6" x14ac:dyDescent="0.35">
      <c r="A231" t="s">
        <v>494</v>
      </c>
      <c r="B231" t="s">
        <v>2981</v>
      </c>
      <c r="C231" t="s">
        <v>40</v>
      </c>
      <c r="D231" t="s">
        <v>3075</v>
      </c>
      <c r="E231" s="2">
        <v>45957</v>
      </c>
      <c r="F231" t="s">
        <v>3073</v>
      </c>
    </row>
    <row r="232" spans="1:6" x14ac:dyDescent="0.35">
      <c r="A232" t="s">
        <v>496</v>
      </c>
      <c r="B232" t="s">
        <v>3295</v>
      </c>
      <c r="C232" t="s">
        <v>54</v>
      </c>
      <c r="D232" t="s">
        <v>3075</v>
      </c>
      <c r="E232" s="2">
        <v>44814</v>
      </c>
      <c r="F232" t="s">
        <v>3073</v>
      </c>
    </row>
    <row r="233" spans="1:6" x14ac:dyDescent="0.35">
      <c r="A233" t="s">
        <v>498</v>
      </c>
      <c r="B233" t="s">
        <v>3296</v>
      </c>
      <c r="C233" t="s">
        <v>14</v>
      </c>
      <c r="D233" t="s">
        <v>3075</v>
      </c>
      <c r="E233" s="2">
        <v>44606</v>
      </c>
      <c r="F233" t="s">
        <v>1884</v>
      </c>
    </row>
    <row r="234" spans="1:6" x14ac:dyDescent="0.35">
      <c r="A234" t="s">
        <v>500</v>
      </c>
      <c r="B234" t="s">
        <v>3297</v>
      </c>
      <c r="C234" t="s">
        <v>14</v>
      </c>
      <c r="D234" t="s">
        <v>3075</v>
      </c>
      <c r="E234" s="2">
        <v>45908</v>
      </c>
      <c r="F234" t="s">
        <v>1884</v>
      </c>
    </row>
    <row r="235" spans="1:6" x14ac:dyDescent="0.35">
      <c r="A235" t="s">
        <v>502</v>
      </c>
      <c r="B235" t="s">
        <v>3298</v>
      </c>
      <c r="C235" t="s">
        <v>14</v>
      </c>
      <c r="D235" t="s">
        <v>3075</v>
      </c>
      <c r="E235" s="2">
        <v>46080</v>
      </c>
      <c r="F235" t="s">
        <v>3080</v>
      </c>
    </row>
    <row r="236" spans="1:6" x14ac:dyDescent="0.35">
      <c r="A236" t="s">
        <v>504</v>
      </c>
      <c r="B236" t="s">
        <v>3299</v>
      </c>
      <c r="C236" t="s">
        <v>25</v>
      </c>
      <c r="D236" t="s">
        <v>3072</v>
      </c>
      <c r="E236" s="2">
        <v>45537</v>
      </c>
      <c r="F236" t="s">
        <v>3073</v>
      </c>
    </row>
    <row r="237" spans="1:6" x14ac:dyDescent="0.35">
      <c r="A237" t="s">
        <v>506</v>
      </c>
      <c r="B237" t="s">
        <v>3300</v>
      </c>
      <c r="C237" t="s">
        <v>40</v>
      </c>
      <c r="D237" t="s">
        <v>3067</v>
      </c>
      <c r="E237" s="2">
        <v>45929</v>
      </c>
      <c r="F237" t="s">
        <v>1884</v>
      </c>
    </row>
    <row r="238" spans="1:6" x14ac:dyDescent="0.35">
      <c r="A238" t="s">
        <v>508</v>
      </c>
      <c r="B238" t="s">
        <v>3301</v>
      </c>
      <c r="C238" t="s">
        <v>25</v>
      </c>
      <c r="D238" t="s">
        <v>3067</v>
      </c>
      <c r="E238" s="2">
        <v>45314</v>
      </c>
      <c r="F238" t="s">
        <v>3080</v>
      </c>
    </row>
    <row r="239" spans="1:6" x14ac:dyDescent="0.35">
      <c r="A239" t="s">
        <v>510</v>
      </c>
      <c r="B239" t="s">
        <v>3302</v>
      </c>
      <c r="C239" t="s">
        <v>40</v>
      </c>
      <c r="D239" t="s">
        <v>3067</v>
      </c>
      <c r="E239" s="2">
        <v>45352</v>
      </c>
      <c r="F239" t="s">
        <v>3080</v>
      </c>
    </row>
    <row r="240" spans="1:6" x14ac:dyDescent="0.35">
      <c r="A240" t="s">
        <v>512</v>
      </c>
      <c r="B240" t="s">
        <v>3303</v>
      </c>
      <c r="C240" t="s">
        <v>20</v>
      </c>
      <c r="D240" t="s">
        <v>3067</v>
      </c>
      <c r="E240" s="2">
        <v>45415</v>
      </c>
      <c r="F240" t="s">
        <v>3073</v>
      </c>
    </row>
    <row r="241" spans="1:6" x14ac:dyDescent="0.35">
      <c r="A241" t="s">
        <v>514</v>
      </c>
      <c r="B241" t="s">
        <v>3304</v>
      </c>
      <c r="C241" t="s">
        <v>14</v>
      </c>
      <c r="D241" t="s">
        <v>3072</v>
      </c>
      <c r="E241" s="2">
        <v>45142</v>
      </c>
      <c r="F241" t="s">
        <v>3073</v>
      </c>
    </row>
    <row r="242" spans="1:6" x14ac:dyDescent="0.35">
      <c r="A242" t="s">
        <v>516</v>
      </c>
      <c r="B242" t="s">
        <v>3305</v>
      </c>
      <c r="C242" t="s">
        <v>20</v>
      </c>
      <c r="D242" t="s">
        <v>3075</v>
      </c>
      <c r="E242" s="2">
        <v>45359</v>
      </c>
      <c r="F242" t="s">
        <v>1884</v>
      </c>
    </row>
    <row r="243" spans="1:6" x14ac:dyDescent="0.35">
      <c r="A243" t="s">
        <v>518</v>
      </c>
      <c r="B243" t="s">
        <v>3306</v>
      </c>
      <c r="C243" t="s">
        <v>25</v>
      </c>
      <c r="D243" t="s">
        <v>3067</v>
      </c>
      <c r="E243" s="2">
        <v>44631</v>
      </c>
      <c r="F243" t="s">
        <v>3080</v>
      </c>
    </row>
    <row r="244" spans="1:6" x14ac:dyDescent="0.35">
      <c r="A244" t="s">
        <v>520</v>
      </c>
      <c r="B244" t="s">
        <v>3307</v>
      </c>
      <c r="C244" t="s">
        <v>54</v>
      </c>
      <c r="D244" t="s">
        <v>3075</v>
      </c>
      <c r="E244" s="2">
        <v>45831</v>
      </c>
      <c r="F244" t="s">
        <v>3073</v>
      </c>
    </row>
    <row r="245" spans="1:6" x14ac:dyDescent="0.35">
      <c r="A245" t="s">
        <v>522</v>
      </c>
      <c r="B245" t="s">
        <v>3308</v>
      </c>
      <c r="C245" t="s">
        <v>20</v>
      </c>
      <c r="D245" t="s">
        <v>3067</v>
      </c>
      <c r="E245" s="2">
        <v>44847</v>
      </c>
      <c r="F245" t="s">
        <v>3073</v>
      </c>
    </row>
    <row r="246" spans="1:6" x14ac:dyDescent="0.35">
      <c r="A246" t="s">
        <v>524</v>
      </c>
      <c r="B246" t="s">
        <v>3309</v>
      </c>
      <c r="C246" t="s">
        <v>54</v>
      </c>
      <c r="D246" t="s">
        <v>3067</v>
      </c>
      <c r="E246" s="2">
        <v>45129</v>
      </c>
      <c r="F246" t="s">
        <v>1884</v>
      </c>
    </row>
    <row r="247" spans="1:6" x14ac:dyDescent="0.35">
      <c r="A247" t="s">
        <v>526</v>
      </c>
      <c r="B247" t="s">
        <v>3310</v>
      </c>
      <c r="C247" t="s">
        <v>14</v>
      </c>
      <c r="D247" t="s">
        <v>3067</v>
      </c>
      <c r="E247" s="2">
        <v>45587</v>
      </c>
      <c r="F247" t="s">
        <v>3080</v>
      </c>
    </row>
    <row r="248" spans="1:6" x14ac:dyDescent="0.35">
      <c r="A248" t="s">
        <v>528</v>
      </c>
      <c r="B248" t="s">
        <v>3311</v>
      </c>
      <c r="C248" t="s">
        <v>14</v>
      </c>
      <c r="D248" t="s">
        <v>3067</v>
      </c>
      <c r="E248" s="2">
        <v>46008</v>
      </c>
      <c r="F248" t="s">
        <v>3080</v>
      </c>
    </row>
    <row r="249" spans="1:6" x14ac:dyDescent="0.35">
      <c r="A249" t="s">
        <v>530</v>
      </c>
      <c r="B249" t="s">
        <v>3312</v>
      </c>
      <c r="C249" t="s">
        <v>35</v>
      </c>
      <c r="D249" t="s">
        <v>3075</v>
      </c>
      <c r="E249" s="2">
        <v>44690</v>
      </c>
      <c r="F249" t="s">
        <v>1884</v>
      </c>
    </row>
    <row r="250" spans="1:6" x14ac:dyDescent="0.35">
      <c r="A250" t="s">
        <v>532</v>
      </c>
      <c r="B250" t="s">
        <v>3313</v>
      </c>
      <c r="C250" t="s">
        <v>54</v>
      </c>
      <c r="D250" t="s">
        <v>3072</v>
      </c>
      <c r="E250" s="2">
        <v>45282</v>
      </c>
      <c r="F250" t="s">
        <v>3080</v>
      </c>
    </row>
    <row r="251" spans="1:6" x14ac:dyDescent="0.35">
      <c r="A251" t="s">
        <v>534</v>
      </c>
      <c r="B251" t="s">
        <v>3314</v>
      </c>
      <c r="C251" t="s">
        <v>54</v>
      </c>
      <c r="D251" t="s">
        <v>3075</v>
      </c>
      <c r="E251" s="2">
        <v>45256</v>
      </c>
      <c r="F251" t="s">
        <v>3073</v>
      </c>
    </row>
    <row r="252" spans="1:6" x14ac:dyDescent="0.35">
      <c r="A252" t="s">
        <v>536</v>
      </c>
      <c r="B252" t="s">
        <v>3315</v>
      </c>
      <c r="C252" t="s">
        <v>54</v>
      </c>
      <c r="D252" t="s">
        <v>3072</v>
      </c>
      <c r="E252" s="2">
        <v>45132</v>
      </c>
      <c r="F252" t="s">
        <v>3080</v>
      </c>
    </row>
    <row r="253" spans="1:6" x14ac:dyDescent="0.35">
      <c r="A253" t="s">
        <v>538</v>
      </c>
      <c r="B253" t="s">
        <v>3316</v>
      </c>
      <c r="C253" t="s">
        <v>40</v>
      </c>
      <c r="D253" t="s">
        <v>3067</v>
      </c>
      <c r="E253" s="2">
        <v>44701</v>
      </c>
      <c r="F253" t="s">
        <v>3080</v>
      </c>
    </row>
    <row r="254" spans="1:6" x14ac:dyDescent="0.35">
      <c r="A254" t="s">
        <v>540</v>
      </c>
      <c r="B254" t="s">
        <v>3317</v>
      </c>
      <c r="C254" t="s">
        <v>35</v>
      </c>
      <c r="D254" t="s">
        <v>3067</v>
      </c>
      <c r="E254" s="2">
        <v>45528</v>
      </c>
      <c r="F254" t="s">
        <v>3080</v>
      </c>
    </row>
    <row r="255" spans="1:6" x14ac:dyDescent="0.35">
      <c r="A255" t="s">
        <v>542</v>
      </c>
      <c r="B255" t="s">
        <v>3318</v>
      </c>
      <c r="C255" t="s">
        <v>54</v>
      </c>
      <c r="D255" t="s">
        <v>3072</v>
      </c>
      <c r="E255" s="2">
        <v>45741</v>
      </c>
      <c r="F255" t="s">
        <v>3080</v>
      </c>
    </row>
    <row r="256" spans="1:6" x14ac:dyDescent="0.35">
      <c r="A256" t="s">
        <v>544</v>
      </c>
      <c r="B256" t="s">
        <v>3319</v>
      </c>
      <c r="C256" t="s">
        <v>25</v>
      </c>
      <c r="D256" t="s">
        <v>3075</v>
      </c>
      <c r="E256" s="2">
        <v>45638</v>
      </c>
      <c r="F256" t="s">
        <v>3073</v>
      </c>
    </row>
    <row r="257" spans="1:6" x14ac:dyDescent="0.35">
      <c r="A257" t="s">
        <v>546</v>
      </c>
      <c r="B257" t="s">
        <v>3320</v>
      </c>
      <c r="C257" t="s">
        <v>14</v>
      </c>
      <c r="D257" t="s">
        <v>3075</v>
      </c>
      <c r="E257" s="2">
        <v>45225</v>
      </c>
      <c r="F257" t="s">
        <v>3080</v>
      </c>
    </row>
    <row r="258" spans="1:6" x14ac:dyDescent="0.35">
      <c r="A258" t="s">
        <v>548</v>
      </c>
      <c r="B258" t="s">
        <v>3321</v>
      </c>
      <c r="C258" t="s">
        <v>25</v>
      </c>
      <c r="D258" t="s">
        <v>3067</v>
      </c>
      <c r="E258" s="2">
        <v>45759</v>
      </c>
      <c r="F258" t="s">
        <v>3080</v>
      </c>
    </row>
    <row r="259" spans="1:6" x14ac:dyDescent="0.35">
      <c r="A259" t="s">
        <v>550</v>
      </c>
      <c r="B259" t="s">
        <v>3322</v>
      </c>
      <c r="C259" t="s">
        <v>35</v>
      </c>
      <c r="D259" t="s">
        <v>3072</v>
      </c>
      <c r="E259" s="2">
        <v>44654</v>
      </c>
      <c r="F259" t="s">
        <v>1884</v>
      </c>
    </row>
    <row r="260" spans="1:6" x14ac:dyDescent="0.35">
      <c r="A260" t="s">
        <v>552</v>
      </c>
      <c r="B260" t="s">
        <v>3323</v>
      </c>
      <c r="C260" t="s">
        <v>54</v>
      </c>
      <c r="D260" t="s">
        <v>3072</v>
      </c>
      <c r="E260" s="2">
        <v>45036</v>
      </c>
      <c r="F260" t="s">
        <v>1884</v>
      </c>
    </row>
    <row r="261" spans="1:6" x14ac:dyDescent="0.35">
      <c r="A261" t="s">
        <v>554</v>
      </c>
      <c r="B261" t="s">
        <v>3324</v>
      </c>
      <c r="C261" t="s">
        <v>54</v>
      </c>
      <c r="D261" t="s">
        <v>3072</v>
      </c>
      <c r="E261" s="2">
        <v>45584</v>
      </c>
      <c r="F261" t="s">
        <v>3080</v>
      </c>
    </row>
    <row r="262" spans="1:6" x14ac:dyDescent="0.35">
      <c r="A262" t="s">
        <v>556</v>
      </c>
      <c r="B262" t="s">
        <v>3325</v>
      </c>
      <c r="C262" t="s">
        <v>35</v>
      </c>
      <c r="D262" t="s">
        <v>3067</v>
      </c>
      <c r="E262" s="2">
        <v>46118</v>
      </c>
      <c r="F262" t="s">
        <v>1884</v>
      </c>
    </row>
    <row r="263" spans="1:6" x14ac:dyDescent="0.35">
      <c r="A263" t="s">
        <v>558</v>
      </c>
      <c r="B263" t="s">
        <v>3326</v>
      </c>
      <c r="C263" t="s">
        <v>54</v>
      </c>
      <c r="D263" t="s">
        <v>3072</v>
      </c>
      <c r="E263" s="2">
        <v>44777</v>
      </c>
      <c r="F263" t="s">
        <v>1884</v>
      </c>
    </row>
    <row r="264" spans="1:6" x14ac:dyDescent="0.35">
      <c r="A264" t="s">
        <v>560</v>
      </c>
      <c r="B264" t="s">
        <v>3327</v>
      </c>
      <c r="C264" t="s">
        <v>54</v>
      </c>
      <c r="D264" t="s">
        <v>3067</v>
      </c>
      <c r="E264" s="2">
        <v>46109</v>
      </c>
      <c r="F264" t="s">
        <v>3073</v>
      </c>
    </row>
    <row r="265" spans="1:6" x14ac:dyDescent="0.35">
      <c r="A265" t="s">
        <v>562</v>
      </c>
      <c r="B265" t="s">
        <v>3328</v>
      </c>
      <c r="C265" t="s">
        <v>20</v>
      </c>
      <c r="D265" t="s">
        <v>3072</v>
      </c>
      <c r="E265" s="2">
        <v>45815</v>
      </c>
      <c r="F265" t="s">
        <v>3073</v>
      </c>
    </row>
    <row r="266" spans="1:6" x14ac:dyDescent="0.35">
      <c r="A266" t="s">
        <v>564</v>
      </c>
      <c r="B266" t="s">
        <v>3329</v>
      </c>
      <c r="C266" t="s">
        <v>20</v>
      </c>
      <c r="D266" t="s">
        <v>3072</v>
      </c>
      <c r="E266" s="2">
        <v>46296</v>
      </c>
      <c r="F266" t="s">
        <v>3080</v>
      </c>
    </row>
    <row r="267" spans="1:6" x14ac:dyDescent="0.35">
      <c r="A267" t="s">
        <v>566</v>
      </c>
      <c r="B267" t="s">
        <v>3330</v>
      </c>
      <c r="C267" t="s">
        <v>20</v>
      </c>
      <c r="D267" t="s">
        <v>3067</v>
      </c>
      <c r="E267" s="2">
        <v>46125</v>
      </c>
      <c r="F267" t="s">
        <v>3073</v>
      </c>
    </row>
    <row r="268" spans="1:6" x14ac:dyDescent="0.35">
      <c r="A268" t="s">
        <v>568</v>
      </c>
      <c r="B268" t="s">
        <v>3331</v>
      </c>
      <c r="C268" t="s">
        <v>25</v>
      </c>
      <c r="D268" t="s">
        <v>3075</v>
      </c>
      <c r="E268" s="2">
        <v>46283</v>
      </c>
      <c r="F268" t="s">
        <v>1884</v>
      </c>
    </row>
    <row r="269" spans="1:6" x14ac:dyDescent="0.35">
      <c r="A269" t="s">
        <v>570</v>
      </c>
      <c r="B269" t="s">
        <v>3332</v>
      </c>
      <c r="C269" t="s">
        <v>14</v>
      </c>
      <c r="D269" t="s">
        <v>3067</v>
      </c>
      <c r="E269" s="2">
        <v>44782</v>
      </c>
      <c r="F269" t="s">
        <v>3080</v>
      </c>
    </row>
    <row r="270" spans="1:6" x14ac:dyDescent="0.35">
      <c r="A270" t="s">
        <v>572</v>
      </c>
      <c r="B270" t="s">
        <v>3333</v>
      </c>
      <c r="C270" t="s">
        <v>35</v>
      </c>
      <c r="D270" t="s">
        <v>3067</v>
      </c>
      <c r="E270" s="2">
        <v>44834</v>
      </c>
      <c r="F270" t="s">
        <v>3080</v>
      </c>
    </row>
    <row r="271" spans="1:6" x14ac:dyDescent="0.35">
      <c r="A271" t="s">
        <v>574</v>
      </c>
      <c r="B271" t="s">
        <v>3334</v>
      </c>
      <c r="C271" t="s">
        <v>25</v>
      </c>
      <c r="D271" t="s">
        <v>3075</v>
      </c>
      <c r="E271" s="2">
        <v>44971</v>
      </c>
      <c r="F271" t="s">
        <v>1884</v>
      </c>
    </row>
    <row r="272" spans="1:6" x14ac:dyDescent="0.35">
      <c r="A272" t="s">
        <v>576</v>
      </c>
      <c r="B272" t="s">
        <v>3335</v>
      </c>
      <c r="C272" t="s">
        <v>40</v>
      </c>
      <c r="D272" t="s">
        <v>3067</v>
      </c>
      <c r="E272" s="2">
        <v>45458</v>
      </c>
      <c r="F272" t="s">
        <v>3080</v>
      </c>
    </row>
    <row r="273" spans="1:6" x14ac:dyDescent="0.35">
      <c r="A273" t="s">
        <v>578</v>
      </c>
      <c r="B273" t="s">
        <v>3336</v>
      </c>
      <c r="C273" t="s">
        <v>40</v>
      </c>
      <c r="D273" t="s">
        <v>3072</v>
      </c>
      <c r="E273" s="2">
        <v>44974</v>
      </c>
      <c r="F273" t="s">
        <v>3080</v>
      </c>
    </row>
    <row r="274" spans="1:6" x14ac:dyDescent="0.35">
      <c r="A274" t="s">
        <v>580</v>
      </c>
      <c r="B274" t="s">
        <v>3337</v>
      </c>
      <c r="C274" t="s">
        <v>14</v>
      </c>
      <c r="D274" t="s">
        <v>3067</v>
      </c>
      <c r="E274" s="2">
        <v>46228</v>
      </c>
      <c r="F274" t="s">
        <v>3080</v>
      </c>
    </row>
    <row r="275" spans="1:6" x14ac:dyDescent="0.35">
      <c r="A275" t="s">
        <v>582</v>
      </c>
      <c r="B275" t="s">
        <v>3338</v>
      </c>
      <c r="C275" t="s">
        <v>14</v>
      </c>
      <c r="D275" t="s">
        <v>3072</v>
      </c>
      <c r="E275" s="2">
        <v>45754</v>
      </c>
      <c r="F275" t="s">
        <v>1884</v>
      </c>
    </row>
    <row r="276" spans="1:6" x14ac:dyDescent="0.35">
      <c r="A276" t="s">
        <v>584</v>
      </c>
      <c r="B276" t="s">
        <v>3339</v>
      </c>
      <c r="C276" t="s">
        <v>54</v>
      </c>
      <c r="D276" t="s">
        <v>3075</v>
      </c>
      <c r="E276" s="2">
        <v>44759</v>
      </c>
      <c r="F276" t="s">
        <v>1884</v>
      </c>
    </row>
    <row r="277" spans="1:6" x14ac:dyDescent="0.35">
      <c r="A277" t="s">
        <v>586</v>
      </c>
      <c r="B277" t="s">
        <v>3340</v>
      </c>
      <c r="C277" t="s">
        <v>20</v>
      </c>
      <c r="D277" t="s">
        <v>3072</v>
      </c>
      <c r="E277" s="2">
        <v>44572</v>
      </c>
      <c r="F277" t="s">
        <v>3073</v>
      </c>
    </row>
    <row r="278" spans="1:6" x14ac:dyDescent="0.35">
      <c r="A278" t="s">
        <v>588</v>
      </c>
      <c r="B278" t="s">
        <v>3341</v>
      </c>
      <c r="C278" t="s">
        <v>35</v>
      </c>
      <c r="D278" t="s">
        <v>3075</v>
      </c>
      <c r="E278" s="2">
        <v>45681</v>
      </c>
      <c r="F278" t="s">
        <v>1884</v>
      </c>
    </row>
    <row r="279" spans="1:6" x14ac:dyDescent="0.35">
      <c r="A279" t="s">
        <v>590</v>
      </c>
      <c r="B279" t="s">
        <v>3342</v>
      </c>
      <c r="C279" t="s">
        <v>40</v>
      </c>
      <c r="D279" t="s">
        <v>3072</v>
      </c>
      <c r="E279" s="2">
        <v>45959</v>
      </c>
      <c r="F279" t="s">
        <v>3080</v>
      </c>
    </row>
    <row r="280" spans="1:6" x14ac:dyDescent="0.35">
      <c r="A280" t="s">
        <v>592</v>
      </c>
      <c r="B280" t="s">
        <v>3343</v>
      </c>
      <c r="C280" t="s">
        <v>54</v>
      </c>
      <c r="D280" t="s">
        <v>3075</v>
      </c>
      <c r="E280" s="2">
        <v>45643</v>
      </c>
      <c r="F280" t="s">
        <v>3073</v>
      </c>
    </row>
    <row r="281" spans="1:6" x14ac:dyDescent="0.35">
      <c r="A281" t="s">
        <v>594</v>
      </c>
      <c r="B281" t="s">
        <v>3344</v>
      </c>
      <c r="C281" t="s">
        <v>14</v>
      </c>
      <c r="D281" t="s">
        <v>3072</v>
      </c>
      <c r="E281" s="2">
        <v>45730</v>
      </c>
      <c r="F281" t="s">
        <v>3073</v>
      </c>
    </row>
    <row r="282" spans="1:6" x14ac:dyDescent="0.35">
      <c r="A282" t="s">
        <v>596</v>
      </c>
      <c r="B282" t="s">
        <v>3345</v>
      </c>
      <c r="C282" t="s">
        <v>25</v>
      </c>
      <c r="D282" t="s">
        <v>3067</v>
      </c>
      <c r="E282" s="2">
        <v>45292</v>
      </c>
      <c r="F282" t="s">
        <v>3080</v>
      </c>
    </row>
    <row r="283" spans="1:6" x14ac:dyDescent="0.35">
      <c r="A283" t="s">
        <v>598</v>
      </c>
      <c r="B283" t="s">
        <v>3346</v>
      </c>
      <c r="C283" t="s">
        <v>25</v>
      </c>
      <c r="D283" t="s">
        <v>3072</v>
      </c>
      <c r="E283" s="2">
        <v>46203</v>
      </c>
      <c r="F283" t="s">
        <v>1884</v>
      </c>
    </row>
    <row r="284" spans="1:6" x14ac:dyDescent="0.35">
      <c r="A284" t="s">
        <v>600</v>
      </c>
      <c r="B284" t="s">
        <v>3347</v>
      </c>
      <c r="C284" t="s">
        <v>35</v>
      </c>
      <c r="D284" t="s">
        <v>3067</v>
      </c>
      <c r="E284" s="2">
        <v>45842</v>
      </c>
      <c r="F284" t="s">
        <v>3073</v>
      </c>
    </row>
    <row r="285" spans="1:6" x14ac:dyDescent="0.35">
      <c r="A285" t="s">
        <v>602</v>
      </c>
      <c r="B285" t="s">
        <v>3348</v>
      </c>
      <c r="C285" t="s">
        <v>20</v>
      </c>
      <c r="D285" t="s">
        <v>3075</v>
      </c>
      <c r="E285" s="2">
        <v>44722</v>
      </c>
      <c r="F285" t="s">
        <v>1884</v>
      </c>
    </row>
    <row r="286" spans="1:6" x14ac:dyDescent="0.35">
      <c r="A286" t="s">
        <v>604</v>
      </c>
      <c r="B286" t="s">
        <v>3349</v>
      </c>
      <c r="C286" t="s">
        <v>25</v>
      </c>
      <c r="D286" t="s">
        <v>3067</v>
      </c>
      <c r="E286" s="2">
        <v>44768</v>
      </c>
      <c r="F286" t="s">
        <v>1884</v>
      </c>
    </row>
    <row r="287" spans="1:6" x14ac:dyDescent="0.35">
      <c r="A287" t="s">
        <v>606</v>
      </c>
      <c r="B287" t="s">
        <v>3350</v>
      </c>
      <c r="C287" t="s">
        <v>35</v>
      </c>
      <c r="D287" t="s">
        <v>3072</v>
      </c>
      <c r="E287" s="2">
        <v>44667</v>
      </c>
      <c r="F287" t="s">
        <v>3080</v>
      </c>
    </row>
    <row r="288" spans="1:6" x14ac:dyDescent="0.35">
      <c r="A288" t="s">
        <v>608</v>
      </c>
      <c r="B288" t="s">
        <v>3351</v>
      </c>
      <c r="C288" t="s">
        <v>25</v>
      </c>
      <c r="D288" t="s">
        <v>3067</v>
      </c>
      <c r="E288" s="2">
        <v>44608</v>
      </c>
      <c r="F288" t="s">
        <v>1884</v>
      </c>
    </row>
    <row r="289" spans="1:6" x14ac:dyDescent="0.35">
      <c r="A289" t="s">
        <v>610</v>
      </c>
      <c r="B289" t="s">
        <v>3352</v>
      </c>
      <c r="C289" t="s">
        <v>40</v>
      </c>
      <c r="D289" t="s">
        <v>3067</v>
      </c>
      <c r="E289" s="2">
        <v>45361</v>
      </c>
      <c r="F289" t="s">
        <v>3080</v>
      </c>
    </row>
    <row r="290" spans="1:6" x14ac:dyDescent="0.35">
      <c r="A290" t="s">
        <v>612</v>
      </c>
      <c r="B290" t="s">
        <v>3353</v>
      </c>
      <c r="C290" t="s">
        <v>40</v>
      </c>
      <c r="D290" t="s">
        <v>3072</v>
      </c>
      <c r="E290" s="2">
        <v>46348</v>
      </c>
      <c r="F290" t="s">
        <v>1884</v>
      </c>
    </row>
    <row r="291" spans="1:6" x14ac:dyDescent="0.35">
      <c r="A291" t="s">
        <v>614</v>
      </c>
      <c r="B291" t="s">
        <v>3354</v>
      </c>
      <c r="C291" t="s">
        <v>40</v>
      </c>
      <c r="D291" t="s">
        <v>3072</v>
      </c>
      <c r="E291" s="2">
        <v>45656</v>
      </c>
      <c r="F291" t="s">
        <v>3080</v>
      </c>
    </row>
    <row r="292" spans="1:6" x14ac:dyDescent="0.35">
      <c r="A292" t="s">
        <v>616</v>
      </c>
      <c r="B292" t="s">
        <v>3355</v>
      </c>
      <c r="C292" t="s">
        <v>14</v>
      </c>
      <c r="D292" t="s">
        <v>3075</v>
      </c>
      <c r="E292" s="2">
        <v>45813</v>
      </c>
      <c r="F292" t="s">
        <v>3080</v>
      </c>
    </row>
    <row r="293" spans="1:6" x14ac:dyDescent="0.35">
      <c r="A293" t="s">
        <v>618</v>
      </c>
      <c r="B293" t="s">
        <v>3356</v>
      </c>
      <c r="C293" t="s">
        <v>40</v>
      </c>
      <c r="D293" t="s">
        <v>3067</v>
      </c>
      <c r="E293" s="2">
        <v>45828</v>
      </c>
      <c r="F293" t="s">
        <v>1884</v>
      </c>
    </row>
    <row r="294" spans="1:6" x14ac:dyDescent="0.35">
      <c r="A294" t="s">
        <v>620</v>
      </c>
      <c r="B294" t="s">
        <v>3357</v>
      </c>
      <c r="C294" t="s">
        <v>25</v>
      </c>
      <c r="D294" t="s">
        <v>3075</v>
      </c>
      <c r="E294" s="2">
        <v>44789</v>
      </c>
      <c r="F294" t="s">
        <v>3080</v>
      </c>
    </row>
    <row r="295" spans="1:6" x14ac:dyDescent="0.35">
      <c r="A295" t="s">
        <v>622</v>
      </c>
      <c r="B295" t="s">
        <v>3358</v>
      </c>
      <c r="C295" t="s">
        <v>35</v>
      </c>
      <c r="D295" t="s">
        <v>3067</v>
      </c>
      <c r="E295" s="2">
        <v>45899</v>
      </c>
      <c r="F295" t="s">
        <v>1884</v>
      </c>
    </row>
    <row r="296" spans="1:6" x14ac:dyDescent="0.35">
      <c r="A296" t="s">
        <v>624</v>
      </c>
      <c r="B296" t="s">
        <v>3359</v>
      </c>
      <c r="C296" t="s">
        <v>20</v>
      </c>
      <c r="D296" t="s">
        <v>3067</v>
      </c>
      <c r="E296" s="2">
        <v>45425</v>
      </c>
      <c r="F296" t="s">
        <v>3073</v>
      </c>
    </row>
    <row r="297" spans="1:6" x14ac:dyDescent="0.35">
      <c r="A297" t="s">
        <v>626</v>
      </c>
      <c r="B297" t="s">
        <v>3360</v>
      </c>
      <c r="C297" t="s">
        <v>14</v>
      </c>
      <c r="D297" t="s">
        <v>3067</v>
      </c>
      <c r="E297" s="2">
        <v>46380</v>
      </c>
      <c r="F297" t="s">
        <v>1884</v>
      </c>
    </row>
    <row r="298" spans="1:6" x14ac:dyDescent="0.35">
      <c r="A298" t="s">
        <v>628</v>
      </c>
      <c r="B298" t="s">
        <v>3361</v>
      </c>
      <c r="C298" t="s">
        <v>14</v>
      </c>
      <c r="D298" t="s">
        <v>3072</v>
      </c>
      <c r="E298" s="2">
        <v>45682</v>
      </c>
      <c r="F298" t="s">
        <v>3080</v>
      </c>
    </row>
    <row r="299" spans="1:6" x14ac:dyDescent="0.35">
      <c r="A299" t="s">
        <v>630</v>
      </c>
      <c r="B299" t="s">
        <v>3362</v>
      </c>
      <c r="C299" t="s">
        <v>40</v>
      </c>
      <c r="D299" t="s">
        <v>3075</v>
      </c>
      <c r="E299" s="2">
        <v>46360</v>
      </c>
      <c r="F299" t="s">
        <v>1884</v>
      </c>
    </row>
    <row r="300" spans="1:6" x14ac:dyDescent="0.35">
      <c r="A300" t="s">
        <v>632</v>
      </c>
      <c r="B300" t="s">
        <v>3363</v>
      </c>
      <c r="C300" t="s">
        <v>14</v>
      </c>
      <c r="D300" t="s">
        <v>3067</v>
      </c>
      <c r="E300" s="2">
        <v>44711</v>
      </c>
      <c r="F300" t="s">
        <v>3080</v>
      </c>
    </row>
    <row r="301" spans="1:6" x14ac:dyDescent="0.35">
      <c r="A301" t="s">
        <v>634</v>
      </c>
      <c r="B301" t="s">
        <v>3364</v>
      </c>
      <c r="C301" t="s">
        <v>25</v>
      </c>
      <c r="D301" t="s">
        <v>3075</v>
      </c>
      <c r="E301" s="2">
        <v>46272</v>
      </c>
      <c r="F301" t="s">
        <v>1884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01"/>
  <sheetViews>
    <sheetView workbookViewId="0"/>
  </sheetViews>
  <sheetFormatPr defaultRowHeight="14.5" x14ac:dyDescent="0.35"/>
  <cols>
    <col min="1" max="1" width="11" customWidth="1"/>
    <col min="2" max="2" width="29" customWidth="1"/>
    <col min="3" max="3" width="15" customWidth="1"/>
    <col min="4" max="4" width="35" customWidth="1"/>
    <col min="5" max="6" width="13" customWidth="1"/>
  </cols>
  <sheetData>
    <row r="1" spans="1:6" x14ac:dyDescent="0.35">
      <c r="A1" s="1" t="s">
        <v>3365</v>
      </c>
      <c r="B1" s="1" t="s">
        <v>1855</v>
      </c>
      <c r="C1" s="1" t="s">
        <v>3366</v>
      </c>
      <c r="D1" s="1" t="s">
        <v>3367</v>
      </c>
      <c r="E1" s="1" t="s">
        <v>636</v>
      </c>
      <c r="F1" s="1" t="s">
        <v>640</v>
      </c>
    </row>
    <row r="2" spans="1:6" x14ac:dyDescent="0.35">
      <c r="A2" t="s">
        <v>3368</v>
      </c>
      <c r="B2" t="s">
        <v>3369</v>
      </c>
      <c r="C2" t="s">
        <v>3370</v>
      </c>
      <c r="D2" t="s">
        <v>3371</v>
      </c>
      <c r="E2" s="2">
        <v>44706</v>
      </c>
      <c r="F2" t="s">
        <v>1884</v>
      </c>
    </row>
    <row r="3" spans="1:6" x14ac:dyDescent="0.35">
      <c r="A3" t="s">
        <v>3372</v>
      </c>
      <c r="B3" t="s">
        <v>3373</v>
      </c>
      <c r="C3" t="s">
        <v>3374</v>
      </c>
      <c r="D3" t="s">
        <v>3375</v>
      </c>
      <c r="E3" s="2">
        <v>46076</v>
      </c>
      <c r="F3" t="s">
        <v>1873</v>
      </c>
    </row>
    <row r="4" spans="1:6" x14ac:dyDescent="0.35">
      <c r="A4" t="s">
        <v>3376</v>
      </c>
      <c r="B4" t="s">
        <v>928</v>
      </c>
      <c r="C4" t="s">
        <v>3374</v>
      </c>
      <c r="D4" t="s">
        <v>3377</v>
      </c>
      <c r="E4" s="2">
        <v>45542</v>
      </c>
      <c r="F4" t="s">
        <v>1871</v>
      </c>
    </row>
    <row r="5" spans="1:6" x14ac:dyDescent="0.35">
      <c r="A5" t="s">
        <v>3378</v>
      </c>
      <c r="B5" t="s">
        <v>3379</v>
      </c>
      <c r="C5" t="s">
        <v>3370</v>
      </c>
      <c r="D5" t="s">
        <v>3380</v>
      </c>
      <c r="E5" s="2">
        <v>46043</v>
      </c>
      <c r="F5" t="s">
        <v>1873</v>
      </c>
    </row>
    <row r="6" spans="1:6" x14ac:dyDescent="0.35">
      <c r="A6" t="s">
        <v>3381</v>
      </c>
      <c r="B6" t="s">
        <v>3382</v>
      </c>
      <c r="C6" t="s">
        <v>3383</v>
      </c>
      <c r="D6" t="s">
        <v>3384</v>
      </c>
      <c r="E6" s="2">
        <v>44634</v>
      </c>
      <c r="F6" t="s">
        <v>1884</v>
      </c>
    </row>
    <row r="7" spans="1:6" x14ac:dyDescent="0.35">
      <c r="A7" t="s">
        <v>3385</v>
      </c>
      <c r="B7" t="s">
        <v>3386</v>
      </c>
      <c r="C7" t="s">
        <v>3374</v>
      </c>
      <c r="D7" t="s">
        <v>3387</v>
      </c>
      <c r="E7" s="2">
        <v>45023</v>
      </c>
      <c r="F7" t="s">
        <v>1865</v>
      </c>
    </row>
    <row r="8" spans="1:6" x14ac:dyDescent="0.35">
      <c r="A8" t="s">
        <v>3388</v>
      </c>
      <c r="B8" t="s">
        <v>3389</v>
      </c>
      <c r="C8" t="s">
        <v>3370</v>
      </c>
      <c r="D8" t="s">
        <v>3390</v>
      </c>
      <c r="E8" s="2">
        <v>45540</v>
      </c>
      <c r="F8" t="s">
        <v>1865</v>
      </c>
    </row>
    <row r="9" spans="1:6" x14ac:dyDescent="0.35">
      <c r="A9" t="s">
        <v>3391</v>
      </c>
      <c r="B9" t="s">
        <v>3392</v>
      </c>
      <c r="C9" t="s">
        <v>3383</v>
      </c>
      <c r="D9" t="s">
        <v>3393</v>
      </c>
      <c r="E9" s="2">
        <v>44605</v>
      </c>
      <c r="F9" t="s">
        <v>1873</v>
      </c>
    </row>
    <row r="10" spans="1:6" x14ac:dyDescent="0.35">
      <c r="A10" t="s">
        <v>3394</v>
      </c>
      <c r="B10" t="s">
        <v>3395</v>
      </c>
      <c r="C10" t="s">
        <v>3383</v>
      </c>
      <c r="D10" t="s">
        <v>3396</v>
      </c>
      <c r="E10" s="2">
        <v>46146</v>
      </c>
      <c r="F10" t="s">
        <v>1871</v>
      </c>
    </row>
    <row r="11" spans="1:6" x14ac:dyDescent="0.35">
      <c r="A11" t="s">
        <v>3397</v>
      </c>
      <c r="B11" t="s">
        <v>3398</v>
      </c>
      <c r="C11" t="s">
        <v>3374</v>
      </c>
      <c r="D11" t="s">
        <v>3399</v>
      </c>
      <c r="E11" s="2">
        <v>45807</v>
      </c>
      <c r="F11" t="s">
        <v>1884</v>
      </c>
    </row>
    <row r="12" spans="1:6" x14ac:dyDescent="0.35">
      <c r="A12" t="s">
        <v>3400</v>
      </c>
      <c r="B12" t="s">
        <v>3401</v>
      </c>
      <c r="C12" t="s">
        <v>3374</v>
      </c>
      <c r="D12" t="s">
        <v>3402</v>
      </c>
      <c r="E12" s="2">
        <v>45962</v>
      </c>
      <c r="F12" t="s">
        <v>1873</v>
      </c>
    </row>
    <row r="13" spans="1:6" x14ac:dyDescent="0.35">
      <c r="A13" t="s">
        <v>3403</v>
      </c>
      <c r="B13" t="s">
        <v>3404</v>
      </c>
      <c r="C13" t="s">
        <v>3374</v>
      </c>
      <c r="D13" t="s">
        <v>3405</v>
      </c>
      <c r="E13" s="2">
        <v>45549</v>
      </c>
      <c r="F13" t="s">
        <v>1873</v>
      </c>
    </row>
    <row r="14" spans="1:6" x14ac:dyDescent="0.35">
      <c r="A14" t="s">
        <v>3406</v>
      </c>
      <c r="B14" t="s">
        <v>3407</v>
      </c>
      <c r="C14" t="s">
        <v>3370</v>
      </c>
      <c r="D14" t="s">
        <v>3408</v>
      </c>
      <c r="E14" s="2">
        <v>46130</v>
      </c>
      <c r="F14" t="s">
        <v>1884</v>
      </c>
    </row>
    <row r="15" spans="1:6" x14ac:dyDescent="0.35">
      <c r="A15" t="s">
        <v>3409</v>
      </c>
      <c r="B15" t="s">
        <v>3410</v>
      </c>
      <c r="C15" t="s">
        <v>3374</v>
      </c>
      <c r="D15" t="s">
        <v>3411</v>
      </c>
      <c r="E15" s="2">
        <v>44818</v>
      </c>
      <c r="F15" t="s">
        <v>1884</v>
      </c>
    </row>
    <row r="16" spans="1:6" x14ac:dyDescent="0.35">
      <c r="A16" t="s">
        <v>3412</v>
      </c>
      <c r="B16" t="s">
        <v>3413</v>
      </c>
      <c r="C16" t="s">
        <v>3374</v>
      </c>
      <c r="D16" t="s">
        <v>3414</v>
      </c>
      <c r="E16" s="2">
        <v>45436</v>
      </c>
      <c r="F16" t="s">
        <v>1871</v>
      </c>
    </row>
    <row r="17" spans="1:6" x14ac:dyDescent="0.35">
      <c r="A17" t="s">
        <v>3415</v>
      </c>
      <c r="B17" t="s">
        <v>3416</v>
      </c>
      <c r="C17" t="s">
        <v>3383</v>
      </c>
      <c r="D17" t="s">
        <v>3417</v>
      </c>
      <c r="E17" s="2">
        <v>45458</v>
      </c>
      <c r="F17" t="s">
        <v>1873</v>
      </c>
    </row>
    <row r="18" spans="1:6" x14ac:dyDescent="0.35">
      <c r="A18" t="s">
        <v>3418</v>
      </c>
      <c r="B18" t="s">
        <v>3148</v>
      </c>
      <c r="C18" t="s">
        <v>3374</v>
      </c>
      <c r="D18" t="s">
        <v>3419</v>
      </c>
      <c r="E18" s="2">
        <v>45315</v>
      </c>
      <c r="F18" t="s">
        <v>1865</v>
      </c>
    </row>
    <row r="19" spans="1:6" x14ac:dyDescent="0.35">
      <c r="A19" t="s">
        <v>3420</v>
      </c>
      <c r="B19" t="s">
        <v>188</v>
      </c>
      <c r="C19" t="s">
        <v>3383</v>
      </c>
      <c r="D19" t="s">
        <v>3421</v>
      </c>
      <c r="E19" s="2">
        <v>45264</v>
      </c>
      <c r="F19" t="s">
        <v>1884</v>
      </c>
    </row>
    <row r="20" spans="1:6" x14ac:dyDescent="0.35">
      <c r="A20" t="s">
        <v>3422</v>
      </c>
      <c r="B20" t="s">
        <v>3423</v>
      </c>
      <c r="C20" t="s">
        <v>3383</v>
      </c>
      <c r="D20" t="s">
        <v>3424</v>
      </c>
      <c r="E20" s="2">
        <v>45049</v>
      </c>
      <c r="F20" t="s">
        <v>1871</v>
      </c>
    </row>
    <row r="21" spans="1:6" x14ac:dyDescent="0.35">
      <c r="A21" t="s">
        <v>3425</v>
      </c>
      <c r="B21" t="s">
        <v>3426</v>
      </c>
      <c r="C21" t="s">
        <v>3383</v>
      </c>
      <c r="D21" t="s">
        <v>3427</v>
      </c>
      <c r="E21" s="2">
        <v>45767</v>
      </c>
      <c r="F21" t="s">
        <v>1873</v>
      </c>
    </row>
    <row r="22" spans="1:6" x14ac:dyDescent="0.35">
      <c r="A22" t="s">
        <v>3428</v>
      </c>
      <c r="B22" t="s">
        <v>3429</v>
      </c>
      <c r="C22" t="s">
        <v>3383</v>
      </c>
      <c r="D22" t="s">
        <v>3430</v>
      </c>
      <c r="E22" s="2">
        <v>45407</v>
      </c>
      <c r="F22" t="s">
        <v>1873</v>
      </c>
    </row>
    <row r="23" spans="1:6" x14ac:dyDescent="0.35">
      <c r="A23" t="s">
        <v>3431</v>
      </c>
      <c r="B23" t="s">
        <v>3432</v>
      </c>
      <c r="C23" t="s">
        <v>3383</v>
      </c>
      <c r="D23" t="s">
        <v>3433</v>
      </c>
      <c r="E23" s="2">
        <v>46350</v>
      </c>
      <c r="F23" t="s">
        <v>1871</v>
      </c>
    </row>
    <row r="24" spans="1:6" x14ac:dyDescent="0.35">
      <c r="A24" t="s">
        <v>3434</v>
      </c>
      <c r="B24" t="s">
        <v>3435</v>
      </c>
      <c r="C24" t="s">
        <v>3383</v>
      </c>
      <c r="D24" t="s">
        <v>3436</v>
      </c>
      <c r="E24" s="2">
        <v>44718</v>
      </c>
      <c r="F24" t="s">
        <v>1873</v>
      </c>
    </row>
    <row r="25" spans="1:6" x14ac:dyDescent="0.35">
      <c r="A25" t="s">
        <v>3437</v>
      </c>
      <c r="B25" t="s">
        <v>3438</v>
      </c>
      <c r="C25" t="s">
        <v>3383</v>
      </c>
      <c r="D25" t="s">
        <v>3439</v>
      </c>
      <c r="E25" s="2">
        <v>45460</v>
      </c>
      <c r="F25" t="s">
        <v>1871</v>
      </c>
    </row>
    <row r="26" spans="1:6" x14ac:dyDescent="0.35">
      <c r="A26" t="s">
        <v>3440</v>
      </c>
      <c r="B26" t="s">
        <v>3441</v>
      </c>
      <c r="C26" t="s">
        <v>3370</v>
      </c>
      <c r="D26" t="s">
        <v>3442</v>
      </c>
      <c r="E26" s="2">
        <v>44651</v>
      </c>
      <c r="F26" t="s">
        <v>1865</v>
      </c>
    </row>
    <row r="27" spans="1:6" x14ac:dyDescent="0.35">
      <c r="A27" t="s">
        <v>3443</v>
      </c>
      <c r="B27" t="s">
        <v>3444</v>
      </c>
      <c r="C27" t="s">
        <v>3370</v>
      </c>
      <c r="D27" t="s">
        <v>3445</v>
      </c>
      <c r="E27" s="2">
        <v>45795</v>
      </c>
      <c r="F27" t="s">
        <v>1871</v>
      </c>
    </row>
    <row r="28" spans="1:6" x14ac:dyDescent="0.35">
      <c r="A28" t="s">
        <v>3446</v>
      </c>
      <c r="B28" t="s">
        <v>3447</v>
      </c>
      <c r="C28" t="s">
        <v>3370</v>
      </c>
      <c r="D28" t="s">
        <v>3448</v>
      </c>
      <c r="E28" s="2">
        <v>44827</v>
      </c>
      <c r="F28" t="s">
        <v>1884</v>
      </c>
    </row>
    <row r="29" spans="1:6" x14ac:dyDescent="0.35">
      <c r="A29" t="s">
        <v>3449</v>
      </c>
      <c r="B29" t="s">
        <v>3450</v>
      </c>
      <c r="C29" t="s">
        <v>3370</v>
      </c>
      <c r="D29" t="s">
        <v>3451</v>
      </c>
      <c r="E29" s="2">
        <v>45908</v>
      </c>
      <c r="F29" t="s">
        <v>1873</v>
      </c>
    </row>
    <row r="30" spans="1:6" x14ac:dyDescent="0.35">
      <c r="A30" t="s">
        <v>3452</v>
      </c>
      <c r="B30" t="s">
        <v>3453</v>
      </c>
      <c r="C30" t="s">
        <v>3374</v>
      </c>
      <c r="D30" t="s">
        <v>3454</v>
      </c>
      <c r="E30" s="2">
        <v>44719</v>
      </c>
      <c r="F30" t="s">
        <v>1873</v>
      </c>
    </row>
    <row r="31" spans="1:6" x14ac:dyDescent="0.35">
      <c r="A31" t="s">
        <v>3455</v>
      </c>
      <c r="B31" t="s">
        <v>3456</v>
      </c>
      <c r="C31" t="s">
        <v>3370</v>
      </c>
      <c r="D31" t="s">
        <v>3457</v>
      </c>
      <c r="E31" s="2">
        <v>45675</v>
      </c>
      <c r="F31" t="s">
        <v>1871</v>
      </c>
    </row>
    <row r="32" spans="1:6" x14ac:dyDescent="0.35">
      <c r="A32" t="s">
        <v>3458</v>
      </c>
      <c r="B32" t="s">
        <v>2558</v>
      </c>
      <c r="C32" t="s">
        <v>3370</v>
      </c>
      <c r="D32" t="s">
        <v>3459</v>
      </c>
      <c r="E32" s="2">
        <v>46006</v>
      </c>
      <c r="F32" t="s">
        <v>1865</v>
      </c>
    </row>
    <row r="33" spans="1:6" x14ac:dyDescent="0.35">
      <c r="A33" t="s">
        <v>3460</v>
      </c>
      <c r="B33" t="s">
        <v>3461</v>
      </c>
      <c r="C33" t="s">
        <v>3383</v>
      </c>
      <c r="D33" t="s">
        <v>3462</v>
      </c>
      <c r="E33" s="2">
        <v>45470</v>
      </c>
      <c r="F33" t="s">
        <v>1865</v>
      </c>
    </row>
    <row r="34" spans="1:6" x14ac:dyDescent="0.35">
      <c r="A34" t="s">
        <v>3463</v>
      </c>
      <c r="B34" t="s">
        <v>3464</v>
      </c>
      <c r="C34" t="s">
        <v>3370</v>
      </c>
      <c r="D34" t="s">
        <v>3465</v>
      </c>
      <c r="E34" s="2">
        <v>46159</v>
      </c>
      <c r="F34" t="s">
        <v>1865</v>
      </c>
    </row>
    <row r="35" spans="1:6" x14ac:dyDescent="0.35">
      <c r="A35" t="s">
        <v>3466</v>
      </c>
      <c r="B35" t="s">
        <v>3467</v>
      </c>
      <c r="C35" t="s">
        <v>3374</v>
      </c>
      <c r="D35" t="s">
        <v>3468</v>
      </c>
      <c r="E35" s="2">
        <v>45062</v>
      </c>
      <c r="F35" t="s">
        <v>1865</v>
      </c>
    </row>
    <row r="36" spans="1:6" x14ac:dyDescent="0.35">
      <c r="A36" t="s">
        <v>3469</v>
      </c>
      <c r="B36" t="s">
        <v>3470</v>
      </c>
      <c r="C36" t="s">
        <v>3370</v>
      </c>
      <c r="D36" t="s">
        <v>3471</v>
      </c>
      <c r="E36" s="2">
        <v>45991</v>
      </c>
      <c r="F36" t="s">
        <v>1873</v>
      </c>
    </row>
    <row r="37" spans="1:6" x14ac:dyDescent="0.35">
      <c r="A37" t="s">
        <v>3472</v>
      </c>
      <c r="B37" t="s">
        <v>3473</v>
      </c>
      <c r="C37" t="s">
        <v>3383</v>
      </c>
      <c r="D37" t="s">
        <v>3474</v>
      </c>
      <c r="E37" s="2">
        <v>45271</v>
      </c>
      <c r="F37" t="s">
        <v>1884</v>
      </c>
    </row>
    <row r="38" spans="1:6" x14ac:dyDescent="0.35">
      <c r="A38" t="s">
        <v>3475</v>
      </c>
      <c r="B38" t="s">
        <v>3476</v>
      </c>
      <c r="C38" t="s">
        <v>3374</v>
      </c>
      <c r="D38" t="s">
        <v>3477</v>
      </c>
      <c r="E38" s="2">
        <v>45835</v>
      </c>
      <c r="F38" t="s">
        <v>1884</v>
      </c>
    </row>
    <row r="39" spans="1:6" x14ac:dyDescent="0.35">
      <c r="A39" t="s">
        <v>3478</v>
      </c>
      <c r="B39" t="s">
        <v>3479</v>
      </c>
      <c r="C39" t="s">
        <v>3370</v>
      </c>
      <c r="D39" t="s">
        <v>3480</v>
      </c>
      <c r="E39" s="2">
        <v>44722</v>
      </c>
      <c r="F39" t="s">
        <v>1871</v>
      </c>
    </row>
    <row r="40" spans="1:6" x14ac:dyDescent="0.35">
      <c r="A40" t="s">
        <v>3481</v>
      </c>
      <c r="B40" t="s">
        <v>3482</v>
      </c>
      <c r="C40" t="s">
        <v>3383</v>
      </c>
      <c r="D40" t="s">
        <v>3483</v>
      </c>
      <c r="E40" s="2">
        <v>46285</v>
      </c>
      <c r="F40" t="s">
        <v>1871</v>
      </c>
    </row>
    <row r="41" spans="1:6" x14ac:dyDescent="0.35">
      <c r="A41" t="s">
        <v>3484</v>
      </c>
      <c r="B41" t="s">
        <v>3485</v>
      </c>
      <c r="C41" t="s">
        <v>3370</v>
      </c>
      <c r="D41" t="s">
        <v>3486</v>
      </c>
      <c r="E41" s="2">
        <v>46081</v>
      </c>
      <c r="F41" t="s">
        <v>1871</v>
      </c>
    </row>
    <row r="42" spans="1:6" x14ac:dyDescent="0.35">
      <c r="A42" t="s">
        <v>3487</v>
      </c>
      <c r="B42" t="s">
        <v>3488</v>
      </c>
      <c r="C42" t="s">
        <v>3383</v>
      </c>
      <c r="D42" t="s">
        <v>3489</v>
      </c>
      <c r="E42" s="2">
        <v>45324</v>
      </c>
      <c r="F42" t="s">
        <v>1871</v>
      </c>
    </row>
    <row r="43" spans="1:6" x14ac:dyDescent="0.35">
      <c r="A43" t="s">
        <v>3490</v>
      </c>
      <c r="B43" t="s">
        <v>3491</v>
      </c>
      <c r="C43" t="s">
        <v>3383</v>
      </c>
      <c r="D43" t="s">
        <v>3492</v>
      </c>
      <c r="E43" s="2">
        <v>45043</v>
      </c>
      <c r="F43" t="s">
        <v>1884</v>
      </c>
    </row>
    <row r="44" spans="1:6" x14ac:dyDescent="0.35">
      <c r="A44" t="s">
        <v>3493</v>
      </c>
      <c r="B44" t="s">
        <v>3494</v>
      </c>
      <c r="C44" t="s">
        <v>3374</v>
      </c>
      <c r="D44" t="s">
        <v>3495</v>
      </c>
      <c r="E44" s="2">
        <v>46127</v>
      </c>
      <c r="F44" t="s">
        <v>1884</v>
      </c>
    </row>
    <row r="45" spans="1:6" x14ac:dyDescent="0.35">
      <c r="A45" t="s">
        <v>3496</v>
      </c>
      <c r="B45" t="s">
        <v>3497</v>
      </c>
      <c r="C45" t="s">
        <v>3383</v>
      </c>
      <c r="D45" t="s">
        <v>3498</v>
      </c>
      <c r="E45" s="2">
        <v>44605</v>
      </c>
      <c r="F45" t="s">
        <v>1884</v>
      </c>
    </row>
    <row r="46" spans="1:6" x14ac:dyDescent="0.35">
      <c r="A46" t="s">
        <v>3499</v>
      </c>
      <c r="B46" t="s">
        <v>3500</v>
      </c>
      <c r="C46" t="s">
        <v>3383</v>
      </c>
      <c r="D46" t="s">
        <v>3501</v>
      </c>
      <c r="E46" s="2">
        <v>45115</v>
      </c>
      <c r="F46" t="s">
        <v>1865</v>
      </c>
    </row>
    <row r="47" spans="1:6" x14ac:dyDescent="0.35">
      <c r="A47" t="s">
        <v>3502</v>
      </c>
      <c r="B47" t="s">
        <v>3503</v>
      </c>
      <c r="C47" t="s">
        <v>3374</v>
      </c>
      <c r="D47" t="s">
        <v>3504</v>
      </c>
      <c r="E47" s="2">
        <v>45348</v>
      </c>
      <c r="F47" t="s">
        <v>1865</v>
      </c>
    </row>
    <row r="48" spans="1:6" x14ac:dyDescent="0.35">
      <c r="A48" t="s">
        <v>3505</v>
      </c>
      <c r="B48" t="s">
        <v>3506</v>
      </c>
      <c r="C48" t="s">
        <v>3383</v>
      </c>
      <c r="D48" t="s">
        <v>3507</v>
      </c>
      <c r="E48" s="2">
        <v>44684</v>
      </c>
      <c r="F48" t="s">
        <v>1865</v>
      </c>
    </row>
    <row r="49" spans="1:6" x14ac:dyDescent="0.35">
      <c r="A49" t="s">
        <v>3508</v>
      </c>
      <c r="B49" t="s">
        <v>3509</v>
      </c>
      <c r="C49" t="s">
        <v>3374</v>
      </c>
      <c r="D49" t="s">
        <v>3510</v>
      </c>
      <c r="E49" s="2">
        <v>45348</v>
      </c>
      <c r="F49" t="s">
        <v>1884</v>
      </c>
    </row>
    <row r="50" spans="1:6" x14ac:dyDescent="0.35">
      <c r="A50" t="s">
        <v>3511</v>
      </c>
      <c r="B50" t="s">
        <v>3512</v>
      </c>
      <c r="C50" t="s">
        <v>3383</v>
      </c>
      <c r="D50" t="s">
        <v>3513</v>
      </c>
      <c r="E50" s="2">
        <v>46328</v>
      </c>
      <c r="F50" t="s">
        <v>1884</v>
      </c>
    </row>
    <row r="51" spans="1:6" x14ac:dyDescent="0.35">
      <c r="A51" t="s">
        <v>3514</v>
      </c>
      <c r="B51" t="s">
        <v>3515</v>
      </c>
      <c r="C51" t="s">
        <v>3370</v>
      </c>
      <c r="D51" t="s">
        <v>3516</v>
      </c>
      <c r="E51" s="2">
        <v>45471</v>
      </c>
      <c r="F51" t="s">
        <v>1873</v>
      </c>
    </row>
    <row r="52" spans="1:6" x14ac:dyDescent="0.35">
      <c r="A52" t="s">
        <v>3517</v>
      </c>
      <c r="B52" t="s">
        <v>3518</v>
      </c>
      <c r="C52" t="s">
        <v>3383</v>
      </c>
      <c r="D52" t="s">
        <v>3519</v>
      </c>
      <c r="E52" s="2">
        <v>44983</v>
      </c>
      <c r="F52" t="s">
        <v>1884</v>
      </c>
    </row>
    <row r="53" spans="1:6" x14ac:dyDescent="0.35">
      <c r="A53" t="s">
        <v>3520</v>
      </c>
      <c r="B53" t="s">
        <v>3521</v>
      </c>
      <c r="C53" t="s">
        <v>3383</v>
      </c>
      <c r="D53" t="s">
        <v>3522</v>
      </c>
      <c r="E53" s="2">
        <v>45913</v>
      </c>
      <c r="F53" t="s">
        <v>1884</v>
      </c>
    </row>
    <row r="54" spans="1:6" x14ac:dyDescent="0.35">
      <c r="A54" t="s">
        <v>3523</v>
      </c>
      <c r="B54" t="s">
        <v>3524</v>
      </c>
      <c r="C54" t="s">
        <v>3374</v>
      </c>
      <c r="D54" t="s">
        <v>3525</v>
      </c>
      <c r="E54" s="2">
        <v>44669</v>
      </c>
      <c r="F54" t="s">
        <v>1865</v>
      </c>
    </row>
    <row r="55" spans="1:6" x14ac:dyDescent="0.35">
      <c r="A55" t="s">
        <v>3526</v>
      </c>
      <c r="B55" t="s">
        <v>3527</v>
      </c>
      <c r="C55" t="s">
        <v>3383</v>
      </c>
      <c r="D55" t="s">
        <v>3528</v>
      </c>
      <c r="E55" s="2">
        <v>45671</v>
      </c>
      <c r="F55" t="s">
        <v>1865</v>
      </c>
    </row>
    <row r="56" spans="1:6" x14ac:dyDescent="0.35">
      <c r="A56" t="s">
        <v>3529</v>
      </c>
      <c r="B56" t="s">
        <v>3530</v>
      </c>
      <c r="C56" t="s">
        <v>3383</v>
      </c>
      <c r="D56" t="s">
        <v>3531</v>
      </c>
      <c r="E56" s="2">
        <v>45808</v>
      </c>
      <c r="F56" t="s">
        <v>1865</v>
      </c>
    </row>
    <row r="57" spans="1:6" x14ac:dyDescent="0.35">
      <c r="A57" t="s">
        <v>3532</v>
      </c>
      <c r="B57" t="s">
        <v>3533</v>
      </c>
      <c r="C57" t="s">
        <v>3370</v>
      </c>
      <c r="D57" t="s">
        <v>3534</v>
      </c>
      <c r="E57" s="2">
        <v>46221</v>
      </c>
      <c r="F57" t="s">
        <v>1871</v>
      </c>
    </row>
    <row r="58" spans="1:6" x14ac:dyDescent="0.35">
      <c r="A58" t="s">
        <v>3535</v>
      </c>
      <c r="B58" t="s">
        <v>3536</v>
      </c>
      <c r="C58" t="s">
        <v>3383</v>
      </c>
      <c r="D58" t="s">
        <v>3537</v>
      </c>
      <c r="E58" s="2">
        <v>45260</v>
      </c>
      <c r="F58" t="s">
        <v>1884</v>
      </c>
    </row>
    <row r="59" spans="1:6" x14ac:dyDescent="0.35">
      <c r="A59" t="s">
        <v>3538</v>
      </c>
      <c r="B59" t="s">
        <v>3539</v>
      </c>
      <c r="C59" t="s">
        <v>3370</v>
      </c>
      <c r="D59" t="s">
        <v>3540</v>
      </c>
      <c r="E59" s="2">
        <v>46164</v>
      </c>
      <c r="F59" t="s">
        <v>1873</v>
      </c>
    </row>
    <row r="60" spans="1:6" x14ac:dyDescent="0.35">
      <c r="A60" t="s">
        <v>3541</v>
      </c>
      <c r="B60" t="s">
        <v>3542</v>
      </c>
      <c r="C60" t="s">
        <v>3383</v>
      </c>
      <c r="D60" t="s">
        <v>3543</v>
      </c>
      <c r="E60" s="2">
        <v>45695</v>
      </c>
      <c r="F60" t="s">
        <v>1884</v>
      </c>
    </row>
    <row r="61" spans="1:6" x14ac:dyDescent="0.35">
      <c r="A61" t="s">
        <v>3544</v>
      </c>
      <c r="B61" t="s">
        <v>212</v>
      </c>
      <c r="C61" t="s">
        <v>3374</v>
      </c>
      <c r="D61" t="s">
        <v>3545</v>
      </c>
      <c r="E61" s="2">
        <v>45950</v>
      </c>
      <c r="F61" t="s">
        <v>1865</v>
      </c>
    </row>
    <row r="62" spans="1:6" x14ac:dyDescent="0.35">
      <c r="A62" t="s">
        <v>3546</v>
      </c>
      <c r="B62" t="s">
        <v>3547</v>
      </c>
      <c r="C62" t="s">
        <v>3374</v>
      </c>
      <c r="D62" t="s">
        <v>3548</v>
      </c>
      <c r="E62" s="2">
        <v>45511</v>
      </c>
      <c r="F62" t="s">
        <v>1884</v>
      </c>
    </row>
    <row r="63" spans="1:6" x14ac:dyDescent="0.35">
      <c r="A63" t="s">
        <v>3549</v>
      </c>
      <c r="B63" t="s">
        <v>3550</v>
      </c>
      <c r="C63" t="s">
        <v>3374</v>
      </c>
      <c r="D63" t="s">
        <v>3551</v>
      </c>
      <c r="E63" s="2">
        <v>46034</v>
      </c>
      <c r="F63" t="s">
        <v>1865</v>
      </c>
    </row>
    <row r="64" spans="1:6" x14ac:dyDescent="0.35">
      <c r="A64" t="s">
        <v>3552</v>
      </c>
      <c r="B64" t="s">
        <v>3553</v>
      </c>
      <c r="C64" t="s">
        <v>3383</v>
      </c>
      <c r="D64" t="s">
        <v>3554</v>
      </c>
      <c r="E64" s="2">
        <v>45342</v>
      </c>
      <c r="F64" t="s">
        <v>1884</v>
      </c>
    </row>
    <row r="65" spans="1:6" x14ac:dyDescent="0.35">
      <c r="A65" t="s">
        <v>3555</v>
      </c>
      <c r="B65" t="s">
        <v>3556</v>
      </c>
      <c r="C65" t="s">
        <v>3374</v>
      </c>
      <c r="D65" t="s">
        <v>3557</v>
      </c>
      <c r="E65" s="2">
        <v>45049</v>
      </c>
      <c r="F65" t="s">
        <v>1871</v>
      </c>
    </row>
    <row r="66" spans="1:6" x14ac:dyDescent="0.35">
      <c r="A66" t="s">
        <v>3558</v>
      </c>
      <c r="B66" t="s">
        <v>641</v>
      </c>
      <c r="C66" t="s">
        <v>3383</v>
      </c>
      <c r="D66" t="s">
        <v>3559</v>
      </c>
      <c r="E66" s="2">
        <v>45136</v>
      </c>
      <c r="F66" t="s">
        <v>1865</v>
      </c>
    </row>
    <row r="67" spans="1:6" x14ac:dyDescent="0.35">
      <c r="A67" t="s">
        <v>3560</v>
      </c>
      <c r="B67" t="s">
        <v>3561</v>
      </c>
      <c r="C67" t="s">
        <v>3383</v>
      </c>
      <c r="D67" t="s">
        <v>3562</v>
      </c>
      <c r="E67" s="2">
        <v>45073</v>
      </c>
      <c r="F67" t="s">
        <v>1865</v>
      </c>
    </row>
    <row r="68" spans="1:6" x14ac:dyDescent="0.35">
      <c r="A68" t="s">
        <v>3563</v>
      </c>
      <c r="B68" t="s">
        <v>3564</v>
      </c>
      <c r="C68" t="s">
        <v>3370</v>
      </c>
      <c r="D68" t="s">
        <v>3565</v>
      </c>
      <c r="E68" s="2">
        <v>45731</v>
      </c>
      <c r="F68" t="s">
        <v>1884</v>
      </c>
    </row>
    <row r="69" spans="1:6" x14ac:dyDescent="0.35">
      <c r="A69" t="s">
        <v>3566</v>
      </c>
      <c r="B69" t="s">
        <v>3567</v>
      </c>
      <c r="C69" t="s">
        <v>3383</v>
      </c>
      <c r="D69" t="s">
        <v>3568</v>
      </c>
      <c r="E69" s="2">
        <v>45822</v>
      </c>
      <c r="F69" t="s">
        <v>1865</v>
      </c>
    </row>
    <row r="70" spans="1:6" x14ac:dyDescent="0.35">
      <c r="A70" t="s">
        <v>3569</v>
      </c>
      <c r="B70" t="s">
        <v>3570</v>
      </c>
      <c r="C70" t="s">
        <v>3370</v>
      </c>
      <c r="D70" t="s">
        <v>3571</v>
      </c>
      <c r="E70" s="2">
        <v>45112</v>
      </c>
      <c r="F70" t="s">
        <v>1865</v>
      </c>
    </row>
    <row r="71" spans="1:6" x14ac:dyDescent="0.35">
      <c r="A71" t="s">
        <v>3572</v>
      </c>
      <c r="B71" t="s">
        <v>3573</v>
      </c>
      <c r="C71" t="s">
        <v>3374</v>
      </c>
      <c r="D71" t="s">
        <v>3574</v>
      </c>
      <c r="E71" s="2">
        <v>46221</v>
      </c>
      <c r="F71" t="s">
        <v>1873</v>
      </c>
    </row>
    <row r="72" spans="1:6" x14ac:dyDescent="0.35">
      <c r="A72" t="s">
        <v>3575</v>
      </c>
      <c r="B72" t="s">
        <v>3576</v>
      </c>
      <c r="C72" t="s">
        <v>3383</v>
      </c>
      <c r="D72" t="s">
        <v>3577</v>
      </c>
      <c r="E72" s="2">
        <v>45190</v>
      </c>
      <c r="F72" t="s">
        <v>1865</v>
      </c>
    </row>
    <row r="73" spans="1:6" x14ac:dyDescent="0.35">
      <c r="A73" t="s">
        <v>3578</v>
      </c>
      <c r="B73" t="s">
        <v>3579</v>
      </c>
      <c r="C73" t="s">
        <v>3370</v>
      </c>
      <c r="D73" t="s">
        <v>3580</v>
      </c>
      <c r="E73" s="2">
        <v>46297</v>
      </c>
      <c r="F73" t="s">
        <v>1871</v>
      </c>
    </row>
    <row r="74" spans="1:6" x14ac:dyDescent="0.35">
      <c r="A74" t="s">
        <v>3581</v>
      </c>
      <c r="B74" t="s">
        <v>881</v>
      </c>
      <c r="C74" t="s">
        <v>3370</v>
      </c>
      <c r="D74" t="s">
        <v>3582</v>
      </c>
      <c r="E74" s="2">
        <v>45509</v>
      </c>
      <c r="F74" t="s">
        <v>1873</v>
      </c>
    </row>
    <row r="75" spans="1:6" x14ac:dyDescent="0.35">
      <c r="A75" t="s">
        <v>3583</v>
      </c>
      <c r="B75" t="s">
        <v>3584</v>
      </c>
      <c r="C75" t="s">
        <v>3370</v>
      </c>
      <c r="D75" t="s">
        <v>3585</v>
      </c>
      <c r="E75" s="2">
        <v>44580</v>
      </c>
      <c r="F75" t="s">
        <v>1884</v>
      </c>
    </row>
    <row r="76" spans="1:6" x14ac:dyDescent="0.35">
      <c r="A76" t="s">
        <v>3586</v>
      </c>
      <c r="B76" t="s">
        <v>3587</v>
      </c>
      <c r="C76" t="s">
        <v>3383</v>
      </c>
      <c r="D76" t="s">
        <v>3588</v>
      </c>
      <c r="E76" s="2">
        <v>45296</v>
      </c>
      <c r="F76" t="s">
        <v>1884</v>
      </c>
    </row>
    <row r="77" spans="1:6" x14ac:dyDescent="0.35">
      <c r="A77" t="s">
        <v>3589</v>
      </c>
      <c r="B77" t="s">
        <v>3590</v>
      </c>
      <c r="C77" t="s">
        <v>3374</v>
      </c>
      <c r="D77" t="s">
        <v>3591</v>
      </c>
      <c r="E77" s="2">
        <v>46291</v>
      </c>
      <c r="F77" t="s">
        <v>1871</v>
      </c>
    </row>
    <row r="78" spans="1:6" x14ac:dyDescent="0.35">
      <c r="A78" t="s">
        <v>3592</v>
      </c>
      <c r="B78" t="s">
        <v>3593</v>
      </c>
      <c r="C78" t="s">
        <v>3370</v>
      </c>
      <c r="D78" t="s">
        <v>3594</v>
      </c>
      <c r="E78" s="2">
        <v>44681</v>
      </c>
      <c r="F78" t="s">
        <v>1873</v>
      </c>
    </row>
    <row r="79" spans="1:6" x14ac:dyDescent="0.35">
      <c r="A79" t="s">
        <v>3595</v>
      </c>
      <c r="B79" t="s">
        <v>3596</v>
      </c>
      <c r="C79" t="s">
        <v>3370</v>
      </c>
      <c r="D79" t="s">
        <v>3597</v>
      </c>
      <c r="E79" s="2">
        <v>45811</v>
      </c>
      <c r="F79" t="s">
        <v>1865</v>
      </c>
    </row>
    <row r="80" spans="1:6" x14ac:dyDescent="0.35">
      <c r="A80" t="s">
        <v>3598</v>
      </c>
      <c r="B80" t="s">
        <v>3599</v>
      </c>
      <c r="C80" t="s">
        <v>3383</v>
      </c>
      <c r="D80" t="s">
        <v>3600</v>
      </c>
      <c r="E80" s="2">
        <v>45464</v>
      </c>
      <c r="F80" t="s">
        <v>1871</v>
      </c>
    </row>
    <row r="81" spans="1:6" x14ac:dyDescent="0.35">
      <c r="A81" t="s">
        <v>3601</v>
      </c>
      <c r="B81" t="s">
        <v>3602</v>
      </c>
      <c r="C81" t="s">
        <v>3370</v>
      </c>
      <c r="D81" t="s">
        <v>3603</v>
      </c>
      <c r="E81" s="2">
        <v>46130</v>
      </c>
      <c r="F81" t="s">
        <v>1865</v>
      </c>
    </row>
    <row r="82" spans="1:6" x14ac:dyDescent="0.35">
      <c r="A82" t="s">
        <v>3604</v>
      </c>
      <c r="B82" t="s">
        <v>3054</v>
      </c>
      <c r="C82" t="s">
        <v>3370</v>
      </c>
      <c r="D82" t="s">
        <v>3605</v>
      </c>
      <c r="E82" s="2">
        <v>46341</v>
      </c>
      <c r="F82" t="s">
        <v>1884</v>
      </c>
    </row>
    <row r="83" spans="1:6" x14ac:dyDescent="0.35">
      <c r="A83" t="s">
        <v>3606</v>
      </c>
      <c r="B83" t="s">
        <v>3607</v>
      </c>
      <c r="C83" t="s">
        <v>3383</v>
      </c>
      <c r="D83" t="s">
        <v>3608</v>
      </c>
      <c r="E83" s="2">
        <v>45027</v>
      </c>
      <c r="F83" t="s">
        <v>1871</v>
      </c>
    </row>
    <row r="84" spans="1:6" x14ac:dyDescent="0.35">
      <c r="A84" t="s">
        <v>3609</v>
      </c>
      <c r="B84" t="s">
        <v>3610</v>
      </c>
      <c r="C84" t="s">
        <v>3383</v>
      </c>
      <c r="D84" t="s">
        <v>3611</v>
      </c>
      <c r="E84" s="2">
        <v>46346</v>
      </c>
      <c r="F84" t="s">
        <v>1873</v>
      </c>
    </row>
    <row r="85" spans="1:6" x14ac:dyDescent="0.35">
      <c r="A85" t="s">
        <v>3612</v>
      </c>
      <c r="B85" t="s">
        <v>3613</v>
      </c>
      <c r="C85" t="s">
        <v>3383</v>
      </c>
      <c r="D85" t="s">
        <v>3614</v>
      </c>
      <c r="E85" s="2">
        <v>44796</v>
      </c>
      <c r="F85" t="s">
        <v>1873</v>
      </c>
    </row>
    <row r="86" spans="1:6" x14ac:dyDescent="0.35">
      <c r="A86" t="s">
        <v>3615</v>
      </c>
      <c r="B86" t="s">
        <v>3616</v>
      </c>
      <c r="C86" t="s">
        <v>3383</v>
      </c>
      <c r="D86" t="s">
        <v>3617</v>
      </c>
      <c r="E86" s="2">
        <v>45963</v>
      </c>
      <c r="F86" t="s">
        <v>1884</v>
      </c>
    </row>
    <row r="87" spans="1:6" x14ac:dyDescent="0.35">
      <c r="A87" t="s">
        <v>3618</v>
      </c>
      <c r="B87" t="s">
        <v>3619</v>
      </c>
      <c r="C87" t="s">
        <v>3374</v>
      </c>
      <c r="D87" t="s">
        <v>3620</v>
      </c>
      <c r="E87" s="2">
        <v>45211</v>
      </c>
      <c r="F87" t="s">
        <v>1873</v>
      </c>
    </row>
    <row r="88" spans="1:6" x14ac:dyDescent="0.35">
      <c r="A88" t="s">
        <v>3621</v>
      </c>
      <c r="B88" t="s">
        <v>3622</v>
      </c>
      <c r="C88" t="s">
        <v>3374</v>
      </c>
      <c r="D88" t="s">
        <v>3623</v>
      </c>
      <c r="E88" s="2">
        <v>46031</v>
      </c>
      <c r="F88" t="s">
        <v>1871</v>
      </c>
    </row>
    <row r="89" spans="1:6" x14ac:dyDescent="0.35">
      <c r="A89" t="s">
        <v>3624</v>
      </c>
      <c r="B89" t="s">
        <v>3625</v>
      </c>
      <c r="C89" t="s">
        <v>3383</v>
      </c>
      <c r="D89" t="s">
        <v>3626</v>
      </c>
      <c r="E89" s="2">
        <v>46025</v>
      </c>
      <c r="F89" t="s">
        <v>1865</v>
      </c>
    </row>
    <row r="90" spans="1:6" x14ac:dyDescent="0.35">
      <c r="A90" t="s">
        <v>3627</v>
      </c>
      <c r="B90" t="s">
        <v>3628</v>
      </c>
      <c r="C90" t="s">
        <v>3370</v>
      </c>
      <c r="D90" t="s">
        <v>3629</v>
      </c>
      <c r="E90" s="2">
        <v>44595</v>
      </c>
      <c r="F90" t="s">
        <v>1865</v>
      </c>
    </row>
    <row r="91" spans="1:6" x14ac:dyDescent="0.35">
      <c r="A91" t="s">
        <v>3630</v>
      </c>
      <c r="B91" t="s">
        <v>3631</v>
      </c>
      <c r="C91" t="s">
        <v>3374</v>
      </c>
      <c r="D91" t="s">
        <v>3632</v>
      </c>
      <c r="E91" s="2">
        <v>46033</v>
      </c>
      <c r="F91" t="s">
        <v>1873</v>
      </c>
    </row>
    <row r="92" spans="1:6" x14ac:dyDescent="0.35">
      <c r="A92" t="s">
        <v>3633</v>
      </c>
      <c r="B92" t="s">
        <v>3634</v>
      </c>
      <c r="C92" t="s">
        <v>3374</v>
      </c>
      <c r="D92" t="s">
        <v>3635</v>
      </c>
      <c r="E92" s="2">
        <v>45042</v>
      </c>
      <c r="F92" t="s">
        <v>1865</v>
      </c>
    </row>
    <row r="93" spans="1:6" x14ac:dyDescent="0.35">
      <c r="A93" t="s">
        <v>3636</v>
      </c>
      <c r="B93" t="s">
        <v>3637</v>
      </c>
      <c r="C93" t="s">
        <v>3383</v>
      </c>
      <c r="D93" t="s">
        <v>3638</v>
      </c>
      <c r="E93" s="2">
        <v>44720</v>
      </c>
      <c r="F93" t="s">
        <v>1884</v>
      </c>
    </row>
    <row r="94" spans="1:6" x14ac:dyDescent="0.35">
      <c r="A94" t="s">
        <v>3639</v>
      </c>
      <c r="B94" t="s">
        <v>3640</v>
      </c>
      <c r="C94" t="s">
        <v>3383</v>
      </c>
      <c r="D94" t="s">
        <v>3641</v>
      </c>
      <c r="E94" s="2">
        <v>45608</v>
      </c>
      <c r="F94" t="s">
        <v>1873</v>
      </c>
    </row>
    <row r="95" spans="1:6" x14ac:dyDescent="0.35">
      <c r="A95" t="s">
        <v>3642</v>
      </c>
      <c r="B95" t="s">
        <v>3643</v>
      </c>
      <c r="C95" t="s">
        <v>3383</v>
      </c>
      <c r="D95" t="s">
        <v>3644</v>
      </c>
      <c r="E95" s="2">
        <v>44979</v>
      </c>
      <c r="F95" t="s">
        <v>1865</v>
      </c>
    </row>
    <row r="96" spans="1:6" x14ac:dyDescent="0.35">
      <c r="A96" t="s">
        <v>3645</v>
      </c>
      <c r="B96" t="s">
        <v>3646</v>
      </c>
      <c r="C96" t="s">
        <v>3374</v>
      </c>
      <c r="D96" t="s">
        <v>3647</v>
      </c>
      <c r="E96" s="2">
        <v>45322</v>
      </c>
      <c r="F96" t="s">
        <v>1884</v>
      </c>
    </row>
    <row r="97" spans="1:6" x14ac:dyDescent="0.35">
      <c r="A97" t="s">
        <v>3648</v>
      </c>
      <c r="B97" t="s">
        <v>3649</v>
      </c>
      <c r="C97" t="s">
        <v>3383</v>
      </c>
      <c r="D97" t="s">
        <v>3650</v>
      </c>
      <c r="E97" s="2">
        <v>45876</v>
      </c>
      <c r="F97" t="s">
        <v>1884</v>
      </c>
    </row>
    <row r="98" spans="1:6" x14ac:dyDescent="0.35">
      <c r="A98" t="s">
        <v>3651</v>
      </c>
      <c r="B98" t="s">
        <v>3652</v>
      </c>
      <c r="C98" t="s">
        <v>3370</v>
      </c>
      <c r="D98" t="s">
        <v>3653</v>
      </c>
      <c r="E98" s="2">
        <v>44855</v>
      </c>
      <c r="F98" t="s">
        <v>1873</v>
      </c>
    </row>
    <row r="99" spans="1:6" x14ac:dyDescent="0.35">
      <c r="A99" t="s">
        <v>3654</v>
      </c>
      <c r="B99" t="s">
        <v>3655</v>
      </c>
      <c r="C99" t="s">
        <v>3370</v>
      </c>
      <c r="D99" t="s">
        <v>3656</v>
      </c>
      <c r="E99" s="2">
        <v>45805</v>
      </c>
      <c r="F99" t="s">
        <v>1865</v>
      </c>
    </row>
    <row r="100" spans="1:6" x14ac:dyDescent="0.35">
      <c r="A100" t="s">
        <v>3657</v>
      </c>
      <c r="B100" t="s">
        <v>3658</v>
      </c>
      <c r="C100" t="s">
        <v>3370</v>
      </c>
      <c r="D100" t="s">
        <v>3659</v>
      </c>
      <c r="E100" s="2">
        <v>45397</v>
      </c>
      <c r="F100" t="s">
        <v>1865</v>
      </c>
    </row>
    <row r="101" spans="1:6" x14ac:dyDescent="0.35">
      <c r="A101" t="s">
        <v>3660</v>
      </c>
      <c r="B101" t="s">
        <v>3661</v>
      </c>
      <c r="C101" t="s">
        <v>3370</v>
      </c>
      <c r="D101" t="s">
        <v>3662</v>
      </c>
      <c r="E101" s="2">
        <v>45164</v>
      </c>
      <c r="F101" t="s">
        <v>1873</v>
      </c>
    </row>
    <row r="102" spans="1:6" x14ac:dyDescent="0.35">
      <c r="A102" t="s">
        <v>3663</v>
      </c>
      <c r="B102" t="s">
        <v>3664</v>
      </c>
      <c r="C102" t="s">
        <v>3383</v>
      </c>
      <c r="D102" t="s">
        <v>3665</v>
      </c>
      <c r="E102" s="2">
        <v>45316</v>
      </c>
      <c r="F102" t="s">
        <v>1873</v>
      </c>
    </row>
    <row r="103" spans="1:6" x14ac:dyDescent="0.35">
      <c r="A103" t="s">
        <v>3666</v>
      </c>
      <c r="B103" t="s">
        <v>3667</v>
      </c>
      <c r="C103" t="s">
        <v>3370</v>
      </c>
      <c r="D103" t="s">
        <v>3668</v>
      </c>
      <c r="E103" s="2">
        <v>44869</v>
      </c>
      <c r="F103" t="s">
        <v>1873</v>
      </c>
    </row>
    <row r="104" spans="1:6" x14ac:dyDescent="0.35">
      <c r="A104" t="s">
        <v>3669</v>
      </c>
      <c r="B104" t="s">
        <v>3670</v>
      </c>
      <c r="C104" t="s">
        <v>3383</v>
      </c>
      <c r="D104" t="s">
        <v>3671</v>
      </c>
      <c r="E104" s="2">
        <v>45809</v>
      </c>
      <c r="F104" t="s">
        <v>1871</v>
      </c>
    </row>
    <row r="105" spans="1:6" x14ac:dyDescent="0.35">
      <c r="A105" t="s">
        <v>3672</v>
      </c>
      <c r="B105" t="s">
        <v>3673</v>
      </c>
      <c r="C105" t="s">
        <v>3370</v>
      </c>
      <c r="D105" t="s">
        <v>3674</v>
      </c>
      <c r="E105" s="2">
        <v>45608</v>
      </c>
      <c r="F105" t="s">
        <v>1865</v>
      </c>
    </row>
    <row r="106" spans="1:6" x14ac:dyDescent="0.35">
      <c r="A106" t="s">
        <v>3675</v>
      </c>
      <c r="B106" t="s">
        <v>3676</v>
      </c>
      <c r="C106" t="s">
        <v>3383</v>
      </c>
      <c r="D106" t="s">
        <v>3677</v>
      </c>
      <c r="E106" s="2">
        <v>45337</v>
      </c>
      <c r="F106" t="s">
        <v>1873</v>
      </c>
    </row>
    <row r="107" spans="1:6" x14ac:dyDescent="0.35">
      <c r="A107" t="s">
        <v>3678</v>
      </c>
      <c r="B107" t="s">
        <v>3679</v>
      </c>
      <c r="C107" t="s">
        <v>3374</v>
      </c>
      <c r="D107" t="s">
        <v>3680</v>
      </c>
      <c r="E107" s="2">
        <v>46049</v>
      </c>
      <c r="F107" t="s">
        <v>1871</v>
      </c>
    </row>
    <row r="108" spans="1:6" x14ac:dyDescent="0.35">
      <c r="A108" t="s">
        <v>3681</v>
      </c>
      <c r="B108" t="s">
        <v>3682</v>
      </c>
      <c r="C108" t="s">
        <v>3370</v>
      </c>
      <c r="D108" t="s">
        <v>3683</v>
      </c>
      <c r="E108" s="2">
        <v>46123</v>
      </c>
      <c r="F108" t="s">
        <v>1873</v>
      </c>
    </row>
    <row r="109" spans="1:6" x14ac:dyDescent="0.35">
      <c r="A109" t="s">
        <v>3684</v>
      </c>
      <c r="B109" t="s">
        <v>3685</v>
      </c>
      <c r="C109" t="s">
        <v>3383</v>
      </c>
      <c r="D109" t="s">
        <v>3686</v>
      </c>
      <c r="E109" s="2">
        <v>45021</v>
      </c>
      <c r="F109" t="s">
        <v>1884</v>
      </c>
    </row>
    <row r="110" spans="1:6" x14ac:dyDescent="0.35">
      <c r="A110" t="s">
        <v>3687</v>
      </c>
      <c r="B110" t="s">
        <v>3688</v>
      </c>
      <c r="C110" t="s">
        <v>3374</v>
      </c>
      <c r="D110" t="s">
        <v>3689</v>
      </c>
      <c r="E110" s="2">
        <v>46063</v>
      </c>
      <c r="F110" t="s">
        <v>1873</v>
      </c>
    </row>
    <row r="111" spans="1:6" x14ac:dyDescent="0.35">
      <c r="A111" t="s">
        <v>3690</v>
      </c>
      <c r="B111" t="s">
        <v>3691</v>
      </c>
      <c r="C111" t="s">
        <v>3374</v>
      </c>
      <c r="D111" t="s">
        <v>3692</v>
      </c>
      <c r="E111" s="2">
        <v>46196</v>
      </c>
      <c r="F111" t="s">
        <v>1873</v>
      </c>
    </row>
    <row r="112" spans="1:6" x14ac:dyDescent="0.35">
      <c r="A112" t="s">
        <v>3693</v>
      </c>
      <c r="B112" t="s">
        <v>3694</v>
      </c>
      <c r="C112" t="s">
        <v>3374</v>
      </c>
      <c r="D112" t="s">
        <v>3695</v>
      </c>
      <c r="E112" s="2">
        <v>45529</v>
      </c>
      <c r="F112" t="s">
        <v>1884</v>
      </c>
    </row>
    <row r="113" spans="1:6" x14ac:dyDescent="0.35">
      <c r="A113" t="s">
        <v>3696</v>
      </c>
      <c r="B113" t="s">
        <v>3697</v>
      </c>
      <c r="C113" t="s">
        <v>3370</v>
      </c>
      <c r="D113" t="s">
        <v>3698</v>
      </c>
      <c r="E113" s="2">
        <v>45113</v>
      </c>
      <c r="F113" t="s">
        <v>1871</v>
      </c>
    </row>
    <row r="114" spans="1:6" x14ac:dyDescent="0.35">
      <c r="A114" t="s">
        <v>3699</v>
      </c>
      <c r="B114" t="s">
        <v>3700</v>
      </c>
      <c r="C114" t="s">
        <v>3374</v>
      </c>
      <c r="D114" t="s">
        <v>3701</v>
      </c>
      <c r="E114" s="2">
        <v>45162</v>
      </c>
      <c r="F114" t="s">
        <v>1871</v>
      </c>
    </row>
    <row r="115" spans="1:6" x14ac:dyDescent="0.35">
      <c r="A115" t="s">
        <v>3702</v>
      </c>
      <c r="B115" t="s">
        <v>3703</v>
      </c>
      <c r="C115" t="s">
        <v>3370</v>
      </c>
      <c r="D115" t="s">
        <v>3704</v>
      </c>
      <c r="E115" s="2">
        <v>45059</v>
      </c>
      <c r="F115" t="s">
        <v>1865</v>
      </c>
    </row>
    <row r="116" spans="1:6" x14ac:dyDescent="0.35">
      <c r="A116" t="s">
        <v>3705</v>
      </c>
      <c r="B116" t="s">
        <v>3706</v>
      </c>
      <c r="C116" t="s">
        <v>3383</v>
      </c>
      <c r="D116" t="s">
        <v>3707</v>
      </c>
      <c r="E116" s="2">
        <v>45495</v>
      </c>
      <c r="F116" t="s">
        <v>1865</v>
      </c>
    </row>
    <row r="117" spans="1:6" x14ac:dyDescent="0.35">
      <c r="A117" t="s">
        <v>3708</v>
      </c>
      <c r="B117" t="s">
        <v>3709</v>
      </c>
      <c r="C117" t="s">
        <v>3374</v>
      </c>
      <c r="D117" t="s">
        <v>3710</v>
      </c>
      <c r="E117" s="2">
        <v>44798</v>
      </c>
      <c r="F117" t="s">
        <v>1871</v>
      </c>
    </row>
    <row r="118" spans="1:6" x14ac:dyDescent="0.35">
      <c r="A118" t="s">
        <v>3711</v>
      </c>
      <c r="B118" t="s">
        <v>3712</v>
      </c>
      <c r="C118" t="s">
        <v>3370</v>
      </c>
      <c r="D118" t="s">
        <v>3713</v>
      </c>
      <c r="E118" s="2">
        <v>46062</v>
      </c>
      <c r="F118" t="s">
        <v>1884</v>
      </c>
    </row>
    <row r="119" spans="1:6" x14ac:dyDescent="0.35">
      <c r="A119" t="s">
        <v>3714</v>
      </c>
      <c r="B119" t="s">
        <v>3715</v>
      </c>
      <c r="C119" t="s">
        <v>3370</v>
      </c>
      <c r="D119" t="s">
        <v>3716</v>
      </c>
      <c r="E119" s="2">
        <v>44725</v>
      </c>
      <c r="F119" t="s">
        <v>1865</v>
      </c>
    </row>
    <row r="120" spans="1:6" x14ac:dyDescent="0.35">
      <c r="A120" t="s">
        <v>3717</v>
      </c>
      <c r="B120" t="s">
        <v>3718</v>
      </c>
      <c r="C120" t="s">
        <v>3374</v>
      </c>
      <c r="D120" t="s">
        <v>3719</v>
      </c>
      <c r="E120" s="2">
        <v>45597</v>
      </c>
      <c r="F120" t="s">
        <v>1873</v>
      </c>
    </row>
    <row r="121" spans="1:6" x14ac:dyDescent="0.35">
      <c r="A121" t="s">
        <v>3720</v>
      </c>
      <c r="B121" t="s">
        <v>3721</v>
      </c>
      <c r="C121" t="s">
        <v>3370</v>
      </c>
      <c r="D121" t="s">
        <v>3722</v>
      </c>
      <c r="E121" s="2">
        <v>45900</v>
      </c>
      <c r="F121" t="s">
        <v>1884</v>
      </c>
    </row>
    <row r="122" spans="1:6" x14ac:dyDescent="0.35">
      <c r="A122" t="s">
        <v>3723</v>
      </c>
      <c r="B122" t="s">
        <v>3724</v>
      </c>
      <c r="C122" t="s">
        <v>3374</v>
      </c>
      <c r="D122" t="s">
        <v>3725</v>
      </c>
      <c r="E122" s="2">
        <v>45033</v>
      </c>
      <c r="F122" t="s">
        <v>1884</v>
      </c>
    </row>
    <row r="123" spans="1:6" x14ac:dyDescent="0.35">
      <c r="A123" t="s">
        <v>3726</v>
      </c>
      <c r="B123" t="s">
        <v>3727</v>
      </c>
      <c r="C123" t="s">
        <v>3370</v>
      </c>
      <c r="D123" t="s">
        <v>3728</v>
      </c>
      <c r="E123" s="2">
        <v>45032</v>
      </c>
      <c r="F123" t="s">
        <v>1871</v>
      </c>
    </row>
    <row r="124" spans="1:6" x14ac:dyDescent="0.35">
      <c r="A124" t="s">
        <v>3729</v>
      </c>
      <c r="B124" t="s">
        <v>3730</v>
      </c>
      <c r="C124" t="s">
        <v>3374</v>
      </c>
      <c r="D124" t="s">
        <v>3731</v>
      </c>
      <c r="E124" s="2">
        <v>45063</v>
      </c>
      <c r="F124" t="s">
        <v>1884</v>
      </c>
    </row>
    <row r="125" spans="1:6" x14ac:dyDescent="0.35">
      <c r="A125" t="s">
        <v>3732</v>
      </c>
      <c r="B125" t="s">
        <v>3733</v>
      </c>
      <c r="C125" t="s">
        <v>3374</v>
      </c>
      <c r="D125" t="s">
        <v>3734</v>
      </c>
      <c r="E125" s="2">
        <v>45759</v>
      </c>
      <c r="F125" t="s">
        <v>1871</v>
      </c>
    </row>
    <row r="126" spans="1:6" x14ac:dyDescent="0.35">
      <c r="A126" t="s">
        <v>3735</v>
      </c>
      <c r="B126" t="s">
        <v>3736</v>
      </c>
      <c r="C126" t="s">
        <v>3374</v>
      </c>
      <c r="D126" t="s">
        <v>3737</v>
      </c>
      <c r="E126" s="2">
        <v>45095</v>
      </c>
      <c r="F126" t="s">
        <v>1865</v>
      </c>
    </row>
    <row r="127" spans="1:6" x14ac:dyDescent="0.35">
      <c r="A127" t="s">
        <v>3738</v>
      </c>
      <c r="B127" t="s">
        <v>3739</v>
      </c>
      <c r="C127" t="s">
        <v>3370</v>
      </c>
      <c r="D127" t="s">
        <v>3740</v>
      </c>
      <c r="E127" s="2">
        <v>45204</v>
      </c>
      <c r="F127" t="s">
        <v>1873</v>
      </c>
    </row>
    <row r="128" spans="1:6" x14ac:dyDescent="0.35">
      <c r="A128" t="s">
        <v>3741</v>
      </c>
      <c r="B128" t="s">
        <v>3742</v>
      </c>
      <c r="C128" t="s">
        <v>3383</v>
      </c>
      <c r="D128" t="s">
        <v>3743</v>
      </c>
      <c r="E128" s="2">
        <v>45398</v>
      </c>
      <c r="F128" t="s">
        <v>1884</v>
      </c>
    </row>
    <row r="129" spans="1:6" x14ac:dyDescent="0.35">
      <c r="A129" t="s">
        <v>3744</v>
      </c>
      <c r="B129" t="s">
        <v>3745</v>
      </c>
      <c r="C129" t="s">
        <v>3374</v>
      </c>
      <c r="D129" t="s">
        <v>3746</v>
      </c>
      <c r="E129" s="2">
        <v>44865</v>
      </c>
      <c r="F129" t="s">
        <v>1884</v>
      </c>
    </row>
    <row r="130" spans="1:6" x14ac:dyDescent="0.35">
      <c r="A130" t="s">
        <v>3747</v>
      </c>
      <c r="B130" t="s">
        <v>3748</v>
      </c>
      <c r="C130" t="s">
        <v>3374</v>
      </c>
      <c r="D130" t="s">
        <v>3749</v>
      </c>
      <c r="E130" s="2">
        <v>46367</v>
      </c>
      <c r="F130" t="s">
        <v>1871</v>
      </c>
    </row>
    <row r="131" spans="1:6" x14ac:dyDescent="0.35">
      <c r="A131" t="s">
        <v>3750</v>
      </c>
      <c r="B131" t="s">
        <v>3751</v>
      </c>
      <c r="C131" t="s">
        <v>3383</v>
      </c>
      <c r="D131" t="s">
        <v>3752</v>
      </c>
      <c r="E131" s="2">
        <v>46356</v>
      </c>
      <c r="F131" t="s">
        <v>1884</v>
      </c>
    </row>
    <row r="132" spans="1:6" x14ac:dyDescent="0.35">
      <c r="A132" t="s">
        <v>3753</v>
      </c>
      <c r="B132" t="s">
        <v>3754</v>
      </c>
      <c r="C132" t="s">
        <v>3383</v>
      </c>
      <c r="D132" t="s">
        <v>3755</v>
      </c>
      <c r="E132" s="2">
        <v>44903</v>
      </c>
      <c r="F132" t="s">
        <v>1873</v>
      </c>
    </row>
    <row r="133" spans="1:6" x14ac:dyDescent="0.35">
      <c r="A133" t="s">
        <v>3756</v>
      </c>
      <c r="B133" t="s">
        <v>3757</v>
      </c>
      <c r="C133" t="s">
        <v>3370</v>
      </c>
      <c r="D133" t="s">
        <v>3758</v>
      </c>
      <c r="E133" s="2">
        <v>45101</v>
      </c>
      <c r="F133" t="s">
        <v>1884</v>
      </c>
    </row>
    <row r="134" spans="1:6" x14ac:dyDescent="0.35">
      <c r="A134" t="s">
        <v>3759</v>
      </c>
      <c r="B134" t="s">
        <v>3760</v>
      </c>
      <c r="C134" t="s">
        <v>3374</v>
      </c>
      <c r="D134" t="s">
        <v>3761</v>
      </c>
      <c r="E134" s="2">
        <v>44768</v>
      </c>
      <c r="F134" t="s">
        <v>1871</v>
      </c>
    </row>
    <row r="135" spans="1:6" x14ac:dyDescent="0.35">
      <c r="A135" t="s">
        <v>3762</v>
      </c>
      <c r="B135" t="s">
        <v>3763</v>
      </c>
      <c r="C135" t="s">
        <v>3383</v>
      </c>
      <c r="D135" t="s">
        <v>3764</v>
      </c>
      <c r="E135" s="2">
        <v>46269</v>
      </c>
      <c r="F135" t="s">
        <v>1884</v>
      </c>
    </row>
    <row r="136" spans="1:6" x14ac:dyDescent="0.35">
      <c r="A136" t="s">
        <v>3765</v>
      </c>
      <c r="B136" t="s">
        <v>3766</v>
      </c>
      <c r="C136" t="s">
        <v>3383</v>
      </c>
      <c r="D136" t="s">
        <v>3767</v>
      </c>
      <c r="E136" s="2">
        <v>45975</v>
      </c>
      <c r="F136" t="s">
        <v>1871</v>
      </c>
    </row>
    <row r="137" spans="1:6" x14ac:dyDescent="0.35">
      <c r="A137" t="s">
        <v>3768</v>
      </c>
      <c r="B137" t="s">
        <v>3769</v>
      </c>
      <c r="C137" t="s">
        <v>3383</v>
      </c>
      <c r="D137" t="s">
        <v>3770</v>
      </c>
      <c r="E137" s="2">
        <v>44833</v>
      </c>
      <c r="F137" t="s">
        <v>1884</v>
      </c>
    </row>
    <row r="138" spans="1:6" x14ac:dyDescent="0.35">
      <c r="A138" t="s">
        <v>3771</v>
      </c>
      <c r="B138" t="s">
        <v>3772</v>
      </c>
      <c r="C138" t="s">
        <v>3370</v>
      </c>
      <c r="D138" t="s">
        <v>3773</v>
      </c>
      <c r="E138" s="2">
        <v>45287</v>
      </c>
      <c r="F138" t="s">
        <v>1871</v>
      </c>
    </row>
    <row r="139" spans="1:6" x14ac:dyDescent="0.35">
      <c r="A139" t="s">
        <v>3774</v>
      </c>
      <c r="B139" t="s">
        <v>3775</v>
      </c>
      <c r="C139" t="s">
        <v>3370</v>
      </c>
      <c r="D139" t="s">
        <v>3776</v>
      </c>
      <c r="E139" s="2">
        <v>45989</v>
      </c>
      <c r="F139" t="s">
        <v>1871</v>
      </c>
    </row>
    <row r="140" spans="1:6" x14ac:dyDescent="0.35">
      <c r="A140" t="s">
        <v>3777</v>
      </c>
      <c r="B140" t="s">
        <v>487</v>
      </c>
      <c r="C140" t="s">
        <v>3374</v>
      </c>
      <c r="D140" t="s">
        <v>3778</v>
      </c>
      <c r="E140" s="2">
        <v>45162</v>
      </c>
      <c r="F140" t="s">
        <v>1873</v>
      </c>
    </row>
    <row r="141" spans="1:6" x14ac:dyDescent="0.35">
      <c r="A141" t="s">
        <v>3779</v>
      </c>
      <c r="B141" t="s">
        <v>3780</v>
      </c>
      <c r="C141" t="s">
        <v>3370</v>
      </c>
      <c r="D141" t="s">
        <v>3781</v>
      </c>
      <c r="E141" s="2">
        <v>46251</v>
      </c>
      <c r="F141" t="s">
        <v>1865</v>
      </c>
    </row>
    <row r="142" spans="1:6" x14ac:dyDescent="0.35">
      <c r="A142" t="s">
        <v>3782</v>
      </c>
      <c r="B142" t="s">
        <v>3783</v>
      </c>
      <c r="C142" t="s">
        <v>3374</v>
      </c>
      <c r="D142" t="s">
        <v>3784</v>
      </c>
      <c r="E142" s="2">
        <v>45808</v>
      </c>
      <c r="F142" t="s">
        <v>1873</v>
      </c>
    </row>
    <row r="143" spans="1:6" x14ac:dyDescent="0.35">
      <c r="A143" t="s">
        <v>3785</v>
      </c>
      <c r="B143" t="s">
        <v>3786</v>
      </c>
      <c r="C143" t="s">
        <v>3374</v>
      </c>
      <c r="D143" t="s">
        <v>3787</v>
      </c>
      <c r="E143" s="2">
        <v>44654</v>
      </c>
      <c r="F143" t="s">
        <v>1873</v>
      </c>
    </row>
    <row r="144" spans="1:6" x14ac:dyDescent="0.35">
      <c r="A144" t="s">
        <v>3788</v>
      </c>
      <c r="B144" t="s">
        <v>3789</v>
      </c>
      <c r="C144" t="s">
        <v>3374</v>
      </c>
      <c r="D144" t="s">
        <v>3790</v>
      </c>
      <c r="E144" s="2">
        <v>45288</v>
      </c>
      <c r="F144" t="s">
        <v>1884</v>
      </c>
    </row>
    <row r="145" spans="1:6" x14ac:dyDescent="0.35">
      <c r="A145" t="s">
        <v>3791</v>
      </c>
      <c r="B145" t="s">
        <v>3792</v>
      </c>
      <c r="C145" t="s">
        <v>3370</v>
      </c>
      <c r="D145" t="s">
        <v>3793</v>
      </c>
      <c r="E145" s="2">
        <v>45853</v>
      </c>
      <c r="F145" t="s">
        <v>1884</v>
      </c>
    </row>
    <row r="146" spans="1:6" x14ac:dyDescent="0.35">
      <c r="A146" t="s">
        <v>3794</v>
      </c>
      <c r="B146" t="s">
        <v>3795</v>
      </c>
      <c r="C146" t="s">
        <v>3374</v>
      </c>
      <c r="D146" t="s">
        <v>3796</v>
      </c>
      <c r="E146" s="2">
        <v>46271</v>
      </c>
      <c r="F146" t="s">
        <v>1884</v>
      </c>
    </row>
    <row r="147" spans="1:6" x14ac:dyDescent="0.35">
      <c r="A147" t="s">
        <v>3797</v>
      </c>
      <c r="B147" t="s">
        <v>3798</v>
      </c>
      <c r="C147" t="s">
        <v>3370</v>
      </c>
      <c r="D147" t="s">
        <v>3799</v>
      </c>
      <c r="E147" s="2">
        <v>46113</v>
      </c>
      <c r="F147" t="s">
        <v>1884</v>
      </c>
    </row>
    <row r="148" spans="1:6" x14ac:dyDescent="0.35">
      <c r="A148" t="s">
        <v>3800</v>
      </c>
      <c r="B148" t="s">
        <v>3801</v>
      </c>
      <c r="C148" t="s">
        <v>3374</v>
      </c>
      <c r="D148" t="s">
        <v>3802</v>
      </c>
      <c r="E148" s="2">
        <v>44837</v>
      </c>
      <c r="F148" t="s">
        <v>1871</v>
      </c>
    </row>
    <row r="149" spans="1:6" x14ac:dyDescent="0.35">
      <c r="A149" t="s">
        <v>3803</v>
      </c>
      <c r="B149" t="s">
        <v>3804</v>
      </c>
      <c r="C149" t="s">
        <v>3374</v>
      </c>
      <c r="D149" t="s">
        <v>3805</v>
      </c>
      <c r="E149" s="2">
        <v>46130</v>
      </c>
      <c r="F149" t="s">
        <v>1873</v>
      </c>
    </row>
    <row r="150" spans="1:6" x14ac:dyDescent="0.35">
      <c r="A150" t="s">
        <v>3806</v>
      </c>
      <c r="B150" t="s">
        <v>3807</v>
      </c>
      <c r="C150" t="s">
        <v>3383</v>
      </c>
      <c r="D150" t="s">
        <v>3808</v>
      </c>
      <c r="E150" s="2">
        <v>44577</v>
      </c>
      <c r="F150" t="s">
        <v>1865</v>
      </c>
    </row>
    <row r="151" spans="1:6" x14ac:dyDescent="0.35">
      <c r="A151" t="s">
        <v>3809</v>
      </c>
      <c r="B151" t="s">
        <v>3810</v>
      </c>
      <c r="C151" t="s">
        <v>3374</v>
      </c>
      <c r="D151" t="s">
        <v>3811</v>
      </c>
      <c r="E151" s="2">
        <v>45891</v>
      </c>
      <c r="F151" t="s">
        <v>1884</v>
      </c>
    </row>
    <row r="152" spans="1:6" x14ac:dyDescent="0.35">
      <c r="A152" t="s">
        <v>3812</v>
      </c>
      <c r="B152" t="s">
        <v>1759</v>
      </c>
      <c r="C152" t="s">
        <v>3370</v>
      </c>
      <c r="D152" t="s">
        <v>3813</v>
      </c>
      <c r="E152" s="2">
        <v>45218</v>
      </c>
      <c r="F152" t="s">
        <v>1884</v>
      </c>
    </row>
    <row r="153" spans="1:6" x14ac:dyDescent="0.35">
      <c r="A153" t="s">
        <v>3814</v>
      </c>
      <c r="B153" t="s">
        <v>3815</v>
      </c>
      <c r="C153" t="s">
        <v>3383</v>
      </c>
      <c r="D153" t="s">
        <v>3816</v>
      </c>
      <c r="E153" s="2">
        <v>45603</v>
      </c>
      <c r="F153" t="s">
        <v>1865</v>
      </c>
    </row>
    <row r="154" spans="1:6" x14ac:dyDescent="0.35">
      <c r="A154" t="s">
        <v>3817</v>
      </c>
      <c r="B154" t="s">
        <v>3818</v>
      </c>
      <c r="C154" t="s">
        <v>3383</v>
      </c>
      <c r="D154" t="s">
        <v>3819</v>
      </c>
      <c r="E154" s="2">
        <v>45037</v>
      </c>
      <c r="F154" t="s">
        <v>1865</v>
      </c>
    </row>
    <row r="155" spans="1:6" x14ac:dyDescent="0.35">
      <c r="A155" t="s">
        <v>3820</v>
      </c>
      <c r="B155" t="s">
        <v>3821</v>
      </c>
      <c r="C155" t="s">
        <v>3370</v>
      </c>
      <c r="D155" t="s">
        <v>3822</v>
      </c>
      <c r="E155" s="2">
        <v>45260</v>
      </c>
      <c r="F155" t="s">
        <v>1873</v>
      </c>
    </row>
    <row r="156" spans="1:6" x14ac:dyDescent="0.35">
      <c r="A156" t="s">
        <v>3823</v>
      </c>
      <c r="B156" t="s">
        <v>3824</v>
      </c>
      <c r="C156" t="s">
        <v>3374</v>
      </c>
      <c r="D156" t="s">
        <v>3825</v>
      </c>
      <c r="E156" s="2">
        <v>45622</v>
      </c>
      <c r="F156" t="s">
        <v>1884</v>
      </c>
    </row>
    <row r="157" spans="1:6" x14ac:dyDescent="0.35">
      <c r="A157" t="s">
        <v>3826</v>
      </c>
      <c r="B157" t="s">
        <v>3827</v>
      </c>
      <c r="C157" t="s">
        <v>3370</v>
      </c>
      <c r="D157" t="s">
        <v>3828</v>
      </c>
      <c r="E157" s="2">
        <v>45223</v>
      </c>
      <c r="F157" t="s">
        <v>1884</v>
      </c>
    </row>
    <row r="158" spans="1:6" x14ac:dyDescent="0.35">
      <c r="A158" t="s">
        <v>3829</v>
      </c>
      <c r="B158" t="s">
        <v>3830</v>
      </c>
      <c r="C158" t="s">
        <v>3370</v>
      </c>
      <c r="D158" t="s">
        <v>3831</v>
      </c>
      <c r="E158" s="2">
        <v>46112</v>
      </c>
      <c r="F158" t="s">
        <v>1871</v>
      </c>
    </row>
    <row r="159" spans="1:6" x14ac:dyDescent="0.35">
      <c r="A159" t="s">
        <v>3832</v>
      </c>
      <c r="B159" t="s">
        <v>3833</v>
      </c>
      <c r="C159" t="s">
        <v>3383</v>
      </c>
      <c r="D159" t="s">
        <v>3834</v>
      </c>
      <c r="E159" s="2">
        <v>44647</v>
      </c>
      <c r="F159" t="s">
        <v>1871</v>
      </c>
    </row>
    <row r="160" spans="1:6" x14ac:dyDescent="0.35">
      <c r="A160" t="s">
        <v>3835</v>
      </c>
      <c r="B160" t="s">
        <v>3836</v>
      </c>
      <c r="C160" t="s">
        <v>3370</v>
      </c>
      <c r="D160" t="s">
        <v>3837</v>
      </c>
      <c r="E160" s="2">
        <v>45625</v>
      </c>
      <c r="F160" t="s">
        <v>1865</v>
      </c>
    </row>
    <row r="161" spans="1:6" x14ac:dyDescent="0.35">
      <c r="A161" t="s">
        <v>3838</v>
      </c>
      <c r="B161" t="s">
        <v>3839</v>
      </c>
      <c r="C161" t="s">
        <v>3374</v>
      </c>
      <c r="D161" t="s">
        <v>3840</v>
      </c>
      <c r="E161" s="2">
        <v>46363</v>
      </c>
      <c r="F161" t="s">
        <v>1865</v>
      </c>
    </row>
    <row r="162" spans="1:6" x14ac:dyDescent="0.35">
      <c r="A162" t="s">
        <v>3841</v>
      </c>
      <c r="B162" t="s">
        <v>3842</v>
      </c>
      <c r="C162" t="s">
        <v>3383</v>
      </c>
      <c r="D162" t="s">
        <v>3843</v>
      </c>
      <c r="E162" s="2">
        <v>45273</v>
      </c>
      <c r="F162" t="s">
        <v>1865</v>
      </c>
    </row>
    <row r="163" spans="1:6" x14ac:dyDescent="0.35">
      <c r="A163" t="s">
        <v>3844</v>
      </c>
      <c r="B163" t="s">
        <v>3845</v>
      </c>
      <c r="C163" t="s">
        <v>3383</v>
      </c>
      <c r="D163" t="s">
        <v>3846</v>
      </c>
      <c r="E163" s="2">
        <v>44804</v>
      </c>
      <c r="F163" t="s">
        <v>1865</v>
      </c>
    </row>
    <row r="164" spans="1:6" x14ac:dyDescent="0.35">
      <c r="A164" t="s">
        <v>3847</v>
      </c>
      <c r="B164" t="s">
        <v>3848</v>
      </c>
      <c r="C164" t="s">
        <v>3370</v>
      </c>
      <c r="D164" t="s">
        <v>3849</v>
      </c>
      <c r="E164" s="2">
        <v>45558</v>
      </c>
      <c r="F164" t="s">
        <v>1884</v>
      </c>
    </row>
    <row r="165" spans="1:6" x14ac:dyDescent="0.35">
      <c r="A165" t="s">
        <v>3850</v>
      </c>
      <c r="B165" t="s">
        <v>3851</v>
      </c>
      <c r="C165" t="s">
        <v>3383</v>
      </c>
      <c r="D165" t="s">
        <v>3852</v>
      </c>
      <c r="E165" s="2">
        <v>46375</v>
      </c>
      <c r="F165" t="s">
        <v>1871</v>
      </c>
    </row>
    <row r="166" spans="1:6" x14ac:dyDescent="0.35">
      <c r="A166" t="s">
        <v>3853</v>
      </c>
      <c r="B166" t="s">
        <v>3395</v>
      </c>
      <c r="C166" t="s">
        <v>3370</v>
      </c>
      <c r="D166" t="s">
        <v>3854</v>
      </c>
      <c r="E166" s="2">
        <v>45093</v>
      </c>
      <c r="F166" t="s">
        <v>1873</v>
      </c>
    </row>
    <row r="167" spans="1:6" x14ac:dyDescent="0.35">
      <c r="A167" t="s">
        <v>3855</v>
      </c>
      <c r="B167" t="s">
        <v>3856</v>
      </c>
      <c r="C167" t="s">
        <v>3383</v>
      </c>
      <c r="D167" t="s">
        <v>3857</v>
      </c>
      <c r="E167" s="2">
        <v>45926</v>
      </c>
      <c r="F167" t="s">
        <v>1865</v>
      </c>
    </row>
    <row r="168" spans="1:6" x14ac:dyDescent="0.35">
      <c r="A168" t="s">
        <v>3858</v>
      </c>
      <c r="B168" t="s">
        <v>3859</v>
      </c>
      <c r="C168" t="s">
        <v>3383</v>
      </c>
      <c r="D168" t="s">
        <v>3860</v>
      </c>
      <c r="E168" s="2">
        <v>44758</v>
      </c>
      <c r="F168" t="s">
        <v>1871</v>
      </c>
    </row>
    <row r="169" spans="1:6" x14ac:dyDescent="0.35">
      <c r="A169" t="s">
        <v>3861</v>
      </c>
      <c r="B169" t="s">
        <v>156</v>
      </c>
      <c r="C169" t="s">
        <v>3374</v>
      </c>
      <c r="D169" t="s">
        <v>3862</v>
      </c>
      <c r="E169" s="2">
        <v>46279</v>
      </c>
      <c r="F169" t="s">
        <v>1871</v>
      </c>
    </row>
    <row r="170" spans="1:6" x14ac:dyDescent="0.35">
      <c r="A170" t="s">
        <v>3863</v>
      </c>
      <c r="B170" t="s">
        <v>3864</v>
      </c>
      <c r="C170" t="s">
        <v>3383</v>
      </c>
      <c r="D170" t="s">
        <v>3865</v>
      </c>
      <c r="E170" s="2">
        <v>45787</v>
      </c>
      <c r="F170" t="s">
        <v>1873</v>
      </c>
    </row>
    <row r="171" spans="1:6" x14ac:dyDescent="0.35">
      <c r="A171" t="s">
        <v>3866</v>
      </c>
      <c r="B171" t="s">
        <v>3867</v>
      </c>
      <c r="C171" t="s">
        <v>3374</v>
      </c>
      <c r="D171" t="s">
        <v>3868</v>
      </c>
      <c r="E171" s="2">
        <v>45663</v>
      </c>
      <c r="F171" t="s">
        <v>1871</v>
      </c>
    </row>
    <row r="172" spans="1:6" x14ac:dyDescent="0.35">
      <c r="A172" t="s">
        <v>3869</v>
      </c>
      <c r="B172" t="s">
        <v>3013</v>
      </c>
      <c r="C172" t="s">
        <v>3383</v>
      </c>
      <c r="D172" t="s">
        <v>3870</v>
      </c>
      <c r="E172" s="2">
        <v>45562</v>
      </c>
      <c r="F172" t="s">
        <v>1873</v>
      </c>
    </row>
    <row r="173" spans="1:6" x14ac:dyDescent="0.35">
      <c r="A173" t="s">
        <v>3871</v>
      </c>
      <c r="B173" t="s">
        <v>3872</v>
      </c>
      <c r="C173" t="s">
        <v>3370</v>
      </c>
      <c r="D173" t="s">
        <v>3873</v>
      </c>
      <c r="E173" s="2">
        <v>44978</v>
      </c>
      <c r="F173" t="s">
        <v>1865</v>
      </c>
    </row>
    <row r="174" spans="1:6" x14ac:dyDescent="0.35">
      <c r="A174" t="s">
        <v>3874</v>
      </c>
      <c r="B174" t="s">
        <v>3875</v>
      </c>
      <c r="C174" t="s">
        <v>3374</v>
      </c>
      <c r="D174" t="s">
        <v>3876</v>
      </c>
      <c r="E174" s="2">
        <v>45435</v>
      </c>
      <c r="F174" t="s">
        <v>1884</v>
      </c>
    </row>
    <row r="175" spans="1:6" x14ac:dyDescent="0.35">
      <c r="A175" t="s">
        <v>3877</v>
      </c>
      <c r="B175" t="s">
        <v>3878</v>
      </c>
      <c r="C175" t="s">
        <v>3374</v>
      </c>
      <c r="D175" t="s">
        <v>3879</v>
      </c>
      <c r="E175" s="2">
        <v>44820</v>
      </c>
      <c r="F175" t="s">
        <v>1884</v>
      </c>
    </row>
    <row r="176" spans="1:6" x14ac:dyDescent="0.35">
      <c r="A176" t="s">
        <v>3880</v>
      </c>
      <c r="B176" t="s">
        <v>3881</v>
      </c>
      <c r="C176" t="s">
        <v>3370</v>
      </c>
      <c r="D176" t="s">
        <v>3882</v>
      </c>
      <c r="E176" s="2">
        <v>44786</v>
      </c>
      <c r="F176" t="s">
        <v>1873</v>
      </c>
    </row>
    <row r="177" spans="1:6" x14ac:dyDescent="0.35">
      <c r="A177" t="s">
        <v>3883</v>
      </c>
      <c r="B177" t="s">
        <v>3884</v>
      </c>
      <c r="C177" t="s">
        <v>3370</v>
      </c>
      <c r="D177" t="s">
        <v>3885</v>
      </c>
      <c r="E177" s="2">
        <v>46382</v>
      </c>
      <c r="F177" t="s">
        <v>1884</v>
      </c>
    </row>
    <row r="178" spans="1:6" x14ac:dyDescent="0.35">
      <c r="A178" t="s">
        <v>3886</v>
      </c>
      <c r="B178" t="s">
        <v>3887</v>
      </c>
      <c r="C178" t="s">
        <v>3370</v>
      </c>
      <c r="D178" t="s">
        <v>3888</v>
      </c>
      <c r="E178" s="2">
        <v>45100</v>
      </c>
      <c r="F178" t="s">
        <v>1873</v>
      </c>
    </row>
    <row r="179" spans="1:6" x14ac:dyDescent="0.35">
      <c r="A179" t="s">
        <v>3889</v>
      </c>
      <c r="B179" t="s">
        <v>3890</v>
      </c>
      <c r="C179" t="s">
        <v>3383</v>
      </c>
      <c r="D179" t="s">
        <v>3891</v>
      </c>
      <c r="E179" s="2">
        <v>45132</v>
      </c>
      <c r="F179" t="s">
        <v>1873</v>
      </c>
    </row>
    <row r="180" spans="1:6" x14ac:dyDescent="0.35">
      <c r="A180" t="s">
        <v>3892</v>
      </c>
      <c r="B180" t="s">
        <v>3893</v>
      </c>
      <c r="C180" t="s">
        <v>3370</v>
      </c>
      <c r="D180" t="s">
        <v>3894</v>
      </c>
      <c r="E180" s="2">
        <v>46207</v>
      </c>
      <c r="F180" t="s">
        <v>1873</v>
      </c>
    </row>
    <row r="181" spans="1:6" x14ac:dyDescent="0.35">
      <c r="A181" t="s">
        <v>3895</v>
      </c>
      <c r="B181" t="s">
        <v>3896</v>
      </c>
      <c r="C181" t="s">
        <v>3374</v>
      </c>
      <c r="D181" t="s">
        <v>3897</v>
      </c>
      <c r="E181" s="2">
        <v>46186</v>
      </c>
      <c r="F181" t="s">
        <v>1871</v>
      </c>
    </row>
    <row r="182" spans="1:6" x14ac:dyDescent="0.35">
      <c r="A182" t="s">
        <v>3898</v>
      </c>
      <c r="B182" t="s">
        <v>3899</v>
      </c>
      <c r="C182" t="s">
        <v>3374</v>
      </c>
      <c r="D182" t="s">
        <v>3900</v>
      </c>
      <c r="E182" s="2">
        <v>44714</v>
      </c>
      <c r="F182" t="s">
        <v>1865</v>
      </c>
    </row>
    <row r="183" spans="1:6" x14ac:dyDescent="0.35">
      <c r="A183" t="s">
        <v>3901</v>
      </c>
      <c r="B183" t="s">
        <v>3902</v>
      </c>
      <c r="C183" t="s">
        <v>3383</v>
      </c>
      <c r="D183" t="s">
        <v>3903</v>
      </c>
      <c r="E183" s="2">
        <v>45600</v>
      </c>
      <c r="F183" t="s">
        <v>1865</v>
      </c>
    </row>
    <row r="184" spans="1:6" x14ac:dyDescent="0.35">
      <c r="A184" t="s">
        <v>3904</v>
      </c>
      <c r="B184" t="s">
        <v>3905</v>
      </c>
      <c r="C184" t="s">
        <v>3370</v>
      </c>
      <c r="D184" t="s">
        <v>3906</v>
      </c>
      <c r="E184" s="2">
        <v>45490</v>
      </c>
      <c r="F184" t="s">
        <v>1873</v>
      </c>
    </row>
    <row r="185" spans="1:6" x14ac:dyDescent="0.35">
      <c r="A185" t="s">
        <v>3907</v>
      </c>
      <c r="B185" t="s">
        <v>3908</v>
      </c>
      <c r="C185" t="s">
        <v>3374</v>
      </c>
      <c r="D185" t="s">
        <v>3909</v>
      </c>
      <c r="E185" s="2">
        <v>45970</v>
      </c>
      <c r="F185" t="s">
        <v>1865</v>
      </c>
    </row>
    <row r="186" spans="1:6" x14ac:dyDescent="0.35">
      <c r="A186" t="s">
        <v>3910</v>
      </c>
      <c r="B186" t="s">
        <v>3911</v>
      </c>
      <c r="C186" t="s">
        <v>3383</v>
      </c>
      <c r="D186" t="s">
        <v>3912</v>
      </c>
      <c r="E186" s="2">
        <v>45449</v>
      </c>
      <c r="F186" t="s">
        <v>1873</v>
      </c>
    </row>
    <row r="187" spans="1:6" x14ac:dyDescent="0.35">
      <c r="A187" t="s">
        <v>3913</v>
      </c>
      <c r="B187" t="s">
        <v>3914</v>
      </c>
      <c r="C187" t="s">
        <v>3374</v>
      </c>
      <c r="D187" t="s">
        <v>3915</v>
      </c>
      <c r="E187" s="2">
        <v>46188</v>
      </c>
      <c r="F187" t="s">
        <v>1865</v>
      </c>
    </row>
    <row r="188" spans="1:6" x14ac:dyDescent="0.35">
      <c r="A188" t="s">
        <v>3916</v>
      </c>
      <c r="B188" t="s">
        <v>3917</v>
      </c>
      <c r="C188" t="s">
        <v>3383</v>
      </c>
      <c r="D188" t="s">
        <v>3918</v>
      </c>
      <c r="E188" s="2">
        <v>46285</v>
      </c>
      <c r="F188" t="s">
        <v>1873</v>
      </c>
    </row>
    <row r="189" spans="1:6" x14ac:dyDescent="0.35">
      <c r="A189" t="s">
        <v>3919</v>
      </c>
      <c r="B189" t="s">
        <v>1964</v>
      </c>
      <c r="C189" t="s">
        <v>3374</v>
      </c>
      <c r="D189" t="s">
        <v>3920</v>
      </c>
      <c r="E189" s="2">
        <v>45846</v>
      </c>
      <c r="F189" t="s">
        <v>1873</v>
      </c>
    </row>
    <row r="190" spans="1:6" x14ac:dyDescent="0.35">
      <c r="A190" t="s">
        <v>3921</v>
      </c>
      <c r="B190" t="s">
        <v>3922</v>
      </c>
      <c r="C190" t="s">
        <v>3383</v>
      </c>
      <c r="D190" t="s">
        <v>3923</v>
      </c>
      <c r="E190" s="2">
        <v>44842</v>
      </c>
      <c r="F190" t="s">
        <v>1884</v>
      </c>
    </row>
    <row r="191" spans="1:6" x14ac:dyDescent="0.35">
      <c r="A191" t="s">
        <v>3924</v>
      </c>
      <c r="B191" t="s">
        <v>3925</v>
      </c>
      <c r="C191" t="s">
        <v>3383</v>
      </c>
      <c r="D191" t="s">
        <v>3926</v>
      </c>
      <c r="E191" s="2">
        <v>45941</v>
      </c>
      <c r="F191" t="s">
        <v>1871</v>
      </c>
    </row>
    <row r="192" spans="1:6" x14ac:dyDescent="0.35">
      <c r="A192" t="s">
        <v>3927</v>
      </c>
      <c r="B192" t="s">
        <v>3928</v>
      </c>
      <c r="C192" t="s">
        <v>3370</v>
      </c>
      <c r="D192" t="s">
        <v>3929</v>
      </c>
      <c r="E192" s="2">
        <v>45524</v>
      </c>
      <c r="F192" t="s">
        <v>1871</v>
      </c>
    </row>
    <row r="193" spans="1:6" x14ac:dyDescent="0.35">
      <c r="A193" t="s">
        <v>3930</v>
      </c>
      <c r="B193" t="s">
        <v>3931</v>
      </c>
      <c r="C193" t="s">
        <v>3370</v>
      </c>
      <c r="D193" t="s">
        <v>3932</v>
      </c>
      <c r="E193" s="2">
        <v>46228</v>
      </c>
      <c r="F193" t="s">
        <v>1871</v>
      </c>
    </row>
    <row r="194" spans="1:6" x14ac:dyDescent="0.35">
      <c r="A194" t="s">
        <v>3933</v>
      </c>
      <c r="B194" t="s">
        <v>3934</v>
      </c>
      <c r="C194" t="s">
        <v>3374</v>
      </c>
      <c r="D194" t="s">
        <v>3935</v>
      </c>
      <c r="E194" s="2">
        <v>45579</v>
      </c>
      <c r="F194" t="s">
        <v>1865</v>
      </c>
    </row>
    <row r="195" spans="1:6" x14ac:dyDescent="0.35">
      <c r="A195" t="s">
        <v>3936</v>
      </c>
      <c r="B195" t="s">
        <v>3937</v>
      </c>
      <c r="C195" t="s">
        <v>3383</v>
      </c>
      <c r="D195" t="s">
        <v>3938</v>
      </c>
      <c r="E195" s="2">
        <v>44968</v>
      </c>
      <c r="F195" t="s">
        <v>1873</v>
      </c>
    </row>
    <row r="196" spans="1:6" x14ac:dyDescent="0.35">
      <c r="A196" t="s">
        <v>3939</v>
      </c>
      <c r="B196" t="s">
        <v>3940</v>
      </c>
      <c r="C196" t="s">
        <v>3374</v>
      </c>
      <c r="D196" t="s">
        <v>3941</v>
      </c>
      <c r="E196" s="2">
        <v>46317</v>
      </c>
      <c r="F196" t="s">
        <v>1871</v>
      </c>
    </row>
    <row r="197" spans="1:6" x14ac:dyDescent="0.35">
      <c r="A197" t="s">
        <v>3942</v>
      </c>
      <c r="B197" t="s">
        <v>3943</v>
      </c>
      <c r="C197" t="s">
        <v>3383</v>
      </c>
      <c r="D197" t="s">
        <v>3944</v>
      </c>
      <c r="E197" s="2">
        <v>45451</v>
      </c>
      <c r="F197" t="s">
        <v>1873</v>
      </c>
    </row>
    <row r="198" spans="1:6" x14ac:dyDescent="0.35">
      <c r="A198" t="s">
        <v>3945</v>
      </c>
      <c r="B198" t="s">
        <v>3946</v>
      </c>
      <c r="C198" t="s">
        <v>3370</v>
      </c>
      <c r="D198" t="s">
        <v>3947</v>
      </c>
      <c r="E198" s="2">
        <v>45704</v>
      </c>
      <c r="F198" t="s">
        <v>1871</v>
      </c>
    </row>
    <row r="199" spans="1:6" x14ac:dyDescent="0.35">
      <c r="A199" t="s">
        <v>3948</v>
      </c>
      <c r="B199" t="s">
        <v>3949</v>
      </c>
      <c r="C199" t="s">
        <v>3374</v>
      </c>
      <c r="D199" t="s">
        <v>3950</v>
      </c>
      <c r="E199" s="2">
        <v>44926</v>
      </c>
      <c r="F199" t="s">
        <v>1873</v>
      </c>
    </row>
    <row r="200" spans="1:6" x14ac:dyDescent="0.35">
      <c r="A200" t="s">
        <v>3951</v>
      </c>
      <c r="B200" t="s">
        <v>3952</v>
      </c>
      <c r="C200" t="s">
        <v>3370</v>
      </c>
      <c r="D200" t="s">
        <v>3953</v>
      </c>
      <c r="E200" s="2">
        <v>45970</v>
      </c>
      <c r="F200" t="s">
        <v>1865</v>
      </c>
    </row>
    <row r="201" spans="1:6" x14ac:dyDescent="0.35">
      <c r="A201" t="s">
        <v>3954</v>
      </c>
      <c r="B201" t="s">
        <v>3955</v>
      </c>
      <c r="C201" t="s">
        <v>3374</v>
      </c>
      <c r="D201" t="s">
        <v>3956</v>
      </c>
      <c r="E201" s="2">
        <v>45340</v>
      </c>
      <c r="F201" t="s">
        <v>1871</v>
      </c>
    </row>
    <row r="202" spans="1:6" x14ac:dyDescent="0.35">
      <c r="A202" t="s">
        <v>3957</v>
      </c>
      <c r="B202" t="s">
        <v>3958</v>
      </c>
      <c r="C202" t="s">
        <v>3374</v>
      </c>
      <c r="D202" t="s">
        <v>3959</v>
      </c>
      <c r="E202" s="2">
        <v>45276</v>
      </c>
      <c r="F202" t="s">
        <v>1884</v>
      </c>
    </row>
    <row r="203" spans="1:6" x14ac:dyDescent="0.35">
      <c r="A203" t="s">
        <v>3960</v>
      </c>
      <c r="B203" t="s">
        <v>3961</v>
      </c>
      <c r="C203" t="s">
        <v>3374</v>
      </c>
      <c r="D203" t="s">
        <v>3962</v>
      </c>
      <c r="E203" s="2">
        <v>45907</v>
      </c>
      <c r="F203" t="s">
        <v>1871</v>
      </c>
    </row>
    <row r="204" spans="1:6" x14ac:dyDescent="0.35">
      <c r="A204" t="s">
        <v>3963</v>
      </c>
      <c r="B204" t="s">
        <v>3964</v>
      </c>
      <c r="C204" t="s">
        <v>3370</v>
      </c>
      <c r="D204" t="s">
        <v>3965</v>
      </c>
      <c r="E204" s="2">
        <v>46283</v>
      </c>
      <c r="F204" t="s">
        <v>1871</v>
      </c>
    </row>
    <row r="205" spans="1:6" x14ac:dyDescent="0.35">
      <c r="A205" t="s">
        <v>3966</v>
      </c>
      <c r="B205" t="s">
        <v>3967</v>
      </c>
      <c r="C205" t="s">
        <v>3370</v>
      </c>
      <c r="D205" t="s">
        <v>3968</v>
      </c>
      <c r="E205" s="2">
        <v>45930</v>
      </c>
      <c r="F205" t="s">
        <v>1884</v>
      </c>
    </row>
    <row r="206" spans="1:6" x14ac:dyDescent="0.35">
      <c r="A206" t="s">
        <v>3969</v>
      </c>
      <c r="B206" t="s">
        <v>3970</v>
      </c>
      <c r="C206" t="s">
        <v>3370</v>
      </c>
      <c r="D206" t="s">
        <v>3971</v>
      </c>
      <c r="E206" s="2">
        <v>46193</v>
      </c>
      <c r="F206" t="s">
        <v>1884</v>
      </c>
    </row>
    <row r="207" spans="1:6" x14ac:dyDescent="0.35">
      <c r="A207" t="s">
        <v>3972</v>
      </c>
      <c r="B207" t="s">
        <v>3973</v>
      </c>
      <c r="C207" t="s">
        <v>3374</v>
      </c>
      <c r="D207" t="s">
        <v>3974</v>
      </c>
      <c r="E207" s="2">
        <v>45293</v>
      </c>
      <c r="F207" t="s">
        <v>1884</v>
      </c>
    </row>
    <row r="208" spans="1:6" x14ac:dyDescent="0.35">
      <c r="A208" t="s">
        <v>3975</v>
      </c>
      <c r="B208" t="s">
        <v>3976</v>
      </c>
      <c r="C208" t="s">
        <v>3370</v>
      </c>
      <c r="D208" t="s">
        <v>3977</v>
      </c>
      <c r="E208" s="2">
        <v>44759</v>
      </c>
      <c r="F208" t="s">
        <v>1871</v>
      </c>
    </row>
    <row r="209" spans="1:6" x14ac:dyDescent="0.35">
      <c r="A209" t="s">
        <v>3978</v>
      </c>
      <c r="B209" t="s">
        <v>3979</v>
      </c>
      <c r="C209" t="s">
        <v>3383</v>
      </c>
      <c r="D209" t="s">
        <v>3980</v>
      </c>
      <c r="E209" s="2">
        <v>46366</v>
      </c>
      <c r="F209" t="s">
        <v>1865</v>
      </c>
    </row>
    <row r="210" spans="1:6" x14ac:dyDescent="0.35">
      <c r="A210" t="s">
        <v>3981</v>
      </c>
      <c r="B210" t="s">
        <v>3982</v>
      </c>
      <c r="C210" t="s">
        <v>3370</v>
      </c>
      <c r="D210" t="s">
        <v>3983</v>
      </c>
      <c r="E210" s="2">
        <v>45477</v>
      </c>
      <c r="F210" t="s">
        <v>1865</v>
      </c>
    </row>
    <row r="211" spans="1:6" x14ac:dyDescent="0.35">
      <c r="A211" t="s">
        <v>3984</v>
      </c>
      <c r="B211" t="s">
        <v>3985</v>
      </c>
      <c r="C211" t="s">
        <v>3383</v>
      </c>
      <c r="D211" t="s">
        <v>3986</v>
      </c>
      <c r="E211" s="2">
        <v>45918</v>
      </c>
      <c r="F211" t="s">
        <v>1884</v>
      </c>
    </row>
    <row r="212" spans="1:6" x14ac:dyDescent="0.35">
      <c r="A212" t="s">
        <v>3987</v>
      </c>
      <c r="B212" t="s">
        <v>3988</v>
      </c>
      <c r="C212" t="s">
        <v>3383</v>
      </c>
      <c r="D212" t="s">
        <v>3989</v>
      </c>
      <c r="E212" s="2">
        <v>44922</v>
      </c>
      <c r="F212" t="s">
        <v>1884</v>
      </c>
    </row>
    <row r="213" spans="1:6" x14ac:dyDescent="0.35">
      <c r="A213" t="s">
        <v>3990</v>
      </c>
      <c r="B213" t="s">
        <v>3991</v>
      </c>
      <c r="C213" t="s">
        <v>3370</v>
      </c>
      <c r="D213" t="s">
        <v>3992</v>
      </c>
      <c r="E213" s="2">
        <v>45914</v>
      </c>
      <c r="F213" t="s">
        <v>1873</v>
      </c>
    </row>
    <row r="214" spans="1:6" x14ac:dyDescent="0.35">
      <c r="A214" t="s">
        <v>3993</v>
      </c>
      <c r="B214" t="s">
        <v>3994</v>
      </c>
      <c r="C214" t="s">
        <v>3370</v>
      </c>
      <c r="D214" t="s">
        <v>3995</v>
      </c>
      <c r="E214" s="2">
        <v>45989</v>
      </c>
      <c r="F214" t="s">
        <v>1884</v>
      </c>
    </row>
    <row r="215" spans="1:6" x14ac:dyDescent="0.35">
      <c r="A215" t="s">
        <v>3996</v>
      </c>
      <c r="B215" t="s">
        <v>3997</v>
      </c>
      <c r="C215" t="s">
        <v>3374</v>
      </c>
      <c r="D215" t="s">
        <v>3998</v>
      </c>
      <c r="E215" s="2">
        <v>44824</v>
      </c>
      <c r="F215" t="s">
        <v>1884</v>
      </c>
    </row>
    <row r="216" spans="1:6" x14ac:dyDescent="0.35">
      <c r="A216" t="s">
        <v>3999</v>
      </c>
      <c r="B216" t="s">
        <v>4000</v>
      </c>
      <c r="C216" t="s">
        <v>3370</v>
      </c>
      <c r="D216" t="s">
        <v>4001</v>
      </c>
      <c r="E216" s="2">
        <v>45792</v>
      </c>
      <c r="F216" t="s">
        <v>1884</v>
      </c>
    </row>
    <row r="217" spans="1:6" x14ac:dyDescent="0.35">
      <c r="A217" t="s">
        <v>4002</v>
      </c>
      <c r="B217" t="s">
        <v>3163</v>
      </c>
      <c r="C217" t="s">
        <v>3374</v>
      </c>
      <c r="D217" t="s">
        <v>4003</v>
      </c>
      <c r="E217" s="2">
        <v>45042</v>
      </c>
      <c r="F217" t="s">
        <v>1873</v>
      </c>
    </row>
    <row r="218" spans="1:6" x14ac:dyDescent="0.35">
      <c r="A218" t="s">
        <v>4004</v>
      </c>
      <c r="B218" t="s">
        <v>4005</v>
      </c>
      <c r="C218" t="s">
        <v>3370</v>
      </c>
      <c r="D218" t="s">
        <v>4006</v>
      </c>
      <c r="E218" s="2">
        <v>45110</v>
      </c>
      <c r="F218" t="s">
        <v>1871</v>
      </c>
    </row>
    <row r="219" spans="1:6" x14ac:dyDescent="0.35">
      <c r="A219" t="s">
        <v>4007</v>
      </c>
      <c r="B219" t="s">
        <v>4008</v>
      </c>
      <c r="C219" t="s">
        <v>3370</v>
      </c>
      <c r="D219" t="s">
        <v>4009</v>
      </c>
      <c r="E219" s="2">
        <v>44686</v>
      </c>
      <c r="F219" t="s">
        <v>1865</v>
      </c>
    </row>
    <row r="220" spans="1:6" x14ac:dyDescent="0.35">
      <c r="A220" t="s">
        <v>4010</v>
      </c>
      <c r="B220" t="s">
        <v>4011</v>
      </c>
      <c r="C220" t="s">
        <v>3370</v>
      </c>
      <c r="D220" t="s">
        <v>4012</v>
      </c>
      <c r="E220" s="2">
        <v>45944</v>
      </c>
      <c r="F220" t="s">
        <v>1865</v>
      </c>
    </row>
    <row r="221" spans="1:6" x14ac:dyDescent="0.35">
      <c r="A221" t="s">
        <v>4013</v>
      </c>
      <c r="B221" t="s">
        <v>4014</v>
      </c>
      <c r="C221" t="s">
        <v>3370</v>
      </c>
      <c r="D221" t="s">
        <v>4015</v>
      </c>
      <c r="E221" s="2">
        <v>45363</v>
      </c>
      <c r="F221" t="s">
        <v>1884</v>
      </c>
    </row>
    <row r="222" spans="1:6" x14ac:dyDescent="0.35">
      <c r="A222" t="s">
        <v>4016</v>
      </c>
      <c r="B222" t="s">
        <v>4017</v>
      </c>
      <c r="C222" t="s">
        <v>3370</v>
      </c>
      <c r="D222" t="s">
        <v>4018</v>
      </c>
      <c r="E222" s="2">
        <v>45378</v>
      </c>
      <c r="F222" t="s">
        <v>1865</v>
      </c>
    </row>
    <row r="223" spans="1:6" x14ac:dyDescent="0.35">
      <c r="A223" t="s">
        <v>4019</v>
      </c>
      <c r="B223" t="s">
        <v>4020</v>
      </c>
      <c r="C223" t="s">
        <v>3383</v>
      </c>
      <c r="D223" t="s">
        <v>4021</v>
      </c>
      <c r="E223" s="2">
        <v>45111</v>
      </c>
      <c r="F223" t="s">
        <v>1884</v>
      </c>
    </row>
    <row r="224" spans="1:6" x14ac:dyDescent="0.35">
      <c r="A224" t="s">
        <v>4022</v>
      </c>
      <c r="B224" t="s">
        <v>4023</v>
      </c>
      <c r="C224" t="s">
        <v>3374</v>
      </c>
      <c r="D224" t="s">
        <v>4024</v>
      </c>
      <c r="E224" s="2">
        <v>45010</v>
      </c>
      <c r="F224" t="s">
        <v>1865</v>
      </c>
    </row>
    <row r="225" spans="1:6" x14ac:dyDescent="0.35">
      <c r="A225" t="s">
        <v>4025</v>
      </c>
      <c r="B225" t="s">
        <v>4026</v>
      </c>
      <c r="C225" t="s">
        <v>3374</v>
      </c>
      <c r="D225" t="s">
        <v>4027</v>
      </c>
      <c r="E225" s="2">
        <v>46238</v>
      </c>
      <c r="F225" t="s">
        <v>1873</v>
      </c>
    </row>
    <row r="226" spans="1:6" x14ac:dyDescent="0.35">
      <c r="A226" t="s">
        <v>4028</v>
      </c>
      <c r="B226" t="s">
        <v>4029</v>
      </c>
      <c r="C226" t="s">
        <v>3370</v>
      </c>
      <c r="D226" t="s">
        <v>4030</v>
      </c>
      <c r="E226" s="2">
        <v>45478</v>
      </c>
      <c r="F226" t="s">
        <v>1884</v>
      </c>
    </row>
    <row r="227" spans="1:6" x14ac:dyDescent="0.35">
      <c r="A227" t="s">
        <v>4031</v>
      </c>
      <c r="B227" t="s">
        <v>4032</v>
      </c>
      <c r="C227" t="s">
        <v>3383</v>
      </c>
      <c r="D227" t="s">
        <v>4033</v>
      </c>
      <c r="E227" s="2">
        <v>45734</v>
      </c>
      <c r="F227" t="s">
        <v>1871</v>
      </c>
    </row>
    <row r="228" spans="1:6" x14ac:dyDescent="0.35">
      <c r="A228" t="s">
        <v>4034</v>
      </c>
      <c r="B228" t="s">
        <v>4035</v>
      </c>
      <c r="C228" t="s">
        <v>3374</v>
      </c>
      <c r="D228" t="s">
        <v>4036</v>
      </c>
      <c r="E228" s="2">
        <v>44984</v>
      </c>
      <c r="F228" t="s">
        <v>1873</v>
      </c>
    </row>
    <row r="229" spans="1:6" x14ac:dyDescent="0.35">
      <c r="A229" t="s">
        <v>4037</v>
      </c>
      <c r="B229" t="s">
        <v>4038</v>
      </c>
      <c r="C229" t="s">
        <v>3374</v>
      </c>
      <c r="D229" t="s">
        <v>4039</v>
      </c>
      <c r="E229" s="2">
        <v>45812</v>
      </c>
      <c r="F229" t="s">
        <v>1865</v>
      </c>
    </row>
    <row r="230" spans="1:6" x14ac:dyDescent="0.35">
      <c r="A230" t="s">
        <v>4040</v>
      </c>
      <c r="B230" t="s">
        <v>4041</v>
      </c>
      <c r="C230" t="s">
        <v>3383</v>
      </c>
      <c r="D230" t="s">
        <v>4042</v>
      </c>
      <c r="E230" s="2">
        <v>45800</v>
      </c>
      <c r="F230" t="s">
        <v>1873</v>
      </c>
    </row>
    <row r="231" spans="1:6" x14ac:dyDescent="0.35">
      <c r="A231" t="s">
        <v>4043</v>
      </c>
      <c r="B231" t="s">
        <v>4044</v>
      </c>
      <c r="C231" t="s">
        <v>3374</v>
      </c>
      <c r="D231" t="s">
        <v>4045</v>
      </c>
      <c r="E231" s="2">
        <v>44605</v>
      </c>
      <c r="F231" t="s">
        <v>1884</v>
      </c>
    </row>
    <row r="232" spans="1:6" x14ac:dyDescent="0.35">
      <c r="A232" t="s">
        <v>4046</v>
      </c>
      <c r="B232" t="s">
        <v>4047</v>
      </c>
      <c r="C232" t="s">
        <v>3383</v>
      </c>
      <c r="D232" t="s">
        <v>4048</v>
      </c>
      <c r="E232" s="2">
        <v>46160</v>
      </c>
      <c r="F232" t="s">
        <v>1865</v>
      </c>
    </row>
    <row r="233" spans="1:6" x14ac:dyDescent="0.35">
      <c r="A233" t="s">
        <v>4049</v>
      </c>
      <c r="B233" t="s">
        <v>4050</v>
      </c>
      <c r="C233" t="s">
        <v>3370</v>
      </c>
      <c r="D233" t="s">
        <v>4051</v>
      </c>
      <c r="E233" s="2">
        <v>46132</v>
      </c>
      <c r="F233" t="s">
        <v>1873</v>
      </c>
    </row>
    <row r="234" spans="1:6" x14ac:dyDescent="0.35">
      <c r="A234" t="s">
        <v>4052</v>
      </c>
      <c r="B234" t="s">
        <v>4053</v>
      </c>
      <c r="C234" t="s">
        <v>3374</v>
      </c>
      <c r="D234" t="s">
        <v>4054</v>
      </c>
      <c r="E234" s="2">
        <v>44662</v>
      </c>
      <c r="F234" t="s">
        <v>1871</v>
      </c>
    </row>
    <row r="235" spans="1:6" x14ac:dyDescent="0.35">
      <c r="A235" t="s">
        <v>4055</v>
      </c>
      <c r="B235" t="s">
        <v>4056</v>
      </c>
      <c r="C235" t="s">
        <v>3370</v>
      </c>
      <c r="D235" t="s">
        <v>4057</v>
      </c>
      <c r="E235" s="2">
        <v>45658</v>
      </c>
      <c r="F235" t="s">
        <v>1871</v>
      </c>
    </row>
    <row r="236" spans="1:6" x14ac:dyDescent="0.35">
      <c r="A236" t="s">
        <v>4058</v>
      </c>
      <c r="B236" t="s">
        <v>4059</v>
      </c>
      <c r="C236" t="s">
        <v>3383</v>
      </c>
      <c r="D236" t="s">
        <v>4060</v>
      </c>
      <c r="E236" s="2">
        <v>46278</v>
      </c>
      <c r="F236" t="s">
        <v>1884</v>
      </c>
    </row>
    <row r="237" spans="1:6" x14ac:dyDescent="0.35">
      <c r="A237" t="s">
        <v>4061</v>
      </c>
      <c r="B237" t="s">
        <v>4062</v>
      </c>
      <c r="C237" t="s">
        <v>3374</v>
      </c>
      <c r="D237" t="s">
        <v>4063</v>
      </c>
      <c r="E237" s="2">
        <v>45031</v>
      </c>
      <c r="F237" t="s">
        <v>1865</v>
      </c>
    </row>
    <row r="238" spans="1:6" x14ac:dyDescent="0.35">
      <c r="A238" t="s">
        <v>4064</v>
      </c>
      <c r="B238" t="s">
        <v>4065</v>
      </c>
      <c r="C238" t="s">
        <v>3383</v>
      </c>
      <c r="D238" t="s">
        <v>4066</v>
      </c>
      <c r="E238" s="2">
        <v>45327</v>
      </c>
      <c r="F238" t="s">
        <v>1865</v>
      </c>
    </row>
    <row r="239" spans="1:6" x14ac:dyDescent="0.35">
      <c r="A239" t="s">
        <v>4067</v>
      </c>
      <c r="B239" t="s">
        <v>4068</v>
      </c>
      <c r="C239" t="s">
        <v>3370</v>
      </c>
      <c r="D239" t="s">
        <v>4069</v>
      </c>
      <c r="E239" s="2">
        <v>45003</v>
      </c>
      <c r="F239" t="s">
        <v>1871</v>
      </c>
    </row>
    <row r="240" spans="1:6" x14ac:dyDescent="0.35">
      <c r="A240" t="s">
        <v>4070</v>
      </c>
      <c r="B240" t="s">
        <v>4071</v>
      </c>
      <c r="C240" t="s">
        <v>3383</v>
      </c>
      <c r="D240" t="s">
        <v>4072</v>
      </c>
      <c r="E240" s="2">
        <v>44635</v>
      </c>
      <c r="F240" t="s">
        <v>1873</v>
      </c>
    </row>
    <row r="241" spans="1:6" x14ac:dyDescent="0.35">
      <c r="A241" t="s">
        <v>4073</v>
      </c>
      <c r="B241" t="s">
        <v>4074</v>
      </c>
      <c r="C241" t="s">
        <v>3374</v>
      </c>
      <c r="D241" t="s">
        <v>4075</v>
      </c>
      <c r="E241" s="2">
        <v>44771</v>
      </c>
      <c r="F241" t="s">
        <v>1884</v>
      </c>
    </row>
    <row r="242" spans="1:6" x14ac:dyDescent="0.35">
      <c r="A242" t="s">
        <v>4076</v>
      </c>
      <c r="B242" t="s">
        <v>4077</v>
      </c>
      <c r="C242" t="s">
        <v>3370</v>
      </c>
      <c r="D242" t="s">
        <v>4078</v>
      </c>
      <c r="E242" s="2">
        <v>44648</v>
      </c>
      <c r="F242" t="s">
        <v>1871</v>
      </c>
    </row>
    <row r="243" spans="1:6" x14ac:dyDescent="0.35">
      <c r="A243" t="s">
        <v>4079</v>
      </c>
      <c r="B243" t="s">
        <v>4080</v>
      </c>
      <c r="C243" t="s">
        <v>3370</v>
      </c>
      <c r="D243" t="s">
        <v>4081</v>
      </c>
      <c r="E243" s="2">
        <v>45179</v>
      </c>
      <c r="F243" t="s">
        <v>1873</v>
      </c>
    </row>
    <row r="244" spans="1:6" x14ac:dyDescent="0.35">
      <c r="A244" t="s">
        <v>4082</v>
      </c>
      <c r="B244" t="s">
        <v>4083</v>
      </c>
      <c r="C244" t="s">
        <v>3383</v>
      </c>
      <c r="D244" t="s">
        <v>4084</v>
      </c>
      <c r="E244" s="2">
        <v>45855</v>
      </c>
      <c r="F244" t="s">
        <v>1871</v>
      </c>
    </row>
    <row r="245" spans="1:6" x14ac:dyDescent="0.35">
      <c r="A245" t="s">
        <v>4085</v>
      </c>
      <c r="B245" t="s">
        <v>4086</v>
      </c>
      <c r="C245" t="s">
        <v>3383</v>
      </c>
      <c r="D245" t="s">
        <v>4087</v>
      </c>
      <c r="E245" s="2">
        <v>45119</v>
      </c>
      <c r="F245" t="s">
        <v>1873</v>
      </c>
    </row>
    <row r="246" spans="1:6" x14ac:dyDescent="0.35">
      <c r="A246" t="s">
        <v>4088</v>
      </c>
      <c r="B246" t="s">
        <v>4089</v>
      </c>
      <c r="C246" t="s">
        <v>3370</v>
      </c>
      <c r="D246" t="s">
        <v>4090</v>
      </c>
      <c r="E246" s="2">
        <v>45904</v>
      </c>
      <c r="F246" t="s">
        <v>1884</v>
      </c>
    </row>
    <row r="247" spans="1:6" x14ac:dyDescent="0.35">
      <c r="A247" t="s">
        <v>4091</v>
      </c>
      <c r="B247" t="s">
        <v>4092</v>
      </c>
      <c r="C247" t="s">
        <v>3383</v>
      </c>
      <c r="D247" t="s">
        <v>4093</v>
      </c>
      <c r="E247" s="2">
        <v>46237</v>
      </c>
      <c r="F247" t="s">
        <v>1865</v>
      </c>
    </row>
    <row r="248" spans="1:6" x14ac:dyDescent="0.35">
      <c r="A248" t="s">
        <v>4094</v>
      </c>
      <c r="B248" t="s">
        <v>4095</v>
      </c>
      <c r="C248" t="s">
        <v>3383</v>
      </c>
      <c r="D248" t="s">
        <v>4096</v>
      </c>
      <c r="E248" s="2">
        <v>44718</v>
      </c>
      <c r="F248" t="s">
        <v>1873</v>
      </c>
    </row>
    <row r="249" spans="1:6" x14ac:dyDescent="0.35">
      <c r="A249" t="s">
        <v>4097</v>
      </c>
      <c r="B249" t="s">
        <v>4098</v>
      </c>
      <c r="C249" t="s">
        <v>3374</v>
      </c>
      <c r="D249" t="s">
        <v>4099</v>
      </c>
      <c r="E249" s="2">
        <v>46040</v>
      </c>
      <c r="F249" t="s">
        <v>1884</v>
      </c>
    </row>
    <row r="250" spans="1:6" x14ac:dyDescent="0.35">
      <c r="A250" t="s">
        <v>4100</v>
      </c>
      <c r="B250" t="s">
        <v>4101</v>
      </c>
      <c r="C250" t="s">
        <v>3383</v>
      </c>
      <c r="D250" t="s">
        <v>4102</v>
      </c>
      <c r="E250" s="2">
        <v>44592</v>
      </c>
      <c r="F250" t="s">
        <v>1871</v>
      </c>
    </row>
    <row r="251" spans="1:6" x14ac:dyDescent="0.35">
      <c r="A251" t="s">
        <v>4103</v>
      </c>
      <c r="B251" t="s">
        <v>3141</v>
      </c>
      <c r="C251" t="s">
        <v>3383</v>
      </c>
      <c r="D251" t="s">
        <v>4104</v>
      </c>
      <c r="E251" s="2">
        <v>46069</v>
      </c>
      <c r="F251" t="s">
        <v>1884</v>
      </c>
    </row>
    <row r="252" spans="1:6" x14ac:dyDescent="0.35">
      <c r="A252" t="s">
        <v>4105</v>
      </c>
      <c r="B252" t="s">
        <v>4106</v>
      </c>
      <c r="C252" t="s">
        <v>3383</v>
      </c>
      <c r="D252" t="s">
        <v>4107</v>
      </c>
      <c r="E252" s="2">
        <v>46264</v>
      </c>
      <c r="F252" t="s">
        <v>1865</v>
      </c>
    </row>
    <row r="253" spans="1:6" x14ac:dyDescent="0.35">
      <c r="A253" t="s">
        <v>4108</v>
      </c>
      <c r="B253" t="s">
        <v>4109</v>
      </c>
      <c r="C253" t="s">
        <v>3370</v>
      </c>
      <c r="D253" t="s">
        <v>4110</v>
      </c>
      <c r="E253" s="2">
        <v>45432</v>
      </c>
      <c r="F253" t="s">
        <v>1873</v>
      </c>
    </row>
    <row r="254" spans="1:6" x14ac:dyDescent="0.35">
      <c r="A254" t="s">
        <v>4111</v>
      </c>
      <c r="B254" t="s">
        <v>4112</v>
      </c>
      <c r="C254" t="s">
        <v>3370</v>
      </c>
      <c r="D254" t="s">
        <v>4113</v>
      </c>
      <c r="E254" s="2">
        <v>45123</v>
      </c>
      <c r="F254" t="s">
        <v>1884</v>
      </c>
    </row>
    <row r="255" spans="1:6" x14ac:dyDescent="0.35">
      <c r="A255" t="s">
        <v>4114</v>
      </c>
      <c r="B255" t="s">
        <v>4115</v>
      </c>
      <c r="C255" t="s">
        <v>3383</v>
      </c>
      <c r="D255" t="s">
        <v>4116</v>
      </c>
      <c r="E255" s="2">
        <v>44766</v>
      </c>
      <c r="F255" t="s">
        <v>1865</v>
      </c>
    </row>
    <row r="256" spans="1:6" x14ac:dyDescent="0.35">
      <c r="A256" t="s">
        <v>4117</v>
      </c>
      <c r="B256" t="s">
        <v>4118</v>
      </c>
      <c r="C256" t="s">
        <v>3374</v>
      </c>
      <c r="D256" t="s">
        <v>4119</v>
      </c>
      <c r="E256" s="2">
        <v>45742</v>
      </c>
      <c r="F256" t="s">
        <v>1884</v>
      </c>
    </row>
    <row r="257" spans="1:6" x14ac:dyDescent="0.35">
      <c r="A257" t="s">
        <v>4120</v>
      </c>
      <c r="B257" t="s">
        <v>4121</v>
      </c>
      <c r="C257" t="s">
        <v>3370</v>
      </c>
      <c r="D257" t="s">
        <v>4122</v>
      </c>
      <c r="E257" s="2">
        <v>45158</v>
      </c>
      <c r="F257" t="s">
        <v>1884</v>
      </c>
    </row>
    <row r="258" spans="1:6" x14ac:dyDescent="0.35">
      <c r="A258" t="s">
        <v>4123</v>
      </c>
      <c r="B258" t="s">
        <v>4124</v>
      </c>
      <c r="C258" t="s">
        <v>3383</v>
      </c>
      <c r="D258" t="s">
        <v>4125</v>
      </c>
      <c r="E258" s="2">
        <v>45017</v>
      </c>
      <c r="F258" t="s">
        <v>1884</v>
      </c>
    </row>
    <row r="259" spans="1:6" x14ac:dyDescent="0.35">
      <c r="A259" t="s">
        <v>4126</v>
      </c>
      <c r="B259" t="s">
        <v>4127</v>
      </c>
      <c r="C259" t="s">
        <v>3374</v>
      </c>
      <c r="D259" t="s">
        <v>4128</v>
      </c>
      <c r="E259" s="2">
        <v>45132</v>
      </c>
      <c r="F259" t="s">
        <v>1884</v>
      </c>
    </row>
    <row r="260" spans="1:6" x14ac:dyDescent="0.35">
      <c r="A260" t="s">
        <v>4129</v>
      </c>
      <c r="B260" t="s">
        <v>1948</v>
      </c>
      <c r="C260" t="s">
        <v>3370</v>
      </c>
      <c r="D260" t="s">
        <v>4130</v>
      </c>
      <c r="E260" s="2">
        <v>46001</v>
      </c>
      <c r="F260" t="s">
        <v>1871</v>
      </c>
    </row>
    <row r="261" spans="1:6" x14ac:dyDescent="0.35">
      <c r="A261" t="s">
        <v>4131</v>
      </c>
      <c r="B261" t="s">
        <v>4132</v>
      </c>
      <c r="C261" t="s">
        <v>3370</v>
      </c>
      <c r="D261" t="s">
        <v>4133</v>
      </c>
      <c r="E261" s="2">
        <v>44597</v>
      </c>
      <c r="F261" t="s">
        <v>1884</v>
      </c>
    </row>
    <row r="262" spans="1:6" x14ac:dyDescent="0.35">
      <c r="A262" t="s">
        <v>4134</v>
      </c>
      <c r="B262" t="s">
        <v>4135</v>
      </c>
      <c r="C262" t="s">
        <v>3374</v>
      </c>
      <c r="D262" t="s">
        <v>4136</v>
      </c>
      <c r="E262" s="2">
        <v>45368</v>
      </c>
      <c r="F262" t="s">
        <v>1865</v>
      </c>
    </row>
    <row r="263" spans="1:6" x14ac:dyDescent="0.35">
      <c r="A263" t="s">
        <v>4137</v>
      </c>
      <c r="B263" t="s">
        <v>4138</v>
      </c>
      <c r="C263" t="s">
        <v>3374</v>
      </c>
      <c r="D263" t="s">
        <v>4139</v>
      </c>
      <c r="E263" s="2">
        <v>46025</v>
      </c>
      <c r="F263" t="s">
        <v>1873</v>
      </c>
    </row>
    <row r="264" spans="1:6" x14ac:dyDescent="0.35">
      <c r="A264" t="s">
        <v>4140</v>
      </c>
      <c r="B264" t="s">
        <v>4141</v>
      </c>
      <c r="C264" t="s">
        <v>3370</v>
      </c>
      <c r="D264" t="s">
        <v>4142</v>
      </c>
      <c r="E264" s="2">
        <v>45020</v>
      </c>
      <c r="F264" t="s">
        <v>1873</v>
      </c>
    </row>
    <row r="265" spans="1:6" x14ac:dyDescent="0.35">
      <c r="A265" t="s">
        <v>4143</v>
      </c>
      <c r="B265" t="s">
        <v>1174</v>
      </c>
      <c r="C265" t="s">
        <v>3370</v>
      </c>
      <c r="D265" t="s">
        <v>4144</v>
      </c>
      <c r="E265" s="2">
        <v>46141</v>
      </c>
      <c r="F265" t="s">
        <v>1871</v>
      </c>
    </row>
    <row r="266" spans="1:6" x14ac:dyDescent="0.35">
      <c r="A266" t="s">
        <v>4145</v>
      </c>
      <c r="B266" t="s">
        <v>4146</v>
      </c>
      <c r="C266" t="s">
        <v>3370</v>
      </c>
      <c r="D266" t="s">
        <v>4147</v>
      </c>
      <c r="E266" s="2">
        <v>45319</v>
      </c>
      <c r="F266" t="s">
        <v>1884</v>
      </c>
    </row>
    <row r="267" spans="1:6" x14ac:dyDescent="0.35">
      <c r="A267" t="s">
        <v>4148</v>
      </c>
      <c r="B267" t="s">
        <v>4149</v>
      </c>
      <c r="C267" t="s">
        <v>3374</v>
      </c>
      <c r="D267" t="s">
        <v>4150</v>
      </c>
      <c r="E267" s="2">
        <v>44785</v>
      </c>
      <c r="F267" t="s">
        <v>1865</v>
      </c>
    </row>
    <row r="268" spans="1:6" x14ac:dyDescent="0.35">
      <c r="A268" t="s">
        <v>4151</v>
      </c>
      <c r="B268" t="s">
        <v>4152</v>
      </c>
      <c r="C268" t="s">
        <v>3370</v>
      </c>
      <c r="D268" t="s">
        <v>4153</v>
      </c>
      <c r="E268" s="2">
        <v>44856</v>
      </c>
      <c r="F268" t="s">
        <v>1873</v>
      </c>
    </row>
    <row r="269" spans="1:6" x14ac:dyDescent="0.35">
      <c r="A269" t="s">
        <v>4154</v>
      </c>
      <c r="B269" t="s">
        <v>4155</v>
      </c>
      <c r="C269" t="s">
        <v>3383</v>
      </c>
      <c r="D269" t="s">
        <v>4156</v>
      </c>
      <c r="E269" s="2">
        <v>45710</v>
      </c>
      <c r="F269" t="s">
        <v>1871</v>
      </c>
    </row>
    <row r="270" spans="1:6" x14ac:dyDescent="0.35">
      <c r="A270" t="s">
        <v>4157</v>
      </c>
      <c r="B270" t="s">
        <v>4158</v>
      </c>
      <c r="C270" t="s">
        <v>3383</v>
      </c>
      <c r="D270" t="s">
        <v>4159</v>
      </c>
      <c r="E270" s="2">
        <v>46333</v>
      </c>
      <c r="F270" t="s">
        <v>1884</v>
      </c>
    </row>
    <row r="271" spans="1:6" x14ac:dyDescent="0.35">
      <c r="A271" t="s">
        <v>4160</v>
      </c>
      <c r="B271" t="s">
        <v>4161</v>
      </c>
      <c r="C271" t="s">
        <v>3374</v>
      </c>
      <c r="D271" t="s">
        <v>4162</v>
      </c>
      <c r="E271" s="2">
        <v>45073</v>
      </c>
      <c r="F271" t="s">
        <v>1873</v>
      </c>
    </row>
    <row r="272" spans="1:6" x14ac:dyDescent="0.35">
      <c r="A272" t="s">
        <v>4163</v>
      </c>
      <c r="B272" t="s">
        <v>4164</v>
      </c>
      <c r="C272" t="s">
        <v>3383</v>
      </c>
      <c r="D272" t="s">
        <v>4165</v>
      </c>
      <c r="E272" s="2">
        <v>45387</v>
      </c>
      <c r="F272" t="s">
        <v>1884</v>
      </c>
    </row>
    <row r="273" spans="1:6" x14ac:dyDescent="0.35">
      <c r="A273" t="s">
        <v>4166</v>
      </c>
      <c r="B273" t="s">
        <v>4167</v>
      </c>
      <c r="C273" t="s">
        <v>3374</v>
      </c>
      <c r="D273" t="s">
        <v>4168</v>
      </c>
      <c r="E273" s="2">
        <v>46042</v>
      </c>
      <c r="F273" t="s">
        <v>1871</v>
      </c>
    </row>
    <row r="274" spans="1:6" x14ac:dyDescent="0.35">
      <c r="A274" t="s">
        <v>4169</v>
      </c>
      <c r="B274" t="s">
        <v>4170</v>
      </c>
      <c r="C274" t="s">
        <v>3383</v>
      </c>
      <c r="D274" t="s">
        <v>4171</v>
      </c>
      <c r="E274" s="2">
        <v>46133</v>
      </c>
      <c r="F274" t="s">
        <v>1884</v>
      </c>
    </row>
    <row r="275" spans="1:6" x14ac:dyDescent="0.35">
      <c r="A275" t="s">
        <v>4172</v>
      </c>
      <c r="B275" t="s">
        <v>4173</v>
      </c>
      <c r="C275" t="s">
        <v>3370</v>
      </c>
      <c r="D275" t="s">
        <v>4174</v>
      </c>
      <c r="E275" s="2">
        <v>45405</v>
      </c>
      <c r="F275" t="s">
        <v>1865</v>
      </c>
    </row>
    <row r="276" spans="1:6" x14ac:dyDescent="0.35">
      <c r="A276" t="s">
        <v>4175</v>
      </c>
      <c r="B276" t="s">
        <v>4176</v>
      </c>
      <c r="C276" t="s">
        <v>3374</v>
      </c>
      <c r="D276" t="s">
        <v>4177</v>
      </c>
      <c r="E276" s="2">
        <v>45253</v>
      </c>
      <c r="F276" t="s">
        <v>1871</v>
      </c>
    </row>
    <row r="277" spans="1:6" x14ac:dyDescent="0.35">
      <c r="A277" t="s">
        <v>4178</v>
      </c>
      <c r="B277" t="s">
        <v>4179</v>
      </c>
      <c r="C277" t="s">
        <v>3383</v>
      </c>
      <c r="D277" t="s">
        <v>4180</v>
      </c>
      <c r="E277" s="2">
        <v>45220</v>
      </c>
      <c r="F277" t="s">
        <v>1884</v>
      </c>
    </row>
    <row r="278" spans="1:6" x14ac:dyDescent="0.35">
      <c r="A278" t="s">
        <v>4181</v>
      </c>
      <c r="B278" t="s">
        <v>4182</v>
      </c>
      <c r="C278" t="s">
        <v>3383</v>
      </c>
      <c r="D278" t="s">
        <v>4183</v>
      </c>
      <c r="E278" s="2">
        <v>45111</v>
      </c>
      <c r="F278" t="s">
        <v>1871</v>
      </c>
    </row>
    <row r="279" spans="1:6" x14ac:dyDescent="0.35">
      <c r="A279" t="s">
        <v>4184</v>
      </c>
      <c r="B279" t="s">
        <v>2303</v>
      </c>
      <c r="C279" t="s">
        <v>3374</v>
      </c>
      <c r="D279" t="s">
        <v>4185</v>
      </c>
      <c r="E279" s="2">
        <v>46189</v>
      </c>
      <c r="F279" t="s">
        <v>1884</v>
      </c>
    </row>
    <row r="280" spans="1:6" x14ac:dyDescent="0.35">
      <c r="A280" t="s">
        <v>4186</v>
      </c>
      <c r="B280" t="s">
        <v>4187</v>
      </c>
      <c r="C280" t="s">
        <v>3374</v>
      </c>
      <c r="D280" t="s">
        <v>4188</v>
      </c>
      <c r="E280" s="2">
        <v>45585</v>
      </c>
      <c r="F280" t="s">
        <v>1865</v>
      </c>
    </row>
    <row r="281" spans="1:6" x14ac:dyDescent="0.35">
      <c r="A281" t="s">
        <v>4189</v>
      </c>
      <c r="B281" t="s">
        <v>4190</v>
      </c>
      <c r="C281" t="s">
        <v>3374</v>
      </c>
      <c r="D281" t="s">
        <v>4191</v>
      </c>
      <c r="E281" s="2">
        <v>45044</v>
      </c>
      <c r="F281" t="s">
        <v>1865</v>
      </c>
    </row>
    <row r="282" spans="1:6" x14ac:dyDescent="0.35">
      <c r="A282" t="s">
        <v>4192</v>
      </c>
      <c r="B282" t="s">
        <v>1336</v>
      </c>
      <c r="C282" t="s">
        <v>3370</v>
      </c>
      <c r="D282" t="s">
        <v>4193</v>
      </c>
      <c r="E282" s="2">
        <v>46013</v>
      </c>
      <c r="F282" t="s">
        <v>1884</v>
      </c>
    </row>
    <row r="283" spans="1:6" x14ac:dyDescent="0.35">
      <c r="A283" t="s">
        <v>4194</v>
      </c>
      <c r="B283" t="s">
        <v>4195</v>
      </c>
      <c r="C283" t="s">
        <v>3374</v>
      </c>
      <c r="D283" t="s">
        <v>4196</v>
      </c>
      <c r="E283" s="2">
        <v>45698</v>
      </c>
      <c r="F283" t="s">
        <v>1873</v>
      </c>
    </row>
    <row r="284" spans="1:6" x14ac:dyDescent="0.35">
      <c r="A284" t="s">
        <v>4197</v>
      </c>
      <c r="B284" t="s">
        <v>4198</v>
      </c>
      <c r="C284" t="s">
        <v>3383</v>
      </c>
      <c r="D284" t="s">
        <v>4199</v>
      </c>
      <c r="E284" s="2">
        <v>45433</v>
      </c>
      <c r="F284" t="s">
        <v>1873</v>
      </c>
    </row>
    <row r="285" spans="1:6" x14ac:dyDescent="0.35">
      <c r="A285" t="s">
        <v>4200</v>
      </c>
      <c r="B285" t="s">
        <v>4201</v>
      </c>
      <c r="C285" t="s">
        <v>3370</v>
      </c>
      <c r="D285" t="s">
        <v>4202</v>
      </c>
      <c r="E285" s="2">
        <v>44822</v>
      </c>
      <c r="F285" t="s">
        <v>1873</v>
      </c>
    </row>
    <row r="286" spans="1:6" x14ac:dyDescent="0.35">
      <c r="A286" t="s">
        <v>4203</v>
      </c>
      <c r="B286" t="s">
        <v>4204</v>
      </c>
      <c r="C286" t="s">
        <v>3383</v>
      </c>
      <c r="D286" t="s">
        <v>4205</v>
      </c>
      <c r="E286" s="2">
        <v>45626</v>
      </c>
      <c r="F286" t="s">
        <v>1873</v>
      </c>
    </row>
    <row r="287" spans="1:6" x14ac:dyDescent="0.35">
      <c r="A287" t="s">
        <v>4206</v>
      </c>
      <c r="B287" t="s">
        <v>4207</v>
      </c>
      <c r="C287" t="s">
        <v>3383</v>
      </c>
      <c r="D287" t="s">
        <v>4208</v>
      </c>
      <c r="E287" s="2">
        <v>44966</v>
      </c>
      <c r="F287" t="s">
        <v>1884</v>
      </c>
    </row>
    <row r="288" spans="1:6" x14ac:dyDescent="0.35">
      <c r="A288" t="s">
        <v>4209</v>
      </c>
      <c r="B288" t="s">
        <v>4210</v>
      </c>
      <c r="C288" t="s">
        <v>3383</v>
      </c>
      <c r="D288" t="s">
        <v>4211</v>
      </c>
      <c r="E288" s="2">
        <v>44641</v>
      </c>
      <c r="F288" t="s">
        <v>1884</v>
      </c>
    </row>
    <row r="289" spans="1:6" x14ac:dyDescent="0.35">
      <c r="A289" t="s">
        <v>4212</v>
      </c>
      <c r="B289" t="s">
        <v>4213</v>
      </c>
      <c r="C289" t="s">
        <v>3370</v>
      </c>
      <c r="D289" t="s">
        <v>4214</v>
      </c>
      <c r="E289" s="2">
        <v>44911</v>
      </c>
      <c r="F289" t="s">
        <v>1884</v>
      </c>
    </row>
    <row r="290" spans="1:6" x14ac:dyDescent="0.35">
      <c r="A290" t="s">
        <v>4215</v>
      </c>
      <c r="B290" t="s">
        <v>4216</v>
      </c>
      <c r="C290" t="s">
        <v>3383</v>
      </c>
      <c r="D290" t="s">
        <v>4217</v>
      </c>
      <c r="E290" s="2">
        <v>46095</v>
      </c>
      <c r="F290" t="s">
        <v>1884</v>
      </c>
    </row>
    <row r="291" spans="1:6" x14ac:dyDescent="0.35">
      <c r="A291" t="s">
        <v>4218</v>
      </c>
      <c r="B291" t="s">
        <v>4219</v>
      </c>
      <c r="C291" t="s">
        <v>3370</v>
      </c>
      <c r="D291" t="s">
        <v>4220</v>
      </c>
      <c r="E291" s="2">
        <v>44580</v>
      </c>
      <c r="F291" t="s">
        <v>1865</v>
      </c>
    </row>
    <row r="292" spans="1:6" x14ac:dyDescent="0.35">
      <c r="A292" t="s">
        <v>4221</v>
      </c>
      <c r="B292" t="s">
        <v>4222</v>
      </c>
      <c r="C292" t="s">
        <v>3383</v>
      </c>
      <c r="D292" t="s">
        <v>4223</v>
      </c>
      <c r="E292" s="2">
        <v>45453</v>
      </c>
      <c r="F292" t="s">
        <v>1865</v>
      </c>
    </row>
    <row r="293" spans="1:6" x14ac:dyDescent="0.35">
      <c r="A293" t="s">
        <v>4224</v>
      </c>
      <c r="B293" t="s">
        <v>4225</v>
      </c>
      <c r="C293" t="s">
        <v>3374</v>
      </c>
      <c r="D293" t="s">
        <v>4226</v>
      </c>
      <c r="E293" s="2">
        <v>46364</v>
      </c>
      <c r="F293" t="s">
        <v>1865</v>
      </c>
    </row>
    <row r="294" spans="1:6" x14ac:dyDescent="0.35">
      <c r="A294" t="s">
        <v>4227</v>
      </c>
      <c r="B294" t="s">
        <v>4228</v>
      </c>
      <c r="C294" t="s">
        <v>3374</v>
      </c>
      <c r="D294" t="s">
        <v>4229</v>
      </c>
      <c r="E294" s="2">
        <v>45222</v>
      </c>
      <c r="F294" t="s">
        <v>1865</v>
      </c>
    </row>
    <row r="295" spans="1:6" x14ac:dyDescent="0.35">
      <c r="A295" t="s">
        <v>4230</v>
      </c>
      <c r="B295" t="s">
        <v>4231</v>
      </c>
      <c r="C295" t="s">
        <v>3374</v>
      </c>
      <c r="D295" t="s">
        <v>4232</v>
      </c>
      <c r="E295" s="2">
        <v>45893</v>
      </c>
      <c r="F295" t="s">
        <v>1871</v>
      </c>
    </row>
    <row r="296" spans="1:6" x14ac:dyDescent="0.35">
      <c r="A296" t="s">
        <v>4233</v>
      </c>
      <c r="B296" t="s">
        <v>4234</v>
      </c>
      <c r="C296" t="s">
        <v>3383</v>
      </c>
      <c r="D296" t="s">
        <v>4235</v>
      </c>
      <c r="E296" s="2">
        <v>45156</v>
      </c>
      <c r="F296" t="s">
        <v>1871</v>
      </c>
    </row>
    <row r="297" spans="1:6" x14ac:dyDescent="0.35">
      <c r="A297" t="s">
        <v>4236</v>
      </c>
      <c r="B297" t="s">
        <v>4237</v>
      </c>
      <c r="C297" t="s">
        <v>3374</v>
      </c>
      <c r="D297" t="s">
        <v>4238</v>
      </c>
      <c r="E297" s="2">
        <v>46025</v>
      </c>
      <c r="F297" t="s">
        <v>1865</v>
      </c>
    </row>
    <row r="298" spans="1:6" x14ac:dyDescent="0.35">
      <c r="A298" t="s">
        <v>4239</v>
      </c>
      <c r="B298" t="s">
        <v>1357</v>
      </c>
      <c r="C298" t="s">
        <v>3374</v>
      </c>
      <c r="D298" t="s">
        <v>4240</v>
      </c>
      <c r="E298" s="2">
        <v>45800</v>
      </c>
      <c r="F298" t="s">
        <v>1865</v>
      </c>
    </row>
    <row r="299" spans="1:6" x14ac:dyDescent="0.35">
      <c r="A299" t="s">
        <v>4241</v>
      </c>
      <c r="B299" t="s">
        <v>4242</v>
      </c>
      <c r="C299" t="s">
        <v>3370</v>
      </c>
      <c r="D299" t="s">
        <v>4243</v>
      </c>
      <c r="E299" s="2">
        <v>45509</v>
      </c>
      <c r="F299" t="s">
        <v>1871</v>
      </c>
    </row>
    <row r="300" spans="1:6" x14ac:dyDescent="0.35">
      <c r="A300" t="s">
        <v>4244</v>
      </c>
      <c r="B300" t="s">
        <v>4245</v>
      </c>
      <c r="C300" t="s">
        <v>3370</v>
      </c>
      <c r="D300" t="s">
        <v>4246</v>
      </c>
      <c r="E300" s="2">
        <v>46091</v>
      </c>
      <c r="F300" t="s">
        <v>1871</v>
      </c>
    </row>
    <row r="301" spans="1:6" x14ac:dyDescent="0.35">
      <c r="A301" t="s">
        <v>4247</v>
      </c>
      <c r="B301" t="s">
        <v>4248</v>
      </c>
      <c r="C301" t="s">
        <v>3383</v>
      </c>
      <c r="D301" t="s">
        <v>4249</v>
      </c>
      <c r="E301" s="2">
        <v>45635</v>
      </c>
      <c r="F301" t="s">
        <v>1884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01"/>
  <sheetViews>
    <sheetView workbookViewId="0"/>
  </sheetViews>
  <sheetFormatPr defaultRowHeight="14.5" x14ac:dyDescent="0.35"/>
  <cols>
    <col min="1" max="1" width="13" customWidth="1"/>
    <col min="2" max="2" width="17" customWidth="1"/>
    <col min="3" max="3" width="21" customWidth="1"/>
    <col min="4" max="6" width="12" customWidth="1"/>
    <col min="7" max="7" width="13" customWidth="1"/>
  </cols>
  <sheetData>
    <row r="1" spans="1:7" x14ac:dyDescent="0.35">
      <c r="A1" s="1" t="s">
        <v>636</v>
      </c>
      <c r="B1" s="1" t="s">
        <v>2</v>
      </c>
      <c r="C1" s="1" t="s">
        <v>4250</v>
      </c>
      <c r="D1" s="1" t="s">
        <v>4251</v>
      </c>
      <c r="E1" s="1" t="s">
        <v>1890</v>
      </c>
      <c r="F1" s="1" t="s">
        <v>4252</v>
      </c>
      <c r="G1" s="1" t="s">
        <v>4253</v>
      </c>
    </row>
    <row r="2" spans="1:7" x14ac:dyDescent="0.35">
      <c r="A2" s="2">
        <v>44582</v>
      </c>
      <c r="B2" t="s">
        <v>44</v>
      </c>
      <c r="C2">
        <v>14</v>
      </c>
      <c r="D2">
        <v>1</v>
      </c>
      <c r="E2">
        <v>1</v>
      </c>
      <c r="F2">
        <v>7</v>
      </c>
      <c r="G2" t="s">
        <v>4254</v>
      </c>
    </row>
    <row r="3" spans="1:7" x14ac:dyDescent="0.35">
      <c r="A3" s="2">
        <v>44573</v>
      </c>
      <c r="B3" t="s">
        <v>44</v>
      </c>
      <c r="C3">
        <v>7</v>
      </c>
      <c r="D3">
        <v>1</v>
      </c>
      <c r="E3">
        <v>0</v>
      </c>
      <c r="F3">
        <v>8</v>
      </c>
      <c r="G3" t="s">
        <v>4255</v>
      </c>
    </row>
    <row r="4" spans="1:7" x14ac:dyDescent="0.35">
      <c r="A4" s="2">
        <v>45239</v>
      </c>
      <c r="B4" t="s">
        <v>19</v>
      </c>
      <c r="C4">
        <v>2</v>
      </c>
      <c r="D4">
        <v>4</v>
      </c>
      <c r="E4">
        <v>3</v>
      </c>
      <c r="F4">
        <v>9</v>
      </c>
      <c r="G4" t="s">
        <v>4254</v>
      </c>
    </row>
    <row r="5" spans="1:7" x14ac:dyDescent="0.35">
      <c r="A5" s="2">
        <v>44698</v>
      </c>
      <c r="B5" t="s">
        <v>44</v>
      </c>
      <c r="C5">
        <v>18</v>
      </c>
      <c r="D5">
        <v>1</v>
      </c>
      <c r="E5">
        <v>2</v>
      </c>
      <c r="F5">
        <v>10</v>
      </c>
      <c r="G5" t="s">
        <v>4254</v>
      </c>
    </row>
    <row r="6" spans="1:7" x14ac:dyDescent="0.35">
      <c r="A6" s="2">
        <v>44956</v>
      </c>
      <c r="B6" t="s">
        <v>44</v>
      </c>
      <c r="C6">
        <v>10</v>
      </c>
      <c r="D6">
        <v>3</v>
      </c>
      <c r="E6">
        <v>2</v>
      </c>
      <c r="F6">
        <v>5</v>
      </c>
      <c r="G6" t="s">
        <v>4256</v>
      </c>
    </row>
    <row r="7" spans="1:7" x14ac:dyDescent="0.35">
      <c r="A7" s="2">
        <v>46132</v>
      </c>
      <c r="B7" t="s">
        <v>63</v>
      </c>
      <c r="C7">
        <v>9</v>
      </c>
      <c r="D7">
        <v>4</v>
      </c>
      <c r="E7">
        <v>1</v>
      </c>
      <c r="F7">
        <v>1</v>
      </c>
      <c r="G7" t="s">
        <v>4256</v>
      </c>
    </row>
    <row r="8" spans="1:7" x14ac:dyDescent="0.35">
      <c r="A8" s="2">
        <v>44874</v>
      </c>
      <c r="B8" t="s">
        <v>19</v>
      </c>
      <c r="C8">
        <v>7</v>
      </c>
      <c r="D8">
        <v>2</v>
      </c>
      <c r="E8">
        <v>1</v>
      </c>
      <c r="F8">
        <v>4</v>
      </c>
      <c r="G8" t="s">
        <v>4256</v>
      </c>
    </row>
    <row r="9" spans="1:7" x14ac:dyDescent="0.35">
      <c r="A9" s="2">
        <v>44771</v>
      </c>
      <c r="B9" t="s">
        <v>13</v>
      </c>
      <c r="C9">
        <v>17</v>
      </c>
      <c r="D9">
        <v>4</v>
      </c>
      <c r="E9">
        <v>3</v>
      </c>
      <c r="F9">
        <v>5</v>
      </c>
      <c r="G9" t="s">
        <v>4256</v>
      </c>
    </row>
    <row r="10" spans="1:7" x14ac:dyDescent="0.35">
      <c r="A10" s="2">
        <v>46143</v>
      </c>
      <c r="B10" t="s">
        <v>30</v>
      </c>
      <c r="C10">
        <v>19</v>
      </c>
      <c r="D10">
        <v>4</v>
      </c>
      <c r="E10">
        <v>2</v>
      </c>
      <c r="F10">
        <v>9</v>
      </c>
      <c r="G10" t="s">
        <v>4256</v>
      </c>
    </row>
    <row r="11" spans="1:7" x14ac:dyDescent="0.35">
      <c r="A11" s="2">
        <v>45531</v>
      </c>
      <c r="B11" t="s">
        <v>13</v>
      </c>
      <c r="C11">
        <v>6</v>
      </c>
      <c r="D11">
        <v>0</v>
      </c>
      <c r="E11">
        <v>1</v>
      </c>
      <c r="F11">
        <v>3</v>
      </c>
      <c r="G11" t="s">
        <v>4254</v>
      </c>
    </row>
    <row r="12" spans="1:7" x14ac:dyDescent="0.35">
      <c r="A12" s="2">
        <v>46207</v>
      </c>
      <c r="B12" t="s">
        <v>39</v>
      </c>
      <c r="C12">
        <v>5</v>
      </c>
      <c r="D12">
        <v>1</v>
      </c>
      <c r="E12">
        <v>1</v>
      </c>
      <c r="F12">
        <v>7</v>
      </c>
      <c r="G12" t="s">
        <v>4254</v>
      </c>
    </row>
    <row r="13" spans="1:7" x14ac:dyDescent="0.35">
      <c r="A13" s="2">
        <v>45224</v>
      </c>
      <c r="B13" t="s">
        <v>19</v>
      </c>
      <c r="C13">
        <v>2</v>
      </c>
      <c r="D13">
        <v>1</v>
      </c>
      <c r="E13">
        <v>3</v>
      </c>
      <c r="F13">
        <v>6</v>
      </c>
      <c r="G13" t="s">
        <v>4256</v>
      </c>
    </row>
    <row r="14" spans="1:7" x14ac:dyDescent="0.35">
      <c r="A14" s="2">
        <v>45528</v>
      </c>
      <c r="B14" t="s">
        <v>44</v>
      </c>
      <c r="C14">
        <v>10</v>
      </c>
      <c r="D14">
        <v>4</v>
      </c>
      <c r="E14">
        <v>0</v>
      </c>
      <c r="F14">
        <v>3</v>
      </c>
      <c r="G14" t="s">
        <v>4256</v>
      </c>
    </row>
    <row r="15" spans="1:7" x14ac:dyDescent="0.35">
      <c r="A15" s="2">
        <v>45367</v>
      </c>
      <c r="B15" t="s">
        <v>63</v>
      </c>
      <c r="C15">
        <v>13</v>
      </c>
      <c r="D15">
        <v>5</v>
      </c>
      <c r="E15">
        <v>3</v>
      </c>
      <c r="F15">
        <v>5</v>
      </c>
      <c r="G15" t="s">
        <v>4255</v>
      </c>
    </row>
    <row r="16" spans="1:7" x14ac:dyDescent="0.35">
      <c r="A16" s="2">
        <v>46279</v>
      </c>
      <c r="B16" t="s">
        <v>39</v>
      </c>
      <c r="C16">
        <v>11</v>
      </c>
      <c r="D16">
        <v>4</v>
      </c>
      <c r="E16">
        <v>0</v>
      </c>
      <c r="F16">
        <v>9</v>
      </c>
      <c r="G16" t="s">
        <v>4254</v>
      </c>
    </row>
    <row r="17" spans="1:7" x14ac:dyDescent="0.35">
      <c r="A17" s="2">
        <v>44902</v>
      </c>
      <c r="B17" t="s">
        <v>24</v>
      </c>
      <c r="C17">
        <v>9</v>
      </c>
      <c r="D17">
        <v>5</v>
      </c>
      <c r="E17">
        <v>1</v>
      </c>
      <c r="F17">
        <v>6</v>
      </c>
      <c r="G17" t="s">
        <v>4256</v>
      </c>
    </row>
    <row r="18" spans="1:7" x14ac:dyDescent="0.35">
      <c r="A18" s="2">
        <v>45466</v>
      </c>
      <c r="B18" t="s">
        <v>63</v>
      </c>
      <c r="C18">
        <v>9</v>
      </c>
      <c r="D18">
        <v>5</v>
      </c>
      <c r="E18">
        <v>0</v>
      </c>
      <c r="F18">
        <v>8</v>
      </c>
      <c r="G18" t="s">
        <v>4255</v>
      </c>
    </row>
    <row r="19" spans="1:7" x14ac:dyDescent="0.35">
      <c r="A19" s="2">
        <v>45897</v>
      </c>
      <c r="B19" t="s">
        <v>44</v>
      </c>
      <c r="C19">
        <v>6</v>
      </c>
      <c r="D19">
        <v>0</v>
      </c>
      <c r="E19">
        <v>2</v>
      </c>
      <c r="F19">
        <v>7</v>
      </c>
      <c r="G19" t="s">
        <v>4256</v>
      </c>
    </row>
    <row r="20" spans="1:7" x14ac:dyDescent="0.35">
      <c r="A20" s="2">
        <v>45270</v>
      </c>
      <c r="B20" t="s">
        <v>24</v>
      </c>
      <c r="C20">
        <v>14</v>
      </c>
      <c r="D20">
        <v>1</v>
      </c>
      <c r="E20">
        <v>1</v>
      </c>
      <c r="F20">
        <v>6</v>
      </c>
      <c r="G20" t="s">
        <v>4255</v>
      </c>
    </row>
    <row r="21" spans="1:7" x14ac:dyDescent="0.35">
      <c r="A21" s="2">
        <v>44928</v>
      </c>
      <c r="B21" t="s">
        <v>24</v>
      </c>
      <c r="C21">
        <v>1</v>
      </c>
      <c r="D21">
        <v>1</v>
      </c>
      <c r="E21">
        <v>3</v>
      </c>
      <c r="F21">
        <v>5</v>
      </c>
      <c r="G21" t="s">
        <v>4256</v>
      </c>
    </row>
    <row r="22" spans="1:7" x14ac:dyDescent="0.35">
      <c r="A22" s="2">
        <v>44961</v>
      </c>
      <c r="B22" t="s">
        <v>19</v>
      </c>
      <c r="C22">
        <v>19</v>
      </c>
      <c r="D22">
        <v>2</v>
      </c>
      <c r="E22">
        <v>2</v>
      </c>
      <c r="F22">
        <v>1</v>
      </c>
      <c r="G22" t="s">
        <v>4255</v>
      </c>
    </row>
    <row r="23" spans="1:7" x14ac:dyDescent="0.35">
      <c r="A23" s="2">
        <v>45081</v>
      </c>
      <c r="B23" t="s">
        <v>39</v>
      </c>
      <c r="C23">
        <v>1</v>
      </c>
      <c r="D23">
        <v>4</v>
      </c>
      <c r="E23">
        <v>2</v>
      </c>
      <c r="F23">
        <v>0</v>
      </c>
      <c r="G23" t="s">
        <v>4256</v>
      </c>
    </row>
    <row r="24" spans="1:7" x14ac:dyDescent="0.35">
      <c r="A24" s="2">
        <v>45125</v>
      </c>
      <c r="B24" t="s">
        <v>24</v>
      </c>
      <c r="C24">
        <v>16</v>
      </c>
      <c r="D24">
        <v>3</v>
      </c>
      <c r="E24">
        <v>0</v>
      </c>
      <c r="F24">
        <v>4</v>
      </c>
      <c r="G24" t="s">
        <v>4255</v>
      </c>
    </row>
    <row r="25" spans="1:7" x14ac:dyDescent="0.35">
      <c r="A25" s="2">
        <v>45842</v>
      </c>
      <c r="B25" t="s">
        <v>19</v>
      </c>
      <c r="C25">
        <v>19</v>
      </c>
      <c r="D25">
        <v>0</v>
      </c>
      <c r="E25">
        <v>3</v>
      </c>
      <c r="F25">
        <v>9</v>
      </c>
      <c r="G25" t="s">
        <v>4256</v>
      </c>
    </row>
    <row r="26" spans="1:7" x14ac:dyDescent="0.35">
      <c r="A26" s="2">
        <v>45492</v>
      </c>
      <c r="B26" t="s">
        <v>63</v>
      </c>
      <c r="C26">
        <v>6</v>
      </c>
      <c r="D26">
        <v>3</v>
      </c>
      <c r="E26">
        <v>0</v>
      </c>
      <c r="F26">
        <v>0</v>
      </c>
      <c r="G26" t="s">
        <v>4255</v>
      </c>
    </row>
    <row r="27" spans="1:7" x14ac:dyDescent="0.35">
      <c r="A27" s="2">
        <v>44621</v>
      </c>
      <c r="B27" t="s">
        <v>39</v>
      </c>
      <c r="C27">
        <v>5</v>
      </c>
      <c r="D27">
        <v>5</v>
      </c>
      <c r="E27">
        <v>1</v>
      </c>
      <c r="F27">
        <v>2</v>
      </c>
      <c r="G27" t="s">
        <v>4254</v>
      </c>
    </row>
    <row r="28" spans="1:7" x14ac:dyDescent="0.35">
      <c r="A28" s="2">
        <v>45421</v>
      </c>
      <c r="B28" t="s">
        <v>30</v>
      </c>
      <c r="C28">
        <v>4</v>
      </c>
      <c r="D28">
        <v>0</v>
      </c>
      <c r="E28">
        <v>3</v>
      </c>
      <c r="F28">
        <v>10</v>
      </c>
      <c r="G28" t="s">
        <v>4256</v>
      </c>
    </row>
    <row r="29" spans="1:7" x14ac:dyDescent="0.35">
      <c r="A29" s="2">
        <v>44689</v>
      </c>
      <c r="B29" t="s">
        <v>44</v>
      </c>
      <c r="C29">
        <v>4</v>
      </c>
      <c r="D29">
        <v>4</v>
      </c>
      <c r="E29">
        <v>2</v>
      </c>
      <c r="F29">
        <v>3</v>
      </c>
      <c r="G29" t="s">
        <v>4256</v>
      </c>
    </row>
    <row r="30" spans="1:7" x14ac:dyDescent="0.35">
      <c r="A30" s="2">
        <v>45819</v>
      </c>
      <c r="B30" t="s">
        <v>24</v>
      </c>
      <c r="C30">
        <v>1</v>
      </c>
      <c r="D30">
        <v>2</v>
      </c>
      <c r="E30">
        <v>2</v>
      </c>
      <c r="F30">
        <v>2</v>
      </c>
      <c r="G30" t="s">
        <v>4256</v>
      </c>
    </row>
    <row r="31" spans="1:7" x14ac:dyDescent="0.35">
      <c r="A31" s="2">
        <v>46040</v>
      </c>
      <c r="B31" t="s">
        <v>44</v>
      </c>
      <c r="C31">
        <v>17</v>
      </c>
      <c r="D31">
        <v>0</v>
      </c>
      <c r="E31">
        <v>3</v>
      </c>
      <c r="F31">
        <v>6</v>
      </c>
      <c r="G31" t="s">
        <v>4256</v>
      </c>
    </row>
    <row r="32" spans="1:7" x14ac:dyDescent="0.35">
      <c r="A32" s="2">
        <v>45933</v>
      </c>
      <c r="B32" t="s">
        <v>19</v>
      </c>
      <c r="C32">
        <v>3</v>
      </c>
      <c r="D32">
        <v>1</v>
      </c>
      <c r="E32">
        <v>1</v>
      </c>
      <c r="F32">
        <v>4</v>
      </c>
      <c r="G32" t="s">
        <v>4254</v>
      </c>
    </row>
    <row r="33" spans="1:7" x14ac:dyDescent="0.35">
      <c r="A33" s="2">
        <v>44915</v>
      </c>
      <c r="B33" t="s">
        <v>63</v>
      </c>
      <c r="C33">
        <v>2</v>
      </c>
      <c r="D33">
        <v>2</v>
      </c>
      <c r="E33">
        <v>1</v>
      </c>
      <c r="F33">
        <v>8</v>
      </c>
      <c r="G33" t="s">
        <v>4255</v>
      </c>
    </row>
    <row r="34" spans="1:7" x14ac:dyDescent="0.35">
      <c r="A34" s="2">
        <v>44916</v>
      </c>
      <c r="B34" t="s">
        <v>24</v>
      </c>
      <c r="C34">
        <v>1</v>
      </c>
      <c r="D34">
        <v>2</v>
      </c>
      <c r="E34">
        <v>2</v>
      </c>
      <c r="F34">
        <v>8</v>
      </c>
      <c r="G34" t="s">
        <v>4255</v>
      </c>
    </row>
    <row r="35" spans="1:7" x14ac:dyDescent="0.35">
      <c r="A35" s="2">
        <v>44803</v>
      </c>
      <c r="B35" t="s">
        <v>44</v>
      </c>
      <c r="C35">
        <v>15</v>
      </c>
      <c r="D35">
        <v>4</v>
      </c>
      <c r="E35">
        <v>0</v>
      </c>
      <c r="F35">
        <v>9</v>
      </c>
      <c r="G35" t="s">
        <v>4255</v>
      </c>
    </row>
    <row r="36" spans="1:7" x14ac:dyDescent="0.35">
      <c r="A36" s="2">
        <v>44742</v>
      </c>
      <c r="B36" t="s">
        <v>19</v>
      </c>
      <c r="C36">
        <v>3</v>
      </c>
      <c r="D36">
        <v>1</v>
      </c>
      <c r="E36">
        <v>0</v>
      </c>
      <c r="F36">
        <v>2</v>
      </c>
      <c r="G36" t="s">
        <v>4255</v>
      </c>
    </row>
    <row r="37" spans="1:7" x14ac:dyDescent="0.35">
      <c r="A37" s="2">
        <v>45772</v>
      </c>
      <c r="B37" t="s">
        <v>24</v>
      </c>
      <c r="C37">
        <v>1</v>
      </c>
      <c r="D37">
        <v>1</v>
      </c>
      <c r="E37">
        <v>0</v>
      </c>
      <c r="F37">
        <v>3</v>
      </c>
      <c r="G37" t="s">
        <v>4256</v>
      </c>
    </row>
    <row r="38" spans="1:7" x14ac:dyDescent="0.35">
      <c r="A38" s="2">
        <v>45329</v>
      </c>
      <c r="B38" t="s">
        <v>63</v>
      </c>
      <c r="C38">
        <v>3</v>
      </c>
      <c r="D38">
        <v>5</v>
      </c>
      <c r="E38">
        <v>1</v>
      </c>
      <c r="F38">
        <v>4</v>
      </c>
      <c r="G38" t="s">
        <v>4256</v>
      </c>
    </row>
    <row r="39" spans="1:7" x14ac:dyDescent="0.35">
      <c r="A39" s="2">
        <v>45877</v>
      </c>
      <c r="B39" t="s">
        <v>30</v>
      </c>
      <c r="C39">
        <v>7</v>
      </c>
      <c r="D39">
        <v>5</v>
      </c>
      <c r="E39">
        <v>1</v>
      </c>
      <c r="F39">
        <v>4</v>
      </c>
      <c r="G39" t="s">
        <v>4254</v>
      </c>
    </row>
    <row r="40" spans="1:7" x14ac:dyDescent="0.35">
      <c r="A40" s="2">
        <v>45338</v>
      </c>
      <c r="B40" t="s">
        <v>24</v>
      </c>
      <c r="C40">
        <v>10</v>
      </c>
      <c r="D40">
        <v>1</v>
      </c>
      <c r="E40">
        <v>2</v>
      </c>
      <c r="F40">
        <v>2</v>
      </c>
      <c r="G40" t="s">
        <v>4256</v>
      </c>
    </row>
    <row r="41" spans="1:7" x14ac:dyDescent="0.35">
      <c r="A41" s="2">
        <v>45208</v>
      </c>
      <c r="B41" t="s">
        <v>63</v>
      </c>
      <c r="C41">
        <v>8</v>
      </c>
      <c r="D41">
        <v>1</v>
      </c>
      <c r="E41">
        <v>2</v>
      </c>
      <c r="F41">
        <v>3</v>
      </c>
      <c r="G41" t="s">
        <v>4254</v>
      </c>
    </row>
    <row r="42" spans="1:7" x14ac:dyDescent="0.35">
      <c r="A42" s="2">
        <v>45166</v>
      </c>
      <c r="B42" t="s">
        <v>44</v>
      </c>
      <c r="C42">
        <v>15</v>
      </c>
      <c r="D42">
        <v>2</v>
      </c>
      <c r="E42">
        <v>0</v>
      </c>
      <c r="F42">
        <v>7</v>
      </c>
      <c r="G42" t="s">
        <v>4255</v>
      </c>
    </row>
    <row r="43" spans="1:7" x14ac:dyDescent="0.35">
      <c r="A43" s="2">
        <v>45747</v>
      </c>
      <c r="B43" t="s">
        <v>44</v>
      </c>
      <c r="C43">
        <v>12</v>
      </c>
      <c r="D43">
        <v>5</v>
      </c>
      <c r="E43">
        <v>3</v>
      </c>
      <c r="F43">
        <v>10</v>
      </c>
      <c r="G43" t="s">
        <v>4256</v>
      </c>
    </row>
    <row r="44" spans="1:7" x14ac:dyDescent="0.35">
      <c r="A44" s="2">
        <v>46265</v>
      </c>
      <c r="B44" t="s">
        <v>13</v>
      </c>
      <c r="C44">
        <v>2</v>
      </c>
      <c r="D44">
        <v>4</v>
      </c>
      <c r="E44">
        <v>3</v>
      </c>
      <c r="F44">
        <v>2</v>
      </c>
      <c r="G44" t="s">
        <v>4256</v>
      </c>
    </row>
    <row r="45" spans="1:7" x14ac:dyDescent="0.35">
      <c r="A45" s="2">
        <v>45726</v>
      </c>
      <c r="B45" t="s">
        <v>13</v>
      </c>
      <c r="C45">
        <v>14</v>
      </c>
      <c r="D45">
        <v>2</v>
      </c>
      <c r="E45">
        <v>2</v>
      </c>
      <c r="F45">
        <v>3</v>
      </c>
      <c r="G45" t="s">
        <v>4255</v>
      </c>
    </row>
    <row r="46" spans="1:7" x14ac:dyDescent="0.35">
      <c r="A46" s="2">
        <v>45994</v>
      </c>
      <c r="B46" t="s">
        <v>39</v>
      </c>
      <c r="C46">
        <v>18</v>
      </c>
      <c r="D46">
        <v>5</v>
      </c>
      <c r="E46">
        <v>2</v>
      </c>
      <c r="F46">
        <v>1</v>
      </c>
      <c r="G46" t="s">
        <v>4256</v>
      </c>
    </row>
    <row r="47" spans="1:7" x14ac:dyDescent="0.35">
      <c r="A47" s="2">
        <v>46145</v>
      </c>
      <c r="B47" t="s">
        <v>13</v>
      </c>
      <c r="C47">
        <v>9</v>
      </c>
      <c r="D47">
        <v>1</v>
      </c>
      <c r="E47">
        <v>3</v>
      </c>
      <c r="F47">
        <v>4</v>
      </c>
      <c r="G47" t="s">
        <v>4254</v>
      </c>
    </row>
    <row r="48" spans="1:7" x14ac:dyDescent="0.35">
      <c r="A48" s="2">
        <v>44798</v>
      </c>
      <c r="B48" t="s">
        <v>39</v>
      </c>
      <c r="C48">
        <v>6</v>
      </c>
      <c r="D48">
        <v>3</v>
      </c>
      <c r="E48">
        <v>1</v>
      </c>
      <c r="F48">
        <v>7</v>
      </c>
      <c r="G48" t="s">
        <v>4256</v>
      </c>
    </row>
    <row r="49" spans="1:7" x14ac:dyDescent="0.35">
      <c r="A49" s="2">
        <v>45223</v>
      </c>
      <c r="B49" t="s">
        <v>44</v>
      </c>
      <c r="C49">
        <v>19</v>
      </c>
      <c r="D49">
        <v>3</v>
      </c>
      <c r="E49">
        <v>0</v>
      </c>
      <c r="F49">
        <v>5</v>
      </c>
      <c r="G49" t="s">
        <v>4256</v>
      </c>
    </row>
    <row r="50" spans="1:7" x14ac:dyDescent="0.35">
      <c r="A50" s="2">
        <v>44776</v>
      </c>
      <c r="B50" t="s">
        <v>24</v>
      </c>
      <c r="C50">
        <v>12</v>
      </c>
      <c r="D50">
        <v>0</v>
      </c>
      <c r="E50">
        <v>1</v>
      </c>
      <c r="F50">
        <v>6</v>
      </c>
      <c r="G50" t="s">
        <v>4255</v>
      </c>
    </row>
    <row r="51" spans="1:7" x14ac:dyDescent="0.35">
      <c r="A51" s="2">
        <v>45247</v>
      </c>
      <c r="B51" t="s">
        <v>44</v>
      </c>
      <c r="C51">
        <v>4</v>
      </c>
      <c r="D51">
        <v>1</v>
      </c>
      <c r="E51">
        <v>2</v>
      </c>
      <c r="F51">
        <v>4</v>
      </c>
      <c r="G51" t="s">
        <v>4254</v>
      </c>
    </row>
    <row r="52" spans="1:7" x14ac:dyDescent="0.35">
      <c r="A52" s="2">
        <v>45518</v>
      </c>
      <c r="B52" t="s">
        <v>39</v>
      </c>
      <c r="C52">
        <v>6</v>
      </c>
      <c r="D52">
        <v>0</v>
      </c>
      <c r="E52">
        <v>3</v>
      </c>
      <c r="F52">
        <v>9</v>
      </c>
      <c r="G52" t="s">
        <v>4255</v>
      </c>
    </row>
    <row r="53" spans="1:7" x14ac:dyDescent="0.35">
      <c r="A53" s="2">
        <v>45777</v>
      </c>
      <c r="B53" t="s">
        <v>39</v>
      </c>
      <c r="C53">
        <v>14</v>
      </c>
      <c r="D53">
        <v>5</v>
      </c>
      <c r="E53">
        <v>3</v>
      </c>
      <c r="F53">
        <v>7</v>
      </c>
      <c r="G53" t="s">
        <v>4254</v>
      </c>
    </row>
    <row r="54" spans="1:7" x14ac:dyDescent="0.35">
      <c r="A54" s="2">
        <v>45079</v>
      </c>
      <c r="B54" t="s">
        <v>24</v>
      </c>
      <c r="C54">
        <v>12</v>
      </c>
      <c r="D54">
        <v>4</v>
      </c>
      <c r="E54">
        <v>2</v>
      </c>
      <c r="F54">
        <v>7</v>
      </c>
      <c r="G54" t="s">
        <v>4256</v>
      </c>
    </row>
    <row r="55" spans="1:7" x14ac:dyDescent="0.35">
      <c r="A55" s="2">
        <v>45383</v>
      </c>
      <c r="B55" t="s">
        <v>44</v>
      </c>
      <c r="C55">
        <v>2</v>
      </c>
      <c r="D55">
        <v>1</v>
      </c>
      <c r="E55">
        <v>0</v>
      </c>
      <c r="F55">
        <v>6</v>
      </c>
      <c r="G55" t="s">
        <v>4255</v>
      </c>
    </row>
    <row r="56" spans="1:7" x14ac:dyDescent="0.35">
      <c r="A56" s="2">
        <v>46147</v>
      </c>
      <c r="B56" t="s">
        <v>44</v>
      </c>
      <c r="C56">
        <v>19</v>
      </c>
      <c r="D56">
        <v>3</v>
      </c>
      <c r="E56">
        <v>0</v>
      </c>
      <c r="F56">
        <v>2</v>
      </c>
      <c r="G56" t="s">
        <v>4256</v>
      </c>
    </row>
    <row r="57" spans="1:7" x14ac:dyDescent="0.35">
      <c r="A57" s="2">
        <v>44902</v>
      </c>
      <c r="B57" t="s">
        <v>44</v>
      </c>
      <c r="C57">
        <v>20</v>
      </c>
      <c r="D57">
        <v>5</v>
      </c>
      <c r="E57">
        <v>1</v>
      </c>
      <c r="F57">
        <v>9</v>
      </c>
      <c r="G57" t="s">
        <v>4254</v>
      </c>
    </row>
    <row r="58" spans="1:7" x14ac:dyDescent="0.35">
      <c r="A58" s="2">
        <v>44828</v>
      </c>
      <c r="B58" t="s">
        <v>24</v>
      </c>
      <c r="C58">
        <v>11</v>
      </c>
      <c r="D58">
        <v>0</v>
      </c>
      <c r="E58">
        <v>0</v>
      </c>
      <c r="F58">
        <v>4</v>
      </c>
      <c r="G58" t="s">
        <v>4254</v>
      </c>
    </row>
    <row r="59" spans="1:7" x14ac:dyDescent="0.35">
      <c r="A59" s="2">
        <v>46203</v>
      </c>
      <c r="B59" t="s">
        <v>44</v>
      </c>
      <c r="C59">
        <v>15</v>
      </c>
      <c r="D59">
        <v>3</v>
      </c>
      <c r="E59">
        <v>1</v>
      </c>
      <c r="F59">
        <v>7</v>
      </c>
      <c r="G59" t="s">
        <v>4254</v>
      </c>
    </row>
    <row r="60" spans="1:7" x14ac:dyDescent="0.35">
      <c r="A60" s="2">
        <v>45910</v>
      </c>
      <c r="B60" t="s">
        <v>13</v>
      </c>
      <c r="C60">
        <v>7</v>
      </c>
      <c r="D60">
        <v>1</v>
      </c>
      <c r="E60">
        <v>2</v>
      </c>
      <c r="F60">
        <v>4</v>
      </c>
      <c r="G60" t="s">
        <v>4254</v>
      </c>
    </row>
    <row r="61" spans="1:7" x14ac:dyDescent="0.35">
      <c r="A61" s="2">
        <v>44940</v>
      </c>
      <c r="B61" t="s">
        <v>13</v>
      </c>
      <c r="C61">
        <v>7</v>
      </c>
      <c r="D61">
        <v>3</v>
      </c>
      <c r="E61">
        <v>0</v>
      </c>
      <c r="F61">
        <v>3</v>
      </c>
      <c r="G61" t="s">
        <v>4254</v>
      </c>
    </row>
    <row r="62" spans="1:7" x14ac:dyDescent="0.35">
      <c r="A62" s="2">
        <v>45964</v>
      </c>
      <c r="B62" t="s">
        <v>39</v>
      </c>
      <c r="C62">
        <v>12</v>
      </c>
      <c r="D62">
        <v>0</v>
      </c>
      <c r="E62">
        <v>3</v>
      </c>
      <c r="F62">
        <v>2</v>
      </c>
      <c r="G62" t="s">
        <v>4255</v>
      </c>
    </row>
    <row r="63" spans="1:7" x14ac:dyDescent="0.35">
      <c r="A63" s="2">
        <v>44766</v>
      </c>
      <c r="B63" t="s">
        <v>63</v>
      </c>
      <c r="C63">
        <v>18</v>
      </c>
      <c r="D63">
        <v>5</v>
      </c>
      <c r="E63">
        <v>3</v>
      </c>
      <c r="F63">
        <v>3</v>
      </c>
      <c r="G63" t="s">
        <v>4255</v>
      </c>
    </row>
    <row r="64" spans="1:7" x14ac:dyDescent="0.35">
      <c r="A64" s="2">
        <v>45930</v>
      </c>
      <c r="B64" t="s">
        <v>63</v>
      </c>
      <c r="C64">
        <v>15</v>
      </c>
      <c r="D64">
        <v>5</v>
      </c>
      <c r="E64">
        <v>1</v>
      </c>
      <c r="F64">
        <v>1</v>
      </c>
      <c r="G64" t="s">
        <v>4255</v>
      </c>
    </row>
    <row r="65" spans="1:7" x14ac:dyDescent="0.35">
      <c r="A65" s="2">
        <v>44825</v>
      </c>
      <c r="B65" t="s">
        <v>44</v>
      </c>
      <c r="C65">
        <v>5</v>
      </c>
      <c r="D65">
        <v>3</v>
      </c>
      <c r="E65">
        <v>2</v>
      </c>
      <c r="F65">
        <v>4</v>
      </c>
      <c r="G65" t="s">
        <v>4256</v>
      </c>
    </row>
    <row r="66" spans="1:7" x14ac:dyDescent="0.35">
      <c r="A66" s="2">
        <v>46057</v>
      </c>
      <c r="B66" t="s">
        <v>30</v>
      </c>
      <c r="C66">
        <v>14</v>
      </c>
      <c r="D66">
        <v>4</v>
      </c>
      <c r="E66">
        <v>3</v>
      </c>
      <c r="F66">
        <v>8</v>
      </c>
      <c r="G66" t="s">
        <v>4254</v>
      </c>
    </row>
    <row r="67" spans="1:7" x14ac:dyDescent="0.35">
      <c r="A67" s="2">
        <v>45272</v>
      </c>
      <c r="B67" t="s">
        <v>63</v>
      </c>
      <c r="C67">
        <v>19</v>
      </c>
      <c r="D67">
        <v>0</v>
      </c>
      <c r="E67">
        <v>1</v>
      </c>
      <c r="F67">
        <v>9</v>
      </c>
      <c r="G67" t="s">
        <v>4254</v>
      </c>
    </row>
    <row r="68" spans="1:7" x14ac:dyDescent="0.35">
      <c r="A68" s="2">
        <v>46134</v>
      </c>
      <c r="B68" t="s">
        <v>13</v>
      </c>
      <c r="C68">
        <v>12</v>
      </c>
      <c r="D68">
        <v>2</v>
      </c>
      <c r="E68">
        <v>2</v>
      </c>
      <c r="F68">
        <v>8</v>
      </c>
      <c r="G68" t="s">
        <v>4254</v>
      </c>
    </row>
    <row r="69" spans="1:7" x14ac:dyDescent="0.35">
      <c r="A69" s="2">
        <v>45812</v>
      </c>
      <c r="B69" t="s">
        <v>39</v>
      </c>
      <c r="C69">
        <v>13</v>
      </c>
      <c r="D69">
        <v>0</v>
      </c>
      <c r="E69">
        <v>1</v>
      </c>
      <c r="F69">
        <v>2</v>
      </c>
      <c r="G69" t="s">
        <v>4255</v>
      </c>
    </row>
    <row r="70" spans="1:7" x14ac:dyDescent="0.35">
      <c r="A70" s="2">
        <v>44946</v>
      </c>
      <c r="B70" t="s">
        <v>19</v>
      </c>
      <c r="C70">
        <v>7</v>
      </c>
      <c r="D70">
        <v>2</v>
      </c>
      <c r="E70">
        <v>3</v>
      </c>
      <c r="F70">
        <v>1</v>
      </c>
      <c r="G70" t="s">
        <v>4255</v>
      </c>
    </row>
    <row r="71" spans="1:7" x14ac:dyDescent="0.35">
      <c r="A71" s="2">
        <v>45348</v>
      </c>
      <c r="B71" t="s">
        <v>24</v>
      </c>
      <c r="C71">
        <v>6</v>
      </c>
      <c r="D71">
        <v>3</v>
      </c>
      <c r="E71">
        <v>1</v>
      </c>
      <c r="F71">
        <v>4</v>
      </c>
      <c r="G71" t="s">
        <v>4255</v>
      </c>
    </row>
    <row r="72" spans="1:7" x14ac:dyDescent="0.35">
      <c r="A72" s="2">
        <v>45354</v>
      </c>
      <c r="B72" t="s">
        <v>24</v>
      </c>
      <c r="C72">
        <v>16</v>
      </c>
      <c r="D72">
        <v>0</v>
      </c>
      <c r="E72">
        <v>2</v>
      </c>
      <c r="F72">
        <v>6</v>
      </c>
      <c r="G72" t="s">
        <v>4254</v>
      </c>
    </row>
    <row r="73" spans="1:7" x14ac:dyDescent="0.35">
      <c r="A73" s="2">
        <v>44896</v>
      </c>
      <c r="B73" t="s">
        <v>63</v>
      </c>
      <c r="C73">
        <v>17</v>
      </c>
      <c r="D73">
        <v>0</v>
      </c>
      <c r="E73">
        <v>3</v>
      </c>
      <c r="F73">
        <v>1</v>
      </c>
      <c r="G73" t="s">
        <v>4255</v>
      </c>
    </row>
    <row r="74" spans="1:7" x14ac:dyDescent="0.35">
      <c r="A74" s="2">
        <v>45967</v>
      </c>
      <c r="B74" t="s">
        <v>24</v>
      </c>
      <c r="C74">
        <v>4</v>
      </c>
      <c r="D74">
        <v>5</v>
      </c>
      <c r="E74">
        <v>3</v>
      </c>
      <c r="F74">
        <v>0</v>
      </c>
      <c r="G74" t="s">
        <v>4254</v>
      </c>
    </row>
    <row r="75" spans="1:7" x14ac:dyDescent="0.35">
      <c r="A75" s="2">
        <v>45215</v>
      </c>
      <c r="B75" t="s">
        <v>13</v>
      </c>
      <c r="C75">
        <v>19</v>
      </c>
      <c r="D75">
        <v>4</v>
      </c>
      <c r="E75">
        <v>3</v>
      </c>
      <c r="F75">
        <v>10</v>
      </c>
      <c r="G75" t="s">
        <v>4255</v>
      </c>
    </row>
    <row r="76" spans="1:7" x14ac:dyDescent="0.35">
      <c r="A76" s="2">
        <v>44585</v>
      </c>
      <c r="B76" t="s">
        <v>63</v>
      </c>
      <c r="C76">
        <v>13</v>
      </c>
      <c r="D76">
        <v>3</v>
      </c>
      <c r="E76">
        <v>0</v>
      </c>
      <c r="F76">
        <v>4</v>
      </c>
      <c r="G76" t="s">
        <v>4255</v>
      </c>
    </row>
    <row r="77" spans="1:7" x14ac:dyDescent="0.35">
      <c r="A77" s="2">
        <v>45091</v>
      </c>
      <c r="B77" t="s">
        <v>24</v>
      </c>
      <c r="C77">
        <v>4</v>
      </c>
      <c r="D77">
        <v>4</v>
      </c>
      <c r="E77">
        <v>3</v>
      </c>
      <c r="F77">
        <v>8</v>
      </c>
      <c r="G77" t="s">
        <v>4255</v>
      </c>
    </row>
    <row r="78" spans="1:7" x14ac:dyDescent="0.35">
      <c r="A78" s="2">
        <v>46161</v>
      </c>
      <c r="B78" t="s">
        <v>63</v>
      </c>
      <c r="C78">
        <v>11</v>
      </c>
      <c r="D78">
        <v>4</v>
      </c>
      <c r="E78">
        <v>2</v>
      </c>
      <c r="F78">
        <v>1</v>
      </c>
      <c r="G78" t="s">
        <v>4254</v>
      </c>
    </row>
    <row r="79" spans="1:7" x14ac:dyDescent="0.35">
      <c r="A79" s="2">
        <v>45430</v>
      </c>
      <c r="B79" t="s">
        <v>39</v>
      </c>
      <c r="C79">
        <v>13</v>
      </c>
      <c r="D79">
        <v>5</v>
      </c>
      <c r="E79">
        <v>0</v>
      </c>
      <c r="F79">
        <v>2</v>
      </c>
      <c r="G79" t="s">
        <v>4254</v>
      </c>
    </row>
    <row r="80" spans="1:7" x14ac:dyDescent="0.35">
      <c r="A80" s="2">
        <v>45252</v>
      </c>
      <c r="B80" t="s">
        <v>24</v>
      </c>
      <c r="C80">
        <v>19</v>
      </c>
      <c r="D80">
        <v>2</v>
      </c>
      <c r="E80">
        <v>1</v>
      </c>
      <c r="F80">
        <v>8</v>
      </c>
      <c r="G80" t="s">
        <v>4256</v>
      </c>
    </row>
    <row r="81" spans="1:7" x14ac:dyDescent="0.35">
      <c r="A81" s="2">
        <v>46052</v>
      </c>
      <c r="B81" t="s">
        <v>30</v>
      </c>
      <c r="C81">
        <v>15</v>
      </c>
      <c r="D81">
        <v>3</v>
      </c>
      <c r="E81">
        <v>0</v>
      </c>
      <c r="F81">
        <v>7</v>
      </c>
      <c r="G81" t="s">
        <v>4255</v>
      </c>
    </row>
    <row r="82" spans="1:7" x14ac:dyDescent="0.35">
      <c r="A82" s="2">
        <v>44643</v>
      </c>
      <c r="B82" t="s">
        <v>19</v>
      </c>
      <c r="C82">
        <v>16</v>
      </c>
      <c r="D82">
        <v>3</v>
      </c>
      <c r="E82">
        <v>2</v>
      </c>
      <c r="F82">
        <v>0</v>
      </c>
      <c r="G82" t="s">
        <v>4256</v>
      </c>
    </row>
    <row r="83" spans="1:7" x14ac:dyDescent="0.35">
      <c r="A83" s="2">
        <v>45967</v>
      </c>
      <c r="B83" t="s">
        <v>44</v>
      </c>
      <c r="C83">
        <v>9</v>
      </c>
      <c r="D83">
        <v>3</v>
      </c>
      <c r="E83">
        <v>2</v>
      </c>
      <c r="F83">
        <v>10</v>
      </c>
      <c r="G83" t="s">
        <v>4255</v>
      </c>
    </row>
    <row r="84" spans="1:7" x14ac:dyDescent="0.35">
      <c r="A84" s="2">
        <v>46132</v>
      </c>
      <c r="B84" t="s">
        <v>30</v>
      </c>
      <c r="C84">
        <v>1</v>
      </c>
      <c r="D84">
        <v>4</v>
      </c>
      <c r="E84">
        <v>2</v>
      </c>
      <c r="F84">
        <v>2</v>
      </c>
      <c r="G84" t="s">
        <v>4255</v>
      </c>
    </row>
    <row r="85" spans="1:7" x14ac:dyDescent="0.35">
      <c r="A85" s="2">
        <v>45292</v>
      </c>
      <c r="B85" t="s">
        <v>63</v>
      </c>
      <c r="C85">
        <v>1</v>
      </c>
      <c r="D85">
        <v>3</v>
      </c>
      <c r="E85">
        <v>2</v>
      </c>
      <c r="F85">
        <v>4</v>
      </c>
      <c r="G85" t="s">
        <v>4256</v>
      </c>
    </row>
    <row r="86" spans="1:7" x14ac:dyDescent="0.35">
      <c r="A86" s="2">
        <v>44634</v>
      </c>
      <c r="B86" t="s">
        <v>39</v>
      </c>
      <c r="C86">
        <v>4</v>
      </c>
      <c r="D86">
        <v>2</v>
      </c>
      <c r="E86">
        <v>0</v>
      </c>
      <c r="F86">
        <v>8</v>
      </c>
      <c r="G86" t="s">
        <v>4256</v>
      </c>
    </row>
    <row r="87" spans="1:7" x14ac:dyDescent="0.35">
      <c r="A87" s="2">
        <v>45373</v>
      </c>
      <c r="B87" t="s">
        <v>13</v>
      </c>
      <c r="C87">
        <v>6</v>
      </c>
      <c r="D87">
        <v>0</v>
      </c>
      <c r="E87">
        <v>0</v>
      </c>
      <c r="F87">
        <v>2</v>
      </c>
      <c r="G87" t="s">
        <v>4256</v>
      </c>
    </row>
    <row r="88" spans="1:7" x14ac:dyDescent="0.35">
      <c r="A88" s="2">
        <v>44858</v>
      </c>
      <c r="B88" t="s">
        <v>24</v>
      </c>
      <c r="C88">
        <v>16</v>
      </c>
      <c r="D88">
        <v>3</v>
      </c>
      <c r="E88">
        <v>2</v>
      </c>
      <c r="F88">
        <v>5</v>
      </c>
      <c r="G88" t="s">
        <v>4255</v>
      </c>
    </row>
    <row r="89" spans="1:7" x14ac:dyDescent="0.35">
      <c r="A89" s="2">
        <v>45973</v>
      </c>
      <c r="B89" t="s">
        <v>39</v>
      </c>
      <c r="C89">
        <v>8</v>
      </c>
      <c r="D89">
        <v>5</v>
      </c>
      <c r="E89">
        <v>3</v>
      </c>
      <c r="F89">
        <v>0</v>
      </c>
      <c r="G89" t="s">
        <v>4254</v>
      </c>
    </row>
    <row r="90" spans="1:7" x14ac:dyDescent="0.35">
      <c r="A90" s="2">
        <v>45230</v>
      </c>
      <c r="B90" t="s">
        <v>44</v>
      </c>
      <c r="C90">
        <v>2</v>
      </c>
      <c r="D90">
        <v>1</v>
      </c>
      <c r="E90">
        <v>0</v>
      </c>
      <c r="F90">
        <v>6</v>
      </c>
      <c r="G90" t="s">
        <v>4256</v>
      </c>
    </row>
    <row r="91" spans="1:7" x14ac:dyDescent="0.35">
      <c r="A91" s="2">
        <v>46047</v>
      </c>
      <c r="B91" t="s">
        <v>19</v>
      </c>
      <c r="C91">
        <v>11</v>
      </c>
      <c r="D91">
        <v>5</v>
      </c>
      <c r="E91">
        <v>2</v>
      </c>
      <c r="F91">
        <v>6</v>
      </c>
      <c r="G91" t="s">
        <v>4255</v>
      </c>
    </row>
    <row r="92" spans="1:7" x14ac:dyDescent="0.35">
      <c r="A92" s="2">
        <v>44607</v>
      </c>
      <c r="B92" t="s">
        <v>13</v>
      </c>
      <c r="C92">
        <v>9</v>
      </c>
      <c r="D92">
        <v>5</v>
      </c>
      <c r="E92">
        <v>0</v>
      </c>
      <c r="F92">
        <v>6</v>
      </c>
      <c r="G92" t="s">
        <v>4254</v>
      </c>
    </row>
    <row r="93" spans="1:7" x14ac:dyDescent="0.35">
      <c r="A93" s="2">
        <v>46187</v>
      </c>
      <c r="B93" t="s">
        <v>13</v>
      </c>
      <c r="C93">
        <v>19</v>
      </c>
      <c r="D93">
        <v>2</v>
      </c>
      <c r="E93">
        <v>2</v>
      </c>
      <c r="F93">
        <v>9</v>
      </c>
      <c r="G93" t="s">
        <v>4256</v>
      </c>
    </row>
    <row r="94" spans="1:7" x14ac:dyDescent="0.35">
      <c r="A94" s="2">
        <v>45666</v>
      </c>
      <c r="B94" t="s">
        <v>30</v>
      </c>
      <c r="C94">
        <v>8</v>
      </c>
      <c r="D94">
        <v>5</v>
      </c>
      <c r="E94">
        <v>0</v>
      </c>
      <c r="F94">
        <v>5</v>
      </c>
      <c r="G94" t="s">
        <v>4256</v>
      </c>
    </row>
    <row r="95" spans="1:7" x14ac:dyDescent="0.35">
      <c r="A95" s="2">
        <v>45530</v>
      </c>
      <c r="B95" t="s">
        <v>13</v>
      </c>
      <c r="C95">
        <v>14</v>
      </c>
      <c r="D95">
        <v>2</v>
      </c>
      <c r="E95">
        <v>1</v>
      </c>
      <c r="F95">
        <v>4</v>
      </c>
      <c r="G95" t="s">
        <v>4256</v>
      </c>
    </row>
    <row r="96" spans="1:7" x14ac:dyDescent="0.35">
      <c r="A96" s="2">
        <v>45937</v>
      </c>
      <c r="B96" t="s">
        <v>19</v>
      </c>
      <c r="C96">
        <v>20</v>
      </c>
      <c r="D96">
        <v>3</v>
      </c>
      <c r="E96">
        <v>1</v>
      </c>
      <c r="F96">
        <v>10</v>
      </c>
      <c r="G96" t="s">
        <v>4255</v>
      </c>
    </row>
    <row r="97" spans="1:7" x14ac:dyDescent="0.35">
      <c r="A97" s="2">
        <v>45120</v>
      </c>
      <c r="B97" t="s">
        <v>19</v>
      </c>
      <c r="C97">
        <v>14</v>
      </c>
      <c r="D97">
        <v>1</v>
      </c>
      <c r="E97">
        <v>0</v>
      </c>
      <c r="F97">
        <v>6</v>
      </c>
      <c r="G97" t="s">
        <v>4256</v>
      </c>
    </row>
    <row r="98" spans="1:7" x14ac:dyDescent="0.35">
      <c r="A98" s="2">
        <v>44827</v>
      </c>
      <c r="B98" t="s">
        <v>44</v>
      </c>
      <c r="C98">
        <v>9</v>
      </c>
      <c r="D98">
        <v>3</v>
      </c>
      <c r="E98">
        <v>2</v>
      </c>
      <c r="F98">
        <v>1</v>
      </c>
      <c r="G98" t="s">
        <v>4254</v>
      </c>
    </row>
    <row r="99" spans="1:7" x14ac:dyDescent="0.35">
      <c r="A99" s="2">
        <v>45022</v>
      </c>
      <c r="B99" t="s">
        <v>19</v>
      </c>
      <c r="C99">
        <v>11</v>
      </c>
      <c r="D99">
        <v>1</v>
      </c>
      <c r="E99">
        <v>0</v>
      </c>
      <c r="F99">
        <v>9</v>
      </c>
      <c r="G99" t="s">
        <v>4255</v>
      </c>
    </row>
    <row r="100" spans="1:7" x14ac:dyDescent="0.35">
      <c r="A100" s="2">
        <v>46053</v>
      </c>
      <c r="B100" t="s">
        <v>24</v>
      </c>
      <c r="C100">
        <v>20</v>
      </c>
      <c r="D100">
        <v>3</v>
      </c>
      <c r="E100">
        <v>3</v>
      </c>
      <c r="F100">
        <v>10</v>
      </c>
      <c r="G100" t="s">
        <v>4256</v>
      </c>
    </row>
    <row r="101" spans="1:7" x14ac:dyDescent="0.35">
      <c r="A101" s="2">
        <v>45235</v>
      </c>
      <c r="B101" t="s">
        <v>39</v>
      </c>
      <c r="C101">
        <v>13</v>
      </c>
      <c r="D101">
        <v>3</v>
      </c>
      <c r="E101">
        <v>0</v>
      </c>
      <c r="F101">
        <v>5</v>
      </c>
      <c r="G101" t="s">
        <v>4255</v>
      </c>
    </row>
    <row r="102" spans="1:7" x14ac:dyDescent="0.35">
      <c r="A102" s="2">
        <v>45216</v>
      </c>
      <c r="B102" t="s">
        <v>44</v>
      </c>
      <c r="C102">
        <v>15</v>
      </c>
      <c r="D102">
        <v>1</v>
      </c>
      <c r="E102">
        <v>3</v>
      </c>
      <c r="F102">
        <v>7</v>
      </c>
      <c r="G102" t="s">
        <v>4254</v>
      </c>
    </row>
    <row r="103" spans="1:7" x14ac:dyDescent="0.35">
      <c r="A103" s="2">
        <v>45652</v>
      </c>
      <c r="B103" t="s">
        <v>24</v>
      </c>
      <c r="C103">
        <v>6</v>
      </c>
      <c r="D103">
        <v>5</v>
      </c>
      <c r="E103">
        <v>3</v>
      </c>
      <c r="F103">
        <v>4</v>
      </c>
      <c r="G103" t="s">
        <v>4255</v>
      </c>
    </row>
    <row r="104" spans="1:7" x14ac:dyDescent="0.35">
      <c r="A104" s="2">
        <v>44628</v>
      </c>
      <c r="B104" t="s">
        <v>24</v>
      </c>
      <c r="C104">
        <v>19</v>
      </c>
      <c r="D104">
        <v>0</v>
      </c>
      <c r="E104">
        <v>3</v>
      </c>
      <c r="F104">
        <v>8</v>
      </c>
      <c r="G104" t="s">
        <v>4255</v>
      </c>
    </row>
    <row r="105" spans="1:7" x14ac:dyDescent="0.35">
      <c r="A105" s="2">
        <v>44732</v>
      </c>
      <c r="B105" t="s">
        <v>13</v>
      </c>
      <c r="C105">
        <v>17</v>
      </c>
      <c r="D105">
        <v>2</v>
      </c>
      <c r="E105">
        <v>2</v>
      </c>
      <c r="F105">
        <v>4</v>
      </c>
      <c r="G105" t="s">
        <v>4255</v>
      </c>
    </row>
    <row r="106" spans="1:7" x14ac:dyDescent="0.35">
      <c r="A106" s="2">
        <v>45486</v>
      </c>
      <c r="B106" t="s">
        <v>24</v>
      </c>
      <c r="C106">
        <v>15</v>
      </c>
      <c r="D106">
        <v>0</v>
      </c>
      <c r="E106">
        <v>1</v>
      </c>
      <c r="F106">
        <v>9</v>
      </c>
      <c r="G106" t="s">
        <v>4256</v>
      </c>
    </row>
    <row r="107" spans="1:7" x14ac:dyDescent="0.35">
      <c r="A107" s="2">
        <v>44903</v>
      </c>
      <c r="B107" t="s">
        <v>39</v>
      </c>
      <c r="C107">
        <v>12</v>
      </c>
      <c r="D107">
        <v>4</v>
      </c>
      <c r="E107">
        <v>3</v>
      </c>
      <c r="F107">
        <v>6</v>
      </c>
      <c r="G107" t="s">
        <v>4254</v>
      </c>
    </row>
    <row r="108" spans="1:7" x14ac:dyDescent="0.35">
      <c r="A108" s="2">
        <v>46100</v>
      </c>
      <c r="B108" t="s">
        <v>44</v>
      </c>
      <c r="C108">
        <v>18</v>
      </c>
      <c r="D108">
        <v>5</v>
      </c>
      <c r="E108">
        <v>3</v>
      </c>
      <c r="F108">
        <v>3</v>
      </c>
      <c r="G108" t="s">
        <v>4255</v>
      </c>
    </row>
    <row r="109" spans="1:7" x14ac:dyDescent="0.35">
      <c r="A109" s="2">
        <v>45662</v>
      </c>
      <c r="B109" t="s">
        <v>13</v>
      </c>
      <c r="C109">
        <v>13</v>
      </c>
      <c r="D109">
        <v>4</v>
      </c>
      <c r="E109">
        <v>0</v>
      </c>
      <c r="F109">
        <v>1</v>
      </c>
      <c r="G109" t="s">
        <v>4255</v>
      </c>
    </row>
    <row r="110" spans="1:7" x14ac:dyDescent="0.35">
      <c r="A110" s="2">
        <v>45009</v>
      </c>
      <c r="B110" t="s">
        <v>13</v>
      </c>
      <c r="C110">
        <v>4</v>
      </c>
      <c r="D110">
        <v>4</v>
      </c>
      <c r="E110">
        <v>2</v>
      </c>
      <c r="F110">
        <v>2</v>
      </c>
      <c r="G110" t="s">
        <v>4254</v>
      </c>
    </row>
    <row r="111" spans="1:7" x14ac:dyDescent="0.35">
      <c r="A111" s="2">
        <v>46132</v>
      </c>
      <c r="B111" t="s">
        <v>30</v>
      </c>
      <c r="C111">
        <v>13</v>
      </c>
      <c r="D111">
        <v>4</v>
      </c>
      <c r="E111">
        <v>3</v>
      </c>
      <c r="F111">
        <v>5</v>
      </c>
      <c r="G111" t="s">
        <v>4254</v>
      </c>
    </row>
    <row r="112" spans="1:7" x14ac:dyDescent="0.35">
      <c r="A112" s="2">
        <v>45418</v>
      </c>
      <c r="B112" t="s">
        <v>39</v>
      </c>
      <c r="C112">
        <v>9</v>
      </c>
      <c r="D112">
        <v>2</v>
      </c>
      <c r="E112">
        <v>2</v>
      </c>
      <c r="F112">
        <v>10</v>
      </c>
      <c r="G112" t="s">
        <v>4254</v>
      </c>
    </row>
    <row r="113" spans="1:7" x14ac:dyDescent="0.35">
      <c r="A113" s="2">
        <v>45922</v>
      </c>
      <c r="B113" t="s">
        <v>24</v>
      </c>
      <c r="C113">
        <v>11</v>
      </c>
      <c r="D113">
        <v>4</v>
      </c>
      <c r="E113">
        <v>3</v>
      </c>
      <c r="F113">
        <v>3</v>
      </c>
      <c r="G113" t="s">
        <v>4255</v>
      </c>
    </row>
    <row r="114" spans="1:7" x14ac:dyDescent="0.35">
      <c r="A114" s="2">
        <v>45575</v>
      </c>
      <c r="B114" t="s">
        <v>30</v>
      </c>
      <c r="C114">
        <v>15</v>
      </c>
      <c r="D114">
        <v>2</v>
      </c>
      <c r="E114">
        <v>3</v>
      </c>
      <c r="F114">
        <v>2</v>
      </c>
      <c r="G114" t="s">
        <v>4254</v>
      </c>
    </row>
    <row r="115" spans="1:7" x14ac:dyDescent="0.35">
      <c r="A115" s="2">
        <v>45381</v>
      </c>
      <c r="B115" t="s">
        <v>44</v>
      </c>
      <c r="C115">
        <v>1</v>
      </c>
      <c r="D115">
        <v>4</v>
      </c>
      <c r="E115">
        <v>2</v>
      </c>
      <c r="F115">
        <v>7</v>
      </c>
      <c r="G115" t="s">
        <v>4256</v>
      </c>
    </row>
    <row r="116" spans="1:7" x14ac:dyDescent="0.35">
      <c r="A116" s="2">
        <v>44914</v>
      </c>
      <c r="B116" t="s">
        <v>24</v>
      </c>
      <c r="C116">
        <v>4</v>
      </c>
      <c r="D116">
        <v>3</v>
      </c>
      <c r="E116">
        <v>3</v>
      </c>
      <c r="F116">
        <v>6</v>
      </c>
      <c r="G116" t="s">
        <v>4255</v>
      </c>
    </row>
    <row r="117" spans="1:7" x14ac:dyDescent="0.35">
      <c r="A117" s="2">
        <v>44948</v>
      </c>
      <c r="B117" t="s">
        <v>24</v>
      </c>
      <c r="C117">
        <v>1</v>
      </c>
      <c r="D117">
        <v>4</v>
      </c>
      <c r="E117">
        <v>1</v>
      </c>
      <c r="F117">
        <v>2</v>
      </c>
      <c r="G117" t="s">
        <v>4256</v>
      </c>
    </row>
    <row r="118" spans="1:7" x14ac:dyDescent="0.35">
      <c r="A118" s="2">
        <v>45831</v>
      </c>
      <c r="B118" t="s">
        <v>39</v>
      </c>
      <c r="C118">
        <v>3</v>
      </c>
      <c r="D118">
        <v>4</v>
      </c>
      <c r="E118">
        <v>3</v>
      </c>
      <c r="F118">
        <v>0</v>
      </c>
      <c r="G118" t="s">
        <v>4255</v>
      </c>
    </row>
    <row r="119" spans="1:7" x14ac:dyDescent="0.35">
      <c r="A119" s="2">
        <v>45810</v>
      </c>
      <c r="B119" t="s">
        <v>13</v>
      </c>
      <c r="C119">
        <v>6</v>
      </c>
      <c r="D119">
        <v>4</v>
      </c>
      <c r="E119">
        <v>3</v>
      </c>
      <c r="F119">
        <v>10</v>
      </c>
      <c r="G119" t="s">
        <v>4254</v>
      </c>
    </row>
    <row r="120" spans="1:7" x14ac:dyDescent="0.35">
      <c r="A120" s="2">
        <v>45320</v>
      </c>
      <c r="B120" t="s">
        <v>19</v>
      </c>
      <c r="C120">
        <v>20</v>
      </c>
      <c r="D120">
        <v>5</v>
      </c>
      <c r="E120">
        <v>3</v>
      </c>
      <c r="F120">
        <v>8</v>
      </c>
      <c r="G120" t="s">
        <v>4256</v>
      </c>
    </row>
    <row r="121" spans="1:7" x14ac:dyDescent="0.35">
      <c r="A121" s="2">
        <v>46330</v>
      </c>
      <c r="B121" t="s">
        <v>13</v>
      </c>
      <c r="C121">
        <v>6</v>
      </c>
      <c r="D121">
        <v>3</v>
      </c>
      <c r="E121">
        <v>2</v>
      </c>
      <c r="F121">
        <v>3</v>
      </c>
      <c r="G121" t="s">
        <v>4254</v>
      </c>
    </row>
    <row r="122" spans="1:7" x14ac:dyDescent="0.35">
      <c r="A122" s="2">
        <v>45529</v>
      </c>
      <c r="B122" t="s">
        <v>24</v>
      </c>
      <c r="C122">
        <v>7</v>
      </c>
      <c r="D122">
        <v>2</v>
      </c>
      <c r="E122">
        <v>1</v>
      </c>
      <c r="F122">
        <v>4</v>
      </c>
      <c r="G122" t="s">
        <v>4254</v>
      </c>
    </row>
    <row r="123" spans="1:7" x14ac:dyDescent="0.35">
      <c r="A123" s="2">
        <v>44625</v>
      </c>
      <c r="B123" t="s">
        <v>13</v>
      </c>
      <c r="C123">
        <v>19</v>
      </c>
      <c r="D123">
        <v>3</v>
      </c>
      <c r="E123">
        <v>3</v>
      </c>
      <c r="F123">
        <v>3</v>
      </c>
      <c r="G123" t="s">
        <v>4256</v>
      </c>
    </row>
    <row r="124" spans="1:7" x14ac:dyDescent="0.35">
      <c r="A124" s="2">
        <v>45797</v>
      </c>
      <c r="B124" t="s">
        <v>63</v>
      </c>
      <c r="C124">
        <v>8</v>
      </c>
      <c r="D124">
        <v>1</v>
      </c>
      <c r="E124">
        <v>3</v>
      </c>
      <c r="F124">
        <v>8</v>
      </c>
      <c r="G124" t="s">
        <v>4256</v>
      </c>
    </row>
    <row r="125" spans="1:7" x14ac:dyDescent="0.35">
      <c r="A125" s="2">
        <v>44789</v>
      </c>
      <c r="B125" t="s">
        <v>30</v>
      </c>
      <c r="C125">
        <v>20</v>
      </c>
      <c r="D125">
        <v>2</v>
      </c>
      <c r="E125">
        <v>1</v>
      </c>
      <c r="F125">
        <v>3</v>
      </c>
      <c r="G125" t="s">
        <v>4255</v>
      </c>
    </row>
    <row r="126" spans="1:7" x14ac:dyDescent="0.35">
      <c r="A126" s="2">
        <v>46040</v>
      </c>
      <c r="B126" t="s">
        <v>19</v>
      </c>
      <c r="C126">
        <v>1</v>
      </c>
      <c r="D126">
        <v>5</v>
      </c>
      <c r="E126">
        <v>0</v>
      </c>
      <c r="F126">
        <v>10</v>
      </c>
      <c r="G126" t="s">
        <v>4256</v>
      </c>
    </row>
    <row r="127" spans="1:7" x14ac:dyDescent="0.35">
      <c r="A127" s="2">
        <v>45394</v>
      </c>
      <c r="B127" t="s">
        <v>30</v>
      </c>
      <c r="C127">
        <v>17</v>
      </c>
      <c r="D127">
        <v>3</v>
      </c>
      <c r="E127">
        <v>3</v>
      </c>
      <c r="F127">
        <v>1</v>
      </c>
      <c r="G127" t="s">
        <v>4255</v>
      </c>
    </row>
    <row r="128" spans="1:7" x14ac:dyDescent="0.35">
      <c r="A128" s="2">
        <v>45094</v>
      </c>
      <c r="B128" t="s">
        <v>24</v>
      </c>
      <c r="C128">
        <v>18</v>
      </c>
      <c r="D128">
        <v>0</v>
      </c>
      <c r="E128">
        <v>0</v>
      </c>
      <c r="F128">
        <v>7</v>
      </c>
      <c r="G128" t="s">
        <v>4255</v>
      </c>
    </row>
    <row r="129" spans="1:7" x14ac:dyDescent="0.35">
      <c r="A129" s="2">
        <v>46257</v>
      </c>
      <c r="B129" t="s">
        <v>24</v>
      </c>
      <c r="C129">
        <v>2</v>
      </c>
      <c r="D129">
        <v>2</v>
      </c>
      <c r="E129">
        <v>3</v>
      </c>
      <c r="F129">
        <v>0</v>
      </c>
      <c r="G129" t="s">
        <v>4255</v>
      </c>
    </row>
    <row r="130" spans="1:7" x14ac:dyDescent="0.35">
      <c r="A130" s="2">
        <v>45380</v>
      </c>
      <c r="B130" t="s">
        <v>24</v>
      </c>
      <c r="C130">
        <v>17</v>
      </c>
      <c r="D130">
        <v>5</v>
      </c>
      <c r="E130">
        <v>3</v>
      </c>
      <c r="F130">
        <v>6</v>
      </c>
      <c r="G130" t="s">
        <v>4254</v>
      </c>
    </row>
    <row r="131" spans="1:7" x14ac:dyDescent="0.35">
      <c r="A131" s="2">
        <v>44774</v>
      </c>
      <c r="B131" t="s">
        <v>13</v>
      </c>
      <c r="C131">
        <v>9</v>
      </c>
      <c r="D131">
        <v>4</v>
      </c>
      <c r="E131">
        <v>0</v>
      </c>
      <c r="F131">
        <v>2</v>
      </c>
      <c r="G131" t="s">
        <v>4255</v>
      </c>
    </row>
    <row r="132" spans="1:7" x14ac:dyDescent="0.35">
      <c r="A132" s="2">
        <v>45407</v>
      </c>
      <c r="B132" t="s">
        <v>24</v>
      </c>
      <c r="C132">
        <v>11</v>
      </c>
      <c r="D132">
        <v>1</v>
      </c>
      <c r="E132">
        <v>1</v>
      </c>
      <c r="F132">
        <v>7</v>
      </c>
      <c r="G132" t="s">
        <v>4254</v>
      </c>
    </row>
    <row r="133" spans="1:7" x14ac:dyDescent="0.35">
      <c r="A133" s="2">
        <v>45103</v>
      </c>
      <c r="B133" t="s">
        <v>19</v>
      </c>
      <c r="C133">
        <v>11</v>
      </c>
      <c r="D133">
        <v>5</v>
      </c>
      <c r="E133">
        <v>0</v>
      </c>
      <c r="F133">
        <v>7</v>
      </c>
      <c r="G133" t="s">
        <v>4256</v>
      </c>
    </row>
    <row r="134" spans="1:7" x14ac:dyDescent="0.35">
      <c r="A134" s="2">
        <v>45568</v>
      </c>
      <c r="B134" t="s">
        <v>30</v>
      </c>
      <c r="C134">
        <v>8</v>
      </c>
      <c r="D134">
        <v>2</v>
      </c>
      <c r="E134">
        <v>2</v>
      </c>
      <c r="F134">
        <v>4</v>
      </c>
      <c r="G134" t="s">
        <v>4256</v>
      </c>
    </row>
    <row r="135" spans="1:7" x14ac:dyDescent="0.35">
      <c r="A135" s="2">
        <v>45472</v>
      </c>
      <c r="B135" t="s">
        <v>44</v>
      </c>
      <c r="C135">
        <v>15</v>
      </c>
      <c r="D135">
        <v>5</v>
      </c>
      <c r="E135">
        <v>2</v>
      </c>
      <c r="F135">
        <v>9</v>
      </c>
      <c r="G135" t="s">
        <v>4255</v>
      </c>
    </row>
    <row r="136" spans="1:7" x14ac:dyDescent="0.35">
      <c r="A136" s="2">
        <v>45779</v>
      </c>
      <c r="B136" t="s">
        <v>19</v>
      </c>
      <c r="C136">
        <v>5</v>
      </c>
      <c r="D136">
        <v>1</v>
      </c>
      <c r="E136">
        <v>2</v>
      </c>
      <c r="F136">
        <v>0</v>
      </c>
      <c r="G136" t="s">
        <v>4254</v>
      </c>
    </row>
    <row r="137" spans="1:7" x14ac:dyDescent="0.35">
      <c r="A137" s="2">
        <v>46364</v>
      </c>
      <c r="B137" t="s">
        <v>44</v>
      </c>
      <c r="C137">
        <v>19</v>
      </c>
      <c r="D137">
        <v>2</v>
      </c>
      <c r="E137">
        <v>2</v>
      </c>
      <c r="F137">
        <v>4</v>
      </c>
      <c r="G137" t="s">
        <v>4256</v>
      </c>
    </row>
    <row r="138" spans="1:7" x14ac:dyDescent="0.35">
      <c r="A138" s="2">
        <v>44886</v>
      </c>
      <c r="B138" t="s">
        <v>39</v>
      </c>
      <c r="C138">
        <v>10</v>
      </c>
      <c r="D138">
        <v>3</v>
      </c>
      <c r="E138">
        <v>3</v>
      </c>
      <c r="F138">
        <v>10</v>
      </c>
      <c r="G138" t="s">
        <v>4255</v>
      </c>
    </row>
    <row r="139" spans="1:7" x14ac:dyDescent="0.35">
      <c r="A139" s="2">
        <v>44878</v>
      </c>
      <c r="B139" t="s">
        <v>24</v>
      </c>
      <c r="C139">
        <v>5</v>
      </c>
      <c r="D139">
        <v>1</v>
      </c>
      <c r="E139">
        <v>2</v>
      </c>
      <c r="F139">
        <v>6</v>
      </c>
      <c r="G139" t="s">
        <v>4255</v>
      </c>
    </row>
    <row r="140" spans="1:7" x14ac:dyDescent="0.35">
      <c r="A140" s="2">
        <v>45866</v>
      </c>
      <c r="B140" t="s">
        <v>13</v>
      </c>
      <c r="C140">
        <v>1</v>
      </c>
      <c r="D140">
        <v>1</v>
      </c>
      <c r="E140">
        <v>2</v>
      </c>
      <c r="F140">
        <v>2</v>
      </c>
      <c r="G140" t="s">
        <v>4256</v>
      </c>
    </row>
    <row r="141" spans="1:7" x14ac:dyDescent="0.35">
      <c r="A141" s="2">
        <v>44586</v>
      </c>
      <c r="B141" t="s">
        <v>44</v>
      </c>
      <c r="C141">
        <v>12</v>
      </c>
      <c r="D141">
        <v>5</v>
      </c>
      <c r="E141">
        <v>3</v>
      </c>
      <c r="F141">
        <v>7</v>
      </c>
      <c r="G141" t="s">
        <v>4256</v>
      </c>
    </row>
    <row r="142" spans="1:7" x14ac:dyDescent="0.35">
      <c r="A142" s="2">
        <v>44910</v>
      </c>
      <c r="B142" t="s">
        <v>44</v>
      </c>
      <c r="C142">
        <v>5</v>
      </c>
      <c r="D142">
        <v>4</v>
      </c>
      <c r="E142">
        <v>2</v>
      </c>
      <c r="F142">
        <v>8</v>
      </c>
      <c r="G142" t="s">
        <v>4255</v>
      </c>
    </row>
    <row r="143" spans="1:7" x14ac:dyDescent="0.35">
      <c r="A143" s="2">
        <v>45336</v>
      </c>
      <c r="B143" t="s">
        <v>30</v>
      </c>
      <c r="C143">
        <v>16</v>
      </c>
      <c r="D143">
        <v>5</v>
      </c>
      <c r="E143">
        <v>1</v>
      </c>
      <c r="F143">
        <v>8</v>
      </c>
      <c r="G143" t="s">
        <v>4255</v>
      </c>
    </row>
    <row r="144" spans="1:7" x14ac:dyDescent="0.35">
      <c r="A144" s="2">
        <v>44921</v>
      </c>
      <c r="B144" t="s">
        <v>63</v>
      </c>
      <c r="C144">
        <v>13</v>
      </c>
      <c r="D144">
        <v>0</v>
      </c>
      <c r="E144">
        <v>0</v>
      </c>
      <c r="F144">
        <v>5</v>
      </c>
      <c r="G144" t="s">
        <v>4254</v>
      </c>
    </row>
    <row r="145" spans="1:7" x14ac:dyDescent="0.35">
      <c r="A145" s="2">
        <v>45195</v>
      </c>
      <c r="B145" t="s">
        <v>13</v>
      </c>
      <c r="C145">
        <v>8</v>
      </c>
      <c r="D145">
        <v>1</v>
      </c>
      <c r="E145">
        <v>2</v>
      </c>
      <c r="F145">
        <v>9</v>
      </c>
      <c r="G145" t="s">
        <v>4256</v>
      </c>
    </row>
    <row r="146" spans="1:7" x14ac:dyDescent="0.35">
      <c r="A146" s="2">
        <v>46178</v>
      </c>
      <c r="B146" t="s">
        <v>19</v>
      </c>
      <c r="C146">
        <v>7</v>
      </c>
      <c r="D146">
        <v>2</v>
      </c>
      <c r="E146">
        <v>3</v>
      </c>
      <c r="F146">
        <v>7</v>
      </c>
      <c r="G146" t="s">
        <v>4256</v>
      </c>
    </row>
    <row r="147" spans="1:7" x14ac:dyDescent="0.35">
      <c r="A147" s="2">
        <v>45869</v>
      </c>
      <c r="B147" t="s">
        <v>19</v>
      </c>
      <c r="C147">
        <v>17</v>
      </c>
      <c r="D147">
        <v>1</v>
      </c>
      <c r="E147">
        <v>1</v>
      </c>
      <c r="F147">
        <v>5</v>
      </c>
      <c r="G147" t="s">
        <v>4256</v>
      </c>
    </row>
    <row r="148" spans="1:7" x14ac:dyDescent="0.35">
      <c r="A148" s="2">
        <v>44629</v>
      </c>
      <c r="B148" t="s">
        <v>63</v>
      </c>
      <c r="C148">
        <v>4</v>
      </c>
      <c r="D148">
        <v>2</v>
      </c>
      <c r="E148">
        <v>0</v>
      </c>
      <c r="F148">
        <v>4</v>
      </c>
      <c r="G148" t="s">
        <v>4256</v>
      </c>
    </row>
    <row r="149" spans="1:7" x14ac:dyDescent="0.35">
      <c r="A149" s="2">
        <v>45657</v>
      </c>
      <c r="B149" t="s">
        <v>30</v>
      </c>
      <c r="C149">
        <v>18</v>
      </c>
      <c r="D149">
        <v>0</v>
      </c>
      <c r="E149">
        <v>0</v>
      </c>
      <c r="F149">
        <v>7</v>
      </c>
      <c r="G149" t="s">
        <v>4256</v>
      </c>
    </row>
    <row r="150" spans="1:7" x14ac:dyDescent="0.35">
      <c r="A150" s="2">
        <v>45632</v>
      </c>
      <c r="B150" t="s">
        <v>13</v>
      </c>
      <c r="C150">
        <v>8</v>
      </c>
      <c r="D150">
        <v>2</v>
      </c>
      <c r="E150">
        <v>1</v>
      </c>
      <c r="F150">
        <v>10</v>
      </c>
      <c r="G150" t="s">
        <v>4254</v>
      </c>
    </row>
    <row r="151" spans="1:7" x14ac:dyDescent="0.35">
      <c r="A151" s="2">
        <v>45029</v>
      </c>
      <c r="B151" t="s">
        <v>24</v>
      </c>
      <c r="C151">
        <v>15</v>
      </c>
      <c r="D151">
        <v>1</v>
      </c>
      <c r="E151">
        <v>0</v>
      </c>
      <c r="F151">
        <v>9</v>
      </c>
      <c r="G151" t="s">
        <v>4255</v>
      </c>
    </row>
    <row r="152" spans="1:7" x14ac:dyDescent="0.35">
      <c r="A152" s="2">
        <v>45692</v>
      </c>
      <c r="B152" t="s">
        <v>44</v>
      </c>
      <c r="C152">
        <v>3</v>
      </c>
      <c r="D152">
        <v>5</v>
      </c>
      <c r="E152">
        <v>1</v>
      </c>
      <c r="F152">
        <v>1</v>
      </c>
      <c r="G152" t="s">
        <v>4254</v>
      </c>
    </row>
    <row r="153" spans="1:7" x14ac:dyDescent="0.35">
      <c r="A153" s="2">
        <v>45632</v>
      </c>
      <c r="B153" t="s">
        <v>44</v>
      </c>
      <c r="C153">
        <v>2</v>
      </c>
      <c r="D153">
        <v>1</v>
      </c>
      <c r="E153">
        <v>1</v>
      </c>
      <c r="F153">
        <v>3</v>
      </c>
      <c r="G153" t="s">
        <v>4256</v>
      </c>
    </row>
    <row r="154" spans="1:7" x14ac:dyDescent="0.35">
      <c r="A154" s="2">
        <v>46121</v>
      </c>
      <c r="B154" t="s">
        <v>39</v>
      </c>
      <c r="C154">
        <v>16</v>
      </c>
      <c r="D154">
        <v>3</v>
      </c>
      <c r="E154">
        <v>0</v>
      </c>
      <c r="F154">
        <v>8</v>
      </c>
      <c r="G154" t="s">
        <v>4254</v>
      </c>
    </row>
    <row r="155" spans="1:7" x14ac:dyDescent="0.35">
      <c r="A155" s="2">
        <v>45215</v>
      </c>
      <c r="B155" t="s">
        <v>30</v>
      </c>
      <c r="C155">
        <v>3</v>
      </c>
      <c r="D155">
        <v>1</v>
      </c>
      <c r="E155">
        <v>3</v>
      </c>
      <c r="F155">
        <v>1</v>
      </c>
      <c r="G155" t="s">
        <v>4255</v>
      </c>
    </row>
    <row r="156" spans="1:7" x14ac:dyDescent="0.35">
      <c r="A156" s="2">
        <v>44732</v>
      </c>
      <c r="B156" t="s">
        <v>63</v>
      </c>
      <c r="C156">
        <v>7</v>
      </c>
      <c r="D156">
        <v>0</v>
      </c>
      <c r="E156">
        <v>1</v>
      </c>
      <c r="F156">
        <v>9</v>
      </c>
      <c r="G156" t="s">
        <v>4255</v>
      </c>
    </row>
    <row r="157" spans="1:7" x14ac:dyDescent="0.35">
      <c r="A157" s="2">
        <v>45176</v>
      </c>
      <c r="B157" t="s">
        <v>39</v>
      </c>
      <c r="C157">
        <v>1</v>
      </c>
      <c r="D157">
        <v>4</v>
      </c>
      <c r="E157">
        <v>3</v>
      </c>
      <c r="F157">
        <v>1</v>
      </c>
      <c r="G157" t="s">
        <v>4256</v>
      </c>
    </row>
    <row r="158" spans="1:7" x14ac:dyDescent="0.35">
      <c r="A158" s="2">
        <v>46377</v>
      </c>
      <c r="B158" t="s">
        <v>63</v>
      </c>
      <c r="C158">
        <v>7</v>
      </c>
      <c r="D158">
        <v>4</v>
      </c>
      <c r="E158">
        <v>3</v>
      </c>
      <c r="F158">
        <v>0</v>
      </c>
      <c r="G158" t="s">
        <v>4255</v>
      </c>
    </row>
    <row r="159" spans="1:7" x14ac:dyDescent="0.35">
      <c r="A159" s="2">
        <v>46107</v>
      </c>
      <c r="B159" t="s">
        <v>63</v>
      </c>
      <c r="C159">
        <v>20</v>
      </c>
      <c r="D159">
        <v>2</v>
      </c>
      <c r="E159">
        <v>3</v>
      </c>
      <c r="F159">
        <v>10</v>
      </c>
      <c r="G159" t="s">
        <v>4254</v>
      </c>
    </row>
    <row r="160" spans="1:7" x14ac:dyDescent="0.35">
      <c r="A160" s="2">
        <v>45235</v>
      </c>
      <c r="B160" t="s">
        <v>39</v>
      </c>
      <c r="C160">
        <v>16</v>
      </c>
      <c r="D160">
        <v>4</v>
      </c>
      <c r="E160">
        <v>2</v>
      </c>
      <c r="F160">
        <v>10</v>
      </c>
      <c r="G160" t="s">
        <v>4255</v>
      </c>
    </row>
    <row r="161" spans="1:7" x14ac:dyDescent="0.35">
      <c r="A161" s="2">
        <v>45103</v>
      </c>
      <c r="B161" t="s">
        <v>30</v>
      </c>
      <c r="C161">
        <v>18</v>
      </c>
      <c r="D161">
        <v>1</v>
      </c>
      <c r="E161">
        <v>2</v>
      </c>
      <c r="F161">
        <v>4</v>
      </c>
      <c r="G161" t="s">
        <v>4256</v>
      </c>
    </row>
    <row r="162" spans="1:7" x14ac:dyDescent="0.35">
      <c r="A162" s="2">
        <v>45711</v>
      </c>
      <c r="B162" t="s">
        <v>39</v>
      </c>
      <c r="C162">
        <v>10</v>
      </c>
      <c r="D162">
        <v>5</v>
      </c>
      <c r="E162">
        <v>3</v>
      </c>
      <c r="F162">
        <v>1</v>
      </c>
      <c r="G162" t="s">
        <v>4254</v>
      </c>
    </row>
    <row r="163" spans="1:7" x14ac:dyDescent="0.35">
      <c r="A163" s="2">
        <v>45560</v>
      </c>
      <c r="B163" t="s">
        <v>19</v>
      </c>
      <c r="C163">
        <v>11</v>
      </c>
      <c r="D163">
        <v>4</v>
      </c>
      <c r="E163">
        <v>3</v>
      </c>
      <c r="F163">
        <v>7</v>
      </c>
      <c r="G163" t="s">
        <v>4254</v>
      </c>
    </row>
    <row r="164" spans="1:7" x14ac:dyDescent="0.35">
      <c r="A164" s="2">
        <v>44928</v>
      </c>
      <c r="B164" t="s">
        <v>19</v>
      </c>
      <c r="C164">
        <v>14</v>
      </c>
      <c r="D164">
        <v>5</v>
      </c>
      <c r="E164">
        <v>2</v>
      </c>
      <c r="F164">
        <v>1</v>
      </c>
      <c r="G164" t="s">
        <v>4255</v>
      </c>
    </row>
    <row r="165" spans="1:7" x14ac:dyDescent="0.35">
      <c r="A165" s="2">
        <v>45263</v>
      </c>
      <c r="B165" t="s">
        <v>24</v>
      </c>
      <c r="C165">
        <v>18</v>
      </c>
      <c r="D165">
        <v>1</v>
      </c>
      <c r="E165">
        <v>1</v>
      </c>
      <c r="F165">
        <v>1</v>
      </c>
      <c r="G165" t="s">
        <v>4254</v>
      </c>
    </row>
    <row r="166" spans="1:7" x14ac:dyDescent="0.35">
      <c r="A166" s="2">
        <v>44998</v>
      </c>
      <c r="B166" t="s">
        <v>44</v>
      </c>
      <c r="C166">
        <v>17</v>
      </c>
      <c r="D166">
        <v>2</v>
      </c>
      <c r="E166">
        <v>2</v>
      </c>
      <c r="F166">
        <v>8</v>
      </c>
      <c r="G166" t="s">
        <v>4255</v>
      </c>
    </row>
    <row r="167" spans="1:7" x14ac:dyDescent="0.35">
      <c r="A167" s="2">
        <v>44772</v>
      </c>
      <c r="B167" t="s">
        <v>24</v>
      </c>
      <c r="C167">
        <v>10</v>
      </c>
      <c r="D167">
        <v>4</v>
      </c>
      <c r="E167">
        <v>1</v>
      </c>
      <c r="F167">
        <v>9</v>
      </c>
      <c r="G167" t="s">
        <v>4256</v>
      </c>
    </row>
    <row r="168" spans="1:7" x14ac:dyDescent="0.35">
      <c r="A168" s="2">
        <v>44878</v>
      </c>
      <c r="B168" t="s">
        <v>44</v>
      </c>
      <c r="C168">
        <v>6</v>
      </c>
      <c r="D168">
        <v>1</v>
      </c>
      <c r="E168">
        <v>3</v>
      </c>
      <c r="F168">
        <v>2</v>
      </c>
      <c r="G168" t="s">
        <v>4254</v>
      </c>
    </row>
    <row r="169" spans="1:7" x14ac:dyDescent="0.35">
      <c r="A169" s="2">
        <v>45811</v>
      </c>
      <c r="B169" t="s">
        <v>24</v>
      </c>
      <c r="C169">
        <v>6</v>
      </c>
      <c r="D169">
        <v>2</v>
      </c>
      <c r="E169">
        <v>3</v>
      </c>
      <c r="F169">
        <v>10</v>
      </c>
      <c r="G169" t="s">
        <v>4256</v>
      </c>
    </row>
    <row r="170" spans="1:7" x14ac:dyDescent="0.35">
      <c r="A170" s="2">
        <v>46177</v>
      </c>
      <c r="B170" t="s">
        <v>63</v>
      </c>
      <c r="C170">
        <v>9</v>
      </c>
      <c r="D170">
        <v>1</v>
      </c>
      <c r="E170">
        <v>2</v>
      </c>
      <c r="F170">
        <v>7</v>
      </c>
      <c r="G170" t="s">
        <v>4255</v>
      </c>
    </row>
    <row r="171" spans="1:7" x14ac:dyDescent="0.35">
      <c r="A171" s="2">
        <v>45321</v>
      </c>
      <c r="B171" t="s">
        <v>13</v>
      </c>
      <c r="C171">
        <v>10</v>
      </c>
      <c r="D171">
        <v>2</v>
      </c>
      <c r="E171">
        <v>2</v>
      </c>
      <c r="F171">
        <v>5</v>
      </c>
      <c r="G171" t="s">
        <v>4255</v>
      </c>
    </row>
    <row r="172" spans="1:7" x14ac:dyDescent="0.35">
      <c r="A172" s="2">
        <v>45192</v>
      </c>
      <c r="B172" t="s">
        <v>63</v>
      </c>
      <c r="C172">
        <v>19</v>
      </c>
      <c r="D172">
        <v>3</v>
      </c>
      <c r="E172">
        <v>3</v>
      </c>
      <c r="F172">
        <v>0</v>
      </c>
      <c r="G172" t="s">
        <v>4255</v>
      </c>
    </row>
    <row r="173" spans="1:7" x14ac:dyDescent="0.35">
      <c r="A173" s="2">
        <v>44675</v>
      </c>
      <c r="B173" t="s">
        <v>63</v>
      </c>
      <c r="C173">
        <v>12</v>
      </c>
      <c r="D173">
        <v>5</v>
      </c>
      <c r="E173">
        <v>1</v>
      </c>
      <c r="F173">
        <v>7</v>
      </c>
      <c r="G173" t="s">
        <v>4255</v>
      </c>
    </row>
    <row r="174" spans="1:7" x14ac:dyDescent="0.35">
      <c r="A174" s="2">
        <v>44601</v>
      </c>
      <c r="B174" t="s">
        <v>30</v>
      </c>
      <c r="C174">
        <v>7</v>
      </c>
      <c r="D174">
        <v>1</v>
      </c>
      <c r="E174">
        <v>2</v>
      </c>
      <c r="F174">
        <v>4</v>
      </c>
      <c r="G174" t="s">
        <v>4255</v>
      </c>
    </row>
    <row r="175" spans="1:7" x14ac:dyDescent="0.35">
      <c r="A175" s="2">
        <v>44610</v>
      </c>
      <c r="B175" t="s">
        <v>44</v>
      </c>
      <c r="C175">
        <v>14</v>
      </c>
      <c r="D175">
        <v>3</v>
      </c>
      <c r="E175">
        <v>2</v>
      </c>
      <c r="F175">
        <v>8</v>
      </c>
      <c r="G175" t="s">
        <v>4256</v>
      </c>
    </row>
    <row r="176" spans="1:7" x14ac:dyDescent="0.35">
      <c r="A176" s="2">
        <v>46075</v>
      </c>
      <c r="B176" t="s">
        <v>13</v>
      </c>
      <c r="C176">
        <v>7</v>
      </c>
      <c r="D176">
        <v>4</v>
      </c>
      <c r="E176">
        <v>3</v>
      </c>
      <c r="F176">
        <v>4</v>
      </c>
      <c r="G176" t="s">
        <v>4254</v>
      </c>
    </row>
    <row r="177" spans="1:7" x14ac:dyDescent="0.35">
      <c r="A177" s="2">
        <v>44714</v>
      </c>
      <c r="B177" t="s">
        <v>13</v>
      </c>
      <c r="C177">
        <v>6</v>
      </c>
      <c r="D177">
        <v>2</v>
      </c>
      <c r="E177">
        <v>3</v>
      </c>
      <c r="F177">
        <v>9</v>
      </c>
      <c r="G177" t="s">
        <v>4255</v>
      </c>
    </row>
    <row r="178" spans="1:7" x14ac:dyDescent="0.35">
      <c r="A178" s="2">
        <v>44656</v>
      </c>
      <c r="B178" t="s">
        <v>30</v>
      </c>
      <c r="C178">
        <v>13</v>
      </c>
      <c r="D178">
        <v>5</v>
      </c>
      <c r="E178">
        <v>3</v>
      </c>
      <c r="F178">
        <v>3</v>
      </c>
      <c r="G178" t="s">
        <v>4255</v>
      </c>
    </row>
    <row r="179" spans="1:7" x14ac:dyDescent="0.35">
      <c r="A179" s="2">
        <v>45804</v>
      </c>
      <c r="B179" t="s">
        <v>39</v>
      </c>
      <c r="C179">
        <v>13</v>
      </c>
      <c r="D179">
        <v>0</v>
      </c>
      <c r="E179">
        <v>0</v>
      </c>
      <c r="F179">
        <v>0</v>
      </c>
      <c r="G179" t="s">
        <v>4256</v>
      </c>
    </row>
    <row r="180" spans="1:7" x14ac:dyDescent="0.35">
      <c r="A180" s="2">
        <v>45263</v>
      </c>
      <c r="B180" t="s">
        <v>44</v>
      </c>
      <c r="C180">
        <v>18</v>
      </c>
      <c r="D180">
        <v>2</v>
      </c>
      <c r="E180">
        <v>3</v>
      </c>
      <c r="F180">
        <v>4</v>
      </c>
      <c r="G180" t="s">
        <v>4254</v>
      </c>
    </row>
    <row r="181" spans="1:7" x14ac:dyDescent="0.35">
      <c r="A181" s="2">
        <v>45528</v>
      </c>
      <c r="B181" t="s">
        <v>13</v>
      </c>
      <c r="C181">
        <v>3</v>
      </c>
      <c r="D181">
        <v>2</v>
      </c>
      <c r="E181">
        <v>3</v>
      </c>
      <c r="F181">
        <v>2</v>
      </c>
      <c r="G181" t="s">
        <v>4254</v>
      </c>
    </row>
    <row r="182" spans="1:7" x14ac:dyDescent="0.35">
      <c r="A182" s="2">
        <v>45769</v>
      </c>
      <c r="B182" t="s">
        <v>44</v>
      </c>
      <c r="C182">
        <v>19</v>
      </c>
      <c r="D182">
        <v>1</v>
      </c>
      <c r="E182">
        <v>0</v>
      </c>
      <c r="F182">
        <v>7</v>
      </c>
      <c r="G182" t="s">
        <v>4254</v>
      </c>
    </row>
    <row r="183" spans="1:7" x14ac:dyDescent="0.35">
      <c r="A183" s="2">
        <v>45233</v>
      </c>
      <c r="B183" t="s">
        <v>39</v>
      </c>
      <c r="C183">
        <v>18</v>
      </c>
      <c r="D183">
        <v>5</v>
      </c>
      <c r="E183">
        <v>2</v>
      </c>
      <c r="F183">
        <v>8</v>
      </c>
      <c r="G183" t="s">
        <v>4256</v>
      </c>
    </row>
    <row r="184" spans="1:7" x14ac:dyDescent="0.35">
      <c r="A184" s="2">
        <v>46235</v>
      </c>
      <c r="B184" t="s">
        <v>44</v>
      </c>
      <c r="C184">
        <v>1</v>
      </c>
      <c r="D184">
        <v>1</v>
      </c>
      <c r="E184">
        <v>0</v>
      </c>
      <c r="F184">
        <v>5</v>
      </c>
      <c r="G184" t="s">
        <v>4255</v>
      </c>
    </row>
    <row r="185" spans="1:7" x14ac:dyDescent="0.35">
      <c r="A185" s="2">
        <v>46144</v>
      </c>
      <c r="B185" t="s">
        <v>63</v>
      </c>
      <c r="C185">
        <v>7</v>
      </c>
      <c r="D185">
        <v>1</v>
      </c>
      <c r="E185">
        <v>2</v>
      </c>
      <c r="F185">
        <v>7</v>
      </c>
      <c r="G185" t="s">
        <v>4254</v>
      </c>
    </row>
    <row r="186" spans="1:7" x14ac:dyDescent="0.35">
      <c r="A186" s="2">
        <v>45505</v>
      </c>
      <c r="B186" t="s">
        <v>44</v>
      </c>
      <c r="C186">
        <v>11</v>
      </c>
      <c r="D186">
        <v>1</v>
      </c>
      <c r="E186">
        <v>2</v>
      </c>
      <c r="F186">
        <v>4</v>
      </c>
      <c r="G186" t="s">
        <v>4256</v>
      </c>
    </row>
    <row r="187" spans="1:7" x14ac:dyDescent="0.35">
      <c r="A187" s="2">
        <v>46093</v>
      </c>
      <c r="B187" t="s">
        <v>19</v>
      </c>
      <c r="C187">
        <v>5</v>
      </c>
      <c r="D187">
        <v>0</v>
      </c>
      <c r="E187">
        <v>3</v>
      </c>
      <c r="F187">
        <v>6</v>
      </c>
      <c r="G187" t="s">
        <v>4255</v>
      </c>
    </row>
    <row r="188" spans="1:7" x14ac:dyDescent="0.35">
      <c r="A188" s="2">
        <v>46212</v>
      </c>
      <c r="B188" t="s">
        <v>63</v>
      </c>
      <c r="C188">
        <v>2</v>
      </c>
      <c r="D188">
        <v>4</v>
      </c>
      <c r="E188">
        <v>0</v>
      </c>
      <c r="F188">
        <v>8</v>
      </c>
      <c r="G188" t="s">
        <v>4255</v>
      </c>
    </row>
    <row r="189" spans="1:7" x14ac:dyDescent="0.35">
      <c r="A189" s="2">
        <v>44595</v>
      </c>
      <c r="B189" t="s">
        <v>39</v>
      </c>
      <c r="C189">
        <v>14</v>
      </c>
      <c r="D189">
        <v>0</v>
      </c>
      <c r="E189">
        <v>2</v>
      </c>
      <c r="F189">
        <v>8</v>
      </c>
      <c r="G189" t="s">
        <v>4255</v>
      </c>
    </row>
    <row r="190" spans="1:7" x14ac:dyDescent="0.35">
      <c r="A190" s="2">
        <v>45140</v>
      </c>
      <c r="B190" t="s">
        <v>39</v>
      </c>
      <c r="C190">
        <v>11</v>
      </c>
      <c r="D190">
        <v>5</v>
      </c>
      <c r="E190">
        <v>0</v>
      </c>
      <c r="F190">
        <v>1</v>
      </c>
      <c r="G190" t="s">
        <v>4256</v>
      </c>
    </row>
    <row r="191" spans="1:7" x14ac:dyDescent="0.35">
      <c r="A191" s="2">
        <v>44750</v>
      </c>
      <c r="B191" t="s">
        <v>39</v>
      </c>
      <c r="C191">
        <v>4</v>
      </c>
      <c r="D191">
        <v>4</v>
      </c>
      <c r="E191">
        <v>1</v>
      </c>
      <c r="F191">
        <v>8</v>
      </c>
      <c r="G191" t="s">
        <v>4254</v>
      </c>
    </row>
    <row r="192" spans="1:7" x14ac:dyDescent="0.35">
      <c r="A192" s="2">
        <v>45737</v>
      </c>
      <c r="B192" t="s">
        <v>63</v>
      </c>
      <c r="C192">
        <v>20</v>
      </c>
      <c r="D192">
        <v>5</v>
      </c>
      <c r="E192">
        <v>1</v>
      </c>
      <c r="F192">
        <v>1</v>
      </c>
      <c r="G192" t="s">
        <v>4256</v>
      </c>
    </row>
    <row r="193" spans="1:7" x14ac:dyDescent="0.35">
      <c r="A193" s="2">
        <v>45444</v>
      </c>
      <c r="B193" t="s">
        <v>30</v>
      </c>
      <c r="C193">
        <v>9</v>
      </c>
      <c r="D193">
        <v>3</v>
      </c>
      <c r="E193">
        <v>3</v>
      </c>
      <c r="F193">
        <v>2</v>
      </c>
      <c r="G193" t="s">
        <v>4256</v>
      </c>
    </row>
    <row r="194" spans="1:7" x14ac:dyDescent="0.35">
      <c r="A194" s="2">
        <v>45238</v>
      </c>
      <c r="B194" t="s">
        <v>19</v>
      </c>
      <c r="C194">
        <v>6</v>
      </c>
      <c r="D194">
        <v>5</v>
      </c>
      <c r="E194">
        <v>2</v>
      </c>
      <c r="F194">
        <v>7</v>
      </c>
      <c r="G194" t="s">
        <v>4256</v>
      </c>
    </row>
    <row r="195" spans="1:7" x14ac:dyDescent="0.35">
      <c r="A195" s="2">
        <v>46161</v>
      </c>
      <c r="B195" t="s">
        <v>24</v>
      </c>
      <c r="C195">
        <v>14</v>
      </c>
      <c r="D195">
        <v>0</v>
      </c>
      <c r="E195">
        <v>3</v>
      </c>
      <c r="F195">
        <v>9</v>
      </c>
      <c r="G195" t="s">
        <v>4255</v>
      </c>
    </row>
    <row r="196" spans="1:7" x14ac:dyDescent="0.35">
      <c r="A196" s="2">
        <v>44575</v>
      </c>
      <c r="B196" t="s">
        <v>39</v>
      </c>
      <c r="C196">
        <v>13</v>
      </c>
      <c r="D196">
        <v>0</v>
      </c>
      <c r="E196">
        <v>0</v>
      </c>
      <c r="F196">
        <v>3</v>
      </c>
      <c r="G196" t="s">
        <v>4255</v>
      </c>
    </row>
    <row r="197" spans="1:7" x14ac:dyDescent="0.35">
      <c r="A197" s="2">
        <v>45436</v>
      </c>
      <c r="B197" t="s">
        <v>13</v>
      </c>
      <c r="C197">
        <v>9</v>
      </c>
      <c r="D197">
        <v>1</v>
      </c>
      <c r="E197">
        <v>2</v>
      </c>
      <c r="F197">
        <v>8</v>
      </c>
      <c r="G197" t="s">
        <v>4255</v>
      </c>
    </row>
    <row r="198" spans="1:7" x14ac:dyDescent="0.35">
      <c r="A198" s="2">
        <v>45900</v>
      </c>
      <c r="B198" t="s">
        <v>24</v>
      </c>
      <c r="C198">
        <v>7</v>
      </c>
      <c r="D198">
        <v>4</v>
      </c>
      <c r="E198">
        <v>2</v>
      </c>
      <c r="F198">
        <v>9</v>
      </c>
      <c r="G198" t="s">
        <v>4254</v>
      </c>
    </row>
    <row r="199" spans="1:7" x14ac:dyDescent="0.35">
      <c r="A199" s="2">
        <v>44948</v>
      </c>
      <c r="B199" t="s">
        <v>30</v>
      </c>
      <c r="C199">
        <v>5</v>
      </c>
      <c r="D199">
        <v>1</v>
      </c>
      <c r="E199">
        <v>2</v>
      </c>
      <c r="F199">
        <v>2</v>
      </c>
      <c r="G199" t="s">
        <v>4254</v>
      </c>
    </row>
    <row r="200" spans="1:7" x14ac:dyDescent="0.35">
      <c r="A200" s="2">
        <v>44615</v>
      </c>
      <c r="B200" t="s">
        <v>39</v>
      </c>
      <c r="C200">
        <v>20</v>
      </c>
      <c r="D200">
        <v>0</v>
      </c>
      <c r="E200">
        <v>1</v>
      </c>
      <c r="F200">
        <v>8</v>
      </c>
      <c r="G200" t="s">
        <v>4255</v>
      </c>
    </row>
    <row r="201" spans="1:7" x14ac:dyDescent="0.35">
      <c r="A201" s="2">
        <v>44703</v>
      </c>
      <c r="B201" t="s">
        <v>44</v>
      </c>
      <c r="C201">
        <v>11</v>
      </c>
      <c r="D201">
        <v>1</v>
      </c>
      <c r="E201">
        <v>1</v>
      </c>
      <c r="F201">
        <v>3</v>
      </c>
      <c r="G201" t="s">
        <v>4255</v>
      </c>
    </row>
    <row r="202" spans="1:7" x14ac:dyDescent="0.35">
      <c r="A202" s="2">
        <v>44896</v>
      </c>
      <c r="B202" t="s">
        <v>63</v>
      </c>
      <c r="C202">
        <v>9</v>
      </c>
      <c r="D202">
        <v>1</v>
      </c>
      <c r="E202">
        <v>1</v>
      </c>
      <c r="F202">
        <v>5</v>
      </c>
      <c r="G202" t="s">
        <v>4254</v>
      </c>
    </row>
    <row r="203" spans="1:7" x14ac:dyDescent="0.35">
      <c r="A203" s="2">
        <v>44843</v>
      </c>
      <c r="B203" t="s">
        <v>63</v>
      </c>
      <c r="C203">
        <v>4</v>
      </c>
      <c r="D203">
        <v>3</v>
      </c>
      <c r="E203">
        <v>0</v>
      </c>
      <c r="F203">
        <v>7</v>
      </c>
      <c r="G203" t="s">
        <v>4256</v>
      </c>
    </row>
    <row r="204" spans="1:7" x14ac:dyDescent="0.35">
      <c r="A204" s="2">
        <v>46311</v>
      </c>
      <c r="B204" t="s">
        <v>24</v>
      </c>
      <c r="C204">
        <v>7</v>
      </c>
      <c r="D204">
        <v>3</v>
      </c>
      <c r="E204">
        <v>0</v>
      </c>
      <c r="F204">
        <v>7</v>
      </c>
      <c r="G204" t="s">
        <v>4255</v>
      </c>
    </row>
    <row r="205" spans="1:7" x14ac:dyDescent="0.35">
      <c r="A205" s="2">
        <v>45379</v>
      </c>
      <c r="B205" t="s">
        <v>13</v>
      </c>
      <c r="C205">
        <v>7</v>
      </c>
      <c r="D205">
        <v>3</v>
      </c>
      <c r="E205">
        <v>0</v>
      </c>
      <c r="F205">
        <v>1</v>
      </c>
      <c r="G205" t="s">
        <v>4254</v>
      </c>
    </row>
    <row r="206" spans="1:7" x14ac:dyDescent="0.35">
      <c r="A206" s="2">
        <v>45599</v>
      </c>
      <c r="B206" t="s">
        <v>39</v>
      </c>
      <c r="C206">
        <v>17</v>
      </c>
      <c r="D206">
        <v>0</v>
      </c>
      <c r="E206">
        <v>1</v>
      </c>
      <c r="F206">
        <v>3</v>
      </c>
      <c r="G206" t="s">
        <v>4254</v>
      </c>
    </row>
    <row r="207" spans="1:7" x14ac:dyDescent="0.35">
      <c r="A207" s="2">
        <v>45563</v>
      </c>
      <c r="B207" t="s">
        <v>24</v>
      </c>
      <c r="C207">
        <v>20</v>
      </c>
      <c r="D207">
        <v>2</v>
      </c>
      <c r="E207">
        <v>2</v>
      </c>
      <c r="F207">
        <v>6</v>
      </c>
      <c r="G207" t="s">
        <v>4254</v>
      </c>
    </row>
    <row r="208" spans="1:7" x14ac:dyDescent="0.35">
      <c r="A208" s="2">
        <v>44992</v>
      </c>
      <c r="B208" t="s">
        <v>19</v>
      </c>
      <c r="C208">
        <v>17</v>
      </c>
      <c r="D208">
        <v>2</v>
      </c>
      <c r="E208">
        <v>3</v>
      </c>
      <c r="F208">
        <v>4</v>
      </c>
      <c r="G208" t="s">
        <v>4256</v>
      </c>
    </row>
    <row r="209" spans="1:7" x14ac:dyDescent="0.35">
      <c r="A209" s="2">
        <v>44791</v>
      </c>
      <c r="B209" t="s">
        <v>63</v>
      </c>
      <c r="C209">
        <v>1</v>
      </c>
      <c r="D209">
        <v>0</v>
      </c>
      <c r="E209">
        <v>3</v>
      </c>
      <c r="F209">
        <v>6</v>
      </c>
      <c r="G209" t="s">
        <v>4255</v>
      </c>
    </row>
    <row r="210" spans="1:7" x14ac:dyDescent="0.35">
      <c r="A210" s="2">
        <v>46318</v>
      </c>
      <c r="B210" t="s">
        <v>19</v>
      </c>
      <c r="C210">
        <v>12</v>
      </c>
      <c r="D210">
        <v>2</v>
      </c>
      <c r="E210">
        <v>2</v>
      </c>
      <c r="F210">
        <v>1</v>
      </c>
      <c r="G210" t="s">
        <v>4255</v>
      </c>
    </row>
    <row r="211" spans="1:7" x14ac:dyDescent="0.35">
      <c r="A211" s="2">
        <v>46298</v>
      </c>
      <c r="B211" t="s">
        <v>24</v>
      </c>
      <c r="C211">
        <v>10</v>
      </c>
      <c r="D211">
        <v>1</v>
      </c>
      <c r="E211">
        <v>0</v>
      </c>
      <c r="F211">
        <v>10</v>
      </c>
      <c r="G211" t="s">
        <v>4256</v>
      </c>
    </row>
    <row r="212" spans="1:7" x14ac:dyDescent="0.35">
      <c r="A212" s="2">
        <v>46221</v>
      </c>
      <c r="B212" t="s">
        <v>63</v>
      </c>
      <c r="C212">
        <v>16</v>
      </c>
      <c r="D212">
        <v>0</v>
      </c>
      <c r="E212">
        <v>2</v>
      </c>
      <c r="F212">
        <v>10</v>
      </c>
      <c r="G212" t="s">
        <v>4255</v>
      </c>
    </row>
    <row r="213" spans="1:7" x14ac:dyDescent="0.35">
      <c r="A213" s="2">
        <v>44654</v>
      </c>
      <c r="B213" t="s">
        <v>13</v>
      </c>
      <c r="C213">
        <v>8</v>
      </c>
      <c r="D213">
        <v>1</v>
      </c>
      <c r="E213">
        <v>0</v>
      </c>
      <c r="F213">
        <v>2</v>
      </c>
      <c r="G213" t="s">
        <v>4256</v>
      </c>
    </row>
    <row r="214" spans="1:7" x14ac:dyDescent="0.35">
      <c r="A214" s="2">
        <v>44880</v>
      </c>
      <c r="B214" t="s">
        <v>13</v>
      </c>
      <c r="C214">
        <v>16</v>
      </c>
      <c r="D214">
        <v>0</v>
      </c>
      <c r="E214">
        <v>0</v>
      </c>
      <c r="F214">
        <v>9</v>
      </c>
      <c r="G214" t="s">
        <v>4254</v>
      </c>
    </row>
    <row r="215" spans="1:7" x14ac:dyDescent="0.35">
      <c r="A215" s="2">
        <v>46336</v>
      </c>
      <c r="B215" t="s">
        <v>24</v>
      </c>
      <c r="C215">
        <v>10</v>
      </c>
      <c r="D215">
        <v>2</v>
      </c>
      <c r="E215">
        <v>3</v>
      </c>
      <c r="F215">
        <v>2</v>
      </c>
      <c r="G215" t="s">
        <v>4255</v>
      </c>
    </row>
    <row r="216" spans="1:7" x14ac:dyDescent="0.35">
      <c r="A216" s="2">
        <v>44915</v>
      </c>
      <c r="B216" t="s">
        <v>13</v>
      </c>
      <c r="C216">
        <v>17</v>
      </c>
      <c r="D216">
        <v>1</v>
      </c>
      <c r="E216">
        <v>1</v>
      </c>
      <c r="F216">
        <v>5</v>
      </c>
      <c r="G216" t="s">
        <v>4254</v>
      </c>
    </row>
    <row r="217" spans="1:7" x14ac:dyDescent="0.35">
      <c r="A217" s="2">
        <v>46172</v>
      </c>
      <c r="B217" t="s">
        <v>13</v>
      </c>
      <c r="C217">
        <v>1</v>
      </c>
      <c r="D217">
        <v>3</v>
      </c>
      <c r="E217">
        <v>1</v>
      </c>
      <c r="F217">
        <v>4</v>
      </c>
      <c r="G217" t="s">
        <v>4255</v>
      </c>
    </row>
    <row r="218" spans="1:7" x14ac:dyDescent="0.35">
      <c r="A218" s="2">
        <v>45842</v>
      </c>
      <c r="B218" t="s">
        <v>44</v>
      </c>
      <c r="C218">
        <v>9</v>
      </c>
      <c r="D218">
        <v>4</v>
      </c>
      <c r="E218">
        <v>2</v>
      </c>
      <c r="F218">
        <v>0</v>
      </c>
      <c r="G218" t="s">
        <v>4254</v>
      </c>
    </row>
    <row r="219" spans="1:7" x14ac:dyDescent="0.35">
      <c r="A219" s="2">
        <v>45241</v>
      </c>
      <c r="B219" t="s">
        <v>19</v>
      </c>
      <c r="C219">
        <v>16</v>
      </c>
      <c r="D219">
        <v>0</v>
      </c>
      <c r="E219">
        <v>1</v>
      </c>
      <c r="F219">
        <v>6</v>
      </c>
      <c r="G219" t="s">
        <v>4254</v>
      </c>
    </row>
    <row r="220" spans="1:7" x14ac:dyDescent="0.35">
      <c r="A220" s="2">
        <v>45666</v>
      </c>
      <c r="B220" t="s">
        <v>63</v>
      </c>
      <c r="C220">
        <v>20</v>
      </c>
      <c r="D220">
        <v>5</v>
      </c>
      <c r="E220">
        <v>1</v>
      </c>
      <c r="F220">
        <v>2</v>
      </c>
      <c r="G220" t="s">
        <v>4254</v>
      </c>
    </row>
    <row r="221" spans="1:7" x14ac:dyDescent="0.35">
      <c r="A221" s="2">
        <v>44592</v>
      </c>
      <c r="B221" t="s">
        <v>44</v>
      </c>
      <c r="C221">
        <v>8</v>
      </c>
      <c r="D221">
        <v>0</v>
      </c>
      <c r="E221">
        <v>3</v>
      </c>
      <c r="F221">
        <v>1</v>
      </c>
      <c r="G221" t="s">
        <v>4254</v>
      </c>
    </row>
    <row r="222" spans="1:7" x14ac:dyDescent="0.35">
      <c r="A222" s="2">
        <v>45536</v>
      </c>
      <c r="B222" t="s">
        <v>63</v>
      </c>
      <c r="C222">
        <v>14</v>
      </c>
      <c r="D222">
        <v>4</v>
      </c>
      <c r="E222">
        <v>3</v>
      </c>
      <c r="F222">
        <v>2</v>
      </c>
      <c r="G222" t="s">
        <v>4256</v>
      </c>
    </row>
    <row r="223" spans="1:7" x14ac:dyDescent="0.35">
      <c r="A223" s="2">
        <v>46219</v>
      </c>
      <c r="B223" t="s">
        <v>24</v>
      </c>
      <c r="C223">
        <v>1</v>
      </c>
      <c r="D223">
        <v>2</v>
      </c>
      <c r="E223">
        <v>3</v>
      </c>
      <c r="F223">
        <v>7</v>
      </c>
      <c r="G223" t="s">
        <v>4255</v>
      </c>
    </row>
    <row r="224" spans="1:7" x14ac:dyDescent="0.35">
      <c r="A224" s="2">
        <v>44824</v>
      </c>
      <c r="B224" t="s">
        <v>44</v>
      </c>
      <c r="C224">
        <v>18</v>
      </c>
      <c r="D224">
        <v>2</v>
      </c>
      <c r="E224">
        <v>0</v>
      </c>
      <c r="F224">
        <v>7</v>
      </c>
      <c r="G224" t="s">
        <v>4255</v>
      </c>
    </row>
    <row r="225" spans="1:7" x14ac:dyDescent="0.35">
      <c r="A225" s="2">
        <v>46095</v>
      </c>
      <c r="B225" t="s">
        <v>30</v>
      </c>
      <c r="C225">
        <v>19</v>
      </c>
      <c r="D225">
        <v>1</v>
      </c>
      <c r="E225">
        <v>1</v>
      </c>
      <c r="F225">
        <v>3</v>
      </c>
      <c r="G225" t="s">
        <v>4256</v>
      </c>
    </row>
    <row r="226" spans="1:7" x14ac:dyDescent="0.35">
      <c r="A226" s="2">
        <v>44827</v>
      </c>
      <c r="B226" t="s">
        <v>30</v>
      </c>
      <c r="C226">
        <v>5</v>
      </c>
      <c r="D226">
        <v>1</v>
      </c>
      <c r="E226">
        <v>0</v>
      </c>
      <c r="F226">
        <v>1</v>
      </c>
      <c r="G226" t="s">
        <v>4256</v>
      </c>
    </row>
    <row r="227" spans="1:7" x14ac:dyDescent="0.35">
      <c r="A227" s="2">
        <v>45389</v>
      </c>
      <c r="B227" t="s">
        <v>44</v>
      </c>
      <c r="C227">
        <v>20</v>
      </c>
      <c r="D227">
        <v>0</v>
      </c>
      <c r="E227">
        <v>1</v>
      </c>
      <c r="F227">
        <v>3</v>
      </c>
      <c r="G227" t="s">
        <v>4255</v>
      </c>
    </row>
    <row r="228" spans="1:7" x14ac:dyDescent="0.35">
      <c r="A228" s="2">
        <v>44940</v>
      </c>
      <c r="B228" t="s">
        <v>24</v>
      </c>
      <c r="C228">
        <v>10</v>
      </c>
      <c r="D228">
        <v>2</v>
      </c>
      <c r="E228">
        <v>3</v>
      </c>
      <c r="F228">
        <v>10</v>
      </c>
      <c r="G228" t="s">
        <v>4256</v>
      </c>
    </row>
    <row r="229" spans="1:7" x14ac:dyDescent="0.35">
      <c r="A229" s="2">
        <v>45626</v>
      </c>
      <c r="B229" t="s">
        <v>39</v>
      </c>
      <c r="C229">
        <v>19</v>
      </c>
      <c r="D229">
        <v>2</v>
      </c>
      <c r="E229">
        <v>1</v>
      </c>
      <c r="F229">
        <v>5</v>
      </c>
      <c r="G229" t="s">
        <v>4255</v>
      </c>
    </row>
    <row r="230" spans="1:7" x14ac:dyDescent="0.35">
      <c r="A230" s="2">
        <v>45329</v>
      </c>
      <c r="B230" t="s">
        <v>24</v>
      </c>
      <c r="C230">
        <v>5</v>
      </c>
      <c r="D230">
        <v>4</v>
      </c>
      <c r="E230">
        <v>0</v>
      </c>
      <c r="F230">
        <v>6</v>
      </c>
      <c r="G230" t="s">
        <v>4256</v>
      </c>
    </row>
    <row r="231" spans="1:7" x14ac:dyDescent="0.35">
      <c r="A231" s="2">
        <v>44660</v>
      </c>
      <c r="B231" t="s">
        <v>30</v>
      </c>
      <c r="C231">
        <v>7</v>
      </c>
      <c r="D231">
        <v>1</v>
      </c>
      <c r="E231">
        <v>0</v>
      </c>
      <c r="F231">
        <v>2</v>
      </c>
      <c r="G231" t="s">
        <v>4256</v>
      </c>
    </row>
    <row r="232" spans="1:7" x14ac:dyDescent="0.35">
      <c r="A232" s="2">
        <v>44631</v>
      </c>
      <c r="B232" t="s">
        <v>30</v>
      </c>
      <c r="C232">
        <v>8</v>
      </c>
      <c r="D232">
        <v>1</v>
      </c>
      <c r="E232">
        <v>3</v>
      </c>
      <c r="F232">
        <v>5</v>
      </c>
      <c r="G232" t="s">
        <v>4254</v>
      </c>
    </row>
    <row r="233" spans="1:7" x14ac:dyDescent="0.35">
      <c r="A233" s="2">
        <v>45733</v>
      </c>
      <c r="B233" t="s">
        <v>63</v>
      </c>
      <c r="C233">
        <v>16</v>
      </c>
      <c r="D233">
        <v>2</v>
      </c>
      <c r="E233">
        <v>1</v>
      </c>
      <c r="F233">
        <v>10</v>
      </c>
      <c r="G233" t="s">
        <v>4256</v>
      </c>
    </row>
    <row r="234" spans="1:7" x14ac:dyDescent="0.35">
      <c r="A234" s="2">
        <v>45392</v>
      </c>
      <c r="B234" t="s">
        <v>63</v>
      </c>
      <c r="C234">
        <v>7</v>
      </c>
      <c r="D234">
        <v>3</v>
      </c>
      <c r="E234">
        <v>2</v>
      </c>
      <c r="F234">
        <v>8</v>
      </c>
      <c r="G234" t="s">
        <v>4255</v>
      </c>
    </row>
    <row r="235" spans="1:7" x14ac:dyDescent="0.35">
      <c r="A235" s="2">
        <v>44803</v>
      </c>
      <c r="B235" t="s">
        <v>24</v>
      </c>
      <c r="C235">
        <v>9</v>
      </c>
      <c r="D235">
        <v>5</v>
      </c>
      <c r="E235">
        <v>2</v>
      </c>
      <c r="F235">
        <v>5</v>
      </c>
      <c r="G235" t="s">
        <v>4254</v>
      </c>
    </row>
    <row r="236" spans="1:7" x14ac:dyDescent="0.35">
      <c r="A236" s="2">
        <v>45084</v>
      </c>
      <c r="B236" t="s">
        <v>44</v>
      </c>
      <c r="C236">
        <v>16</v>
      </c>
      <c r="D236">
        <v>4</v>
      </c>
      <c r="E236">
        <v>3</v>
      </c>
      <c r="F236">
        <v>10</v>
      </c>
      <c r="G236" t="s">
        <v>4254</v>
      </c>
    </row>
    <row r="237" spans="1:7" x14ac:dyDescent="0.35">
      <c r="A237" s="2">
        <v>45930</v>
      </c>
      <c r="B237" t="s">
        <v>30</v>
      </c>
      <c r="C237">
        <v>11</v>
      </c>
      <c r="D237">
        <v>4</v>
      </c>
      <c r="E237">
        <v>2</v>
      </c>
      <c r="F237">
        <v>1</v>
      </c>
      <c r="G237" t="s">
        <v>4255</v>
      </c>
    </row>
    <row r="238" spans="1:7" x14ac:dyDescent="0.35">
      <c r="A238" s="2">
        <v>45435</v>
      </c>
      <c r="B238" t="s">
        <v>24</v>
      </c>
      <c r="C238">
        <v>1</v>
      </c>
      <c r="D238">
        <v>4</v>
      </c>
      <c r="E238">
        <v>1</v>
      </c>
      <c r="F238">
        <v>1</v>
      </c>
      <c r="G238" t="s">
        <v>4254</v>
      </c>
    </row>
    <row r="239" spans="1:7" x14ac:dyDescent="0.35">
      <c r="A239" s="2">
        <v>45498</v>
      </c>
      <c r="B239" t="s">
        <v>30</v>
      </c>
      <c r="C239">
        <v>4</v>
      </c>
      <c r="D239">
        <v>0</v>
      </c>
      <c r="E239">
        <v>2</v>
      </c>
      <c r="F239">
        <v>2</v>
      </c>
      <c r="G239" t="s">
        <v>4255</v>
      </c>
    </row>
    <row r="240" spans="1:7" x14ac:dyDescent="0.35">
      <c r="A240" s="2">
        <v>45190</v>
      </c>
      <c r="B240" t="s">
        <v>63</v>
      </c>
      <c r="C240">
        <v>14</v>
      </c>
      <c r="D240">
        <v>4</v>
      </c>
      <c r="E240">
        <v>0</v>
      </c>
      <c r="F240">
        <v>8</v>
      </c>
      <c r="G240" t="s">
        <v>4254</v>
      </c>
    </row>
    <row r="241" spans="1:7" x14ac:dyDescent="0.35">
      <c r="A241" s="2">
        <v>45376</v>
      </c>
      <c r="B241" t="s">
        <v>30</v>
      </c>
      <c r="C241">
        <v>17</v>
      </c>
      <c r="D241">
        <v>1</v>
      </c>
      <c r="E241">
        <v>1</v>
      </c>
      <c r="F241">
        <v>10</v>
      </c>
      <c r="G241" t="s">
        <v>4254</v>
      </c>
    </row>
    <row r="242" spans="1:7" x14ac:dyDescent="0.35">
      <c r="A242" s="2">
        <v>46151</v>
      </c>
      <c r="B242" t="s">
        <v>19</v>
      </c>
      <c r="C242">
        <v>7</v>
      </c>
      <c r="D242">
        <v>5</v>
      </c>
      <c r="E242">
        <v>2</v>
      </c>
      <c r="F242">
        <v>8</v>
      </c>
      <c r="G242" t="s">
        <v>4256</v>
      </c>
    </row>
    <row r="243" spans="1:7" x14ac:dyDescent="0.35">
      <c r="A243" s="2">
        <v>46159</v>
      </c>
      <c r="B243" t="s">
        <v>13</v>
      </c>
      <c r="C243">
        <v>19</v>
      </c>
      <c r="D243">
        <v>4</v>
      </c>
      <c r="E243">
        <v>0</v>
      </c>
      <c r="F243">
        <v>8</v>
      </c>
      <c r="G243" t="s">
        <v>4255</v>
      </c>
    </row>
    <row r="244" spans="1:7" x14ac:dyDescent="0.35">
      <c r="A244" s="2">
        <v>45666</v>
      </c>
      <c r="B244" t="s">
        <v>13</v>
      </c>
      <c r="C244">
        <v>17</v>
      </c>
      <c r="D244">
        <v>1</v>
      </c>
      <c r="E244">
        <v>2</v>
      </c>
      <c r="F244">
        <v>2</v>
      </c>
      <c r="G244" t="s">
        <v>4254</v>
      </c>
    </row>
    <row r="245" spans="1:7" x14ac:dyDescent="0.35">
      <c r="A245" s="2">
        <v>45955</v>
      </c>
      <c r="B245" t="s">
        <v>13</v>
      </c>
      <c r="C245">
        <v>20</v>
      </c>
      <c r="D245">
        <v>1</v>
      </c>
      <c r="E245">
        <v>1</v>
      </c>
      <c r="F245">
        <v>8</v>
      </c>
      <c r="G245" t="s">
        <v>4256</v>
      </c>
    </row>
    <row r="246" spans="1:7" x14ac:dyDescent="0.35">
      <c r="A246" s="2">
        <v>45430</v>
      </c>
      <c r="B246" t="s">
        <v>30</v>
      </c>
      <c r="C246">
        <v>7</v>
      </c>
      <c r="D246">
        <v>2</v>
      </c>
      <c r="E246">
        <v>0</v>
      </c>
      <c r="F246">
        <v>6</v>
      </c>
      <c r="G246" t="s">
        <v>4255</v>
      </c>
    </row>
    <row r="247" spans="1:7" x14ac:dyDescent="0.35">
      <c r="A247" s="2">
        <v>45360</v>
      </c>
      <c r="B247" t="s">
        <v>39</v>
      </c>
      <c r="C247">
        <v>14</v>
      </c>
      <c r="D247">
        <v>3</v>
      </c>
      <c r="E247">
        <v>3</v>
      </c>
      <c r="F247">
        <v>5</v>
      </c>
      <c r="G247" t="s">
        <v>4254</v>
      </c>
    </row>
    <row r="248" spans="1:7" x14ac:dyDescent="0.35">
      <c r="A248" s="2">
        <v>46039</v>
      </c>
      <c r="B248" t="s">
        <v>44</v>
      </c>
      <c r="C248">
        <v>1</v>
      </c>
      <c r="D248">
        <v>0</v>
      </c>
      <c r="E248">
        <v>2</v>
      </c>
      <c r="F248">
        <v>8</v>
      </c>
      <c r="G248" t="s">
        <v>4256</v>
      </c>
    </row>
    <row r="249" spans="1:7" x14ac:dyDescent="0.35">
      <c r="A249" s="2">
        <v>45200</v>
      </c>
      <c r="B249" t="s">
        <v>13</v>
      </c>
      <c r="C249">
        <v>20</v>
      </c>
      <c r="D249">
        <v>4</v>
      </c>
      <c r="E249">
        <v>0</v>
      </c>
      <c r="F249">
        <v>0</v>
      </c>
      <c r="G249" t="s">
        <v>4255</v>
      </c>
    </row>
    <row r="250" spans="1:7" x14ac:dyDescent="0.35">
      <c r="A250" s="2">
        <v>44849</v>
      </c>
      <c r="B250" t="s">
        <v>13</v>
      </c>
      <c r="C250">
        <v>16</v>
      </c>
      <c r="D250">
        <v>1</v>
      </c>
      <c r="E250">
        <v>1</v>
      </c>
      <c r="F250">
        <v>6</v>
      </c>
      <c r="G250" t="s">
        <v>4254</v>
      </c>
    </row>
    <row r="251" spans="1:7" x14ac:dyDescent="0.35">
      <c r="A251" s="2">
        <v>45885</v>
      </c>
      <c r="B251" t="s">
        <v>63</v>
      </c>
      <c r="C251">
        <v>13</v>
      </c>
      <c r="D251">
        <v>4</v>
      </c>
      <c r="E251">
        <v>1</v>
      </c>
      <c r="F251">
        <v>3</v>
      </c>
      <c r="G251" t="s">
        <v>4255</v>
      </c>
    </row>
    <row r="252" spans="1:7" x14ac:dyDescent="0.35">
      <c r="A252" s="2">
        <v>44706</v>
      </c>
      <c r="B252" t="s">
        <v>13</v>
      </c>
      <c r="C252">
        <v>9</v>
      </c>
      <c r="D252">
        <v>1</v>
      </c>
      <c r="E252">
        <v>3</v>
      </c>
      <c r="F252">
        <v>1</v>
      </c>
      <c r="G252" t="s">
        <v>4256</v>
      </c>
    </row>
    <row r="253" spans="1:7" x14ac:dyDescent="0.35">
      <c r="A253" s="2">
        <v>46076</v>
      </c>
      <c r="B253" t="s">
        <v>39</v>
      </c>
      <c r="C253">
        <v>5</v>
      </c>
      <c r="D253">
        <v>1</v>
      </c>
      <c r="E253">
        <v>3</v>
      </c>
      <c r="F253">
        <v>2</v>
      </c>
      <c r="G253" t="s">
        <v>4256</v>
      </c>
    </row>
    <row r="254" spans="1:7" x14ac:dyDescent="0.35">
      <c r="A254" s="2">
        <v>45126</v>
      </c>
      <c r="B254" t="s">
        <v>30</v>
      </c>
      <c r="C254">
        <v>11</v>
      </c>
      <c r="D254">
        <v>0</v>
      </c>
      <c r="E254">
        <v>0</v>
      </c>
      <c r="F254">
        <v>8</v>
      </c>
      <c r="G254" t="s">
        <v>4255</v>
      </c>
    </row>
    <row r="255" spans="1:7" x14ac:dyDescent="0.35">
      <c r="A255" s="2">
        <v>45635</v>
      </c>
      <c r="B255" t="s">
        <v>19</v>
      </c>
      <c r="C255">
        <v>20</v>
      </c>
      <c r="D255">
        <v>3</v>
      </c>
      <c r="E255">
        <v>1</v>
      </c>
      <c r="F255">
        <v>10</v>
      </c>
      <c r="G255" t="s">
        <v>4255</v>
      </c>
    </row>
    <row r="256" spans="1:7" x14ac:dyDescent="0.35">
      <c r="A256" s="2">
        <v>45173</v>
      </c>
      <c r="B256" t="s">
        <v>30</v>
      </c>
      <c r="C256">
        <v>4</v>
      </c>
      <c r="D256">
        <v>4</v>
      </c>
      <c r="E256">
        <v>3</v>
      </c>
      <c r="F256">
        <v>2</v>
      </c>
      <c r="G256" t="s">
        <v>4254</v>
      </c>
    </row>
    <row r="257" spans="1:7" x14ac:dyDescent="0.35">
      <c r="A257" s="2">
        <v>46364</v>
      </c>
      <c r="B257" t="s">
        <v>30</v>
      </c>
      <c r="C257">
        <v>11</v>
      </c>
      <c r="D257">
        <v>2</v>
      </c>
      <c r="E257">
        <v>0</v>
      </c>
      <c r="F257">
        <v>6</v>
      </c>
      <c r="G257" t="s">
        <v>4255</v>
      </c>
    </row>
    <row r="258" spans="1:7" x14ac:dyDescent="0.35">
      <c r="A258" s="2">
        <v>44793</v>
      </c>
      <c r="B258" t="s">
        <v>24</v>
      </c>
      <c r="C258">
        <v>15</v>
      </c>
      <c r="D258">
        <v>3</v>
      </c>
      <c r="E258">
        <v>1</v>
      </c>
      <c r="F258">
        <v>7</v>
      </c>
      <c r="G258" t="s">
        <v>4255</v>
      </c>
    </row>
    <row r="259" spans="1:7" x14ac:dyDescent="0.35">
      <c r="A259" s="2">
        <v>45022</v>
      </c>
      <c r="B259" t="s">
        <v>39</v>
      </c>
      <c r="C259">
        <v>4</v>
      </c>
      <c r="D259">
        <v>0</v>
      </c>
      <c r="E259">
        <v>2</v>
      </c>
      <c r="F259">
        <v>3</v>
      </c>
      <c r="G259" t="s">
        <v>4256</v>
      </c>
    </row>
    <row r="260" spans="1:7" x14ac:dyDescent="0.35">
      <c r="A260" s="2">
        <v>45574</v>
      </c>
      <c r="B260" t="s">
        <v>30</v>
      </c>
      <c r="C260">
        <v>14</v>
      </c>
      <c r="D260">
        <v>3</v>
      </c>
      <c r="E260">
        <v>0</v>
      </c>
      <c r="F260">
        <v>10</v>
      </c>
      <c r="G260" t="s">
        <v>4254</v>
      </c>
    </row>
    <row r="261" spans="1:7" x14ac:dyDescent="0.35">
      <c r="A261" s="2">
        <v>46333</v>
      </c>
      <c r="B261" t="s">
        <v>30</v>
      </c>
      <c r="C261">
        <v>9</v>
      </c>
      <c r="D261">
        <v>5</v>
      </c>
      <c r="E261">
        <v>2</v>
      </c>
      <c r="F261">
        <v>4</v>
      </c>
      <c r="G261" t="s">
        <v>4256</v>
      </c>
    </row>
    <row r="262" spans="1:7" x14ac:dyDescent="0.35">
      <c r="A262" s="2">
        <v>45602</v>
      </c>
      <c r="B262" t="s">
        <v>44</v>
      </c>
      <c r="C262">
        <v>14</v>
      </c>
      <c r="D262">
        <v>5</v>
      </c>
      <c r="E262">
        <v>2</v>
      </c>
      <c r="F262">
        <v>5</v>
      </c>
      <c r="G262" t="s">
        <v>4254</v>
      </c>
    </row>
    <row r="263" spans="1:7" x14ac:dyDescent="0.35">
      <c r="A263" s="2">
        <v>44588</v>
      </c>
      <c r="B263" t="s">
        <v>19</v>
      </c>
      <c r="C263">
        <v>16</v>
      </c>
      <c r="D263">
        <v>1</v>
      </c>
      <c r="E263">
        <v>3</v>
      </c>
      <c r="F263">
        <v>3</v>
      </c>
      <c r="G263" t="s">
        <v>4256</v>
      </c>
    </row>
    <row r="264" spans="1:7" x14ac:dyDescent="0.35">
      <c r="A264" s="2">
        <v>45450</v>
      </c>
      <c r="B264" t="s">
        <v>24</v>
      </c>
      <c r="C264">
        <v>9</v>
      </c>
      <c r="D264">
        <v>0</v>
      </c>
      <c r="E264">
        <v>3</v>
      </c>
      <c r="F264">
        <v>8</v>
      </c>
      <c r="G264" t="s">
        <v>4256</v>
      </c>
    </row>
    <row r="265" spans="1:7" x14ac:dyDescent="0.35">
      <c r="A265" s="2">
        <v>46277</v>
      </c>
      <c r="B265" t="s">
        <v>39</v>
      </c>
      <c r="C265">
        <v>13</v>
      </c>
      <c r="D265">
        <v>4</v>
      </c>
      <c r="E265">
        <v>3</v>
      </c>
      <c r="F265">
        <v>0</v>
      </c>
      <c r="G265" t="s">
        <v>4256</v>
      </c>
    </row>
    <row r="266" spans="1:7" x14ac:dyDescent="0.35">
      <c r="A266" s="2">
        <v>44782</v>
      </c>
      <c r="B266" t="s">
        <v>39</v>
      </c>
      <c r="C266">
        <v>4</v>
      </c>
      <c r="D266">
        <v>4</v>
      </c>
      <c r="E266">
        <v>0</v>
      </c>
      <c r="F266">
        <v>1</v>
      </c>
      <c r="G266" t="s">
        <v>4254</v>
      </c>
    </row>
    <row r="267" spans="1:7" x14ac:dyDescent="0.35">
      <c r="A267" s="2">
        <v>45300</v>
      </c>
      <c r="B267" t="s">
        <v>39</v>
      </c>
      <c r="C267">
        <v>20</v>
      </c>
      <c r="D267">
        <v>3</v>
      </c>
      <c r="E267">
        <v>3</v>
      </c>
      <c r="F267">
        <v>0</v>
      </c>
      <c r="G267" t="s">
        <v>4255</v>
      </c>
    </row>
    <row r="268" spans="1:7" x14ac:dyDescent="0.35">
      <c r="A268" s="2">
        <v>45887</v>
      </c>
      <c r="B268" t="s">
        <v>30</v>
      </c>
      <c r="C268">
        <v>15</v>
      </c>
      <c r="D268">
        <v>3</v>
      </c>
      <c r="E268">
        <v>0</v>
      </c>
      <c r="F268">
        <v>6</v>
      </c>
      <c r="G268" t="s">
        <v>4256</v>
      </c>
    </row>
    <row r="269" spans="1:7" x14ac:dyDescent="0.35">
      <c r="A269" s="2">
        <v>46086</v>
      </c>
      <c r="B269" t="s">
        <v>30</v>
      </c>
      <c r="C269">
        <v>14</v>
      </c>
      <c r="D269">
        <v>5</v>
      </c>
      <c r="E269">
        <v>0</v>
      </c>
      <c r="F269">
        <v>3</v>
      </c>
      <c r="G269" t="s">
        <v>4256</v>
      </c>
    </row>
    <row r="270" spans="1:7" x14ac:dyDescent="0.35">
      <c r="A270" s="2">
        <v>44932</v>
      </c>
      <c r="B270" t="s">
        <v>19</v>
      </c>
      <c r="C270">
        <v>11</v>
      </c>
      <c r="D270">
        <v>0</v>
      </c>
      <c r="E270">
        <v>2</v>
      </c>
      <c r="F270">
        <v>6</v>
      </c>
      <c r="G270" t="s">
        <v>4254</v>
      </c>
    </row>
    <row r="271" spans="1:7" x14ac:dyDescent="0.35">
      <c r="A271" s="2">
        <v>46055</v>
      </c>
      <c r="B271" t="s">
        <v>63</v>
      </c>
      <c r="C271">
        <v>9</v>
      </c>
      <c r="D271">
        <v>2</v>
      </c>
      <c r="E271">
        <v>2</v>
      </c>
      <c r="F271">
        <v>5</v>
      </c>
      <c r="G271" t="s">
        <v>4254</v>
      </c>
    </row>
    <row r="272" spans="1:7" x14ac:dyDescent="0.35">
      <c r="A272" s="2">
        <v>45128</v>
      </c>
      <c r="B272" t="s">
        <v>63</v>
      </c>
      <c r="C272">
        <v>2</v>
      </c>
      <c r="D272">
        <v>2</v>
      </c>
      <c r="E272">
        <v>3</v>
      </c>
      <c r="F272">
        <v>10</v>
      </c>
      <c r="G272" t="s">
        <v>4255</v>
      </c>
    </row>
    <row r="273" spans="1:7" x14ac:dyDescent="0.35">
      <c r="A273" s="2">
        <v>46136</v>
      </c>
      <c r="B273" t="s">
        <v>30</v>
      </c>
      <c r="C273">
        <v>6</v>
      </c>
      <c r="D273">
        <v>1</v>
      </c>
      <c r="E273">
        <v>2</v>
      </c>
      <c r="F273">
        <v>6</v>
      </c>
      <c r="G273" t="s">
        <v>4255</v>
      </c>
    </row>
    <row r="274" spans="1:7" x14ac:dyDescent="0.35">
      <c r="A274" s="2">
        <v>46161</v>
      </c>
      <c r="B274" t="s">
        <v>30</v>
      </c>
      <c r="C274">
        <v>6</v>
      </c>
      <c r="D274">
        <v>3</v>
      </c>
      <c r="E274">
        <v>0</v>
      </c>
      <c r="F274">
        <v>5</v>
      </c>
      <c r="G274" t="s">
        <v>4255</v>
      </c>
    </row>
    <row r="275" spans="1:7" x14ac:dyDescent="0.35">
      <c r="A275" s="2">
        <v>45824</v>
      </c>
      <c r="B275" t="s">
        <v>39</v>
      </c>
      <c r="C275">
        <v>8</v>
      </c>
      <c r="D275">
        <v>2</v>
      </c>
      <c r="E275">
        <v>2</v>
      </c>
      <c r="F275">
        <v>1</v>
      </c>
      <c r="G275" t="s">
        <v>4256</v>
      </c>
    </row>
    <row r="276" spans="1:7" x14ac:dyDescent="0.35">
      <c r="A276" s="2">
        <v>44747</v>
      </c>
      <c r="B276" t="s">
        <v>24</v>
      </c>
      <c r="C276">
        <v>13</v>
      </c>
      <c r="D276">
        <v>2</v>
      </c>
      <c r="E276">
        <v>3</v>
      </c>
      <c r="F276">
        <v>10</v>
      </c>
      <c r="G276" t="s">
        <v>4254</v>
      </c>
    </row>
    <row r="277" spans="1:7" x14ac:dyDescent="0.35">
      <c r="A277" s="2">
        <v>46111</v>
      </c>
      <c r="B277" t="s">
        <v>63</v>
      </c>
      <c r="C277">
        <v>7</v>
      </c>
      <c r="D277">
        <v>2</v>
      </c>
      <c r="E277">
        <v>3</v>
      </c>
      <c r="F277">
        <v>5</v>
      </c>
      <c r="G277" t="s">
        <v>4255</v>
      </c>
    </row>
    <row r="278" spans="1:7" x14ac:dyDescent="0.35">
      <c r="A278" s="2">
        <v>46212</v>
      </c>
      <c r="B278" t="s">
        <v>63</v>
      </c>
      <c r="C278">
        <v>12</v>
      </c>
      <c r="D278">
        <v>1</v>
      </c>
      <c r="E278">
        <v>1</v>
      </c>
      <c r="F278">
        <v>5</v>
      </c>
      <c r="G278" t="s">
        <v>4254</v>
      </c>
    </row>
    <row r="279" spans="1:7" x14ac:dyDescent="0.35">
      <c r="A279" s="2">
        <v>44790</v>
      </c>
      <c r="B279" t="s">
        <v>13</v>
      </c>
      <c r="C279">
        <v>19</v>
      </c>
      <c r="D279">
        <v>2</v>
      </c>
      <c r="E279">
        <v>2</v>
      </c>
      <c r="F279">
        <v>8</v>
      </c>
      <c r="G279" t="s">
        <v>4256</v>
      </c>
    </row>
    <row r="280" spans="1:7" x14ac:dyDescent="0.35">
      <c r="A280" s="2">
        <v>44926</v>
      </c>
      <c r="B280" t="s">
        <v>63</v>
      </c>
      <c r="C280">
        <v>20</v>
      </c>
      <c r="D280">
        <v>5</v>
      </c>
      <c r="E280">
        <v>0</v>
      </c>
      <c r="F280">
        <v>3</v>
      </c>
      <c r="G280" t="s">
        <v>4254</v>
      </c>
    </row>
    <row r="281" spans="1:7" x14ac:dyDescent="0.35">
      <c r="A281" s="2">
        <v>44747</v>
      </c>
      <c r="B281" t="s">
        <v>24</v>
      </c>
      <c r="C281">
        <v>20</v>
      </c>
      <c r="D281">
        <v>5</v>
      </c>
      <c r="E281">
        <v>3</v>
      </c>
      <c r="F281">
        <v>4</v>
      </c>
      <c r="G281" t="s">
        <v>4254</v>
      </c>
    </row>
    <row r="282" spans="1:7" x14ac:dyDescent="0.35">
      <c r="A282" s="2">
        <v>46028</v>
      </c>
      <c r="B282" t="s">
        <v>44</v>
      </c>
      <c r="C282">
        <v>18</v>
      </c>
      <c r="D282">
        <v>2</v>
      </c>
      <c r="E282">
        <v>3</v>
      </c>
      <c r="F282">
        <v>2</v>
      </c>
      <c r="G282" t="s">
        <v>4255</v>
      </c>
    </row>
    <row r="283" spans="1:7" x14ac:dyDescent="0.35">
      <c r="A283" s="2">
        <v>44774</v>
      </c>
      <c r="B283" t="s">
        <v>30</v>
      </c>
      <c r="C283">
        <v>10</v>
      </c>
      <c r="D283">
        <v>4</v>
      </c>
      <c r="E283">
        <v>0</v>
      </c>
      <c r="F283">
        <v>5</v>
      </c>
      <c r="G283" t="s">
        <v>4254</v>
      </c>
    </row>
    <row r="284" spans="1:7" x14ac:dyDescent="0.35">
      <c r="A284" s="2">
        <v>45468</v>
      </c>
      <c r="B284" t="s">
        <v>30</v>
      </c>
      <c r="C284">
        <v>2</v>
      </c>
      <c r="D284">
        <v>1</v>
      </c>
      <c r="E284">
        <v>1</v>
      </c>
      <c r="F284">
        <v>10</v>
      </c>
      <c r="G284" t="s">
        <v>4255</v>
      </c>
    </row>
    <row r="285" spans="1:7" x14ac:dyDescent="0.35">
      <c r="A285" s="2">
        <v>44615</v>
      </c>
      <c r="B285" t="s">
        <v>63</v>
      </c>
      <c r="C285">
        <v>8</v>
      </c>
      <c r="D285">
        <v>5</v>
      </c>
      <c r="E285">
        <v>1</v>
      </c>
      <c r="F285">
        <v>3</v>
      </c>
      <c r="G285" t="s">
        <v>4254</v>
      </c>
    </row>
    <row r="286" spans="1:7" x14ac:dyDescent="0.35">
      <c r="A286" s="2">
        <v>45463</v>
      </c>
      <c r="B286" t="s">
        <v>24</v>
      </c>
      <c r="C286">
        <v>7</v>
      </c>
      <c r="D286">
        <v>1</v>
      </c>
      <c r="E286">
        <v>0</v>
      </c>
      <c r="F286">
        <v>4</v>
      </c>
      <c r="G286" t="s">
        <v>4254</v>
      </c>
    </row>
    <row r="287" spans="1:7" x14ac:dyDescent="0.35">
      <c r="A287" s="2">
        <v>44604</v>
      </c>
      <c r="B287" t="s">
        <v>30</v>
      </c>
      <c r="C287">
        <v>20</v>
      </c>
      <c r="D287">
        <v>3</v>
      </c>
      <c r="E287">
        <v>3</v>
      </c>
      <c r="F287">
        <v>6</v>
      </c>
      <c r="G287" t="s">
        <v>4256</v>
      </c>
    </row>
    <row r="288" spans="1:7" x14ac:dyDescent="0.35">
      <c r="A288" s="2">
        <v>45690</v>
      </c>
      <c r="B288" t="s">
        <v>39</v>
      </c>
      <c r="C288">
        <v>7</v>
      </c>
      <c r="D288">
        <v>3</v>
      </c>
      <c r="E288">
        <v>1</v>
      </c>
      <c r="F288">
        <v>8</v>
      </c>
      <c r="G288" t="s">
        <v>4256</v>
      </c>
    </row>
    <row r="289" spans="1:7" x14ac:dyDescent="0.35">
      <c r="A289" s="2">
        <v>45380</v>
      </c>
      <c r="B289" t="s">
        <v>24</v>
      </c>
      <c r="C289">
        <v>19</v>
      </c>
      <c r="D289">
        <v>3</v>
      </c>
      <c r="E289">
        <v>2</v>
      </c>
      <c r="F289">
        <v>5</v>
      </c>
      <c r="G289" t="s">
        <v>4255</v>
      </c>
    </row>
    <row r="290" spans="1:7" x14ac:dyDescent="0.35">
      <c r="A290" s="2">
        <v>45445</v>
      </c>
      <c r="B290" t="s">
        <v>44</v>
      </c>
      <c r="C290">
        <v>12</v>
      </c>
      <c r="D290">
        <v>1</v>
      </c>
      <c r="E290">
        <v>2</v>
      </c>
      <c r="F290">
        <v>8</v>
      </c>
      <c r="G290" t="s">
        <v>4255</v>
      </c>
    </row>
    <row r="291" spans="1:7" x14ac:dyDescent="0.35">
      <c r="A291" s="2">
        <v>44719</v>
      </c>
      <c r="B291" t="s">
        <v>24</v>
      </c>
      <c r="C291">
        <v>5</v>
      </c>
      <c r="D291">
        <v>2</v>
      </c>
      <c r="E291">
        <v>1</v>
      </c>
      <c r="F291">
        <v>8</v>
      </c>
      <c r="G291" t="s">
        <v>4256</v>
      </c>
    </row>
    <row r="292" spans="1:7" x14ac:dyDescent="0.35">
      <c r="A292" s="2">
        <v>44825</v>
      </c>
      <c r="B292" t="s">
        <v>19</v>
      </c>
      <c r="C292">
        <v>17</v>
      </c>
      <c r="D292">
        <v>5</v>
      </c>
      <c r="E292">
        <v>3</v>
      </c>
      <c r="F292">
        <v>8</v>
      </c>
      <c r="G292" t="s">
        <v>4255</v>
      </c>
    </row>
    <row r="293" spans="1:7" x14ac:dyDescent="0.35">
      <c r="A293" s="2">
        <v>44776</v>
      </c>
      <c r="B293" t="s">
        <v>30</v>
      </c>
      <c r="C293">
        <v>20</v>
      </c>
      <c r="D293">
        <v>1</v>
      </c>
      <c r="E293">
        <v>2</v>
      </c>
      <c r="F293">
        <v>10</v>
      </c>
      <c r="G293" t="s">
        <v>4256</v>
      </c>
    </row>
    <row r="294" spans="1:7" x14ac:dyDescent="0.35">
      <c r="A294" s="2">
        <v>46243</v>
      </c>
      <c r="B294" t="s">
        <v>13</v>
      </c>
      <c r="C294">
        <v>15</v>
      </c>
      <c r="D294">
        <v>2</v>
      </c>
      <c r="E294">
        <v>0</v>
      </c>
      <c r="F294">
        <v>7</v>
      </c>
      <c r="G294" t="s">
        <v>4256</v>
      </c>
    </row>
    <row r="295" spans="1:7" x14ac:dyDescent="0.35">
      <c r="A295" s="2">
        <v>45458</v>
      </c>
      <c r="B295" t="s">
        <v>63</v>
      </c>
      <c r="C295">
        <v>19</v>
      </c>
      <c r="D295">
        <v>3</v>
      </c>
      <c r="E295">
        <v>0</v>
      </c>
      <c r="F295">
        <v>2</v>
      </c>
      <c r="G295" t="s">
        <v>4254</v>
      </c>
    </row>
    <row r="296" spans="1:7" x14ac:dyDescent="0.35">
      <c r="A296" s="2">
        <v>45708</v>
      </c>
      <c r="B296" t="s">
        <v>63</v>
      </c>
      <c r="C296">
        <v>18</v>
      </c>
      <c r="D296">
        <v>5</v>
      </c>
      <c r="E296">
        <v>0</v>
      </c>
      <c r="F296">
        <v>5</v>
      </c>
      <c r="G296" t="s">
        <v>4255</v>
      </c>
    </row>
    <row r="297" spans="1:7" x14ac:dyDescent="0.35">
      <c r="A297" s="2">
        <v>46338</v>
      </c>
      <c r="B297" t="s">
        <v>24</v>
      </c>
      <c r="C297">
        <v>5</v>
      </c>
      <c r="D297">
        <v>0</v>
      </c>
      <c r="E297">
        <v>2</v>
      </c>
      <c r="F297">
        <v>1</v>
      </c>
      <c r="G297" t="s">
        <v>4256</v>
      </c>
    </row>
    <row r="298" spans="1:7" x14ac:dyDescent="0.35">
      <c r="A298" s="2">
        <v>45127</v>
      </c>
      <c r="B298" t="s">
        <v>39</v>
      </c>
      <c r="C298">
        <v>9</v>
      </c>
      <c r="D298">
        <v>5</v>
      </c>
      <c r="E298">
        <v>0</v>
      </c>
      <c r="F298">
        <v>9</v>
      </c>
      <c r="G298" t="s">
        <v>4255</v>
      </c>
    </row>
    <row r="299" spans="1:7" x14ac:dyDescent="0.35">
      <c r="A299" s="2">
        <v>45444</v>
      </c>
      <c r="B299" t="s">
        <v>24</v>
      </c>
      <c r="C299">
        <v>5</v>
      </c>
      <c r="D299">
        <v>3</v>
      </c>
      <c r="E299">
        <v>1</v>
      </c>
      <c r="F299">
        <v>10</v>
      </c>
      <c r="G299" t="s">
        <v>4255</v>
      </c>
    </row>
    <row r="300" spans="1:7" x14ac:dyDescent="0.35">
      <c r="A300" s="2">
        <v>45196</v>
      </c>
      <c r="B300" t="s">
        <v>39</v>
      </c>
      <c r="C300">
        <v>10</v>
      </c>
      <c r="D300">
        <v>2</v>
      </c>
      <c r="E300">
        <v>1</v>
      </c>
      <c r="F300">
        <v>9</v>
      </c>
      <c r="G300" t="s">
        <v>4256</v>
      </c>
    </row>
    <row r="301" spans="1:7" x14ac:dyDescent="0.35">
      <c r="A301" s="2">
        <v>45395</v>
      </c>
      <c r="B301" t="s">
        <v>13</v>
      </c>
      <c r="C301">
        <v>18</v>
      </c>
      <c r="D301">
        <v>5</v>
      </c>
      <c r="E301">
        <v>2</v>
      </c>
      <c r="F301">
        <v>0</v>
      </c>
      <c r="G301" t="s">
        <v>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</vt:i4>
      </vt:variant>
    </vt:vector>
  </HeadingPairs>
  <TitlesOfParts>
    <vt:vector size="14" baseType="lpstr">
      <vt:lpstr>Instrucoes</vt:lpstr>
      <vt:lpstr>Pivots</vt:lpstr>
      <vt:lpstr>Gráficos</vt:lpstr>
      <vt:lpstr>Folha1</vt:lpstr>
      <vt:lpstr>Pagamentos_Salarios</vt:lpstr>
      <vt:lpstr>Presenças</vt:lpstr>
      <vt:lpstr>Perfil_Colaborador</vt:lpstr>
      <vt:lpstr>Seguros</vt:lpstr>
      <vt:lpstr>Planeamento_Efetivo</vt:lpstr>
      <vt:lpstr>Fundo_Pensoes</vt:lpstr>
      <vt:lpstr>Higiene_Seguranca</vt:lpstr>
      <vt:lpstr>Gestao_Carreira</vt:lpstr>
      <vt:lpstr>Processo_Disciplinar</vt:lpstr>
      <vt:lpstr>Balanco_Social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Kidi Denize Monteiro Constantino</cp:lastModifiedBy>
  <dcterms:created xsi:type="dcterms:W3CDTF">2026-05-12T19:35:29Z</dcterms:created>
  <dcterms:modified xsi:type="dcterms:W3CDTF">2026-06-11T11:05:31Z</dcterms:modified>
</cp:coreProperties>
</file>