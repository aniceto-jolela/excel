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osej\Downloads\"/>
    </mc:Choice>
  </mc:AlternateContent>
  <bookViews>
    <workbookView xWindow="0" yWindow="0" windowWidth="20490" windowHeight="7530" tabRatio="812" firstSheet="2" activeTab="4"/>
  </bookViews>
  <sheets>
    <sheet name="Capa" sheetId="1" r:id="rId1"/>
    <sheet name="Enunciado" sheetId="2" r:id="rId2"/>
    <sheet name="Clientes" sheetId="3" r:id="rId3"/>
    <sheet name="Transportadoras" sheetId="4" r:id="rId4"/>
    <sheet name="Frota" sheetId="5" r:id="rId5"/>
    <sheet name="Stock" sheetId="6" r:id="rId6"/>
    <sheet name="Encomendas" sheetId="7" r:id="rId7"/>
    <sheet name="Painel_Calculos" sheetId="8" r:id="rId8"/>
    <sheet name="Resumo de apoio" sheetId="9" r:id="rId9"/>
    <sheet name="Pivots" sheetId="12" r:id="rId10"/>
    <sheet name="Dashboard" sheetId="10" r:id="rId11"/>
    <sheet name="Macro_Instrucoes" sheetId="11" r:id="rId12"/>
  </sheets>
  <definedNames>
    <definedName name="SegmentaçãodeDados_Data_Entrega">#N/A</definedName>
    <definedName name="SegmentaçãodeDados_Data_Pedido">#N/A</definedName>
    <definedName name="SegmentaçãodeDados_Data_Prevista">#N/A</definedName>
  </definedNames>
  <calcPr calcId="162913" iterateDelta="1E-4"/>
  <pivotCaches>
    <pivotCache cacheId="9" r:id="rId13"/>
  </pivotCaches>
  <fileRecoveryPr repairLoad="1"/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1" i="10" l="1"/>
  <c r="B21" i="10"/>
  <c r="A21" i="10"/>
  <c r="C20" i="10"/>
  <c r="B20" i="10"/>
  <c r="A20" i="10"/>
  <c r="C19" i="10"/>
  <c r="B19" i="10"/>
  <c r="A19" i="10"/>
  <c r="C18" i="10"/>
  <c r="B18" i="10"/>
  <c r="A18" i="10"/>
  <c r="C17" i="10"/>
  <c r="B17" i="10"/>
  <c r="A17" i="10"/>
  <c r="B14" i="10"/>
  <c r="B13" i="10"/>
  <c r="B12" i="10"/>
  <c r="B11" i="10"/>
  <c r="I5" i="10"/>
  <c r="E5" i="10"/>
  <c r="A5" i="10"/>
  <c r="D28" i="9"/>
  <c r="C28" i="9"/>
  <c r="C29" i="10" s="1"/>
  <c r="B28" i="9"/>
  <c r="B29" i="10" s="1"/>
  <c r="D27" i="9"/>
  <c r="C27" i="9"/>
  <c r="C28" i="10" s="1"/>
  <c r="B27" i="9"/>
  <c r="B28" i="10" s="1"/>
  <c r="D26" i="9"/>
  <c r="C26" i="9"/>
  <c r="C27" i="10" s="1"/>
  <c r="B26" i="9"/>
  <c r="B27" i="10" s="1"/>
  <c r="D25" i="9"/>
  <c r="C25" i="9"/>
  <c r="C26" i="10" s="1"/>
  <c r="B25" i="9"/>
  <c r="B26" i="10" s="1"/>
  <c r="D24" i="9"/>
  <c r="C24" i="9"/>
  <c r="C25" i="10" s="1"/>
  <c r="B24" i="9"/>
  <c r="B25" i="10" s="1"/>
  <c r="D23" i="9"/>
  <c r="C23" i="9"/>
  <c r="C24" i="10" s="1"/>
  <c r="B23" i="9"/>
  <c r="B24" i="10" s="1"/>
  <c r="F15" i="9"/>
  <c r="E15" i="9"/>
  <c r="D15" i="9"/>
  <c r="C15" i="9"/>
  <c r="B15" i="9"/>
  <c r="A15" i="9"/>
  <c r="F14" i="9"/>
  <c r="E14" i="9"/>
  <c r="D14" i="9"/>
  <c r="C14" i="9"/>
  <c r="B14" i="9"/>
  <c r="A14" i="9"/>
  <c r="F13" i="9"/>
  <c r="E13" i="9"/>
  <c r="D13" i="9"/>
  <c r="C13" i="9"/>
  <c r="B13" i="9"/>
  <c r="A13" i="9"/>
  <c r="F12" i="9"/>
  <c r="E12" i="9"/>
  <c r="D12" i="9"/>
  <c r="C12" i="9"/>
  <c r="B12" i="9"/>
  <c r="A12" i="9"/>
  <c r="F11" i="9"/>
  <c r="E11" i="9"/>
  <c r="D11" i="9"/>
  <c r="C11" i="9"/>
  <c r="B11" i="9"/>
  <c r="A11" i="9"/>
  <c r="F10" i="9"/>
  <c r="E10" i="9"/>
  <c r="D10" i="9"/>
  <c r="C10" i="9"/>
  <c r="B10" i="9"/>
  <c r="A10" i="9"/>
  <c r="F9" i="9"/>
  <c r="E9" i="9"/>
  <c r="D9" i="9"/>
  <c r="C9" i="9"/>
  <c r="B9" i="9"/>
  <c r="A9" i="9"/>
  <c r="F8" i="9"/>
  <c r="E8" i="9"/>
  <c r="D8" i="9"/>
  <c r="C8" i="9"/>
  <c r="B8" i="9"/>
  <c r="A8" i="9"/>
  <c r="F7" i="9"/>
  <c r="E7" i="9"/>
  <c r="D7" i="9"/>
  <c r="C7" i="9"/>
  <c r="B7" i="9"/>
  <c r="A7" i="9"/>
  <c r="F6" i="9"/>
  <c r="E6" i="9"/>
  <c r="D6" i="9"/>
  <c r="C6" i="9"/>
  <c r="B6" i="9"/>
  <c r="A6" i="9"/>
  <c r="F5" i="9"/>
  <c r="E5" i="9"/>
  <c r="D5" i="9"/>
  <c r="C5" i="9"/>
  <c r="B5" i="9"/>
  <c r="A5" i="9"/>
  <c r="F4" i="9"/>
  <c r="E4" i="9"/>
  <c r="D4" i="9"/>
  <c r="C4" i="9"/>
  <c r="B4" i="9"/>
  <c r="A4" i="9"/>
  <c r="E56" i="8"/>
  <c r="E49" i="8"/>
  <c r="E48" i="8"/>
  <c r="E47" i="8"/>
  <c r="E46" i="8"/>
  <c r="E38" i="8"/>
  <c r="E37" i="8"/>
  <c r="E36" i="8"/>
  <c r="E32" i="8"/>
  <c r="E31" i="8"/>
  <c r="E24" i="8"/>
  <c r="F20" i="8"/>
  <c r="E20" i="8"/>
  <c r="D20" i="8"/>
  <c r="C20" i="8"/>
  <c r="B20" i="8"/>
  <c r="F19" i="8"/>
  <c r="E19" i="8"/>
  <c r="D19" i="8"/>
  <c r="E23" i="8" s="1"/>
  <c r="C19" i="8"/>
  <c r="B19" i="8"/>
  <c r="C11" i="8"/>
  <c r="C10" i="8"/>
  <c r="C9" i="8"/>
  <c r="C8" i="8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C12" i="8" s="1"/>
  <c r="O10" i="7"/>
  <c r="O9" i="7"/>
  <c r="O8" i="7"/>
  <c r="O7" i="7"/>
  <c r="O6" i="7"/>
  <c r="O5" i="7"/>
  <c r="O4" i="7"/>
  <c r="O3" i="7"/>
  <c r="O2" i="7"/>
  <c r="E33" i="8" s="1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G5" i="10" s="1"/>
  <c r="G4" i="9" l="1"/>
  <c r="G12" i="9"/>
  <c r="C16" i="9"/>
  <c r="G5" i="9"/>
  <c r="G8" i="9"/>
  <c r="G7" i="9"/>
  <c r="G9" i="9"/>
  <c r="G13" i="9"/>
  <c r="G15" i="9"/>
  <c r="E16" i="9"/>
  <c r="G11" i="9"/>
  <c r="F16" i="9"/>
  <c r="B16" i="9"/>
  <c r="G10" i="9"/>
  <c r="D16" i="9"/>
  <c r="G6" i="9"/>
  <c r="G14" i="9"/>
  <c r="C5" i="10"/>
  <c r="G16" i="9" l="1"/>
</calcChain>
</file>

<file path=xl/sharedStrings.xml><?xml version="1.0" encoding="utf-8"?>
<sst xmlns="http://schemas.openxmlformats.org/spreadsheetml/2006/main" count="2160" uniqueCount="705">
  <si>
    <t>PROJETO FINAL DE CURSO
GESTÃO DE LOGÍSTICA E OPERAÇÕES EM EXCEL</t>
  </si>
  <si>
    <t>Centro de Distribuição Horizonte Log, Lda. — Ano de 2026</t>
  </si>
  <si>
    <t>Aluno(a):</t>
  </si>
  <si>
    <t>[Nome do(a) Formando(a)]</t>
  </si>
  <si>
    <t>Curso:</t>
  </si>
  <si>
    <t>Excel Avançado + Power BI</t>
  </si>
  <si>
    <t>Área de Aplicação:</t>
  </si>
  <si>
    <t>Logística e Operações</t>
  </si>
  <si>
    <t>Empresa Fictícia:</t>
  </si>
  <si>
    <t>Horizonte Log, Lda. (Centro de Distribuição)</t>
  </si>
  <si>
    <t>Data de Entrega:</t>
  </si>
  <si>
    <t>[Preencher]</t>
  </si>
  <si>
    <t>ÍNDICE DO FICHEIRO</t>
  </si>
  <si>
    <t>•</t>
  </si>
  <si>
    <t>1. Capa (esta página)</t>
  </si>
  <si>
    <t>2. Instruções e Enunciado do Projeto</t>
  </si>
  <si>
    <t>3. Base de Dados — Encomendas e Expedições</t>
  </si>
  <si>
    <t>4. Base de Dados — Frota e Veículos</t>
  </si>
  <si>
    <t>5. Base de Dados — Stock de Armazém</t>
  </si>
  <si>
    <t>6. Tabela de Apoio — Clientes</t>
  </si>
  <si>
    <t>7. Tabela de Apoio — Transportadoras e Tarifários</t>
  </si>
  <si>
    <t>8. Painel de Cálculos (PROCV, PROCH, SOMASE, ÍNDICE+CORRESP, SE)</t>
  </si>
  <si>
    <t>9. Tabela Dinâmica — Análise de Expedições</t>
  </si>
  <si>
    <t>10. Dashboard Executivo (gráficos)</t>
  </si>
  <si>
    <t>11. Macro — Botão 'Atualizar Relatório'</t>
  </si>
  <si>
    <t>ENUNCIADO DO PROJETO FINAL</t>
  </si>
  <si>
    <t>Logística e Operações — Horizonte Log, Lda.</t>
  </si>
  <si>
    <t>CONTEXTO</t>
  </si>
  <si>
    <t>A Horizonte Log, Lda. é um centro de distribuição que gere encomendas, expedições, frota de veículos e stock de armazém para vários clientes empresariais. A direção de operações precisa de um ficheiro Excel que centralize a informação e de um relatório em Power BI para apoiar a tomada de decisão semanal.</t>
  </si>
  <si>
    <t>OBJETIVOS DO PROJETO</t>
  </si>
  <si>
    <t>1. Organizar as bases de dados de Encomendas, Frota, Stock, Clientes e Transportadoras.</t>
  </si>
  <si>
    <t>2. Construir um Painel de Cálculos que utilize PROCV, PROCH, SOMASE, ÍNDICE+CORRESP e SE.</t>
  </si>
  <si>
    <t>3. Criar uma Tabela Dinâmica que analise o volume de expedições por cliente, transportadora e mês.</t>
  </si>
  <si>
    <t>4. Construir um Dashboard com gráficos que resuma os principais indicadores logísticos (KPIs).</t>
  </si>
  <si>
    <t>5. Criar uma Macro (botão) que atualize automaticamente a Tabela Dinâmica e os gráficos.</t>
  </si>
  <si>
    <t>6. Importar os dados do Excel para o Power BI e construir um relatório interativo com, no mínimo, 3 páginas: Visão Geral, Desempenho de Transportadoras e Gestão de Stock.</t>
  </si>
  <si>
    <t>INDICADORES (KPIs) A CALCULAR</t>
  </si>
  <si>
    <t>• Taxa de entregas no prazo (%)</t>
  </si>
  <si>
    <t>• Custo médio de transporte por encomenda</t>
  </si>
  <si>
    <t>• Taxa de ocupação da frota (%)</t>
  </si>
  <si>
    <t>• Rutura de stock — nº de artigos abaixo do stock mínimo</t>
  </si>
  <si>
    <t>• Tempo médio de expedição (dias entre encomenda e entrega)</t>
  </si>
  <si>
    <t>• Volume de encomendas por transportadora e por cliente</t>
  </si>
  <si>
    <t>CRITÉRIOS DE AVALIAÇÃO</t>
  </si>
  <si>
    <t>• Correção das fórmulas (PROCV, PROCH, SOMASE, ÍNDICE/CORRESP, SE)</t>
  </si>
  <si>
    <t>• Qualidade e leitura da Tabela Dinâmica e dos gráficos</t>
  </si>
  <si>
    <t>• Funcionamento da Macro</t>
  </si>
  <si>
    <t>• Clareza e design do Dashboard e do relatório Power BI</t>
  </si>
  <si>
    <t>• Capacidade de tirar conclusões a partir dos dados</t>
  </si>
  <si>
    <t>ID_Cliente</t>
  </si>
  <si>
    <t>Nome_Cliente</t>
  </si>
  <si>
    <t>Cidade</t>
  </si>
  <si>
    <t>Setor</t>
  </si>
  <si>
    <t>Contacto_Responsável</t>
  </si>
  <si>
    <t>CL001</t>
  </si>
  <si>
    <t>Supermercado Kianda</t>
  </si>
  <si>
    <t>Luanda</t>
  </si>
  <si>
    <t>Retalho</t>
  </si>
  <si>
    <t>António Bumba</t>
  </si>
  <si>
    <t>CL002</t>
  </si>
  <si>
    <t>Construtora Maiombe</t>
  </si>
  <si>
    <t>Benguela</t>
  </si>
  <si>
    <t>Construção</t>
  </si>
  <si>
    <t>Helena Sumbo</t>
  </si>
  <si>
    <t>CL003</t>
  </si>
  <si>
    <t>Farmácia Bem-Estar</t>
  </si>
  <si>
    <t>Saúde</t>
  </si>
  <si>
    <t>João Capemba</t>
  </si>
  <si>
    <t>CL004</t>
  </si>
  <si>
    <t>Auto Peças Cabinda</t>
  </si>
  <si>
    <t>Cabinda</t>
  </si>
  <si>
    <t>Automóvel</t>
  </si>
  <si>
    <t>Rosa Neto</t>
  </si>
  <si>
    <t>CL005</t>
  </si>
  <si>
    <t>Hipermercado Mabor</t>
  </si>
  <si>
    <t>Huambo</t>
  </si>
  <si>
    <t>Pedro Sequeira</t>
  </si>
  <si>
    <t>CL006</t>
  </si>
  <si>
    <t>Têxtil Kwanza</t>
  </si>
  <si>
    <t>Indústria</t>
  </si>
  <si>
    <t>Marta Lopes</t>
  </si>
  <si>
    <t>CL007</t>
  </si>
  <si>
    <t>Distribuidora Bengo</t>
  </si>
  <si>
    <t>Bengo</t>
  </si>
  <si>
    <t>Distribuição</t>
  </si>
  <si>
    <t>Carlos Ventura</t>
  </si>
  <si>
    <t>CL008</t>
  </si>
  <si>
    <t>Restaurante Sabor d'Africa</t>
  </si>
  <si>
    <t>Lobito</t>
  </si>
  <si>
    <t>Restauração</t>
  </si>
  <si>
    <t>Isabel Costa</t>
  </si>
  <si>
    <t>CL009</t>
  </si>
  <si>
    <t>Loja MaxValor</t>
  </si>
  <si>
    <t>Domingos Sapo</t>
  </si>
  <si>
    <t>CL010</t>
  </si>
  <si>
    <t>Eletro Lobito</t>
  </si>
  <si>
    <t>Eletrónica</t>
  </si>
  <si>
    <t>Ana Furtado</t>
  </si>
  <si>
    <t>CL011</t>
  </si>
  <si>
    <t>Padaria Pão Quente</t>
  </si>
  <si>
    <t>Alimentar</t>
  </si>
  <si>
    <t>Luís Manuel</t>
  </si>
  <si>
    <t>CL012</t>
  </si>
  <si>
    <t>Móveis Kalandula</t>
  </si>
  <si>
    <t>Malanje</t>
  </si>
  <si>
    <t>Mobiliário</t>
  </si>
  <si>
    <t>Sofia Brito</t>
  </si>
  <si>
    <t>ID_Transportadora</t>
  </si>
  <si>
    <t>Nome_Transportadora</t>
  </si>
  <si>
    <t>Tarifa_Base_Kz</t>
  </si>
  <si>
    <t>Indice_Pontualidade</t>
  </si>
  <si>
    <t>Tipo_Veiculo_Principal</t>
  </si>
  <si>
    <t>TR01</t>
  </si>
  <si>
    <t>TransAngola Express</t>
  </si>
  <si>
    <t>Camião 10T</t>
  </si>
  <si>
    <t>TR02</t>
  </si>
  <si>
    <t>Logitrans Atlântico</t>
  </si>
  <si>
    <t>Camião 15T</t>
  </si>
  <si>
    <t>TR03</t>
  </si>
  <si>
    <t>Rápido Kwanza</t>
  </si>
  <si>
    <t>Furgão</t>
  </si>
  <si>
    <t>TR04</t>
  </si>
  <si>
    <t>CargoLuanda SA</t>
  </si>
  <si>
    <t>Camião 20T</t>
  </si>
  <si>
    <t>TR05</t>
  </si>
  <si>
    <t>EcoFrota Benguela</t>
  </si>
  <si>
    <t>ID_Veiculo</t>
  </si>
  <si>
    <t>Matricula</t>
  </si>
  <si>
    <t>Modelo</t>
  </si>
  <si>
    <t>Capacidade_Kg</t>
  </si>
  <si>
    <t>Ano</t>
  </si>
  <si>
    <t>Km_Total</t>
  </si>
  <si>
    <t>Estado</t>
  </si>
  <si>
    <t>Ultima_Revisao</t>
  </si>
  <si>
    <t>Motorista</t>
  </si>
  <si>
    <t>VE001</t>
  </si>
  <si>
    <t>LD-91-BA-45</t>
  </si>
  <si>
    <t>Volvo FH</t>
  </si>
  <si>
    <t>Em Serviço</t>
  </si>
  <si>
    <t>2026-06-18</t>
  </si>
  <si>
    <t>Joaquim Dala</t>
  </si>
  <si>
    <t>VE002</t>
  </si>
  <si>
    <t>LD-85-GA-13</t>
  </si>
  <si>
    <t>Mercedes Actros</t>
  </si>
  <si>
    <t>2026-05-07</t>
  </si>
  <si>
    <t>Bruno Tavares</t>
  </si>
  <si>
    <t>VE003</t>
  </si>
  <si>
    <t>LD-93-GD-67</t>
  </si>
  <si>
    <t>Man TGS</t>
  </si>
  <si>
    <t>Disponível</t>
  </si>
  <si>
    <t>2026-06-14</t>
  </si>
  <si>
    <t>Vítor Hugo</t>
  </si>
  <si>
    <t>VE004</t>
  </si>
  <si>
    <t>LD-45-CD-53</t>
  </si>
  <si>
    <t>2026-03-20</t>
  </si>
  <si>
    <t>Eduardo Pacavira</t>
  </si>
  <si>
    <t>VE005</t>
  </si>
  <si>
    <t>LD-15-HB-58</t>
  </si>
  <si>
    <t>2026-03-19</t>
  </si>
  <si>
    <t>Salomão Ferreira</t>
  </si>
  <si>
    <t>VE006</t>
  </si>
  <si>
    <t>LD-18-AD-47</t>
  </si>
  <si>
    <t>2026-06-27</t>
  </si>
  <si>
    <t>VE007</t>
  </si>
  <si>
    <t>LD-30-FF-36</t>
  </si>
  <si>
    <t>Scania R450</t>
  </si>
  <si>
    <t>2026-05-24</t>
  </si>
  <si>
    <t>VE008</t>
  </si>
  <si>
    <t>LD-30-HG-44</t>
  </si>
  <si>
    <t>Em Manutenção</t>
  </si>
  <si>
    <t>2026-01-08</t>
  </si>
  <si>
    <t>Manuel Bento</t>
  </si>
  <si>
    <t>VE009</t>
  </si>
  <si>
    <t>LD-50-GE-18</t>
  </si>
  <si>
    <t>2026-04-21</t>
  </si>
  <si>
    <t>Ricardo Lemos</t>
  </si>
  <si>
    <t>VE010</t>
  </si>
  <si>
    <t>LD-28-EC-41</t>
  </si>
  <si>
    <t>2026-04-19</t>
  </si>
  <si>
    <t>Augusto Neto</t>
  </si>
  <si>
    <t>VE011</t>
  </si>
  <si>
    <t>LD-56-DC-75</t>
  </si>
  <si>
    <t>Toyota Hiace</t>
  </si>
  <si>
    <t>2026-02-26</t>
  </si>
  <si>
    <t>Daniel Kapenda</t>
  </si>
  <si>
    <t>VE012</t>
  </si>
  <si>
    <t>LD-64-BG-58</t>
  </si>
  <si>
    <t>2026-01-22</t>
  </si>
  <si>
    <t>VE013</t>
  </si>
  <si>
    <t>LD-24-EF-24</t>
  </si>
  <si>
    <t>Iveco Daily</t>
  </si>
  <si>
    <t>2026-06-24</t>
  </si>
  <si>
    <t>VE014</t>
  </si>
  <si>
    <t>LD-74-CB-90</t>
  </si>
  <si>
    <t>2026-03-25</t>
  </si>
  <si>
    <t>Fernando Ucuahamba</t>
  </si>
  <si>
    <t>VE015</t>
  </si>
  <si>
    <t>LD-79-AF-72</t>
  </si>
  <si>
    <t>2026-02-19</t>
  </si>
  <si>
    <t>VE016</t>
  </si>
  <si>
    <t>LD-20-HB-78</t>
  </si>
  <si>
    <t>2026-05-28</t>
  </si>
  <si>
    <t>Mário Sebastião</t>
  </si>
  <si>
    <t>VE017</t>
  </si>
  <si>
    <t>LD-64-DD-49</t>
  </si>
  <si>
    <t>2026-04-04</t>
  </si>
  <si>
    <t>VE018</t>
  </si>
  <si>
    <t>LD-38-BF-12</t>
  </si>
  <si>
    <t>2026-01-23</t>
  </si>
  <si>
    <t>ID_Artigo</t>
  </si>
  <si>
    <t>Descricao</t>
  </si>
  <si>
    <t>Categoria</t>
  </si>
  <si>
    <t>Armazem</t>
  </si>
  <si>
    <t>Stock_Atual</t>
  </si>
  <si>
    <t>Stock_Minimo</t>
  </si>
  <si>
    <t>Stock_Maximo</t>
  </si>
  <si>
    <t>Custo_Unitario_Kz</t>
  </si>
  <si>
    <t>Situacao_Stock</t>
  </si>
  <si>
    <t>ART001</t>
  </si>
  <si>
    <t>Arroz 25kg</t>
  </si>
  <si>
    <t>Armazém Central - Luanda</t>
  </si>
  <si>
    <t>ART002</t>
  </si>
  <si>
    <t>Óleo Vegetal 5L</t>
  </si>
  <si>
    <t>Armazém Sul - Benguela</t>
  </si>
  <si>
    <t>ART003</t>
  </si>
  <si>
    <t>Açúcar 50kg</t>
  </si>
  <si>
    <t>ART004</t>
  </si>
  <si>
    <t>Armazém Norte - Cabinda</t>
  </si>
  <si>
    <t>ART005</t>
  </si>
  <si>
    <t>Farinha de Trigo 25kg</t>
  </si>
  <si>
    <t>ART006</t>
  </si>
  <si>
    <t>Massas Variadas</t>
  </si>
  <si>
    <t>ART007</t>
  </si>
  <si>
    <t>Detergente Líquido 5L</t>
  </si>
  <si>
    <t>Higiene</t>
  </si>
  <si>
    <t>ART008</t>
  </si>
  <si>
    <t>ART009</t>
  </si>
  <si>
    <t>Sabão em Barra (caixa)</t>
  </si>
  <si>
    <t>ART010</t>
  </si>
  <si>
    <t>Papel Higiénico (fardo)</t>
  </si>
  <si>
    <t>ART011</t>
  </si>
  <si>
    <t>Champô 1L</t>
  </si>
  <si>
    <t>ART012</t>
  </si>
  <si>
    <t>ART013</t>
  </si>
  <si>
    <t>Cimento 50kg</t>
  </si>
  <si>
    <t>ART014</t>
  </si>
  <si>
    <t>ART015</t>
  </si>
  <si>
    <t>Tinta Plástica 18L</t>
  </si>
  <si>
    <t>ART016</t>
  </si>
  <si>
    <t>Tubos PVC 6m</t>
  </si>
  <si>
    <t>ART017</t>
  </si>
  <si>
    <t>Ferro de Construção 12mm</t>
  </si>
  <si>
    <t>ART018</t>
  </si>
  <si>
    <t>Cabo Elétrico 100m</t>
  </si>
  <si>
    <t>ART019</t>
  </si>
  <si>
    <t>ART020</t>
  </si>
  <si>
    <t>Lâmpada LED (caixa 20un)</t>
  </si>
  <si>
    <t>ART021</t>
  </si>
  <si>
    <t>Pilhas AA (caixa 40un)</t>
  </si>
  <si>
    <t>ART022</t>
  </si>
  <si>
    <t>Cadeira Escritório</t>
  </si>
  <si>
    <t>ART023</t>
  </si>
  <si>
    <t>ART024</t>
  </si>
  <si>
    <t>Mesa de Reunião</t>
  </si>
  <si>
    <t>ART025</t>
  </si>
  <si>
    <t>ART026</t>
  </si>
  <si>
    <t>Armário Metálico</t>
  </si>
  <si>
    <t>ART027</t>
  </si>
  <si>
    <t>Paracetamol (caixa)</t>
  </si>
  <si>
    <t>Farmacêutico</t>
  </si>
  <si>
    <t>ART028</t>
  </si>
  <si>
    <t>ART029</t>
  </si>
  <si>
    <t>Álcool Gel 5L</t>
  </si>
  <si>
    <t>ART030</t>
  </si>
  <si>
    <t>ART031</t>
  </si>
  <si>
    <t>Luvas Descartáveis (caixa)</t>
  </si>
  <si>
    <t>ART032</t>
  </si>
  <si>
    <t>ID_Encomenda</t>
  </si>
  <si>
    <t>Data_Pedido</t>
  </si>
  <si>
    <t>Data_Prevista</t>
  </si>
  <si>
    <t>Data_Entrega</t>
  </si>
  <si>
    <t>Status</t>
  </si>
  <si>
    <t>Qtd_Paletes</t>
  </si>
  <si>
    <t>Peso_Kg</t>
  </si>
  <si>
    <t>Custo_Transporte_Kz</t>
  </si>
  <si>
    <t>Distancia_Km</t>
  </si>
  <si>
    <t>Armazem_Origem</t>
  </si>
  <si>
    <t>Cumpriu_Prazo</t>
  </si>
  <si>
    <t>ENC0001</t>
  </si>
  <si>
    <t>2026-04-05</t>
  </si>
  <si>
    <t>2026-04-10</t>
  </si>
  <si>
    <t>2026-04-14</t>
  </si>
  <si>
    <t>Atrasado</t>
  </si>
  <si>
    <t>ENC0002</t>
  </si>
  <si>
    <t>2026-01-11</t>
  </si>
  <si>
    <t>2026-01-13</t>
  </si>
  <si>
    <t>Em Trânsito</t>
  </si>
  <si>
    <t>ENC0003</t>
  </si>
  <si>
    <t>2026-04-12</t>
  </si>
  <si>
    <t>2026-04-13</t>
  </si>
  <si>
    <t>2026-04-15</t>
  </si>
  <si>
    <t>ENC0004</t>
  </si>
  <si>
    <t>Entregue</t>
  </si>
  <si>
    <t>ENC0005</t>
  </si>
  <si>
    <t>2026-03-30</t>
  </si>
  <si>
    <t>2026-03-31</t>
  </si>
  <si>
    <t>2026-04-03</t>
  </si>
  <si>
    <t>ENC0006</t>
  </si>
  <si>
    <t>2026-04-26</t>
  </si>
  <si>
    <t>2026-04-29</t>
  </si>
  <si>
    <t>ENC0007</t>
  </si>
  <si>
    <t>2026-02-22</t>
  </si>
  <si>
    <t>2026-02-25</t>
  </si>
  <si>
    <t>ENC0008</t>
  </si>
  <si>
    <t>ENC0009</t>
  </si>
  <si>
    <t>2026-04-18</t>
  </si>
  <si>
    <t>ENC0010</t>
  </si>
  <si>
    <t>2026-04-23</t>
  </si>
  <si>
    <t>ENC0011</t>
  </si>
  <si>
    <t>2026-05-04</t>
  </si>
  <si>
    <t>2026-05-08</t>
  </si>
  <si>
    <t>ENC0012</t>
  </si>
  <si>
    <t>2026-05-16</t>
  </si>
  <si>
    <t>2026-05-21</t>
  </si>
  <si>
    <t>2026-05-22</t>
  </si>
  <si>
    <t>ENC0013</t>
  </si>
  <si>
    <t>2026-03-08</t>
  </si>
  <si>
    <t>2026-03-12</t>
  </si>
  <si>
    <t>ENC0014</t>
  </si>
  <si>
    <t>2026-05-11</t>
  </si>
  <si>
    <t>2026-05-15</t>
  </si>
  <si>
    <t>ENC0015</t>
  </si>
  <si>
    <t>2026-05-17</t>
  </si>
  <si>
    <t>ENC0016</t>
  </si>
  <si>
    <t>2026-06-06</t>
  </si>
  <si>
    <t>2026-06-09</t>
  </si>
  <si>
    <t>Cancelado</t>
  </si>
  <si>
    <t>ENC0017</t>
  </si>
  <si>
    <t>2026-02-14</t>
  </si>
  <si>
    <t>2026-02-18</t>
  </si>
  <si>
    <t>ENC0018</t>
  </si>
  <si>
    <t>2026-03-16</t>
  </si>
  <si>
    <t>ENC0019</t>
  </si>
  <si>
    <t>2026-03-05</t>
  </si>
  <si>
    <t>2026-03-09</t>
  </si>
  <si>
    <t>ENC0020</t>
  </si>
  <si>
    <t>2026-04-22</t>
  </si>
  <si>
    <t>ENC0021</t>
  </si>
  <si>
    <t>2026-04-08</t>
  </si>
  <si>
    <t>ENC0022</t>
  </si>
  <si>
    <t>2026-03-02</t>
  </si>
  <si>
    <t>ENC0023</t>
  </si>
  <si>
    <t>2026-02-06</t>
  </si>
  <si>
    <t>2026-02-11</t>
  </si>
  <si>
    <t>2026-02-13</t>
  </si>
  <si>
    <t>ENC0024</t>
  </si>
  <si>
    <t>2026-05-03</t>
  </si>
  <si>
    <t>2026-05-05</t>
  </si>
  <si>
    <t>ENC0025</t>
  </si>
  <si>
    <t>2026-01-25</t>
  </si>
  <si>
    <t>2026-01-29</t>
  </si>
  <si>
    <t>ENC0026</t>
  </si>
  <si>
    <t>2026-01-10</t>
  </si>
  <si>
    <t>2026-01-15</t>
  </si>
  <si>
    <t>ENC0027</t>
  </si>
  <si>
    <t>2026-04-09</t>
  </si>
  <si>
    <t>2026-04-11</t>
  </si>
  <si>
    <t>ENC0028</t>
  </si>
  <si>
    <t>2026-01-14</t>
  </si>
  <si>
    <t>2026-01-16</t>
  </si>
  <si>
    <t>ENC0029</t>
  </si>
  <si>
    <t>2026-01-31</t>
  </si>
  <si>
    <t>2026-02-03</t>
  </si>
  <si>
    <t>2026-02-08</t>
  </si>
  <si>
    <t>ENC0030</t>
  </si>
  <si>
    <t>ENC0031</t>
  </si>
  <si>
    <t>2026-02-17</t>
  </si>
  <si>
    <t>ENC0032</t>
  </si>
  <si>
    <t>2026-06-05</t>
  </si>
  <si>
    <t>2026-06-08</t>
  </si>
  <si>
    <t>ENC0033</t>
  </si>
  <si>
    <t>2026-04-16</t>
  </si>
  <si>
    <t>ENC0034</t>
  </si>
  <si>
    <t>2026-03-21</t>
  </si>
  <si>
    <t>2026-03-23</t>
  </si>
  <si>
    <t>ENC0035</t>
  </si>
  <si>
    <t>2026-06-19</t>
  </si>
  <si>
    <t>2026-06-23</t>
  </si>
  <si>
    <t>ENC0036</t>
  </si>
  <si>
    <t>ENC0037</t>
  </si>
  <si>
    <t>2026-03-06</t>
  </si>
  <si>
    <t>ENC0038</t>
  </si>
  <si>
    <t>ENC0039</t>
  </si>
  <si>
    <t>2026-04-07</t>
  </si>
  <si>
    <t>ENC0040</t>
  </si>
  <si>
    <t>2026-06-17</t>
  </si>
  <si>
    <t>2026-06-21</t>
  </si>
  <si>
    <t>ENC0041</t>
  </si>
  <si>
    <t>2026-05-12</t>
  </si>
  <si>
    <t>ENC0042</t>
  </si>
  <si>
    <t>2026-03-24</t>
  </si>
  <si>
    <t>ENC0043</t>
  </si>
  <si>
    <t>2026-04-28</t>
  </si>
  <si>
    <t>2026-05-01</t>
  </si>
  <si>
    <t>ENC0044</t>
  </si>
  <si>
    <t>2026-03-13</t>
  </si>
  <si>
    <t>2026-03-14</t>
  </si>
  <si>
    <t>ENC0045</t>
  </si>
  <si>
    <t>ENC0046</t>
  </si>
  <si>
    <t>2026-02-24</t>
  </si>
  <si>
    <t>2026-02-28</t>
  </si>
  <si>
    <t>ENC0047</t>
  </si>
  <si>
    <t>2026-03-29</t>
  </si>
  <si>
    <t>ENC0048</t>
  </si>
  <si>
    <t>ENC0049</t>
  </si>
  <si>
    <t>2026-03-10</t>
  </si>
  <si>
    <t>2026-03-11</t>
  </si>
  <si>
    <t>ENC0050</t>
  </si>
  <si>
    <t>2026-05-10</t>
  </si>
  <si>
    <t>ENC0051</t>
  </si>
  <si>
    <t>ENC0052</t>
  </si>
  <si>
    <t>2026-05-25</t>
  </si>
  <si>
    <t>2026-05-26</t>
  </si>
  <si>
    <t>ENC0053</t>
  </si>
  <si>
    <t>ENC0054</t>
  </si>
  <si>
    <t>2026-05-27</t>
  </si>
  <si>
    <t>2026-05-31</t>
  </si>
  <si>
    <t>ENC0055</t>
  </si>
  <si>
    <t>ENC0056</t>
  </si>
  <si>
    <t>2026-05-18</t>
  </si>
  <si>
    <t>ENC0057</t>
  </si>
  <si>
    <t>2026-05-20</t>
  </si>
  <si>
    <t>ENC0058</t>
  </si>
  <si>
    <t>2026-03-22</t>
  </si>
  <si>
    <t>2026-03-27</t>
  </si>
  <si>
    <t>ENC0059</t>
  </si>
  <si>
    <t>2026-04-17</t>
  </si>
  <si>
    <t>ENC0060</t>
  </si>
  <si>
    <t>2026-05-06</t>
  </si>
  <si>
    <t>ENC0061</t>
  </si>
  <si>
    <t>ENC0062</t>
  </si>
  <si>
    <t>2026-02-16</t>
  </si>
  <si>
    <t>ENC0063</t>
  </si>
  <si>
    <t>ENC0064</t>
  </si>
  <si>
    <t>2026-03-04</t>
  </si>
  <si>
    <t>ENC0065</t>
  </si>
  <si>
    <t>2026-01-12</t>
  </si>
  <si>
    <t>ENC0066</t>
  </si>
  <si>
    <t>2026-02-20</t>
  </si>
  <si>
    <t>ENC0067</t>
  </si>
  <si>
    <t>ENC0068</t>
  </si>
  <si>
    <t>ENC0069</t>
  </si>
  <si>
    <t>2026-02-01</t>
  </si>
  <si>
    <t>ENC0070</t>
  </si>
  <si>
    <t>2026-01-17</t>
  </si>
  <si>
    <t>ENC0071</t>
  </si>
  <si>
    <t>2026-06-12</t>
  </si>
  <si>
    <t>2026-06-15</t>
  </si>
  <si>
    <t>ENC0072</t>
  </si>
  <si>
    <t>ENC0073</t>
  </si>
  <si>
    <t>2026-02-27</t>
  </si>
  <si>
    <t>ENC0074</t>
  </si>
  <si>
    <t>2026-03-28</t>
  </si>
  <si>
    <t>ENC0075</t>
  </si>
  <si>
    <t>2026-05-30</t>
  </si>
  <si>
    <t>ENC0076</t>
  </si>
  <si>
    <t>2026-06-03</t>
  </si>
  <si>
    <t>2026-06-07</t>
  </si>
  <si>
    <t>2026-06-10</t>
  </si>
  <si>
    <t>ENC0077</t>
  </si>
  <si>
    <t>ENC0078</t>
  </si>
  <si>
    <t>ENC0079</t>
  </si>
  <si>
    <t>ENC0080</t>
  </si>
  <si>
    <t>2026-03-17</t>
  </si>
  <si>
    <t>2026-03-18</t>
  </si>
  <si>
    <t>ENC0081</t>
  </si>
  <si>
    <t>ENC0082</t>
  </si>
  <si>
    <t>ENC0083</t>
  </si>
  <si>
    <t>2026-06-04</t>
  </si>
  <si>
    <t>ENC0084</t>
  </si>
  <si>
    <t>2026-05-23</t>
  </si>
  <si>
    <t>ENC0085</t>
  </si>
  <si>
    <t>ENC0086</t>
  </si>
  <si>
    <t>2026-05-02</t>
  </si>
  <si>
    <t>ENC0087</t>
  </si>
  <si>
    <t>ENC0088</t>
  </si>
  <si>
    <t>2026-01-24</t>
  </si>
  <si>
    <t>ENC0089</t>
  </si>
  <si>
    <t>ENC0090</t>
  </si>
  <si>
    <t>2026-03-01</t>
  </si>
  <si>
    <t>ENC0091</t>
  </si>
  <si>
    <t>2026-04-24</t>
  </si>
  <si>
    <t>2026-04-27</t>
  </si>
  <si>
    <t>ENC0092</t>
  </si>
  <si>
    <t>2026-04-25</t>
  </si>
  <si>
    <t>ENC0093</t>
  </si>
  <si>
    <t>2026-04-01</t>
  </si>
  <si>
    <t>ENC0094</t>
  </si>
  <si>
    <t>2026-04-06</t>
  </si>
  <si>
    <t>ENC0095</t>
  </si>
  <si>
    <t>2026-02-07</t>
  </si>
  <si>
    <t>ENC0096</t>
  </si>
  <si>
    <t>ENC0097</t>
  </si>
  <si>
    <t>ENC0098</t>
  </si>
  <si>
    <t>2026-04-02</t>
  </si>
  <si>
    <t>ENC0099</t>
  </si>
  <si>
    <t>2026-01-18</t>
  </si>
  <si>
    <t>ENC0100</t>
  </si>
  <si>
    <t>ENC0101</t>
  </si>
  <si>
    <t>ENC0102</t>
  </si>
  <si>
    <t>2026-01-06</t>
  </si>
  <si>
    <t>ENC0103</t>
  </si>
  <si>
    <t>2026-01-27</t>
  </si>
  <si>
    <t>2026-01-28</t>
  </si>
  <si>
    <t>ENC0104</t>
  </si>
  <si>
    <t>ENC0105</t>
  </si>
  <si>
    <t>ENC0106</t>
  </si>
  <si>
    <t>ENC0107</t>
  </si>
  <si>
    <t>ENC0108</t>
  </si>
  <si>
    <t>ENC0109</t>
  </si>
  <si>
    <t>ENC0110</t>
  </si>
  <si>
    <t>2026-05-14</t>
  </si>
  <si>
    <t>ENC0111</t>
  </si>
  <si>
    <t>2026-06-11</t>
  </si>
  <si>
    <t>ENC0112</t>
  </si>
  <si>
    <t>ENC0113</t>
  </si>
  <si>
    <t>ENC0114</t>
  </si>
  <si>
    <t>ENC0115</t>
  </si>
  <si>
    <t>ENC0116</t>
  </si>
  <si>
    <t>2026-02-10</t>
  </si>
  <si>
    <t>ENC0117</t>
  </si>
  <si>
    <t>ENC0118</t>
  </si>
  <si>
    <t>ENC0119</t>
  </si>
  <si>
    <t>ENC0120</t>
  </si>
  <si>
    <t>ENC0121</t>
  </si>
  <si>
    <t>2026-04-20</t>
  </si>
  <si>
    <t>ENC0122</t>
  </si>
  <si>
    <t>ENC0123</t>
  </si>
  <si>
    <t>2026-05-13</t>
  </si>
  <si>
    <t>ENC0124</t>
  </si>
  <si>
    <t>ENC0125</t>
  </si>
  <si>
    <t>2026-05-19</t>
  </si>
  <si>
    <t>ENC0126</t>
  </si>
  <si>
    <t>ENC0127</t>
  </si>
  <si>
    <t>2026-02-15</t>
  </si>
  <si>
    <t>ENC0128</t>
  </si>
  <si>
    <t>2026-01-26</t>
  </si>
  <si>
    <t>ENC0129</t>
  </si>
  <si>
    <t>ENC0130</t>
  </si>
  <si>
    <t>ENC0131</t>
  </si>
  <si>
    <t>ENC0132</t>
  </si>
  <si>
    <t>ENC0133</t>
  </si>
  <si>
    <t>ENC0134</t>
  </si>
  <si>
    <t>2026-05-29</t>
  </si>
  <si>
    <t>ENC0135</t>
  </si>
  <si>
    <t>2026-01-21</t>
  </si>
  <si>
    <t>ENC0136</t>
  </si>
  <si>
    <t>2026-05-09</t>
  </si>
  <si>
    <t>ENC0137</t>
  </si>
  <si>
    <t>2026-02-05</t>
  </si>
  <si>
    <t>ENC0138</t>
  </si>
  <si>
    <t>ENC0139</t>
  </si>
  <si>
    <t>ENC0140</t>
  </si>
  <si>
    <t>2026-04-30</t>
  </si>
  <si>
    <t>ENC0141</t>
  </si>
  <si>
    <t>2026-06-22</t>
  </si>
  <si>
    <t>ENC0142</t>
  </si>
  <si>
    <t>ENC0143</t>
  </si>
  <si>
    <t>ENC0144</t>
  </si>
  <si>
    <t>ENC0145</t>
  </si>
  <si>
    <t>2026-03-07</t>
  </si>
  <si>
    <t>ENC0146</t>
  </si>
  <si>
    <t>2026-01-30</t>
  </si>
  <si>
    <t>ENC0147</t>
  </si>
  <si>
    <t>ENC0148</t>
  </si>
  <si>
    <t>ENC0149</t>
  </si>
  <si>
    <t>ENC0150</t>
  </si>
  <si>
    <t>ENC0151</t>
  </si>
  <si>
    <t>ENC0152</t>
  </si>
  <si>
    <t>ENC0153</t>
  </si>
  <si>
    <t>ENC0154</t>
  </si>
  <si>
    <t>ENC0155</t>
  </si>
  <si>
    <t>ENC0156</t>
  </si>
  <si>
    <t>ENC0157</t>
  </si>
  <si>
    <t>ENC0158</t>
  </si>
  <si>
    <t>2026-01-20</t>
  </si>
  <si>
    <t>ENC0159</t>
  </si>
  <si>
    <t>ENC0160</t>
  </si>
  <si>
    <t>PAINEL DE CÁLCULOS — CONSULTA E ANÁLISE RÁPIDA</t>
  </si>
  <si>
    <t>Demonstração das funções: PROCV, PROCH, SOMASE, ÍNDICE + CORRESP e SE</t>
  </si>
  <si>
    <t>1.  PROCV — Consultar dados de uma Encomenda pelo ID</t>
  </si>
  <si>
    <t>Indique o ID da Encomenda:</t>
  </si>
  <si>
    <t>← altere este código e veja o resultado mudar automaticamente</t>
  </si>
  <si>
    <t>Nome do Cliente</t>
  </si>
  <si>
    <t>Transportadora</t>
  </si>
  <si>
    <t>Status da Entrega</t>
  </si>
  <si>
    <t>Custo de Transporte (Kz)</t>
  </si>
  <si>
    <t>Cumpriu o Prazo?</t>
  </si>
  <si>
    <t>Fórmula usada: =PROCV(valor_procurado; Encomendas!A:O; nº_coluna; FALSO)</t>
  </si>
  <si>
    <t>2.  PROCH — Consultar tarifário de Transportadora (tabela horizontal)</t>
  </si>
  <si>
    <t>Tabela horizontal de apoio (tarifário por transportadora):</t>
  </si>
  <si>
    <t>Escolha a Transportadora para consultar (TR01 a TR05):</t>
  </si>
  <si>
    <t>Tarifa Base (Kz) — via PROCH:</t>
  </si>
  <si>
    <t>Índice de Pontualidade — via PROCH:</t>
  </si>
  <si>
    <t>Fórmula usada: =PROCH(valor_procurado; matriz_tabela; nº_linha; FALSO)</t>
  </si>
  <si>
    <t>3.  SOMASE — Totais por critério (clientes, armazéns e status)</t>
  </si>
  <si>
    <t>Indique o ID do Cliente:</t>
  </si>
  <si>
    <t>Total de Paletes Expedidas para este cliente</t>
  </si>
  <si>
    <t>Custo Total de Transporte (Kz) para este cliente</t>
  </si>
  <si>
    <t>Nº de Encomendas Entregues no Prazo (SOMASE composto via critério auxiliar)</t>
  </si>
  <si>
    <t>Stock total (unidades) por Armazém:</t>
  </si>
  <si>
    <t>Fórmula usada: =SOMASE(intervalo_critério; critério; intervalo_a_somar)</t>
  </si>
  <si>
    <t>4.  ÍNDICE + CORRESP — Localizar dados de um Veículo da Frota</t>
  </si>
  <si>
    <t>Indique a Matrícula do veículo:</t>
  </si>
  <si>
    <t>← cole aqui uma matrícula da folha Frota</t>
  </si>
  <si>
    <t>Modelo do Veículo</t>
  </si>
  <si>
    <t>Capacidade (Kg)</t>
  </si>
  <si>
    <t>Estado Atual</t>
  </si>
  <si>
    <t>Motorista Responsável</t>
  </si>
  <si>
    <t>Fórmula usada: =ÍNDICE(coluna_resultado; CORRESP(valor; coluna_procura; 0))</t>
  </si>
  <si>
    <t>5.  SE — Classificações automáticas</t>
  </si>
  <si>
    <t>Indique uma Taxa de Pontualidade (%) para testar a classificação:</t>
  </si>
  <si>
    <t>Classificação do Desempenho da Transportadora:</t>
  </si>
  <si>
    <t>Fórmula usada: =SE(condição;"valor_se_verdadeiro";SE(...)) — SE encadeado (aninhado)</t>
  </si>
  <si>
    <t>Exemplo aplicado: Situação de Stock (ver coluna I da folha Stock)</t>
  </si>
  <si>
    <t>Fórmula: SE(Stock_Atual&lt;Stock_Minimo;"RUTURA - REPOR";SE(Stock_Atual&gt;Stock_Maximo;"EXCESSO DE STOCK";"NORMAL"))</t>
  </si>
  <si>
    <t>Exemplo aplicado: Cumprimento de Prazo (ver coluna O da folha Encomendas)</t>
  </si>
  <si>
    <t>Fórmula: SE(Status="Entregue";SE(Data_Entrega&lt;=Data_Prevista;"SIM";"NAO");SE(Status="Atrasado";"NAO";"-"))</t>
  </si>
  <si>
    <t>ANÁLISE COM TABELA DINÂMICA</t>
  </si>
  <si>
    <t>Volume de Expedições por Cliente, Transportadora e Mês</t>
  </si>
  <si>
    <t>RESUMO DE APOIO — Paletes Expedidas por Cliente x Transportadora (gerado com SOMASE)</t>
  </si>
  <si>
    <t>Cliente</t>
  </si>
  <si>
    <t>TOTAL</t>
  </si>
  <si>
    <t>TOTAL GERAL</t>
  </si>
  <si>
    <t>RESUMO DE APOIO — Encomendas e Paletes por Mês</t>
  </si>
  <si>
    <t>Mês</t>
  </si>
  <si>
    <t>Nº Encomendas</t>
  </si>
  <si>
    <t>Total Paletes</t>
  </si>
  <si>
    <t>Custo Total Transporte (Kz)</t>
  </si>
  <si>
    <t>Janeiro</t>
  </si>
  <si>
    <t>Fevereiro</t>
  </si>
  <si>
    <t>Março</t>
  </si>
  <si>
    <t>Abril</t>
  </si>
  <si>
    <t>Maio</t>
  </si>
  <si>
    <t>Junho</t>
  </si>
  <si>
    <t>DASHBOARD EXECUTIVO — LOGÍSTICA E OPERAÇÕES</t>
  </si>
  <si>
    <t>Horizonte Log, Lda. — Resumo de Desempenho (Jan a Jun 2026)</t>
  </si>
  <si>
    <t>Total de Encomendas</t>
  </si>
  <si>
    <t>Taxa de Entregas no Prazo</t>
  </si>
  <si>
    <t>Custo Médio por Encomenda (Kz)</t>
  </si>
  <si>
    <t>Encomendas em Rutura de Stock</t>
  </si>
  <si>
    <t>Veículos Disponíveis</t>
  </si>
  <si>
    <t>🔄 ATUALIZAR
RELATÓRIO</t>
  </si>
  <si>
    <t>Dados de apoio aos gráficos (não apagar)</t>
  </si>
  <si>
    <t>Quantidade</t>
  </si>
  <si>
    <t>Total_Paletes</t>
  </si>
  <si>
    <t>Custo_Total</t>
  </si>
  <si>
    <t>Mes</t>
  </si>
  <si>
    <t>Nr_Encomendas</t>
  </si>
  <si>
    <t>MACRO — BOTÃO 'ATUALIZAR RELATÓRIO'</t>
  </si>
  <si>
    <t>Guia passo-a-passo para criar a Macro no Excel (ficheiro .xlsm)</t>
  </si>
  <si>
    <t>PASSO 1 — Ativar o separador Desenvolvedor (se ainda não estiver ativo)</t>
  </si>
  <si>
    <t>1. Vá a Ficheiro → Opções → Personalizar Faixa de Opções.</t>
  </si>
  <si>
    <t>2. Na lista da direita, marque a caixa 'Desenvolvedor' e clique OK.</t>
  </si>
  <si>
    <t>PASSO 2 — Abrir o Editor VBA e inserir o código</t>
  </si>
  <si>
    <t>1. Prima ALT + F11 para abrir o Editor do Visual Basic (VBA).</t>
  </si>
  <si>
    <t>2. No menu, clique em Inserir → Módulo.</t>
  </si>
  <si>
    <t>3. Copie o código abaixo e cole dentro do módulo novo.</t>
  </si>
  <si>
    <t>4. Feche o Editor VBA (ALT + F11 novamente ou X) e guarde o ficheiro como .xlsm (Ficheiro → Guardar Como → tipo 'Excel com Macros Ativadas (*.xlsm)').</t>
  </si>
  <si>
    <t>CÓDIGO VBA — copiar e colar no Módulo1</t>
  </si>
  <si>
    <t>Sub AtualizarRelatorio()</t>
  </si>
  <si>
    <t xml:space="preserve">    ' Macro: Atualizar Relatório</t>
  </si>
  <si>
    <t xml:space="preserve">    ' Atualiza todos os cálculos, tabelas dinâmicas e gráficos do ficheiro</t>
  </si>
  <si>
    <t xml:space="preserve">    Application.ScreenUpdating = False</t>
  </si>
  <si>
    <t xml:space="preserve">    Application.StatusBar = "A atualizar o relatório, aguarde..."</t>
  </si>
  <si>
    <t xml:space="preserve">    ' 1. Recalcular todas as fórmulas do livro</t>
  </si>
  <si>
    <t xml:space="preserve">    Application.CalculateFullRebuild</t>
  </si>
  <si>
    <t xml:space="preserve">    ' 2. Atualizar todas as Tabelas Dinâmicas existentes</t>
  </si>
  <si>
    <t xml:space="preserve">    Dim ws As Worksheet</t>
  </si>
  <si>
    <t xml:space="preserve">    Dim pt As PivotTable</t>
  </si>
  <si>
    <t xml:space="preserve">    For Each ws In ThisWorkbook.Worksheets</t>
  </si>
  <si>
    <t xml:space="preserve">        For Each pt In ws.PivotTables</t>
  </si>
  <si>
    <t xml:space="preserve">            pt.RefreshTable</t>
  </si>
  <si>
    <t xml:space="preserve">        Next pt</t>
  </si>
  <si>
    <t xml:space="preserve">    Next ws</t>
  </si>
  <si>
    <t xml:space="preserve">    ' 3. Voltar ao Dashboard</t>
  </si>
  <si>
    <t xml:space="preserve">    ThisWorkbook.Worksheets("Dashboard").Activate</t>
  </si>
  <si>
    <t xml:space="preserve">    Application.StatusBar = False</t>
  </si>
  <si>
    <t xml:space="preserve">    Application.ScreenUpdating = True</t>
  </si>
  <si>
    <t xml:space="preserve">    MsgBox "Relatório atualizado com sucesso!", vbInformation, "Horizonte Log"</t>
  </si>
  <si>
    <t>End Sub</t>
  </si>
  <si>
    <t>PASSO 3 — Criar o botão na folha Dashboard</t>
  </si>
  <si>
    <t>1. Vá à folha Dashboard.</t>
  </si>
  <si>
    <t>2. No separador Desenvolvedor, clique em Inserir → Controlos de Formulário → Botão.</t>
  </si>
  <si>
    <t>3. Desenhe o botão numa área livre do Dashboard (por exemplo, perto do canto superior direito).</t>
  </si>
  <si>
    <t>4. Na caixa 'Atribuir Macro', escolha 'AtualizarRelatorio' e clique OK.</t>
  </si>
  <si>
    <t>5. Clique com o botão direito sobre o botão → Editar Texto → escreva 'Atualizar Relatório'.</t>
  </si>
  <si>
    <t>6. Pronto! Sempre que clicar no botão, o relatório é recalculado e as Tabelas Dinâmicas atualizadas.</t>
  </si>
  <si>
    <t>Nota: na folha Dashboard existe uma célula destacada em laranja, no canto superior direito, com o texto 'ATUALIZAR RELATÓRIO', a indicar onde o botão deve ficar. Pode desenhar o botão por cima dessa célula.</t>
  </si>
  <si>
    <t>Nota: este resumo usa SOMASES (SUMIFS) para simular o cruzamento de dados.</t>
  </si>
  <si>
    <t>Total Geral</t>
  </si>
  <si>
    <t>Rótulos de Coluna</t>
  </si>
  <si>
    <t>Soma de Qtd_Paletes</t>
  </si>
  <si>
    <t>Clientes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</si>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</sst>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&quot; Kz&quot;"/>
  </numFmts>
  <fonts count="18" x14ac:knownFonts="1">
    <font>
      <sz val="11"/>
      <color theme="1"/>
      <name val="Calibri"/>
      <family val="2"/>
      <charset val="1"/>
    </font>
    <font>
      <b/>
      <sz val="24"/>
      <color rgb="FFFFFFFF"/>
      <name val="Calibri"/>
      <charset val="1"/>
    </font>
    <font>
      <i/>
      <sz val="13"/>
      <color rgb="FF1F3864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3"/>
      <color rgb="FF1F3864"/>
      <name val="Calibri"/>
      <charset val="1"/>
    </font>
    <font>
      <b/>
      <sz val="18"/>
      <color rgb="FFFFFFFF"/>
      <name val="Calibri"/>
      <charset val="1"/>
    </font>
    <font>
      <i/>
      <sz val="11"/>
      <color rgb="FFFFFFFF"/>
      <name val="Calibri"/>
      <charset val="1"/>
    </font>
    <font>
      <b/>
      <sz val="11"/>
      <color rgb="FFFFFFFF"/>
      <name val="Calibri"/>
      <charset val="1"/>
    </font>
    <font>
      <b/>
      <sz val="11"/>
      <color rgb="FF0000FF"/>
      <name val="Calibri"/>
      <charset val="1"/>
    </font>
    <font>
      <sz val="11"/>
      <color rgb="FF0000FF"/>
      <name val="Calibri"/>
      <charset val="1"/>
    </font>
    <font>
      <i/>
      <sz val="9"/>
      <color rgb="FF7F7F7F"/>
      <name val="Calibri"/>
      <charset val="1"/>
    </font>
    <font>
      <sz val="11"/>
      <color rgb="FF000000"/>
      <name val="Calibri"/>
      <charset val="1"/>
    </font>
    <font>
      <i/>
      <sz val="10"/>
      <color rgb="FF7F7F7F"/>
      <name val="Calibri"/>
      <charset val="1"/>
    </font>
    <font>
      <b/>
      <sz val="12"/>
      <color rgb="FFFFFFFF"/>
      <name val="Calibri"/>
      <charset val="1"/>
    </font>
    <font>
      <b/>
      <sz val="22"/>
      <color rgb="FFFFFFFF"/>
      <name val="Calibri"/>
      <charset val="1"/>
    </font>
    <font>
      <sz val="10"/>
      <color rgb="FF000000"/>
      <name val="Consolas"/>
      <charset val="1"/>
    </font>
    <font>
      <b/>
      <sz val="13"/>
      <color rgb="FF1F3864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F2CC"/>
        <bgColor rgb="FFF2F2F2"/>
      </patternFill>
    </fill>
    <fill>
      <patternFill patternType="solid">
        <fgColor rgb="FF548235"/>
        <bgColor rgb="FF7F7F7F"/>
      </patternFill>
    </fill>
    <fill>
      <patternFill patternType="solid">
        <fgColor rgb="FF2E74B5"/>
        <bgColor rgb="FF4F81BD"/>
      </patternFill>
    </fill>
    <fill>
      <patternFill patternType="solid">
        <fgColor rgb="FFC00000"/>
        <bgColor rgb="FF800000"/>
      </patternFill>
    </fill>
    <fill>
      <patternFill patternType="solid">
        <fgColor rgb="FFC55A11"/>
        <bgColor rgb="FFC0504D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833C0C"/>
      </left>
      <right/>
      <top style="thin">
        <color rgb="FF833C0C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8" fillId="6" borderId="0" xfId="0" applyFont="1" applyFill="1" applyBorder="1" applyAlignment="1" applyProtection="1">
      <alignment horizontal="center" vertical="center" wrapText="1"/>
    </xf>
    <xf numFmtId="0" fontId="8" fillId="5" borderId="0" xfId="0" applyFont="1" applyFill="1" applyBorder="1" applyAlignment="1" applyProtection="1">
      <alignment horizontal="center" vertical="center" wrapText="1"/>
    </xf>
    <xf numFmtId="0" fontId="8" fillId="2" borderId="0" xfId="0" applyFont="1" applyFill="1" applyBorder="1" applyAlignment="1" applyProtection="1">
      <alignment horizontal="center" vertical="center" wrapText="1"/>
    </xf>
    <xf numFmtId="0" fontId="13" fillId="0" borderId="0" xfId="0" applyFont="1" applyBorder="1" applyAlignment="1" applyProtection="1">
      <alignment wrapText="1"/>
    </xf>
    <xf numFmtId="0" fontId="11" fillId="0" borderId="0" xfId="0" applyFont="1" applyBorder="1" applyAlignment="1" applyProtection="1">
      <alignment horizontal="left" vertical="center"/>
    </xf>
    <xf numFmtId="0" fontId="5" fillId="3" borderId="0" xfId="0" applyFont="1" applyFill="1" applyBorder="1" applyAlignment="1" applyProtection="1">
      <alignment horizontal="left" vertical="center" indent="1"/>
    </xf>
    <xf numFmtId="0" fontId="4" fillId="0" borderId="0" xfId="0" applyFont="1" applyBorder="1" applyAlignment="1" applyProtection="1">
      <alignment vertical="top" wrapText="1"/>
    </xf>
    <xf numFmtId="0" fontId="3" fillId="0" borderId="0" xfId="0" applyFont="1" applyBorder="1" applyAlignment="1" applyProtection="1">
      <alignment vertical="top" wrapText="1"/>
    </xf>
    <xf numFmtId="0" fontId="7" fillId="2" borderId="0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  <xf numFmtId="0" fontId="5" fillId="0" borderId="0" xfId="0" applyFont="1" applyBorder="1" applyAlignment="1" applyProtection="1"/>
    <xf numFmtId="0" fontId="4" fillId="0" borderId="0" xfId="0" applyFont="1" applyBorder="1" applyAlignment="1" applyProtection="1"/>
    <xf numFmtId="0" fontId="2" fillId="0" borderId="0" xfId="0" applyFont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0" fillId="0" borderId="0" xfId="0" applyAlignment="1" applyProtection="1"/>
    <xf numFmtId="0" fontId="3" fillId="0" borderId="0" xfId="0" applyFont="1" applyAlignment="1" applyProtection="1"/>
    <xf numFmtId="0" fontId="8" fillId="2" borderId="1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left" vertical="center"/>
    </xf>
    <xf numFmtId="0" fontId="10" fillId="0" borderId="1" xfId="0" applyFont="1" applyBorder="1" applyAlignment="1" applyProtection="1">
      <alignment horizontal="left" vertical="center"/>
    </xf>
    <xf numFmtId="0" fontId="8" fillId="2" borderId="1" xfId="0" applyFont="1" applyFill="1" applyBorder="1" applyAlignment="1" applyProtection="1">
      <alignment horizontal="center" wrapText="1"/>
    </xf>
    <xf numFmtId="0" fontId="3" fillId="0" borderId="1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 vertical="center"/>
    </xf>
    <xf numFmtId="0" fontId="10" fillId="4" borderId="1" xfId="0" applyFont="1" applyFill="1" applyBorder="1" applyAlignment="1" applyProtection="1">
      <alignment horizontal="center" vertical="center"/>
    </xf>
    <xf numFmtId="0" fontId="12" fillId="0" borderId="1" xfId="0" applyFont="1" applyBorder="1" applyAlignment="1" applyProtection="1">
      <alignment horizontal="left" vertical="center"/>
    </xf>
    <xf numFmtId="0" fontId="8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/>
    <xf numFmtId="0" fontId="12" fillId="0" borderId="1" xfId="0" applyFont="1" applyBorder="1" applyAlignment="1" applyProtection="1">
      <alignment horizontal="center"/>
    </xf>
    <xf numFmtId="164" fontId="12" fillId="0" borderId="1" xfId="0" applyNumberFormat="1" applyFont="1" applyBorder="1" applyAlignment="1" applyProtection="1">
      <alignment horizontal="center"/>
    </xf>
    <xf numFmtId="164" fontId="12" fillId="0" borderId="1" xfId="0" applyNumberFormat="1" applyFont="1" applyBorder="1" applyAlignment="1" applyProtection="1">
      <alignment horizontal="left" vertical="center"/>
    </xf>
    <xf numFmtId="164" fontId="10" fillId="4" borderId="1" xfId="0" applyNumberFormat="1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 applyProtection="1"/>
    <xf numFmtId="0" fontId="12" fillId="0" borderId="1" xfId="0" applyFont="1" applyBorder="1" applyAlignment="1" applyProtection="1"/>
    <xf numFmtId="3" fontId="12" fillId="0" borderId="1" xfId="0" applyNumberFormat="1" applyFont="1" applyBorder="1" applyAlignment="1" applyProtection="1">
      <alignment horizontal="center"/>
    </xf>
    <xf numFmtId="0" fontId="11" fillId="0" borderId="0" xfId="0" applyFont="1" applyAlignment="1" applyProtection="1"/>
    <xf numFmtId="0" fontId="8" fillId="7" borderId="0" xfId="0" applyFont="1" applyFill="1" applyBorder="1" applyAlignment="1" applyProtection="1">
      <alignment horizontal="center" vertical="center" wrapText="1"/>
    </xf>
    <xf numFmtId="0" fontId="8" fillId="8" borderId="0" xfId="0" applyFont="1" applyFill="1" applyBorder="1" applyAlignment="1" applyProtection="1">
      <alignment horizontal="center" vertical="center" wrapText="1"/>
    </xf>
    <xf numFmtId="0" fontId="14" fillId="8" borderId="2" xfId="0" applyFont="1" applyFill="1" applyBorder="1" applyAlignment="1" applyProtection="1">
      <alignment horizontal="center" vertical="center" wrapText="1"/>
    </xf>
    <xf numFmtId="3" fontId="15" fillId="2" borderId="0" xfId="0" applyNumberFormat="1" applyFont="1" applyFill="1" applyBorder="1" applyAlignment="1" applyProtection="1">
      <alignment horizontal="center" vertical="center"/>
    </xf>
    <xf numFmtId="164" fontId="15" fillId="5" borderId="0" xfId="0" applyNumberFormat="1" applyFont="1" applyFill="1" applyBorder="1" applyAlignment="1" applyProtection="1">
      <alignment horizontal="center" vertical="center"/>
    </xf>
    <xf numFmtId="165" fontId="15" fillId="6" borderId="0" xfId="0" applyNumberFormat="1" applyFont="1" applyFill="1" applyBorder="1" applyAlignment="1" applyProtection="1">
      <alignment horizontal="center" vertical="center"/>
    </xf>
    <xf numFmtId="3" fontId="15" fillId="7" borderId="0" xfId="0" applyNumberFormat="1" applyFont="1" applyFill="1" applyBorder="1" applyAlignment="1" applyProtection="1">
      <alignment horizontal="center" vertical="center"/>
    </xf>
    <xf numFmtId="3" fontId="15" fillId="8" borderId="0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wrapText="1"/>
    </xf>
    <xf numFmtId="0" fontId="16" fillId="9" borderId="0" xfId="0" applyFont="1" applyFill="1" applyBorder="1" applyAlignment="1" applyProtection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7" fillId="3" borderId="0" xfId="0" applyFont="1" applyFill="1" applyBorder="1" applyAlignment="1" applyProtection="1">
      <alignment horizontal="left" vertical="center" indent="1"/>
    </xf>
    <xf numFmtId="0" fontId="0" fillId="0" borderId="0" xfId="0" applyBorder="1"/>
  </cellXfs>
  <cellStyles count="1">
    <cellStyle name="Normal" xfId="0" builtinId="0"/>
  </cellStyles>
  <dxfs count="39">
    <dxf>
      <numFmt numFmtId="34" formatCode="_(&quot;$&quot;* #,##0.00_);_(&quot;$&quot;* \(#,##0.00\);_(&quot;$&quot;* &quot;-&quot;??_);_(@_)"/>
    </dxf>
    <dxf>
      <numFmt numFmtId="166" formatCode="_-* #,##0.00\ [$Kz]_-;\-* #,##0.00\ [$Kz]_-;_-* &quot;-&quot;??\ [$Kz]_-;_-@_-" x16r2:formatCode16="_-* #,##0.00\ [$Kz-pt-AO]_-;\-* #,##0.00\ [$Kz-pt-AO]_-;_-* &quot;-&quot;??\ [$Kz-pt-AO]_-;_-@_-"/>
    </dxf>
    <dxf>
      <numFmt numFmtId="2" formatCode="0.00"/>
    </dxf>
    <dxf>
      <numFmt numFmtId="2" formatCode="0.00"/>
    </dxf>
    <dxf>
      <numFmt numFmtId="34" formatCode="_(&quot;$&quot;* #,##0.00_);_(&quot;$&quot;* \(#,##0.00\);_(&quot;$&quot;* &quot;-&quot;??_);_(@_)"/>
    </dxf>
    <dxf>
      <numFmt numFmtId="166" formatCode="_-* #,##0.00\ [$Kz]_-;\-* #,##0.00\ [$Kz]_-;_-* &quot;-&quot;??\ [$Kz]_-;_-@_-" x16r2:formatCode16="_-* #,##0.00\ [$Kz-pt-AO]_-;\-* #,##0.00\ [$Kz-pt-AO]_-;_-* &quot;-&quot;??\ [$Kz-pt-AO]_-;_-@_-"/>
    </dxf>
    <dxf>
      <numFmt numFmtId="2" formatCode="0.00"/>
    </dxf>
    <dxf>
      <numFmt numFmtId="2" formatCode="0.00"/>
    </dxf>
    <dxf>
      <numFmt numFmtId="34" formatCode="_(&quot;$&quot;* #,##0.00_);_(&quot;$&quot;* \(#,##0.00\);_(&quot;$&quot;* &quot;-&quot;??_);_(@_)"/>
    </dxf>
    <dxf>
      <numFmt numFmtId="166" formatCode="_-* #,##0.00\ [$Kz]_-;\-* #,##0.00\ [$Kz]_-;_-* &quot;-&quot;??\ [$Kz]_-;_-@_-" x16r2:formatCode16="_-* #,##0.00\ [$Kz-pt-AO]_-;\-* #,##0.00\ [$Kz-pt-AO]_-;_-* &quot;-&quot;??\ [$Kz-pt-AO]_-;_-@_-"/>
    </dxf>
    <dxf>
      <numFmt numFmtId="2" formatCode="0.00"/>
    </dxf>
    <dxf>
      <numFmt numFmtId="2" formatCode="0.00"/>
    </dxf>
    <dxf>
      <numFmt numFmtId="34" formatCode="_(&quot;$&quot;* #,##0.00_);_(&quot;$&quot;* \(#,##0.00\);_(&quot;$&quot;* &quot;-&quot;??_);_(@_)"/>
    </dxf>
    <dxf>
      <numFmt numFmtId="166" formatCode="_-* #,##0.00\ [$Kz]_-;\-* #,##0.00\ [$Kz]_-;_-* &quot;-&quot;??\ [$Kz]_-;_-@_-" x16r2:formatCode16="_-* #,##0.00\ [$Kz-pt-AO]_-;\-* #,##0.00\ [$Kz-pt-AO]_-;_-* &quot;-&quot;??\ [$Kz-pt-AO]_-;_-@_-"/>
    </dxf>
    <dxf>
      <numFmt numFmtId="2" formatCode="0.00"/>
    </dxf>
    <dxf>
      <numFmt numFmtId="2" formatCode="0.00"/>
    </dxf>
    <dxf>
      <numFmt numFmtId="34" formatCode="_(&quot;$&quot;* #,##0.00_);_(&quot;$&quot;* \(#,##0.00\);_(&quot;$&quot;* &quot;-&quot;??_);_(@_)"/>
    </dxf>
    <dxf>
      <numFmt numFmtId="166" formatCode="_-* #,##0.00\ [$Kz]_-;\-* #,##0.00\ [$Kz]_-;_-* &quot;-&quot;??\ [$Kz]_-;_-@_-" x16r2:formatCode16="_-* #,##0.00\ [$Kz-pt-AO]_-;\-* #,##0.00\ [$Kz-pt-AO]_-;_-* &quot;-&quot;??\ [$Kz-pt-AO]_-;_-@_-"/>
    </dxf>
    <dxf>
      <numFmt numFmtId="2" formatCode="0.00"/>
    </dxf>
    <dxf>
      <numFmt numFmtId="2" formatCode="0.00"/>
    </dxf>
    <dxf>
      <numFmt numFmtId="34" formatCode="_(&quot;$&quot;* #,##0.00_);_(&quot;$&quot;* \(#,##0.00\);_(&quot;$&quot;* &quot;-&quot;??_);_(@_)"/>
    </dxf>
    <dxf>
      <numFmt numFmtId="166" formatCode="_-* #,##0.00\ [$Kz]_-;\-* #,##0.00\ [$Kz]_-;_-* &quot;-&quot;??\ [$Kz]_-;_-@_-" x16r2:formatCode16="_-* #,##0.00\ [$Kz-pt-AO]_-;\-* #,##0.00\ [$Kz-pt-AO]_-;_-* &quot;-&quot;??\ [$Kz-pt-AO]_-;_-@_-"/>
    </dxf>
    <dxf>
      <numFmt numFmtId="2" formatCode="0.00"/>
    </dxf>
    <dxf>
      <numFmt numFmtId="2" formatCode="0.00"/>
    </dxf>
    <dxf>
      <numFmt numFmtId="34" formatCode="_(&quot;$&quot;* #,##0.00_);_(&quot;$&quot;* \(#,##0.00\);_(&quot;$&quot;* &quot;-&quot;??_);_(@_)"/>
    </dxf>
    <dxf>
      <numFmt numFmtId="166" formatCode="_-* #,##0.00\ [$Kz]_-;\-* #,##0.00\ [$Kz]_-;_-* &quot;-&quot;??\ [$Kz]_-;_-@_-" x16r2:formatCode16="_-* #,##0.00\ [$Kz-pt-AO]_-;\-* #,##0.00\ [$Kz-pt-AO]_-;_-* &quot;-&quot;??\ [$Kz-pt-AO]_-;_-@_-"/>
    </dxf>
    <dxf>
      <numFmt numFmtId="2" formatCode="0.00"/>
    </dxf>
    <dxf>
      <numFmt numFmtId="2" formatCode="0.00"/>
    </dxf>
    <dxf>
      <numFmt numFmtId="34" formatCode="_(&quot;$&quot;* #,##0.00_);_(&quot;$&quot;* \(#,##0.00\);_(&quot;$&quot;* &quot;-&quot;??_);_(@_)"/>
    </dxf>
    <dxf>
      <numFmt numFmtId="166" formatCode="_-* #,##0.00\ [$Kz]_-;\-* #,##0.00\ [$Kz]_-;_-* &quot;-&quot;??\ [$Kz]_-;_-@_-" x16r2:formatCode16="_-* #,##0.00\ [$Kz-pt-AO]_-;\-* #,##0.00\ [$Kz-pt-AO]_-;_-* &quot;-&quot;??\ [$Kz-pt-AO]_-;_-@_-"/>
    </dxf>
    <dxf>
      <numFmt numFmtId="2" formatCode="0.00"/>
    </dxf>
    <dxf>
      <numFmt numFmtId="2" formatCode="0.00"/>
    </dxf>
    <dxf>
      <numFmt numFmtId="2" formatCode="0.00"/>
    </dxf>
    <dxf>
      <numFmt numFmtId="34" formatCode="_(&quot;$&quot;* #,##0.00_);_(&quot;$&quot;* \(#,##0.00\);_(&quot;$&quot;* &quot;-&quot;??_);_(@_)"/>
    </dxf>
    <dxf>
      <numFmt numFmtId="166" formatCode="_-* #,##0.00\ [$Kz]_-;\-* #,##0.00\ [$Kz]_-;_-* &quot;-&quot;??\ [$Kz]_-;_-@_-" x16r2:formatCode16="_-* #,##0.00\ [$Kz-pt-AO]_-;\-* #,##0.00\ [$Kz-pt-AO]_-;_-* &quot;-&quot;??\ [$Kz-pt-AO]_-;_-@_-"/>
    </dxf>
    <dxf>
      <numFmt numFmtId="2" formatCode="0.00"/>
    </dxf>
    <dxf>
      <numFmt numFmtId="2" formatCode="0.00"/>
    </dxf>
    <dxf>
      <numFmt numFmtId="166" formatCode="_-* #,##0.00\ [$Kz]_-;\-* #,##0.00\ [$Kz]_-;_-* &quot;-&quot;??\ [$Kz]_-;_-@_-" x16r2:formatCode16="_-* #,##0.00\ [$Kz-pt-AO]_-;\-* #,##0.00\ [$Kz-pt-AO]_-;_-* &quot;-&quot;??\ [$Kz-pt-AO]_-;_-@_-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7F7F7F"/>
      <rgbColor rgb="FF9999FF"/>
      <rgbColor rgb="FFC0504D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BBB59"/>
      <rgbColor rgb="FFFFCC00"/>
      <rgbColor rgb="FFFF9900"/>
      <rgbColor rgb="FFC55A11"/>
      <rgbColor rgb="FF8064A2"/>
      <rgbColor rgb="FFB3B3B3"/>
      <rgbColor rgb="FF1F3864"/>
      <rgbColor rgb="FF4F81BD"/>
      <rgbColor rgb="FF003300"/>
      <rgbColor rgb="FF333300"/>
      <rgbColor rgb="FF833C0C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BD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Exemplar Logistica Operacoes.xlsx]Pivots!Tabela dinâmica2</c:name>
    <c:fmtId val="0"/>
  </c:pivotSource>
  <c:chart>
    <c:autoTitleDeleted val="1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Pivots!$B$6:$B$7</c:f>
              <c:strCache>
                <c:ptCount val="1"/>
                <c:pt idx="0">
                  <c:v>CargoLuanda SA</c:v>
                </c:pt>
              </c:strCache>
            </c:strRef>
          </c:tx>
          <c:spPr>
            <a:gradFill>
              <a:gsLst>
                <a:gs pos="0">
                  <a:schemeClr val="accent1">
                    <a:tint val="50000"/>
                  </a:schemeClr>
                </a:gs>
                <a:gs pos="35000">
                  <a:schemeClr val="accent1">
                    <a:tint val="37000"/>
                  </a:schemeClr>
                </a:gs>
                <a:gs pos="100000">
                  <a:schemeClr val="accent1">
                    <a:tint val="15000"/>
                  </a:schemeClr>
                </a:gs>
              </a:gsLst>
              <a:lin ang="16200000" scaled="1"/>
              <a:tileRect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cat>
            <c:strRef>
              <c:f>Pivots!$A$8:$A$20</c:f>
              <c:strCache>
                <c:ptCount val="12"/>
                <c:pt idx="0">
                  <c:v>Auto Peças Cabinda</c:v>
                </c:pt>
                <c:pt idx="1">
                  <c:v>Construtora Maiombe</c:v>
                </c:pt>
                <c:pt idx="2">
                  <c:v>Distribuidora Bengo</c:v>
                </c:pt>
                <c:pt idx="3">
                  <c:v>Eletro Lobito</c:v>
                </c:pt>
                <c:pt idx="4">
                  <c:v>Farmácia Bem-Estar</c:v>
                </c:pt>
                <c:pt idx="5">
                  <c:v>Hipermercado Mabor</c:v>
                </c:pt>
                <c:pt idx="6">
                  <c:v>Loja MaxValor</c:v>
                </c:pt>
                <c:pt idx="7">
                  <c:v>Móveis Kalandula</c:v>
                </c:pt>
                <c:pt idx="8">
                  <c:v>Padaria Pão Quente</c:v>
                </c:pt>
                <c:pt idx="9">
                  <c:v>Restaurante Sabor d'Africa</c:v>
                </c:pt>
                <c:pt idx="10">
                  <c:v>Supermercado Kianda</c:v>
                </c:pt>
                <c:pt idx="11">
                  <c:v>Têxtil Kwanza</c:v>
                </c:pt>
              </c:strCache>
            </c:strRef>
          </c:cat>
          <c:val>
            <c:numRef>
              <c:f>Pivots!$B$8:$B$20</c:f>
              <c:numCache>
                <c:formatCode>0.00</c:formatCode>
                <c:ptCount val="12"/>
                <c:pt idx="0">
                  <c:v>45</c:v>
                </c:pt>
                <c:pt idx="1">
                  <c:v>58</c:v>
                </c:pt>
                <c:pt idx="2">
                  <c:v>63</c:v>
                </c:pt>
                <c:pt idx="3">
                  <c:v>44</c:v>
                </c:pt>
                <c:pt idx="4">
                  <c:v>59</c:v>
                </c:pt>
                <c:pt idx="5">
                  <c:v>34</c:v>
                </c:pt>
                <c:pt idx="6">
                  <c:v>77</c:v>
                </c:pt>
                <c:pt idx="7">
                  <c:v>15</c:v>
                </c:pt>
                <c:pt idx="8">
                  <c:v>84</c:v>
                </c:pt>
                <c:pt idx="9">
                  <c:v>17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4-43F6-A462-55303E71B8A6}"/>
            </c:ext>
          </c:extLst>
        </c:ser>
        <c:ser>
          <c:idx val="1"/>
          <c:order val="1"/>
          <c:tx>
            <c:strRef>
              <c:f>Pivots!$C$6:$C$7</c:f>
              <c:strCache>
                <c:ptCount val="1"/>
                <c:pt idx="0">
                  <c:v>EcoFrota Benguela</c:v>
                </c:pt>
              </c:strCache>
            </c:strRef>
          </c:tx>
          <c:spPr>
            <a:gradFill>
              <a:gsLst>
                <a:gs pos="0">
                  <a:schemeClr val="accent2">
                    <a:tint val="50000"/>
                  </a:schemeClr>
                </a:gs>
                <a:gs pos="35000">
                  <a:schemeClr val="accent2">
                    <a:tint val="37000"/>
                  </a:schemeClr>
                </a:gs>
                <a:gs pos="100000">
                  <a:schemeClr val="accent2">
                    <a:tint val="15000"/>
                  </a:schemeClr>
                </a:gs>
              </a:gsLst>
              <a:lin ang="16200000" scaled="1"/>
              <a:tileRect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cat>
            <c:strRef>
              <c:f>Pivots!$A$8:$A$20</c:f>
              <c:strCache>
                <c:ptCount val="12"/>
                <c:pt idx="0">
                  <c:v>Auto Peças Cabinda</c:v>
                </c:pt>
                <c:pt idx="1">
                  <c:v>Construtora Maiombe</c:v>
                </c:pt>
                <c:pt idx="2">
                  <c:v>Distribuidora Bengo</c:v>
                </c:pt>
                <c:pt idx="3">
                  <c:v>Eletro Lobito</c:v>
                </c:pt>
                <c:pt idx="4">
                  <c:v>Farmácia Bem-Estar</c:v>
                </c:pt>
                <c:pt idx="5">
                  <c:v>Hipermercado Mabor</c:v>
                </c:pt>
                <c:pt idx="6">
                  <c:v>Loja MaxValor</c:v>
                </c:pt>
                <c:pt idx="7">
                  <c:v>Móveis Kalandula</c:v>
                </c:pt>
                <c:pt idx="8">
                  <c:v>Padaria Pão Quente</c:v>
                </c:pt>
                <c:pt idx="9">
                  <c:v>Restaurante Sabor d'Africa</c:v>
                </c:pt>
                <c:pt idx="10">
                  <c:v>Supermercado Kianda</c:v>
                </c:pt>
                <c:pt idx="11">
                  <c:v>Têxtil Kwanza</c:v>
                </c:pt>
              </c:strCache>
            </c:strRef>
          </c:cat>
          <c:val>
            <c:numRef>
              <c:f>Pivots!$C$8:$C$20</c:f>
              <c:numCache>
                <c:formatCode>0.00</c:formatCode>
                <c:ptCount val="12"/>
                <c:pt idx="0">
                  <c:v>22</c:v>
                </c:pt>
                <c:pt idx="1">
                  <c:v>85</c:v>
                </c:pt>
                <c:pt idx="2">
                  <c:v>42</c:v>
                </c:pt>
                <c:pt idx="3">
                  <c:v>6</c:v>
                </c:pt>
                <c:pt idx="4">
                  <c:v>28</c:v>
                </c:pt>
                <c:pt idx="5">
                  <c:v>3</c:v>
                </c:pt>
                <c:pt idx="6">
                  <c:v>82</c:v>
                </c:pt>
                <c:pt idx="8">
                  <c:v>115</c:v>
                </c:pt>
                <c:pt idx="9">
                  <c:v>23</c:v>
                </c:pt>
                <c:pt idx="10">
                  <c:v>30</c:v>
                </c:pt>
                <c:pt idx="1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694-43F6-A462-55303E71B8A6}"/>
            </c:ext>
          </c:extLst>
        </c:ser>
        <c:ser>
          <c:idx val="2"/>
          <c:order val="2"/>
          <c:tx>
            <c:strRef>
              <c:f>Pivots!$D$6:$D$7</c:f>
              <c:strCache>
                <c:ptCount val="1"/>
                <c:pt idx="0">
                  <c:v>Logitrans Atlântico</c:v>
                </c:pt>
              </c:strCache>
            </c:strRef>
          </c:tx>
          <c:spPr>
            <a:gradFill>
              <a:gsLst>
                <a:gs pos="0">
                  <a:schemeClr val="accent3">
                    <a:tint val="50000"/>
                  </a:schemeClr>
                </a:gs>
                <a:gs pos="35000">
                  <a:schemeClr val="accent3">
                    <a:tint val="37000"/>
                  </a:schemeClr>
                </a:gs>
                <a:gs pos="100000">
                  <a:schemeClr val="accent3">
                    <a:tint val="15000"/>
                  </a:schemeClr>
                </a:gs>
              </a:gsLst>
              <a:lin ang="16200000" scaled="1"/>
              <a:tileRect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cat>
            <c:strRef>
              <c:f>Pivots!$A$8:$A$20</c:f>
              <c:strCache>
                <c:ptCount val="12"/>
                <c:pt idx="0">
                  <c:v>Auto Peças Cabinda</c:v>
                </c:pt>
                <c:pt idx="1">
                  <c:v>Construtora Maiombe</c:v>
                </c:pt>
                <c:pt idx="2">
                  <c:v>Distribuidora Bengo</c:v>
                </c:pt>
                <c:pt idx="3">
                  <c:v>Eletro Lobito</c:v>
                </c:pt>
                <c:pt idx="4">
                  <c:v>Farmácia Bem-Estar</c:v>
                </c:pt>
                <c:pt idx="5">
                  <c:v>Hipermercado Mabor</c:v>
                </c:pt>
                <c:pt idx="6">
                  <c:v>Loja MaxValor</c:v>
                </c:pt>
                <c:pt idx="7">
                  <c:v>Móveis Kalandula</c:v>
                </c:pt>
                <c:pt idx="8">
                  <c:v>Padaria Pão Quente</c:v>
                </c:pt>
                <c:pt idx="9">
                  <c:v>Restaurante Sabor d'Africa</c:v>
                </c:pt>
                <c:pt idx="10">
                  <c:v>Supermercado Kianda</c:v>
                </c:pt>
                <c:pt idx="11">
                  <c:v>Têxtil Kwanza</c:v>
                </c:pt>
              </c:strCache>
            </c:strRef>
          </c:cat>
          <c:val>
            <c:numRef>
              <c:f>Pivots!$D$8:$D$20</c:f>
              <c:numCache>
                <c:formatCode>0.00</c:formatCode>
                <c:ptCount val="12"/>
                <c:pt idx="0">
                  <c:v>46</c:v>
                </c:pt>
                <c:pt idx="2">
                  <c:v>19</c:v>
                </c:pt>
                <c:pt idx="3">
                  <c:v>23</c:v>
                </c:pt>
                <c:pt idx="4">
                  <c:v>49</c:v>
                </c:pt>
                <c:pt idx="5">
                  <c:v>15</c:v>
                </c:pt>
                <c:pt idx="6">
                  <c:v>47</c:v>
                </c:pt>
                <c:pt idx="7">
                  <c:v>5</c:v>
                </c:pt>
                <c:pt idx="8">
                  <c:v>34</c:v>
                </c:pt>
                <c:pt idx="10">
                  <c:v>45</c:v>
                </c:pt>
                <c:pt idx="1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694-43F6-A462-55303E71B8A6}"/>
            </c:ext>
          </c:extLst>
        </c:ser>
        <c:ser>
          <c:idx val="3"/>
          <c:order val="3"/>
          <c:tx>
            <c:strRef>
              <c:f>Pivots!$E$6:$E$7</c:f>
              <c:strCache>
                <c:ptCount val="1"/>
                <c:pt idx="0">
                  <c:v>Rápido Kwanza</c:v>
                </c:pt>
              </c:strCache>
            </c:strRef>
          </c:tx>
          <c:spPr>
            <a:gradFill>
              <a:gsLst>
                <a:gs pos="0">
                  <a:schemeClr val="accent4">
                    <a:tint val="50000"/>
                  </a:schemeClr>
                </a:gs>
                <a:gs pos="35000">
                  <a:schemeClr val="accent4">
                    <a:tint val="37000"/>
                  </a:schemeClr>
                </a:gs>
                <a:gs pos="100000">
                  <a:schemeClr val="accent4">
                    <a:tint val="15000"/>
                  </a:schemeClr>
                </a:gs>
              </a:gsLst>
              <a:lin ang="16200000" scaled="1"/>
              <a:tileRect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cat>
            <c:strRef>
              <c:f>Pivots!$A$8:$A$20</c:f>
              <c:strCache>
                <c:ptCount val="12"/>
                <c:pt idx="0">
                  <c:v>Auto Peças Cabinda</c:v>
                </c:pt>
                <c:pt idx="1">
                  <c:v>Construtora Maiombe</c:v>
                </c:pt>
                <c:pt idx="2">
                  <c:v>Distribuidora Bengo</c:v>
                </c:pt>
                <c:pt idx="3">
                  <c:v>Eletro Lobito</c:v>
                </c:pt>
                <c:pt idx="4">
                  <c:v>Farmácia Bem-Estar</c:v>
                </c:pt>
                <c:pt idx="5">
                  <c:v>Hipermercado Mabor</c:v>
                </c:pt>
                <c:pt idx="6">
                  <c:v>Loja MaxValor</c:v>
                </c:pt>
                <c:pt idx="7">
                  <c:v>Móveis Kalandula</c:v>
                </c:pt>
                <c:pt idx="8">
                  <c:v>Padaria Pão Quente</c:v>
                </c:pt>
                <c:pt idx="9">
                  <c:v>Restaurante Sabor d'Africa</c:v>
                </c:pt>
                <c:pt idx="10">
                  <c:v>Supermercado Kianda</c:v>
                </c:pt>
                <c:pt idx="11">
                  <c:v>Têxtil Kwanza</c:v>
                </c:pt>
              </c:strCache>
            </c:strRef>
          </c:cat>
          <c:val>
            <c:numRef>
              <c:f>Pivots!$E$8:$E$20</c:f>
              <c:numCache>
                <c:formatCode>0.00</c:formatCode>
                <c:ptCount val="12"/>
                <c:pt idx="0">
                  <c:v>38</c:v>
                </c:pt>
                <c:pt idx="1">
                  <c:v>38</c:v>
                </c:pt>
                <c:pt idx="2">
                  <c:v>51</c:v>
                </c:pt>
                <c:pt idx="3">
                  <c:v>59</c:v>
                </c:pt>
                <c:pt idx="4">
                  <c:v>4</c:v>
                </c:pt>
                <c:pt idx="5">
                  <c:v>26</c:v>
                </c:pt>
                <c:pt idx="6">
                  <c:v>47</c:v>
                </c:pt>
                <c:pt idx="7">
                  <c:v>94</c:v>
                </c:pt>
                <c:pt idx="8">
                  <c:v>60</c:v>
                </c:pt>
                <c:pt idx="9">
                  <c:v>18</c:v>
                </c:pt>
                <c:pt idx="10">
                  <c:v>70</c:v>
                </c:pt>
                <c:pt idx="1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694-43F6-A462-55303E71B8A6}"/>
            </c:ext>
          </c:extLst>
        </c:ser>
        <c:ser>
          <c:idx val="4"/>
          <c:order val="4"/>
          <c:tx>
            <c:strRef>
              <c:f>Pivots!$F$6:$F$7</c:f>
              <c:strCache>
                <c:ptCount val="1"/>
                <c:pt idx="0">
                  <c:v>TransAngola Express</c:v>
                </c:pt>
              </c:strCache>
            </c:strRef>
          </c:tx>
          <c:spPr>
            <a:gradFill>
              <a:gsLst>
                <a:gs pos="0">
                  <a:schemeClr val="accent5">
                    <a:tint val="50000"/>
                  </a:schemeClr>
                </a:gs>
                <a:gs pos="35000">
                  <a:schemeClr val="accent5">
                    <a:tint val="37000"/>
                  </a:schemeClr>
                </a:gs>
                <a:gs pos="100000">
                  <a:schemeClr val="accent5">
                    <a:tint val="15000"/>
                  </a:schemeClr>
                </a:gs>
              </a:gsLst>
              <a:lin ang="16200000" scaled="1"/>
              <a:tileRect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cat>
            <c:strRef>
              <c:f>Pivots!$A$8:$A$20</c:f>
              <c:strCache>
                <c:ptCount val="12"/>
                <c:pt idx="0">
                  <c:v>Auto Peças Cabinda</c:v>
                </c:pt>
                <c:pt idx="1">
                  <c:v>Construtora Maiombe</c:v>
                </c:pt>
                <c:pt idx="2">
                  <c:v>Distribuidora Bengo</c:v>
                </c:pt>
                <c:pt idx="3">
                  <c:v>Eletro Lobito</c:v>
                </c:pt>
                <c:pt idx="4">
                  <c:v>Farmácia Bem-Estar</c:v>
                </c:pt>
                <c:pt idx="5">
                  <c:v>Hipermercado Mabor</c:v>
                </c:pt>
                <c:pt idx="6">
                  <c:v>Loja MaxValor</c:v>
                </c:pt>
                <c:pt idx="7">
                  <c:v>Móveis Kalandula</c:v>
                </c:pt>
                <c:pt idx="8">
                  <c:v>Padaria Pão Quente</c:v>
                </c:pt>
                <c:pt idx="9">
                  <c:v>Restaurante Sabor d'Africa</c:v>
                </c:pt>
                <c:pt idx="10">
                  <c:v>Supermercado Kianda</c:v>
                </c:pt>
                <c:pt idx="11">
                  <c:v>Têxtil Kwanza</c:v>
                </c:pt>
              </c:strCache>
            </c:strRef>
          </c:cat>
          <c:val>
            <c:numRef>
              <c:f>Pivots!$F$8:$F$20</c:f>
              <c:numCache>
                <c:formatCode>0.00</c:formatCode>
                <c:ptCount val="12"/>
                <c:pt idx="0">
                  <c:v>20</c:v>
                </c:pt>
                <c:pt idx="1">
                  <c:v>12</c:v>
                </c:pt>
                <c:pt idx="2">
                  <c:v>27</c:v>
                </c:pt>
                <c:pt idx="3">
                  <c:v>18</c:v>
                </c:pt>
                <c:pt idx="4">
                  <c:v>25</c:v>
                </c:pt>
                <c:pt idx="5">
                  <c:v>5</c:v>
                </c:pt>
                <c:pt idx="6">
                  <c:v>30</c:v>
                </c:pt>
                <c:pt idx="8">
                  <c:v>5</c:v>
                </c:pt>
                <c:pt idx="9">
                  <c:v>29</c:v>
                </c:pt>
                <c:pt idx="10">
                  <c:v>56</c:v>
                </c:pt>
                <c:pt idx="11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694-43F6-A462-55303E71B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9063984"/>
        <c:axId val="949058992"/>
      </c:areaChart>
      <c:catAx>
        <c:axId val="94906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058992"/>
        <c:crosses val="autoZero"/>
        <c:auto val="1"/>
        <c:lblAlgn val="ctr"/>
        <c:lblOffset val="100"/>
        <c:noMultiLvlLbl val="0"/>
      </c:catAx>
      <c:valAx>
        <c:axId val="94905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06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accent2">
            <a:lumMod val="67000"/>
          </a:schemeClr>
        </a:gs>
        <a:gs pos="48000">
          <a:schemeClr val="accent2">
            <a:lumMod val="97000"/>
            <a:lumOff val="3000"/>
          </a:schemeClr>
        </a:gs>
        <a:gs pos="100000">
          <a:schemeClr val="accent2">
            <a:lumMod val="60000"/>
            <a:lumOff val="40000"/>
          </a:schemeClr>
        </a:gs>
      </a:gsLst>
      <a:lin ang="162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Distribuição das Encomendas por Status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Quantidade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8000"/>
                      <a:shade val="51000"/>
                    </a:schemeClr>
                  </a:gs>
                  <a:gs pos="80000">
                    <a:schemeClr val="accent1">
                      <a:shade val="58000"/>
                      <a:shade val="93000"/>
                    </a:schemeClr>
                  </a:gs>
                  <a:gs pos="100000">
                    <a:schemeClr val="accent1">
                      <a:shade val="58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66-4B2F-8F88-956DA750473D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shade val="86000"/>
                      <a:shade val="51000"/>
                    </a:schemeClr>
                  </a:gs>
                  <a:gs pos="80000">
                    <a:schemeClr val="accent1">
                      <a:shade val="86000"/>
                      <a:shade val="93000"/>
                    </a:schemeClr>
                  </a:gs>
                  <a:gs pos="100000">
                    <a:schemeClr val="accent1">
                      <a:shade val="86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66-4B2F-8F88-956DA750473D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1">
                      <a:tint val="86000"/>
                      <a:shade val="51000"/>
                    </a:schemeClr>
                  </a:gs>
                  <a:gs pos="80000">
                    <a:schemeClr val="accent1">
                      <a:tint val="86000"/>
                      <a:shade val="93000"/>
                    </a:schemeClr>
                  </a:gs>
                  <a:gs pos="100000">
                    <a:schemeClr val="accent1">
                      <a:tint val="86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66-4B2F-8F88-956DA750473D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1">
                      <a:tint val="58000"/>
                      <a:shade val="51000"/>
                    </a:schemeClr>
                  </a:gs>
                  <a:gs pos="80000">
                    <a:schemeClr val="accent1">
                      <a:tint val="58000"/>
                      <a:shade val="93000"/>
                    </a:schemeClr>
                  </a:gs>
                  <a:gs pos="100000">
                    <a:schemeClr val="accent1">
                      <a:tint val="58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466-4B2F-8F88-956DA75047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Dashboard!$A$11:$A$14</c:f>
              <c:strCache>
                <c:ptCount val="4"/>
                <c:pt idx="0">
                  <c:v>Entregue</c:v>
                </c:pt>
                <c:pt idx="1">
                  <c:v>Em Trânsito</c:v>
                </c:pt>
                <c:pt idx="2">
                  <c:v>Atrasado</c:v>
                </c:pt>
                <c:pt idx="3">
                  <c:v>Cancelado</c:v>
                </c:pt>
              </c:strCache>
            </c:strRef>
          </c:cat>
          <c:val>
            <c:numRef>
              <c:f>Dashboard!$B$11:$B$14</c:f>
              <c:numCache>
                <c:formatCode>General</c:formatCode>
                <c:ptCount val="4"/>
                <c:pt idx="0">
                  <c:v>116</c:v>
                </c:pt>
                <c:pt idx="1">
                  <c:v>19</c:v>
                </c:pt>
                <c:pt idx="2">
                  <c:v>21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466-4B2F-8F88-956DA7504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tx2">
            <a:lumMod val="7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tx2">
            <a:lumMod val="60000"/>
            <a:lumOff val="40000"/>
          </a:schemeClr>
        </a:gs>
      </a:gsLst>
      <a:lin ang="5400000" scaled="1"/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Volume de Paletes Expedidas por Transportadora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Dashboard!$B$16</c:f>
              <c:strCache>
                <c:ptCount val="1"/>
                <c:pt idx="0">
                  <c:v>Total_Paletes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Dashboard!$A$17:$A$21</c:f>
              <c:strCache>
                <c:ptCount val="5"/>
                <c:pt idx="0">
                  <c:v>TransAngola Express</c:v>
                </c:pt>
                <c:pt idx="1">
                  <c:v>Logitrans Atlântico</c:v>
                </c:pt>
                <c:pt idx="2">
                  <c:v>Rápido Kwanza</c:v>
                </c:pt>
                <c:pt idx="3">
                  <c:v>CargoLuanda SA</c:v>
                </c:pt>
                <c:pt idx="4">
                  <c:v>EcoFrota Benguela</c:v>
                </c:pt>
              </c:strCache>
            </c:strRef>
          </c:cat>
          <c:val>
            <c:numRef>
              <c:f>Dashboard!$B$17:$B$21</c:f>
              <c:numCache>
                <c:formatCode>General</c:formatCode>
                <c:ptCount val="5"/>
                <c:pt idx="0">
                  <c:v>255</c:v>
                </c:pt>
                <c:pt idx="1">
                  <c:v>305</c:v>
                </c:pt>
                <c:pt idx="2">
                  <c:v>549</c:v>
                </c:pt>
                <c:pt idx="3">
                  <c:v>504</c:v>
                </c:pt>
                <c:pt idx="4">
                  <c:v>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1-444E-8654-4DCEDCAC5EB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4059192"/>
        <c:axId val="14380411"/>
      </c:barChart>
      <c:catAx>
        <c:axId val="54059192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Transportadora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0411"/>
        <c:crosses val="autoZero"/>
        <c:auto val="1"/>
        <c:lblAlgn val="ctr"/>
        <c:lblOffset val="100"/>
        <c:noMultiLvlLbl val="0"/>
      </c:catAx>
      <c:valAx>
        <c:axId val="14380411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Paletes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crossAx val="54059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Evolução Mensal do Nº de Encomendas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Dashboard!$B$23</c:f>
              <c:strCache>
                <c:ptCount val="1"/>
                <c:pt idx="0">
                  <c:v>Nr_Encomendas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Dashboard!$A$24:$A$29</c:f>
              <c:strCache>
                <c:ptCount val="6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</c:strCache>
            </c:strRef>
          </c:cat>
          <c:val>
            <c:numRef>
              <c:f>Dashboard!$B$24:$B$29</c:f>
              <c:numCache>
                <c:formatCode>General</c:formatCode>
                <c:ptCount val="6"/>
                <c:pt idx="0">
                  <c:v>24</c:v>
                </c:pt>
                <c:pt idx="1">
                  <c:v>18</c:v>
                </c:pt>
                <c:pt idx="2">
                  <c:v>29</c:v>
                </c:pt>
                <c:pt idx="3">
                  <c:v>37</c:v>
                </c:pt>
                <c:pt idx="4">
                  <c:v>34</c:v>
                </c:pt>
                <c:pt idx="5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F8-4164-BA16-02C6BD7B932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hiLowLines>
          <c:spPr>
            <a:ln w="9525">
              <a:solidFill>
                <a:schemeClr val="accent1">
                  <a:lumMod val="60000"/>
                  <a:lumOff val="40000"/>
                </a:schemeClr>
              </a:solidFill>
              <a:prstDash val="dash"/>
            </a:ln>
            <a:effectLst/>
          </c:spPr>
        </c:hiLowLines>
        <c:smooth val="0"/>
        <c:axId val="56830055"/>
        <c:axId val="21080594"/>
      </c:lineChart>
      <c:catAx>
        <c:axId val="56830055"/>
        <c:scaling>
          <c:orientation val="minMax"/>
        </c:scaling>
        <c:delete val="0"/>
        <c:axPos val="b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Mês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0594"/>
        <c:crosses val="autoZero"/>
        <c:auto val="1"/>
        <c:lblAlgn val="ctr"/>
        <c:lblOffset val="100"/>
        <c:noMultiLvlLbl val="0"/>
      </c:catAx>
      <c:valAx>
        <c:axId val="2108059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Nº de Encomendas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crossAx val="56830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 Total de Transporte por Transportadora (Kz)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Dashboard!$C$16</c:f>
              <c:strCache>
                <c:ptCount val="1"/>
                <c:pt idx="0">
                  <c:v>Custo_Total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Dashboard!$A$17:$A$21</c:f>
              <c:strCache>
                <c:ptCount val="5"/>
                <c:pt idx="0">
                  <c:v>TransAngola Express</c:v>
                </c:pt>
                <c:pt idx="1">
                  <c:v>Logitrans Atlântico</c:v>
                </c:pt>
                <c:pt idx="2">
                  <c:v>Rápido Kwanza</c:v>
                </c:pt>
                <c:pt idx="3">
                  <c:v>CargoLuanda SA</c:v>
                </c:pt>
                <c:pt idx="4">
                  <c:v>EcoFrota Benguela</c:v>
                </c:pt>
              </c:strCache>
            </c:strRef>
          </c:cat>
          <c:val>
            <c:numRef>
              <c:f>Dashboard!$C$17:$C$21</c:f>
              <c:numCache>
                <c:formatCode>General</c:formatCode>
                <c:ptCount val="5"/>
                <c:pt idx="0">
                  <c:v>999561.19999999984</c:v>
                </c:pt>
                <c:pt idx="1">
                  <c:v>1066297.6499999999</c:v>
                </c:pt>
                <c:pt idx="2">
                  <c:v>2016539.5700000003</c:v>
                </c:pt>
                <c:pt idx="3">
                  <c:v>1777955.68</c:v>
                </c:pt>
                <c:pt idx="4">
                  <c:v>1740423.3000000003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3-4CC0-B6EC-BBA6FBA74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9231728"/>
        <c:axId val="36798184"/>
      </c:barChart>
      <c:catAx>
        <c:axId val="992317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 (Kz)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98184"/>
        <c:crosses val="autoZero"/>
        <c:auto val="1"/>
        <c:lblAlgn val="ctr"/>
        <c:lblOffset val="100"/>
        <c:noMultiLvlLbl val="0"/>
      </c:catAx>
      <c:valAx>
        <c:axId val="36798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Transportadora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3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133349</xdr:colOff>
      <xdr:row>4</xdr:row>
      <xdr:rowOff>152401</xdr:rowOff>
    </xdr:from>
    <xdr:to>
      <xdr:col>8</xdr:col>
      <xdr:colOff>762000</xdr:colOff>
      <xdr:row>20</xdr:row>
      <xdr:rowOff>19051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Data_Pedid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_Pedid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01049" y="1114426"/>
              <a:ext cx="1543051" cy="297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114300</xdr:colOff>
      <xdr:row>21</xdr:row>
      <xdr:rowOff>85724</xdr:rowOff>
    </xdr:from>
    <xdr:to>
      <xdr:col>8</xdr:col>
      <xdr:colOff>838200</xdr:colOff>
      <xdr:row>34</xdr:row>
      <xdr:rowOff>152399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Data_Previst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_Previs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2000" y="4343399"/>
              <a:ext cx="1638300" cy="2733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828675</xdr:colOff>
      <xdr:row>4</xdr:row>
      <xdr:rowOff>180974</xdr:rowOff>
    </xdr:from>
    <xdr:to>
      <xdr:col>9</xdr:col>
      <xdr:colOff>1162050</xdr:colOff>
      <xdr:row>20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Data_Entreg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a_Entreg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10775" y="1142999"/>
              <a:ext cx="1457325" cy="29718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157160</xdr:colOff>
      <xdr:row>21</xdr:row>
      <xdr:rowOff>28575</xdr:rowOff>
    </xdr:from>
    <xdr:to>
      <xdr:col>7</xdr:col>
      <xdr:colOff>19049</xdr:colOff>
      <xdr:row>34</xdr:row>
      <xdr:rowOff>104775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8</xdr:row>
      <xdr:rowOff>38100</xdr:rowOff>
    </xdr:from>
    <xdr:to>
      <xdr:col>5</xdr:col>
      <xdr:colOff>609599</xdr:colOff>
      <xdr:row>24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857250</xdr:colOff>
      <xdr:row>8</xdr:row>
      <xdr:rowOff>66675</xdr:rowOff>
    </xdr:from>
    <xdr:to>
      <xdr:col>13</xdr:col>
      <xdr:colOff>257175</xdr:colOff>
      <xdr:row>23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28575</xdr:colOff>
      <xdr:row>24</xdr:row>
      <xdr:rowOff>76200</xdr:rowOff>
    </xdr:from>
    <xdr:to>
      <xdr:col>5</xdr:col>
      <xdr:colOff>590550</xdr:colOff>
      <xdr:row>39</xdr:row>
      <xdr:rowOff>97800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847725</xdr:colOff>
      <xdr:row>24</xdr:row>
      <xdr:rowOff>76200</xdr:rowOff>
    </xdr:from>
    <xdr:to>
      <xdr:col>13</xdr:col>
      <xdr:colOff>190500</xdr:colOff>
      <xdr:row>39</xdr:row>
      <xdr:rowOff>97800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iceto José Jolela" refreshedDate="46194.880116550929" createdVersion="6" refreshedVersion="6" minRefreshableVersion="3" recordCount="160">
  <cacheSource type="worksheet">
    <worksheetSource name="tblEncomendas"/>
  </cacheSource>
  <cacheFields count="15">
    <cacheField name="ID_Encomenda" numFmtId="0">
      <sharedItems/>
    </cacheField>
    <cacheField name="ID_Cliente" numFmtId="0">
      <sharedItems/>
    </cacheField>
    <cacheField name="Nome_Cliente" numFmtId="0">
      <sharedItems count="12">
        <s v="Auto Peças Cabinda"/>
        <s v="Farmácia Bem-Estar"/>
        <s v="Padaria Pão Quente"/>
        <s v="Construtora Maiombe"/>
        <s v="Distribuidora Bengo"/>
        <s v="Eletro Lobito"/>
        <s v="Supermercado Kianda"/>
        <s v="Móveis Kalandula"/>
        <s v="Loja MaxValor"/>
        <s v="Restaurante Sabor d'Africa"/>
        <s v="Hipermercado Mabor"/>
        <s v="Têxtil Kwanza"/>
      </sharedItems>
    </cacheField>
    <cacheField name="ID_Transportadora" numFmtId="0">
      <sharedItems/>
    </cacheField>
    <cacheField name="Nome_Transportadora" numFmtId="0">
      <sharedItems count="5">
        <s v="TransAngola Express"/>
        <s v="CargoLuanda SA"/>
        <s v="Logitrans Atlântico"/>
        <s v="EcoFrota Benguela"/>
        <s v="Rápido Kwanza"/>
      </sharedItems>
    </cacheField>
    <cacheField name="Data_Pedido" numFmtId="0">
      <sharedItems count="100">
        <s v="2026-04-05"/>
        <s v="2026-01-11"/>
        <s v="2026-04-12"/>
        <s v="2026-03-30"/>
        <s v="2026-04-26"/>
        <s v="2026-02-22"/>
        <s v="2026-04-18"/>
        <s v="2026-05-04"/>
        <s v="2026-05-16"/>
        <s v="2026-03-08"/>
        <s v="2026-05-11"/>
        <s v="2026-05-17"/>
        <s v="2026-06-06"/>
        <s v="2026-02-14"/>
        <s v="2026-03-16"/>
        <s v="2026-03-05"/>
        <s v="2026-04-21"/>
        <s v="2026-03-02"/>
        <s v="2026-02-06"/>
        <s v="2026-05-03"/>
        <s v="2026-01-25"/>
        <s v="2026-01-10"/>
        <s v="2026-04-09"/>
        <s v="2026-01-31"/>
        <s v="2026-02-13"/>
        <s v="2026-06-05"/>
        <s v="2026-06-19"/>
        <s v="2026-04-07"/>
        <s v="2026-06-17"/>
        <s v="2026-05-07"/>
        <s v="2026-03-23"/>
        <s v="2026-04-28"/>
        <s v="2026-03-13"/>
        <s v="2026-03-20"/>
        <s v="2026-02-24"/>
        <s v="2026-03-24"/>
        <s v="2026-03-10"/>
        <s v="2026-05-05"/>
        <s v="2026-04-19"/>
        <s v="2026-05-25"/>
        <s v="2026-05-26"/>
        <s v="2026-05-15"/>
        <s v="2026-03-22"/>
        <s v="2026-04-11"/>
        <s v="2026-05-06"/>
        <s v="2026-03-04"/>
        <s v="2026-01-12"/>
        <s v="2026-02-20"/>
        <s v="2026-04-03"/>
        <s v="2026-02-01"/>
        <s v="2026-01-17"/>
        <s v="2026-06-12"/>
        <s v="2026-03-25"/>
        <s v="2026-02-25"/>
        <s v="2026-03-21"/>
        <s v="2026-05-27"/>
        <s v="2026-06-03"/>
        <s v="2026-06-10"/>
        <s v="2026-01-14"/>
        <s v="2026-03-17"/>
        <s v="2026-05-24"/>
        <s v="2026-06-04"/>
        <s v="2026-05-23"/>
        <s v="2026-04-29"/>
        <s v="2026-01-23"/>
        <s v="2026-03-01"/>
        <s v="2026-04-24"/>
        <s v="2026-04-25"/>
        <s v="2026-02-03"/>
        <s v="2026-01-22"/>
        <s v="2026-04-02"/>
        <s v="2026-06-07"/>
        <s v="2026-01-06"/>
        <s v="2026-05-31"/>
        <s v="2026-05-02"/>
        <s v="2026-04-01"/>
        <s v="2026-03-28"/>
        <s v="2026-05-14"/>
        <s v="2026-06-08"/>
        <s v="2026-04-14"/>
        <s v="2026-02-10"/>
        <s v="2026-06-18"/>
        <s v="2026-04-20"/>
        <s v="2026-05-13"/>
        <s v="2026-04-10"/>
        <s v="2026-04-16"/>
        <s v="2026-02-11"/>
        <s v="2026-03-06"/>
        <s v="2026-05-22"/>
        <s v="2026-01-21"/>
        <s v="2026-02-05"/>
        <s v="2026-01-13"/>
        <s v="2026-04-30"/>
        <s v="2026-03-09"/>
        <s v="2026-02-28"/>
        <s v="2026-01-27"/>
        <s v="2026-05-19"/>
        <s v="2026-01-16"/>
        <s v="2026-04-27"/>
        <s v="2026-02-07"/>
      </sharedItems>
    </cacheField>
    <cacheField name="Data_Prevista" numFmtId="0">
      <sharedItems count="98">
        <s v="2026-04-10"/>
        <s v="2026-01-13"/>
        <s v="2026-04-13"/>
        <s v="2026-03-31"/>
        <s v="2026-04-29"/>
        <s v="2026-02-25"/>
        <s v="2026-04-04"/>
        <s v="2026-04-21"/>
        <s v="2026-04-23"/>
        <s v="2026-05-08"/>
        <s v="2026-05-21"/>
        <s v="2026-03-12"/>
        <s v="2026-05-15"/>
        <s v="2026-06-09"/>
        <s v="2026-02-18"/>
        <s v="2026-03-20"/>
        <s v="2026-03-09"/>
        <s v="2026-04-22"/>
        <s v="2026-04-08"/>
        <s v="2026-03-05"/>
        <s v="2026-02-11"/>
        <s v="2026-05-05"/>
        <s v="2026-01-29"/>
        <s v="2026-01-15"/>
        <s v="2026-04-11"/>
        <s v="2026-01-14"/>
        <s v="2026-02-03"/>
        <s v="2026-02-17"/>
        <s v="2026-06-08"/>
        <s v="2026-04-15"/>
        <s v="2026-03-21"/>
        <s v="2026-06-23"/>
        <s v="2026-03-06"/>
        <s v="2026-04-09"/>
        <s v="2026-06-21"/>
        <s v="2026-03-24"/>
        <s v="2026-05-01"/>
        <s v="2026-03-14"/>
        <s v="2026-02-28"/>
        <s v="2026-03-29"/>
        <s v="2026-03-11"/>
        <s v="2026-05-10"/>
        <s v="2026-05-26"/>
        <s v="2026-05-07"/>
        <s v="2026-05-27"/>
        <s v="2026-05-18"/>
        <s v="2026-05-17"/>
        <s v="2026-03-27"/>
        <s v="2026-02-14"/>
        <s v="2026-02-22"/>
        <s v="2026-05-06"/>
        <s v="2026-01-22"/>
        <s v="2026-06-15"/>
        <s v="2026-02-27"/>
        <s v="2026-05-30"/>
        <s v="2026-06-07"/>
        <s v="2026-06-12"/>
        <s v="2026-01-17"/>
        <s v="2026-04-14"/>
        <s v="2026-03-18"/>
        <s v="2026-01-11"/>
        <s v="2026-06-06"/>
        <s v="2026-05-02"/>
        <s v="2026-01-24"/>
        <s v="2026-04-17"/>
        <s v="2026-04-27"/>
        <s v="2026-04-26"/>
        <s v="2026-04-06"/>
        <s v="2026-02-06"/>
        <s v="2026-01-18"/>
        <s v="2026-04-07"/>
        <s v="2026-01-10"/>
        <s v="2026-01-27"/>
        <s v="2026-06-04"/>
        <s v="2026-04-03"/>
        <s v="2026-06-11"/>
        <s v="2026-04-18"/>
        <s v="2026-05-31"/>
        <s v="2026-02-13"/>
        <s v="2026-06-14"/>
        <s v="2026-01-26"/>
        <s v="2026-05-23"/>
        <s v="2026-01-25"/>
        <s v="2026-05-09"/>
        <s v="2026-02-08"/>
        <s v="2026-02-01"/>
        <s v="2026-04-30"/>
        <s v="2026-05-03"/>
        <s v="2026-03-10"/>
        <s v="2026-01-30"/>
        <s v="2026-04-12"/>
        <s v="2026-02-10"/>
        <s v="2026-06-10"/>
        <s v="2026-01-21"/>
        <s v="2026-03-23"/>
        <s v="2026-01-20"/>
        <s v="2026-02-24"/>
        <s v="2026-05-04"/>
      </sharedItems>
    </cacheField>
    <cacheField name="Data_Entrega" numFmtId="0">
      <sharedItems containsBlank="1" count="97">
        <s v="2026-04-14"/>
        <m/>
        <s v="2026-04-15"/>
        <s v="2026-01-13"/>
        <s v="2026-04-03"/>
        <s v="2026-02-25"/>
        <s v="2026-04-05"/>
        <s v="2026-04-21"/>
        <s v="2026-04-26"/>
        <s v="2026-05-08"/>
        <s v="2026-05-22"/>
        <s v="2026-03-12"/>
        <s v="2026-05-15"/>
        <s v="2026-05-21"/>
        <s v="2026-02-18"/>
        <s v="2026-03-20"/>
        <s v="2026-04-22"/>
        <s v="2026-03-05"/>
        <s v="2026-02-13"/>
        <s v="2026-05-05"/>
        <s v="2026-01-29"/>
        <s v="2026-01-15"/>
        <s v="2026-04-13"/>
        <s v="2026-01-16"/>
        <s v="2026-02-08"/>
        <s v="2026-04-10"/>
        <s v="2026-02-17"/>
        <s v="2026-06-08"/>
        <s v="2026-04-16"/>
        <s v="2026-03-23"/>
        <s v="2026-06-23"/>
        <s v="2026-04-09"/>
        <s v="2026-06-21"/>
        <s v="2026-05-12"/>
        <s v="2026-03-14"/>
        <s v="2026-03-21"/>
        <s v="2026-02-28"/>
        <s v="2026-03-13"/>
        <s v="2026-05-26"/>
        <s v="2026-05-07"/>
        <s v="2026-05-31"/>
        <s v="2026-05-27"/>
        <s v="2026-05-18"/>
        <s v="2026-05-20"/>
        <s v="2026-03-27"/>
        <s v="2026-04-17"/>
        <s v="2026-05-10"/>
        <s v="2026-04-04"/>
        <s v="2026-02-16"/>
        <s v="2026-02-22"/>
        <s v="2026-05-06"/>
        <s v="2026-02-03"/>
        <s v="2026-06-15"/>
        <s v="2026-03-29"/>
        <s v="2026-03-28"/>
        <s v="2026-05-30"/>
        <s v="2026-06-10"/>
        <s v="2026-06-12"/>
        <s v="2026-06-07"/>
        <s v="2026-05-02"/>
        <s v="2026-01-24"/>
        <s v="2026-04-27"/>
        <s v="2026-04-01"/>
        <s v="2026-04-06"/>
        <s v="2026-02-07"/>
        <s v="2026-01-14"/>
        <s v="2026-01-18"/>
        <s v="2026-04-07"/>
        <s v="2026-01-28"/>
        <s v="2026-03-31"/>
        <s v="2026-06-11"/>
        <s v="2026-06-14"/>
        <s v="2026-06-27"/>
        <s v="2026-02-14"/>
        <s v="2026-04-23"/>
        <s v="2026-05-19"/>
        <s v="2026-02-15"/>
        <s v="2026-01-27"/>
        <s v="2026-03-09"/>
        <s v="2026-05-23"/>
        <s v="2026-06-04"/>
        <s v="2026-01-25"/>
        <s v="2026-05-29"/>
        <s v="2026-05-09"/>
        <s v="2026-02-01"/>
        <s v="2026-06-22"/>
        <s v="2026-05-03"/>
        <s v="2026-03-10"/>
        <s v="2026-03-07"/>
        <s v="2026-01-30"/>
        <s v="2026-04-18"/>
        <s v="2026-02-10"/>
        <s v="2026-01-21"/>
        <s v="2026-03-24"/>
        <s v="2026-05-01"/>
        <s v="2026-02-24"/>
        <s v="2026-05-04"/>
      </sharedItems>
    </cacheField>
    <cacheField name="Status" numFmtId="0">
      <sharedItems count="4">
        <s v="Atrasado"/>
        <s v="Em Trânsito"/>
        <s v="Entregue"/>
        <s v="Cancelado"/>
      </sharedItems>
    </cacheField>
    <cacheField name="Qtd_Paletes" numFmtId="0">
      <sharedItems containsSemiMixedTypes="0" containsString="0" containsNumber="1" containsInteger="1" minValue="1" maxValue="24"/>
    </cacheField>
    <cacheField name="Peso_Kg" numFmtId="0">
      <sharedItems containsSemiMixedTypes="0" containsString="0" containsNumber="1" containsInteger="1" minValue="203" maxValue="9840"/>
    </cacheField>
    <cacheField name="Custo_Transporte_Kz" numFmtId="0">
      <sharedItems containsSemiMixedTypes="0" containsString="0" containsNumber="1" minValue="2634.26" maxValue="127870.79"/>
    </cacheField>
    <cacheField name="Distancia_Km" numFmtId="0">
      <sharedItems containsSemiMixedTypes="0" containsString="0" containsNumber="1" containsInteger="1" minValue="16" maxValue="614"/>
    </cacheField>
    <cacheField name="Armazem_Origem" numFmtId="0">
      <sharedItems/>
    </cacheField>
    <cacheField name="Cumpriu_Prazo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0">
  <r>
    <s v="ENC0001"/>
    <s v="CL004"/>
    <x v="0"/>
    <s v="TR01"/>
    <x v="0"/>
    <x v="0"/>
    <x v="0"/>
    <x v="0"/>
    <x v="0"/>
    <n v="20"/>
    <n v="7420"/>
    <n v="69950.710000000006"/>
    <n v="257"/>
    <s v="Armazém Central - Luanda"/>
    <s v="NAO"/>
  </r>
  <r>
    <s v="ENC0002"/>
    <s v="CL003"/>
    <x v="1"/>
    <s v="TR04"/>
    <x v="1"/>
    <x v="1"/>
    <x v="1"/>
    <x v="1"/>
    <x v="1"/>
    <n v="11"/>
    <n v="4180"/>
    <n v="58874.86"/>
    <n v="269"/>
    <s v="Armazém Sul - Benguela"/>
    <s v="-"/>
  </r>
  <r>
    <s v="ENC0003"/>
    <s v="CL003"/>
    <x v="1"/>
    <s v="TR01"/>
    <x v="0"/>
    <x v="2"/>
    <x v="2"/>
    <x v="2"/>
    <x v="0"/>
    <n v="7"/>
    <n v="2723"/>
    <n v="38151.17"/>
    <n v="373"/>
    <s v="Armazém Sul - Benguela"/>
    <s v="NAO"/>
  </r>
  <r>
    <s v="ENC0004"/>
    <s v="CL004"/>
    <x v="0"/>
    <s v="TR02"/>
    <x v="2"/>
    <x v="1"/>
    <x v="1"/>
    <x v="3"/>
    <x v="2"/>
    <n v="3"/>
    <n v="1131"/>
    <n v="11507.64"/>
    <n v="536"/>
    <s v="Armazém Sul - Benguela"/>
    <s v="SIM"/>
  </r>
  <r>
    <s v="ENC0005"/>
    <s v="CL011"/>
    <x v="2"/>
    <s v="TR05"/>
    <x v="3"/>
    <x v="3"/>
    <x v="3"/>
    <x v="4"/>
    <x v="2"/>
    <n v="6"/>
    <n v="1968"/>
    <n v="28093.61"/>
    <n v="286"/>
    <s v="Armazém Central - Luanda"/>
    <s v="NAO"/>
  </r>
  <r>
    <s v="ENC0006"/>
    <s v="CL002"/>
    <x v="3"/>
    <s v="TR05"/>
    <x v="3"/>
    <x v="4"/>
    <x v="4"/>
    <x v="1"/>
    <x v="1"/>
    <n v="11"/>
    <n v="3201"/>
    <n v="38851.35"/>
    <n v="538"/>
    <s v="Armazém Central - Luanda"/>
    <s v="-"/>
  </r>
  <r>
    <s v="ENC0007"/>
    <s v="CL007"/>
    <x v="4"/>
    <s v="TR05"/>
    <x v="3"/>
    <x v="5"/>
    <x v="5"/>
    <x v="5"/>
    <x v="2"/>
    <n v="17"/>
    <n v="7072"/>
    <n v="94333.87"/>
    <n v="216"/>
    <s v="Armazém Sul - Benguela"/>
    <s v="SIM"/>
  </r>
  <r>
    <s v="ENC0008"/>
    <s v="CL007"/>
    <x v="4"/>
    <s v="TR01"/>
    <x v="0"/>
    <x v="3"/>
    <x v="6"/>
    <x v="6"/>
    <x v="2"/>
    <n v="24"/>
    <n v="9840"/>
    <n v="101371.03"/>
    <n v="331"/>
    <s v="Armazém Norte - Cabinda"/>
    <s v="NAO"/>
  </r>
  <r>
    <s v="ENC0009"/>
    <s v="CL007"/>
    <x v="4"/>
    <s v="TR03"/>
    <x v="4"/>
    <x v="6"/>
    <x v="7"/>
    <x v="7"/>
    <x v="2"/>
    <n v="22"/>
    <n v="9240"/>
    <n v="99559.81"/>
    <n v="193"/>
    <s v="Armazém Norte - Cabinda"/>
    <s v="SIM"/>
  </r>
  <r>
    <s v="ENC0010"/>
    <s v="CL010"/>
    <x v="5"/>
    <s v="TR03"/>
    <x v="4"/>
    <x v="6"/>
    <x v="8"/>
    <x v="8"/>
    <x v="0"/>
    <n v="10"/>
    <n v="2330"/>
    <n v="25814.84"/>
    <n v="608"/>
    <s v="Armazém Norte - Cabinda"/>
    <s v="NAO"/>
  </r>
  <r>
    <s v="ENC0011"/>
    <s v="CL011"/>
    <x v="2"/>
    <s v="TR03"/>
    <x v="4"/>
    <x v="7"/>
    <x v="9"/>
    <x v="9"/>
    <x v="2"/>
    <n v="16"/>
    <n v="6128"/>
    <n v="85222.62"/>
    <n v="188"/>
    <s v="Armazém Norte - Cabinda"/>
    <s v="SIM"/>
  </r>
  <r>
    <s v="ENC0012"/>
    <s v="CL002"/>
    <x v="3"/>
    <s v="TR03"/>
    <x v="4"/>
    <x v="8"/>
    <x v="10"/>
    <x v="10"/>
    <x v="2"/>
    <n v="8"/>
    <n v="2816"/>
    <n v="29180.85"/>
    <n v="218"/>
    <s v="Armazém Central - Luanda"/>
    <s v="NAO"/>
  </r>
  <r>
    <s v="ENC0013"/>
    <s v="CL001"/>
    <x v="6"/>
    <s v="TR01"/>
    <x v="0"/>
    <x v="9"/>
    <x v="11"/>
    <x v="11"/>
    <x v="2"/>
    <n v="15"/>
    <n v="4290"/>
    <n v="59274.16"/>
    <n v="604"/>
    <s v="Armazém Central - Luanda"/>
    <s v="SIM"/>
  </r>
  <r>
    <s v="ENC0014"/>
    <s v="CL012"/>
    <x v="7"/>
    <s v="TR04"/>
    <x v="1"/>
    <x v="10"/>
    <x v="12"/>
    <x v="12"/>
    <x v="2"/>
    <n v="1"/>
    <n v="408"/>
    <n v="5306.36"/>
    <n v="124"/>
    <s v="Armazém Sul - Benguela"/>
    <s v="SIM"/>
  </r>
  <r>
    <s v="ENC0015"/>
    <s v="CL004"/>
    <x v="0"/>
    <s v="TR02"/>
    <x v="2"/>
    <x v="11"/>
    <x v="10"/>
    <x v="13"/>
    <x v="2"/>
    <n v="4"/>
    <n v="1184"/>
    <n v="11011.24"/>
    <n v="490"/>
    <s v="Armazém Norte - Cabinda"/>
    <s v="SIM"/>
  </r>
  <r>
    <s v="ENC0016"/>
    <s v="CL009"/>
    <x v="8"/>
    <s v="TR05"/>
    <x v="3"/>
    <x v="12"/>
    <x v="13"/>
    <x v="1"/>
    <x v="3"/>
    <n v="15"/>
    <n v="5040"/>
    <n v="67485.8"/>
    <n v="531"/>
    <s v="Armazém Sul - Benguela"/>
    <s v="-"/>
  </r>
  <r>
    <s v="ENC0017"/>
    <s v="CL009"/>
    <x v="8"/>
    <s v="TR04"/>
    <x v="1"/>
    <x v="13"/>
    <x v="14"/>
    <x v="14"/>
    <x v="2"/>
    <n v="21"/>
    <n v="5250"/>
    <n v="68748.13"/>
    <n v="548"/>
    <s v="Armazém Sul - Benguela"/>
    <s v="SIM"/>
  </r>
  <r>
    <s v="ENC0018"/>
    <s v="CL011"/>
    <x v="2"/>
    <s v="TR02"/>
    <x v="2"/>
    <x v="14"/>
    <x v="15"/>
    <x v="15"/>
    <x v="2"/>
    <n v="9"/>
    <n v="2385"/>
    <n v="24847.54"/>
    <n v="568"/>
    <s v="Armazém Central - Luanda"/>
    <s v="SIM"/>
  </r>
  <r>
    <s v="ENC0019"/>
    <s v="CL003"/>
    <x v="1"/>
    <s v="TR02"/>
    <x v="2"/>
    <x v="15"/>
    <x v="16"/>
    <x v="1"/>
    <x v="1"/>
    <n v="23"/>
    <n v="5382"/>
    <n v="47821.08"/>
    <n v="432"/>
    <s v="Armazém Sul - Benguela"/>
    <s v="-"/>
  </r>
  <r>
    <s v="ENC0020"/>
    <s v="CL009"/>
    <x v="8"/>
    <s v="TR04"/>
    <x v="1"/>
    <x v="16"/>
    <x v="17"/>
    <x v="16"/>
    <x v="2"/>
    <n v="19"/>
    <n v="6802"/>
    <n v="58614.14"/>
    <n v="604"/>
    <s v="Armazém Sul - Benguela"/>
    <s v="SIM"/>
  </r>
  <r>
    <s v="ENC0021"/>
    <s v="CL008"/>
    <x v="9"/>
    <s v="TR01"/>
    <x v="0"/>
    <x v="0"/>
    <x v="18"/>
    <x v="1"/>
    <x v="1"/>
    <n v="14"/>
    <n v="4438"/>
    <n v="57627.85"/>
    <n v="574"/>
    <s v="Armazém Norte - Cabinda"/>
    <s v="-"/>
  </r>
  <r>
    <s v="ENC0022"/>
    <s v="CL004"/>
    <x v="0"/>
    <s v="TR04"/>
    <x v="1"/>
    <x v="17"/>
    <x v="19"/>
    <x v="17"/>
    <x v="2"/>
    <n v="11"/>
    <n v="3861"/>
    <n v="48551.5"/>
    <n v="429"/>
    <s v="Armazém Norte - Cabinda"/>
    <s v="SIM"/>
  </r>
  <r>
    <s v="ENC0023"/>
    <s v="CL003"/>
    <x v="1"/>
    <s v="TR04"/>
    <x v="1"/>
    <x v="18"/>
    <x v="20"/>
    <x v="18"/>
    <x v="2"/>
    <n v="19"/>
    <n v="6156"/>
    <n v="76814.559999999998"/>
    <n v="100"/>
    <s v="Armazém Norte - Cabinda"/>
    <s v="NAO"/>
  </r>
  <r>
    <s v="ENC0024"/>
    <s v="CL007"/>
    <x v="4"/>
    <s v="TR02"/>
    <x v="2"/>
    <x v="19"/>
    <x v="21"/>
    <x v="19"/>
    <x v="2"/>
    <n v="7"/>
    <n v="2072"/>
    <n v="21675.35"/>
    <n v="403"/>
    <s v="Armazém Sul - Benguela"/>
    <s v="SIM"/>
  </r>
  <r>
    <s v="ENC0025"/>
    <s v="CL007"/>
    <x v="4"/>
    <s v="TR03"/>
    <x v="4"/>
    <x v="20"/>
    <x v="22"/>
    <x v="20"/>
    <x v="2"/>
    <n v="12"/>
    <n v="2844"/>
    <n v="35268.06"/>
    <n v="56"/>
    <s v="Armazém Central - Luanda"/>
    <s v="SIM"/>
  </r>
  <r>
    <s v="ENC0026"/>
    <s v="CL004"/>
    <x v="0"/>
    <s v="TR02"/>
    <x v="2"/>
    <x v="21"/>
    <x v="23"/>
    <x v="21"/>
    <x v="2"/>
    <n v="22"/>
    <n v="4598"/>
    <n v="54641.79"/>
    <n v="238"/>
    <s v="Armazém Sul - Benguela"/>
    <s v="SIM"/>
  </r>
  <r>
    <s v="ENC0027"/>
    <s v="CL012"/>
    <x v="7"/>
    <s v="TR03"/>
    <x v="4"/>
    <x v="22"/>
    <x v="24"/>
    <x v="22"/>
    <x v="2"/>
    <n v="23"/>
    <n v="4807"/>
    <n v="63292.57"/>
    <n v="182"/>
    <s v="Armazém Sul - Benguela"/>
    <s v="NAO"/>
  </r>
  <r>
    <s v="ENC0028"/>
    <s v="CL002"/>
    <x v="3"/>
    <s v="TR05"/>
    <x v="3"/>
    <x v="1"/>
    <x v="25"/>
    <x v="23"/>
    <x v="2"/>
    <n v="13"/>
    <n v="3653"/>
    <n v="51685.65"/>
    <n v="218"/>
    <s v="Armazém Central - Luanda"/>
    <s v="NAO"/>
  </r>
  <r>
    <s v="ENC0029"/>
    <s v="CL010"/>
    <x v="5"/>
    <s v="TR02"/>
    <x v="2"/>
    <x v="23"/>
    <x v="26"/>
    <x v="24"/>
    <x v="0"/>
    <n v="4"/>
    <n v="1532"/>
    <n v="22065.5"/>
    <n v="57"/>
    <s v="Armazém Sul - Benguela"/>
    <s v="NAO"/>
  </r>
  <r>
    <s v="ENC0030"/>
    <s v="CL009"/>
    <x v="8"/>
    <s v="TR04"/>
    <x v="1"/>
    <x v="22"/>
    <x v="0"/>
    <x v="25"/>
    <x v="2"/>
    <n v="14"/>
    <n v="5460"/>
    <n v="62469.01"/>
    <n v="458"/>
    <s v="Armazém Sul - Benguela"/>
    <s v="SIM"/>
  </r>
  <r>
    <s v="ENC0031"/>
    <s v="CL011"/>
    <x v="2"/>
    <s v="TR04"/>
    <x v="1"/>
    <x v="24"/>
    <x v="27"/>
    <x v="26"/>
    <x v="2"/>
    <n v="21"/>
    <n v="5229"/>
    <n v="63770.13"/>
    <n v="566"/>
    <s v="Armazém Sul - Benguela"/>
    <s v="SIM"/>
  </r>
  <r>
    <s v="ENC0032"/>
    <s v="CL008"/>
    <x v="9"/>
    <s v="TR04"/>
    <x v="1"/>
    <x v="25"/>
    <x v="28"/>
    <x v="27"/>
    <x v="2"/>
    <n v="3"/>
    <n v="753"/>
    <n v="10383.709999999999"/>
    <n v="264"/>
    <s v="Armazém Sul - Benguela"/>
    <s v="SIM"/>
  </r>
  <r>
    <s v="ENC0033"/>
    <s v="CL010"/>
    <x v="5"/>
    <s v="TR05"/>
    <x v="3"/>
    <x v="2"/>
    <x v="29"/>
    <x v="28"/>
    <x v="2"/>
    <n v="6"/>
    <n v="1824"/>
    <n v="17825.439999999999"/>
    <n v="279"/>
    <s v="Armazém Sul - Benguela"/>
    <s v="NAO"/>
  </r>
  <r>
    <s v="ENC0034"/>
    <s v="CL005"/>
    <x v="10"/>
    <s v="TR05"/>
    <x v="3"/>
    <x v="14"/>
    <x v="30"/>
    <x v="29"/>
    <x v="2"/>
    <n v="3"/>
    <n v="723"/>
    <n v="9269.18"/>
    <n v="515"/>
    <s v="Armazém Norte - Cabinda"/>
    <s v="NAO"/>
  </r>
  <r>
    <s v="ENC0035"/>
    <s v="CL004"/>
    <x v="0"/>
    <s v="TR04"/>
    <x v="1"/>
    <x v="26"/>
    <x v="31"/>
    <x v="30"/>
    <x v="2"/>
    <n v="10"/>
    <n v="2360"/>
    <n v="25786.32"/>
    <n v="264"/>
    <s v="Armazém Sul - Benguela"/>
    <s v="SIM"/>
  </r>
  <r>
    <s v="ENC0036"/>
    <s v="CL011"/>
    <x v="2"/>
    <s v="TR05"/>
    <x v="3"/>
    <x v="22"/>
    <x v="2"/>
    <x v="22"/>
    <x v="2"/>
    <n v="24"/>
    <n v="7680"/>
    <n v="80522.86"/>
    <n v="479"/>
    <s v="Armazém Sul - Benguela"/>
    <s v="SIM"/>
  </r>
  <r>
    <s v="ENC0037"/>
    <s v="CL005"/>
    <x v="10"/>
    <s v="TR03"/>
    <x v="4"/>
    <x v="15"/>
    <x v="32"/>
    <x v="1"/>
    <x v="1"/>
    <n v="11"/>
    <n v="2310"/>
    <n v="29931.33"/>
    <n v="204"/>
    <s v="Armazém Central - Luanda"/>
    <s v="-"/>
  </r>
  <r>
    <s v="ENC0038"/>
    <s v="CL004"/>
    <x v="0"/>
    <s v="TR04"/>
    <x v="1"/>
    <x v="14"/>
    <x v="30"/>
    <x v="1"/>
    <x v="3"/>
    <n v="17"/>
    <n v="5644"/>
    <n v="57557.47"/>
    <n v="117"/>
    <s v="Armazém Central - Luanda"/>
    <s v="-"/>
  </r>
  <r>
    <s v="ENC0039"/>
    <s v="CL005"/>
    <x v="10"/>
    <s v="TR02"/>
    <x v="2"/>
    <x v="27"/>
    <x v="33"/>
    <x v="31"/>
    <x v="2"/>
    <n v="5"/>
    <n v="1250"/>
    <n v="10966.37"/>
    <n v="70"/>
    <s v="Armazém Norte - Cabinda"/>
    <s v="SIM"/>
  </r>
  <r>
    <s v="ENC0040"/>
    <s v="CL005"/>
    <x v="10"/>
    <s v="TR02"/>
    <x v="2"/>
    <x v="28"/>
    <x v="34"/>
    <x v="32"/>
    <x v="2"/>
    <n v="10"/>
    <n v="3000"/>
    <n v="34116.86"/>
    <n v="363"/>
    <s v="Armazém Central - Luanda"/>
    <s v="SIM"/>
  </r>
  <r>
    <s v="ENC0041"/>
    <s v="CL001"/>
    <x v="6"/>
    <s v="TR03"/>
    <x v="4"/>
    <x v="29"/>
    <x v="9"/>
    <x v="33"/>
    <x v="0"/>
    <n v="16"/>
    <n v="3168"/>
    <n v="37896.019999999997"/>
    <n v="69"/>
    <s v="Armazém Central - Luanda"/>
    <s v="NAO"/>
  </r>
  <r>
    <s v="ENC0042"/>
    <s v="CL003"/>
    <x v="1"/>
    <s v="TR05"/>
    <x v="3"/>
    <x v="30"/>
    <x v="35"/>
    <x v="1"/>
    <x v="3"/>
    <n v="4"/>
    <n v="1288"/>
    <n v="16855.62"/>
    <n v="246"/>
    <s v="Armazém Norte - Cabinda"/>
    <s v="-"/>
  </r>
  <r>
    <s v="ENC0043"/>
    <s v="CL007"/>
    <x v="4"/>
    <s v="TR04"/>
    <x v="1"/>
    <x v="31"/>
    <x v="36"/>
    <x v="19"/>
    <x v="0"/>
    <n v="10"/>
    <n v="3250"/>
    <n v="39735.03"/>
    <n v="116"/>
    <s v="Armazém Central - Luanda"/>
    <s v="NAO"/>
  </r>
  <r>
    <s v="ENC0044"/>
    <s v="CL011"/>
    <x v="2"/>
    <s v="TR02"/>
    <x v="2"/>
    <x v="32"/>
    <x v="37"/>
    <x v="34"/>
    <x v="2"/>
    <n v="3"/>
    <n v="660"/>
    <n v="5620.6"/>
    <n v="476"/>
    <s v="Armazém Norte - Cabinda"/>
    <s v="SIM"/>
  </r>
  <r>
    <s v="ENC0045"/>
    <s v="CL010"/>
    <x v="5"/>
    <s v="TR04"/>
    <x v="1"/>
    <x v="33"/>
    <x v="30"/>
    <x v="35"/>
    <x v="2"/>
    <n v="23"/>
    <n v="9200"/>
    <n v="103262.53"/>
    <n v="254"/>
    <s v="Armazém Sul - Benguela"/>
    <s v="SIM"/>
  </r>
  <r>
    <s v="ENC0046"/>
    <s v="CL011"/>
    <x v="2"/>
    <s v="TR05"/>
    <x v="3"/>
    <x v="34"/>
    <x v="38"/>
    <x v="36"/>
    <x v="2"/>
    <n v="5"/>
    <n v="2060"/>
    <n v="20793.22"/>
    <n v="160"/>
    <s v="Armazém Central - Luanda"/>
    <s v="SIM"/>
  </r>
  <r>
    <s v="ENC0047"/>
    <s v="CL001"/>
    <x v="6"/>
    <s v="TR02"/>
    <x v="2"/>
    <x v="35"/>
    <x v="39"/>
    <x v="1"/>
    <x v="1"/>
    <n v="19"/>
    <n v="7885"/>
    <n v="80676.67"/>
    <n v="142"/>
    <s v="Armazém Sul - Benguela"/>
    <s v="-"/>
  </r>
  <r>
    <s v="ENC0048"/>
    <s v="CL012"/>
    <x v="7"/>
    <s v="TR03"/>
    <x v="4"/>
    <x v="6"/>
    <x v="7"/>
    <x v="7"/>
    <x v="2"/>
    <n v="3"/>
    <n v="999"/>
    <n v="8730.43"/>
    <n v="457"/>
    <s v="Armazém Norte - Cabinda"/>
    <s v="SIM"/>
  </r>
  <r>
    <s v="ENC0049"/>
    <s v="CL006"/>
    <x v="11"/>
    <s v="TR05"/>
    <x v="3"/>
    <x v="36"/>
    <x v="40"/>
    <x v="37"/>
    <x v="2"/>
    <n v="19"/>
    <n v="6270"/>
    <n v="89063.58"/>
    <n v="290"/>
    <s v="Armazém Norte - Cabinda"/>
    <s v="NAO"/>
  </r>
  <r>
    <s v="ENC0050"/>
    <s v="CL001"/>
    <x v="6"/>
    <s v="TR02"/>
    <x v="2"/>
    <x v="37"/>
    <x v="41"/>
    <x v="33"/>
    <x v="2"/>
    <n v="6"/>
    <n v="1974"/>
    <n v="21941.62"/>
    <n v="518"/>
    <s v="Armazém Central - Luanda"/>
    <s v="NAO"/>
  </r>
  <r>
    <s v="ENC0051"/>
    <s v="CL008"/>
    <x v="9"/>
    <s v="TR03"/>
    <x v="4"/>
    <x v="38"/>
    <x v="17"/>
    <x v="16"/>
    <x v="2"/>
    <n v="6"/>
    <n v="1584"/>
    <n v="17376.27"/>
    <n v="522"/>
    <s v="Armazém Sul - Benguela"/>
    <s v="SIM"/>
  </r>
  <r>
    <s v="ENC0052"/>
    <s v="CL011"/>
    <x v="2"/>
    <s v="TR04"/>
    <x v="1"/>
    <x v="39"/>
    <x v="42"/>
    <x v="38"/>
    <x v="2"/>
    <n v="11"/>
    <n v="2299"/>
    <n v="32924.230000000003"/>
    <n v="428"/>
    <s v="Armazém Norte - Cabinda"/>
    <s v="SIM"/>
  </r>
  <r>
    <s v="ENC0053"/>
    <s v="CL001"/>
    <x v="6"/>
    <s v="TR05"/>
    <x v="3"/>
    <x v="19"/>
    <x v="43"/>
    <x v="39"/>
    <x v="2"/>
    <n v="20"/>
    <n v="7460"/>
    <n v="85722.55"/>
    <n v="467"/>
    <s v="Armazém Central - Luanda"/>
    <s v="SIM"/>
  </r>
  <r>
    <s v="ENC0054"/>
    <s v="CL004"/>
    <x v="0"/>
    <s v="TR03"/>
    <x v="4"/>
    <x v="39"/>
    <x v="44"/>
    <x v="40"/>
    <x v="0"/>
    <n v="23"/>
    <n v="6992"/>
    <n v="64526.07"/>
    <n v="260"/>
    <s v="Armazém Norte - Cabinda"/>
    <s v="NAO"/>
  </r>
  <r>
    <s v="ENC0055"/>
    <s v="CL003"/>
    <x v="1"/>
    <s v="TR03"/>
    <x v="4"/>
    <x v="40"/>
    <x v="44"/>
    <x v="41"/>
    <x v="2"/>
    <n v="4"/>
    <n v="1192"/>
    <n v="16905.38"/>
    <n v="172"/>
    <s v="Armazém Sul - Benguela"/>
    <s v="SIM"/>
  </r>
  <r>
    <s v="ENC0056"/>
    <s v="CL012"/>
    <x v="7"/>
    <s v="TR03"/>
    <x v="4"/>
    <x v="41"/>
    <x v="45"/>
    <x v="42"/>
    <x v="2"/>
    <n v="16"/>
    <n v="3872"/>
    <n v="43524.06"/>
    <n v="163"/>
    <s v="Armazém Sul - Benguela"/>
    <s v="SIM"/>
  </r>
  <r>
    <s v="ENC0057"/>
    <s v="CL004"/>
    <x v="0"/>
    <s v="TR05"/>
    <x v="3"/>
    <x v="41"/>
    <x v="46"/>
    <x v="43"/>
    <x v="0"/>
    <n v="14"/>
    <n v="3738"/>
    <n v="52726.32"/>
    <n v="534"/>
    <s v="Armazém Sul - Benguela"/>
    <s v="NAO"/>
  </r>
  <r>
    <s v="ENC0058"/>
    <s v="CL001"/>
    <x v="6"/>
    <s v="TR03"/>
    <x v="4"/>
    <x v="42"/>
    <x v="47"/>
    <x v="44"/>
    <x v="2"/>
    <n v="5"/>
    <n v="1470"/>
    <n v="17245.28"/>
    <n v="368"/>
    <s v="Armazém Sul - Benguela"/>
    <s v="SIM"/>
  </r>
  <r>
    <s v="ENC0059"/>
    <s v="CL009"/>
    <x v="8"/>
    <s v="TR05"/>
    <x v="3"/>
    <x v="43"/>
    <x v="29"/>
    <x v="45"/>
    <x v="0"/>
    <n v="23"/>
    <n v="5543"/>
    <n v="66132.350000000006"/>
    <n v="254"/>
    <s v="Armazém Sul - Benguela"/>
    <s v="NAO"/>
  </r>
  <r>
    <s v="ENC0060"/>
    <s v="CL001"/>
    <x v="6"/>
    <s v="TR03"/>
    <x v="4"/>
    <x v="44"/>
    <x v="41"/>
    <x v="46"/>
    <x v="2"/>
    <n v="21"/>
    <n v="4578"/>
    <n v="52518.69"/>
    <n v="52"/>
    <s v="Armazém Central - Luanda"/>
    <s v="SIM"/>
  </r>
  <r>
    <s v="ENC0061"/>
    <s v="CL009"/>
    <x v="8"/>
    <s v="TR05"/>
    <x v="3"/>
    <x v="3"/>
    <x v="3"/>
    <x v="47"/>
    <x v="0"/>
    <n v="4"/>
    <n v="1256"/>
    <n v="17537.09"/>
    <n v="30"/>
    <s v="Armazém Norte - Cabinda"/>
    <s v="NAO"/>
  </r>
  <r>
    <s v="ENC0062"/>
    <s v="CL003"/>
    <x v="1"/>
    <s v="TR04"/>
    <x v="1"/>
    <x v="24"/>
    <x v="48"/>
    <x v="48"/>
    <x v="2"/>
    <n v="11"/>
    <n v="3729"/>
    <n v="47195.07"/>
    <n v="97"/>
    <s v="Armazém Sul - Benguela"/>
    <s v="NAO"/>
  </r>
  <r>
    <s v="ENC0063"/>
    <s v="CL011"/>
    <x v="2"/>
    <s v="TR05"/>
    <x v="3"/>
    <x v="2"/>
    <x v="29"/>
    <x v="28"/>
    <x v="2"/>
    <n v="16"/>
    <n v="6448"/>
    <n v="75738.83"/>
    <n v="85"/>
    <s v="Armazém Central - Luanda"/>
    <s v="NAO"/>
  </r>
  <r>
    <s v="ENC0064"/>
    <s v="CL011"/>
    <x v="2"/>
    <s v="TR03"/>
    <x v="4"/>
    <x v="45"/>
    <x v="19"/>
    <x v="17"/>
    <x v="2"/>
    <n v="21"/>
    <n v="7560"/>
    <n v="103840.19"/>
    <n v="469"/>
    <s v="Armazém Central - Luanda"/>
    <s v="SIM"/>
  </r>
  <r>
    <s v="ENC0065"/>
    <s v="CL012"/>
    <x v="7"/>
    <s v="TR03"/>
    <x v="4"/>
    <x v="46"/>
    <x v="1"/>
    <x v="3"/>
    <x v="2"/>
    <n v="12"/>
    <n v="3300"/>
    <n v="36577.599999999999"/>
    <n v="265"/>
    <s v="Armazém Norte - Cabinda"/>
    <s v="SIM"/>
  </r>
  <r>
    <s v="ENC0066"/>
    <s v="CL007"/>
    <x v="4"/>
    <s v="TR05"/>
    <x v="3"/>
    <x v="47"/>
    <x v="49"/>
    <x v="49"/>
    <x v="2"/>
    <n v="13"/>
    <n v="4394"/>
    <n v="55359.16"/>
    <n v="524"/>
    <s v="Armazém Norte - Cabinda"/>
    <s v="SIM"/>
  </r>
  <r>
    <s v="ENC0067"/>
    <s v="CL003"/>
    <x v="1"/>
    <s v="TR02"/>
    <x v="2"/>
    <x v="19"/>
    <x v="50"/>
    <x v="50"/>
    <x v="2"/>
    <n v="15"/>
    <n v="6150"/>
    <n v="62888.61"/>
    <n v="574"/>
    <s v="Armazém Central - Luanda"/>
    <s v="SIM"/>
  </r>
  <r>
    <s v="ENC0068"/>
    <s v="CL002"/>
    <x v="3"/>
    <s v="TR04"/>
    <x v="1"/>
    <x v="48"/>
    <x v="18"/>
    <x v="25"/>
    <x v="2"/>
    <n v="23"/>
    <n v="5612"/>
    <n v="63084.58"/>
    <n v="324"/>
    <s v="Armazém Central - Luanda"/>
    <s v="NAO"/>
  </r>
  <r>
    <s v="ENC0069"/>
    <s v="CL007"/>
    <x v="4"/>
    <s v="TR04"/>
    <x v="1"/>
    <x v="49"/>
    <x v="26"/>
    <x v="51"/>
    <x v="2"/>
    <n v="10"/>
    <n v="3590"/>
    <n v="36874.269999999997"/>
    <n v="420"/>
    <s v="Armazém Sul - Benguela"/>
    <s v="SIM"/>
  </r>
  <r>
    <s v="ENC0070"/>
    <s v="CL001"/>
    <x v="6"/>
    <s v="TR05"/>
    <x v="3"/>
    <x v="50"/>
    <x v="51"/>
    <x v="1"/>
    <x v="1"/>
    <n v="10"/>
    <n v="3780"/>
    <n v="50248.15"/>
    <n v="375"/>
    <s v="Armazém Central - Luanda"/>
    <s v="-"/>
  </r>
  <r>
    <s v="ENC0071"/>
    <s v="CL011"/>
    <x v="2"/>
    <s v="TR02"/>
    <x v="2"/>
    <x v="51"/>
    <x v="52"/>
    <x v="52"/>
    <x v="2"/>
    <n v="22"/>
    <n v="7788"/>
    <n v="105371.82"/>
    <n v="114"/>
    <s v="Armazém Norte - Cabinda"/>
    <s v="SIM"/>
  </r>
  <r>
    <s v="ENC0072"/>
    <s v="CL011"/>
    <x v="2"/>
    <s v="TR01"/>
    <x v="0"/>
    <x v="52"/>
    <x v="39"/>
    <x v="53"/>
    <x v="2"/>
    <n v="5"/>
    <n v="1015"/>
    <n v="14167.13"/>
    <n v="349"/>
    <s v="Armazém Norte - Cabinda"/>
    <s v="SIM"/>
  </r>
  <r>
    <s v="ENC0073"/>
    <s v="CL007"/>
    <x v="4"/>
    <s v="TR02"/>
    <x v="2"/>
    <x v="53"/>
    <x v="53"/>
    <x v="1"/>
    <x v="1"/>
    <n v="12"/>
    <n v="3780"/>
    <n v="43510.71"/>
    <n v="294"/>
    <s v="Armazém Central - Luanda"/>
    <s v="-"/>
  </r>
  <r>
    <s v="ENC0074"/>
    <s v="CL005"/>
    <x v="10"/>
    <s v="TR04"/>
    <x v="1"/>
    <x v="54"/>
    <x v="35"/>
    <x v="54"/>
    <x v="0"/>
    <n v="3"/>
    <n v="648"/>
    <n v="8440.14"/>
    <n v="246"/>
    <s v="Armazém Norte - Cabinda"/>
    <s v="NAO"/>
  </r>
  <r>
    <s v="ENC0075"/>
    <s v="CL012"/>
    <x v="7"/>
    <s v="TR04"/>
    <x v="1"/>
    <x v="55"/>
    <x v="54"/>
    <x v="55"/>
    <x v="2"/>
    <n v="9"/>
    <n v="2853"/>
    <n v="26366.09"/>
    <n v="392"/>
    <s v="Armazém Norte - Cabinda"/>
    <s v="SIM"/>
  </r>
  <r>
    <s v="ENC0076"/>
    <s v="CL012"/>
    <x v="7"/>
    <s v="TR03"/>
    <x v="4"/>
    <x v="56"/>
    <x v="55"/>
    <x v="56"/>
    <x v="0"/>
    <n v="4"/>
    <n v="1408"/>
    <n v="13943.33"/>
    <n v="40"/>
    <s v="Armazém Norte - Cabinda"/>
    <s v="NAO"/>
  </r>
  <r>
    <s v="ENC0077"/>
    <s v="CL009"/>
    <x v="8"/>
    <s v="TR03"/>
    <x v="4"/>
    <x v="57"/>
    <x v="56"/>
    <x v="57"/>
    <x v="2"/>
    <n v="15"/>
    <n v="6180"/>
    <n v="78525.94"/>
    <n v="433"/>
    <s v="Armazém Central - Luanda"/>
    <s v="SIM"/>
  </r>
  <r>
    <s v="ENC0078"/>
    <s v="CL003"/>
    <x v="1"/>
    <s v="TR01"/>
    <x v="0"/>
    <x v="58"/>
    <x v="57"/>
    <x v="1"/>
    <x v="3"/>
    <n v="4"/>
    <n v="816"/>
    <n v="8085.58"/>
    <n v="565"/>
    <s v="Armazém Central - Luanda"/>
    <s v="-"/>
  </r>
  <r>
    <s v="ENC0079"/>
    <s v="CL007"/>
    <x v="4"/>
    <s v="TR04"/>
    <x v="1"/>
    <x v="22"/>
    <x v="58"/>
    <x v="0"/>
    <x v="2"/>
    <n v="5"/>
    <n v="2030"/>
    <n v="22308.29"/>
    <n v="116"/>
    <s v="Armazém Sul - Benguela"/>
    <s v="SIM"/>
  </r>
  <r>
    <s v="ENC0080"/>
    <s v="CL010"/>
    <x v="5"/>
    <s v="TR04"/>
    <x v="1"/>
    <x v="59"/>
    <x v="59"/>
    <x v="1"/>
    <x v="1"/>
    <n v="7"/>
    <n v="2051"/>
    <n v="22905.93"/>
    <n v="256"/>
    <s v="Armazém Sul - Benguela"/>
    <s v="-"/>
  </r>
  <r>
    <s v="ENC0081"/>
    <s v="CL002"/>
    <x v="3"/>
    <s v="TR03"/>
    <x v="4"/>
    <x v="60"/>
    <x v="44"/>
    <x v="41"/>
    <x v="2"/>
    <n v="4"/>
    <n v="1588"/>
    <n v="21350.89"/>
    <n v="108"/>
    <s v="Armazém Norte - Cabinda"/>
    <s v="SIM"/>
  </r>
  <r>
    <s v="ENC0082"/>
    <s v="CL004"/>
    <x v="0"/>
    <s v="TR05"/>
    <x v="3"/>
    <x v="21"/>
    <x v="60"/>
    <x v="1"/>
    <x v="1"/>
    <n v="8"/>
    <n v="1696"/>
    <n v="22424.29"/>
    <n v="225"/>
    <s v="Armazém Central - Luanda"/>
    <s v="-"/>
  </r>
  <r>
    <s v="ENC0083"/>
    <s v="CL009"/>
    <x v="8"/>
    <s v="TR02"/>
    <x v="2"/>
    <x v="61"/>
    <x v="61"/>
    <x v="27"/>
    <x v="0"/>
    <n v="11"/>
    <n v="4158"/>
    <n v="39024.18"/>
    <n v="17"/>
    <s v="Armazém Sul - Benguela"/>
    <s v="NAO"/>
  </r>
  <r>
    <s v="ENC0084"/>
    <s v="CL003"/>
    <x v="1"/>
    <s v="TR02"/>
    <x v="2"/>
    <x v="62"/>
    <x v="42"/>
    <x v="1"/>
    <x v="1"/>
    <n v="4"/>
    <n v="1396"/>
    <n v="19123.37"/>
    <n v="149"/>
    <s v="Armazém Central - Luanda"/>
    <s v="-"/>
  </r>
  <r>
    <s v="ENC0085"/>
    <s v="CL006"/>
    <x v="11"/>
    <s v="TR02"/>
    <x v="2"/>
    <x v="61"/>
    <x v="55"/>
    <x v="58"/>
    <x v="2"/>
    <n v="5"/>
    <n v="1845"/>
    <n v="20342.53"/>
    <n v="131"/>
    <s v="Armazém Norte - Cabinda"/>
    <s v="SIM"/>
  </r>
  <r>
    <s v="ENC0086"/>
    <s v="CL002"/>
    <x v="3"/>
    <s v="TR04"/>
    <x v="1"/>
    <x v="63"/>
    <x v="62"/>
    <x v="59"/>
    <x v="2"/>
    <n v="17"/>
    <n v="4012"/>
    <n v="56860.05"/>
    <n v="59"/>
    <s v="Armazém Norte - Cabinda"/>
    <s v="SIM"/>
  </r>
  <r>
    <s v="ENC0087"/>
    <s v="CL011"/>
    <x v="2"/>
    <s v="TR05"/>
    <x v="3"/>
    <x v="30"/>
    <x v="47"/>
    <x v="44"/>
    <x v="2"/>
    <n v="16"/>
    <n v="6336"/>
    <n v="69123.88"/>
    <n v="125"/>
    <s v="Armazém Sul - Benguela"/>
    <s v="SIM"/>
  </r>
  <r>
    <s v="ENC0088"/>
    <s v="CL012"/>
    <x v="7"/>
    <s v="TR04"/>
    <x v="1"/>
    <x v="64"/>
    <x v="63"/>
    <x v="60"/>
    <x v="2"/>
    <n v="5"/>
    <n v="1250"/>
    <n v="15307.38"/>
    <n v="614"/>
    <s v="Armazém Norte - Cabinda"/>
    <s v="SIM"/>
  </r>
  <r>
    <s v="ENC0089"/>
    <s v="CL012"/>
    <x v="7"/>
    <s v="TR03"/>
    <x v="4"/>
    <x v="2"/>
    <x v="64"/>
    <x v="45"/>
    <x v="2"/>
    <n v="20"/>
    <n v="5800"/>
    <n v="52751.41"/>
    <n v="132"/>
    <s v="Armazém Norte - Cabinda"/>
    <s v="SIM"/>
  </r>
  <r>
    <s v="ENC0090"/>
    <s v="CL011"/>
    <x v="2"/>
    <s v="TR05"/>
    <x v="3"/>
    <x v="65"/>
    <x v="19"/>
    <x v="17"/>
    <x v="2"/>
    <n v="11"/>
    <n v="4301"/>
    <n v="48261.49"/>
    <n v="440"/>
    <s v="Armazém Norte - Cabinda"/>
    <s v="SIM"/>
  </r>
  <r>
    <s v="ENC0091"/>
    <s v="CL002"/>
    <x v="3"/>
    <s v="TR03"/>
    <x v="4"/>
    <x v="66"/>
    <x v="65"/>
    <x v="61"/>
    <x v="2"/>
    <n v="5"/>
    <n v="1775"/>
    <n v="24917.29"/>
    <n v="83"/>
    <s v="Armazém Central - Luanda"/>
    <s v="SIM"/>
  </r>
  <r>
    <s v="ENC0092"/>
    <s v="CL002"/>
    <x v="3"/>
    <s v="TR01"/>
    <x v="0"/>
    <x v="67"/>
    <x v="66"/>
    <x v="1"/>
    <x v="1"/>
    <n v="12"/>
    <n v="4644"/>
    <n v="43099.54"/>
    <n v="76"/>
    <s v="Armazém Norte - Cabinda"/>
    <s v="-"/>
  </r>
  <r>
    <s v="ENC0093"/>
    <s v="CL009"/>
    <x v="8"/>
    <s v="TR05"/>
    <x v="3"/>
    <x v="3"/>
    <x v="3"/>
    <x v="62"/>
    <x v="2"/>
    <n v="14"/>
    <n v="5628"/>
    <n v="78764.210000000006"/>
    <n v="67"/>
    <s v="Armazém Sul - Benguela"/>
    <s v="NAO"/>
  </r>
  <r>
    <s v="ENC0094"/>
    <s v="CL010"/>
    <x v="5"/>
    <s v="TR03"/>
    <x v="4"/>
    <x v="0"/>
    <x v="67"/>
    <x v="63"/>
    <x v="2"/>
    <n v="22"/>
    <n v="6666"/>
    <n v="65629.899999999994"/>
    <n v="125"/>
    <s v="Armazém Sul - Benguela"/>
    <s v="SIM"/>
  </r>
  <r>
    <s v="ENC0095"/>
    <s v="CL009"/>
    <x v="8"/>
    <s v="TR03"/>
    <x v="4"/>
    <x v="68"/>
    <x v="68"/>
    <x v="64"/>
    <x v="2"/>
    <n v="18"/>
    <n v="6768"/>
    <n v="90762.68"/>
    <n v="585"/>
    <s v="Armazém Central - Luanda"/>
    <s v="NAO"/>
  </r>
  <r>
    <s v="ENC0096"/>
    <s v="CL010"/>
    <x v="5"/>
    <s v="TR03"/>
    <x v="4"/>
    <x v="46"/>
    <x v="25"/>
    <x v="65"/>
    <x v="2"/>
    <n v="11"/>
    <n v="2959"/>
    <n v="25259.9"/>
    <n v="161"/>
    <s v="Armazém Norte - Cabinda"/>
    <s v="SIM"/>
  </r>
  <r>
    <s v="ENC0097"/>
    <s v="CL011"/>
    <x v="2"/>
    <s v="TR04"/>
    <x v="1"/>
    <x v="69"/>
    <x v="63"/>
    <x v="1"/>
    <x v="1"/>
    <n v="1"/>
    <n v="203"/>
    <n v="2634.26"/>
    <n v="235"/>
    <s v="Armazém Sul - Benguela"/>
    <s v="-"/>
  </r>
  <r>
    <s v="ENC0098"/>
    <s v="CL007"/>
    <x v="4"/>
    <s v="TR04"/>
    <x v="1"/>
    <x v="70"/>
    <x v="6"/>
    <x v="47"/>
    <x v="2"/>
    <n v="19"/>
    <n v="6308"/>
    <n v="56833.45"/>
    <n v="68"/>
    <s v="Armazém Central - Luanda"/>
    <s v="SIM"/>
  </r>
  <r>
    <s v="ENC0099"/>
    <s v="CL003"/>
    <x v="1"/>
    <s v="TR05"/>
    <x v="3"/>
    <x v="50"/>
    <x v="69"/>
    <x v="66"/>
    <x v="2"/>
    <n v="16"/>
    <n v="5360"/>
    <n v="59776.14"/>
    <n v="294"/>
    <s v="Armazém Central - Luanda"/>
    <s v="SIM"/>
  </r>
  <r>
    <s v="ENC0100"/>
    <s v="CL009"/>
    <x v="8"/>
    <s v="TR01"/>
    <x v="0"/>
    <x v="48"/>
    <x v="70"/>
    <x v="67"/>
    <x v="2"/>
    <n v="19"/>
    <n v="5776"/>
    <n v="67357.429999999993"/>
    <n v="330"/>
    <s v="Armazém Central - Luanda"/>
    <s v="SIM"/>
  </r>
  <r>
    <s v="ENC0101"/>
    <s v="CL004"/>
    <x v="0"/>
    <s v="TR04"/>
    <x v="1"/>
    <x v="71"/>
    <x v="28"/>
    <x v="27"/>
    <x v="2"/>
    <n v="7"/>
    <n v="2632"/>
    <n v="24539.21"/>
    <n v="276"/>
    <s v="Armazém Sul - Benguela"/>
    <s v="SIM"/>
  </r>
  <r>
    <s v="ENC0102"/>
    <s v="CL006"/>
    <x v="11"/>
    <s v="TR01"/>
    <x v="0"/>
    <x v="72"/>
    <x v="71"/>
    <x v="1"/>
    <x v="1"/>
    <n v="6"/>
    <n v="1278"/>
    <n v="13778.43"/>
    <n v="250"/>
    <s v="Armazém Norte - Cabinda"/>
    <s v="-"/>
  </r>
  <r>
    <s v="ENC0103"/>
    <s v="CL009"/>
    <x v="8"/>
    <s v="TR03"/>
    <x v="4"/>
    <x v="64"/>
    <x v="72"/>
    <x v="68"/>
    <x v="0"/>
    <n v="14"/>
    <n v="2576"/>
    <n v="29001.96"/>
    <n v="94"/>
    <s v="Armazém Sul - Benguela"/>
    <s v="NAO"/>
  </r>
  <r>
    <s v="ENC0104"/>
    <s v="CL010"/>
    <x v="5"/>
    <s v="TR04"/>
    <x v="1"/>
    <x v="73"/>
    <x v="73"/>
    <x v="1"/>
    <x v="1"/>
    <n v="14"/>
    <n v="3556"/>
    <n v="32683.34"/>
    <n v="36"/>
    <s v="Armazém Sul - Benguela"/>
    <s v="-"/>
  </r>
  <r>
    <s v="ENC0105"/>
    <s v="CL003"/>
    <x v="1"/>
    <s v="TR05"/>
    <x v="3"/>
    <x v="74"/>
    <x v="21"/>
    <x v="50"/>
    <x v="2"/>
    <n v="8"/>
    <n v="2328"/>
    <n v="28013.35"/>
    <n v="551"/>
    <s v="Armazém Central - Luanda"/>
    <s v="NAO"/>
  </r>
  <r>
    <s v="ENC0106"/>
    <s v="CL007"/>
    <x v="4"/>
    <s v="TR03"/>
    <x v="4"/>
    <x v="75"/>
    <x v="74"/>
    <x v="4"/>
    <x v="2"/>
    <n v="17"/>
    <n v="5814"/>
    <n v="53396.71"/>
    <n v="537"/>
    <s v="Armazém Central - Luanda"/>
    <s v="SIM"/>
  </r>
  <r>
    <s v="ENC0107"/>
    <s v="CL006"/>
    <x v="11"/>
    <s v="TR03"/>
    <x v="4"/>
    <x v="26"/>
    <x v="34"/>
    <x v="32"/>
    <x v="2"/>
    <n v="7"/>
    <n v="1568"/>
    <n v="18995.37"/>
    <n v="92"/>
    <s v="Armazém Central - Luanda"/>
    <s v="SIM"/>
  </r>
  <r>
    <s v="ENC0108"/>
    <s v="CL011"/>
    <x v="2"/>
    <s v="TR04"/>
    <x v="1"/>
    <x v="19"/>
    <x v="9"/>
    <x v="1"/>
    <x v="1"/>
    <n v="15"/>
    <n v="5310"/>
    <n v="74578.55"/>
    <n v="593"/>
    <s v="Armazém Norte - Cabinda"/>
    <s v="-"/>
  </r>
  <r>
    <s v="ENC0109"/>
    <s v="CL011"/>
    <x v="2"/>
    <s v="TR05"/>
    <x v="3"/>
    <x v="76"/>
    <x v="3"/>
    <x v="69"/>
    <x v="2"/>
    <n v="15"/>
    <n v="5115"/>
    <n v="52771.06"/>
    <n v="296"/>
    <s v="Armazém Norte - Cabinda"/>
    <s v="SIM"/>
  </r>
  <r>
    <s v="ENC0110"/>
    <s v="CL001"/>
    <x v="6"/>
    <s v="TR03"/>
    <x v="4"/>
    <x v="77"/>
    <x v="12"/>
    <x v="12"/>
    <x v="2"/>
    <n v="2"/>
    <n v="548"/>
    <n v="7392.62"/>
    <n v="93"/>
    <s v="Armazém Norte - Cabinda"/>
    <s v="SIM"/>
  </r>
  <r>
    <s v="ENC0111"/>
    <s v="CL002"/>
    <x v="3"/>
    <s v="TR05"/>
    <x v="3"/>
    <x v="12"/>
    <x v="75"/>
    <x v="70"/>
    <x v="2"/>
    <n v="24"/>
    <n v="9816"/>
    <n v="85852.07"/>
    <n v="600"/>
    <s v="Armazém Norte - Cabinda"/>
    <s v="SIM"/>
  </r>
  <r>
    <s v="ENC0112"/>
    <s v="CL004"/>
    <x v="0"/>
    <s v="TR03"/>
    <x v="4"/>
    <x v="78"/>
    <x v="56"/>
    <x v="71"/>
    <x v="2"/>
    <n v="15"/>
    <n v="3090"/>
    <n v="41300.32"/>
    <n v="366"/>
    <s v="Armazém Norte - Cabinda"/>
    <s v="NAO"/>
  </r>
  <r>
    <s v="ENC0113"/>
    <s v="CL002"/>
    <x v="3"/>
    <s v="TR05"/>
    <x v="3"/>
    <x v="26"/>
    <x v="34"/>
    <x v="32"/>
    <x v="2"/>
    <n v="15"/>
    <n v="4710"/>
    <n v="54807.86"/>
    <n v="177"/>
    <s v="Armazém Sul - Benguela"/>
    <s v="SIM"/>
  </r>
  <r>
    <s v="ENC0114"/>
    <s v="CL006"/>
    <x v="11"/>
    <s v="TR03"/>
    <x v="4"/>
    <x v="79"/>
    <x v="76"/>
    <x v="1"/>
    <x v="1"/>
    <n v="22"/>
    <n v="7326"/>
    <n v="64572.78"/>
    <n v="357"/>
    <s v="Armazém Central - Luanda"/>
    <s v="-"/>
  </r>
  <r>
    <s v="ENC0115"/>
    <s v="CL006"/>
    <x v="11"/>
    <s v="TR01"/>
    <x v="0"/>
    <x v="55"/>
    <x v="77"/>
    <x v="40"/>
    <x v="2"/>
    <n v="22"/>
    <n v="9064"/>
    <n v="109821.28"/>
    <n v="168"/>
    <s v="Armazém Sul - Benguela"/>
    <s v="SIM"/>
  </r>
  <r>
    <s v="ENC0116"/>
    <s v="CL002"/>
    <x v="3"/>
    <s v="TR05"/>
    <x v="3"/>
    <x v="80"/>
    <x v="78"/>
    <x v="18"/>
    <x v="2"/>
    <n v="22"/>
    <n v="6160"/>
    <n v="57126.05"/>
    <n v="101"/>
    <s v="Armazém Sul - Benguela"/>
    <s v="SIM"/>
  </r>
  <r>
    <s v="ENC0117"/>
    <s v="CL009"/>
    <x v="8"/>
    <s v="TR04"/>
    <x v="1"/>
    <x v="81"/>
    <x v="34"/>
    <x v="72"/>
    <x v="0"/>
    <n v="23"/>
    <n v="9016"/>
    <n v="127870.79"/>
    <n v="554"/>
    <s v="Armazém Central - Luanda"/>
    <s v="NAO"/>
  </r>
  <r>
    <s v="ENC0118"/>
    <s v="CL011"/>
    <x v="2"/>
    <s v="TR04"/>
    <x v="1"/>
    <x v="41"/>
    <x v="45"/>
    <x v="42"/>
    <x v="2"/>
    <n v="7"/>
    <n v="1869"/>
    <n v="26513.65"/>
    <n v="512"/>
    <s v="Armazém Central - Luanda"/>
    <s v="SIM"/>
  </r>
  <r>
    <s v="ENC0119"/>
    <s v="CL004"/>
    <x v="0"/>
    <s v="TR02"/>
    <x v="2"/>
    <x v="24"/>
    <x v="48"/>
    <x v="73"/>
    <x v="2"/>
    <n v="17"/>
    <n v="6409"/>
    <n v="75232.84"/>
    <n v="554"/>
    <s v="Armazém Central - Luanda"/>
    <s v="SIM"/>
  </r>
  <r>
    <s v="ENC0120"/>
    <s v="CL011"/>
    <x v="2"/>
    <s v="TR03"/>
    <x v="4"/>
    <x v="51"/>
    <x v="79"/>
    <x v="71"/>
    <x v="2"/>
    <n v="6"/>
    <n v="2352"/>
    <n v="29769.439999999999"/>
    <n v="184"/>
    <s v="Armazém Norte - Cabinda"/>
    <s v="SIM"/>
  </r>
  <r>
    <s v="ENC0121"/>
    <s v="CL008"/>
    <x v="9"/>
    <s v="TR01"/>
    <x v="0"/>
    <x v="82"/>
    <x v="8"/>
    <x v="74"/>
    <x v="2"/>
    <n v="15"/>
    <n v="5040"/>
    <n v="51456.22"/>
    <n v="474"/>
    <s v="Armazém Central - Luanda"/>
    <s v="SIM"/>
  </r>
  <r>
    <s v="ENC0122"/>
    <s v="CL009"/>
    <x v="8"/>
    <s v="TR02"/>
    <x v="2"/>
    <x v="52"/>
    <x v="39"/>
    <x v="69"/>
    <x v="0"/>
    <n v="12"/>
    <n v="4236"/>
    <n v="60078.26"/>
    <n v="466"/>
    <s v="Armazém Sul - Benguela"/>
    <s v="NAO"/>
  </r>
  <r>
    <s v="ENC0123"/>
    <s v="CL005"/>
    <x v="10"/>
    <s v="TR04"/>
    <x v="1"/>
    <x v="83"/>
    <x v="45"/>
    <x v="42"/>
    <x v="2"/>
    <n v="7"/>
    <n v="2695"/>
    <n v="32684.91"/>
    <n v="271"/>
    <s v="Armazém Central - Luanda"/>
    <s v="SIM"/>
  </r>
  <r>
    <s v="ENC0124"/>
    <s v="CL011"/>
    <x v="2"/>
    <s v="TR04"/>
    <x v="1"/>
    <x v="84"/>
    <x v="29"/>
    <x v="7"/>
    <x v="0"/>
    <n v="17"/>
    <n v="6749"/>
    <n v="62415.199999999997"/>
    <n v="100"/>
    <s v="Armazém Central - Luanda"/>
    <s v="NAO"/>
  </r>
  <r>
    <s v="ENC0125"/>
    <s v="CL005"/>
    <x v="10"/>
    <s v="TR04"/>
    <x v="1"/>
    <x v="8"/>
    <x v="45"/>
    <x v="75"/>
    <x v="0"/>
    <n v="8"/>
    <n v="3112"/>
    <n v="34875.46"/>
    <n v="372"/>
    <s v="Armazém Central - Luanda"/>
    <s v="NAO"/>
  </r>
  <r>
    <s v="ENC0126"/>
    <s v="CL007"/>
    <x v="4"/>
    <s v="TR01"/>
    <x v="0"/>
    <x v="85"/>
    <x v="7"/>
    <x v="7"/>
    <x v="2"/>
    <n v="3"/>
    <n v="825"/>
    <n v="8123.97"/>
    <n v="341"/>
    <s v="Armazém Central - Luanda"/>
    <s v="SIM"/>
  </r>
  <r>
    <s v="ENC0127"/>
    <s v="CL012"/>
    <x v="7"/>
    <s v="TR03"/>
    <x v="4"/>
    <x v="86"/>
    <x v="78"/>
    <x v="76"/>
    <x v="2"/>
    <n v="16"/>
    <n v="5728"/>
    <n v="77251.61"/>
    <n v="495"/>
    <s v="Armazém Sul - Benguela"/>
    <s v="NAO"/>
  </r>
  <r>
    <s v="ENC0128"/>
    <s v="CL010"/>
    <x v="5"/>
    <s v="TR01"/>
    <x v="0"/>
    <x v="20"/>
    <x v="80"/>
    <x v="77"/>
    <x v="2"/>
    <n v="18"/>
    <n v="7560"/>
    <n v="97247.37"/>
    <n v="555"/>
    <s v="Armazém Sul - Benguela"/>
    <s v="NAO"/>
  </r>
  <r>
    <s v="ENC0129"/>
    <s v="CL002"/>
    <x v="3"/>
    <s v="TR03"/>
    <x v="4"/>
    <x v="87"/>
    <x v="16"/>
    <x v="78"/>
    <x v="2"/>
    <n v="21"/>
    <n v="8043"/>
    <n v="98421.09"/>
    <n v="79"/>
    <s v="Armazém Central - Luanda"/>
    <s v="SIM"/>
  </r>
  <r>
    <s v="ENC0130"/>
    <s v="CL008"/>
    <x v="9"/>
    <s v="TR05"/>
    <x v="3"/>
    <x v="88"/>
    <x v="81"/>
    <x v="79"/>
    <x v="2"/>
    <n v="23"/>
    <n v="4968"/>
    <n v="50910.239999999998"/>
    <n v="16"/>
    <s v="Armazém Norte - Cabinda"/>
    <s v="SIM"/>
  </r>
  <r>
    <s v="ENC0131"/>
    <s v="CL006"/>
    <x v="11"/>
    <s v="TR02"/>
    <x v="2"/>
    <x v="73"/>
    <x v="73"/>
    <x v="80"/>
    <x v="2"/>
    <n v="17"/>
    <n v="4624"/>
    <n v="41181.699999999997"/>
    <n v="553"/>
    <s v="Armazém Norte - Cabinda"/>
    <s v="SIM"/>
  </r>
  <r>
    <s v="ENC0132"/>
    <s v="CL009"/>
    <x v="8"/>
    <s v="TR05"/>
    <x v="3"/>
    <x v="40"/>
    <x v="44"/>
    <x v="41"/>
    <x v="2"/>
    <n v="21"/>
    <n v="5859"/>
    <n v="84288.960000000006"/>
    <n v="274"/>
    <s v="Armazém Norte - Cabinda"/>
    <s v="SIM"/>
  </r>
  <r>
    <s v="ENC0133"/>
    <s v="CL001"/>
    <x v="6"/>
    <s v="TR03"/>
    <x v="4"/>
    <x v="69"/>
    <x v="82"/>
    <x v="81"/>
    <x v="2"/>
    <n v="4"/>
    <n v="1508"/>
    <n v="18083.060000000001"/>
    <n v="355"/>
    <s v="Armazém Central - Luanda"/>
    <s v="SIM"/>
  </r>
  <r>
    <s v="ENC0134"/>
    <s v="CL001"/>
    <x v="6"/>
    <s v="TR03"/>
    <x v="4"/>
    <x v="60"/>
    <x v="44"/>
    <x v="82"/>
    <x v="0"/>
    <n v="22"/>
    <n v="6556"/>
    <n v="94307.5"/>
    <n v="505"/>
    <s v="Armazém Norte - Cabinda"/>
    <s v="NAO"/>
  </r>
  <r>
    <s v="ENC0135"/>
    <s v="CL003"/>
    <x v="1"/>
    <s v="TR02"/>
    <x v="2"/>
    <x v="89"/>
    <x v="82"/>
    <x v="81"/>
    <x v="2"/>
    <n v="7"/>
    <n v="2842"/>
    <n v="24871.58"/>
    <n v="332"/>
    <s v="Armazém Norte - Cabinda"/>
    <s v="SIM"/>
  </r>
  <r>
    <s v="ENC0136"/>
    <s v="CL007"/>
    <x v="4"/>
    <s v="TR05"/>
    <x v="3"/>
    <x v="44"/>
    <x v="83"/>
    <x v="83"/>
    <x v="2"/>
    <n v="10"/>
    <n v="2710"/>
    <n v="37053.370000000003"/>
    <n v="63"/>
    <s v="Armazém Norte - Cabinda"/>
    <s v="SIM"/>
  </r>
  <r>
    <s v="ENC0137"/>
    <s v="CL006"/>
    <x v="11"/>
    <s v="TR03"/>
    <x v="4"/>
    <x v="90"/>
    <x v="84"/>
    <x v="24"/>
    <x v="2"/>
    <n v="15"/>
    <n v="6135"/>
    <n v="87355.48"/>
    <n v="362"/>
    <s v="Armazém Central - Luanda"/>
    <s v="SIM"/>
  </r>
  <r>
    <s v="ENC0138"/>
    <s v="CL008"/>
    <x v="9"/>
    <s v="TR04"/>
    <x v="1"/>
    <x v="22"/>
    <x v="58"/>
    <x v="0"/>
    <x v="2"/>
    <n v="14"/>
    <n v="2800"/>
    <n v="31034.2"/>
    <n v="199"/>
    <s v="Armazém Norte - Cabinda"/>
    <s v="SIM"/>
  </r>
  <r>
    <s v="ENC0139"/>
    <s v="CL005"/>
    <x v="10"/>
    <s v="TR03"/>
    <x v="4"/>
    <x v="23"/>
    <x v="85"/>
    <x v="84"/>
    <x v="2"/>
    <n v="15"/>
    <n v="5010"/>
    <n v="64157.95"/>
    <n v="185"/>
    <s v="Armazém Norte - Cabinda"/>
    <s v="SIM"/>
  </r>
  <r>
    <s v="ENC0140"/>
    <s v="CL008"/>
    <x v="9"/>
    <s v="TR03"/>
    <x v="4"/>
    <x v="63"/>
    <x v="86"/>
    <x v="1"/>
    <x v="1"/>
    <n v="12"/>
    <n v="4044"/>
    <n v="58593.13"/>
    <n v="296"/>
    <s v="Armazém Norte - Cabinda"/>
    <s v="-"/>
  </r>
  <r>
    <s v="ENC0141"/>
    <s v="CL001"/>
    <x v="6"/>
    <s v="TR01"/>
    <x v="0"/>
    <x v="28"/>
    <x v="34"/>
    <x v="85"/>
    <x v="2"/>
    <n v="22"/>
    <n v="4840"/>
    <n v="68809"/>
    <n v="161"/>
    <s v="Armazém Norte - Cabinda"/>
    <s v="NAO"/>
  </r>
  <r>
    <s v="ENC0142"/>
    <s v="CL011"/>
    <x v="2"/>
    <s v="TR04"/>
    <x v="1"/>
    <x v="91"/>
    <x v="23"/>
    <x v="21"/>
    <x v="2"/>
    <n v="12"/>
    <n v="3264"/>
    <n v="35241.82"/>
    <n v="595"/>
    <s v="Armazém Central - Luanda"/>
    <s v="SIM"/>
  </r>
  <r>
    <s v="ENC0143"/>
    <s v="CL010"/>
    <x v="5"/>
    <s v="TR02"/>
    <x v="2"/>
    <x v="92"/>
    <x v="87"/>
    <x v="86"/>
    <x v="2"/>
    <n v="19"/>
    <n v="4085"/>
    <n v="47699.56"/>
    <n v="422"/>
    <s v="Armazém Sul - Benguela"/>
    <s v="SIM"/>
  </r>
  <r>
    <s v="ENC0144"/>
    <s v="CL011"/>
    <x v="2"/>
    <s v="TR03"/>
    <x v="4"/>
    <x v="93"/>
    <x v="88"/>
    <x v="87"/>
    <x v="2"/>
    <n v="17"/>
    <n v="4743"/>
    <n v="66313.09"/>
    <n v="135"/>
    <s v="Armazém Sul - Benguela"/>
    <s v="SIM"/>
  </r>
  <r>
    <s v="ENC0145"/>
    <s v="CL005"/>
    <x v="10"/>
    <s v="TR04"/>
    <x v="1"/>
    <x v="94"/>
    <x v="19"/>
    <x v="88"/>
    <x v="2"/>
    <n v="16"/>
    <n v="3696"/>
    <n v="34135.61"/>
    <n v="90"/>
    <s v="Armazém Sul - Benguela"/>
    <s v="NAO"/>
  </r>
  <r>
    <s v="ENC0146"/>
    <s v="CL003"/>
    <x v="1"/>
    <s v="TR04"/>
    <x v="1"/>
    <x v="95"/>
    <x v="89"/>
    <x v="89"/>
    <x v="2"/>
    <n v="18"/>
    <n v="5724"/>
    <n v="58626.2"/>
    <n v="322"/>
    <s v="Armazém Central - Luanda"/>
    <s v="SIM"/>
  </r>
  <r>
    <s v="ENC0147"/>
    <s v="CL012"/>
    <x v="7"/>
    <s v="TR02"/>
    <x v="2"/>
    <x v="27"/>
    <x v="90"/>
    <x v="2"/>
    <x v="2"/>
    <n v="5"/>
    <n v="1200"/>
    <n v="15890.69"/>
    <n v="41"/>
    <s v="Armazém Sul - Benguela"/>
    <s v="NAO"/>
  </r>
  <r>
    <s v="ENC0148"/>
    <s v="CL009"/>
    <x v="8"/>
    <s v="TR05"/>
    <x v="3"/>
    <x v="22"/>
    <x v="2"/>
    <x v="90"/>
    <x v="0"/>
    <n v="5"/>
    <n v="1680"/>
    <n v="23193.200000000001"/>
    <n v="82"/>
    <s v="Armazém Sul - Benguela"/>
    <s v="NAO"/>
  </r>
  <r>
    <s v="ENC0149"/>
    <s v="CL007"/>
    <x v="4"/>
    <s v="TR04"/>
    <x v="1"/>
    <x v="96"/>
    <x v="81"/>
    <x v="1"/>
    <x v="1"/>
    <n v="19"/>
    <n v="3762"/>
    <n v="34805.879999999997"/>
    <n v="339"/>
    <s v="Armazém Norte - Cabinda"/>
    <s v="-"/>
  </r>
  <r>
    <s v="ENC0150"/>
    <s v="CL002"/>
    <x v="3"/>
    <s v="TR04"/>
    <x v="1"/>
    <x v="7"/>
    <x v="83"/>
    <x v="46"/>
    <x v="2"/>
    <n v="18"/>
    <n v="6174"/>
    <n v="74252.94"/>
    <n v="147"/>
    <s v="Armazém Sul - Benguela"/>
    <s v="NAO"/>
  </r>
  <r>
    <s v="ENC0151"/>
    <s v="CL009"/>
    <x v="8"/>
    <s v="TR01"/>
    <x v="0"/>
    <x v="90"/>
    <x v="91"/>
    <x v="91"/>
    <x v="2"/>
    <n v="11"/>
    <n v="4609"/>
    <n v="58792.37"/>
    <n v="369"/>
    <s v="Armazém Norte - Cabinda"/>
    <s v="SIM"/>
  </r>
  <r>
    <s v="ENC0152"/>
    <s v="CL005"/>
    <x v="10"/>
    <s v="TR01"/>
    <x v="0"/>
    <x v="36"/>
    <x v="11"/>
    <x v="11"/>
    <x v="2"/>
    <n v="5"/>
    <n v="1700"/>
    <n v="17538.810000000001"/>
    <n v="561"/>
    <s v="Armazém Central - Luanda"/>
    <s v="SIM"/>
  </r>
  <r>
    <s v="ENC0153"/>
    <s v="CL009"/>
    <x v="8"/>
    <s v="TR02"/>
    <x v="2"/>
    <x v="25"/>
    <x v="92"/>
    <x v="56"/>
    <x v="2"/>
    <n v="24"/>
    <n v="9840"/>
    <n v="119367.4"/>
    <n v="592"/>
    <s v="Armazém Central - Luanda"/>
    <s v="SIM"/>
  </r>
  <r>
    <s v="ENC0154"/>
    <s v="CL001"/>
    <x v="6"/>
    <s v="TR01"/>
    <x v="0"/>
    <x v="97"/>
    <x v="93"/>
    <x v="92"/>
    <x v="2"/>
    <n v="19"/>
    <n v="5434"/>
    <n v="66341.81"/>
    <n v="46"/>
    <s v="Armazém Sul - Benguela"/>
    <s v="SIM"/>
  </r>
  <r>
    <s v="ENC0155"/>
    <s v="CL011"/>
    <x v="2"/>
    <s v="TR05"/>
    <x v="3"/>
    <x v="33"/>
    <x v="94"/>
    <x v="93"/>
    <x v="2"/>
    <n v="22"/>
    <n v="6226"/>
    <n v="64031.94"/>
    <n v="89"/>
    <s v="Armazém Norte - Cabinda"/>
    <s v="NAO"/>
  </r>
  <r>
    <s v="ENC0156"/>
    <s v="CL001"/>
    <x v="6"/>
    <s v="TR02"/>
    <x v="2"/>
    <x v="98"/>
    <x v="36"/>
    <x v="94"/>
    <x v="2"/>
    <n v="20"/>
    <n v="4320"/>
    <n v="44822.14"/>
    <n v="341"/>
    <s v="Armazém Norte - Cabinda"/>
    <s v="SIM"/>
  </r>
  <r>
    <s v="ENC0157"/>
    <s v="CL006"/>
    <x v="11"/>
    <s v="TR04"/>
    <x v="1"/>
    <x v="99"/>
    <x v="91"/>
    <x v="91"/>
    <x v="2"/>
    <n v="8"/>
    <n v="2392"/>
    <n v="22090.43"/>
    <n v="475"/>
    <s v="Armazém Central - Luanda"/>
    <s v="SIM"/>
  </r>
  <r>
    <s v="ENC0158"/>
    <s v="CL003"/>
    <x v="1"/>
    <s v="TR01"/>
    <x v="0"/>
    <x v="50"/>
    <x v="95"/>
    <x v="81"/>
    <x v="0"/>
    <n v="14"/>
    <n v="3402"/>
    <n v="48567.34"/>
    <n v="178"/>
    <s v="Armazém Sul - Benguela"/>
    <s v="NAO"/>
  </r>
  <r>
    <s v="ENC0159"/>
    <s v="CL010"/>
    <x v="5"/>
    <s v="TR03"/>
    <x v="4"/>
    <x v="5"/>
    <x v="96"/>
    <x v="95"/>
    <x v="2"/>
    <n v="16"/>
    <n v="6480"/>
    <n v="67076.05"/>
    <n v="38"/>
    <s v="Armazém Central - Luanda"/>
    <s v="SIM"/>
  </r>
  <r>
    <s v="ENC0160"/>
    <s v="CL007"/>
    <x v="4"/>
    <s v="TR05"/>
    <x v="3"/>
    <x v="74"/>
    <x v="97"/>
    <x v="96"/>
    <x v="2"/>
    <n v="2"/>
    <n v="504"/>
    <n v="5780.56"/>
    <n v="496"/>
    <s v="Armazém Sul - Benguela"/>
    <s v="SI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9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 rowHeaderCaption="Clientes">
  <location ref="A6:G20" firstHeaderRow="1" firstDataRow="2" firstDataCol="1" rowPageCount="1" colPageCount="1"/>
  <pivotFields count="15">
    <pivotField showAll="0"/>
    <pivotField showAll="0"/>
    <pivotField axis="axisRow" showAll="0">
      <items count="13">
        <item x="0"/>
        <item x="3"/>
        <item x="4"/>
        <item x="5"/>
        <item x="1"/>
        <item x="10"/>
        <item x="8"/>
        <item x="7"/>
        <item x="2"/>
        <item x="9"/>
        <item x="6"/>
        <item x="11"/>
        <item t="default"/>
      </items>
    </pivotField>
    <pivotField showAll="0"/>
    <pivotField axis="axisCol" showAll="0">
      <items count="6">
        <item x="1"/>
        <item x="3"/>
        <item x="2"/>
        <item x="4"/>
        <item x="0"/>
        <item t="default"/>
      </items>
    </pivotField>
    <pivotField showAll="0">
      <items count="101">
        <item x="72"/>
        <item x="21"/>
        <item x="1"/>
        <item x="46"/>
        <item x="91"/>
        <item x="58"/>
        <item x="97"/>
        <item x="50"/>
        <item x="89"/>
        <item x="69"/>
        <item x="64"/>
        <item x="20"/>
        <item x="95"/>
        <item x="23"/>
        <item x="49"/>
        <item x="68"/>
        <item x="90"/>
        <item x="18"/>
        <item x="99"/>
        <item x="80"/>
        <item x="86"/>
        <item x="24"/>
        <item x="13"/>
        <item x="47"/>
        <item x="5"/>
        <item x="34"/>
        <item x="53"/>
        <item x="94"/>
        <item x="65"/>
        <item x="17"/>
        <item x="45"/>
        <item x="15"/>
        <item x="87"/>
        <item x="9"/>
        <item x="93"/>
        <item x="36"/>
        <item x="32"/>
        <item x="14"/>
        <item x="59"/>
        <item x="33"/>
        <item x="54"/>
        <item x="42"/>
        <item x="30"/>
        <item x="35"/>
        <item x="52"/>
        <item x="76"/>
        <item x="3"/>
        <item x="75"/>
        <item x="70"/>
        <item x="48"/>
        <item x="0"/>
        <item x="27"/>
        <item x="22"/>
        <item x="84"/>
        <item x="43"/>
        <item x="2"/>
        <item x="79"/>
        <item x="85"/>
        <item x="6"/>
        <item x="38"/>
        <item x="82"/>
        <item x="16"/>
        <item x="66"/>
        <item x="67"/>
        <item x="4"/>
        <item x="98"/>
        <item x="31"/>
        <item x="63"/>
        <item x="92"/>
        <item x="74"/>
        <item x="19"/>
        <item x="7"/>
        <item x="37"/>
        <item x="44"/>
        <item x="29"/>
        <item x="10"/>
        <item x="83"/>
        <item x="77"/>
        <item x="41"/>
        <item x="8"/>
        <item x="11"/>
        <item x="96"/>
        <item x="88"/>
        <item x="62"/>
        <item x="60"/>
        <item x="39"/>
        <item x="40"/>
        <item x="55"/>
        <item x="73"/>
        <item x="56"/>
        <item x="61"/>
        <item x="25"/>
        <item x="12"/>
        <item x="71"/>
        <item x="78"/>
        <item x="57"/>
        <item x="51"/>
        <item x="28"/>
        <item x="81"/>
        <item x="26"/>
        <item t="default"/>
      </items>
    </pivotField>
    <pivotField showAll="0">
      <items count="99">
        <item x="71"/>
        <item x="60"/>
        <item x="1"/>
        <item x="25"/>
        <item x="23"/>
        <item x="57"/>
        <item x="69"/>
        <item x="95"/>
        <item x="93"/>
        <item x="51"/>
        <item x="63"/>
        <item x="82"/>
        <item x="80"/>
        <item x="72"/>
        <item x="22"/>
        <item x="89"/>
        <item x="85"/>
        <item x="26"/>
        <item x="68"/>
        <item x="84"/>
        <item x="91"/>
        <item x="20"/>
        <item x="78"/>
        <item x="48"/>
        <item x="27"/>
        <item x="14"/>
        <item x="49"/>
        <item x="96"/>
        <item x="5"/>
        <item x="53"/>
        <item x="38"/>
        <item x="19"/>
        <item x="32"/>
        <item x="16"/>
        <item x="88"/>
        <item x="40"/>
        <item x="11"/>
        <item x="37"/>
        <item x="59"/>
        <item x="15"/>
        <item x="30"/>
        <item x="94"/>
        <item x="35"/>
        <item x="47"/>
        <item x="39"/>
        <item x="3"/>
        <item x="74"/>
        <item x="6"/>
        <item x="67"/>
        <item x="70"/>
        <item x="18"/>
        <item x="33"/>
        <item x="0"/>
        <item x="24"/>
        <item x="90"/>
        <item x="2"/>
        <item x="58"/>
        <item x="29"/>
        <item x="64"/>
        <item x="76"/>
        <item x="7"/>
        <item x="17"/>
        <item x="8"/>
        <item x="66"/>
        <item x="65"/>
        <item x="4"/>
        <item x="86"/>
        <item x="36"/>
        <item x="62"/>
        <item x="87"/>
        <item x="97"/>
        <item x="21"/>
        <item x="50"/>
        <item x="43"/>
        <item x="9"/>
        <item x="83"/>
        <item x="41"/>
        <item x="12"/>
        <item x="46"/>
        <item x="45"/>
        <item x="10"/>
        <item x="81"/>
        <item x="42"/>
        <item x="44"/>
        <item x="54"/>
        <item x="77"/>
        <item x="73"/>
        <item x="61"/>
        <item x="55"/>
        <item x="28"/>
        <item x="13"/>
        <item x="92"/>
        <item x="75"/>
        <item x="56"/>
        <item x="79"/>
        <item x="52"/>
        <item x="34"/>
        <item x="31"/>
        <item t="default"/>
      </items>
    </pivotField>
    <pivotField showAll="0">
      <items count="98">
        <item x="3"/>
        <item x="65"/>
        <item x="21"/>
        <item x="23"/>
        <item x="66"/>
        <item x="92"/>
        <item x="60"/>
        <item x="81"/>
        <item x="77"/>
        <item x="68"/>
        <item x="20"/>
        <item x="89"/>
        <item x="84"/>
        <item x="51"/>
        <item x="64"/>
        <item x="24"/>
        <item x="91"/>
        <item x="18"/>
        <item x="73"/>
        <item x="76"/>
        <item x="48"/>
        <item x="26"/>
        <item x="14"/>
        <item x="49"/>
        <item x="95"/>
        <item x="5"/>
        <item x="36"/>
        <item x="17"/>
        <item x="88"/>
        <item x="78"/>
        <item x="87"/>
        <item x="11"/>
        <item x="37"/>
        <item x="34"/>
        <item x="15"/>
        <item x="35"/>
        <item x="29"/>
        <item x="93"/>
        <item x="44"/>
        <item x="54"/>
        <item x="53"/>
        <item x="69"/>
        <item x="62"/>
        <item x="4"/>
        <item x="47"/>
        <item x="6"/>
        <item x="63"/>
        <item x="67"/>
        <item x="31"/>
        <item x="25"/>
        <item x="22"/>
        <item x="0"/>
        <item x="2"/>
        <item x="28"/>
        <item x="45"/>
        <item x="90"/>
        <item x="7"/>
        <item x="16"/>
        <item x="74"/>
        <item x="8"/>
        <item x="61"/>
        <item x="94"/>
        <item x="59"/>
        <item x="86"/>
        <item x="96"/>
        <item x="19"/>
        <item x="50"/>
        <item x="39"/>
        <item x="9"/>
        <item x="83"/>
        <item x="46"/>
        <item x="33"/>
        <item x="12"/>
        <item x="42"/>
        <item x="75"/>
        <item x="43"/>
        <item x="13"/>
        <item x="10"/>
        <item x="79"/>
        <item x="38"/>
        <item x="41"/>
        <item x="82"/>
        <item x="55"/>
        <item x="40"/>
        <item x="80"/>
        <item x="58"/>
        <item x="27"/>
        <item x="56"/>
        <item x="70"/>
        <item x="57"/>
        <item x="71"/>
        <item x="52"/>
        <item x="32"/>
        <item x="85"/>
        <item x="30"/>
        <item x="72"/>
        <item x="1"/>
        <item t="default"/>
      </items>
    </pivotField>
    <pivotField axis="axisPage" showAll="0">
      <items count="5">
        <item x="0"/>
        <item x="3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8" hier="-1"/>
  </pageFields>
  <dataFields count="1">
    <dataField name="Soma de Qtd_Paletes" fld="9" baseField="0" baseItem="0"/>
  </dataFields>
  <formats count="4">
    <format dxfId="38">
      <pivotArea dataOnly="0" grandCol="1" outline="0" fieldPosition="0"/>
    </format>
    <format dxfId="37">
      <pivotArea dataOnly="0" grandCol="1" outline="0" fieldPosition="0"/>
    </format>
    <format dxfId="36">
      <pivotArea dataOnly="0" grandCol="1" outline="0" fieldPosition="0"/>
    </format>
    <format dxfId="32">
      <pivotArea dataOnly="0" outline="0" fieldPosition="0">
        <references count="1">
          <reference field="4" count="0"/>
        </references>
      </pivotArea>
    </format>
  </formats>
  <chartFormats count="5"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Data_Pedido" sourceName="Data_Pedido">
  <pivotTables>
    <pivotTable tabId="12" name="Tabela dinâmica2"/>
  </pivotTables>
  <data>
    <tabular pivotCacheId="1">
      <items count="100">
        <i x="72" s="1"/>
        <i x="21" s="1"/>
        <i x="1" s="1"/>
        <i x="46" s="1"/>
        <i x="91" s="1"/>
        <i x="58" s="1"/>
        <i x="97" s="1"/>
        <i x="50" s="1"/>
        <i x="89" s="1"/>
        <i x="69" s="1"/>
        <i x="64" s="1"/>
        <i x="20" s="1"/>
        <i x="95" s="1"/>
        <i x="23" s="1"/>
        <i x="49" s="1"/>
        <i x="68" s="1"/>
        <i x="90" s="1"/>
        <i x="18" s="1"/>
        <i x="99" s="1"/>
        <i x="80" s="1"/>
        <i x="86" s="1"/>
        <i x="24" s="1"/>
        <i x="13" s="1"/>
        <i x="47" s="1"/>
        <i x="5" s="1"/>
        <i x="34" s="1"/>
        <i x="53" s="1"/>
        <i x="94" s="1"/>
        <i x="65" s="1"/>
        <i x="17" s="1"/>
        <i x="45" s="1"/>
        <i x="15" s="1"/>
        <i x="87" s="1"/>
        <i x="9" s="1"/>
        <i x="93" s="1"/>
        <i x="36" s="1"/>
        <i x="32" s="1"/>
        <i x="14" s="1"/>
        <i x="59" s="1"/>
        <i x="33" s="1"/>
        <i x="54" s="1"/>
        <i x="42" s="1"/>
        <i x="30" s="1"/>
        <i x="35" s="1"/>
        <i x="52" s="1"/>
        <i x="76" s="1"/>
        <i x="3" s="1"/>
        <i x="75" s="1"/>
        <i x="70" s="1"/>
        <i x="48" s="1"/>
        <i x="0" s="1"/>
        <i x="27" s="1"/>
        <i x="22" s="1"/>
        <i x="84" s="1"/>
        <i x="43" s="1"/>
        <i x="2" s="1"/>
        <i x="79" s="1"/>
        <i x="85" s="1"/>
        <i x="6" s="1"/>
        <i x="38" s="1"/>
        <i x="82" s="1"/>
        <i x="16" s="1"/>
        <i x="66" s="1"/>
        <i x="67" s="1"/>
        <i x="4" s="1"/>
        <i x="98" s="1"/>
        <i x="31" s="1"/>
        <i x="63" s="1"/>
        <i x="92" s="1"/>
        <i x="74" s="1"/>
        <i x="19" s="1"/>
        <i x="7" s="1"/>
        <i x="37" s="1"/>
        <i x="44" s="1"/>
        <i x="29" s="1"/>
        <i x="10" s="1"/>
        <i x="83" s="1"/>
        <i x="77" s="1"/>
        <i x="41" s="1"/>
        <i x="8" s="1"/>
        <i x="11" s="1"/>
        <i x="96" s="1"/>
        <i x="88" s="1"/>
        <i x="62" s="1"/>
        <i x="60" s="1"/>
        <i x="39" s="1"/>
        <i x="40" s="1"/>
        <i x="55" s="1"/>
        <i x="73" s="1"/>
        <i x="56" s="1"/>
        <i x="61" s="1"/>
        <i x="25" s="1"/>
        <i x="12" s="1"/>
        <i x="71" s="1"/>
        <i x="78" s="1"/>
        <i x="57" s="1"/>
        <i x="51" s="1"/>
        <i x="28" s="1"/>
        <i x="81" s="1"/>
        <i x="2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Data_Prevista" sourceName="Data_Prevista">
  <pivotTables>
    <pivotTable tabId="12" name="Tabela dinâmica2"/>
  </pivotTables>
  <data>
    <tabular pivotCacheId="1">
      <items count="98">
        <i x="71" s="1"/>
        <i x="60" s="1"/>
        <i x="1" s="1"/>
        <i x="25" s="1"/>
        <i x="23" s="1"/>
        <i x="57" s="1"/>
        <i x="69" s="1"/>
        <i x="95" s="1"/>
        <i x="93" s="1"/>
        <i x="51" s="1"/>
        <i x="63" s="1"/>
        <i x="82" s="1"/>
        <i x="80" s="1"/>
        <i x="72" s="1"/>
        <i x="22" s="1"/>
        <i x="89" s="1"/>
        <i x="85" s="1"/>
        <i x="26" s="1"/>
        <i x="68" s="1"/>
        <i x="84" s="1"/>
        <i x="91" s="1"/>
        <i x="20" s="1"/>
        <i x="78" s="1"/>
        <i x="48" s="1"/>
        <i x="27" s="1"/>
        <i x="14" s="1"/>
        <i x="49" s="1"/>
        <i x="96" s="1"/>
        <i x="5" s="1"/>
        <i x="53" s="1"/>
        <i x="38" s="1"/>
        <i x="19" s="1"/>
        <i x="32" s="1"/>
        <i x="16" s="1"/>
        <i x="88" s="1"/>
        <i x="40" s="1"/>
        <i x="11" s="1"/>
        <i x="37" s="1"/>
        <i x="59" s="1"/>
        <i x="15" s="1"/>
        <i x="30" s="1"/>
        <i x="94" s="1"/>
        <i x="35" s="1"/>
        <i x="47" s="1"/>
        <i x="39" s="1"/>
        <i x="3" s="1"/>
        <i x="74" s="1"/>
        <i x="6" s="1"/>
        <i x="67" s="1"/>
        <i x="70" s="1"/>
        <i x="18" s="1"/>
        <i x="33" s="1"/>
        <i x="0" s="1"/>
        <i x="24" s="1"/>
        <i x="90" s="1"/>
        <i x="2" s="1"/>
        <i x="58" s="1"/>
        <i x="29" s="1"/>
        <i x="64" s="1"/>
        <i x="76" s="1"/>
        <i x="7" s="1"/>
        <i x="17" s="1"/>
        <i x="8" s="1"/>
        <i x="66" s="1"/>
        <i x="65" s="1"/>
        <i x="4" s="1"/>
        <i x="86" s="1"/>
        <i x="36" s="1"/>
        <i x="62" s="1"/>
        <i x="87" s="1"/>
        <i x="97" s="1"/>
        <i x="21" s="1"/>
        <i x="50" s="1"/>
        <i x="43" s="1"/>
        <i x="9" s="1"/>
        <i x="83" s="1"/>
        <i x="41" s="1"/>
        <i x="12" s="1"/>
        <i x="46" s="1"/>
        <i x="45" s="1"/>
        <i x="10" s="1"/>
        <i x="81" s="1"/>
        <i x="42" s="1"/>
        <i x="44" s="1"/>
        <i x="54" s="1"/>
        <i x="77" s="1"/>
        <i x="73" s="1"/>
        <i x="61" s="1"/>
        <i x="55" s="1"/>
        <i x="28" s="1"/>
        <i x="13" s="1"/>
        <i x="92" s="1"/>
        <i x="75" s="1"/>
        <i x="56" s="1"/>
        <i x="79" s="1"/>
        <i x="52" s="1"/>
        <i x="34" s="1"/>
        <i x="3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Data_Entrega" sourceName="Data_Entrega">
  <pivotTables>
    <pivotTable tabId="12" name="Tabela dinâmica2"/>
  </pivotTables>
  <data>
    <tabular pivotCacheId="1">
      <items count="97">
        <i x="3" s="1"/>
        <i x="65" s="1"/>
        <i x="21" s="1"/>
        <i x="23" s="1"/>
        <i x="66" s="1"/>
        <i x="92" s="1"/>
        <i x="60" s="1"/>
        <i x="81" s="1"/>
        <i x="77" s="1"/>
        <i x="68" s="1"/>
        <i x="20" s="1"/>
        <i x="89" s="1"/>
        <i x="84" s="1"/>
        <i x="51" s="1"/>
        <i x="64" s="1"/>
        <i x="24" s="1"/>
        <i x="91" s="1"/>
        <i x="18" s="1"/>
        <i x="73" s="1"/>
        <i x="76" s="1"/>
        <i x="48" s="1"/>
        <i x="26" s="1"/>
        <i x="14" s="1"/>
        <i x="49" s="1"/>
        <i x="95" s="1"/>
        <i x="5" s="1"/>
        <i x="36" s="1"/>
        <i x="17" s="1"/>
        <i x="88" s="1"/>
        <i x="78" s="1"/>
        <i x="87" s="1"/>
        <i x="11" s="1"/>
        <i x="37" s="1"/>
        <i x="34" s="1"/>
        <i x="15" s="1"/>
        <i x="35" s="1"/>
        <i x="29" s="1"/>
        <i x="93" s="1"/>
        <i x="44" s="1"/>
        <i x="54" s="1"/>
        <i x="53" s="1"/>
        <i x="69" s="1"/>
        <i x="62" s="1"/>
        <i x="4" s="1"/>
        <i x="47" s="1"/>
        <i x="6" s="1"/>
        <i x="63" s="1"/>
        <i x="67" s="1"/>
        <i x="31" s="1"/>
        <i x="25" s="1"/>
        <i x="22" s="1"/>
        <i x="0" s="1"/>
        <i x="2" s="1"/>
        <i x="28" s="1"/>
        <i x="45" s="1"/>
        <i x="90" s="1"/>
        <i x="7" s="1"/>
        <i x="16" s="1"/>
        <i x="74" s="1"/>
        <i x="8" s="1"/>
        <i x="61" s="1"/>
        <i x="94" s="1"/>
        <i x="59" s="1"/>
        <i x="86" s="1"/>
        <i x="96" s="1"/>
        <i x="19" s="1"/>
        <i x="50" s="1"/>
        <i x="39" s="1"/>
        <i x="9" s="1"/>
        <i x="83" s="1"/>
        <i x="46" s="1"/>
        <i x="33" s="1"/>
        <i x="12" s="1"/>
        <i x="42" s="1"/>
        <i x="75" s="1"/>
        <i x="43" s="1"/>
        <i x="13" s="1"/>
        <i x="10" s="1"/>
        <i x="79" s="1"/>
        <i x="38" s="1"/>
        <i x="41" s="1"/>
        <i x="82" s="1"/>
        <i x="55" s="1"/>
        <i x="40" s="1"/>
        <i x="80" s="1"/>
        <i x="58" s="1"/>
        <i x="27" s="1"/>
        <i x="56" s="1"/>
        <i x="70" s="1"/>
        <i x="57" s="1"/>
        <i x="71" s="1"/>
        <i x="52" s="1"/>
        <i x="32" s="1"/>
        <i x="85" s="1"/>
        <i x="30" s="1"/>
        <i x="7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ata_Pedido" cache="SegmentaçãodeDados_Data_Pedido" caption="Data_Pedido" startItem="9" style="SlicerStyleLight2" rowHeight="241300"/>
  <slicer name="Data_Prevista" cache="SegmentaçãodeDados_Data_Prevista" caption="Data_Prevista" startItem="30" style="SlicerStyleDark2" rowHeight="241300"/>
  <slicer name="Data_Entrega" cache="SegmentaçãodeDados_Data_Entrega" caption="Data_Entrega" style="SlicerStyleDark1" rowHeight="241300"/>
</slicers>
</file>

<file path=xl/tables/table1.xml><?xml version="1.0" encoding="utf-8"?>
<table xmlns="http://schemas.openxmlformats.org/spreadsheetml/2006/main" id="1" name="tblClientes" displayName="tblClientes" ref="A1:E13" totalsRowShown="0">
  <autoFilter ref="A1:E13"/>
  <tableColumns count="5">
    <tableColumn id="1" name="ID_Cliente"/>
    <tableColumn id="2" name="Nome_Cliente"/>
    <tableColumn id="3" name="Cidade"/>
    <tableColumn id="4" name="Setor"/>
    <tableColumn id="5" name="Contacto_Responsáve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5" name="tblTransportadoras" displayName="tblTransportadoras" ref="A1:E6" totalsRowShown="0">
  <autoFilter ref="A1:E6"/>
  <tableColumns count="5">
    <tableColumn id="1" name="ID_Transportadora"/>
    <tableColumn id="2" name="Nome_Transportadora"/>
    <tableColumn id="3" name="Tarifa_Base_Kz"/>
    <tableColumn id="4" name="Indice_Pontualidade"/>
    <tableColumn id="5" name="Tipo_Veiculo_Principal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blFrota" displayName="tblFrota" ref="A1:I19" totalsRowShown="0">
  <autoFilter ref="A1:I19"/>
  <tableColumns count="9">
    <tableColumn id="1" name="ID_Veiculo"/>
    <tableColumn id="2" name="Matricula"/>
    <tableColumn id="3" name="Modelo"/>
    <tableColumn id="4" name="Capacidade_Kg"/>
    <tableColumn id="5" name="Ano"/>
    <tableColumn id="6" name="Km_Total"/>
    <tableColumn id="7" name="Estado"/>
    <tableColumn id="8" name="Ultima_Revisao"/>
    <tableColumn id="9" name="Motorista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blStock" displayName="tblStock" ref="A1:I33" totalsRowShown="0">
  <autoFilter ref="A1:I33"/>
  <tableColumns count="9">
    <tableColumn id="1" name="ID_Artigo"/>
    <tableColumn id="2" name="Descricao"/>
    <tableColumn id="3" name="Categoria"/>
    <tableColumn id="4" name="Armazem"/>
    <tableColumn id="5" name="Stock_Atual"/>
    <tableColumn id="6" name="Stock_Minimo"/>
    <tableColumn id="7" name="Stock_Maximo"/>
    <tableColumn id="8" name="Custo_Unitario_Kz"/>
    <tableColumn id="9" name="Situacao_Stock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2" name="tblEncomendas" displayName="tblEncomendas" ref="A1:O161" totalsRowShown="0">
  <autoFilter ref="A1:O161"/>
  <tableColumns count="15">
    <tableColumn id="1" name="ID_Encomenda"/>
    <tableColumn id="2" name="ID_Cliente"/>
    <tableColumn id="3" name="Nome_Cliente"/>
    <tableColumn id="4" name="ID_Transportadora"/>
    <tableColumn id="5" name="Nome_Transportadora"/>
    <tableColumn id="6" name="Data_Pedido"/>
    <tableColumn id="7" name="Data_Prevista"/>
    <tableColumn id="8" name="Data_Entrega"/>
    <tableColumn id="9" name="Status"/>
    <tableColumn id="10" name="Qtd_Paletes"/>
    <tableColumn id="11" name="Peso_Kg"/>
    <tableColumn id="12" name="Custo_Transporte_Kz"/>
    <tableColumn id="13" name="Distancia_Km"/>
    <tableColumn id="14" name="Armazem_Origem"/>
    <tableColumn id="15" name="Cumpriu_Praz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showGridLines="0" topLeftCell="A16" zoomScaleNormal="100" workbookViewId="0"/>
  </sheetViews>
  <sheetFormatPr defaultColWidth="8.7109375" defaultRowHeight="15" x14ac:dyDescent="0.25"/>
  <cols>
    <col min="1" max="1" width="3" style="15" customWidth="1"/>
    <col min="2" max="2" width="16" style="15" customWidth="1"/>
    <col min="3" max="3" width="14" style="15" customWidth="1"/>
    <col min="4" max="10" width="12" style="15" customWidth="1"/>
    <col min="11" max="11" width="3" style="15" customWidth="1"/>
  </cols>
  <sheetData>
    <row r="2" spans="2:11" ht="27.75" customHeight="1" x14ac:dyDescent="0.25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</row>
    <row r="3" spans="2:11" ht="27.75" customHeight="1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2:11" ht="27.75" customHeight="1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2:11" ht="27.75" customHeight="1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2:11" ht="27.75" customHeight="1" x14ac:dyDescent="0.25">
      <c r="B6" s="14"/>
      <c r="C6" s="14"/>
      <c r="D6" s="14"/>
      <c r="E6" s="14"/>
      <c r="F6" s="14"/>
      <c r="G6" s="14"/>
      <c r="H6" s="14"/>
      <c r="I6" s="14"/>
      <c r="J6" s="14"/>
      <c r="K6" s="14"/>
    </row>
    <row r="8" spans="2:11" ht="15" customHeight="1" x14ac:dyDescent="0.25">
      <c r="B8" s="13" t="s">
        <v>1</v>
      </c>
      <c r="C8" s="13"/>
      <c r="D8" s="13"/>
      <c r="E8" s="13"/>
      <c r="F8" s="13"/>
      <c r="G8" s="13"/>
      <c r="H8" s="13"/>
      <c r="I8" s="13"/>
      <c r="J8" s="13"/>
      <c r="K8" s="13"/>
    </row>
    <row r="9" spans="2:11" ht="15" customHeight="1" x14ac:dyDescent="0.25">
      <c r="B9" s="13"/>
      <c r="C9" s="13"/>
      <c r="D9" s="13"/>
      <c r="E9" s="13"/>
      <c r="F9" s="13"/>
      <c r="G9" s="13"/>
      <c r="H9" s="13"/>
      <c r="I9" s="13"/>
      <c r="J9" s="13"/>
      <c r="K9" s="13"/>
    </row>
    <row r="11" spans="2:11" ht="15" customHeight="1" x14ac:dyDescent="0.25">
      <c r="B11" s="16" t="s">
        <v>2</v>
      </c>
      <c r="C11" s="12" t="s">
        <v>3</v>
      </c>
      <c r="D11" s="12"/>
      <c r="E11" s="12"/>
      <c r="F11" s="12"/>
      <c r="G11" s="12"/>
    </row>
    <row r="12" spans="2:11" ht="15" customHeight="1" x14ac:dyDescent="0.25">
      <c r="B12" s="16" t="s">
        <v>4</v>
      </c>
      <c r="C12" s="12" t="s">
        <v>5</v>
      </c>
      <c r="D12" s="12"/>
      <c r="E12" s="12"/>
      <c r="F12" s="12"/>
      <c r="G12" s="12"/>
    </row>
    <row r="13" spans="2:11" ht="15" customHeight="1" x14ac:dyDescent="0.25">
      <c r="B13" s="16" t="s">
        <v>6</v>
      </c>
      <c r="C13" s="12" t="s">
        <v>7</v>
      </c>
      <c r="D13" s="12"/>
      <c r="E13" s="12"/>
      <c r="F13" s="12"/>
      <c r="G13" s="12"/>
    </row>
    <row r="14" spans="2:11" ht="15" customHeight="1" x14ac:dyDescent="0.25">
      <c r="B14" s="16" t="s">
        <v>8</v>
      </c>
      <c r="C14" s="12" t="s">
        <v>9</v>
      </c>
      <c r="D14" s="12"/>
      <c r="E14" s="12"/>
      <c r="F14" s="12"/>
      <c r="G14" s="12"/>
    </row>
    <row r="15" spans="2:11" ht="15" customHeight="1" x14ac:dyDescent="0.25">
      <c r="B15" s="16" t="s">
        <v>10</v>
      </c>
      <c r="C15" s="12" t="s">
        <v>11</v>
      </c>
      <c r="D15" s="12"/>
      <c r="E15" s="12"/>
      <c r="F15" s="12"/>
      <c r="G15" s="12"/>
    </row>
    <row r="17" spans="2:11" ht="15.75" customHeight="1" x14ac:dyDescent="0.3">
      <c r="B17" s="11" t="s">
        <v>12</v>
      </c>
      <c r="C17" s="11"/>
      <c r="D17" s="11"/>
      <c r="E17" s="11"/>
      <c r="F17" s="11"/>
      <c r="G17" s="11"/>
      <c r="H17" s="11"/>
      <c r="I17" s="11"/>
      <c r="J17" s="11"/>
      <c r="K17" s="11"/>
    </row>
    <row r="18" spans="2:11" ht="15" customHeight="1" x14ac:dyDescent="0.25">
      <c r="B18" s="16" t="s">
        <v>13</v>
      </c>
      <c r="C18" s="12" t="s">
        <v>14</v>
      </c>
      <c r="D18" s="12"/>
      <c r="E18" s="12"/>
      <c r="F18" s="12"/>
      <c r="G18" s="12"/>
      <c r="H18" s="12"/>
      <c r="I18" s="12"/>
    </row>
    <row r="19" spans="2:11" ht="15" customHeight="1" x14ac:dyDescent="0.25">
      <c r="B19" s="16" t="s">
        <v>13</v>
      </c>
      <c r="C19" s="12" t="s">
        <v>15</v>
      </c>
      <c r="D19" s="12"/>
      <c r="E19" s="12"/>
      <c r="F19" s="12"/>
      <c r="G19" s="12"/>
      <c r="H19" s="12"/>
      <c r="I19" s="12"/>
    </row>
    <row r="20" spans="2:11" ht="15" customHeight="1" x14ac:dyDescent="0.25">
      <c r="B20" s="16" t="s">
        <v>13</v>
      </c>
      <c r="C20" s="12" t="s">
        <v>16</v>
      </c>
      <c r="D20" s="12"/>
      <c r="E20" s="12"/>
      <c r="F20" s="12"/>
      <c r="G20" s="12"/>
      <c r="H20" s="12"/>
      <c r="I20" s="12"/>
    </row>
    <row r="21" spans="2:11" ht="15" customHeight="1" x14ac:dyDescent="0.25">
      <c r="B21" s="16" t="s">
        <v>13</v>
      </c>
      <c r="C21" s="12" t="s">
        <v>17</v>
      </c>
      <c r="D21" s="12"/>
      <c r="E21" s="12"/>
      <c r="F21" s="12"/>
      <c r="G21" s="12"/>
      <c r="H21" s="12"/>
      <c r="I21" s="12"/>
    </row>
    <row r="22" spans="2:11" ht="15" customHeight="1" x14ac:dyDescent="0.25">
      <c r="B22" s="16" t="s">
        <v>13</v>
      </c>
      <c r="C22" s="12" t="s">
        <v>18</v>
      </c>
      <c r="D22" s="12"/>
      <c r="E22" s="12"/>
      <c r="F22" s="12"/>
      <c r="G22" s="12"/>
      <c r="H22" s="12"/>
      <c r="I22" s="12"/>
    </row>
    <row r="23" spans="2:11" ht="15" customHeight="1" x14ac:dyDescent="0.25">
      <c r="B23" s="16" t="s">
        <v>13</v>
      </c>
      <c r="C23" s="12" t="s">
        <v>19</v>
      </c>
      <c r="D23" s="12"/>
      <c r="E23" s="12"/>
      <c r="F23" s="12"/>
      <c r="G23" s="12"/>
      <c r="H23" s="12"/>
      <c r="I23" s="12"/>
    </row>
    <row r="24" spans="2:11" ht="15" customHeight="1" x14ac:dyDescent="0.25">
      <c r="B24" s="16" t="s">
        <v>13</v>
      </c>
      <c r="C24" s="12" t="s">
        <v>20</v>
      </c>
      <c r="D24" s="12"/>
      <c r="E24" s="12"/>
      <c r="F24" s="12"/>
      <c r="G24" s="12"/>
      <c r="H24" s="12"/>
      <c r="I24" s="12"/>
    </row>
    <row r="25" spans="2:11" ht="15" customHeight="1" x14ac:dyDescent="0.25">
      <c r="B25" s="16" t="s">
        <v>13</v>
      </c>
      <c r="C25" s="12" t="s">
        <v>21</v>
      </c>
      <c r="D25" s="12"/>
      <c r="E25" s="12"/>
      <c r="F25" s="12"/>
      <c r="G25" s="12"/>
      <c r="H25" s="12"/>
      <c r="I25" s="12"/>
    </row>
    <row r="26" spans="2:11" ht="15" customHeight="1" x14ac:dyDescent="0.25">
      <c r="B26" s="16" t="s">
        <v>13</v>
      </c>
      <c r="C26" s="12" t="s">
        <v>22</v>
      </c>
      <c r="D26" s="12"/>
      <c r="E26" s="12"/>
      <c r="F26" s="12"/>
      <c r="G26" s="12"/>
      <c r="H26" s="12"/>
      <c r="I26" s="12"/>
    </row>
    <row r="27" spans="2:11" ht="15" customHeight="1" x14ac:dyDescent="0.25">
      <c r="B27" s="16" t="s">
        <v>13</v>
      </c>
      <c r="C27" s="12" t="s">
        <v>23</v>
      </c>
      <c r="D27" s="12"/>
      <c r="E27" s="12"/>
      <c r="F27" s="12"/>
      <c r="G27" s="12"/>
      <c r="H27" s="12"/>
      <c r="I27" s="12"/>
    </row>
    <row r="28" spans="2:11" ht="15" customHeight="1" x14ac:dyDescent="0.25">
      <c r="B28" s="16" t="s">
        <v>13</v>
      </c>
      <c r="C28" s="12" t="s">
        <v>24</v>
      </c>
      <c r="D28" s="12"/>
      <c r="E28" s="12"/>
      <c r="F28" s="12"/>
      <c r="G28" s="12"/>
      <c r="H28" s="12"/>
      <c r="I28" s="12"/>
    </row>
  </sheetData>
  <mergeCells count="19">
    <mergeCell ref="C25:I25"/>
    <mergeCell ref="C26:I26"/>
    <mergeCell ref="C27:I27"/>
    <mergeCell ref="C28:I28"/>
    <mergeCell ref="C20:I20"/>
    <mergeCell ref="C21:I21"/>
    <mergeCell ref="C22:I22"/>
    <mergeCell ref="C23:I23"/>
    <mergeCell ref="C24:I24"/>
    <mergeCell ref="C14:G14"/>
    <mergeCell ref="C15:G15"/>
    <mergeCell ref="B17:K17"/>
    <mergeCell ref="C18:I18"/>
    <mergeCell ref="C19:I19"/>
    <mergeCell ref="B2:K6"/>
    <mergeCell ref="B8:K9"/>
    <mergeCell ref="C11:G11"/>
    <mergeCell ref="C12:G12"/>
    <mergeCell ref="C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showGridLines="0" topLeftCell="A19" zoomScaleNormal="100" workbookViewId="0">
      <selection sqref="A1:J1"/>
    </sheetView>
  </sheetViews>
  <sheetFormatPr defaultColWidth="8.7109375" defaultRowHeight="15" x14ac:dyDescent="0.25"/>
  <cols>
    <col min="1" max="10" width="13" style="15" customWidth="1"/>
  </cols>
  <sheetData>
    <row r="1" spans="1:10" ht="33.75" customHeight="1" x14ac:dyDescent="0.25">
      <c r="A1" s="10" t="s">
        <v>25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5">
      <c r="A2" s="9" t="s">
        <v>26</v>
      </c>
      <c r="B2" s="9"/>
      <c r="C2" s="9"/>
      <c r="D2" s="9"/>
      <c r="E2" s="9"/>
      <c r="F2" s="9"/>
      <c r="G2" s="9"/>
      <c r="H2" s="9"/>
      <c r="I2" s="9"/>
      <c r="J2" s="9"/>
    </row>
    <row r="3" spans="1:10" ht="15.75" customHeight="1" x14ac:dyDescent="0.25">
      <c r="A3" s="8" t="s">
        <v>27</v>
      </c>
      <c r="B3" s="8"/>
      <c r="C3" s="8"/>
      <c r="D3" s="8"/>
      <c r="E3" s="8"/>
      <c r="F3" s="8"/>
      <c r="G3" s="8"/>
      <c r="H3" s="8"/>
      <c r="I3" s="8"/>
      <c r="J3" s="8"/>
    </row>
    <row r="4" spans="1:10" ht="27.75" customHeight="1" x14ac:dyDescent="0.25">
      <c r="A4" s="7" t="s">
        <v>28</v>
      </c>
      <c r="B4" s="7"/>
      <c r="C4" s="7"/>
      <c r="D4" s="7"/>
      <c r="E4" s="7"/>
      <c r="F4" s="7"/>
      <c r="G4" s="7"/>
      <c r="H4" s="7"/>
      <c r="I4" s="7"/>
      <c r="J4" s="7"/>
    </row>
    <row r="5" spans="1:10" ht="15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15.75" customHeight="1" x14ac:dyDescent="0.25">
      <c r="A6" s="8" t="s">
        <v>29</v>
      </c>
      <c r="B6" s="8"/>
      <c r="C6" s="8"/>
      <c r="D6" s="8"/>
      <c r="E6" s="8"/>
      <c r="F6" s="8"/>
      <c r="G6" s="8"/>
      <c r="H6" s="8"/>
      <c r="I6" s="8"/>
      <c r="J6" s="8"/>
    </row>
    <row r="7" spans="1:10" ht="15.75" customHeight="1" x14ac:dyDescent="0.25">
      <c r="A7" s="7" t="s">
        <v>30</v>
      </c>
      <c r="B7" s="7"/>
      <c r="C7" s="7"/>
      <c r="D7" s="7"/>
      <c r="E7" s="7"/>
      <c r="F7" s="7"/>
      <c r="G7" s="7"/>
      <c r="H7" s="7"/>
      <c r="I7" s="7"/>
      <c r="J7" s="7"/>
    </row>
    <row r="8" spans="1:10" ht="15.75" customHeight="1" x14ac:dyDescent="0.25">
      <c r="A8" s="7" t="s">
        <v>31</v>
      </c>
      <c r="B8" s="7"/>
      <c r="C8" s="7"/>
      <c r="D8" s="7"/>
      <c r="E8" s="7"/>
      <c r="F8" s="7"/>
      <c r="G8" s="7"/>
      <c r="H8" s="7"/>
      <c r="I8" s="7"/>
      <c r="J8" s="7"/>
    </row>
    <row r="9" spans="1:10" ht="27.75" customHeight="1" x14ac:dyDescent="0.25">
      <c r="A9" s="7" t="s">
        <v>32</v>
      </c>
      <c r="B9" s="7"/>
      <c r="C9" s="7"/>
      <c r="D9" s="7"/>
      <c r="E9" s="7"/>
      <c r="F9" s="7"/>
      <c r="G9" s="7"/>
      <c r="H9" s="7"/>
      <c r="I9" s="7"/>
      <c r="J9" s="7"/>
    </row>
    <row r="10" spans="1:10" ht="27.75" customHeight="1" x14ac:dyDescent="0.25">
      <c r="A10" s="7" t="s">
        <v>33</v>
      </c>
      <c r="B10" s="7"/>
      <c r="C10" s="7"/>
      <c r="D10" s="7"/>
      <c r="E10" s="7"/>
      <c r="F10" s="7"/>
      <c r="G10" s="7"/>
      <c r="H10" s="7"/>
      <c r="I10" s="7"/>
      <c r="J10" s="7"/>
    </row>
    <row r="11" spans="1:10" ht="15.75" customHeight="1" x14ac:dyDescent="0.25">
      <c r="A11" s="7" t="s">
        <v>34</v>
      </c>
      <c r="B11" s="7"/>
      <c r="C11" s="7"/>
      <c r="D11" s="7"/>
      <c r="E11" s="7"/>
      <c r="F11" s="7"/>
      <c r="G11" s="7"/>
      <c r="H11" s="7"/>
      <c r="I11" s="7"/>
      <c r="J11" s="7"/>
    </row>
    <row r="12" spans="1:10" ht="27.75" customHeight="1" x14ac:dyDescent="0.25">
      <c r="A12" s="7" t="s">
        <v>35</v>
      </c>
      <c r="B12" s="7"/>
      <c r="C12" s="7"/>
      <c r="D12" s="7"/>
      <c r="E12" s="7"/>
      <c r="F12" s="7"/>
      <c r="G12" s="7"/>
      <c r="H12" s="7"/>
      <c r="I12" s="7"/>
      <c r="J12" s="7"/>
    </row>
    <row r="13" spans="1:10" ht="15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15.75" customHeight="1" x14ac:dyDescent="0.25">
      <c r="A14" s="8" t="s">
        <v>36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 ht="15.75" customHeight="1" x14ac:dyDescent="0.25">
      <c r="A15" s="7" t="s">
        <v>37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7" t="s">
        <v>38</v>
      </c>
      <c r="B16" s="7"/>
      <c r="C16" s="7"/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7" t="s">
        <v>39</v>
      </c>
      <c r="B17" s="7"/>
      <c r="C17" s="7"/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7" t="s">
        <v>40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7" t="s">
        <v>41</v>
      </c>
      <c r="B19" s="7"/>
      <c r="C19" s="7"/>
      <c r="D19" s="7"/>
      <c r="E19" s="7"/>
      <c r="F19" s="7"/>
      <c r="G19" s="7"/>
      <c r="H19" s="7"/>
      <c r="I19" s="7"/>
      <c r="J19" s="7"/>
    </row>
    <row r="20" spans="1:10" ht="15.75" customHeight="1" x14ac:dyDescent="0.25">
      <c r="A20" s="7" t="s">
        <v>42</v>
      </c>
      <c r="B20" s="7"/>
      <c r="C20" s="7"/>
      <c r="D20" s="7"/>
      <c r="E20" s="7"/>
      <c r="F20" s="7"/>
      <c r="G20" s="7"/>
      <c r="H20" s="7"/>
      <c r="I20" s="7"/>
      <c r="J20" s="7"/>
    </row>
    <row r="21" spans="1:10" ht="15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ht="15.75" customHeight="1" x14ac:dyDescent="0.25">
      <c r="A22" s="8" t="s">
        <v>43</v>
      </c>
      <c r="B22" s="8"/>
      <c r="C22" s="8"/>
      <c r="D22" s="8"/>
      <c r="E22" s="8"/>
      <c r="F22" s="8"/>
      <c r="G22" s="8"/>
      <c r="H22" s="8"/>
      <c r="I22" s="8"/>
      <c r="J22" s="8"/>
    </row>
    <row r="23" spans="1:10" ht="15.75" customHeight="1" x14ac:dyDescent="0.25">
      <c r="A23" s="7" t="s">
        <v>44</v>
      </c>
      <c r="B23" s="7"/>
      <c r="C23" s="7"/>
      <c r="D23" s="7"/>
      <c r="E23" s="7"/>
      <c r="F23" s="7"/>
      <c r="G23" s="7"/>
      <c r="H23" s="7"/>
      <c r="I23" s="7"/>
      <c r="J23" s="7"/>
    </row>
    <row r="24" spans="1:10" ht="15.75" customHeight="1" x14ac:dyDescent="0.25">
      <c r="A24" s="7" t="s">
        <v>45</v>
      </c>
      <c r="B24" s="7"/>
      <c r="C24" s="7"/>
      <c r="D24" s="7"/>
      <c r="E24" s="7"/>
      <c r="F24" s="7"/>
      <c r="G24" s="7"/>
      <c r="H24" s="7"/>
      <c r="I24" s="7"/>
      <c r="J24" s="7"/>
    </row>
    <row r="25" spans="1:10" ht="15.75" customHeight="1" x14ac:dyDescent="0.25">
      <c r="A25" s="7" t="s">
        <v>46</v>
      </c>
      <c r="B25" s="7"/>
      <c r="C25" s="7"/>
      <c r="D25" s="7"/>
      <c r="E25" s="7"/>
      <c r="F25" s="7"/>
      <c r="G25" s="7"/>
      <c r="H25" s="7"/>
      <c r="I25" s="7"/>
      <c r="J25" s="7"/>
    </row>
    <row r="26" spans="1:10" ht="15.75" customHeight="1" x14ac:dyDescent="0.25">
      <c r="A26" s="7" t="s">
        <v>47</v>
      </c>
      <c r="B26" s="7"/>
      <c r="C26" s="7"/>
      <c r="D26" s="7"/>
      <c r="E26" s="7"/>
      <c r="F26" s="7"/>
      <c r="G26" s="7"/>
      <c r="H26" s="7"/>
      <c r="I26" s="7"/>
      <c r="J26" s="7"/>
    </row>
    <row r="27" spans="1:10" ht="15.75" customHeight="1" x14ac:dyDescent="0.25">
      <c r="A27" s="7" t="s">
        <v>48</v>
      </c>
      <c r="B27" s="7"/>
      <c r="C27" s="7"/>
      <c r="D27" s="7"/>
      <c r="E27" s="7"/>
      <c r="F27" s="7"/>
      <c r="G27" s="7"/>
      <c r="H27" s="7"/>
      <c r="I27" s="7"/>
      <c r="J27" s="7"/>
    </row>
  </sheetData>
  <mergeCells count="27">
    <mergeCell ref="A26:J26"/>
    <mergeCell ref="A27:J27"/>
    <mergeCell ref="A21:J21"/>
    <mergeCell ref="A22:J22"/>
    <mergeCell ref="A23:J23"/>
    <mergeCell ref="A24:J24"/>
    <mergeCell ref="A25:J25"/>
    <mergeCell ref="A16:J16"/>
    <mergeCell ref="A17:J17"/>
    <mergeCell ref="A18:J18"/>
    <mergeCell ref="A19:J19"/>
    <mergeCell ref="A20:J20"/>
    <mergeCell ref="A11:J11"/>
    <mergeCell ref="A12:J12"/>
    <mergeCell ref="A13:J13"/>
    <mergeCell ref="A14:J14"/>
    <mergeCell ref="A15:J15"/>
    <mergeCell ref="A6:J6"/>
    <mergeCell ref="A7:J7"/>
    <mergeCell ref="A8:J8"/>
    <mergeCell ref="A9:J9"/>
    <mergeCell ref="A10:J10"/>
    <mergeCell ref="A1:J1"/>
    <mergeCell ref="A2:J2"/>
    <mergeCell ref="A3:J3"/>
    <mergeCell ref="A4:J4"/>
    <mergeCell ref="A5:J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zoomScaleNormal="100" workbookViewId="0">
      <pane ySplit="1" topLeftCell="A2" activePane="bottomLeft" state="frozen"/>
      <selection pane="bottomLeft" activeCell="G9" sqref="G9"/>
    </sheetView>
  </sheetViews>
  <sheetFormatPr defaultColWidth="8.7109375" defaultRowHeight="15" x14ac:dyDescent="0.25"/>
  <cols>
    <col min="1" max="1" width="14.85546875" style="15" bestFit="1" customWidth="1"/>
    <col min="2" max="2" width="28" style="15" customWidth="1"/>
    <col min="3" max="3" width="14" style="15" customWidth="1"/>
    <col min="4" max="4" width="16" style="15" customWidth="1"/>
    <col min="5" max="5" width="26" style="15" bestFit="1" customWidth="1"/>
  </cols>
  <sheetData>
    <row r="1" spans="1:10" ht="27.75" customHeight="1" x14ac:dyDescent="0.25">
      <c r="A1" s="17" t="s">
        <v>49</v>
      </c>
      <c r="B1" s="17" t="s">
        <v>50</v>
      </c>
      <c r="C1" s="17" t="s">
        <v>51</v>
      </c>
      <c r="D1" s="17" t="s">
        <v>52</v>
      </c>
      <c r="E1" s="17" t="s">
        <v>53</v>
      </c>
      <c r="G1" s="49"/>
      <c r="H1" s="49"/>
      <c r="I1" s="49"/>
      <c r="J1" s="49"/>
    </row>
    <row r="2" spans="1:10" ht="15" customHeight="1" x14ac:dyDescent="0.25">
      <c r="A2" s="18" t="s">
        <v>54</v>
      </c>
      <c r="B2" s="19" t="s">
        <v>55</v>
      </c>
      <c r="C2" s="19" t="s">
        <v>56</v>
      </c>
      <c r="D2" s="19" t="s">
        <v>57</v>
      </c>
      <c r="E2" s="19" t="s">
        <v>58</v>
      </c>
      <c r="H2" s="49"/>
      <c r="I2" s="49"/>
      <c r="J2" s="49"/>
    </row>
    <row r="3" spans="1:10" ht="15" customHeight="1" x14ac:dyDescent="0.25">
      <c r="A3" s="18" t="s">
        <v>59</v>
      </c>
      <c r="B3" s="19" t="s">
        <v>60</v>
      </c>
      <c r="C3" s="19" t="s">
        <v>61</v>
      </c>
      <c r="D3" s="19" t="s">
        <v>62</v>
      </c>
      <c r="E3" s="19" t="s">
        <v>63</v>
      </c>
      <c r="H3" s="49"/>
      <c r="I3" s="49"/>
      <c r="J3" s="49"/>
    </row>
    <row r="4" spans="1:10" ht="15" customHeight="1" x14ac:dyDescent="0.25">
      <c r="A4" s="18" t="s">
        <v>64</v>
      </c>
      <c r="B4" s="19" t="s">
        <v>65</v>
      </c>
      <c r="C4" s="19" t="s">
        <v>56</v>
      </c>
      <c r="D4" s="19" t="s">
        <v>66</v>
      </c>
      <c r="E4" s="19" t="s">
        <v>67</v>
      </c>
      <c r="H4" s="49"/>
      <c r="I4" s="49"/>
      <c r="J4" s="49"/>
    </row>
    <row r="5" spans="1:10" ht="15" customHeight="1" x14ac:dyDescent="0.25">
      <c r="A5" s="18" t="s">
        <v>68</v>
      </c>
      <c r="B5" s="19" t="s">
        <v>69</v>
      </c>
      <c r="C5" s="19" t="s">
        <v>70</v>
      </c>
      <c r="D5" s="19" t="s">
        <v>71</v>
      </c>
      <c r="E5" s="19" t="s">
        <v>72</v>
      </c>
    </row>
    <row r="6" spans="1:10" ht="15" customHeight="1" x14ac:dyDescent="0.25">
      <c r="A6" s="18" t="s">
        <v>73</v>
      </c>
      <c r="B6" s="19" t="s">
        <v>74</v>
      </c>
      <c r="C6" s="19" t="s">
        <v>75</v>
      </c>
      <c r="D6" s="19" t="s">
        <v>57</v>
      </c>
      <c r="E6" s="19" t="s">
        <v>76</v>
      </c>
    </row>
    <row r="7" spans="1:10" ht="15" customHeight="1" x14ac:dyDescent="0.25">
      <c r="A7" s="18" t="s">
        <v>77</v>
      </c>
      <c r="B7" s="19" t="s">
        <v>78</v>
      </c>
      <c r="C7" s="19" t="s">
        <v>56</v>
      </c>
      <c r="D7" s="19" t="s">
        <v>79</v>
      </c>
      <c r="E7" s="19" t="s">
        <v>80</v>
      </c>
    </row>
    <row r="8" spans="1:10" ht="15" customHeight="1" x14ac:dyDescent="0.25">
      <c r="A8" s="18" t="s">
        <v>81</v>
      </c>
      <c r="B8" s="19" t="s">
        <v>82</v>
      </c>
      <c r="C8" s="19" t="s">
        <v>83</v>
      </c>
      <c r="D8" s="19" t="s">
        <v>84</v>
      </c>
      <c r="E8" s="19" t="s">
        <v>85</v>
      </c>
    </row>
    <row r="9" spans="1:10" ht="15" customHeight="1" x14ac:dyDescent="0.25">
      <c r="A9" s="18" t="s">
        <v>86</v>
      </c>
      <c r="B9" s="19" t="s">
        <v>87</v>
      </c>
      <c r="C9" s="19" t="s">
        <v>88</v>
      </c>
      <c r="D9" s="19" t="s">
        <v>89</v>
      </c>
      <c r="E9" s="19" t="s">
        <v>90</v>
      </c>
    </row>
    <row r="10" spans="1:10" ht="15" customHeight="1" x14ac:dyDescent="0.25">
      <c r="A10" s="18" t="s">
        <v>91</v>
      </c>
      <c r="B10" s="19" t="s">
        <v>92</v>
      </c>
      <c r="C10" s="19" t="s">
        <v>56</v>
      </c>
      <c r="D10" s="19" t="s">
        <v>57</v>
      </c>
      <c r="E10" s="19" t="s">
        <v>93</v>
      </c>
    </row>
    <row r="11" spans="1:10" ht="15" customHeight="1" x14ac:dyDescent="0.25">
      <c r="A11" s="18" t="s">
        <v>94</v>
      </c>
      <c r="B11" s="19" t="s">
        <v>95</v>
      </c>
      <c r="C11" s="19" t="s">
        <v>88</v>
      </c>
      <c r="D11" s="19" t="s">
        <v>96</v>
      </c>
      <c r="E11" s="19" t="s">
        <v>97</v>
      </c>
    </row>
    <row r="12" spans="1:10" ht="15" customHeight="1" x14ac:dyDescent="0.25">
      <c r="A12" s="18" t="s">
        <v>98</v>
      </c>
      <c r="B12" s="19" t="s">
        <v>99</v>
      </c>
      <c r="C12" s="19" t="s">
        <v>56</v>
      </c>
      <c r="D12" s="19" t="s">
        <v>100</v>
      </c>
      <c r="E12" s="19" t="s">
        <v>101</v>
      </c>
    </row>
    <row r="13" spans="1:10" ht="15" customHeight="1" x14ac:dyDescent="0.25">
      <c r="A13" s="18" t="s">
        <v>102</v>
      </c>
      <c r="B13" s="19" t="s">
        <v>103</v>
      </c>
      <c r="C13" s="19" t="s">
        <v>104</v>
      </c>
      <c r="D13" s="19" t="s">
        <v>105</v>
      </c>
      <c r="E13" s="19" t="s">
        <v>106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showGridLines="0" zoomScaleNormal="100" workbookViewId="0">
      <pane ySplit="1" topLeftCell="A2" activePane="bottomLeft" state="frozen"/>
      <selection pane="bottomLeft" activeCell="I1" sqref="I1"/>
    </sheetView>
  </sheetViews>
  <sheetFormatPr defaultColWidth="8.7109375" defaultRowHeight="15" x14ac:dyDescent="0.25"/>
  <cols>
    <col min="1" max="1" width="22.140625" style="15" bestFit="1" customWidth="1"/>
    <col min="2" max="2" width="25.7109375" style="15" bestFit="1" customWidth="1"/>
    <col min="3" max="3" width="18.85546875" style="15" bestFit="1" customWidth="1"/>
    <col min="4" max="4" width="24.140625" style="15" bestFit="1" customWidth="1"/>
    <col min="5" max="5" width="26.28515625" style="15" bestFit="1" customWidth="1"/>
  </cols>
  <sheetData>
    <row r="1" spans="1:5" ht="27.75" customHeight="1" x14ac:dyDescent="0.25">
      <c r="A1" s="17" t="s">
        <v>107</v>
      </c>
      <c r="B1" s="17" t="s">
        <v>108</v>
      </c>
      <c r="C1" s="17" t="s">
        <v>109</v>
      </c>
      <c r="D1" s="17" t="s">
        <v>110</v>
      </c>
      <c r="E1" s="17" t="s">
        <v>111</v>
      </c>
    </row>
    <row r="2" spans="1:5" ht="15" customHeight="1" x14ac:dyDescent="0.25">
      <c r="A2" s="18" t="s">
        <v>112</v>
      </c>
      <c r="B2" s="19" t="s">
        <v>113</v>
      </c>
      <c r="C2" s="19">
        <v>4500</v>
      </c>
      <c r="D2" s="19">
        <v>0.96</v>
      </c>
      <c r="E2" s="19" t="s">
        <v>114</v>
      </c>
    </row>
    <row r="3" spans="1:5" ht="15" customHeight="1" x14ac:dyDescent="0.25">
      <c r="A3" s="18" t="s">
        <v>115</v>
      </c>
      <c r="B3" s="19" t="s">
        <v>116</v>
      </c>
      <c r="C3" s="19">
        <v>5200</v>
      </c>
      <c r="D3" s="19">
        <v>0.91</v>
      </c>
      <c r="E3" s="19" t="s">
        <v>117</v>
      </c>
    </row>
    <row r="4" spans="1:5" ht="15" customHeight="1" x14ac:dyDescent="0.25">
      <c r="A4" s="18" t="s">
        <v>118</v>
      </c>
      <c r="B4" s="19" t="s">
        <v>119</v>
      </c>
      <c r="C4" s="19">
        <v>3100</v>
      </c>
      <c r="D4" s="19">
        <v>0.88</v>
      </c>
      <c r="E4" s="19" t="s">
        <v>120</v>
      </c>
    </row>
    <row r="5" spans="1:5" ht="15" customHeight="1" x14ac:dyDescent="0.25">
      <c r="A5" s="18" t="s">
        <v>121</v>
      </c>
      <c r="B5" s="19" t="s">
        <v>122</v>
      </c>
      <c r="C5" s="19">
        <v>6000</v>
      </c>
      <c r="D5" s="19">
        <v>0.94</v>
      </c>
      <c r="E5" s="19" t="s">
        <v>123</v>
      </c>
    </row>
    <row r="6" spans="1:5" ht="15" customHeight="1" x14ac:dyDescent="0.25">
      <c r="A6" s="18" t="s">
        <v>124</v>
      </c>
      <c r="B6" s="19" t="s">
        <v>125</v>
      </c>
      <c r="C6" s="19">
        <v>3800</v>
      </c>
      <c r="D6" s="19">
        <v>0.85</v>
      </c>
      <c r="E6" s="19" t="s">
        <v>114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showGridLines="0" tabSelected="1" zoomScaleNormal="100" workbookViewId="0">
      <pane ySplit="1" topLeftCell="A2" activePane="bottomLeft" state="frozen"/>
      <selection pane="bottomLeft" activeCell="I8" sqref="I8"/>
    </sheetView>
  </sheetViews>
  <sheetFormatPr defaultColWidth="8.7109375" defaultRowHeight="15" x14ac:dyDescent="0.25"/>
  <cols>
    <col min="1" max="1" width="15.140625" style="15" bestFit="1" customWidth="1"/>
    <col min="2" max="2" width="14" style="15" customWidth="1"/>
    <col min="3" max="3" width="16" style="15" customWidth="1"/>
    <col min="4" max="4" width="19" style="15" bestFit="1" customWidth="1"/>
    <col min="5" max="5" width="9.140625" style="15" bestFit="1" customWidth="1"/>
    <col min="6" max="6" width="13.85546875" style="15" bestFit="1" customWidth="1"/>
    <col min="7" max="7" width="15.28515625" style="15" bestFit="1" customWidth="1"/>
    <col min="8" max="8" width="19.5703125" style="15" bestFit="1" customWidth="1"/>
    <col min="9" max="9" width="20.42578125" style="15" bestFit="1" customWidth="1"/>
  </cols>
  <sheetData>
    <row r="1" spans="1:9" ht="27.75" customHeight="1" x14ac:dyDescent="0.25">
      <c r="A1" s="17" t="s">
        <v>126</v>
      </c>
      <c r="B1" s="17" t="s">
        <v>127</v>
      </c>
      <c r="C1" s="17" t="s">
        <v>128</v>
      </c>
      <c r="D1" s="17" t="s">
        <v>129</v>
      </c>
      <c r="E1" s="17" t="s">
        <v>130</v>
      </c>
      <c r="F1" s="17" t="s">
        <v>131</v>
      </c>
      <c r="G1" s="17" t="s">
        <v>132</v>
      </c>
      <c r="H1" s="17" t="s">
        <v>133</v>
      </c>
      <c r="I1" s="17" t="s">
        <v>134</v>
      </c>
    </row>
    <row r="2" spans="1:9" ht="15" customHeight="1" x14ac:dyDescent="0.25">
      <c r="A2" s="18" t="s">
        <v>135</v>
      </c>
      <c r="B2" s="19" t="s">
        <v>136</v>
      </c>
      <c r="C2" s="19" t="s">
        <v>137</v>
      </c>
      <c r="D2" s="19">
        <v>5000</v>
      </c>
      <c r="E2" s="19">
        <v>2019</v>
      </c>
      <c r="F2" s="19">
        <v>208061</v>
      </c>
      <c r="G2" s="19" t="s">
        <v>138</v>
      </c>
      <c r="H2" s="19" t="s">
        <v>139</v>
      </c>
      <c r="I2" s="19" t="s">
        <v>140</v>
      </c>
    </row>
    <row r="3" spans="1:9" ht="15" customHeight="1" x14ac:dyDescent="0.25">
      <c r="A3" s="18" t="s">
        <v>141</v>
      </c>
      <c r="B3" s="19" t="s">
        <v>142</v>
      </c>
      <c r="C3" s="19" t="s">
        <v>143</v>
      </c>
      <c r="D3" s="19">
        <v>5000</v>
      </c>
      <c r="E3" s="19">
        <v>2020</v>
      </c>
      <c r="F3" s="19">
        <v>147475</v>
      </c>
      <c r="G3" s="19" t="s">
        <v>138</v>
      </c>
      <c r="H3" s="19" t="s">
        <v>144</v>
      </c>
      <c r="I3" s="19" t="s">
        <v>145</v>
      </c>
    </row>
    <row r="4" spans="1:9" ht="15" customHeight="1" x14ac:dyDescent="0.25">
      <c r="A4" s="18" t="s">
        <v>146</v>
      </c>
      <c r="B4" s="19" t="s">
        <v>147</v>
      </c>
      <c r="C4" s="19" t="s">
        <v>148</v>
      </c>
      <c r="D4" s="19">
        <v>8000</v>
      </c>
      <c r="E4" s="19">
        <v>2017</v>
      </c>
      <c r="F4" s="19">
        <v>213916</v>
      </c>
      <c r="G4" s="19" t="s">
        <v>149</v>
      </c>
      <c r="H4" s="19" t="s">
        <v>150</v>
      </c>
      <c r="I4" s="19" t="s">
        <v>151</v>
      </c>
    </row>
    <row r="5" spans="1:9" ht="15" customHeight="1" x14ac:dyDescent="0.25">
      <c r="A5" s="18" t="s">
        <v>152</v>
      </c>
      <c r="B5" s="19" t="s">
        <v>153</v>
      </c>
      <c r="C5" s="19" t="s">
        <v>143</v>
      </c>
      <c r="D5" s="19">
        <v>3000</v>
      </c>
      <c r="E5" s="19">
        <v>2023</v>
      </c>
      <c r="F5" s="19">
        <v>40353</v>
      </c>
      <c r="G5" s="19" t="s">
        <v>138</v>
      </c>
      <c r="H5" s="19" t="s">
        <v>154</v>
      </c>
      <c r="I5" s="19" t="s">
        <v>155</v>
      </c>
    </row>
    <row r="6" spans="1:9" ht="15" customHeight="1" x14ac:dyDescent="0.25">
      <c r="A6" s="18" t="s">
        <v>156</v>
      </c>
      <c r="B6" s="19" t="s">
        <v>157</v>
      </c>
      <c r="C6" s="19" t="s">
        <v>143</v>
      </c>
      <c r="D6" s="19">
        <v>15000</v>
      </c>
      <c r="E6" s="19">
        <v>2021</v>
      </c>
      <c r="F6" s="19">
        <v>179794</v>
      </c>
      <c r="G6" s="19" t="s">
        <v>138</v>
      </c>
      <c r="H6" s="19" t="s">
        <v>158</v>
      </c>
      <c r="I6" s="19" t="s">
        <v>159</v>
      </c>
    </row>
    <row r="7" spans="1:9" ht="15" customHeight="1" x14ac:dyDescent="0.25">
      <c r="A7" s="18" t="s">
        <v>160</v>
      </c>
      <c r="B7" s="19" t="s">
        <v>161</v>
      </c>
      <c r="C7" s="19" t="s">
        <v>143</v>
      </c>
      <c r="D7" s="19">
        <v>5000</v>
      </c>
      <c r="E7" s="19">
        <v>2018</v>
      </c>
      <c r="F7" s="19">
        <v>114647</v>
      </c>
      <c r="G7" s="19" t="s">
        <v>138</v>
      </c>
      <c r="H7" s="19" t="s">
        <v>162</v>
      </c>
      <c r="I7" s="19" t="s">
        <v>151</v>
      </c>
    </row>
    <row r="8" spans="1:9" ht="15" customHeight="1" x14ac:dyDescent="0.25">
      <c r="A8" s="18" t="s">
        <v>163</v>
      </c>
      <c r="B8" s="19" t="s">
        <v>164</v>
      </c>
      <c r="C8" s="19" t="s">
        <v>165</v>
      </c>
      <c r="D8" s="19">
        <v>8000</v>
      </c>
      <c r="E8" s="19">
        <v>2018</v>
      </c>
      <c r="F8" s="19">
        <v>174680</v>
      </c>
      <c r="G8" s="19" t="s">
        <v>138</v>
      </c>
      <c r="H8" s="19" t="s">
        <v>166</v>
      </c>
      <c r="I8" s="19" t="s">
        <v>159</v>
      </c>
    </row>
    <row r="9" spans="1:9" ht="15" customHeight="1" x14ac:dyDescent="0.25">
      <c r="A9" s="18" t="s">
        <v>167</v>
      </c>
      <c r="B9" s="19" t="s">
        <v>168</v>
      </c>
      <c r="C9" s="19" t="s">
        <v>165</v>
      </c>
      <c r="D9" s="19">
        <v>20000</v>
      </c>
      <c r="E9" s="19">
        <v>2025</v>
      </c>
      <c r="F9" s="19">
        <v>72570</v>
      </c>
      <c r="G9" s="19" t="s">
        <v>169</v>
      </c>
      <c r="H9" s="19" t="s">
        <v>170</v>
      </c>
      <c r="I9" s="19" t="s">
        <v>171</v>
      </c>
    </row>
    <row r="10" spans="1:9" ht="15" customHeight="1" x14ac:dyDescent="0.25">
      <c r="A10" s="18" t="s">
        <v>172</v>
      </c>
      <c r="B10" s="19" t="s">
        <v>173</v>
      </c>
      <c r="C10" s="19" t="s">
        <v>137</v>
      </c>
      <c r="D10" s="19">
        <v>15000</v>
      </c>
      <c r="E10" s="19">
        <v>2022</v>
      </c>
      <c r="F10" s="19">
        <v>70738</v>
      </c>
      <c r="G10" s="19" t="s">
        <v>169</v>
      </c>
      <c r="H10" s="19" t="s">
        <v>174</v>
      </c>
      <c r="I10" s="19" t="s">
        <v>175</v>
      </c>
    </row>
    <row r="11" spans="1:9" ht="15" customHeight="1" x14ac:dyDescent="0.25">
      <c r="A11" s="18" t="s">
        <v>176</v>
      </c>
      <c r="B11" s="19" t="s">
        <v>177</v>
      </c>
      <c r="C11" s="19" t="s">
        <v>165</v>
      </c>
      <c r="D11" s="19">
        <v>15000</v>
      </c>
      <c r="E11" s="19">
        <v>2025</v>
      </c>
      <c r="F11" s="19">
        <v>83876</v>
      </c>
      <c r="G11" s="19" t="s">
        <v>169</v>
      </c>
      <c r="H11" s="19" t="s">
        <v>178</v>
      </c>
      <c r="I11" s="19" t="s">
        <v>179</v>
      </c>
    </row>
    <row r="12" spans="1:9" ht="15" customHeight="1" x14ac:dyDescent="0.25">
      <c r="A12" s="18" t="s">
        <v>180</v>
      </c>
      <c r="B12" s="19" t="s">
        <v>181</v>
      </c>
      <c r="C12" s="19" t="s">
        <v>182</v>
      </c>
      <c r="D12" s="19">
        <v>3000</v>
      </c>
      <c r="E12" s="19">
        <v>2017</v>
      </c>
      <c r="F12" s="19">
        <v>43743</v>
      </c>
      <c r="G12" s="19" t="s">
        <v>138</v>
      </c>
      <c r="H12" s="19" t="s">
        <v>183</v>
      </c>
      <c r="I12" s="19" t="s">
        <v>184</v>
      </c>
    </row>
    <row r="13" spans="1:9" ht="15" customHeight="1" x14ac:dyDescent="0.25">
      <c r="A13" s="18" t="s">
        <v>185</v>
      </c>
      <c r="B13" s="19" t="s">
        <v>186</v>
      </c>
      <c r="C13" s="19" t="s">
        <v>148</v>
      </c>
      <c r="D13" s="19">
        <v>10000</v>
      </c>
      <c r="E13" s="19">
        <v>2025</v>
      </c>
      <c r="F13" s="19">
        <v>80906</v>
      </c>
      <c r="G13" s="19" t="s">
        <v>149</v>
      </c>
      <c r="H13" s="19" t="s">
        <v>187</v>
      </c>
      <c r="I13" s="19" t="s">
        <v>145</v>
      </c>
    </row>
    <row r="14" spans="1:9" ht="15" customHeight="1" x14ac:dyDescent="0.25">
      <c r="A14" s="18" t="s">
        <v>188</v>
      </c>
      <c r="B14" s="19" t="s">
        <v>189</v>
      </c>
      <c r="C14" s="19" t="s">
        <v>190</v>
      </c>
      <c r="D14" s="19">
        <v>10000</v>
      </c>
      <c r="E14" s="19">
        <v>2019</v>
      </c>
      <c r="F14" s="19">
        <v>133940</v>
      </c>
      <c r="G14" s="19" t="s">
        <v>138</v>
      </c>
      <c r="H14" s="19" t="s">
        <v>191</v>
      </c>
      <c r="I14" s="19" t="s">
        <v>155</v>
      </c>
    </row>
    <row r="15" spans="1:9" ht="15" customHeight="1" x14ac:dyDescent="0.25">
      <c r="A15" s="18" t="s">
        <v>192</v>
      </c>
      <c r="B15" s="19" t="s">
        <v>193</v>
      </c>
      <c r="C15" s="19" t="s">
        <v>190</v>
      </c>
      <c r="D15" s="19">
        <v>20000</v>
      </c>
      <c r="E15" s="19">
        <v>2025</v>
      </c>
      <c r="F15" s="19">
        <v>174637</v>
      </c>
      <c r="G15" s="19" t="s">
        <v>138</v>
      </c>
      <c r="H15" s="19" t="s">
        <v>194</v>
      </c>
      <c r="I15" s="19" t="s">
        <v>195</v>
      </c>
    </row>
    <row r="16" spans="1:9" ht="15" customHeight="1" x14ac:dyDescent="0.25">
      <c r="A16" s="18" t="s">
        <v>196</v>
      </c>
      <c r="B16" s="19" t="s">
        <v>197</v>
      </c>
      <c r="C16" s="19" t="s">
        <v>143</v>
      </c>
      <c r="D16" s="19">
        <v>3000</v>
      </c>
      <c r="E16" s="19">
        <v>2022</v>
      </c>
      <c r="F16" s="19">
        <v>95612</v>
      </c>
      <c r="G16" s="19" t="s">
        <v>138</v>
      </c>
      <c r="H16" s="19" t="s">
        <v>198</v>
      </c>
      <c r="I16" s="19" t="s">
        <v>140</v>
      </c>
    </row>
    <row r="17" spans="1:9" ht="15" customHeight="1" x14ac:dyDescent="0.25">
      <c r="A17" s="18" t="s">
        <v>199</v>
      </c>
      <c r="B17" s="19" t="s">
        <v>200</v>
      </c>
      <c r="C17" s="19" t="s">
        <v>137</v>
      </c>
      <c r="D17" s="19">
        <v>5000</v>
      </c>
      <c r="E17" s="19">
        <v>2024</v>
      </c>
      <c r="F17" s="19">
        <v>159127</v>
      </c>
      <c r="G17" s="19" t="s">
        <v>138</v>
      </c>
      <c r="H17" s="19" t="s">
        <v>201</v>
      </c>
      <c r="I17" s="19" t="s">
        <v>202</v>
      </c>
    </row>
    <row r="18" spans="1:9" ht="15" customHeight="1" x14ac:dyDescent="0.25">
      <c r="A18" s="18" t="s">
        <v>203</v>
      </c>
      <c r="B18" s="19" t="s">
        <v>204</v>
      </c>
      <c r="C18" s="19" t="s">
        <v>182</v>
      </c>
      <c r="D18" s="19">
        <v>20000</v>
      </c>
      <c r="E18" s="19">
        <v>2022</v>
      </c>
      <c r="F18" s="19">
        <v>129845</v>
      </c>
      <c r="G18" s="19" t="s">
        <v>149</v>
      </c>
      <c r="H18" s="19" t="s">
        <v>205</v>
      </c>
      <c r="I18" s="19" t="s">
        <v>159</v>
      </c>
    </row>
    <row r="19" spans="1:9" ht="15" customHeight="1" x14ac:dyDescent="0.25">
      <c r="A19" s="18" t="s">
        <v>206</v>
      </c>
      <c r="B19" s="19" t="s">
        <v>207</v>
      </c>
      <c r="C19" s="19" t="s">
        <v>148</v>
      </c>
      <c r="D19" s="19">
        <v>15000</v>
      </c>
      <c r="E19" s="19">
        <v>2020</v>
      </c>
      <c r="F19" s="19">
        <v>169256</v>
      </c>
      <c r="G19" s="19" t="s">
        <v>138</v>
      </c>
      <c r="H19" s="19" t="s">
        <v>208</v>
      </c>
      <c r="I19" s="19" t="s">
        <v>184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showGridLines="0" zoomScaleNormal="100" workbookViewId="0">
      <pane ySplit="1" topLeftCell="A2" activePane="bottomLeft" state="frozen"/>
      <selection pane="bottomLeft" activeCell="G4" sqref="G4"/>
    </sheetView>
  </sheetViews>
  <sheetFormatPr defaultColWidth="8.7109375" defaultRowHeight="15" x14ac:dyDescent="0.25"/>
  <cols>
    <col min="1" max="1" width="13.85546875" style="15" bestFit="1" customWidth="1"/>
    <col min="2" max="2" width="25" style="15" bestFit="1" customWidth="1"/>
    <col min="3" max="3" width="14" style="15" customWidth="1"/>
    <col min="4" max="4" width="22" style="15" customWidth="1"/>
    <col min="5" max="5" width="16" style="15" bestFit="1" customWidth="1"/>
    <col min="6" max="6" width="18.42578125" style="15" bestFit="1" customWidth="1"/>
    <col min="7" max="7" width="18.7109375" style="15" bestFit="1" customWidth="1"/>
    <col min="8" max="8" width="22.140625" style="15" bestFit="1" customWidth="1"/>
    <col min="9" max="9" width="18.85546875" style="15" bestFit="1" customWidth="1"/>
  </cols>
  <sheetData>
    <row r="1" spans="1:9" ht="27.75" customHeight="1" x14ac:dyDescent="0.25">
      <c r="A1" s="17" t="s">
        <v>209</v>
      </c>
      <c r="B1" s="17" t="s">
        <v>210</v>
      </c>
      <c r="C1" s="17" t="s">
        <v>211</v>
      </c>
      <c r="D1" s="17" t="s">
        <v>212</v>
      </c>
      <c r="E1" s="17" t="s">
        <v>213</v>
      </c>
      <c r="F1" s="17" t="s">
        <v>214</v>
      </c>
      <c r="G1" s="17" t="s">
        <v>215</v>
      </c>
      <c r="H1" s="17" t="s">
        <v>216</v>
      </c>
      <c r="I1" s="20" t="s">
        <v>217</v>
      </c>
    </row>
    <row r="2" spans="1:9" ht="15" customHeight="1" x14ac:dyDescent="0.25">
      <c r="A2" s="18" t="s">
        <v>218</v>
      </c>
      <c r="B2" s="19" t="s">
        <v>219</v>
      </c>
      <c r="C2" s="19" t="s">
        <v>100</v>
      </c>
      <c r="D2" s="19" t="s">
        <v>220</v>
      </c>
      <c r="E2" s="19">
        <v>74</v>
      </c>
      <c r="F2" s="19">
        <v>54</v>
      </c>
      <c r="G2" s="19">
        <v>423</v>
      </c>
      <c r="H2" s="19">
        <v>3931.89</v>
      </c>
      <c r="I2" s="21" t="str">
        <f t="shared" ref="I2:I33" si="0">IF(E2&lt;F2,"RUTURA - REPOR",IF(E2&gt;G2,"EXCESSO DE STOCK","NORMAL"))</f>
        <v>NORMAL</v>
      </c>
    </row>
    <row r="3" spans="1:9" ht="15" customHeight="1" x14ac:dyDescent="0.25">
      <c r="A3" s="18" t="s">
        <v>221</v>
      </c>
      <c r="B3" s="19" t="s">
        <v>222</v>
      </c>
      <c r="C3" s="19" t="s">
        <v>100</v>
      </c>
      <c r="D3" s="19" t="s">
        <v>223</v>
      </c>
      <c r="E3" s="19">
        <v>502</v>
      </c>
      <c r="F3" s="19">
        <v>77</v>
      </c>
      <c r="G3" s="19">
        <v>553</v>
      </c>
      <c r="H3" s="19">
        <v>6648.18</v>
      </c>
      <c r="I3" s="21" t="str">
        <f t="shared" si="0"/>
        <v>NORMAL</v>
      </c>
    </row>
    <row r="4" spans="1:9" ht="15" customHeight="1" x14ac:dyDescent="0.25">
      <c r="A4" s="18" t="s">
        <v>224</v>
      </c>
      <c r="B4" s="19" t="s">
        <v>225</v>
      </c>
      <c r="C4" s="19" t="s">
        <v>100</v>
      </c>
      <c r="D4" s="19" t="s">
        <v>220</v>
      </c>
      <c r="E4" s="19">
        <v>489</v>
      </c>
      <c r="F4" s="19">
        <v>102</v>
      </c>
      <c r="G4" s="19">
        <v>399</v>
      </c>
      <c r="H4" s="19">
        <v>4969.2</v>
      </c>
      <c r="I4" s="21" t="str">
        <f t="shared" si="0"/>
        <v>EXCESSO DE STOCK</v>
      </c>
    </row>
    <row r="5" spans="1:9" ht="15" customHeight="1" x14ac:dyDescent="0.25">
      <c r="A5" s="18" t="s">
        <v>226</v>
      </c>
      <c r="B5" s="19" t="s">
        <v>225</v>
      </c>
      <c r="C5" s="19" t="s">
        <v>100</v>
      </c>
      <c r="D5" s="19" t="s">
        <v>227</v>
      </c>
      <c r="E5" s="19">
        <v>446</v>
      </c>
      <c r="F5" s="19">
        <v>95</v>
      </c>
      <c r="G5" s="19">
        <v>511</v>
      </c>
      <c r="H5" s="19">
        <v>18970.72</v>
      </c>
      <c r="I5" s="21" t="str">
        <f t="shared" si="0"/>
        <v>NORMAL</v>
      </c>
    </row>
    <row r="6" spans="1:9" ht="15" customHeight="1" x14ac:dyDescent="0.25">
      <c r="A6" s="18" t="s">
        <v>228</v>
      </c>
      <c r="B6" s="19" t="s">
        <v>229</v>
      </c>
      <c r="C6" s="19" t="s">
        <v>100</v>
      </c>
      <c r="D6" s="19" t="s">
        <v>227</v>
      </c>
      <c r="E6" s="19">
        <v>105</v>
      </c>
      <c r="F6" s="19">
        <v>57</v>
      </c>
      <c r="G6" s="19">
        <v>463</v>
      </c>
      <c r="H6" s="19">
        <v>32987.040000000001</v>
      </c>
      <c r="I6" s="21" t="str">
        <f t="shared" si="0"/>
        <v>NORMAL</v>
      </c>
    </row>
    <row r="7" spans="1:9" ht="15" customHeight="1" x14ac:dyDescent="0.25">
      <c r="A7" s="18" t="s">
        <v>230</v>
      </c>
      <c r="B7" s="19" t="s">
        <v>231</v>
      </c>
      <c r="C7" s="19" t="s">
        <v>100</v>
      </c>
      <c r="D7" s="19" t="s">
        <v>220</v>
      </c>
      <c r="E7" s="19">
        <v>201</v>
      </c>
      <c r="F7" s="19">
        <v>74</v>
      </c>
      <c r="G7" s="19">
        <v>548</v>
      </c>
      <c r="H7" s="19">
        <v>20628.72</v>
      </c>
      <c r="I7" s="21" t="str">
        <f t="shared" si="0"/>
        <v>NORMAL</v>
      </c>
    </row>
    <row r="8" spans="1:9" ht="15" customHeight="1" x14ac:dyDescent="0.25">
      <c r="A8" s="18" t="s">
        <v>232</v>
      </c>
      <c r="B8" s="19" t="s">
        <v>233</v>
      </c>
      <c r="C8" s="19" t="s">
        <v>234</v>
      </c>
      <c r="D8" s="19" t="s">
        <v>220</v>
      </c>
      <c r="E8" s="19">
        <v>290</v>
      </c>
      <c r="F8" s="19">
        <v>109</v>
      </c>
      <c r="G8" s="19">
        <v>436</v>
      </c>
      <c r="H8" s="19">
        <v>39452.28</v>
      </c>
      <c r="I8" s="21" t="str">
        <f t="shared" si="0"/>
        <v>NORMAL</v>
      </c>
    </row>
    <row r="9" spans="1:9" ht="15" customHeight="1" x14ac:dyDescent="0.25">
      <c r="A9" s="18" t="s">
        <v>235</v>
      </c>
      <c r="B9" s="19" t="s">
        <v>233</v>
      </c>
      <c r="C9" s="19" t="s">
        <v>234</v>
      </c>
      <c r="D9" s="19" t="s">
        <v>220</v>
      </c>
      <c r="E9" s="19">
        <v>458</v>
      </c>
      <c r="F9" s="19">
        <v>120</v>
      </c>
      <c r="G9" s="19">
        <v>370</v>
      </c>
      <c r="H9" s="19">
        <v>3036</v>
      </c>
      <c r="I9" s="21" t="str">
        <f t="shared" si="0"/>
        <v>EXCESSO DE STOCK</v>
      </c>
    </row>
    <row r="10" spans="1:9" ht="15" customHeight="1" x14ac:dyDescent="0.25">
      <c r="A10" s="18" t="s">
        <v>236</v>
      </c>
      <c r="B10" s="19" t="s">
        <v>237</v>
      </c>
      <c r="C10" s="19" t="s">
        <v>234</v>
      </c>
      <c r="D10" s="19" t="s">
        <v>220</v>
      </c>
      <c r="E10" s="19">
        <v>247</v>
      </c>
      <c r="F10" s="19">
        <v>71</v>
      </c>
      <c r="G10" s="19">
        <v>479</v>
      </c>
      <c r="H10" s="19">
        <v>22265.34</v>
      </c>
      <c r="I10" s="21" t="str">
        <f t="shared" si="0"/>
        <v>NORMAL</v>
      </c>
    </row>
    <row r="11" spans="1:9" ht="15" customHeight="1" x14ac:dyDescent="0.25">
      <c r="A11" s="18" t="s">
        <v>238</v>
      </c>
      <c r="B11" s="19" t="s">
        <v>239</v>
      </c>
      <c r="C11" s="19" t="s">
        <v>234</v>
      </c>
      <c r="D11" s="19" t="s">
        <v>223</v>
      </c>
      <c r="E11" s="19">
        <v>65</v>
      </c>
      <c r="F11" s="19">
        <v>71</v>
      </c>
      <c r="G11" s="19">
        <v>465</v>
      </c>
      <c r="H11" s="19">
        <v>895.27</v>
      </c>
      <c r="I11" s="21" t="str">
        <f t="shared" si="0"/>
        <v>RUTURA - REPOR</v>
      </c>
    </row>
    <row r="12" spans="1:9" ht="15" customHeight="1" x14ac:dyDescent="0.25">
      <c r="A12" s="18" t="s">
        <v>240</v>
      </c>
      <c r="B12" s="19" t="s">
        <v>241</v>
      </c>
      <c r="C12" s="19" t="s">
        <v>234</v>
      </c>
      <c r="D12" s="19" t="s">
        <v>223</v>
      </c>
      <c r="E12" s="19">
        <v>470</v>
      </c>
      <c r="F12" s="19">
        <v>86</v>
      </c>
      <c r="G12" s="19">
        <v>502</v>
      </c>
      <c r="H12" s="19">
        <v>31589.34</v>
      </c>
      <c r="I12" s="21" t="str">
        <f t="shared" si="0"/>
        <v>NORMAL</v>
      </c>
    </row>
    <row r="13" spans="1:9" ht="15" customHeight="1" x14ac:dyDescent="0.25">
      <c r="A13" s="18" t="s">
        <v>242</v>
      </c>
      <c r="B13" s="19" t="s">
        <v>241</v>
      </c>
      <c r="C13" s="19" t="s">
        <v>234</v>
      </c>
      <c r="D13" s="19" t="s">
        <v>227</v>
      </c>
      <c r="E13" s="19">
        <v>574</v>
      </c>
      <c r="F13" s="19">
        <v>134</v>
      </c>
      <c r="G13" s="19">
        <v>583</v>
      </c>
      <c r="H13" s="19">
        <v>7642.02</v>
      </c>
      <c r="I13" s="21" t="str">
        <f t="shared" si="0"/>
        <v>NORMAL</v>
      </c>
    </row>
    <row r="14" spans="1:9" ht="15" customHeight="1" x14ac:dyDescent="0.25">
      <c r="A14" s="18" t="s">
        <v>243</v>
      </c>
      <c r="B14" s="19" t="s">
        <v>244</v>
      </c>
      <c r="C14" s="19" t="s">
        <v>62</v>
      </c>
      <c r="D14" s="19" t="s">
        <v>220</v>
      </c>
      <c r="E14" s="19">
        <v>64</v>
      </c>
      <c r="F14" s="19">
        <v>124</v>
      </c>
      <c r="G14" s="19">
        <v>601</v>
      </c>
      <c r="H14" s="19">
        <v>3494.32</v>
      </c>
      <c r="I14" s="21" t="str">
        <f t="shared" si="0"/>
        <v>RUTURA - REPOR</v>
      </c>
    </row>
    <row r="15" spans="1:9" ht="15" customHeight="1" x14ac:dyDescent="0.25">
      <c r="A15" s="18" t="s">
        <v>245</v>
      </c>
      <c r="B15" s="19" t="s">
        <v>244</v>
      </c>
      <c r="C15" s="19" t="s">
        <v>62</v>
      </c>
      <c r="D15" s="19" t="s">
        <v>223</v>
      </c>
      <c r="E15" s="19">
        <v>63</v>
      </c>
      <c r="F15" s="19">
        <v>56</v>
      </c>
      <c r="G15" s="19">
        <v>555</v>
      </c>
      <c r="H15" s="19">
        <v>21874.05</v>
      </c>
      <c r="I15" s="21" t="str">
        <f t="shared" si="0"/>
        <v>NORMAL</v>
      </c>
    </row>
    <row r="16" spans="1:9" ht="15" customHeight="1" x14ac:dyDescent="0.25">
      <c r="A16" s="18" t="s">
        <v>246</v>
      </c>
      <c r="B16" s="19" t="s">
        <v>247</v>
      </c>
      <c r="C16" s="19" t="s">
        <v>62</v>
      </c>
      <c r="D16" s="19" t="s">
        <v>220</v>
      </c>
      <c r="E16" s="19">
        <v>525</v>
      </c>
      <c r="F16" s="19">
        <v>60</v>
      </c>
      <c r="G16" s="19">
        <v>355</v>
      </c>
      <c r="H16" s="19">
        <v>3828.64</v>
      </c>
      <c r="I16" s="21" t="str">
        <f t="shared" si="0"/>
        <v>EXCESSO DE STOCK</v>
      </c>
    </row>
    <row r="17" spans="1:9" ht="15" customHeight="1" x14ac:dyDescent="0.25">
      <c r="A17" s="18" t="s">
        <v>248</v>
      </c>
      <c r="B17" s="19" t="s">
        <v>249</v>
      </c>
      <c r="C17" s="19" t="s">
        <v>62</v>
      </c>
      <c r="D17" s="19" t="s">
        <v>227</v>
      </c>
      <c r="E17" s="19">
        <v>245</v>
      </c>
      <c r="F17" s="19">
        <v>101</v>
      </c>
      <c r="G17" s="19">
        <v>362</v>
      </c>
      <c r="H17" s="19">
        <v>42418.55</v>
      </c>
      <c r="I17" s="21" t="str">
        <f t="shared" si="0"/>
        <v>NORMAL</v>
      </c>
    </row>
    <row r="18" spans="1:9" ht="15" customHeight="1" x14ac:dyDescent="0.25">
      <c r="A18" s="18" t="s">
        <v>250</v>
      </c>
      <c r="B18" s="19" t="s">
        <v>251</v>
      </c>
      <c r="C18" s="19" t="s">
        <v>62</v>
      </c>
      <c r="D18" s="19" t="s">
        <v>227</v>
      </c>
      <c r="E18" s="19">
        <v>45</v>
      </c>
      <c r="F18" s="19">
        <v>129</v>
      </c>
      <c r="G18" s="19">
        <v>370</v>
      </c>
      <c r="H18" s="19">
        <v>19329.740000000002</v>
      </c>
      <c r="I18" s="21" t="str">
        <f t="shared" si="0"/>
        <v>RUTURA - REPOR</v>
      </c>
    </row>
    <row r="19" spans="1:9" ht="15" customHeight="1" x14ac:dyDescent="0.25">
      <c r="A19" s="18" t="s">
        <v>252</v>
      </c>
      <c r="B19" s="19" t="s">
        <v>253</v>
      </c>
      <c r="C19" s="19" t="s">
        <v>96</v>
      </c>
      <c r="D19" s="19" t="s">
        <v>223</v>
      </c>
      <c r="E19" s="19">
        <v>214</v>
      </c>
      <c r="F19" s="19">
        <v>135</v>
      </c>
      <c r="G19" s="19">
        <v>495</v>
      </c>
      <c r="H19" s="19">
        <v>11349.92</v>
      </c>
      <c r="I19" s="21" t="str">
        <f t="shared" si="0"/>
        <v>NORMAL</v>
      </c>
    </row>
    <row r="20" spans="1:9" ht="15" customHeight="1" x14ac:dyDescent="0.25">
      <c r="A20" s="18" t="s">
        <v>254</v>
      </c>
      <c r="B20" s="19" t="s">
        <v>253</v>
      </c>
      <c r="C20" s="19" t="s">
        <v>96</v>
      </c>
      <c r="D20" s="19" t="s">
        <v>223</v>
      </c>
      <c r="E20" s="19">
        <v>139</v>
      </c>
      <c r="F20" s="19">
        <v>135</v>
      </c>
      <c r="G20" s="19">
        <v>488</v>
      </c>
      <c r="H20" s="19">
        <v>21009.33</v>
      </c>
      <c r="I20" s="21" t="str">
        <f t="shared" si="0"/>
        <v>NORMAL</v>
      </c>
    </row>
    <row r="21" spans="1:9" ht="15" customHeight="1" x14ac:dyDescent="0.25">
      <c r="A21" s="18" t="s">
        <v>255</v>
      </c>
      <c r="B21" s="19" t="s">
        <v>256</v>
      </c>
      <c r="C21" s="19" t="s">
        <v>96</v>
      </c>
      <c r="D21" s="19" t="s">
        <v>220</v>
      </c>
      <c r="E21" s="19">
        <v>474</v>
      </c>
      <c r="F21" s="19">
        <v>129</v>
      </c>
      <c r="G21" s="19">
        <v>617</v>
      </c>
      <c r="H21" s="19">
        <v>44827.46</v>
      </c>
      <c r="I21" s="21" t="str">
        <f t="shared" si="0"/>
        <v>NORMAL</v>
      </c>
    </row>
    <row r="22" spans="1:9" ht="15" customHeight="1" x14ac:dyDescent="0.25">
      <c r="A22" s="18" t="s">
        <v>257</v>
      </c>
      <c r="B22" s="19" t="s">
        <v>258</v>
      </c>
      <c r="C22" s="19" t="s">
        <v>96</v>
      </c>
      <c r="D22" s="19" t="s">
        <v>227</v>
      </c>
      <c r="E22" s="19">
        <v>223</v>
      </c>
      <c r="F22" s="19">
        <v>114</v>
      </c>
      <c r="G22" s="19">
        <v>449</v>
      </c>
      <c r="H22" s="19">
        <v>6654.58</v>
      </c>
      <c r="I22" s="21" t="str">
        <f t="shared" si="0"/>
        <v>NORMAL</v>
      </c>
    </row>
    <row r="23" spans="1:9" ht="15" customHeight="1" x14ac:dyDescent="0.25">
      <c r="A23" s="18" t="s">
        <v>259</v>
      </c>
      <c r="B23" s="19" t="s">
        <v>260</v>
      </c>
      <c r="C23" s="19" t="s">
        <v>105</v>
      </c>
      <c r="D23" s="19" t="s">
        <v>220</v>
      </c>
      <c r="E23" s="19">
        <v>255</v>
      </c>
      <c r="F23" s="19">
        <v>97</v>
      </c>
      <c r="G23" s="19">
        <v>442</v>
      </c>
      <c r="H23" s="19">
        <v>7772.41</v>
      </c>
      <c r="I23" s="21" t="str">
        <f t="shared" si="0"/>
        <v>NORMAL</v>
      </c>
    </row>
    <row r="24" spans="1:9" ht="15" customHeight="1" x14ac:dyDescent="0.25">
      <c r="A24" s="18" t="s">
        <v>261</v>
      </c>
      <c r="B24" s="19" t="s">
        <v>260</v>
      </c>
      <c r="C24" s="19" t="s">
        <v>105</v>
      </c>
      <c r="D24" s="19" t="s">
        <v>227</v>
      </c>
      <c r="E24" s="19">
        <v>314</v>
      </c>
      <c r="F24" s="19">
        <v>128</v>
      </c>
      <c r="G24" s="19">
        <v>598</v>
      </c>
      <c r="H24" s="19">
        <v>1145.78</v>
      </c>
      <c r="I24" s="21" t="str">
        <f t="shared" si="0"/>
        <v>NORMAL</v>
      </c>
    </row>
    <row r="25" spans="1:9" ht="15" customHeight="1" x14ac:dyDescent="0.25">
      <c r="A25" s="18" t="s">
        <v>262</v>
      </c>
      <c r="B25" s="19" t="s">
        <v>263</v>
      </c>
      <c r="C25" s="19" t="s">
        <v>105</v>
      </c>
      <c r="D25" s="19" t="s">
        <v>227</v>
      </c>
      <c r="E25" s="19">
        <v>111</v>
      </c>
      <c r="F25" s="19">
        <v>67</v>
      </c>
      <c r="G25" s="19">
        <v>402</v>
      </c>
      <c r="H25" s="19">
        <v>5901.95</v>
      </c>
      <c r="I25" s="21" t="str">
        <f t="shared" si="0"/>
        <v>NORMAL</v>
      </c>
    </row>
    <row r="26" spans="1:9" ht="15" customHeight="1" x14ac:dyDescent="0.25">
      <c r="A26" s="18" t="s">
        <v>264</v>
      </c>
      <c r="B26" s="19" t="s">
        <v>263</v>
      </c>
      <c r="C26" s="19" t="s">
        <v>105</v>
      </c>
      <c r="D26" s="19" t="s">
        <v>220</v>
      </c>
      <c r="E26" s="19">
        <v>571</v>
      </c>
      <c r="F26" s="19">
        <v>69</v>
      </c>
      <c r="G26" s="19">
        <v>408</v>
      </c>
      <c r="H26" s="19">
        <v>13253.63</v>
      </c>
      <c r="I26" s="21" t="str">
        <f t="shared" si="0"/>
        <v>EXCESSO DE STOCK</v>
      </c>
    </row>
    <row r="27" spans="1:9" ht="15" customHeight="1" x14ac:dyDescent="0.25">
      <c r="A27" s="18" t="s">
        <v>265</v>
      </c>
      <c r="B27" s="19" t="s">
        <v>266</v>
      </c>
      <c r="C27" s="19" t="s">
        <v>105</v>
      </c>
      <c r="D27" s="19" t="s">
        <v>227</v>
      </c>
      <c r="E27" s="19">
        <v>356</v>
      </c>
      <c r="F27" s="19">
        <v>76</v>
      </c>
      <c r="G27" s="19">
        <v>411</v>
      </c>
      <c r="H27" s="19">
        <v>23139.08</v>
      </c>
      <c r="I27" s="21" t="str">
        <f t="shared" si="0"/>
        <v>NORMAL</v>
      </c>
    </row>
    <row r="28" spans="1:9" ht="15" customHeight="1" x14ac:dyDescent="0.25">
      <c r="A28" s="18" t="s">
        <v>267</v>
      </c>
      <c r="B28" s="19" t="s">
        <v>268</v>
      </c>
      <c r="C28" s="19" t="s">
        <v>269</v>
      </c>
      <c r="D28" s="19" t="s">
        <v>220</v>
      </c>
      <c r="E28" s="19">
        <v>99</v>
      </c>
      <c r="F28" s="19">
        <v>131</v>
      </c>
      <c r="G28" s="19">
        <v>547</v>
      </c>
      <c r="H28" s="19">
        <v>37457.19</v>
      </c>
      <c r="I28" s="21" t="str">
        <f t="shared" si="0"/>
        <v>RUTURA - REPOR</v>
      </c>
    </row>
    <row r="29" spans="1:9" ht="15" customHeight="1" x14ac:dyDescent="0.25">
      <c r="A29" s="18" t="s">
        <v>270</v>
      </c>
      <c r="B29" s="19" t="s">
        <v>268</v>
      </c>
      <c r="C29" s="19" t="s">
        <v>269</v>
      </c>
      <c r="D29" s="19" t="s">
        <v>220</v>
      </c>
      <c r="E29" s="19">
        <v>8</v>
      </c>
      <c r="F29" s="19">
        <v>92</v>
      </c>
      <c r="G29" s="19">
        <v>358</v>
      </c>
      <c r="H29" s="19">
        <v>28960.41</v>
      </c>
      <c r="I29" s="21" t="str">
        <f t="shared" si="0"/>
        <v>RUTURA - REPOR</v>
      </c>
    </row>
    <row r="30" spans="1:9" ht="15" customHeight="1" x14ac:dyDescent="0.25">
      <c r="A30" s="18" t="s">
        <v>271</v>
      </c>
      <c r="B30" s="19" t="s">
        <v>272</v>
      </c>
      <c r="C30" s="19" t="s">
        <v>269</v>
      </c>
      <c r="D30" s="19" t="s">
        <v>220</v>
      </c>
      <c r="E30" s="19">
        <v>457</v>
      </c>
      <c r="F30" s="19">
        <v>120</v>
      </c>
      <c r="G30" s="19">
        <v>538</v>
      </c>
      <c r="H30" s="19">
        <v>25592.080000000002</v>
      </c>
      <c r="I30" s="21" t="str">
        <f t="shared" si="0"/>
        <v>NORMAL</v>
      </c>
    </row>
    <row r="31" spans="1:9" ht="15" customHeight="1" x14ac:dyDescent="0.25">
      <c r="A31" s="18" t="s">
        <v>273</v>
      </c>
      <c r="B31" s="19" t="s">
        <v>272</v>
      </c>
      <c r="C31" s="19" t="s">
        <v>269</v>
      </c>
      <c r="D31" s="19" t="s">
        <v>220</v>
      </c>
      <c r="E31" s="19">
        <v>82</v>
      </c>
      <c r="F31" s="19">
        <v>138</v>
      </c>
      <c r="G31" s="19">
        <v>414</v>
      </c>
      <c r="H31" s="19">
        <v>24915.09</v>
      </c>
      <c r="I31" s="21" t="str">
        <f t="shared" si="0"/>
        <v>RUTURA - REPOR</v>
      </c>
    </row>
    <row r="32" spans="1:9" ht="15" customHeight="1" x14ac:dyDescent="0.25">
      <c r="A32" s="18" t="s">
        <v>274</v>
      </c>
      <c r="B32" s="19" t="s">
        <v>275</v>
      </c>
      <c r="C32" s="19" t="s">
        <v>269</v>
      </c>
      <c r="D32" s="19" t="s">
        <v>227</v>
      </c>
      <c r="E32" s="19">
        <v>570</v>
      </c>
      <c r="F32" s="19">
        <v>68</v>
      </c>
      <c r="G32" s="19">
        <v>488</v>
      </c>
      <c r="H32" s="19">
        <v>6433.09</v>
      </c>
      <c r="I32" s="21" t="str">
        <f t="shared" si="0"/>
        <v>EXCESSO DE STOCK</v>
      </c>
    </row>
    <row r="33" spans="1:9" ht="15" customHeight="1" x14ac:dyDescent="0.25">
      <c r="A33" s="18" t="s">
        <v>276</v>
      </c>
      <c r="B33" s="19" t="s">
        <v>275</v>
      </c>
      <c r="C33" s="19" t="s">
        <v>269</v>
      </c>
      <c r="D33" s="19" t="s">
        <v>223</v>
      </c>
      <c r="E33" s="19">
        <v>378</v>
      </c>
      <c r="F33" s="19">
        <v>55</v>
      </c>
      <c r="G33" s="19">
        <v>438</v>
      </c>
      <c r="H33" s="19">
        <v>10085.379999999999</v>
      </c>
      <c r="I33" s="21" t="str">
        <f t="shared" si="0"/>
        <v>NORMAL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Views>
    <sheetView showGridLines="0" zoomScaleNormal="100" workbookViewId="0">
      <pane ySplit="1" topLeftCell="A2" activePane="bottomLeft" state="frozen"/>
      <selection pane="bottomLeft" activeCell="D16" sqref="D16"/>
    </sheetView>
  </sheetViews>
  <sheetFormatPr defaultColWidth="8.7109375" defaultRowHeight="15" x14ac:dyDescent="0.25"/>
  <cols>
    <col min="1" max="1" width="18.85546875" style="15" bestFit="1" customWidth="1"/>
    <col min="2" max="2" width="14.85546875" style="15" bestFit="1" customWidth="1"/>
    <col min="3" max="3" width="24.7109375" style="15" bestFit="1" customWidth="1"/>
    <col min="4" max="4" width="22.140625" style="15" bestFit="1" customWidth="1"/>
    <col min="5" max="5" width="25.7109375" style="15" bestFit="1" customWidth="1"/>
    <col min="6" max="6" width="16.85546875" style="15" bestFit="1" customWidth="1"/>
    <col min="7" max="7" width="17.85546875" style="15" bestFit="1" customWidth="1"/>
    <col min="8" max="8" width="17.28515625" style="15" bestFit="1" customWidth="1"/>
    <col min="9" max="9" width="11.28515625" style="15" bestFit="1" customWidth="1"/>
    <col min="10" max="10" width="16.42578125" style="15" bestFit="1" customWidth="1"/>
    <col min="11" max="11" width="13" style="15" bestFit="1" customWidth="1"/>
    <col min="12" max="12" width="24.42578125" style="15" bestFit="1" customWidth="1"/>
    <col min="13" max="13" width="17.42578125" style="15" bestFit="1" customWidth="1"/>
    <col min="14" max="14" width="24.5703125" style="15" bestFit="1" customWidth="1"/>
    <col min="15" max="15" width="19.140625" style="15" bestFit="1" customWidth="1"/>
  </cols>
  <sheetData>
    <row r="1" spans="1:15" ht="27.75" customHeight="1" x14ac:dyDescent="0.25">
      <c r="A1" s="17" t="s">
        <v>277</v>
      </c>
      <c r="B1" s="17" t="s">
        <v>49</v>
      </c>
      <c r="C1" s="17" t="s">
        <v>50</v>
      </c>
      <c r="D1" s="17" t="s">
        <v>107</v>
      </c>
      <c r="E1" s="17" t="s">
        <v>108</v>
      </c>
      <c r="F1" s="17" t="s">
        <v>278</v>
      </c>
      <c r="G1" s="17" t="s">
        <v>279</v>
      </c>
      <c r="H1" s="17" t="s">
        <v>280</v>
      </c>
      <c r="I1" s="17" t="s">
        <v>281</v>
      </c>
      <c r="J1" s="17" t="s">
        <v>282</v>
      </c>
      <c r="K1" s="17" t="s">
        <v>283</v>
      </c>
      <c r="L1" s="17" t="s">
        <v>284</v>
      </c>
      <c r="M1" s="17" t="s">
        <v>285</v>
      </c>
      <c r="N1" s="17" t="s">
        <v>286</v>
      </c>
      <c r="O1" s="20" t="s">
        <v>287</v>
      </c>
    </row>
    <row r="2" spans="1:15" ht="15" customHeight="1" x14ac:dyDescent="0.25">
      <c r="A2" s="18" t="s">
        <v>288</v>
      </c>
      <c r="B2" s="19" t="s">
        <v>68</v>
      </c>
      <c r="C2" s="19" t="s">
        <v>69</v>
      </c>
      <c r="D2" s="19" t="s">
        <v>112</v>
      </c>
      <c r="E2" s="19" t="s">
        <v>113</v>
      </c>
      <c r="F2" s="19" t="s">
        <v>289</v>
      </c>
      <c r="G2" s="19" t="s">
        <v>290</v>
      </c>
      <c r="H2" s="19" t="s">
        <v>291</v>
      </c>
      <c r="I2" s="19" t="s">
        <v>292</v>
      </c>
      <c r="J2" s="19">
        <v>20</v>
      </c>
      <c r="K2" s="19">
        <v>7420</v>
      </c>
      <c r="L2" s="19">
        <v>69950.710000000006</v>
      </c>
      <c r="M2" s="19">
        <v>257</v>
      </c>
      <c r="N2" s="19" t="s">
        <v>220</v>
      </c>
      <c r="O2" s="21" t="str">
        <f t="shared" ref="O2:O33" si="0">IF(I2="Entregue",IF(H2&lt;=G2,"SIM","NAO"),IF(I2="Atrasado","NAO","-"))</f>
        <v>NAO</v>
      </c>
    </row>
    <row r="3" spans="1:15" ht="15" customHeight="1" x14ac:dyDescent="0.25">
      <c r="A3" s="18" t="s">
        <v>293</v>
      </c>
      <c r="B3" s="19" t="s">
        <v>64</v>
      </c>
      <c r="C3" s="19" t="s">
        <v>65</v>
      </c>
      <c r="D3" s="19" t="s">
        <v>121</v>
      </c>
      <c r="E3" s="19" t="s">
        <v>122</v>
      </c>
      <c r="F3" s="19" t="s">
        <v>294</v>
      </c>
      <c r="G3" s="19" t="s">
        <v>295</v>
      </c>
      <c r="H3" s="19"/>
      <c r="I3" s="19" t="s">
        <v>296</v>
      </c>
      <c r="J3" s="19">
        <v>11</v>
      </c>
      <c r="K3" s="19">
        <v>4180</v>
      </c>
      <c r="L3" s="19">
        <v>58874.86</v>
      </c>
      <c r="M3" s="19">
        <v>269</v>
      </c>
      <c r="N3" s="19" t="s">
        <v>223</v>
      </c>
      <c r="O3" s="21" t="str">
        <f t="shared" si="0"/>
        <v>-</v>
      </c>
    </row>
    <row r="4" spans="1:15" ht="15" customHeight="1" x14ac:dyDescent="0.25">
      <c r="A4" s="18" t="s">
        <v>297</v>
      </c>
      <c r="B4" s="19" t="s">
        <v>64</v>
      </c>
      <c r="C4" s="19" t="s">
        <v>65</v>
      </c>
      <c r="D4" s="19" t="s">
        <v>112</v>
      </c>
      <c r="E4" s="19" t="s">
        <v>113</v>
      </c>
      <c r="F4" s="19" t="s">
        <v>298</v>
      </c>
      <c r="G4" s="19" t="s">
        <v>299</v>
      </c>
      <c r="H4" s="19" t="s">
        <v>300</v>
      </c>
      <c r="I4" s="19" t="s">
        <v>292</v>
      </c>
      <c r="J4" s="19">
        <v>7</v>
      </c>
      <c r="K4" s="19">
        <v>2723</v>
      </c>
      <c r="L4" s="19">
        <v>38151.17</v>
      </c>
      <c r="M4" s="19">
        <v>373</v>
      </c>
      <c r="N4" s="19" t="s">
        <v>223</v>
      </c>
      <c r="O4" s="21" t="str">
        <f t="shared" si="0"/>
        <v>NAO</v>
      </c>
    </row>
    <row r="5" spans="1:15" ht="15" customHeight="1" x14ac:dyDescent="0.25">
      <c r="A5" s="18" t="s">
        <v>301</v>
      </c>
      <c r="B5" s="19" t="s">
        <v>68</v>
      </c>
      <c r="C5" s="19" t="s">
        <v>69</v>
      </c>
      <c r="D5" s="19" t="s">
        <v>115</v>
      </c>
      <c r="E5" s="19" t="s">
        <v>116</v>
      </c>
      <c r="F5" s="19" t="s">
        <v>294</v>
      </c>
      <c r="G5" s="19" t="s">
        <v>295</v>
      </c>
      <c r="H5" s="19" t="s">
        <v>295</v>
      </c>
      <c r="I5" s="19" t="s">
        <v>302</v>
      </c>
      <c r="J5" s="19">
        <v>3</v>
      </c>
      <c r="K5" s="19">
        <v>1131</v>
      </c>
      <c r="L5" s="19">
        <v>11507.64</v>
      </c>
      <c r="M5" s="19">
        <v>536</v>
      </c>
      <c r="N5" s="19" t="s">
        <v>223</v>
      </c>
      <c r="O5" s="21" t="str">
        <f t="shared" si="0"/>
        <v>SIM</v>
      </c>
    </row>
    <row r="6" spans="1:15" ht="15" customHeight="1" x14ac:dyDescent="0.25">
      <c r="A6" s="18" t="s">
        <v>303</v>
      </c>
      <c r="B6" s="19" t="s">
        <v>98</v>
      </c>
      <c r="C6" s="19" t="s">
        <v>99</v>
      </c>
      <c r="D6" s="19" t="s">
        <v>124</v>
      </c>
      <c r="E6" s="19" t="s">
        <v>125</v>
      </c>
      <c r="F6" s="19" t="s">
        <v>304</v>
      </c>
      <c r="G6" s="19" t="s">
        <v>305</v>
      </c>
      <c r="H6" s="19" t="s">
        <v>306</v>
      </c>
      <c r="I6" s="19" t="s">
        <v>302</v>
      </c>
      <c r="J6" s="19">
        <v>6</v>
      </c>
      <c r="K6" s="19">
        <v>1968</v>
      </c>
      <c r="L6" s="19">
        <v>28093.61</v>
      </c>
      <c r="M6" s="19">
        <v>286</v>
      </c>
      <c r="N6" s="19" t="s">
        <v>220</v>
      </c>
      <c r="O6" s="21" t="str">
        <f t="shared" si="0"/>
        <v>NAO</v>
      </c>
    </row>
    <row r="7" spans="1:15" ht="15" customHeight="1" x14ac:dyDescent="0.25">
      <c r="A7" s="18" t="s">
        <v>307</v>
      </c>
      <c r="B7" s="19" t="s">
        <v>59</v>
      </c>
      <c r="C7" s="19" t="s">
        <v>60</v>
      </c>
      <c r="D7" s="19" t="s">
        <v>124</v>
      </c>
      <c r="E7" s="19" t="s">
        <v>125</v>
      </c>
      <c r="F7" s="19" t="s">
        <v>308</v>
      </c>
      <c r="G7" s="19" t="s">
        <v>309</v>
      </c>
      <c r="H7" s="19"/>
      <c r="I7" s="19" t="s">
        <v>296</v>
      </c>
      <c r="J7" s="19">
        <v>11</v>
      </c>
      <c r="K7" s="19">
        <v>3201</v>
      </c>
      <c r="L7" s="19">
        <v>38851.35</v>
      </c>
      <c r="M7" s="19">
        <v>538</v>
      </c>
      <c r="N7" s="19" t="s">
        <v>220</v>
      </c>
      <c r="O7" s="21" t="str">
        <f t="shared" si="0"/>
        <v>-</v>
      </c>
    </row>
    <row r="8" spans="1:15" ht="15" customHeight="1" x14ac:dyDescent="0.25">
      <c r="A8" s="18" t="s">
        <v>310</v>
      </c>
      <c r="B8" s="19" t="s">
        <v>81</v>
      </c>
      <c r="C8" s="19" t="s">
        <v>82</v>
      </c>
      <c r="D8" s="19" t="s">
        <v>124</v>
      </c>
      <c r="E8" s="19" t="s">
        <v>125</v>
      </c>
      <c r="F8" s="19" t="s">
        <v>311</v>
      </c>
      <c r="G8" s="19" t="s">
        <v>312</v>
      </c>
      <c r="H8" s="19" t="s">
        <v>312</v>
      </c>
      <c r="I8" s="19" t="s">
        <v>302</v>
      </c>
      <c r="J8" s="19">
        <v>17</v>
      </c>
      <c r="K8" s="19">
        <v>7072</v>
      </c>
      <c r="L8" s="19">
        <v>94333.87</v>
      </c>
      <c r="M8" s="19">
        <v>216</v>
      </c>
      <c r="N8" s="19" t="s">
        <v>223</v>
      </c>
      <c r="O8" s="21" t="str">
        <f t="shared" si="0"/>
        <v>SIM</v>
      </c>
    </row>
    <row r="9" spans="1:15" ht="15" customHeight="1" x14ac:dyDescent="0.25">
      <c r="A9" s="18" t="s">
        <v>313</v>
      </c>
      <c r="B9" s="19" t="s">
        <v>81</v>
      </c>
      <c r="C9" s="19" t="s">
        <v>82</v>
      </c>
      <c r="D9" s="19" t="s">
        <v>112</v>
      </c>
      <c r="E9" s="19" t="s">
        <v>113</v>
      </c>
      <c r="F9" s="19" t="s">
        <v>304</v>
      </c>
      <c r="G9" s="19" t="s">
        <v>205</v>
      </c>
      <c r="H9" s="19" t="s">
        <v>289</v>
      </c>
      <c r="I9" s="19" t="s">
        <v>302</v>
      </c>
      <c r="J9" s="19">
        <v>24</v>
      </c>
      <c r="K9" s="19">
        <v>9840</v>
      </c>
      <c r="L9" s="19">
        <v>101371.03</v>
      </c>
      <c r="M9" s="19">
        <v>331</v>
      </c>
      <c r="N9" s="19" t="s">
        <v>227</v>
      </c>
      <c r="O9" s="21" t="str">
        <f t="shared" si="0"/>
        <v>NAO</v>
      </c>
    </row>
    <row r="10" spans="1:15" ht="15" customHeight="1" x14ac:dyDescent="0.25">
      <c r="A10" s="18" t="s">
        <v>314</v>
      </c>
      <c r="B10" s="19" t="s">
        <v>81</v>
      </c>
      <c r="C10" s="19" t="s">
        <v>82</v>
      </c>
      <c r="D10" s="19" t="s">
        <v>118</v>
      </c>
      <c r="E10" s="19" t="s">
        <v>119</v>
      </c>
      <c r="F10" s="19" t="s">
        <v>315</v>
      </c>
      <c r="G10" s="19" t="s">
        <v>174</v>
      </c>
      <c r="H10" s="19" t="s">
        <v>174</v>
      </c>
      <c r="I10" s="19" t="s">
        <v>302</v>
      </c>
      <c r="J10" s="19">
        <v>22</v>
      </c>
      <c r="K10" s="19">
        <v>9240</v>
      </c>
      <c r="L10" s="19">
        <v>99559.81</v>
      </c>
      <c r="M10" s="19">
        <v>193</v>
      </c>
      <c r="N10" s="19" t="s">
        <v>227</v>
      </c>
      <c r="O10" s="21" t="str">
        <f t="shared" si="0"/>
        <v>SIM</v>
      </c>
    </row>
    <row r="11" spans="1:15" ht="15" customHeight="1" x14ac:dyDescent="0.25">
      <c r="A11" s="18" t="s">
        <v>316</v>
      </c>
      <c r="B11" s="19" t="s">
        <v>94</v>
      </c>
      <c r="C11" s="19" t="s">
        <v>95</v>
      </c>
      <c r="D11" s="19" t="s">
        <v>118</v>
      </c>
      <c r="E11" s="19" t="s">
        <v>119</v>
      </c>
      <c r="F11" s="19" t="s">
        <v>315</v>
      </c>
      <c r="G11" s="19" t="s">
        <v>317</v>
      </c>
      <c r="H11" s="19" t="s">
        <v>308</v>
      </c>
      <c r="I11" s="19" t="s">
        <v>292</v>
      </c>
      <c r="J11" s="19">
        <v>10</v>
      </c>
      <c r="K11" s="19">
        <v>2330</v>
      </c>
      <c r="L11" s="19">
        <v>25814.84</v>
      </c>
      <c r="M11" s="19">
        <v>608</v>
      </c>
      <c r="N11" s="19" t="s">
        <v>227</v>
      </c>
      <c r="O11" s="21" t="str">
        <f t="shared" si="0"/>
        <v>NAO</v>
      </c>
    </row>
    <row r="12" spans="1:15" ht="15" customHeight="1" x14ac:dyDescent="0.25">
      <c r="A12" s="18" t="s">
        <v>318</v>
      </c>
      <c r="B12" s="19" t="s">
        <v>98</v>
      </c>
      <c r="C12" s="19" t="s">
        <v>99</v>
      </c>
      <c r="D12" s="19" t="s">
        <v>118</v>
      </c>
      <c r="E12" s="19" t="s">
        <v>119</v>
      </c>
      <c r="F12" s="19" t="s">
        <v>319</v>
      </c>
      <c r="G12" s="19" t="s">
        <v>320</v>
      </c>
      <c r="H12" s="19" t="s">
        <v>320</v>
      </c>
      <c r="I12" s="19" t="s">
        <v>302</v>
      </c>
      <c r="J12" s="19">
        <v>16</v>
      </c>
      <c r="K12" s="19">
        <v>6128</v>
      </c>
      <c r="L12" s="19">
        <v>85222.62</v>
      </c>
      <c r="M12" s="19">
        <v>188</v>
      </c>
      <c r="N12" s="19" t="s">
        <v>227</v>
      </c>
      <c r="O12" s="21" t="str">
        <f t="shared" si="0"/>
        <v>SIM</v>
      </c>
    </row>
    <row r="13" spans="1:15" ht="15" customHeight="1" x14ac:dyDescent="0.25">
      <c r="A13" s="18" t="s">
        <v>321</v>
      </c>
      <c r="B13" s="19" t="s">
        <v>59</v>
      </c>
      <c r="C13" s="19" t="s">
        <v>60</v>
      </c>
      <c r="D13" s="19" t="s">
        <v>118</v>
      </c>
      <c r="E13" s="19" t="s">
        <v>119</v>
      </c>
      <c r="F13" s="19" t="s">
        <v>322</v>
      </c>
      <c r="G13" s="19" t="s">
        <v>323</v>
      </c>
      <c r="H13" s="19" t="s">
        <v>324</v>
      </c>
      <c r="I13" s="19" t="s">
        <v>302</v>
      </c>
      <c r="J13" s="19">
        <v>8</v>
      </c>
      <c r="K13" s="19">
        <v>2816</v>
      </c>
      <c r="L13" s="19">
        <v>29180.85</v>
      </c>
      <c r="M13" s="19">
        <v>218</v>
      </c>
      <c r="N13" s="19" t="s">
        <v>220</v>
      </c>
      <c r="O13" s="21" t="str">
        <f t="shared" si="0"/>
        <v>NAO</v>
      </c>
    </row>
    <row r="14" spans="1:15" ht="15" customHeight="1" x14ac:dyDescent="0.25">
      <c r="A14" s="18" t="s">
        <v>325</v>
      </c>
      <c r="B14" s="19" t="s">
        <v>54</v>
      </c>
      <c r="C14" s="19" t="s">
        <v>55</v>
      </c>
      <c r="D14" s="19" t="s">
        <v>112</v>
      </c>
      <c r="E14" s="19" t="s">
        <v>113</v>
      </c>
      <c r="F14" s="19" t="s">
        <v>326</v>
      </c>
      <c r="G14" s="19" t="s">
        <v>327</v>
      </c>
      <c r="H14" s="19" t="s">
        <v>327</v>
      </c>
      <c r="I14" s="19" t="s">
        <v>302</v>
      </c>
      <c r="J14" s="19">
        <v>15</v>
      </c>
      <c r="K14" s="19">
        <v>4290</v>
      </c>
      <c r="L14" s="19">
        <v>59274.16</v>
      </c>
      <c r="M14" s="19">
        <v>604</v>
      </c>
      <c r="N14" s="19" t="s">
        <v>220</v>
      </c>
      <c r="O14" s="21" t="str">
        <f t="shared" si="0"/>
        <v>SIM</v>
      </c>
    </row>
    <row r="15" spans="1:15" ht="15" customHeight="1" x14ac:dyDescent="0.25">
      <c r="A15" s="18" t="s">
        <v>328</v>
      </c>
      <c r="B15" s="19" t="s">
        <v>102</v>
      </c>
      <c r="C15" s="19" t="s">
        <v>103</v>
      </c>
      <c r="D15" s="19" t="s">
        <v>121</v>
      </c>
      <c r="E15" s="19" t="s">
        <v>122</v>
      </c>
      <c r="F15" s="19" t="s">
        <v>329</v>
      </c>
      <c r="G15" s="19" t="s">
        <v>330</v>
      </c>
      <c r="H15" s="19" t="s">
        <v>330</v>
      </c>
      <c r="I15" s="19" t="s">
        <v>302</v>
      </c>
      <c r="J15" s="19">
        <v>1</v>
      </c>
      <c r="K15" s="19">
        <v>408</v>
      </c>
      <c r="L15" s="19">
        <v>5306.36</v>
      </c>
      <c r="M15" s="19">
        <v>124</v>
      </c>
      <c r="N15" s="19" t="s">
        <v>223</v>
      </c>
      <c r="O15" s="21" t="str">
        <f t="shared" si="0"/>
        <v>SIM</v>
      </c>
    </row>
    <row r="16" spans="1:15" ht="15" customHeight="1" x14ac:dyDescent="0.25">
      <c r="A16" s="18" t="s">
        <v>331</v>
      </c>
      <c r="B16" s="19" t="s">
        <v>68</v>
      </c>
      <c r="C16" s="19" t="s">
        <v>69</v>
      </c>
      <c r="D16" s="19" t="s">
        <v>115</v>
      </c>
      <c r="E16" s="19" t="s">
        <v>116</v>
      </c>
      <c r="F16" s="19" t="s">
        <v>332</v>
      </c>
      <c r="G16" s="19" t="s">
        <v>323</v>
      </c>
      <c r="H16" s="19" t="s">
        <v>323</v>
      </c>
      <c r="I16" s="19" t="s">
        <v>302</v>
      </c>
      <c r="J16" s="19">
        <v>4</v>
      </c>
      <c r="K16" s="19">
        <v>1184</v>
      </c>
      <c r="L16" s="19">
        <v>11011.24</v>
      </c>
      <c r="M16" s="19">
        <v>490</v>
      </c>
      <c r="N16" s="19" t="s">
        <v>227</v>
      </c>
      <c r="O16" s="21" t="str">
        <f t="shared" si="0"/>
        <v>SIM</v>
      </c>
    </row>
    <row r="17" spans="1:15" ht="15" customHeight="1" x14ac:dyDescent="0.25">
      <c r="A17" s="18" t="s">
        <v>333</v>
      </c>
      <c r="B17" s="19" t="s">
        <v>91</v>
      </c>
      <c r="C17" s="19" t="s">
        <v>92</v>
      </c>
      <c r="D17" s="19" t="s">
        <v>124</v>
      </c>
      <c r="E17" s="19" t="s">
        <v>125</v>
      </c>
      <c r="F17" s="19" t="s">
        <v>334</v>
      </c>
      <c r="G17" s="19" t="s">
        <v>335</v>
      </c>
      <c r="H17" s="19"/>
      <c r="I17" s="19" t="s">
        <v>336</v>
      </c>
      <c r="J17" s="19">
        <v>15</v>
      </c>
      <c r="K17" s="19">
        <v>5040</v>
      </c>
      <c r="L17" s="19">
        <v>67485.8</v>
      </c>
      <c r="M17" s="19">
        <v>531</v>
      </c>
      <c r="N17" s="19" t="s">
        <v>223</v>
      </c>
      <c r="O17" s="21" t="str">
        <f t="shared" si="0"/>
        <v>-</v>
      </c>
    </row>
    <row r="18" spans="1:15" ht="15" customHeight="1" x14ac:dyDescent="0.25">
      <c r="A18" s="18" t="s">
        <v>337</v>
      </c>
      <c r="B18" s="19" t="s">
        <v>91</v>
      </c>
      <c r="C18" s="19" t="s">
        <v>92</v>
      </c>
      <c r="D18" s="19" t="s">
        <v>121</v>
      </c>
      <c r="E18" s="19" t="s">
        <v>122</v>
      </c>
      <c r="F18" s="19" t="s">
        <v>338</v>
      </c>
      <c r="G18" s="19" t="s">
        <v>339</v>
      </c>
      <c r="H18" s="19" t="s">
        <v>339</v>
      </c>
      <c r="I18" s="19" t="s">
        <v>302</v>
      </c>
      <c r="J18" s="19">
        <v>21</v>
      </c>
      <c r="K18" s="19">
        <v>5250</v>
      </c>
      <c r="L18" s="19">
        <v>68748.13</v>
      </c>
      <c r="M18" s="19">
        <v>548</v>
      </c>
      <c r="N18" s="19" t="s">
        <v>223</v>
      </c>
      <c r="O18" s="21" t="str">
        <f t="shared" si="0"/>
        <v>SIM</v>
      </c>
    </row>
    <row r="19" spans="1:15" ht="15" customHeight="1" x14ac:dyDescent="0.25">
      <c r="A19" s="18" t="s">
        <v>340</v>
      </c>
      <c r="B19" s="19" t="s">
        <v>98</v>
      </c>
      <c r="C19" s="19" t="s">
        <v>99</v>
      </c>
      <c r="D19" s="19" t="s">
        <v>115</v>
      </c>
      <c r="E19" s="19" t="s">
        <v>116</v>
      </c>
      <c r="F19" s="19" t="s">
        <v>341</v>
      </c>
      <c r="G19" s="19" t="s">
        <v>154</v>
      </c>
      <c r="H19" s="19" t="s">
        <v>154</v>
      </c>
      <c r="I19" s="19" t="s">
        <v>302</v>
      </c>
      <c r="J19" s="19">
        <v>9</v>
      </c>
      <c r="K19" s="19">
        <v>2385</v>
      </c>
      <c r="L19" s="19">
        <v>24847.54</v>
      </c>
      <c r="M19" s="19">
        <v>568</v>
      </c>
      <c r="N19" s="19" t="s">
        <v>220</v>
      </c>
      <c r="O19" s="21" t="str">
        <f t="shared" si="0"/>
        <v>SIM</v>
      </c>
    </row>
    <row r="20" spans="1:15" ht="15" customHeight="1" x14ac:dyDescent="0.25">
      <c r="A20" s="18" t="s">
        <v>342</v>
      </c>
      <c r="B20" s="19" t="s">
        <v>64</v>
      </c>
      <c r="C20" s="19" t="s">
        <v>65</v>
      </c>
      <c r="D20" s="19" t="s">
        <v>115</v>
      </c>
      <c r="E20" s="19" t="s">
        <v>116</v>
      </c>
      <c r="F20" s="19" t="s">
        <v>343</v>
      </c>
      <c r="G20" s="19" t="s">
        <v>344</v>
      </c>
      <c r="H20" s="19"/>
      <c r="I20" s="19" t="s">
        <v>296</v>
      </c>
      <c r="J20" s="19">
        <v>23</v>
      </c>
      <c r="K20" s="19">
        <v>5382</v>
      </c>
      <c r="L20" s="19">
        <v>47821.08</v>
      </c>
      <c r="M20" s="19">
        <v>432</v>
      </c>
      <c r="N20" s="19" t="s">
        <v>223</v>
      </c>
      <c r="O20" s="21" t="str">
        <f t="shared" si="0"/>
        <v>-</v>
      </c>
    </row>
    <row r="21" spans="1:15" ht="15" customHeight="1" x14ac:dyDescent="0.25">
      <c r="A21" s="18" t="s">
        <v>345</v>
      </c>
      <c r="B21" s="19" t="s">
        <v>91</v>
      </c>
      <c r="C21" s="19" t="s">
        <v>92</v>
      </c>
      <c r="D21" s="19" t="s">
        <v>121</v>
      </c>
      <c r="E21" s="19" t="s">
        <v>122</v>
      </c>
      <c r="F21" s="19" t="s">
        <v>174</v>
      </c>
      <c r="G21" s="19" t="s">
        <v>346</v>
      </c>
      <c r="H21" s="19" t="s">
        <v>346</v>
      </c>
      <c r="I21" s="19" t="s">
        <v>302</v>
      </c>
      <c r="J21" s="19">
        <v>19</v>
      </c>
      <c r="K21" s="19">
        <v>6802</v>
      </c>
      <c r="L21" s="19">
        <v>58614.14</v>
      </c>
      <c r="M21" s="19">
        <v>604</v>
      </c>
      <c r="N21" s="19" t="s">
        <v>223</v>
      </c>
      <c r="O21" s="21" t="str">
        <f t="shared" si="0"/>
        <v>SIM</v>
      </c>
    </row>
    <row r="22" spans="1:15" ht="15" customHeight="1" x14ac:dyDescent="0.25">
      <c r="A22" s="18" t="s">
        <v>347</v>
      </c>
      <c r="B22" s="19" t="s">
        <v>86</v>
      </c>
      <c r="C22" s="19" t="s">
        <v>87</v>
      </c>
      <c r="D22" s="19" t="s">
        <v>112</v>
      </c>
      <c r="E22" s="19" t="s">
        <v>113</v>
      </c>
      <c r="F22" s="19" t="s">
        <v>289</v>
      </c>
      <c r="G22" s="19" t="s">
        <v>348</v>
      </c>
      <c r="H22" s="19"/>
      <c r="I22" s="19" t="s">
        <v>296</v>
      </c>
      <c r="J22" s="19">
        <v>14</v>
      </c>
      <c r="K22" s="19">
        <v>4438</v>
      </c>
      <c r="L22" s="19">
        <v>57627.85</v>
      </c>
      <c r="M22" s="19">
        <v>574</v>
      </c>
      <c r="N22" s="19" t="s">
        <v>227</v>
      </c>
      <c r="O22" s="21" t="str">
        <f t="shared" si="0"/>
        <v>-</v>
      </c>
    </row>
    <row r="23" spans="1:15" ht="15" customHeight="1" x14ac:dyDescent="0.25">
      <c r="A23" s="18" t="s">
        <v>349</v>
      </c>
      <c r="B23" s="19" t="s">
        <v>68</v>
      </c>
      <c r="C23" s="19" t="s">
        <v>69</v>
      </c>
      <c r="D23" s="19" t="s">
        <v>121</v>
      </c>
      <c r="E23" s="19" t="s">
        <v>122</v>
      </c>
      <c r="F23" s="19" t="s">
        <v>350</v>
      </c>
      <c r="G23" s="19" t="s">
        <v>343</v>
      </c>
      <c r="H23" s="19" t="s">
        <v>343</v>
      </c>
      <c r="I23" s="19" t="s">
        <v>302</v>
      </c>
      <c r="J23" s="19">
        <v>11</v>
      </c>
      <c r="K23" s="19">
        <v>3861</v>
      </c>
      <c r="L23" s="19">
        <v>48551.5</v>
      </c>
      <c r="M23" s="19">
        <v>429</v>
      </c>
      <c r="N23" s="19" t="s">
        <v>227</v>
      </c>
      <c r="O23" s="21" t="str">
        <f t="shared" si="0"/>
        <v>SIM</v>
      </c>
    </row>
    <row r="24" spans="1:15" ht="15" customHeight="1" x14ac:dyDescent="0.25">
      <c r="A24" s="18" t="s">
        <v>351</v>
      </c>
      <c r="B24" s="19" t="s">
        <v>64</v>
      </c>
      <c r="C24" s="19" t="s">
        <v>65</v>
      </c>
      <c r="D24" s="19" t="s">
        <v>121</v>
      </c>
      <c r="E24" s="19" t="s">
        <v>122</v>
      </c>
      <c r="F24" s="19" t="s">
        <v>352</v>
      </c>
      <c r="G24" s="19" t="s">
        <v>353</v>
      </c>
      <c r="H24" s="19" t="s">
        <v>354</v>
      </c>
      <c r="I24" s="19" t="s">
        <v>302</v>
      </c>
      <c r="J24" s="19">
        <v>19</v>
      </c>
      <c r="K24" s="19">
        <v>6156</v>
      </c>
      <c r="L24" s="19">
        <v>76814.559999999998</v>
      </c>
      <c r="M24" s="19">
        <v>100</v>
      </c>
      <c r="N24" s="19" t="s">
        <v>227</v>
      </c>
      <c r="O24" s="21" t="str">
        <f t="shared" si="0"/>
        <v>NAO</v>
      </c>
    </row>
    <row r="25" spans="1:15" ht="15" customHeight="1" x14ac:dyDescent="0.25">
      <c r="A25" s="18" t="s">
        <v>355</v>
      </c>
      <c r="B25" s="19" t="s">
        <v>81</v>
      </c>
      <c r="C25" s="19" t="s">
        <v>82</v>
      </c>
      <c r="D25" s="19" t="s">
        <v>115</v>
      </c>
      <c r="E25" s="19" t="s">
        <v>116</v>
      </c>
      <c r="F25" s="19" t="s">
        <v>356</v>
      </c>
      <c r="G25" s="19" t="s">
        <v>357</v>
      </c>
      <c r="H25" s="19" t="s">
        <v>357</v>
      </c>
      <c r="I25" s="19" t="s">
        <v>302</v>
      </c>
      <c r="J25" s="19">
        <v>7</v>
      </c>
      <c r="K25" s="19">
        <v>2072</v>
      </c>
      <c r="L25" s="19">
        <v>21675.35</v>
      </c>
      <c r="M25" s="19">
        <v>403</v>
      </c>
      <c r="N25" s="19" t="s">
        <v>223</v>
      </c>
      <c r="O25" s="21" t="str">
        <f t="shared" si="0"/>
        <v>SIM</v>
      </c>
    </row>
    <row r="26" spans="1:15" ht="15" customHeight="1" x14ac:dyDescent="0.25">
      <c r="A26" s="18" t="s">
        <v>358</v>
      </c>
      <c r="B26" s="19" t="s">
        <v>81</v>
      </c>
      <c r="C26" s="19" t="s">
        <v>82</v>
      </c>
      <c r="D26" s="19" t="s">
        <v>118</v>
      </c>
      <c r="E26" s="19" t="s">
        <v>119</v>
      </c>
      <c r="F26" s="19" t="s">
        <v>359</v>
      </c>
      <c r="G26" s="19" t="s">
        <v>360</v>
      </c>
      <c r="H26" s="19" t="s">
        <v>360</v>
      </c>
      <c r="I26" s="19" t="s">
        <v>302</v>
      </c>
      <c r="J26" s="19">
        <v>12</v>
      </c>
      <c r="K26" s="19">
        <v>2844</v>
      </c>
      <c r="L26" s="19">
        <v>35268.06</v>
      </c>
      <c r="M26" s="19">
        <v>56</v>
      </c>
      <c r="N26" s="19" t="s">
        <v>220</v>
      </c>
      <c r="O26" s="21" t="str">
        <f t="shared" si="0"/>
        <v>SIM</v>
      </c>
    </row>
    <row r="27" spans="1:15" ht="15" customHeight="1" x14ac:dyDescent="0.25">
      <c r="A27" s="18" t="s">
        <v>361</v>
      </c>
      <c r="B27" s="19" t="s">
        <v>68</v>
      </c>
      <c r="C27" s="19" t="s">
        <v>69</v>
      </c>
      <c r="D27" s="19" t="s">
        <v>115</v>
      </c>
      <c r="E27" s="19" t="s">
        <v>116</v>
      </c>
      <c r="F27" s="19" t="s">
        <v>362</v>
      </c>
      <c r="G27" s="19" t="s">
        <v>363</v>
      </c>
      <c r="H27" s="19" t="s">
        <v>363</v>
      </c>
      <c r="I27" s="19" t="s">
        <v>302</v>
      </c>
      <c r="J27" s="19">
        <v>22</v>
      </c>
      <c r="K27" s="19">
        <v>4598</v>
      </c>
      <c r="L27" s="19">
        <v>54641.79</v>
      </c>
      <c r="M27" s="19">
        <v>238</v>
      </c>
      <c r="N27" s="19" t="s">
        <v>223</v>
      </c>
      <c r="O27" s="21" t="str">
        <f t="shared" si="0"/>
        <v>SIM</v>
      </c>
    </row>
    <row r="28" spans="1:15" ht="15" customHeight="1" x14ac:dyDescent="0.25">
      <c r="A28" s="18" t="s">
        <v>364</v>
      </c>
      <c r="B28" s="19" t="s">
        <v>102</v>
      </c>
      <c r="C28" s="19" t="s">
        <v>103</v>
      </c>
      <c r="D28" s="19" t="s">
        <v>118</v>
      </c>
      <c r="E28" s="19" t="s">
        <v>119</v>
      </c>
      <c r="F28" s="19" t="s">
        <v>365</v>
      </c>
      <c r="G28" s="19" t="s">
        <v>366</v>
      </c>
      <c r="H28" s="19" t="s">
        <v>299</v>
      </c>
      <c r="I28" s="19" t="s">
        <v>302</v>
      </c>
      <c r="J28" s="19">
        <v>23</v>
      </c>
      <c r="K28" s="19">
        <v>4807</v>
      </c>
      <c r="L28" s="19">
        <v>63292.57</v>
      </c>
      <c r="M28" s="19">
        <v>182</v>
      </c>
      <c r="N28" s="19" t="s">
        <v>223</v>
      </c>
      <c r="O28" s="21" t="str">
        <f t="shared" si="0"/>
        <v>NAO</v>
      </c>
    </row>
    <row r="29" spans="1:15" ht="15" customHeight="1" x14ac:dyDescent="0.25">
      <c r="A29" s="18" t="s">
        <v>367</v>
      </c>
      <c r="B29" s="19" t="s">
        <v>59</v>
      </c>
      <c r="C29" s="19" t="s">
        <v>60</v>
      </c>
      <c r="D29" s="19" t="s">
        <v>124</v>
      </c>
      <c r="E29" s="19" t="s">
        <v>125</v>
      </c>
      <c r="F29" s="19" t="s">
        <v>294</v>
      </c>
      <c r="G29" s="19" t="s">
        <v>368</v>
      </c>
      <c r="H29" s="19" t="s">
        <v>369</v>
      </c>
      <c r="I29" s="19" t="s">
        <v>302</v>
      </c>
      <c r="J29" s="19">
        <v>13</v>
      </c>
      <c r="K29" s="19">
        <v>3653</v>
      </c>
      <c r="L29" s="19">
        <v>51685.65</v>
      </c>
      <c r="M29" s="19">
        <v>218</v>
      </c>
      <c r="N29" s="19" t="s">
        <v>220</v>
      </c>
      <c r="O29" s="21" t="str">
        <f t="shared" si="0"/>
        <v>NAO</v>
      </c>
    </row>
    <row r="30" spans="1:15" ht="15" customHeight="1" x14ac:dyDescent="0.25">
      <c r="A30" s="18" t="s">
        <v>370</v>
      </c>
      <c r="B30" s="19" t="s">
        <v>94</v>
      </c>
      <c r="C30" s="19" t="s">
        <v>95</v>
      </c>
      <c r="D30" s="19" t="s">
        <v>115</v>
      </c>
      <c r="E30" s="19" t="s">
        <v>116</v>
      </c>
      <c r="F30" s="19" t="s">
        <v>371</v>
      </c>
      <c r="G30" s="19" t="s">
        <v>372</v>
      </c>
      <c r="H30" s="19" t="s">
        <v>373</v>
      </c>
      <c r="I30" s="19" t="s">
        <v>292</v>
      </c>
      <c r="J30" s="19">
        <v>4</v>
      </c>
      <c r="K30" s="19">
        <v>1532</v>
      </c>
      <c r="L30" s="19">
        <v>22065.5</v>
      </c>
      <c r="M30" s="19">
        <v>57</v>
      </c>
      <c r="N30" s="19" t="s">
        <v>223</v>
      </c>
      <c r="O30" s="21" t="str">
        <f t="shared" si="0"/>
        <v>NAO</v>
      </c>
    </row>
    <row r="31" spans="1:15" ht="15" customHeight="1" x14ac:dyDescent="0.25">
      <c r="A31" s="18" t="s">
        <v>374</v>
      </c>
      <c r="B31" s="19" t="s">
        <v>91</v>
      </c>
      <c r="C31" s="19" t="s">
        <v>92</v>
      </c>
      <c r="D31" s="19" t="s">
        <v>121</v>
      </c>
      <c r="E31" s="19" t="s">
        <v>122</v>
      </c>
      <c r="F31" s="19" t="s">
        <v>365</v>
      </c>
      <c r="G31" s="19" t="s">
        <v>290</v>
      </c>
      <c r="H31" s="19" t="s">
        <v>290</v>
      </c>
      <c r="I31" s="19" t="s">
        <v>302</v>
      </c>
      <c r="J31" s="19">
        <v>14</v>
      </c>
      <c r="K31" s="19">
        <v>5460</v>
      </c>
      <c r="L31" s="19">
        <v>62469.01</v>
      </c>
      <c r="M31" s="19">
        <v>458</v>
      </c>
      <c r="N31" s="19" t="s">
        <v>223</v>
      </c>
      <c r="O31" s="21" t="str">
        <f t="shared" si="0"/>
        <v>SIM</v>
      </c>
    </row>
    <row r="32" spans="1:15" ht="15" customHeight="1" x14ac:dyDescent="0.25">
      <c r="A32" s="18" t="s">
        <v>375</v>
      </c>
      <c r="B32" s="19" t="s">
        <v>98</v>
      </c>
      <c r="C32" s="19" t="s">
        <v>99</v>
      </c>
      <c r="D32" s="19" t="s">
        <v>121</v>
      </c>
      <c r="E32" s="19" t="s">
        <v>122</v>
      </c>
      <c r="F32" s="19" t="s">
        <v>354</v>
      </c>
      <c r="G32" s="19" t="s">
        <v>376</v>
      </c>
      <c r="H32" s="19" t="s">
        <v>376</v>
      </c>
      <c r="I32" s="19" t="s">
        <v>302</v>
      </c>
      <c r="J32" s="19">
        <v>21</v>
      </c>
      <c r="K32" s="19">
        <v>5229</v>
      </c>
      <c r="L32" s="19">
        <v>63770.13</v>
      </c>
      <c r="M32" s="19">
        <v>566</v>
      </c>
      <c r="N32" s="19" t="s">
        <v>223</v>
      </c>
      <c r="O32" s="21" t="str">
        <f t="shared" si="0"/>
        <v>SIM</v>
      </c>
    </row>
    <row r="33" spans="1:15" ht="15" customHeight="1" x14ac:dyDescent="0.25">
      <c r="A33" s="18" t="s">
        <v>377</v>
      </c>
      <c r="B33" s="19" t="s">
        <v>86</v>
      </c>
      <c r="C33" s="19" t="s">
        <v>87</v>
      </c>
      <c r="D33" s="19" t="s">
        <v>121</v>
      </c>
      <c r="E33" s="19" t="s">
        <v>122</v>
      </c>
      <c r="F33" s="19" t="s">
        <v>378</v>
      </c>
      <c r="G33" s="19" t="s">
        <v>379</v>
      </c>
      <c r="H33" s="19" t="s">
        <v>379</v>
      </c>
      <c r="I33" s="19" t="s">
        <v>302</v>
      </c>
      <c r="J33" s="19">
        <v>3</v>
      </c>
      <c r="K33" s="19">
        <v>753</v>
      </c>
      <c r="L33" s="19">
        <v>10383.709999999999</v>
      </c>
      <c r="M33" s="19">
        <v>264</v>
      </c>
      <c r="N33" s="19" t="s">
        <v>223</v>
      </c>
      <c r="O33" s="21" t="str">
        <f t="shared" si="0"/>
        <v>SIM</v>
      </c>
    </row>
    <row r="34" spans="1:15" ht="15" customHeight="1" x14ac:dyDescent="0.25">
      <c r="A34" s="18" t="s">
        <v>380</v>
      </c>
      <c r="B34" s="19" t="s">
        <v>94</v>
      </c>
      <c r="C34" s="19" t="s">
        <v>95</v>
      </c>
      <c r="D34" s="19" t="s">
        <v>124</v>
      </c>
      <c r="E34" s="19" t="s">
        <v>125</v>
      </c>
      <c r="F34" s="19" t="s">
        <v>298</v>
      </c>
      <c r="G34" s="19" t="s">
        <v>300</v>
      </c>
      <c r="H34" s="19" t="s">
        <v>381</v>
      </c>
      <c r="I34" s="19" t="s">
        <v>302</v>
      </c>
      <c r="J34" s="19">
        <v>6</v>
      </c>
      <c r="K34" s="19">
        <v>1824</v>
      </c>
      <c r="L34" s="19">
        <v>17825.439999999999</v>
      </c>
      <c r="M34" s="19">
        <v>279</v>
      </c>
      <c r="N34" s="19" t="s">
        <v>223</v>
      </c>
      <c r="O34" s="21" t="str">
        <f t="shared" ref="O34:O65" si="1">IF(I34="Entregue",IF(H34&lt;=G34,"SIM","NAO"),IF(I34="Atrasado","NAO","-"))</f>
        <v>NAO</v>
      </c>
    </row>
    <row r="35" spans="1:15" ht="15" customHeight="1" x14ac:dyDescent="0.25">
      <c r="A35" s="18" t="s">
        <v>382</v>
      </c>
      <c r="B35" s="19" t="s">
        <v>73</v>
      </c>
      <c r="C35" s="19" t="s">
        <v>74</v>
      </c>
      <c r="D35" s="19" t="s">
        <v>124</v>
      </c>
      <c r="E35" s="19" t="s">
        <v>125</v>
      </c>
      <c r="F35" s="19" t="s">
        <v>341</v>
      </c>
      <c r="G35" s="19" t="s">
        <v>383</v>
      </c>
      <c r="H35" s="19" t="s">
        <v>384</v>
      </c>
      <c r="I35" s="19" t="s">
        <v>302</v>
      </c>
      <c r="J35" s="19">
        <v>3</v>
      </c>
      <c r="K35" s="19">
        <v>723</v>
      </c>
      <c r="L35" s="19">
        <v>9269.18</v>
      </c>
      <c r="M35" s="19">
        <v>515</v>
      </c>
      <c r="N35" s="19" t="s">
        <v>227</v>
      </c>
      <c r="O35" s="21" t="str">
        <f t="shared" si="1"/>
        <v>NAO</v>
      </c>
    </row>
    <row r="36" spans="1:15" ht="15" customHeight="1" x14ac:dyDescent="0.25">
      <c r="A36" s="18" t="s">
        <v>385</v>
      </c>
      <c r="B36" s="19" t="s">
        <v>68</v>
      </c>
      <c r="C36" s="19" t="s">
        <v>69</v>
      </c>
      <c r="D36" s="19" t="s">
        <v>121</v>
      </c>
      <c r="E36" s="19" t="s">
        <v>122</v>
      </c>
      <c r="F36" s="19" t="s">
        <v>386</v>
      </c>
      <c r="G36" s="19" t="s">
        <v>387</v>
      </c>
      <c r="H36" s="19" t="s">
        <v>387</v>
      </c>
      <c r="I36" s="19" t="s">
        <v>302</v>
      </c>
      <c r="J36" s="19">
        <v>10</v>
      </c>
      <c r="K36" s="19">
        <v>2360</v>
      </c>
      <c r="L36" s="19">
        <v>25786.32</v>
      </c>
      <c r="M36" s="19">
        <v>264</v>
      </c>
      <c r="N36" s="19" t="s">
        <v>223</v>
      </c>
      <c r="O36" s="21" t="str">
        <f t="shared" si="1"/>
        <v>SIM</v>
      </c>
    </row>
    <row r="37" spans="1:15" ht="15" customHeight="1" x14ac:dyDescent="0.25">
      <c r="A37" s="18" t="s">
        <v>388</v>
      </c>
      <c r="B37" s="19" t="s">
        <v>98</v>
      </c>
      <c r="C37" s="19" t="s">
        <v>99</v>
      </c>
      <c r="D37" s="19" t="s">
        <v>124</v>
      </c>
      <c r="E37" s="19" t="s">
        <v>125</v>
      </c>
      <c r="F37" s="19" t="s">
        <v>365</v>
      </c>
      <c r="G37" s="19" t="s">
        <v>299</v>
      </c>
      <c r="H37" s="19" t="s">
        <v>299</v>
      </c>
      <c r="I37" s="19" t="s">
        <v>302</v>
      </c>
      <c r="J37" s="19">
        <v>24</v>
      </c>
      <c r="K37" s="19">
        <v>7680</v>
      </c>
      <c r="L37" s="19">
        <v>80522.86</v>
      </c>
      <c r="M37" s="19">
        <v>479</v>
      </c>
      <c r="N37" s="19" t="s">
        <v>223</v>
      </c>
      <c r="O37" s="21" t="str">
        <f t="shared" si="1"/>
        <v>SIM</v>
      </c>
    </row>
    <row r="38" spans="1:15" ht="15" customHeight="1" x14ac:dyDescent="0.25">
      <c r="A38" s="18" t="s">
        <v>389</v>
      </c>
      <c r="B38" s="19" t="s">
        <v>73</v>
      </c>
      <c r="C38" s="19" t="s">
        <v>74</v>
      </c>
      <c r="D38" s="19" t="s">
        <v>118</v>
      </c>
      <c r="E38" s="19" t="s">
        <v>119</v>
      </c>
      <c r="F38" s="19" t="s">
        <v>343</v>
      </c>
      <c r="G38" s="19" t="s">
        <v>390</v>
      </c>
      <c r="H38" s="19"/>
      <c r="I38" s="19" t="s">
        <v>296</v>
      </c>
      <c r="J38" s="19">
        <v>11</v>
      </c>
      <c r="K38" s="19">
        <v>2310</v>
      </c>
      <c r="L38" s="19">
        <v>29931.33</v>
      </c>
      <c r="M38" s="19">
        <v>204</v>
      </c>
      <c r="N38" s="19" t="s">
        <v>220</v>
      </c>
      <c r="O38" s="21" t="str">
        <f t="shared" si="1"/>
        <v>-</v>
      </c>
    </row>
    <row r="39" spans="1:15" ht="15" customHeight="1" x14ac:dyDescent="0.25">
      <c r="A39" s="18" t="s">
        <v>391</v>
      </c>
      <c r="B39" s="19" t="s">
        <v>68</v>
      </c>
      <c r="C39" s="19" t="s">
        <v>69</v>
      </c>
      <c r="D39" s="19" t="s">
        <v>121</v>
      </c>
      <c r="E39" s="19" t="s">
        <v>122</v>
      </c>
      <c r="F39" s="19" t="s">
        <v>341</v>
      </c>
      <c r="G39" s="19" t="s">
        <v>383</v>
      </c>
      <c r="H39" s="19"/>
      <c r="I39" s="19" t="s">
        <v>336</v>
      </c>
      <c r="J39" s="19">
        <v>17</v>
      </c>
      <c r="K39" s="19">
        <v>5644</v>
      </c>
      <c r="L39" s="19">
        <v>57557.47</v>
      </c>
      <c r="M39" s="19">
        <v>117</v>
      </c>
      <c r="N39" s="19" t="s">
        <v>220</v>
      </c>
      <c r="O39" s="21" t="str">
        <f t="shared" si="1"/>
        <v>-</v>
      </c>
    </row>
    <row r="40" spans="1:15" ht="15" customHeight="1" x14ac:dyDescent="0.25">
      <c r="A40" s="18" t="s">
        <v>392</v>
      </c>
      <c r="B40" s="19" t="s">
        <v>73</v>
      </c>
      <c r="C40" s="19" t="s">
        <v>74</v>
      </c>
      <c r="D40" s="19" t="s">
        <v>115</v>
      </c>
      <c r="E40" s="19" t="s">
        <v>116</v>
      </c>
      <c r="F40" s="19" t="s">
        <v>393</v>
      </c>
      <c r="G40" s="19" t="s">
        <v>365</v>
      </c>
      <c r="H40" s="19" t="s">
        <v>365</v>
      </c>
      <c r="I40" s="19" t="s">
        <v>302</v>
      </c>
      <c r="J40" s="19">
        <v>5</v>
      </c>
      <c r="K40" s="19">
        <v>1250</v>
      </c>
      <c r="L40" s="19">
        <v>10966.37</v>
      </c>
      <c r="M40" s="19">
        <v>70</v>
      </c>
      <c r="N40" s="19" t="s">
        <v>227</v>
      </c>
      <c r="O40" s="21" t="str">
        <f t="shared" si="1"/>
        <v>SIM</v>
      </c>
    </row>
    <row r="41" spans="1:15" ht="15" customHeight="1" x14ac:dyDescent="0.25">
      <c r="A41" s="18" t="s">
        <v>394</v>
      </c>
      <c r="B41" s="19" t="s">
        <v>73</v>
      </c>
      <c r="C41" s="19" t="s">
        <v>74</v>
      </c>
      <c r="D41" s="19" t="s">
        <v>115</v>
      </c>
      <c r="E41" s="19" t="s">
        <v>116</v>
      </c>
      <c r="F41" s="19" t="s">
        <v>395</v>
      </c>
      <c r="G41" s="19" t="s">
        <v>396</v>
      </c>
      <c r="H41" s="19" t="s">
        <v>396</v>
      </c>
      <c r="I41" s="19" t="s">
        <v>302</v>
      </c>
      <c r="J41" s="19">
        <v>10</v>
      </c>
      <c r="K41" s="19">
        <v>3000</v>
      </c>
      <c r="L41" s="19">
        <v>34116.86</v>
      </c>
      <c r="M41" s="19">
        <v>363</v>
      </c>
      <c r="N41" s="19" t="s">
        <v>220</v>
      </c>
      <c r="O41" s="21" t="str">
        <f t="shared" si="1"/>
        <v>SIM</v>
      </c>
    </row>
    <row r="42" spans="1:15" ht="15" customHeight="1" x14ac:dyDescent="0.25">
      <c r="A42" s="18" t="s">
        <v>397</v>
      </c>
      <c r="B42" s="19" t="s">
        <v>54</v>
      </c>
      <c r="C42" s="19" t="s">
        <v>55</v>
      </c>
      <c r="D42" s="19" t="s">
        <v>118</v>
      </c>
      <c r="E42" s="19" t="s">
        <v>119</v>
      </c>
      <c r="F42" s="19" t="s">
        <v>144</v>
      </c>
      <c r="G42" s="19" t="s">
        <v>320</v>
      </c>
      <c r="H42" s="19" t="s">
        <v>398</v>
      </c>
      <c r="I42" s="19" t="s">
        <v>292</v>
      </c>
      <c r="J42" s="19">
        <v>16</v>
      </c>
      <c r="K42" s="19">
        <v>3168</v>
      </c>
      <c r="L42" s="19">
        <v>37896.019999999997</v>
      </c>
      <c r="M42" s="19">
        <v>69</v>
      </c>
      <c r="N42" s="19" t="s">
        <v>220</v>
      </c>
      <c r="O42" s="21" t="str">
        <f t="shared" si="1"/>
        <v>NAO</v>
      </c>
    </row>
    <row r="43" spans="1:15" ht="15" customHeight="1" x14ac:dyDescent="0.25">
      <c r="A43" s="18" t="s">
        <v>399</v>
      </c>
      <c r="B43" s="19" t="s">
        <v>64</v>
      </c>
      <c r="C43" s="19" t="s">
        <v>65</v>
      </c>
      <c r="D43" s="19" t="s">
        <v>124</v>
      </c>
      <c r="E43" s="19" t="s">
        <v>125</v>
      </c>
      <c r="F43" s="19" t="s">
        <v>384</v>
      </c>
      <c r="G43" s="19" t="s">
        <v>400</v>
      </c>
      <c r="H43" s="19"/>
      <c r="I43" s="19" t="s">
        <v>336</v>
      </c>
      <c r="J43" s="19">
        <v>4</v>
      </c>
      <c r="K43" s="19">
        <v>1288</v>
      </c>
      <c r="L43" s="19">
        <v>16855.62</v>
      </c>
      <c r="M43" s="19">
        <v>246</v>
      </c>
      <c r="N43" s="19" t="s">
        <v>227</v>
      </c>
      <c r="O43" s="21" t="str">
        <f t="shared" si="1"/>
        <v>-</v>
      </c>
    </row>
    <row r="44" spans="1:15" ht="15" customHeight="1" x14ac:dyDescent="0.25">
      <c r="A44" s="18" t="s">
        <v>401</v>
      </c>
      <c r="B44" s="19" t="s">
        <v>81</v>
      </c>
      <c r="C44" s="19" t="s">
        <v>82</v>
      </c>
      <c r="D44" s="19" t="s">
        <v>121</v>
      </c>
      <c r="E44" s="19" t="s">
        <v>122</v>
      </c>
      <c r="F44" s="19" t="s">
        <v>402</v>
      </c>
      <c r="G44" s="19" t="s">
        <v>403</v>
      </c>
      <c r="H44" s="19" t="s">
        <v>357</v>
      </c>
      <c r="I44" s="19" t="s">
        <v>292</v>
      </c>
      <c r="J44" s="19">
        <v>10</v>
      </c>
      <c r="K44" s="19">
        <v>3250</v>
      </c>
      <c r="L44" s="19">
        <v>39735.03</v>
      </c>
      <c r="M44" s="19">
        <v>116</v>
      </c>
      <c r="N44" s="19" t="s">
        <v>220</v>
      </c>
      <c r="O44" s="21" t="str">
        <f t="shared" si="1"/>
        <v>NAO</v>
      </c>
    </row>
    <row r="45" spans="1:15" ht="15" customHeight="1" x14ac:dyDescent="0.25">
      <c r="A45" s="18" t="s">
        <v>404</v>
      </c>
      <c r="B45" s="19" t="s">
        <v>98</v>
      </c>
      <c r="C45" s="19" t="s">
        <v>99</v>
      </c>
      <c r="D45" s="19" t="s">
        <v>115</v>
      </c>
      <c r="E45" s="19" t="s">
        <v>116</v>
      </c>
      <c r="F45" s="19" t="s">
        <v>405</v>
      </c>
      <c r="G45" s="19" t="s">
        <v>406</v>
      </c>
      <c r="H45" s="19" t="s">
        <v>406</v>
      </c>
      <c r="I45" s="19" t="s">
        <v>302</v>
      </c>
      <c r="J45" s="19">
        <v>3</v>
      </c>
      <c r="K45" s="19">
        <v>660</v>
      </c>
      <c r="L45" s="19">
        <v>5620.6</v>
      </c>
      <c r="M45" s="19">
        <v>476</v>
      </c>
      <c r="N45" s="19" t="s">
        <v>227</v>
      </c>
      <c r="O45" s="21" t="str">
        <f t="shared" si="1"/>
        <v>SIM</v>
      </c>
    </row>
    <row r="46" spans="1:15" ht="15" customHeight="1" x14ac:dyDescent="0.25">
      <c r="A46" s="18" t="s">
        <v>407</v>
      </c>
      <c r="B46" s="19" t="s">
        <v>94</v>
      </c>
      <c r="C46" s="19" t="s">
        <v>95</v>
      </c>
      <c r="D46" s="19" t="s">
        <v>121</v>
      </c>
      <c r="E46" s="19" t="s">
        <v>122</v>
      </c>
      <c r="F46" s="19" t="s">
        <v>154</v>
      </c>
      <c r="G46" s="19" t="s">
        <v>383</v>
      </c>
      <c r="H46" s="19" t="s">
        <v>383</v>
      </c>
      <c r="I46" s="19" t="s">
        <v>302</v>
      </c>
      <c r="J46" s="19">
        <v>23</v>
      </c>
      <c r="K46" s="19">
        <v>9200</v>
      </c>
      <c r="L46" s="19">
        <v>103262.53</v>
      </c>
      <c r="M46" s="19">
        <v>254</v>
      </c>
      <c r="N46" s="19" t="s">
        <v>223</v>
      </c>
      <c r="O46" s="21" t="str">
        <f t="shared" si="1"/>
        <v>SIM</v>
      </c>
    </row>
    <row r="47" spans="1:15" ht="15" customHeight="1" x14ac:dyDescent="0.25">
      <c r="A47" s="18" t="s">
        <v>408</v>
      </c>
      <c r="B47" s="19" t="s">
        <v>98</v>
      </c>
      <c r="C47" s="19" t="s">
        <v>99</v>
      </c>
      <c r="D47" s="19" t="s">
        <v>124</v>
      </c>
      <c r="E47" s="19" t="s">
        <v>125</v>
      </c>
      <c r="F47" s="19" t="s">
        <v>409</v>
      </c>
      <c r="G47" s="19" t="s">
        <v>410</v>
      </c>
      <c r="H47" s="19" t="s">
        <v>410</v>
      </c>
      <c r="I47" s="19" t="s">
        <v>302</v>
      </c>
      <c r="J47" s="19">
        <v>5</v>
      </c>
      <c r="K47" s="19">
        <v>2060</v>
      </c>
      <c r="L47" s="19">
        <v>20793.22</v>
      </c>
      <c r="M47" s="19">
        <v>160</v>
      </c>
      <c r="N47" s="19" t="s">
        <v>220</v>
      </c>
      <c r="O47" s="21" t="str">
        <f t="shared" si="1"/>
        <v>SIM</v>
      </c>
    </row>
    <row r="48" spans="1:15" ht="15" customHeight="1" x14ac:dyDescent="0.25">
      <c r="A48" s="18" t="s">
        <v>411</v>
      </c>
      <c r="B48" s="19" t="s">
        <v>54</v>
      </c>
      <c r="C48" s="19" t="s">
        <v>55</v>
      </c>
      <c r="D48" s="19" t="s">
        <v>115</v>
      </c>
      <c r="E48" s="19" t="s">
        <v>116</v>
      </c>
      <c r="F48" s="19" t="s">
        <v>400</v>
      </c>
      <c r="G48" s="19" t="s">
        <v>412</v>
      </c>
      <c r="H48" s="19"/>
      <c r="I48" s="19" t="s">
        <v>296</v>
      </c>
      <c r="J48" s="19">
        <v>19</v>
      </c>
      <c r="K48" s="19">
        <v>7885</v>
      </c>
      <c r="L48" s="19">
        <v>80676.67</v>
      </c>
      <c r="M48" s="19">
        <v>142</v>
      </c>
      <c r="N48" s="19" t="s">
        <v>223</v>
      </c>
      <c r="O48" s="21" t="str">
        <f t="shared" si="1"/>
        <v>-</v>
      </c>
    </row>
    <row r="49" spans="1:15" ht="15" customHeight="1" x14ac:dyDescent="0.25">
      <c r="A49" s="18" t="s">
        <v>413</v>
      </c>
      <c r="B49" s="19" t="s">
        <v>102</v>
      </c>
      <c r="C49" s="19" t="s">
        <v>103</v>
      </c>
      <c r="D49" s="19" t="s">
        <v>118</v>
      </c>
      <c r="E49" s="19" t="s">
        <v>119</v>
      </c>
      <c r="F49" s="19" t="s">
        <v>315</v>
      </c>
      <c r="G49" s="19" t="s">
        <v>174</v>
      </c>
      <c r="H49" s="19" t="s">
        <v>174</v>
      </c>
      <c r="I49" s="19" t="s">
        <v>302</v>
      </c>
      <c r="J49" s="19">
        <v>3</v>
      </c>
      <c r="K49" s="19">
        <v>999</v>
      </c>
      <c r="L49" s="19">
        <v>8730.43</v>
      </c>
      <c r="M49" s="19">
        <v>457</v>
      </c>
      <c r="N49" s="19" t="s">
        <v>227</v>
      </c>
      <c r="O49" s="21" t="str">
        <f t="shared" si="1"/>
        <v>SIM</v>
      </c>
    </row>
    <row r="50" spans="1:15" ht="15" customHeight="1" x14ac:dyDescent="0.25">
      <c r="A50" s="18" t="s">
        <v>414</v>
      </c>
      <c r="B50" s="19" t="s">
        <v>77</v>
      </c>
      <c r="C50" s="19" t="s">
        <v>78</v>
      </c>
      <c r="D50" s="19" t="s">
        <v>124</v>
      </c>
      <c r="E50" s="19" t="s">
        <v>125</v>
      </c>
      <c r="F50" s="19" t="s">
        <v>415</v>
      </c>
      <c r="G50" s="19" t="s">
        <v>416</v>
      </c>
      <c r="H50" s="19" t="s">
        <v>405</v>
      </c>
      <c r="I50" s="19" t="s">
        <v>302</v>
      </c>
      <c r="J50" s="19">
        <v>19</v>
      </c>
      <c r="K50" s="19">
        <v>6270</v>
      </c>
      <c r="L50" s="19">
        <v>89063.58</v>
      </c>
      <c r="M50" s="19">
        <v>290</v>
      </c>
      <c r="N50" s="19" t="s">
        <v>227</v>
      </c>
      <c r="O50" s="21" t="str">
        <f t="shared" si="1"/>
        <v>NAO</v>
      </c>
    </row>
    <row r="51" spans="1:15" ht="15" customHeight="1" x14ac:dyDescent="0.25">
      <c r="A51" s="18" t="s">
        <v>417</v>
      </c>
      <c r="B51" s="19" t="s">
        <v>54</v>
      </c>
      <c r="C51" s="19" t="s">
        <v>55</v>
      </c>
      <c r="D51" s="19" t="s">
        <v>115</v>
      </c>
      <c r="E51" s="19" t="s">
        <v>116</v>
      </c>
      <c r="F51" s="19" t="s">
        <v>357</v>
      </c>
      <c r="G51" s="19" t="s">
        <v>418</v>
      </c>
      <c r="H51" s="19" t="s">
        <v>398</v>
      </c>
      <c r="I51" s="19" t="s">
        <v>302</v>
      </c>
      <c r="J51" s="19">
        <v>6</v>
      </c>
      <c r="K51" s="19">
        <v>1974</v>
      </c>
      <c r="L51" s="19">
        <v>21941.62</v>
      </c>
      <c r="M51" s="19">
        <v>518</v>
      </c>
      <c r="N51" s="19" t="s">
        <v>220</v>
      </c>
      <c r="O51" s="21" t="str">
        <f t="shared" si="1"/>
        <v>NAO</v>
      </c>
    </row>
    <row r="52" spans="1:15" ht="15" customHeight="1" x14ac:dyDescent="0.25">
      <c r="A52" s="18" t="s">
        <v>419</v>
      </c>
      <c r="B52" s="19" t="s">
        <v>86</v>
      </c>
      <c r="C52" s="19" t="s">
        <v>87</v>
      </c>
      <c r="D52" s="19" t="s">
        <v>118</v>
      </c>
      <c r="E52" s="19" t="s">
        <v>119</v>
      </c>
      <c r="F52" s="19" t="s">
        <v>178</v>
      </c>
      <c r="G52" s="19" t="s">
        <v>346</v>
      </c>
      <c r="H52" s="19" t="s">
        <v>346</v>
      </c>
      <c r="I52" s="19" t="s">
        <v>302</v>
      </c>
      <c r="J52" s="19">
        <v>6</v>
      </c>
      <c r="K52" s="19">
        <v>1584</v>
      </c>
      <c r="L52" s="19">
        <v>17376.27</v>
      </c>
      <c r="M52" s="19">
        <v>522</v>
      </c>
      <c r="N52" s="19" t="s">
        <v>223</v>
      </c>
      <c r="O52" s="21" t="str">
        <f t="shared" si="1"/>
        <v>SIM</v>
      </c>
    </row>
    <row r="53" spans="1:15" ht="15" customHeight="1" x14ac:dyDescent="0.25">
      <c r="A53" s="18" t="s">
        <v>420</v>
      </c>
      <c r="B53" s="19" t="s">
        <v>98</v>
      </c>
      <c r="C53" s="19" t="s">
        <v>99</v>
      </c>
      <c r="D53" s="19" t="s">
        <v>121</v>
      </c>
      <c r="E53" s="19" t="s">
        <v>122</v>
      </c>
      <c r="F53" s="19" t="s">
        <v>421</v>
      </c>
      <c r="G53" s="19" t="s">
        <v>422</v>
      </c>
      <c r="H53" s="19" t="s">
        <v>422</v>
      </c>
      <c r="I53" s="19" t="s">
        <v>302</v>
      </c>
      <c r="J53" s="19">
        <v>11</v>
      </c>
      <c r="K53" s="19">
        <v>2299</v>
      </c>
      <c r="L53" s="19">
        <v>32924.230000000003</v>
      </c>
      <c r="M53" s="19">
        <v>428</v>
      </c>
      <c r="N53" s="19" t="s">
        <v>227</v>
      </c>
      <c r="O53" s="21" t="str">
        <f t="shared" si="1"/>
        <v>SIM</v>
      </c>
    </row>
    <row r="54" spans="1:15" ht="15" customHeight="1" x14ac:dyDescent="0.25">
      <c r="A54" s="18" t="s">
        <v>423</v>
      </c>
      <c r="B54" s="19" t="s">
        <v>54</v>
      </c>
      <c r="C54" s="19" t="s">
        <v>55</v>
      </c>
      <c r="D54" s="19" t="s">
        <v>124</v>
      </c>
      <c r="E54" s="19" t="s">
        <v>125</v>
      </c>
      <c r="F54" s="19" t="s">
        <v>356</v>
      </c>
      <c r="G54" s="19" t="s">
        <v>144</v>
      </c>
      <c r="H54" s="19" t="s">
        <v>144</v>
      </c>
      <c r="I54" s="19" t="s">
        <v>302</v>
      </c>
      <c r="J54" s="19">
        <v>20</v>
      </c>
      <c r="K54" s="19">
        <v>7460</v>
      </c>
      <c r="L54" s="19">
        <v>85722.55</v>
      </c>
      <c r="M54" s="19">
        <v>467</v>
      </c>
      <c r="N54" s="19" t="s">
        <v>220</v>
      </c>
      <c r="O54" s="21" t="str">
        <f t="shared" si="1"/>
        <v>SIM</v>
      </c>
    </row>
    <row r="55" spans="1:15" ht="15" customHeight="1" x14ac:dyDescent="0.25">
      <c r="A55" s="18" t="s">
        <v>424</v>
      </c>
      <c r="B55" s="19" t="s">
        <v>68</v>
      </c>
      <c r="C55" s="19" t="s">
        <v>69</v>
      </c>
      <c r="D55" s="19" t="s">
        <v>118</v>
      </c>
      <c r="E55" s="19" t="s">
        <v>119</v>
      </c>
      <c r="F55" s="19" t="s">
        <v>421</v>
      </c>
      <c r="G55" s="19" t="s">
        <v>425</v>
      </c>
      <c r="H55" s="19" t="s">
        <v>426</v>
      </c>
      <c r="I55" s="19" t="s">
        <v>292</v>
      </c>
      <c r="J55" s="19">
        <v>23</v>
      </c>
      <c r="K55" s="19">
        <v>6992</v>
      </c>
      <c r="L55" s="19">
        <v>64526.07</v>
      </c>
      <c r="M55" s="19">
        <v>260</v>
      </c>
      <c r="N55" s="19" t="s">
        <v>227</v>
      </c>
      <c r="O55" s="21" t="str">
        <f t="shared" si="1"/>
        <v>NAO</v>
      </c>
    </row>
    <row r="56" spans="1:15" ht="15" customHeight="1" x14ac:dyDescent="0.25">
      <c r="A56" s="18" t="s">
        <v>427</v>
      </c>
      <c r="B56" s="19" t="s">
        <v>64</v>
      </c>
      <c r="C56" s="19" t="s">
        <v>65</v>
      </c>
      <c r="D56" s="19" t="s">
        <v>118</v>
      </c>
      <c r="E56" s="19" t="s">
        <v>119</v>
      </c>
      <c r="F56" s="19" t="s">
        <v>422</v>
      </c>
      <c r="G56" s="19" t="s">
        <v>425</v>
      </c>
      <c r="H56" s="19" t="s">
        <v>425</v>
      </c>
      <c r="I56" s="19" t="s">
        <v>302</v>
      </c>
      <c r="J56" s="19">
        <v>4</v>
      </c>
      <c r="K56" s="19">
        <v>1192</v>
      </c>
      <c r="L56" s="19">
        <v>16905.38</v>
      </c>
      <c r="M56" s="19">
        <v>172</v>
      </c>
      <c r="N56" s="19" t="s">
        <v>223</v>
      </c>
      <c r="O56" s="21" t="str">
        <f t="shared" si="1"/>
        <v>SIM</v>
      </c>
    </row>
    <row r="57" spans="1:15" ht="15" customHeight="1" x14ac:dyDescent="0.25">
      <c r="A57" s="18" t="s">
        <v>428</v>
      </c>
      <c r="B57" s="19" t="s">
        <v>102</v>
      </c>
      <c r="C57" s="19" t="s">
        <v>103</v>
      </c>
      <c r="D57" s="19" t="s">
        <v>118</v>
      </c>
      <c r="E57" s="19" t="s">
        <v>119</v>
      </c>
      <c r="F57" s="19" t="s">
        <v>330</v>
      </c>
      <c r="G57" s="19" t="s">
        <v>429</v>
      </c>
      <c r="H57" s="19" t="s">
        <v>429</v>
      </c>
      <c r="I57" s="19" t="s">
        <v>302</v>
      </c>
      <c r="J57" s="19">
        <v>16</v>
      </c>
      <c r="K57" s="19">
        <v>3872</v>
      </c>
      <c r="L57" s="19">
        <v>43524.06</v>
      </c>
      <c r="M57" s="19">
        <v>163</v>
      </c>
      <c r="N57" s="19" t="s">
        <v>223</v>
      </c>
      <c r="O57" s="21" t="str">
        <f t="shared" si="1"/>
        <v>SIM</v>
      </c>
    </row>
    <row r="58" spans="1:15" ht="15" customHeight="1" x14ac:dyDescent="0.25">
      <c r="A58" s="18" t="s">
        <v>430</v>
      </c>
      <c r="B58" s="19" t="s">
        <v>68</v>
      </c>
      <c r="C58" s="19" t="s">
        <v>69</v>
      </c>
      <c r="D58" s="19" t="s">
        <v>124</v>
      </c>
      <c r="E58" s="19" t="s">
        <v>125</v>
      </c>
      <c r="F58" s="19" t="s">
        <v>330</v>
      </c>
      <c r="G58" s="19" t="s">
        <v>332</v>
      </c>
      <c r="H58" s="19" t="s">
        <v>431</v>
      </c>
      <c r="I58" s="19" t="s">
        <v>292</v>
      </c>
      <c r="J58" s="19">
        <v>14</v>
      </c>
      <c r="K58" s="19">
        <v>3738</v>
      </c>
      <c r="L58" s="19">
        <v>52726.32</v>
      </c>
      <c r="M58" s="19">
        <v>534</v>
      </c>
      <c r="N58" s="19" t="s">
        <v>223</v>
      </c>
      <c r="O58" s="21" t="str">
        <f t="shared" si="1"/>
        <v>NAO</v>
      </c>
    </row>
    <row r="59" spans="1:15" ht="15" customHeight="1" x14ac:dyDescent="0.25">
      <c r="A59" s="18" t="s">
        <v>432</v>
      </c>
      <c r="B59" s="19" t="s">
        <v>54</v>
      </c>
      <c r="C59" s="19" t="s">
        <v>55</v>
      </c>
      <c r="D59" s="19" t="s">
        <v>118</v>
      </c>
      <c r="E59" s="19" t="s">
        <v>119</v>
      </c>
      <c r="F59" s="19" t="s">
        <v>433</v>
      </c>
      <c r="G59" s="19" t="s">
        <v>434</v>
      </c>
      <c r="H59" s="19" t="s">
        <v>434</v>
      </c>
      <c r="I59" s="19" t="s">
        <v>302</v>
      </c>
      <c r="J59" s="19">
        <v>5</v>
      </c>
      <c r="K59" s="19">
        <v>1470</v>
      </c>
      <c r="L59" s="19">
        <v>17245.28</v>
      </c>
      <c r="M59" s="19">
        <v>368</v>
      </c>
      <c r="N59" s="19" t="s">
        <v>223</v>
      </c>
      <c r="O59" s="21" t="str">
        <f t="shared" si="1"/>
        <v>SIM</v>
      </c>
    </row>
    <row r="60" spans="1:15" ht="15" customHeight="1" x14ac:dyDescent="0.25">
      <c r="A60" s="18" t="s">
        <v>435</v>
      </c>
      <c r="B60" s="19" t="s">
        <v>91</v>
      </c>
      <c r="C60" s="19" t="s">
        <v>92</v>
      </c>
      <c r="D60" s="19" t="s">
        <v>124</v>
      </c>
      <c r="E60" s="19" t="s">
        <v>125</v>
      </c>
      <c r="F60" s="19" t="s">
        <v>366</v>
      </c>
      <c r="G60" s="19" t="s">
        <v>300</v>
      </c>
      <c r="H60" s="19" t="s">
        <v>436</v>
      </c>
      <c r="I60" s="19" t="s">
        <v>292</v>
      </c>
      <c r="J60" s="19">
        <v>23</v>
      </c>
      <c r="K60" s="19">
        <v>5543</v>
      </c>
      <c r="L60" s="19">
        <v>66132.350000000006</v>
      </c>
      <c r="M60" s="19">
        <v>254</v>
      </c>
      <c r="N60" s="19" t="s">
        <v>223</v>
      </c>
      <c r="O60" s="21" t="str">
        <f t="shared" si="1"/>
        <v>NAO</v>
      </c>
    </row>
    <row r="61" spans="1:15" ht="15" customHeight="1" x14ac:dyDescent="0.25">
      <c r="A61" s="18" t="s">
        <v>437</v>
      </c>
      <c r="B61" s="19" t="s">
        <v>54</v>
      </c>
      <c r="C61" s="19" t="s">
        <v>55</v>
      </c>
      <c r="D61" s="19" t="s">
        <v>118</v>
      </c>
      <c r="E61" s="19" t="s">
        <v>119</v>
      </c>
      <c r="F61" s="19" t="s">
        <v>438</v>
      </c>
      <c r="G61" s="19" t="s">
        <v>418</v>
      </c>
      <c r="H61" s="19" t="s">
        <v>418</v>
      </c>
      <c r="I61" s="19" t="s">
        <v>302</v>
      </c>
      <c r="J61" s="19">
        <v>21</v>
      </c>
      <c r="K61" s="19">
        <v>4578</v>
      </c>
      <c r="L61" s="19">
        <v>52518.69</v>
      </c>
      <c r="M61" s="19">
        <v>52</v>
      </c>
      <c r="N61" s="19" t="s">
        <v>220</v>
      </c>
      <c r="O61" s="21" t="str">
        <f t="shared" si="1"/>
        <v>SIM</v>
      </c>
    </row>
    <row r="62" spans="1:15" ht="15" customHeight="1" x14ac:dyDescent="0.25">
      <c r="A62" s="18" t="s">
        <v>439</v>
      </c>
      <c r="B62" s="19" t="s">
        <v>91</v>
      </c>
      <c r="C62" s="19" t="s">
        <v>92</v>
      </c>
      <c r="D62" s="19" t="s">
        <v>124</v>
      </c>
      <c r="E62" s="19" t="s">
        <v>125</v>
      </c>
      <c r="F62" s="19" t="s">
        <v>304</v>
      </c>
      <c r="G62" s="19" t="s">
        <v>305</v>
      </c>
      <c r="H62" s="19" t="s">
        <v>205</v>
      </c>
      <c r="I62" s="19" t="s">
        <v>292</v>
      </c>
      <c r="J62" s="19">
        <v>4</v>
      </c>
      <c r="K62" s="19">
        <v>1256</v>
      </c>
      <c r="L62" s="19">
        <v>17537.09</v>
      </c>
      <c r="M62" s="19">
        <v>30</v>
      </c>
      <c r="N62" s="19" t="s">
        <v>227</v>
      </c>
      <c r="O62" s="21" t="str">
        <f t="shared" si="1"/>
        <v>NAO</v>
      </c>
    </row>
    <row r="63" spans="1:15" ht="15" customHeight="1" x14ac:dyDescent="0.25">
      <c r="A63" s="18" t="s">
        <v>440</v>
      </c>
      <c r="B63" s="19" t="s">
        <v>64</v>
      </c>
      <c r="C63" s="19" t="s">
        <v>65</v>
      </c>
      <c r="D63" s="19" t="s">
        <v>121</v>
      </c>
      <c r="E63" s="19" t="s">
        <v>122</v>
      </c>
      <c r="F63" s="19" t="s">
        <v>354</v>
      </c>
      <c r="G63" s="19" t="s">
        <v>338</v>
      </c>
      <c r="H63" s="19" t="s">
        <v>441</v>
      </c>
      <c r="I63" s="19" t="s">
        <v>302</v>
      </c>
      <c r="J63" s="19">
        <v>11</v>
      </c>
      <c r="K63" s="19">
        <v>3729</v>
      </c>
      <c r="L63" s="19">
        <v>47195.07</v>
      </c>
      <c r="M63" s="19">
        <v>97</v>
      </c>
      <c r="N63" s="19" t="s">
        <v>223</v>
      </c>
      <c r="O63" s="21" t="str">
        <f t="shared" si="1"/>
        <v>NAO</v>
      </c>
    </row>
    <row r="64" spans="1:15" ht="15" customHeight="1" x14ac:dyDescent="0.25">
      <c r="A64" s="18" t="s">
        <v>442</v>
      </c>
      <c r="B64" s="19" t="s">
        <v>98</v>
      </c>
      <c r="C64" s="19" t="s">
        <v>99</v>
      </c>
      <c r="D64" s="19" t="s">
        <v>124</v>
      </c>
      <c r="E64" s="19" t="s">
        <v>125</v>
      </c>
      <c r="F64" s="19" t="s">
        <v>298</v>
      </c>
      <c r="G64" s="19" t="s">
        <v>300</v>
      </c>
      <c r="H64" s="19" t="s">
        <v>381</v>
      </c>
      <c r="I64" s="19" t="s">
        <v>302</v>
      </c>
      <c r="J64" s="19">
        <v>16</v>
      </c>
      <c r="K64" s="19">
        <v>6448</v>
      </c>
      <c r="L64" s="19">
        <v>75738.83</v>
      </c>
      <c r="M64" s="19">
        <v>85</v>
      </c>
      <c r="N64" s="19" t="s">
        <v>220</v>
      </c>
      <c r="O64" s="21" t="str">
        <f t="shared" si="1"/>
        <v>NAO</v>
      </c>
    </row>
    <row r="65" spans="1:15" ht="15" customHeight="1" x14ac:dyDescent="0.25">
      <c r="A65" s="18" t="s">
        <v>443</v>
      </c>
      <c r="B65" s="19" t="s">
        <v>98</v>
      </c>
      <c r="C65" s="19" t="s">
        <v>99</v>
      </c>
      <c r="D65" s="19" t="s">
        <v>118</v>
      </c>
      <c r="E65" s="19" t="s">
        <v>119</v>
      </c>
      <c r="F65" s="19" t="s">
        <v>444</v>
      </c>
      <c r="G65" s="19" t="s">
        <v>343</v>
      </c>
      <c r="H65" s="19" t="s">
        <v>343</v>
      </c>
      <c r="I65" s="19" t="s">
        <v>302</v>
      </c>
      <c r="J65" s="19">
        <v>21</v>
      </c>
      <c r="K65" s="19">
        <v>7560</v>
      </c>
      <c r="L65" s="19">
        <v>103840.19</v>
      </c>
      <c r="M65" s="19">
        <v>469</v>
      </c>
      <c r="N65" s="19" t="s">
        <v>220</v>
      </c>
      <c r="O65" s="21" t="str">
        <f t="shared" si="1"/>
        <v>SIM</v>
      </c>
    </row>
    <row r="66" spans="1:15" ht="15" customHeight="1" x14ac:dyDescent="0.25">
      <c r="A66" s="18" t="s">
        <v>445</v>
      </c>
      <c r="B66" s="19" t="s">
        <v>102</v>
      </c>
      <c r="C66" s="19" t="s">
        <v>103</v>
      </c>
      <c r="D66" s="19" t="s">
        <v>118</v>
      </c>
      <c r="E66" s="19" t="s">
        <v>119</v>
      </c>
      <c r="F66" s="19" t="s">
        <v>446</v>
      </c>
      <c r="G66" s="19" t="s">
        <v>295</v>
      </c>
      <c r="H66" s="19" t="s">
        <v>295</v>
      </c>
      <c r="I66" s="19" t="s">
        <v>302</v>
      </c>
      <c r="J66" s="19">
        <v>12</v>
      </c>
      <c r="K66" s="19">
        <v>3300</v>
      </c>
      <c r="L66" s="19">
        <v>36577.599999999999</v>
      </c>
      <c r="M66" s="19">
        <v>265</v>
      </c>
      <c r="N66" s="19" t="s">
        <v>227</v>
      </c>
      <c r="O66" s="21" t="str">
        <f t="shared" ref="O66:O97" si="2">IF(I66="Entregue",IF(H66&lt;=G66,"SIM","NAO"),IF(I66="Atrasado","NAO","-"))</f>
        <v>SIM</v>
      </c>
    </row>
    <row r="67" spans="1:15" ht="15" customHeight="1" x14ac:dyDescent="0.25">
      <c r="A67" s="18" t="s">
        <v>447</v>
      </c>
      <c r="B67" s="19" t="s">
        <v>81</v>
      </c>
      <c r="C67" s="19" t="s">
        <v>82</v>
      </c>
      <c r="D67" s="19" t="s">
        <v>124</v>
      </c>
      <c r="E67" s="19" t="s">
        <v>125</v>
      </c>
      <c r="F67" s="19" t="s">
        <v>448</v>
      </c>
      <c r="G67" s="19" t="s">
        <v>311</v>
      </c>
      <c r="H67" s="19" t="s">
        <v>311</v>
      </c>
      <c r="I67" s="19" t="s">
        <v>302</v>
      </c>
      <c r="J67" s="19">
        <v>13</v>
      </c>
      <c r="K67" s="19">
        <v>4394</v>
      </c>
      <c r="L67" s="19">
        <v>55359.16</v>
      </c>
      <c r="M67" s="19">
        <v>524</v>
      </c>
      <c r="N67" s="19" t="s">
        <v>227</v>
      </c>
      <c r="O67" s="21" t="str">
        <f t="shared" si="2"/>
        <v>SIM</v>
      </c>
    </row>
    <row r="68" spans="1:15" ht="15" customHeight="1" x14ac:dyDescent="0.25">
      <c r="A68" s="18" t="s">
        <v>449</v>
      </c>
      <c r="B68" s="19" t="s">
        <v>64</v>
      </c>
      <c r="C68" s="19" t="s">
        <v>65</v>
      </c>
      <c r="D68" s="19" t="s">
        <v>115</v>
      </c>
      <c r="E68" s="19" t="s">
        <v>116</v>
      </c>
      <c r="F68" s="19" t="s">
        <v>356</v>
      </c>
      <c r="G68" s="19" t="s">
        <v>438</v>
      </c>
      <c r="H68" s="19" t="s">
        <v>438</v>
      </c>
      <c r="I68" s="19" t="s">
        <v>302</v>
      </c>
      <c r="J68" s="19">
        <v>15</v>
      </c>
      <c r="K68" s="19">
        <v>6150</v>
      </c>
      <c r="L68" s="19">
        <v>62888.61</v>
      </c>
      <c r="M68" s="19">
        <v>574</v>
      </c>
      <c r="N68" s="19" t="s">
        <v>220</v>
      </c>
      <c r="O68" s="21" t="str">
        <f t="shared" si="2"/>
        <v>SIM</v>
      </c>
    </row>
    <row r="69" spans="1:15" ht="15" customHeight="1" x14ac:dyDescent="0.25">
      <c r="A69" s="18" t="s">
        <v>450</v>
      </c>
      <c r="B69" s="19" t="s">
        <v>59</v>
      </c>
      <c r="C69" s="19" t="s">
        <v>60</v>
      </c>
      <c r="D69" s="19" t="s">
        <v>121</v>
      </c>
      <c r="E69" s="19" t="s">
        <v>122</v>
      </c>
      <c r="F69" s="19" t="s">
        <v>306</v>
      </c>
      <c r="G69" s="19" t="s">
        <v>348</v>
      </c>
      <c r="H69" s="19" t="s">
        <v>290</v>
      </c>
      <c r="I69" s="19" t="s">
        <v>302</v>
      </c>
      <c r="J69" s="19">
        <v>23</v>
      </c>
      <c r="K69" s="19">
        <v>5612</v>
      </c>
      <c r="L69" s="19">
        <v>63084.58</v>
      </c>
      <c r="M69" s="19">
        <v>324</v>
      </c>
      <c r="N69" s="19" t="s">
        <v>220</v>
      </c>
      <c r="O69" s="21" t="str">
        <f t="shared" si="2"/>
        <v>NAO</v>
      </c>
    </row>
    <row r="70" spans="1:15" ht="15" customHeight="1" x14ac:dyDescent="0.25">
      <c r="A70" s="18" t="s">
        <v>451</v>
      </c>
      <c r="B70" s="19" t="s">
        <v>81</v>
      </c>
      <c r="C70" s="19" t="s">
        <v>82</v>
      </c>
      <c r="D70" s="19" t="s">
        <v>121</v>
      </c>
      <c r="E70" s="19" t="s">
        <v>122</v>
      </c>
      <c r="F70" s="19" t="s">
        <v>452</v>
      </c>
      <c r="G70" s="19" t="s">
        <v>372</v>
      </c>
      <c r="H70" s="19" t="s">
        <v>372</v>
      </c>
      <c r="I70" s="19" t="s">
        <v>302</v>
      </c>
      <c r="J70" s="19">
        <v>10</v>
      </c>
      <c r="K70" s="19">
        <v>3590</v>
      </c>
      <c r="L70" s="19">
        <v>36874.269999999997</v>
      </c>
      <c r="M70" s="19">
        <v>420</v>
      </c>
      <c r="N70" s="19" t="s">
        <v>223</v>
      </c>
      <c r="O70" s="21" t="str">
        <f t="shared" si="2"/>
        <v>SIM</v>
      </c>
    </row>
    <row r="71" spans="1:15" ht="15" customHeight="1" x14ac:dyDescent="0.25">
      <c r="A71" s="18" t="s">
        <v>453</v>
      </c>
      <c r="B71" s="19" t="s">
        <v>54</v>
      </c>
      <c r="C71" s="19" t="s">
        <v>55</v>
      </c>
      <c r="D71" s="19" t="s">
        <v>124</v>
      </c>
      <c r="E71" s="19" t="s">
        <v>125</v>
      </c>
      <c r="F71" s="19" t="s">
        <v>454</v>
      </c>
      <c r="G71" s="19" t="s">
        <v>187</v>
      </c>
      <c r="H71" s="19"/>
      <c r="I71" s="19" t="s">
        <v>296</v>
      </c>
      <c r="J71" s="19">
        <v>10</v>
      </c>
      <c r="K71" s="19">
        <v>3780</v>
      </c>
      <c r="L71" s="19">
        <v>50248.15</v>
      </c>
      <c r="M71" s="19">
        <v>375</v>
      </c>
      <c r="N71" s="19" t="s">
        <v>220</v>
      </c>
      <c r="O71" s="21" t="str">
        <f t="shared" si="2"/>
        <v>-</v>
      </c>
    </row>
    <row r="72" spans="1:15" ht="15" customHeight="1" x14ac:dyDescent="0.25">
      <c r="A72" s="18" t="s">
        <v>455</v>
      </c>
      <c r="B72" s="19" t="s">
        <v>98</v>
      </c>
      <c r="C72" s="19" t="s">
        <v>99</v>
      </c>
      <c r="D72" s="19" t="s">
        <v>115</v>
      </c>
      <c r="E72" s="19" t="s">
        <v>116</v>
      </c>
      <c r="F72" s="19" t="s">
        <v>456</v>
      </c>
      <c r="G72" s="19" t="s">
        <v>457</v>
      </c>
      <c r="H72" s="19" t="s">
        <v>457</v>
      </c>
      <c r="I72" s="19" t="s">
        <v>302</v>
      </c>
      <c r="J72" s="19">
        <v>22</v>
      </c>
      <c r="K72" s="19">
        <v>7788</v>
      </c>
      <c r="L72" s="19">
        <v>105371.82</v>
      </c>
      <c r="M72" s="19">
        <v>114</v>
      </c>
      <c r="N72" s="19" t="s">
        <v>227</v>
      </c>
      <c r="O72" s="21" t="str">
        <f t="shared" si="2"/>
        <v>SIM</v>
      </c>
    </row>
    <row r="73" spans="1:15" ht="15" customHeight="1" x14ac:dyDescent="0.25">
      <c r="A73" s="18" t="s">
        <v>458</v>
      </c>
      <c r="B73" s="19" t="s">
        <v>98</v>
      </c>
      <c r="C73" s="19" t="s">
        <v>99</v>
      </c>
      <c r="D73" s="19" t="s">
        <v>112</v>
      </c>
      <c r="E73" s="19" t="s">
        <v>113</v>
      </c>
      <c r="F73" s="19" t="s">
        <v>194</v>
      </c>
      <c r="G73" s="19" t="s">
        <v>412</v>
      </c>
      <c r="H73" s="19" t="s">
        <v>412</v>
      </c>
      <c r="I73" s="19" t="s">
        <v>302</v>
      </c>
      <c r="J73" s="19">
        <v>5</v>
      </c>
      <c r="K73" s="19">
        <v>1015</v>
      </c>
      <c r="L73" s="19">
        <v>14167.13</v>
      </c>
      <c r="M73" s="19">
        <v>349</v>
      </c>
      <c r="N73" s="19" t="s">
        <v>227</v>
      </c>
      <c r="O73" s="21" t="str">
        <f t="shared" si="2"/>
        <v>SIM</v>
      </c>
    </row>
    <row r="74" spans="1:15" ht="15" customHeight="1" x14ac:dyDescent="0.25">
      <c r="A74" s="18" t="s">
        <v>459</v>
      </c>
      <c r="B74" s="19" t="s">
        <v>81</v>
      </c>
      <c r="C74" s="19" t="s">
        <v>82</v>
      </c>
      <c r="D74" s="19" t="s">
        <v>115</v>
      </c>
      <c r="E74" s="19" t="s">
        <v>116</v>
      </c>
      <c r="F74" s="19" t="s">
        <v>312</v>
      </c>
      <c r="G74" s="19" t="s">
        <v>460</v>
      </c>
      <c r="H74" s="19"/>
      <c r="I74" s="19" t="s">
        <v>296</v>
      </c>
      <c r="J74" s="19">
        <v>12</v>
      </c>
      <c r="K74" s="19">
        <v>3780</v>
      </c>
      <c r="L74" s="19">
        <v>43510.71</v>
      </c>
      <c r="M74" s="19">
        <v>294</v>
      </c>
      <c r="N74" s="19" t="s">
        <v>220</v>
      </c>
      <c r="O74" s="21" t="str">
        <f t="shared" si="2"/>
        <v>-</v>
      </c>
    </row>
    <row r="75" spans="1:15" ht="15" customHeight="1" x14ac:dyDescent="0.25">
      <c r="A75" s="18" t="s">
        <v>461</v>
      </c>
      <c r="B75" s="19" t="s">
        <v>73</v>
      </c>
      <c r="C75" s="19" t="s">
        <v>74</v>
      </c>
      <c r="D75" s="19" t="s">
        <v>121</v>
      </c>
      <c r="E75" s="19" t="s">
        <v>122</v>
      </c>
      <c r="F75" s="19" t="s">
        <v>383</v>
      </c>
      <c r="G75" s="19" t="s">
        <v>400</v>
      </c>
      <c r="H75" s="19" t="s">
        <v>462</v>
      </c>
      <c r="I75" s="19" t="s">
        <v>292</v>
      </c>
      <c r="J75" s="19">
        <v>3</v>
      </c>
      <c r="K75" s="19">
        <v>648</v>
      </c>
      <c r="L75" s="19">
        <v>8440.14</v>
      </c>
      <c r="M75" s="19">
        <v>246</v>
      </c>
      <c r="N75" s="19" t="s">
        <v>227</v>
      </c>
      <c r="O75" s="21" t="str">
        <f t="shared" si="2"/>
        <v>NAO</v>
      </c>
    </row>
    <row r="76" spans="1:15" ht="15" customHeight="1" x14ac:dyDescent="0.25">
      <c r="A76" s="18" t="s">
        <v>463</v>
      </c>
      <c r="B76" s="19" t="s">
        <v>102</v>
      </c>
      <c r="C76" s="19" t="s">
        <v>103</v>
      </c>
      <c r="D76" s="19" t="s">
        <v>121</v>
      </c>
      <c r="E76" s="19" t="s">
        <v>122</v>
      </c>
      <c r="F76" s="19" t="s">
        <v>425</v>
      </c>
      <c r="G76" s="19" t="s">
        <v>464</v>
      </c>
      <c r="H76" s="19" t="s">
        <v>464</v>
      </c>
      <c r="I76" s="19" t="s">
        <v>302</v>
      </c>
      <c r="J76" s="19">
        <v>9</v>
      </c>
      <c r="K76" s="19">
        <v>2853</v>
      </c>
      <c r="L76" s="19">
        <v>26366.09</v>
      </c>
      <c r="M76" s="19">
        <v>392</v>
      </c>
      <c r="N76" s="19" t="s">
        <v>227</v>
      </c>
      <c r="O76" s="21" t="str">
        <f t="shared" si="2"/>
        <v>SIM</v>
      </c>
    </row>
    <row r="77" spans="1:15" ht="15" customHeight="1" x14ac:dyDescent="0.25">
      <c r="A77" s="18" t="s">
        <v>465</v>
      </c>
      <c r="B77" s="19" t="s">
        <v>102</v>
      </c>
      <c r="C77" s="19" t="s">
        <v>103</v>
      </c>
      <c r="D77" s="19" t="s">
        <v>118</v>
      </c>
      <c r="E77" s="19" t="s">
        <v>119</v>
      </c>
      <c r="F77" s="19" t="s">
        <v>466</v>
      </c>
      <c r="G77" s="19" t="s">
        <v>467</v>
      </c>
      <c r="H77" s="19" t="s">
        <v>468</v>
      </c>
      <c r="I77" s="19" t="s">
        <v>292</v>
      </c>
      <c r="J77" s="19">
        <v>4</v>
      </c>
      <c r="K77" s="19">
        <v>1408</v>
      </c>
      <c r="L77" s="19">
        <v>13943.33</v>
      </c>
      <c r="M77" s="19">
        <v>40</v>
      </c>
      <c r="N77" s="19" t="s">
        <v>227</v>
      </c>
      <c r="O77" s="21" t="str">
        <f t="shared" si="2"/>
        <v>NAO</v>
      </c>
    </row>
    <row r="78" spans="1:15" ht="15" customHeight="1" x14ac:dyDescent="0.25">
      <c r="A78" s="18" t="s">
        <v>469</v>
      </c>
      <c r="B78" s="19" t="s">
        <v>91</v>
      </c>
      <c r="C78" s="19" t="s">
        <v>92</v>
      </c>
      <c r="D78" s="19" t="s">
        <v>118</v>
      </c>
      <c r="E78" s="19" t="s">
        <v>119</v>
      </c>
      <c r="F78" s="19" t="s">
        <v>468</v>
      </c>
      <c r="G78" s="19" t="s">
        <v>456</v>
      </c>
      <c r="H78" s="19" t="s">
        <v>456</v>
      </c>
      <c r="I78" s="19" t="s">
        <v>302</v>
      </c>
      <c r="J78" s="19">
        <v>15</v>
      </c>
      <c r="K78" s="19">
        <v>6180</v>
      </c>
      <c r="L78" s="19">
        <v>78525.94</v>
      </c>
      <c r="M78" s="19">
        <v>433</v>
      </c>
      <c r="N78" s="19" t="s">
        <v>220</v>
      </c>
      <c r="O78" s="21" t="str">
        <f t="shared" si="2"/>
        <v>SIM</v>
      </c>
    </row>
    <row r="79" spans="1:15" ht="15" customHeight="1" x14ac:dyDescent="0.25">
      <c r="A79" s="18" t="s">
        <v>470</v>
      </c>
      <c r="B79" s="19" t="s">
        <v>64</v>
      </c>
      <c r="C79" s="19" t="s">
        <v>65</v>
      </c>
      <c r="D79" s="19" t="s">
        <v>112</v>
      </c>
      <c r="E79" s="19" t="s">
        <v>113</v>
      </c>
      <c r="F79" s="19" t="s">
        <v>368</v>
      </c>
      <c r="G79" s="19" t="s">
        <v>454</v>
      </c>
      <c r="H79" s="19"/>
      <c r="I79" s="19" t="s">
        <v>336</v>
      </c>
      <c r="J79" s="19">
        <v>4</v>
      </c>
      <c r="K79" s="19">
        <v>816</v>
      </c>
      <c r="L79" s="19">
        <v>8085.58</v>
      </c>
      <c r="M79" s="19">
        <v>565</v>
      </c>
      <c r="N79" s="19" t="s">
        <v>220</v>
      </c>
      <c r="O79" s="21" t="str">
        <f t="shared" si="2"/>
        <v>-</v>
      </c>
    </row>
    <row r="80" spans="1:15" ht="15" customHeight="1" x14ac:dyDescent="0.25">
      <c r="A80" s="18" t="s">
        <v>471</v>
      </c>
      <c r="B80" s="19" t="s">
        <v>81</v>
      </c>
      <c r="C80" s="19" t="s">
        <v>82</v>
      </c>
      <c r="D80" s="19" t="s">
        <v>121</v>
      </c>
      <c r="E80" s="19" t="s">
        <v>122</v>
      </c>
      <c r="F80" s="19" t="s">
        <v>365</v>
      </c>
      <c r="G80" s="19" t="s">
        <v>291</v>
      </c>
      <c r="H80" s="19" t="s">
        <v>291</v>
      </c>
      <c r="I80" s="19" t="s">
        <v>302</v>
      </c>
      <c r="J80" s="19">
        <v>5</v>
      </c>
      <c r="K80" s="19">
        <v>2030</v>
      </c>
      <c r="L80" s="19">
        <v>22308.29</v>
      </c>
      <c r="M80" s="19">
        <v>116</v>
      </c>
      <c r="N80" s="19" t="s">
        <v>223</v>
      </c>
      <c r="O80" s="21" t="str">
        <f t="shared" si="2"/>
        <v>SIM</v>
      </c>
    </row>
    <row r="81" spans="1:15" ht="15" customHeight="1" x14ac:dyDescent="0.25">
      <c r="A81" s="18" t="s">
        <v>472</v>
      </c>
      <c r="B81" s="19" t="s">
        <v>94</v>
      </c>
      <c r="C81" s="19" t="s">
        <v>95</v>
      </c>
      <c r="D81" s="19" t="s">
        <v>121</v>
      </c>
      <c r="E81" s="19" t="s">
        <v>122</v>
      </c>
      <c r="F81" s="19" t="s">
        <v>473</v>
      </c>
      <c r="G81" s="19" t="s">
        <v>474</v>
      </c>
      <c r="H81" s="19"/>
      <c r="I81" s="19" t="s">
        <v>296</v>
      </c>
      <c r="J81" s="19">
        <v>7</v>
      </c>
      <c r="K81" s="19">
        <v>2051</v>
      </c>
      <c r="L81" s="19">
        <v>22905.93</v>
      </c>
      <c r="M81" s="19">
        <v>256</v>
      </c>
      <c r="N81" s="19" t="s">
        <v>223</v>
      </c>
      <c r="O81" s="21" t="str">
        <f t="shared" si="2"/>
        <v>-</v>
      </c>
    </row>
    <row r="82" spans="1:15" ht="15" customHeight="1" x14ac:dyDescent="0.25">
      <c r="A82" s="18" t="s">
        <v>475</v>
      </c>
      <c r="B82" s="19" t="s">
        <v>59</v>
      </c>
      <c r="C82" s="19" t="s">
        <v>60</v>
      </c>
      <c r="D82" s="19" t="s">
        <v>118</v>
      </c>
      <c r="E82" s="19" t="s">
        <v>119</v>
      </c>
      <c r="F82" s="19" t="s">
        <v>166</v>
      </c>
      <c r="G82" s="19" t="s">
        <v>425</v>
      </c>
      <c r="H82" s="19" t="s">
        <v>425</v>
      </c>
      <c r="I82" s="19" t="s">
        <v>302</v>
      </c>
      <c r="J82" s="19">
        <v>4</v>
      </c>
      <c r="K82" s="19">
        <v>1588</v>
      </c>
      <c r="L82" s="19">
        <v>21350.89</v>
      </c>
      <c r="M82" s="19">
        <v>108</v>
      </c>
      <c r="N82" s="19" t="s">
        <v>227</v>
      </c>
      <c r="O82" s="21" t="str">
        <f t="shared" si="2"/>
        <v>SIM</v>
      </c>
    </row>
    <row r="83" spans="1:15" ht="15" customHeight="1" x14ac:dyDescent="0.25">
      <c r="A83" s="18" t="s">
        <v>476</v>
      </c>
      <c r="B83" s="19" t="s">
        <v>68</v>
      </c>
      <c r="C83" s="19" t="s">
        <v>69</v>
      </c>
      <c r="D83" s="19" t="s">
        <v>124</v>
      </c>
      <c r="E83" s="19" t="s">
        <v>125</v>
      </c>
      <c r="F83" s="19" t="s">
        <v>362</v>
      </c>
      <c r="G83" s="19" t="s">
        <v>294</v>
      </c>
      <c r="H83" s="19"/>
      <c r="I83" s="19" t="s">
        <v>296</v>
      </c>
      <c r="J83" s="19">
        <v>8</v>
      </c>
      <c r="K83" s="19">
        <v>1696</v>
      </c>
      <c r="L83" s="19">
        <v>22424.29</v>
      </c>
      <c r="M83" s="19">
        <v>225</v>
      </c>
      <c r="N83" s="19" t="s">
        <v>220</v>
      </c>
      <c r="O83" s="21" t="str">
        <f t="shared" si="2"/>
        <v>-</v>
      </c>
    </row>
    <row r="84" spans="1:15" ht="15" customHeight="1" x14ac:dyDescent="0.25">
      <c r="A84" s="18" t="s">
        <v>477</v>
      </c>
      <c r="B84" s="19" t="s">
        <v>91</v>
      </c>
      <c r="C84" s="19" t="s">
        <v>92</v>
      </c>
      <c r="D84" s="19" t="s">
        <v>115</v>
      </c>
      <c r="E84" s="19" t="s">
        <v>116</v>
      </c>
      <c r="F84" s="19" t="s">
        <v>478</v>
      </c>
      <c r="G84" s="19" t="s">
        <v>334</v>
      </c>
      <c r="H84" s="19" t="s">
        <v>379</v>
      </c>
      <c r="I84" s="19" t="s">
        <v>292</v>
      </c>
      <c r="J84" s="19">
        <v>11</v>
      </c>
      <c r="K84" s="19">
        <v>4158</v>
      </c>
      <c r="L84" s="19">
        <v>39024.18</v>
      </c>
      <c r="M84" s="19">
        <v>17</v>
      </c>
      <c r="N84" s="19" t="s">
        <v>223</v>
      </c>
      <c r="O84" s="21" t="str">
        <f t="shared" si="2"/>
        <v>NAO</v>
      </c>
    </row>
    <row r="85" spans="1:15" ht="15" customHeight="1" x14ac:dyDescent="0.25">
      <c r="A85" s="18" t="s">
        <v>479</v>
      </c>
      <c r="B85" s="19" t="s">
        <v>64</v>
      </c>
      <c r="C85" s="19" t="s">
        <v>65</v>
      </c>
      <c r="D85" s="19" t="s">
        <v>115</v>
      </c>
      <c r="E85" s="19" t="s">
        <v>116</v>
      </c>
      <c r="F85" s="19" t="s">
        <v>480</v>
      </c>
      <c r="G85" s="19" t="s">
        <v>422</v>
      </c>
      <c r="H85" s="19"/>
      <c r="I85" s="19" t="s">
        <v>296</v>
      </c>
      <c r="J85" s="19">
        <v>4</v>
      </c>
      <c r="K85" s="19">
        <v>1396</v>
      </c>
      <c r="L85" s="19">
        <v>19123.37</v>
      </c>
      <c r="M85" s="19">
        <v>149</v>
      </c>
      <c r="N85" s="19" t="s">
        <v>220</v>
      </c>
      <c r="O85" s="21" t="str">
        <f t="shared" si="2"/>
        <v>-</v>
      </c>
    </row>
    <row r="86" spans="1:15" ht="15" customHeight="1" x14ac:dyDescent="0.25">
      <c r="A86" s="18" t="s">
        <v>481</v>
      </c>
      <c r="B86" s="19" t="s">
        <v>77</v>
      </c>
      <c r="C86" s="19" t="s">
        <v>78</v>
      </c>
      <c r="D86" s="19" t="s">
        <v>115</v>
      </c>
      <c r="E86" s="19" t="s">
        <v>116</v>
      </c>
      <c r="F86" s="19" t="s">
        <v>478</v>
      </c>
      <c r="G86" s="19" t="s">
        <v>467</v>
      </c>
      <c r="H86" s="19" t="s">
        <v>467</v>
      </c>
      <c r="I86" s="19" t="s">
        <v>302</v>
      </c>
      <c r="J86" s="19">
        <v>5</v>
      </c>
      <c r="K86" s="19">
        <v>1845</v>
      </c>
      <c r="L86" s="19">
        <v>20342.53</v>
      </c>
      <c r="M86" s="19">
        <v>131</v>
      </c>
      <c r="N86" s="19" t="s">
        <v>227</v>
      </c>
      <c r="O86" s="21" t="str">
        <f t="shared" si="2"/>
        <v>SIM</v>
      </c>
    </row>
    <row r="87" spans="1:15" ht="15" customHeight="1" x14ac:dyDescent="0.25">
      <c r="A87" s="18" t="s">
        <v>482</v>
      </c>
      <c r="B87" s="19" t="s">
        <v>59</v>
      </c>
      <c r="C87" s="19" t="s">
        <v>60</v>
      </c>
      <c r="D87" s="19" t="s">
        <v>121</v>
      </c>
      <c r="E87" s="19" t="s">
        <v>122</v>
      </c>
      <c r="F87" s="19" t="s">
        <v>309</v>
      </c>
      <c r="G87" s="19" t="s">
        <v>483</v>
      </c>
      <c r="H87" s="19" t="s">
        <v>483</v>
      </c>
      <c r="I87" s="19" t="s">
        <v>302</v>
      </c>
      <c r="J87" s="19">
        <v>17</v>
      </c>
      <c r="K87" s="19">
        <v>4012</v>
      </c>
      <c r="L87" s="19">
        <v>56860.05</v>
      </c>
      <c r="M87" s="19">
        <v>59</v>
      </c>
      <c r="N87" s="19" t="s">
        <v>227</v>
      </c>
      <c r="O87" s="21" t="str">
        <f t="shared" si="2"/>
        <v>SIM</v>
      </c>
    </row>
    <row r="88" spans="1:15" ht="15" customHeight="1" x14ac:dyDescent="0.25">
      <c r="A88" s="18" t="s">
        <v>484</v>
      </c>
      <c r="B88" s="19" t="s">
        <v>98</v>
      </c>
      <c r="C88" s="19" t="s">
        <v>99</v>
      </c>
      <c r="D88" s="19" t="s">
        <v>124</v>
      </c>
      <c r="E88" s="19" t="s">
        <v>125</v>
      </c>
      <c r="F88" s="19" t="s">
        <v>384</v>
      </c>
      <c r="G88" s="19" t="s">
        <v>434</v>
      </c>
      <c r="H88" s="19" t="s">
        <v>434</v>
      </c>
      <c r="I88" s="19" t="s">
        <v>302</v>
      </c>
      <c r="J88" s="19">
        <v>16</v>
      </c>
      <c r="K88" s="19">
        <v>6336</v>
      </c>
      <c r="L88" s="19">
        <v>69123.88</v>
      </c>
      <c r="M88" s="19">
        <v>125</v>
      </c>
      <c r="N88" s="19" t="s">
        <v>223</v>
      </c>
      <c r="O88" s="21" t="str">
        <f t="shared" si="2"/>
        <v>SIM</v>
      </c>
    </row>
    <row r="89" spans="1:15" ht="15" customHeight="1" x14ac:dyDescent="0.25">
      <c r="A89" s="18" t="s">
        <v>485</v>
      </c>
      <c r="B89" s="19" t="s">
        <v>102</v>
      </c>
      <c r="C89" s="19" t="s">
        <v>103</v>
      </c>
      <c r="D89" s="19" t="s">
        <v>121</v>
      </c>
      <c r="E89" s="19" t="s">
        <v>122</v>
      </c>
      <c r="F89" s="19" t="s">
        <v>208</v>
      </c>
      <c r="G89" s="19" t="s">
        <v>486</v>
      </c>
      <c r="H89" s="19" t="s">
        <v>486</v>
      </c>
      <c r="I89" s="19" t="s">
        <v>302</v>
      </c>
      <c r="J89" s="19">
        <v>5</v>
      </c>
      <c r="K89" s="19">
        <v>1250</v>
      </c>
      <c r="L89" s="19">
        <v>15307.38</v>
      </c>
      <c r="M89" s="19">
        <v>614</v>
      </c>
      <c r="N89" s="19" t="s">
        <v>227</v>
      </c>
      <c r="O89" s="21" t="str">
        <f t="shared" si="2"/>
        <v>SIM</v>
      </c>
    </row>
    <row r="90" spans="1:15" ht="15" customHeight="1" x14ac:dyDescent="0.25">
      <c r="A90" s="18" t="s">
        <v>487</v>
      </c>
      <c r="B90" s="19" t="s">
        <v>102</v>
      </c>
      <c r="C90" s="19" t="s">
        <v>103</v>
      </c>
      <c r="D90" s="19" t="s">
        <v>118</v>
      </c>
      <c r="E90" s="19" t="s">
        <v>119</v>
      </c>
      <c r="F90" s="19" t="s">
        <v>298</v>
      </c>
      <c r="G90" s="19" t="s">
        <v>436</v>
      </c>
      <c r="H90" s="19" t="s">
        <v>436</v>
      </c>
      <c r="I90" s="19" t="s">
        <v>302</v>
      </c>
      <c r="J90" s="19">
        <v>20</v>
      </c>
      <c r="K90" s="19">
        <v>5800</v>
      </c>
      <c r="L90" s="19">
        <v>52751.41</v>
      </c>
      <c r="M90" s="19">
        <v>132</v>
      </c>
      <c r="N90" s="19" t="s">
        <v>227</v>
      </c>
      <c r="O90" s="21" t="str">
        <f t="shared" si="2"/>
        <v>SIM</v>
      </c>
    </row>
    <row r="91" spans="1:15" ht="15" customHeight="1" x14ac:dyDescent="0.25">
      <c r="A91" s="18" t="s">
        <v>488</v>
      </c>
      <c r="B91" s="19" t="s">
        <v>98</v>
      </c>
      <c r="C91" s="19" t="s">
        <v>99</v>
      </c>
      <c r="D91" s="19" t="s">
        <v>124</v>
      </c>
      <c r="E91" s="19" t="s">
        <v>125</v>
      </c>
      <c r="F91" s="19" t="s">
        <v>489</v>
      </c>
      <c r="G91" s="19" t="s">
        <v>343</v>
      </c>
      <c r="H91" s="19" t="s">
        <v>343</v>
      </c>
      <c r="I91" s="19" t="s">
        <v>302</v>
      </c>
      <c r="J91" s="19">
        <v>11</v>
      </c>
      <c r="K91" s="19">
        <v>4301</v>
      </c>
      <c r="L91" s="19">
        <v>48261.49</v>
      </c>
      <c r="M91" s="19">
        <v>440</v>
      </c>
      <c r="N91" s="19" t="s">
        <v>227</v>
      </c>
      <c r="O91" s="21" t="str">
        <f t="shared" si="2"/>
        <v>SIM</v>
      </c>
    </row>
    <row r="92" spans="1:15" ht="15" customHeight="1" x14ac:dyDescent="0.25">
      <c r="A92" s="18" t="s">
        <v>490</v>
      </c>
      <c r="B92" s="19" t="s">
        <v>59</v>
      </c>
      <c r="C92" s="19" t="s">
        <v>60</v>
      </c>
      <c r="D92" s="19" t="s">
        <v>118</v>
      </c>
      <c r="E92" s="19" t="s">
        <v>119</v>
      </c>
      <c r="F92" s="19" t="s">
        <v>491</v>
      </c>
      <c r="G92" s="19" t="s">
        <v>492</v>
      </c>
      <c r="H92" s="19" t="s">
        <v>492</v>
      </c>
      <c r="I92" s="19" t="s">
        <v>302</v>
      </c>
      <c r="J92" s="19">
        <v>5</v>
      </c>
      <c r="K92" s="19">
        <v>1775</v>
      </c>
      <c r="L92" s="19">
        <v>24917.29</v>
      </c>
      <c r="M92" s="19">
        <v>83</v>
      </c>
      <c r="N92" s="19" t="s">
        <v>220</v>
      </c>
      <c r="O92" s="21" t="str">
        <f t="shared" si="2"/>
        <v>SIM</v>
      </c>
    </row>
    <row r="93" spans="1:15" ht="15" customHeight="1" x14ac:dyDescent="0.25">
      <c r="A93" s="18" t="s">
        <v>493</v>
      </c>
      <c r="B93" s="19" t="s">
        <v>59</v>
      </c>
      <c r="C93" s="19" t="s">
        <v>60</v>
      </c>
      <c r="D93" s="19" t="s">
        <v>112</v>
      </c>
      <c r="E93" s="19" t="s">
        <v>113</v>
      </c>
      <c r="F93" s="19" t="s">
        <v>494</v>
      </c>
      <c r="G93" s="19" t="s">
        <v>308</v>
      </c>
      <c r="H93" s="19"/>
      <c r="I93" s="19" t="s">
        <v>296</v>
      </c>
      <c r="J93" s="19">
        <v>12</v>
      </c>
      <c r="K93" s="19">
        <v>4644</v>
      </c>
      <c r="L93" s="19">
        <v>43099.54</v>
      </c>
      <c r="M93" s="19">
        <v>76</v>
      </c>
      <c r="N93" s="19" t="s">
        <v>227</v>
      </c>
      <c r="O93" s="21" t="str">
        <f t="shared" si="2"/>
        <v>-</v>
      </c>
    </row>
    <row r="94" spans="1:15" ht="15" customHeight="1" x14ac:dyDescent="0.25">
      <c r="A94" s="18" t="s">
        <v>495</v>
      </c>
      <c r="B94" s="19" t="s">
        <v>91</v>
      </c>
      <c r="C94" s="19" t="s">
        <v>92</v>
      </c>
      <c r="D94" s="19" t="s">
        <v>124</v>
      </c>
      <c r="E94" s="19" t="s">
        <v>125</v>
      </c>
      <c r="F94" s="19" t="s">
        <v>304</v>
      </c>
      <c r="G94" s="19" t="s">
        <v>305</v>
      </c>
      <c r="H94" s="19" t="s">
        <v>496</v>
      </c>
      <c r="I94" s="19" t="s">
        <v>302</v>
      </c>
      <c r="J94" s="19">
        <v>14</v>
      </c>
      <c r="K94" s="19">
        <v>5628</v>
      </c>
      <c r="L94" s="19">
        <v>78764.210000000006</v>
      </c>
      <c r="M94" s="19">
        <v>67</v>
      </c>
      <c r="N94" s="19" t="s">
        <v>223</v>
      </c>
      <c r="O94" s="21" t="str">
        <f t="shared" si="2"/>
        <v>NAO</v>
      </c>
    </row>
    <row r="95" spans="1:15" ht="15" customHeight="1" x14ac:dyDescent="0.25">
      <c r="A95" s="18" t="s">
        <v>497</v>
      </c>
      <c r="B95" s="19" t="s">
        <v>94</v>
      </c>
      <c r="C95" s="19" t="s">
        <v>95</v>
      </c>
      <c r="D95" s="19" t="s">
        <v>118</v>
      </c>
      <c r="E95" s="19" t="s">
        <v>119</v>
      </c>
      <c r="F95" s="19" t="s">
        <v>289</v>
      </c>
      <c r="G95" s="19" t="s">
        <v>498</v>
      </c>
      <c r="H95" s="19" t="s">
        <v>498</v>
      </c>
      <c r="I95" s="19" t="s">
        <v>302</v>
      </c>
      <c r="J95" s="19">
        <v>22</v>
      </c>
      <c r="K95" s="19">
        <v>6666</v>
      </c>
      <c r="L95" s="19">
        <v>65629.899999999994</v>
      </c>
      <c r="M95" s="19">
        <v>125</v>
      </c>
      <c r="N95" s="19" t="s">
        <v>223</v>
      </c>
      <c r="O95" s="21" t="str">
        <f t="shared" si="2"/>
        <v>SIM</v>
      </c>
    </row>
    <row r="96" spans="1:15" ht="15" customHeight="1" x14ac:dyDescent="0.25">
      <c r="A96" s="18" t="s">
        <v>499</v>
      </c>
      <c r="B96" s="19" t="s">
        <v>91</v>
      </c>
      <c r="C96" s="19" t="s">
        <v>92</v>
      </c>
      <c r="D96" s="19" t="s">
        <v>118</v>
      </c>
      <c r="E96" s="19" t="s">
        <v>119</v>
      </c>
      <c r="F96" s="19" t="s">
        <v>372</v>
      </c>
      <c r="G96" s="19" t="s">
        <v>352</v>
      </c>
      <c r="H96" s="19" t="s">
        <v>500</v>
      </c>
      <c r="I96" s="19" t="s">
        <v>302</v>
      </c>
      <c r="J96" s="19">
        <v>18</v>
      </c>
      <c r="K96" s="19">
        <v>6768</v>
      </c>
      <c r="L96" s="19">
        <v>90762.68</v>
      </c>
      <c r="M96" s="19">
        <v>585</v>
      </c>
      <c r="N96" s="19" t="s">
        <v>220</v>
      </c>
      <c r="O96" s="21" t="str">
        <f t="shared" si="2"/>
        <v>NAO</v>
      </c>
    </row>
    <row r="97" spans="1:15" ht="15" customHeight="1" x14ac:dyDescent="0.25">
      <c r="A97" s="18" t="s">
        <v>501</v>
      </c>
      <c r="B97" s="19" t="s">
        <v>94</v>
      </c>
      <c r="C97" s="19" t="s">
        <v>95</v>
      </c>
      <c r="D97" s="19" t="s">
        <v>118</v>
      </c>
      <c r="E97" s="19" t="s">
        <v>119</v>
      </c>
      <c r="F97" s="19" t="s">
        <v>446</v>
      </c>
      <c r="G97" s="19" t="s">
        <v>368</v>
      </c>
      <c r="H97" s="19" t="s">
        <v>368</v>
      </c>
      <c r="I97" s="19" t="s">
        <v>302</v>
      </c>
      <c r="J97" s="19">
        <v>11</v>
      </c>
      <c r="K97" s="19">
        <v>2959</v>
      </c>
      <c r="L97" s="19">
        <v>25259.9</v>
      </c>
      <c r="M97" s="19">
        <v>161</v>
      </c>
      <c r="N97" s="19" t="s">
        <v>227</v>
      </c>
      <c r="O97" s="21" t="str">
        <f t="shared" si="2"/>
        <v>SIM</v>
      </c>
    </row>
    <row r="98" spans="1:15" ht="15" customHeight="1" x14ac:dyDescent="0.25">
      <c r="A98" s="18" t="s">
        <v>502</v>
      </c>
      <c r="B98" s="19" t="s">
        <v>98</v>
      </c>
      <c r="C98" s="19" t="s">
        <v>99</v>
      </c>
      <c r="D98" s="19" t="s">
        <v>121</v>
      </c>
      <c r="E98" s="19" t="s">
        <v>122</v>
      </c>
      <c r="F98" s="19" t="s">
        <v>187</v>
      </c>
      <c r="G98" s="19" t="s">
        <v>486</v>
      </c>
      <c r="H98" s="19"/>
      <c r="I98" s="19" t="s">
        <v>296</v>
      </c>
      <c r="J98" s="19">
        <v>1</v>
      </c>
      <c r="K98" s="19">
        <v>203</v>
      </c>
      <c r="L98" s="19">
        <v>2634.26</v>
      </c>
      <c r="M98" s="19">
        <v>235</v>
      </c>
      <c r="N98" s="19" t="s">
        <v>223</v>
      </c>
      <c r="O98" s="21" t="str">
        <f t="shared" ref="O98:O129" si="3">IF(I98="Entregue",IF(H98&lt;=G98,"SIM","NAO"),IF(I98="Atrasado","NAO","-"))</f>
        <v>-</v>
      </c>
    </row>
    <row r="99" spans="1:15" ht="15" customHeight="1" x14ac:dyDescent="0.25">
      <c r="A99" s="18" t="s">
        <v>503</v>
      </c>
      <c r="B99" s="19" t="s">
        <v>81</v>
      </c>
      <c r="C99" s="19" t="s">
        <v>82</v>
      </c>
      <c r="D99" s="19" t="s">
        <v>121</v>
      </c>
      <c r="E99" s="19" t="s">
        <v>122</v>
      </c>
      <c r="F99" s="19" t="s">
        <v>504</v>
      </c>
      <c r="G99" s="19" t="s">
        <v>205</v>
      </c>
      <c r="H99" s="19" t="s">
        <v>205</v>
      </c>
      <c r="I99" s="19" t="s">
        <v>302</v>
      </c>
      <c r="J99" s="19">
        <v>19</v>
      </c>
      <c r="K99" s="19">
        <v>6308</v>
      </c>
      <c r="L99" s="19">
        <v>56833.45</v>
      </c>
      <c r="M99" s="19">
        <v>68</v>
      </c>
      <c r="N99" s="19" t="s">
        <v>220</v>
      </c>
      <c r="O99" s="21" t="str">
        <f t="shared" si="3"/>
        <v>SIM</v>
      </c>
    </row>
    <row r="100" spans="1:15" ht="15" customHeight="1" x14ac:dyDescent="0.25">
      <c r="A100" s="18" t="s">
        <v>505</v>
      </c>
      <c r="B100" s="19" t="s">
        <v>64</v>
      </c>
      <c r="C100" s="19" t="s">
        <v>65</v>
      </c>
      <c r="D100" s="19" t="s">
        <v>124</v>
      </c>
      <c r="E100" s="19" t="s">
        <v>125</v>
      </c>
      <c r="F100" s="19" t="s">
        <v>454</v>
      </c>
      <c r="G100" s="19" t="s">
        <v>506</v>
      </c>
      <c r="H100" s="19" t="s">
        <v>506</v>
      </c>
      <c r="I100" s="19" t="s">
        <v>302</v>
      </c>
      <c r="J100" s="19">
        <v>16</v>
      </c>
      <c r="K100" s="19">
        <v>5360</v>
      </c>
      <c r="L100" s="19">
        <v>59776.14</v>
      </c>
      <c r="M100" s="19">
        <v>294</v>
      </c>
      <c r="N100" s="19" t="s">
        <v>220</v>
      </c>
      <c r="O100" s="21" t="str">
        <f t="shared" si="3"/>
        <v>SIM</v>
      </c>
    </row>
    <row r="101" spans="1:15" ht="15" customHeight="1" x14ac:dyDescent="0.25">
      <c r="A101" s="18" t="s">
        <v>507</v>
      </c>
      <c r="B101" s="19" t="s">
        <v>91</v>
      </c>
      <c r="C101" s="19" t="s">
        <v>92</v>
      </c>
      <c r="D101" s="19" t="s">
        <v>112</v>
      </c>
      <c r="E101" s="19" t="s">
        <v>113</v>
      </c>
      <c r="F101" s="19" t="s">
        <v>306</v>
      </c>
      <c r="G101" s="19" t="s">
        <v>393</v>
      </c>
      <c r="H101" s="19" t="s">
        <v>393</v>
      </c>
      <c r="I101" s="19" t="s">
        <v>302</v>
      </c>
      <c r="J101" s="19">
        <v>19</v>
      </c>
      <c r="K101" s="19">
        <v>5776</v>
      </c>
      <c r="L101" s="19">
        <v>67357.429999999993</v>
      </c>
      <c r="M101" s="19">
        <v>330</v>
      </c>
      <c r="N101" s="19" t="s">
        <v>220</v>
      </c>
      <c r="O101" s="21" t="str">
        <f t="shared" si="3"/>
        <v>SIM</v>
      </c>
    </row>
    <row r="102" spans="1:15" ht="15" customHeight="1" x14ac:dyDescent="0.25">
      <c r="A102" s="18" t="s">
        <v>508</v>
      </c>
      <c r="B102" s="19" t="s">
        <v>68</v>
      </c>
      <c r="C102" s="19" t="s">
        <v>69</v>
      </c>
      <c r="D102" s="19" t="s">
        <v>121</v>
      </c>
      <c r="E102" s="19" t="s">
        <v>122</v>
      </c>
      <c r="F102" s="19" t="s">
        <v>467</v>
      </c>
      <c r="G102" s="19" t="s">
        <v>379</v>
      </c>
      <c r="H102" s="19" t="s">
        <v>379</v>
      </c>
      <c r="I102" s="19" t="s">
        <v>302</v>
      </c>
      <c r="J102" s="19">
        <v>7</v>
      </c>
      <c r="K102" s="19">
        <v>2632</v>
      </c>
      <c r="L102" s="19">
        <v>24539.21</v>
      </c>
      <c r="M102" s="19">
        <v>276</v>
      </c>
      <c r="N102" s="19" t="s">
        <v>223</v>
      </c>
      <c r="O102" s="21" t="str">
        <f t="shared" si="3"/>
        <v>SIM</v>
      </c>
    </row>
    <row r="103" spans="1:15" ht="15" customHeight="1" x14ac:dyDescent="0.25">
      <c r="A103" s="18" t="s">
        <v>509</v>
      </c>
      <c r="B103" s="19" t="s">
        <v>77</v>
      </c>
      <c r="C103" s="19" t="s">
        <v>78</v>
      </c>
      <c r="D103" s="19" t="s">
        <v>112</v>
      </c>
      <c r="E103" s="19" t="s">
        <v>113</v>
      </c>
      <c r="F103" s="19" t="s">
        <v>510</v>
      </c>
      <c r="G103" s="19" t="s">
        <v>362</v>
      </c>
      <c r="H103" s="19"/>
      <c r="I103" s="19" t="s">
        <v>296</v>
      </c>
      <c r="J103" s="19">
        <v>6</v>
      </c>
      <c r="K103" s="19">
        <v>1278</v>
      </c>
      <c r="L103" s="19">
        <v>13778.43</v>
      </c>
      <c r="M103" s="19">
        <v>250</v>
      </c>
      <c r="N103" s="19" t="s">
        <v>227</v>
      </c>
      <c r="O103" s="21" t="str">
        <f t="shared" si="3"/>
        <v>-</v>
      </c>
    </row>
    <row r="104" spans="1:15" ht="15" customHeight="1" x14ac:dyDescent="0.25">
      <c r="A104" s="18" t="s">
        <v>511</v>
      </c>
      <c r="B104" s="19" t="s">
        <v>91</v>
      </c>
      <c r="C104" s="19" t="s">
        <v>92</v>
      </c>
      <c r="D104" s="19" t="s">
        <v>118</v>
      </c>
      <c r="E104" s="19" t="s">
        <v>119</v>
      </c>
      <c r="F104" s="19" t="s">
        <v>208</v>
      </c>
      <c r="G104" s="19" t="s">
        <v>512</v>
      </c>
      <c r="H104" s="19" t="s">
        <v>513</v>
      </c>
      <c r="I104" s="19" t="s">
        <v>292</v>
      </c>
      <c r="J104" s="19">
        <v>14</v>
      </c>
      <c r="K104" s="19">
        <v>2576</v>
      </c>
      <c r="L104" s="19">
        <v>29001.96</v>
      </c>
      <c r="M104" s="19">
        <v>94</v>
      </c>
      <c r="N104" s="19" t="s">
        <v>223</v>
      </c>
      <c r="O104" s="21" t="str">
        <f t="shared" si="3"/>
        <v>NAO</v>
      </c>
    </row>
    <row r="105" spans="1:15" ht="15" customHeight="1" x14ac:dyDescent="0.25">
      <c r="A105" s="18" t="s">
        <v>514</v>
      </c>
      <c r="B105" s="19" t="s">
        <v>94</v>
      </c>
      <c r="C105" s="19" t="s">
        <v>95</v>
      </c>
      <c r="D105" s="19" t="s">
        <v>121</v>
      </c>
      <c r="E105" s="19" t="s">
        <v>122</v>
      </c>
      <c r="F105" s="19" t="s">
        <v>426</v>
      </c>
      <c r="G105" s="19" t="s">
        <v>478</v>
      </c>
      <c r="H105" s="19"/>
      <c r="I105" s="19" t="s">
        <v>296</v>
      </c>
      <c r="J105" s="19">
        <v>14</v>
      </c>
      <c r="K105" s="19">
        <v>3556</v>
      </c>
      <c r="L105" s="19">
        <v>32683.34</v>
      </c>
      <c r="M105" s="19">
        <v>36</v>
      </c>
      <c r="N105" s="19" t="s">
        <v>223</v>
      </c>
      <c r="O105" s="21" t="str">
        <f t="shared" si="3"/>
        <v>-</v>
      </c>
    </row>
    <row r="106" spans="1:15" ht="15" customHeight="1" x14ac:dyDescent="0.25">
      <c r="A106" s="18" t="s">
        <v>515</v>
      </c>
      <c r="B106" s="19" t="s">
        <v>64</v>
      </c>
      <c r="C106" s="19" t="s">
        <v>65</v>
      </c>
      <c r="D106" s="19" t="s">
        <v>124</v>
      </c>
      <c r="E106" s="19" t="s">
        <v>125</v>
      </c>
      <c r="F106" s="19" t="s">
        <v>483</v>
      </c>
      <c r="G106" s="19" t="s">
        <v>357</v>
      </c>
      <c r="H106" s="19" t="s">
        <v>438</v>
      </c>
      <c r="I106" s="19" t="s">
        <v>302</v>
      </c>
      <c r="J106" s="19">
        <v>8</v>
      </c>
      <c r="K106" s="19">
        <v>2328</v>
      </c>
      <c r="L106" s="19">
        <v>28013.35</v>
      </c>
      <c r="M106" s="19">
        <v>551</v>
      </c>
      <c r="N106" s="19" t="s">
        <v>220</v>
      </c>
      <c r="O106" s="21" t="str">
        <f t="shared" si="3"/>
        <v>NAO</v>
      </c>
    </row>
    <row r="107" spans="1:15" ht="15" customHeight="1" x14ac:dyDescent="0.25">
      <c r="A107" s="18" t="s">
        <v>516</v>
      </c>
      <c r="B107" s="19" t="s">
        <v>81</v>
      </c>
      <c r="C107" s="19" t="s">
        <v>82</v>
      </c>
      <c r="D107" s="19" t="s">
        <v>118</v>
      </c>
      <c r="E107" s="19" t="s">
        <v>119</v>
      </c>
      <c r="F107" s="19" t="s">
        <v>496</v>
      </c>
      <c r="G107" s="19" t="s">
        <v>306</v>
      </c>
      <c r="H107" s="19" t="s">
        <v>306</v>
      </c>
      <c r="I107" s="19" t="s">
        <v>302</v>
      </c>
      <c r="J107" s="19">
        <v>17</v>
      </c>
      <c r="K107" s="19">
        <v>5814</v>
      </c>
      <c r="L107" s="19">
        <v>53396.71</v>
      </c>
      <c r="M107" s="19">
        <v>537</v>
      </c>
      <c r="N107" s="19" t="s">
        <v>220</v>
      </c>
      <c r="O107" s="21" t="str">
        <f t="shared" si="3"/>
        <v>SIM</v>
      </c>
    </row>
    <row r="108" spans="1:15" ht="15" customHeight="1" x14ac:dyDescent="0.25">
      <c r="A108" s="18" t="s">
        <v>517</v>
      </c>
      <c r="B108" s="19" t="s">
        <v>77</v>
      </c>
      <c r="C108" s="19" t="s">
        <v>78</v>
      </c>
      <c r="D108" s="19" t="s">
        <v>118</v>
      </c>
      <c r="E108" s="19" t="s">
        <v>119</v>
      </c>
      <c r="F108" s="19" t="s">
        <v>386</v>
      </c>
      <c r="G108" s="19" t="s">
        <v>396</v>
      </c>
      <c r="H108" s="19" t="s">
        <v>396</v>
      </c>
      <c r="I108" s="19" t="s">
        <v>302</v>
      </c>
      <c r="J108" s="19">
        <v>7</v>
      </c>
      <c r="K108" s="19">
        <v>1568</v>
      </c>
      <c r="L108" s="19">
        <v>18995.37</v>
      </c>
      <c r="M108" s="19">
        <v>92</v>
      </c>
      <c r="N108" s="19" t="s">
        <v>220</v>
      </c>
      <c r="O108" s="21" t="str">
        <f t="shared" si="3"/>
        <v>SIM</v>
      </c>
    </row>
    <row r="109" spans="1:15" ht="15" customHeight="1" x14ac:dyDescent="0.25">
      <c r="A109" s="18" t="s">
        <v>518</v>
      </c>
      <c r="B109" s="19" t="s">
        <v>98</v>
      </c>
      <c r="C109" s="19" t="s">
        <v>99</v>
      </c>
      <c r="D109" s="19" t="s">
        <v>121</v>
      </c>
      <c r="E109" s="19" t="s">
        <v>122</v>
      </c>
      <c r="F109" s="19" t="s">
        <v>356</v>
      </c>
      <c r="G109" s="19" t="s">
        <v>320</v>
      </c>
      <c r="H109" s="19"/>
      <c r="I109" s="19" t="s">
        <v>296</v>
      </c>
      <c r="J109" s="19">
        <v>15</v>
      </c>
      <c r="K109" s="19">
        <v>5310</v>
      </c>
      <c r="L109" s="19">
        <v>74578.55</v>
      </c>
      <c r="M109" s="19">
        <v>593</v>
      </c>
      <c r="N109" s="19" t="s">
        <v>227</v>
      </c>
      <c r="O109" s="21" t="str">
        <f t="shared" si="3"/>
        <v>-</v>
      </c>
    </row>
    <row r="110" spans="1:15" ht="15" customHeight="1" x14ac:dyDescent="0.25">
      <c r="A110" s="18" t="s">
        <v>519</v>
      </c>
      <c r="B110" s="19" t="s">
        <v>98</v>
      </c>
      <c r="C110" s="19" t="s">
        <v>99</v>
      </c>
      <c r="D110" s="19" t="s">
        <v>124</v>
      </c>
      <c r="E110" s="19" t="s">
        <v>125</v>
      </c>
      <c r="F110" s="19" t="s">
        <v>462</v>
      </c>
      <c r="G110" s="19" t="s">
        <v>305</v>
      </c>
      <c r="H110" s="19" t="s">
        <v>305</v>
      </c>
      <c r="I110" s="19" t="s">
        <v>302</v>
      </c>
      <c r="J110" s="19">
        <v>15</v>
      </c>
      <c r="K110" s="19">
        <v>5115</v>
      </c>
      <c r="L110" s="19">
        <v>52771.06</v>
      </c>
      <c r="M110" s="19">
        <v>296</v>
      </c>
      <c r="N110" s="19" t="s">
        <v>227</v>
      </c>
      <c r="O110" s="21" t="str">
        <f t="shared" si="3"/>
        <v>SIM</v>
      </c>
    </row>
    <row r="111" spans="1:15" ht="15" customHeight="1" x14ac:dyDescent="0.25">
      <c r="A111" s="18" t="s">
        <v>520</v>
      </c>
      <c r="B111" s="19" t="s">
        <v>54</v>
      </c>
      <c r="C111" s="19" t="s">
        <v>55</v>
      </c>
      <c r="D111" s="19" t="s">
        <v>118</v>
      </c>
      <c r="E111" s="19" t="s">
        <v>119</v>
      </c>
      <c r="F111" s="19" t="s">
        <v>521</v>
      </c>
      <c r="G111" s="19" t="s">
        <v>330</v>
      </c>
      <c r="H111" s="19" t="s">
        <v>330</v>
      </c>
      <c r="I111" s="19" t="s">
        <v>302</v>
      </c>
      <c r="J111" s="19">
        <v>2</v>
      </c>
      <c r="K111" s="19">
        <v>548</v>
      </c>
      <c r="L111" s="19">
        <v>7392.62</v>
      </c>
      <c r="M111" s="19">
        <v>93</v>
      </c>
      <c r="N111" s="19" t="s">
        <v>227</v>
      </c>
      <c r="O111" s="21" t="str">
        <f t="shared" si="3"/>
        <v>SIM</v>
      </c>
    </row>
    <row r="112" spans="1:15" ht="15" customHeight="1" x14ac:dyDescent="0.25">
      <c r="A112" s="18" t="s">
        <v>522</v>
      </c>
      <c r="B112" s="19" t="s">
        <v>59</v>
      </c>
      <c r="C112" s="19" t="s">
        <v>60</v>
      </c>
      <c r="D112" s="19" t="s">
        <v>124</v>
      </c>
      <c r="E112" s="19" t="s">
        <v>125</v>
      </c>
      <c r="F112" s="19" t="s">
        <v>334</v>
      </c>
      <c r="G112" s="19" t="s">
        <v>523</v>
      </c>
      <c r="H112" s="19" t="s">
        <v>523</v>
      </c>
      <c r="I112" s="19" t="s">
        <v>302</v>
      </c>
      <c r="J112" s="19">
        <v>24</v>
      </c>
      <c r="K112" s="19">
        <v>9816</v>
      </c>
      <c r="L112" s="19">
        <v>85852.07</v>
      </c>
      <c r="M112" s="19">
        <v>600</v>
      </c>
      <c r="N112" s="19" t="s">
        <v>227</v>
      </c>
      <c r="O112" s="21" t="str">
        <f t="shared" si="3"/>
        <v>SIM</v>
      </c>
    </row>
    <row r="113" spans="1:15" ht="15" customHeight="1" x14ac:dyDescent="0.25">
      <c r="A113" s="18" t="s">
        <v>524</v>
      </c>
      <c r="B113" s="19" t="s">
        <v>68</v>
      </c>
      <c r="C113" s="19" t="s">
        <v>69</v>
      </c>
      <c r="D113" s="19" t="s">
        <v>118</v>
      </c>
      <c r="E113" s="19" t="s">
        <v>119</v>
      </c>
      <c r="F113" s="19" t="s">
        <v>379</v>
      </c>
      <c r="G113" s="19" t="s">
        <v>456</v>
      </c>
      <c r="H113" s="19" t="s">
        <v>150</v>
      </c>
      <c r="I113" s="19" t="s">
        <v>302</v>
      </c>
      <c r="J113" s="19">
        <v>15</v>
      </c>
      <c r="K113" s="19">
        <v>3090</v>
      </c>
      <c r="L113" s="19">
        <v>41300.32</v>
      </c>
      <c r="M113" s="19">
        <v>366</v>
      </c>
      <c r="N113" s="19" t="s">
        <v>227</v>
      </c>
      <c r="O113" s="21" t="str">
        <f t="shared" si="3"/>
        <v>NAO</v>
      </c>
    </row>
    <row r="114" spans="1:15" ht="15" customHeight="1" x14ac:dyDescent="0.25">
      <c r="A114" s="18" t="s">
        <v>525</v>
      </c>
      <c r="B114" s="19" t="s">
        <v>59</v>
      </c>
      <c r="C114" s="19" t="s">
        <v>60</v>
      </c>
      <c r="D114" s="19" t="s">
        <v>124</v>
      </c>
      <c r="E114" s="19" t="s">
        <v>125</v>
      </c>
      <c r="F114" s="19" t="s">
        <v>386</v>
      </c>
      <c r="G114" s="19" t="s">
        <v>396</v>
      </c>
      <c r="H114" s="19" t="s">
        <v>396</v>
      </c>
      <c r="I114" s="19" t="s">
        <v>302</v>
      </c>
      <c r="J114" s="19">
        <v>15</v>
      </c>
      <c r="K114" s="19">
        <v>4710</v>
      </c>
      <c r="L114" s="19">
        <v>54807.86</v>
      </c>
      <c r="M114" s="19">
        <v>177</v>
      </c>
      <c r="N114" s="19" t="s">
        <v>223</v>
      </c>
      <c r="O114" s="21" t="str">
        <f t="shared" si="3"/>
        <v>SIM</v>
      </c>
    </row>
    <row r="115" spans="1:15" ht="15" customHeight="1" x14ac:dyDescent="0.25">
      <c r="A115" s="18" t="s">
        <v>526</v>
      </c>
      <c r="B115" s="19" t="s">
        <v>77</v>
      </c>
      <c r="C115" s="19" t="s">
        <v>78</v>
      </c>
      <c r="D115" s="19" t="s">
        <v>118</v>
      </c>
      <c r="E115" s="19" t="s">
        <v>119</v>
      </c>
      <c r="F115" s="19" t="s">
        <v>291</v>
      </c>
      <c r="G115" s="19" t="s">
        <v>315</v>
      </c>
      <c r="H115" s="19"/>
      <c r="I115" s="19" t="s">
        <v>296</v>
      </c>
      <c r="J115" s="19">
        <v>22</v>
      </c>
      <c r="K115" s="19">
        <v>7326</v>
      </c>
      <c r="L115" s="19">
        <v>64572.78</v>
      </c>
      <c r="M115" s="19">
        <v>357</v>
      </c>
      <c r="N115" s="19" t="s">
        <v>220</v>
      </c>
      <c r="O115" s="21" t="str">
        <f t="shared" si="3"/>
        <v>-</v>
      </c>
    </row>
    <row r="116" spans="1:15" ht="15" customHeight="1" x14ac:dyDescent="0.25">
      <c r="A116" s="18" t="s">
        <v>527</v>
      </c>
      <c r="B116" s="19" t="s">
        <v>77</v>
      </c>
      <c r="C116" s="19" t="s">
        <v>78</v>
      </c>
      <c r="D116" s="19" t="s">
        <v>112</v>
      </c>
      <c r="E116" s="19" t="s">
        <v>113</v>
      </c>
      <c r="F116" s="19" t="s">
        <v>425</v>
      </c>
      <c r="G116" s="19" t="s">
        <v>426</v>
      </c>
      <c r="H116" s="19" t="s">
        <v>426</v>
      </c>
      <c r="I116" s="19" t="s">
        <v>302</v>
      </c>
      <c r="J116" s="19">
        <v>22</v>
      </c>
      <c r="K116" s="19">
        <v>9064</v>
      </c>
      <c r="L116" s="19">
        <v>109821.28</v>
      </c>
      <c r="M116" s="19">
        <v>168</v>
      </c>
      <c r="N116" s="19" t="s">
        <v>223</v>
      </c>
      <c r="O116" s="21" t="str">
        <f t="shared" si="3"/>
        <v>SIM</v>
      </c>
    </row>
    <row r="117" spans="1:15" ht="15" customHeight="1" x14ac:dyDescent="0.25">
      <c r="A117" s="18" t="s">
        <v>528</v>
      </c>
      <c r="B117" s="19" t="s">
        <v>59</v>
      </c>
      <c r="C117" s="19" t="s">
        <v>60</v>
      </c>
      <c r="D117" s="19" t="s">
        <v>124</v>
      </c>
      <c r="E117" s="19" t="s">
        <v>125</v>
      </c>
      <c r="F117" s="19" t="s">
        <v>529</v>
      </c>
      <c r="G117" s="19" t="s">
        <v>354</v>
      </c>
      <c r="H117" s="19" t="s">
        <v>354</v>
      </c>
      <c r="I117" s="19" t="s">
        <v>302</v>
      </c>
      <c r="J117" s="19">
        <v>22</v>
      </c>
      <c r="K117" s="19">
        <v>6160</v>
      </c>
      <c r="L117" s="19">
        <v>57126.05</v>
      </c>
      <c r="M117" s="19">
        <v>101</v>
      </c>
      <c r="N117" s="19" t="s">
        <v>223</v>
      </c>
      <c r="O117" s="21" t="str">
        <f t="shared" si="3"/>
        <v>SIM</v>
      </c>
    </row>
    <row r="118" spans="1:15" ht="15" customHeight="1" x14ac:dyDescent="0.25">
      <c r="A118" s="18" t="s">
        <v>530</v>
      </c>
      <c r="B118" s="19" t="s">
        <v>91</v>
      </c>
      <c r="C118" s="19" t="s">
        <v>92</v>
      </c>
      <c r="D118" s="19" t="s">
        <v>121</v>
      </c>
      <c r="E118" s="19" t="s">
        <v>122</v>
      </c>
      <c r="F118" s="19" t="s">
        <v>139</v>
      </c>
      <c r="G118" s="19" t="s">
        <v>396</v>
      </c>
      <c r="H118" s="19" t="s">
        <v>162</v>
      </c>
      <c r="I118" s="19" t="s">
        <v>292</v>
      </c>
      <c r="J118" s="19">
        <v>23</v>
      </c>
      <c r="K118" s="19">
        <v>9016</v>
      </c>
      <c r="L118" s="19">
        <v>127870.79</v>
      </c>
      <c r="M118" s="19">
        <v>554</v>
      </c>
      <c r="N118" s="19" t="s">
        <v>220</v>
      </c>
      <c r="O118" s="21" t="str">
        <f t="shared" si="3"/>
        <v>NAO</v>
      </c>
    </row>
    <row r="119" spans="1:15" ht="15" customHeight="1" x14ac:dyDescent="0.25">
      <c r="A119" s="18" t="s">
        <v>531</v>
      </c>
      <c r="B119" s="19" t="s">
        <v>98</v>
      </c>
      <c r="C119" s="19" t="s">
        <v>99</v>
      </c>
      <c r="D119" s="19" t="s">
        <v>121</v>
      </c>
      <c r="E119" s="19" t="s">
        <v>122</v>
      </c>
      <c r="F119" s="19" t="s">
        <v>330</v>
      </c>
      <c r="G119" s="19" t="s">
        <v>429</v>
      </c>
      <c r="H119" s="19" t="s">
        <v>429</v>
      </c>
      <c r="I119" s="19" t="s">
        <v>302</v>
      </c>
      <c r="J119" s="19">
        <v>7</v>
      </c>
      <c r="K119" s="19">
        <v>1869</v>
      </c>
      <c r="L119" s="19">
        <v>26513.65</v>
      </c>
      <c r="M119" s="19">
        <v>512</v>
      </c>
      <c r="N119" s="19" t="s">
        <v>220</v>
      </c>
      <c r="O119" s="21" t="str">
        <f t="shared" si="3"/>
        <v>SIM</v>
      </c>
    </row>
    <row r="120" spans="1:15" ht="15" customHeight="1" x14ac:dyDescent="0.25">
      <c r="A120" s="18" t="s">
        <v>532</v>
      </c>
      <c r="B120" s="19" t="s">
        <v>68</v>
      </c>
      <c r="C120" s="19" t="s">
        <v>69</v>
      </c>
      <c r="D120" s="19" t="s">
        <v>115</v>
      </c>
      <c r="E120" s="19" t="s">
        <v>116</v>
      </c>
      <c r="F120" s="19" t="s">
        <v>354</v>
      </c>
      <c r="G120" s="19" t="s">
        <v>338</v>
      </c>
      <c r="H120" s="19" t="s">
        <v>338</v>
      </c>
      <c r="I120" s="19" t="s">
        <v>302</v>
      </c>
      <c r="J120" s="19">
        <v>17</v>
      </c>
      <c r="K120" s="19">
        <v>6409</v>
      </c>
      <c r="L120" s="19">
        <v>75232.84</v>
      </c>
      <c r="M120" s="19">
        <v>554</v>
      </c>
      <c r="N120" s="19" t="s">
        <v>220</v>
      </c>
      <c r="O120" s="21" t="str">
        <f t="shared" si="3"/>
        <v>SIM</v>
      </c>
    </row>
    <row r="121" spans="1:15" ht="15" customHeight="1" x14ac:dyDescent="0.25">
      <c r="A121" s="18" t="s">
        <v>533</v>
      </c>
      <c r="B121" s="19" t="s">
        <v>98</v>
      </c>
      <c r="C121" s="19" t="s">
        <v>99</v>
      </c>
      <c r="D121" s="19" t="s">
        <v>118</v>
      </c>
      <c r="E121" s="19" t="s">
        <v>119</v>
      </c>
      <c r="F121" s="19" t="s">
        <v>456</v>
      </c>
      <c r="G121" s="19" t="s">
        <v>150</v>
      </c>
      <c r="H121" s="19" t="s">
        <v>150</v>
      </c>
      <c r="I121" s="19" t="s">
        <v>302</v>
      </c>
      <c r="J121" s="19">
        <v>6</v>
      </c>
      <c r="K121" s="19">
        <v>2352</v>
      </c>
      <c r="L121" s="19">
        <v>29769.439999999999</v>
      </c>
      <c r="M121" s="19">
        <v>184</v>
      </c>
      <c r="N121" s="19" t="s">
        <v>227</v>
      </c>
      <c r="O121" s="21" t="str">
        <f t="shared" si="3"/>
        <v>SIM</v>
      </c>
    </row>
    <row r="122" spans="1:15" ht="15" customHeight="1" x14ac:dyDescent="0.25">
      <c r="A122" s="18" t="s">
        <v>534</v>
      </c>
      <c r="B122" s="19" t="s">
        <v>86</v>
      </c>
      <c r="C122" s="19" t="s">
        <v>87</v>
      </c>
      <c r="D122" s="19" t="s">
        <v>112</v>
      </c>
      <c r="E122" s="19" t="s">
        <v>113</v>
      </c>
      <c r="F122" s="19" t="s">
        <v>535</v>
      </c>
      <c r="G122" s="19" t="s">
        <v>317</v>
      </c>
      <c r="H122" s="19" t="s">
        <v>317</v>
      </c>
      <c r="I122" s="19" t="s">
        <v>302</v>
      </c>
      <c r="J122" s="19">
        <v>15</v>
      </c>
      <c r="K122" s="19">
        <v>5040</v>
      </c>
      <c r="L122" s="19">
        <v>51456.22</v>
      </c>
      <c r="M122" s="19">
        <v>474</v>
      </c>
      <c r="N122" s="19" t="s">
        <v>220</v>
      </c>
      <c r="O122" s="21" t="str">
        <f t="shared" si="3"/>
        <v>SIM</v>
      </c>
    </row>
    <row r="123" spans="1:15" ht="15" customHeight="1" x14ac:dyDescent="0.25">
      <c r="A123" s="18" t="s">
        <v>536</v>
      </c>
      <c r="B123" s="19" t="s">
        <v>91</v>
      </c>
      <c r="C123" s="19" t="s">
        <v>92</v>
      </c>
      <c r="D123" s="19" t="s">
        <v>115</v>
      </c>
      <c r="E123" s="19" t="s">
        <v>116</v>
      </c>
      <c r="F123" s="19" t="s">
        <v>194</v>
      </c>
      <c r="G123" s="19" t="s">
        <v>412</v>
      </c>
      <c r="H123" s="19" t="s">
        <v>305</v>
      </c>
      <c r="I123" s="19" t="s">
        <v>292</v>
      </c>
      <c r="J123" s="19">
        <v>12</v>
      </c>
      <c r="K123" s="19">
        <v>4236</v>
      </c>
      <c r="L123" s="19">
        <v>60078.26</v>
      </c>
      <c r="M123" s="19">
        <v>466</v>
      </c>
      <c r="N123" s="19" t="s">
        <v>223</v>
      </c>
      <c r="O123" s="21" t="str">
        <f t="shared" si="3"/>
        <v>NAO</v>
      </c>
    </row>
    <row r="124" spans="1:15" ht="15" customHeight="1" x14ac:dyDescent="0.25">
      <c r="A124" s="18" t="s">
        <v>537</v>
      </c>
      <c r="B124" s="19" t="s">
        <v>73</v>
      </c>
      <c r="C124" s="19" t="s">
        <v>74</v>
      </c>
      <c r="D124" s="19" t="s">
        <v>121</v>
      </c>
      <c r="E124" s="19" t="s">
        <v>122</v>
      </c>
      <c r="F124" s="19" t="s">
        <v>538</v>
      </c>
      <c r="G124" s="19" t="s">
        <v>429</v>
      </c>
      <c r="H124" s="19" t="s">
        <v>429</v>
      </c>
      <c r="I124" s="19" t="s">
        <v>302</v>
      </c>
      <c r="J124" s="19">
        <v>7</v>
      </c>
      <c r="K124" s="19">
        <v>2695</v>
      </c>
      <c r="L124" s="19">
        <v>32684.91</v>
      </c>
      <c r="M124" s="19">
        <v>271</v>
      </c>
      <c r="N124" s="19" t="s">
        <v>220</v>
      </c>
      <c r="O124" s="21" t="str">
        <f t="shared" si="3"/>
        <v>SIM</v>
      </c>
    </row>
    <row r="125" spans="1:15" ht="15" customHeight="1" x14ac:dyDescent="0.25">
      <c r="A125" s="18" t="s">
        <v>539</v>
      </c>
      <c r="B125" s="19" t="s">
        <v>98</v>
      </c>
      <c r="C125" s="19" t="s">
        <v>99</v>
      </c>
      <c r="D125" s="19" t="s">
        <v>121</v>
      </c>
      <c r="E125" s="19" t="s">
        <v>122</v>
      </c>
      <c r="F125" s="19" t="s">
        <v>290</v>
      </c>
      <c r="G125" s="19" t="s">
        <v>300</v>
      </c>
      <c r="H125" s="19" t="s">
        <v>174</v>
      </c>
      <c r="I125" s="19" t="s">
        <v>292</v>
      </c>
      <c r="J125" s="19">
        <v>17</v>
      </c>
      <c r="K125" s="19">
        <v>6749</v>
      </c>
      <c r="L125" s="19">
        <v>62415.199999999997</v>
      </c>
      <c r="M125" s="19">
        <v>100</v>
      </c>
      <c r="N125" s="19" t="s">
        <v>220</v>
      </c>
      <c r="O125" s="21" t="str">
        <f t="shared" si="3"/>
        <v>NAO</v>
      </c>
    </row>
    <row r="126" spans="1:15" ht="15" customHeight="1" x14ac:dyDescent="0.25">
      <c r="A126" s="18" t="s">
        <v>540</v>
      </c>
      <c r="B126" s="19" t="s">
        <v>73</v>
      </c>
      <c r="C126" s="19" t="s">
        <v>74</v>
      </c>
      <c r="D126" s="19" t="s">
        <v>121</v>
      </c>
      <c r="E126" s="19" t="s">
        <v>122</v>
      </c>
      <c r="F126" s="19" t="s">
        <v>322</v>
      </c>
      <c r="G126" s="19" t="s">
        <v>429</v>
      </c>
      <c r="H126" s="19" t="s">
        <v>541</v>
      </c>
      <c r="I126" s="19" t="s">
        <v>292</v>
      </c>
      <c r="J126" s="19">
        <v>8</v>
      </c>
      <c r="K126" s="19">
        <v>3112</v>
      </c>
      <c r="L126" s="19">
        <v>34875.46</v>
      </c>
      <c r="M126" s="19">
        <v>372</v>
      </c>
      <c r="N126" s="19" t="s">
        <v>220</v>
      </c>
      <c r="O126" s="21" t="str">
        <f t="shared" si="3"/>
        <v>NAO</v>
      </c>
    </row>
    <row r="127" spans="1:15" ht="15" customHeight="1" x14ac:dyDescent="0.25">
      <c r="A127" s="18" t="s">
        <v>542</v>
      </c>
      <c r="B127" s="19" t="s">
        <v>81</v>
      </c>
      <c r="C127" s="19" t="s">
        <v>82</v>
      </c>
      <c r="D127" s="19" t="s">
        <v>112</v>
      </c>
      <c r="E127" s="19" t="s">
        <v>113</v>
      </c>
      <c r="F127" s="19" t="s">
        <v>381</v>
      </c>
      <c r="G127" s="19" t="s">
        <v>174</v>
      </c>
      <c r="H127" s="19" t="s">
        <v>174</v>
      </c>
      <c r="I127" s="19" t="s">
        <v>302</v>
      </c>
      <c r="J127" s="19">
        <v>3</v>
      </c>
      <c r="K127" s="19">
        <v>825</v>
      </c>
      <c r="L127" s="19">
        <v>8123.97</v>
      </c>
      <c r="M127" s="19">
        <v>341</v>
      </c>
      <c r="N127" s="19" t="s">
        <v>220</v>
      </c>
      <c r="O127" s="21" t="str">
        <f t="shared" si="3"/>
        <v>SIM</v>
      </c>
    </row>
    <row r="128" spans="1:15" ht="15" customHeight="1" x14ac:dyDescent="0.25">
      <c r="A128" s="18" t="s">
        <v>543</v>
      </c>
      <c r="B128" s="19" t="s">
        <v>102</v>
      </c>
      <c r="C128" s="19" t="s">
        <v>103</v>
      </c>
      <c r="D128" s="19" t="s">
        <v>118</v>
      </c>
      <c r="E128" s="19" t="s">
        <v>119</v>
      </c>
      <c r="F128" s="19" t="s">
        <v>353</v>
      </c>
      <c r="G128" s="19" t="s">
        <v>354</v>
      </c>
      <c r="H128" s="19" t="s">
        <v>544</v>
      </c>
      <c r="I128" s="19" t="s">
        <v>302</v>
      </c>
      <c r="J128" s="19">
        <v>16</v>
      </c>
      <c r="K128" s="19">
        <v>5728</v>
      </c>
      <c r="L128" s="19">
        <v>77251.61</v>
      </c>
      <c r="M128" s="19">
        <v>495</v>
      </c>
      <c r="N128" s="19" t="s">
        <v>223</v>
      </c>
      <c r="O128" s="21" t="str">
        <f t="shared" si="3"/>
        <v>NAO</v>
      </c>
    </row>
    <row r="129" spans="1:15" ht="15" customHeight="1" x14ac:dyDescent="0.25">
      <c r="A129" s="18" t="s">
        <v>545</v>
      </c>
      <c r="B129" s="19" t="s">
        <v>94</v>
      </c>
      <c r="C129" s="19" t="s">
        <v>95</v>
      </c>
      <c r="D129" s="19" t="s">
        <v>112</v>
      </c>
      <c r="E129" s="19" t="s">
        <v>113</v>
      </c>
      <c r="F129" s="19" t="s">
        <v>359</v>
      </c>
      <c r="G129" s="19" t="s">
        <v>546</v>
      </c>
      <c r="H129" s="19" t="s">
        <v>512</v>
      </c>
      <c r="I129" s="19" t="s">
        <v>302</v>
      </c>
      <c r="J129" s="19">
        <v>18</v>
      </c>
      <c r="K129" s="19">
        <v>7560</v>
      </c>
      <c r="L129" s="19">
        <v>97247.37</v>
      </c>
      <c r="M129" s="19">
        <v>555</v>
      </c>
      <c r="N129" s="19" t="s">
        <v>223</v>
      </c>
      <c r="O129" s="21" t="str">
        <f t="shared" si="3"/>
        <v>NAO</v>
      </c>
    </row>
    <row r="130" spans="1:15" ht="15" customHeight="1" x14ac:dyDescent="0.25">
      <c r="A130" s="18" t="s">
        <v>547</v>
      </c>
      <c r="B130" s="19" t="s">
        <v>59</v>
      </c>
      <c r="C130" s="19" t="s">
        <v>60</v>
      </c>
      <c r="D130" s="19" t="s">
        <v>118</v>
      </c>
      <c r="E130" s="19" t="s">
        <v>119</v>
      </c>
      <c r="F130" s="19" t="s">
        <v>390</v>
      </c>
      <c r="G130" s="19" t="s">
        <v>344</v>
      </c>
      <c r="H130" s="19" t="s">
        <v>344</v>
      </c>
      <c r="I130" s="19" t="s">
        <v>302</v>
      </c>
      <c r="J130" s="19">
        <v>21</v>
      </c>
      <c r="K130" s="19">
        <v>8043</v>
      </c>
      <c r="L130" s="19">
        <v>98421.09</v>
      </c>
      <c r="M130" s="19">
        <v>79</v>
      </c>
      <c r="N130" s="19" t="s">
        <v>220</v>
      </c>
      <c r="O130" s="21" t="str">
        <f t="shared" ref="O130:O161" si="4">IF(I130="Entregue",IF(H130&lt;=G130,"SIM","NAO"),IF(I130="Atrasado","NAO","-"))</f>
        <v>SIM</v>
      </c>
    </row>
    <row r="131" spans="1:15" ht="15" customHeight="1" x14ac:dyDescent="0.25">
      <c r="A131" s="18" t="s">
        <v>548</v>
      </c>
      <c r="B131" s="19" t="s">
        <v>86</v>
      </c>
      <c r="C131" s="19" t="s">
        <v>87</v>
      </c>
      <c r="D131" s="19" t="s">
        <v>124</v>
      </c>
      <c r="E131" s="19" t="s">
        <v>125</v>
      </c>
      <c r="F131" s="19" t="s">
        <v>324</v>
      </c>
      <c r="G131" s="19" t="s">
        <v>480</v>
      </c>
      <c r="H131" s="19" t="s">
        <v>480</v>
      </c>
      <c r="I131" s="19" t="s">
        <v>302</v>
      </c>
      <c r="J131" s="19">
        <v>23</v>
      </c>
      <c r="K131" s="19">
        <v>4968</v>
      </c>
      <c r="L131" s="19">
        <v>50910.239999999998</v>
      </c>
      <c r="M131" s="19">
        <v>16</v>
      </c>
      <c r="N131" s="19" t="s">
        <v>227</v>
      </c>
      <c r="O131" s="21" t="str">
        <f t="shared" si="4"/>
        <v>SIM</v>
      </c>
    </row>
    <row r="132" spans="1:15" ht="15" customHeight="1" x14ac:dyDescent="0.25">
      <c r="A132" s="18" t="s">
        <v>549</v>
      </c>
      <c r="B132" s="19" t="s">
        <v>77</v>
      </c>
      <c r="C132" s="19" t="s">
        <v>78</v>
      </c>
      <c r="D132" s="19" t="s">
        <v>115</v>
      </c>
      <c r="E132" s="19" t="s">
        <v>116</v>
      </c>
      <c r="F132" s="19" t="s">
        <v>426</v>
      </c>
      <c r="G132" s="19" t="s">
        <v>478</v>
      </c>
      <c r="H132" s="19" t="s">
        <v>478</v>
      </c>
      <c r="I132" s="19" t="s">
        <v>302</v>
      </c>
      <c r="J132" s="19">
        <v>17</v>
      </c>
      <c r="K132" s="19">
        <v>4624</v>
      </c>
      <c r="L132" s="19">
        <v>41181.699999999997</v>
      </c>
      <c r="M132" s="19">
        <v>553</v>
      </c>
      <c r="N132" s="19" t="s">
        <v>227</v>
      </c>
      <c r="O132" s="21" t="str">
        <f t="shared" si="4"/>
        <v>SIM</v>
      </c>
    </row>
    <row r="133" spans="1:15" ht="15" customHeight="1" x14ac:dyDescent="0.25">
      <c r="A133" s="18" t="s">
        <v>550</v>
      </c>
      <c r="B133" s="19" t="s">
        <v>91</v>
      </c>
      <c r="C133" s="19" t="s">
        <v>92</v>
      </c>
      <c r="D133" s="19" t="s">
        <v>124</v>
      </c>
      <c r="E133" s="19" t="s">
        <v>125</v>
      </c>
      <c r="F133" s="19" t="s">
        <v>422</v>
      </c>
      <c r="G133" s="19" t="s">
        <v>425</v>
      </c>
      <c r="H133" s="19" t="s">
        <v>425</v>
      </c>
      <c r="I133" s="19" t="s">
        <v>302</v>
      </c>
      <c r="J133" s="19">
        <v>21</v>
      </c>
      <c r="K133" s="19">
        <v>5859</v>
      </c>
      <c r="L133" s="19">
        <v>84288.960000000006</v>
      </c>
      <c r="M133" s="19">
        <v>274</v>
      </c>
      <c r="N133" s="19" t="s">
        <v>227</v>
      </c>
      <c r="O133" s="21" t="str">
        <f t="shared" si="4"/>
        <v>SIM</v>
      </c>
    </row>
    <row r="134" spans="1:15" ht="15" customHeight="1" x14ac:dyDescent="0.25">
      <c r="A134" s="18" t="s">
        <v>551</v>
      </c>
      <c r="B134" s="19" t="s">
        <v>54</v>
      </c>
      <c r="C134" s="19" t="s">
        <v>55</v>
      </c>
      <c r="D134" s="19" t="s">
        <v>118</v>
      </c>
      <c r="E134" s="19" t="s">
        <v>119</v>
      </c>
      <c r="F134" s="19" t="s">
        <v>187</v>
      </c>
      <c r="G134" s="19" t="s">
        <v>359</v>
      </c>
      <c r="H134" s="19" t="s">
        <v>359</v>
      </c>
      <c r="I134" s="19" t="s">
        <v>302</v>
      </c>
      <c r="J134" s="19">
        <v>4</v>
      </c>
      <c r="K134" s="19">
        <v>1508</v>
      </c>
      <c r="L134" s="19">
        <v>18083.060000000001</v>
      </c>
      <c r="M134" s="19">
        <v>355</v>
      </c>
      <c r="N134" s="19" t="s">
        <v>220</v>
      </c>
      <c r="O134" s="21" t="str">
        <f t="shared" si="4"/>
        <v>SIM</v>
      </c>
    </row>
    <row r="135" spans="1:15" ht="15" customHeight="1" x14ac:dyDescent="0.25">
      <c r="A135" s="18" t="s">
        <v>552</v>
      </c>
      <c r="B135" s="19" t="s">
        <v>54</v>
      </c>
      <c r="C135" s="19" t="s">
        <v>55</v>
      </c>
      <c r="D135" s="19" t="s">
        <v>118</v>
      </c>
      <c r="E135" s="19" t="s">
        <v>119</v>
      </c>
      <c r="F135" s="19" t="s">
        <v>166</v>
      </c>
      <c r="G135" s="19" t="s">
        <v>425</v>
      </c>
      <c r="H135" s="19" t="s">
        <v>553</v>
      </c>
      <c r="I135" s="19" t="s">
        <v>292</v>
      </c>
      <c r="J135" s="19">
        <v>22</v>
      </c>
      <c r="K135" s="19">
        <v>6556</v>
      </c>
      <c r="L135" s="19">
        <v>94307.5</v>
      </c>
      <c r="M135" s="19">
        <v>505</v>
      </c>
      <c r="N135" s="19" t="s">
        <v>227</v>
      </c>
      <c r="O135" s="21" t="str">
        <f t="shared" si="4"/>
        <v>NAO</v>
      </c>
    </row>
    <row r="136" spans="1:15" ht="15" customHeight="1" x14ac:dyDescent="0.25">
      <c r="A136" s="18" t="s">
        <v>554</v>
      </c>
      <c r="B136" s="19" t="s">
        <v>64</v>
      </c>
      <c r="C136" s="19" t="s">
        <v>65</v>
      </c>
      <c r="D136" s="19" t="s">
        <v>115</v>
      </c>
      <c r="E136" s="19" t="s">
        <v>116</v>
      </c>
      <c r="F136" s="19" t="s">
        <v>555</v>
      </c>
      <c r="G136" s="19" t="s">
        <v>359</v>
      </c>
      <c r="H136" s="19" t="s">
        <v>359</v>
      </c>
      <c r="I136" s="19" t="s">
        <v>302</v>
      </c>
      <c r="J136" s="19">
        <v>7</v>
      </c>
      <c r="K136" s="19">
        <v>2842</v>
      </c>
      <c r="L136" s="19">
        <v>24871.58</v>
      </c>
      <c r="M136" s="19">
        <v>332</v>
      </c>
      <c r="N136" s="19" t="s">
        <v>227</v>
      </c>
      <c r="O136" s="21" t="str">
        <f t="shared" si="4"/>
        <v>SIM</v>
      </c>
    </row>
    <row r="137" spans="1:15" ht="15" customHeight="1" x14ac:dyDescent="0.25">
      <c r="A137" s="18" t="s">
        <v>556</v>
      </c>
      <c r="B137" s="19" t="s">
        <v>81</v>
      </c>
      <c r="C137" s="19" t="s">
        <v>82</v>
      </c>
      <c r="D137" s="19" t="s">
        <v>124</v>
      </c>
      <c r="E137" s="19" t="s">
        <v>125</v>
      </c>
      <c r="F137" s="19" t="s">
        <v>438</v>
      </c>
      <c r="G137" s="19" t="s">
        <v>557</v>
      </c>
      <c r="H137" s="19" t="s">
        <v>557</v>
      </c>
      <c r="I137" s="19" t="s">
        <v>302</v>
      </c>
      <c r="J137" s="19">
        <v>10</v>
      </c>
      <c r="K137" s="19">
        <v>2710</v>
      </c>
      <c r="L137" s="19">
        <v>37053.370000000003</v>
      </c>
      <c r="M137" s="19">
        <v>63</v>
      </c>
      <c r="N137" s="19" t="s">
        <v>227</v>
      </c>
      <c r="O137" s="21" t="str">
        <f t="shared" si="4"/>
        <v>SIM</v>
      </c>
    </row>
    <row r="138" spans="1:15" ht="15" customHeight="1" x14ac:dyDescent="0.25">
      <c r="A138" s="18" t="s">
        <v>558</v>
      </c>
      <c r="B138" s="19" t="s">
        <v>77</v>
      </c>
      <c r="C138" s="19" t="s">
        <v>78</v>
      </c>
      <c r="D138" s="19" t="s">
        <v>118</v>
      </c>
      <c r="E138" s="19" t="s">
        <v>119</v>
      </c>
      <c r="F138" s="19" t="s">
        <v>559</v>
      </c>
      <c r="G138" s="19" t="s">
        <v>373</v>
      </c>
      <c r="H138" s="19" t="s">
        <v>373</v>
      </c>
      <c r="I138" s="19" t="s">
        <v>302</v>
      </c>
      <c r="J138" s="19">
        <v>15</v>
      </c>
      <c r="K138" s="19">
        <v>6135</v>
      </c>
      <c r="L138" s="19">
        <v>87355.48</v>
      </c>
      <c r="M138" s="19">
        <v>362</v>
      </c>
      <c r="N138" s="19" t="s">
        <v>220</v>
      </c>
      <c r="O138" s="21" t="str">
        <f t="shared" si="4"/>
        <v>SIM</v>
      </c>
    </row>
    <row r="139" spans="1:15" ht="15" customHeight="1" x14ac:dyDescent="0.25">
      <c r="A139" s="18" t="s">
        <v>560</v>
      </c>
      <c r="B139" s="19" t="s">
        <v>86</v>
      </c>
      <c r="C139" s="19" t="s">
        <v>87</v>
      </c>
      <c r="D139" s="19" t="s">
        <v>121</v>
      </c>
      <c r="E139" s="19" t="s">
        <v>122</v>
      </c>
      <c r="F139" s="19" t="s">
        <v>365</v>
      </c>
      <c r="G139" s="19" t="s">
        <v>291</v>
      </c>
      <c r="H139" s="19" t="s">
        <v>291</v>
      </c>
      <c r="I139" s="19" t="s">
        <v>302</v>
      </c>
      <c r="J139" s="19">
        <v>14</v>
      </c>
      <c r="K139" s="19">
        <v>2800</v>
      </c>
      <c r="L139" s="19">
        <v>31034.2</v>
      </c>
      <c r="M139" s="19">
        <v>199</v>
      </c>
      <c r="N139" s="19" t="s">
        <v>227</v>
      </c>
      <c r="O139" s="21" t="str">
        <f t="shared" si="4"/>
        <v>SIM</v>
      </c>
    </row>
    <row r="140" spans="1:15" ht="15" customHeight="1" x14ac:dyDescent="0.25">
      <c r="A140" s="18" t="s">
        <v>561</v>
      </c>
      <c r="B140" s="19" t="s">
        <v>73</v>
      </c>
      <c r="C140" s="19" t="s">
        <v>74</v>
      </c>
      <c r="D140" s="19" t="s">
        <v>118</v>
      </c>
      <c r="E140" s="19" t="s">
        <v>119</v>
      </c>
      <c r="F140" s="19" t="s">
        <v>371</v>
      </c>
      <c r="G140" s="19" t="s">
        <v>452</v>
      </c>
      <c r="H140" s="19" t="s">
        <v>452</v>
      </c>
      <c r="I140" s="19" t="s">
        <v>302</v>
      </c>
      <c r="J140" s="19">
        <v>15</v>
      </c>
      <c r="K140" s="19">
        <v>5010</v>
      </c>
      <c r="L140" s="19">
        <v>64157.95</v>
      </c>
      <c r="M140" s="19">
        <v>185</v>
      </c>
      <c r="N140" s="19" t="s">
        <v>227</v>
      </c>
      <c r="O140" s="21" t="str">
        <f t="shared" si="4"/>
        <v>SIM</v>
      </c>
    </row>
    <row r="141" spans="1:15" ht="15" customHeight="1" x14ac:dyDescent="0.25">
      <c r="A141" s="18" t="s">
        <v>562</v>
      </c>
      <c r="B141" s="19" t="s">
        <v>86</v>
      </c>
      <c r="C141" s="19" t="s">
        <v>87</v>
      </c>
      <c r="D141" s="19" t="s">
        <v>118</v>
      </c>
      <c r="E141" s="19" t="s">
        <v>119</v>
      </c>
      <c r="F141" s="19" t="s">
        <v>309</v>
      </c>
      <c r="G141" s="19" t="s">
        <v>563</v>
      </c>
      <c r="H141" s="19"/>
      <c r="I141" s="19" t="s">
        <v>296</v>
      </c>
      <c r="J141" s="19">
        <v>12</v>
      </c>
      <c r="K141" s="19">
        <v>4044</v>
      </c>
      <c r="L141" s="19">
        <v>58593.13</v>
      </c>
      <c r="M141" s="19">
        <v>296</v>
      </c>
      <c r="N141" s="19" t="s">
        <v>227</v>
      </c>
      <c r="O141" s="21" t="str">
        <f t="shared" si="4"/>
        <v>-</v>
      </c>
    </row>
    <row r="142" spans="1:15" ht="15" customHeight="1" x14ac:dyDescent="0.25">
      <c r="A142" s="18" t="s">
        <v>564</v>
      </c>
      <c r="B142" s="19" t="s">
        <v>54</v>
      </c>
      <c r="C142" s="19" t="s">
        <v>55</v>
      </c>
      <c r="D142" s="19" t="s">
        <v>112</v>
      </c>
      <c r="E142" s="19" t="s">
        <v>113</v>
      </c>
      <c r="F142" s="19" t="s">
        <v>395</v>
      </c>
      <c r="G142" s="19" t="s">
        <v>396</v>
      </c>
      <c r="H142" s="19" t="s">
        <v>565</v>
      </c>
      <c r="I142" s="19" t="s">
        <v>302</v>
      </c>
      <c r="J142" s="19">
        <v>22</v>
      </c>
      <c r="K142" s="19">
        <v>4840</v>
      </c>
      <c r="L142" s="19">
        <v>68809</v>
      </c>
      <c r="M142" s="19">
        <v>161</v>
      </c>
      <c r="N142" s="19" t="s">
        <v>227</v>
      </c>
      <c r="O142" s="21" t="str">
        <f t="shared" si="4"/>
        <v>NAO</v>
      </c>
    </row>
    <row r="143" spans="1:15" ht="15" customHeight="1" x14ac:dyDescent="0.25">
      <c r="A143" s="18" t="s">
        <v>566</v>
      </c>
      <c r="B143" s="19" t="s">
        <v>98</v>
      </c>
      <c r="C143" s="19" t="s">
        <v>99</v>
      </c>
      <c r="D143" s="19" t="s">
        <v>121</v>
      </c>
      <c r="E143" s="19" t="s">
        <v>122</v>
      </c>
      <c r="F143" s="19" t="s">
        <v>295</v>
      </c>
      <c r="G143" s="19" t="s">
        <v>363</v>
      </c>
      <c r="H143" s="19" t="s">
        <v>363</v>
      </c>
      <c r="I143" s="19" t="s">
        <v>302</v>
      </c>
      <c r="J143" s="19">
        <v>12</v>
      </c>
      <c r="K143" s="19">
        <v>3264</v>
      </c>
      <c r="L143" s="19">
        <v>35241.82</v>
      </c>
      <c r="M143" s="19">
        <v>595</v>
      </c>
      <c r="N143" s="19" t="s">
        <v>220</v>
      </c>
      <c r="O143" s="21" t="str">
        <f t="shared" si="4"/>
        <v>SIM</v>
      </c>
    </row>
    <row r="144" spans="1:15" ht="15" customHeight="1" x14ac:dyDescent="0.25">
      <c r="A144" s="18" t="s">
        <v>567</v>
      </c>
      <c r="B144" s="19" t="s">
        <v>94</v>
      </c>
      <c r="C144" s="19" t="s">
        <v>95</v>
      </c>
      <c r="D144" s="19" t="s">
        <v>115</v>
      </c>
      <c r="E144" s="19" t="s">
        <v>116</v>
      </c>
      <c r="F144" s="19" t="s">
        <v>563</v>
      </c>
      <c r="G144" s="19" t="s">
        <v>356</v>
      </c>
      <c r="H144" s="19" t="s">
        <v>356</v>
      </c>
      <c r="I144" s="19" t="s">
        <v>302</v>
      </c>
      <c r="J144" s="19">
        <v>19</v>
      </c>
      <c r="K144" s="19">
        <v>4085</v>
      </c>
      <c r="L144" s="19">
        <v>47699.56</v>
      </c>
      <c r="M144" s="19">
        <v>422</v>
      </c>
      <c r="N144" s="19" t="s">
        <v>223</v>
      </c>
      <c r="O144" s="21" t="str">
        <f t="shared" si="4"/>
        <v>SIM</v>
      </c>
    </row>
    <row r="145" spans="1:15" ht="15" customHeight="1" x14ac:dyDescent="0.25">
      <c r="A145" s="18" t="s">
        <v>568</v>
      </c>
      <c r="B145" s="19" t="s">
        <v>98</v>
      </c>
      <c r="C145" s="19" t="s">
        <v>99</v>
      </c>
      <c r="D145" s="19" t="s">
        <v>118</v>
      </c>
      <c r="E145" s="19" t="s">
        <v>119</v>
      </c>
      <c r="F145" s="19" t="s">
        <v>344</v>
      </c>
      <c r="G145" s="19" t="s">
        <v>415</v>
      </c>
      <c r="H145" s="19" t="s">
        <v>415</v>
      </c>
      <c r="I145" s="19" t="s">
        <v>302</v>
      </c>
      <c r="J145" s="19">
        <v>17</v>
      </c>
      <c r="K145" s="19">
        <v>4743</v>
      </c>
      <c r="L145" s="19">
        <v>66313.09</v>
      </c>
      <c r="M145" s="19">
        <v>135</v>
      </c>
      <c r="N145" s="19" t="s">
        <v>223</v>
      </c>
      <c r="O145" s="21" t="str">
        <f t="shared" si="4"/>
        <v>SIM</v>
      </c>
    </row>
    <row r="146" spans="1:15" ht="15" customHeight="1" x14ac:dyDescent="0.25">
      <c r="A146" s="18" t="s">
        <v>569</v>
      </c>
      <c r="B146" s="19" t="s">
        <v>73</v>
      </c>
      <c r="C146" s="19" t="s">
        <v>74</v>
      </c>
      <c r="D146" s="19" t="s">
        <v>121</v>
      </c>
      <c r="E146" s="19" t="s">
        <v>122</v>
      </c>
      <c r="F146" s="19" t="s">
        <v>410</v>
      </c>
      <c r="G146" s="19" t="s">
        <v>343</v>
      </c>
      <c r="H146" s="19" t="s">
        <v>570</v>
      </c>
      <c r="I146" s="19" t="s">
        <v>302</v>
      </c>
      <c r="J146" s="19">
        <v>16</v>
      </c>
      <c r="K146" s="19">
        <v>3696</v>
      </c>
      <c r="L146" s="19">
        <v>34135.61</v>
      </c>
      <c r="M146" s="19">
        <v>90</v>
      </c>
      <c r="N146" s="19" t="s">
        <v>223</v>
      </c>
      <c r="O146" s="21" t="str">
        <f t="shared" si="4"/>
        <v>NAO</v>
      </c>
    </row>
    <row r="147" spans="1:15" ht="15" customHeight="1" x14ac:dyDescent="0.25">
      <c r="A147" s="18" t="s">
        <v>571</v>
      </c>
      <c r="B147" s="19" t="s">
        <v>64</v>
      </c>
      <c r="C147" s="19" t="s">
        <v>65</v>
      </c>
      <c r="D147" s="19" t="s">
        <v>121</v>
      </c>
      <c r="E147" s="19" t="s">
        <v>122</v>
      </c>
      <c r="F147" s="19" t="s">
        <v>512</v>
      </c>
      <c r="G147" s="19" t="s">
        <v>572</v>
      </c>
      <c r="H147" s="19" t="s">
        <v>572</v>
      </c>
      <c r="I147" s="19" t="s">
        <v>302</v>
      </c>
      <c r="J147" s="19">
        <v>18</v>
      </c>
      <c r="K147" s="19">
        <v>5724</v>
      </c>
      <c r="L147" s="19">
        <v>58626.2</v>
      </c>
      <c r="M147" s="19">
        <v>322</v>
      </c>
      <c r="N147" s="19" t="s">
        <v>220</v>
      </c>
      <c r="O147" s="21" t="str">
        <f t="shared" si="4"/>
        <v>SIM</v>
      </c>
    </row>
    <row r="148" spans="1:15" ht="15" customHeight="1" x14ac:dyDescent="0.25">
      <c r="A148" s="18" t="s">
        <v>573</v>
      </c>
      <c r="B148" s="19" t="s">
        <v>102</v>
      </c>
      <c r="C148" s="19" t="s">
        <v>103</v>
      </c>
      <c r="D148" s="19" t="s">
        <v>115</v>
      </c>
      <c r="E148" s="19" t="s">
        <v>116</v>
      </c>
      <c r="F148" s="19" t="s">
        <v>393</v>
      </c>
      <c r="G148" s="19" t="s">
        <v>298</v>
      </c>
      <c r="H148" s="19" t="s">
        <v>300</v>
      </c>
      <c r="I148" s="19" t="s">
        <v>302</v>
      </c>
      <c r="J148" s="19">
        <v>5</v>
      </c>
      <c r="K148" s="19">
        <v>1200</v>
      </c>
      <c r="L148" s="19">
        <v>15890.69</v>
      </c>
      <c r="M148" s="19">
        <v>41</v>
      </c>
      <c r="N148" s="19" t="s">
        <v>223</v>
      </c>
      <c r="O148" s="21" t="str">
        <f t="shared" si="4"/>
        <v>NAO</v>
      </c>
    </row>
    <row r="149" spans="1:15" ht="15" customHeight="1" x14ac:dyDescent="0.25">
      <c r="A149" s="18" t="s">
        <v>574</v>
      </c>
      <c r="B149" s="19" t="s">
        <v>91</v>
      </c>
      <c r="C149" s="19" t="s">
        <v>92</v>
      </c>
      <c r="D149" s="19" t="s">
        <v>124</v>
      </c>
      <c r="E149" s="19" t="s">
        <v>125</v>
      </c>
      <c r="F149" s="19" t="s">
        <v>365</v>
      </c>
      <c r="G149" s="19" t="s">
        <v>299</v>
      </c>
      <c r="H149" s="19" t="s">
        <v>315</v>
      </c>
      <c r="I149" s="19" t="s">
        <v>292</v>
      </c>
      <c r="J149" s="19">
        <v>5</v>
      </c>
      <c r="K149" s="19">
        <v>1680</v>
      </c>
      <c r="L149" s="19">
        <v>23193.200000000001</v>
      </c>
      <c r="M149" s="19">
        <v>82</v>
      </c>
      <c r="N149" s="19" t="s">
        <v>223</v>
      </c>
      <c r="O149" s="21" t="str">
        <f t="shared" si="4"/>
        <v>NAO</v>
      </c>
    </row>
    <row r="150" spans="1:15" ht="15" customHeight="1" x14ac:dyDescent="0.25">
      <c r="A150" s="18" t="s">
        <v>575</v>
      </c>
      <c r="B150" s="19" t="s">
        <v>81</v>
      </c>
      <c r="C150" s="19" t="s">
        <v>82</v>
      </c>
      <c r="D150" s="19" t="s">
        <v>121</v>
      </c>
      <c r="E150" s="19" t="s">
        <v>122</v>
      </c>
      <c r="F150" s="19" t="s">
        <v>541</v>
      </c>
      <c r="G150" s="19" t="s">
        <v>480</v>
      </c>
      <c r="H150" s="19"/>
      <c r="I150" s="19" t="s">
        <v>296</v>
      </c>
      <c r="J150" s="19">
        <v>19</v>
      </c>
      <c r="K150" s="19">
        <v>3762</v>
      </c>
      <c r="L150" s="19">
        <v>34805.879999999997</v>
      </c>
      <c r="M150" s="19">
        <v>339</v>
      </c>
      <c r="N150" s="19" t="s">
        <v>227</v>
      </c>
      <c r="O150" s="21" t="str">
        <f t="shared" si="4"/>
        <v>-</v>
      </c>
    </row>
    <row r="151" spans="1:15" ht="15" customHeight="1" x14ac:dyDescent="0.25">
      <c r="A151" s="18" t="s">
        <v>576</v>
      </c>
      <c r="B151" s="19" t="s">
        <v>59</v>
      </c>
      <c r="C151" s="19" t="s">
        <v>60</v>
      </c>
      <c r="D151" s="19" t="s">
        <v>121</v>
      </c>
      <c r="E151" s="19" t="s">
        <v>122</v>
      </c>
      <c r="F151" s="19" t="s">
        <v>319</v>
      </c>
      <c r="G151" s="19" t="s">
        <v>557</v>
      </c>
      <c r="H151" s="19" t="s">
        <v>418</v>
      </c>
      <c r="I151" s="19" t="s">
        <v>302</v>
      </c>
      <c r="J151" s="19">
        <v>18</v>
      </c>
      <c r="K151" s="19">
        <v>6174</v>
      </c>
      <c r="L151" s="19">
        <v>74252.94</v>
      </c>
      <c r="M151" s="19">
        <v>147</v>
      </c>
      <c r="N151" s="19" t="s">
        <v>223</v>
      </c>
      <c r="O151" s="21" t="str">
        <f t="shared" si="4"/>
        <v>NAO</v>
      </c>
    </row>
    <row r="152" spans="1:15" ht="15" customHeight="1" x14ac:dyDescent="0.25">
      <c r="A152" s="18" t="s">
        <v>577</v>
      </c>
      <c r="B152" s="19" t="s">
        <v>91</v>
      </c>
      <c r="C152" s="19" t="s">
        <v>92</v>
      </c>
      <c r="D152" s="19" t="s">
        <v>112</v>
      </c>
      <c r="E152" s="19" t="s">
        <v>113</v>
      </c>
      <c r="F152" s="19" t="s">
        <v>559</v>
      </c>
      <c r="G152" s="19" t="s">
        <v>529</v>
      </c>
      <c r="H152" s="19" t="s">
        <v>529</v>
      </c>
      <c r="I152" s="19" t="s">
        <v>302</v>
      </c>
      <c r="J152" s="19">
        <v>11</v>
      </c>
      <c r="K152" s="19">
        <v>4609</v>
      </c>
      <c r="L152" s="19">
        <v>58792.37</v>
      </c>
      <c r="M152" s="19">
        <v>369</v>
      </c>
      <c r="N152" s="19" t="s">
        <v>227</v>
      </c>
      <c r="O152" s="21" t="str">
        <f t="shared" si="4"/>
        <v>SIM</v>
      </c>
    </row>
    <row r="153" spans="1:15" ht="15" customHeight="1" x14ac:dyDescent="0.25">
      <c r="A153" s="18" t="s">
        <v>578</v>
      </c>
      <c r="B153" s="19" t="s">
        <v>73</v>
      </c>
      <c r="C153" s="19" t="s">
        <v>74</v>
      </c>
      <c r="D153" s="19" t="s">
        <v>112</v>
      </c>
      <c r="E153" s="19" t="s">
        <v>113</v>
      </c>
      <c r="F153" s="19" t="s">
        <v>415</v>
      </c>
      <c r="G153" s="19" t="s">
        <v>327</v>
      </c>
      <c r="H153" s="19" t="s">
        <v>327</v>
      </c>
      <c r="I153" s="19" t="s">
        <v>302</v>
      </c>
      <c r="J153" s="19">
        <v>5</v>
      </c>
      <c r="K153" s="19">
        <v>1700</v>
      </c>
      <c r="L153" s="19">
        <v>17538.810000000001</v>
      </c>
      <c r="M153" s="19">
        <v>561</v>
      </c>
      <c r="N153" s="19" t="s">
        <v>220</v>
      </c>
      <c r="O153" s="21" t="str">
        <f t="shared" si="4"/>
        <v>SIM</v>
      </c>
    </row>
    <row r="154" spans="1:15" ht="15" customHeight="1" x14ac:dyDescent="0.25">
      <c r="A154" s="18" t="s">
        <v>579</v>
      </c>
      <c r="B154" s="19" t="s">
        <v>91</v>
      </c>
      <c r="C154" s="19" t="s">
        <v>92</v>
      </c>
      <c r="D154" s="19" t="s">
        <v>115</v>
      </c>
      <c r="E154" s="19" t="s">
        <v>116</v>
      </c>
      <c r="F154" s="19" t="s">
        <v>378</v>
      </c>
      <c r="G154" s="19" t="s">
        <v>468</v>
      </c>
      <c r="H154" s="19" t="s">
        <v>468</v>
      </c>
      <c r="I154" s="19" t="s">
        <v>302</v>
      </c>
      <c r="J154" s="19">
        <v>24</v>
      </c>
      <c r="K154" s="19">
        <v>9840</v>
      </c>
      <c r="L154" s="19">
        <v>119367.4</v>
      </c>
      <c r="M154" s="19">
        <v>592</v>
      </c>
      <c r="N154" s="19" t="s">
        <v>220</v>
      </c>
      <c r="O154" s="21" t="str">
        <f t="shared" si="4"/>
        <v>SIM</v>
      </c>
    </row>
    <row r="155" spans="1:15" ht="15" customHeight="1" x14ac:dyDescent="0.25">
      <c r="A155" s="18" t="s">
        <v>580</v>
      </c>
      <c r="B155" s="19" t="s">
        <v>54</v>
      </c>
      <c r="C155" s="19" t="s">
        <v>55</v>
      </c>
      <c r="D155" s="19" t="s">
        <v>112</v>
      </c>
      <c r="E155" s="19" t="s">
        <v>113</v>
      </c>
      <c r="F155" s="19" t="s">
        <v>369</v>
      </c>
      <c r="G155" s="19" t="s">
        <v>555</v>
      </c>
      <c r="H155" s="19" t="s">
        <v>555</v>
      </c>
      <c r="I155" s="19" t="s">
        <v>302</v>
      </c>
      <c r="J155" s="19">
        <v>19</v>
      </c>
      <c r="K155" s="19">
        <v>5434</v>
      </c>
      <c r="L155" s="19">
        <v>66341.81</v>
      </c>
      <c r="M155" s="19">
        <v>46</v>
      </c>
      <c r="N155" s="19" t="s">
        <v>223</v>
      </c>
      <c r="O155" s="21" t="str">
        <f t="shared" si="4"/>
        <v>SIM</v>
      </c>
    </row>
    <row r="156" spans="1:15" ht="15" customHeight="1" x14ac:dyDescent="0.25">
      <c r="A156" s="18" t="s">
        <v>581</v>
      </c>
      <c r="B156" s="19" t="s">
        <v>98</v>
      </c>
      <c r="C156" s="19" t="s">
        <v>99</v>
      </c>
      <c r="D156" s="19" t="s">
        <v>124</v>
      </c>
      <c r="E156" s="19" t="s">
        <v>125</v>
      </c>
      <c r="F156" s="19" t="s">
        <v>154</v>
      </c>
      <c r="G156" s="19" t="s">
        <v>384</v>
      </c>
      <c r="H156" s="19" t="s">
        <v>400</v>
      </c>
      <c r="I156" s="19" t="s">
        <v>302</v>
      </c>
      <c r="J156" s="19">
        <v>22</v>
      </c>
      <c r="K156" s="19">
        <v>6226</v>
      </c>
      <c r="L156" s="19">
        <v>64031.94</v>
      </c>
      <c r="M156" s="19">
        <v>89</v>
      </c>
      <c r="N156" s="19" t="s">
        <v>227</v>
      </c>
      <c r="O156" s="21" t="str">
        <f t="shared" si="4"/>
        <v>NAO</v>
      </c>
    </row>
    <row r="157" spans="1:15" ht="15" customHeight="1" x14ac:dyDescent="0.25">
      <c r="A157" s="18" t="s">
        <v>582</v>
      </c>
      <c r="B157" s="19" t="s">
        <v>54</v>
      </c>
      <c r="C157" s="19" t="s">
        <v>55</v>
      </c>
      <c r="D157" s="19" t="s">
        <v>115</v>
      </c>
      <c r="E157" s="19" t="s">
        <v>116</v>
      </c>
      <c r="F157" s="19" t="s">
        <v>492</v>
      </c>
      <c r="G157" s="19" t="s">
        <v>403</v>
      </c>
      <c r="H157" s="19" t="s">
        <v>403</v>
      </c>
      <c r="I157" s="19" t="s">
        <v>302</v>
      </c>
      <c r="J157" s="19">
        <v>20</v>
      </c>
      <c r="K157" s="19">
        <v>4320</v>
      </c>
      <c r="L157" s="19">
        <v>44822.14</v>
      </c>
      <c r="M157" s="19">
        <v>341</v>
      </c>
      <c r="N157" s="19" t="s">
        <v>227</v>
      </c>
      <c r="O157" s="21" t="str">
        <f t="shared" si="4"/>
        <v>SIM</v>
      </c>
    </row>
    <row r="158" spans="1:15" ht="15" customHeight="1" x14ac:dyDescent="0.25">
      <c r="A158" s="18" t="s">
        <v>583</v>
      </c>
      <c r="B158" s="19" t="s">
        <v>77</v>
      </c>
      <c r="C158" s="19" t="s">
        <v>78</v>
      </c>
      <c r="D158" s="19" t="s">
        <v>121</v>
      </c>
      <c r="E158" s="19" t="s">
        <v>122</v>
      </c>
      <c r="F158" s="19" t="s">
        <v>500</v>
      </c>
      <c r="G158" s="19" t="s">
        <v>529</v>
      </c>
      <c r="H158" s="19" t="s">
        <v>529</v>
      </c>
      <c r="I158" s="19" t="s">
        <v>302</v>
      </c>
      <c r="J158" s="19">
        <v>8</v>
      </c>
      <c r="K158" s="19">
        <v>2392</v>
      </c>
      <c r="L158" s="19">
        <v>22090.43</v>
      </c>
      <c r="M158" s="19">
        <v>475</v>
      </c>
      <c r="N158" s="19" t="s">
        <v>220</v>
      </c>
      <c r="O158" s="21" t="str">
        <f t="shared" si="4"/>
        <v>SIM</v>
      </c>
    </row>
    <row r="159" spans="1:15" ht="15" customHeight="1" x14ac:dyDescent="0.25">
      <c r="A159" s="18" t="s">
        <v>584</v>
      </c>
      <c r="B159" s="19" t="s">
        <v>64</v>
      </c>
      <c r="C159" s="19" t="s">
        <v>65</v>
      </c>
      <c r="D159" s="19" t="s">
        <v>112</v>
      </c>
      <c r="E159" s="19" t="s">
        <v>113</v>
      </c>
      <c r="F159" s="19" t="s">
        <v>454</v>
      </c>
      <c r="G159" s="19" t="s">
        <v>585</v>
      </c>
      <c r="H159" s="19" t="s">
        <v>359</v>
      </c>
      <c r="I159" s="19" t="s">
        <v>292</v>
      </c>
      <c r="J159" s="19">
        <v>14</v>
      </c>
      <c r="K159" s="19">
        <v>3402</v>
      </c>
      <c r="L159" s="19">
        <v>48567.34</v>
      </c>
      <c r="M159" s="19">
        <v>178</v>
      </c>
      <c r="N159" s="19" t="s">
        <v>223</v>
      </c>
      <c r="O159" s="21" t="str">
        <f t="shared" si="4"/>
        <v>NAO</v>
      </c>
    </row>
    <row r="160" spans="1:15" ht="15" customHeight="1" x14ac:dyDescent="0.25">
      <c r="A160" s="18" t="s">
        <v>586</v>
      </c>
      <c r="B160" s="19" t="s">
        <v>94</v>
      </c>
      <c r="C160" s="19" t="s">
        <v>95</v>
      </c>
      <c r="D160" s="19" t="s">
        <v>118</v>
      </c>
      <c r="E160" s="19" t="s">
        <v>119</v>
      </c>
      <c r="F160" s="19" t="s">
        <v>311</v>
      </c>
      <c r="G160" s="19" t="s">
        <v>409</v>
      </c>
      <c r="H160" s="19" t="s">
        <v>409</v>
      </c>
      <c r="I160" s="19" t="s">
        <v>302</v>
      </c>
      <c r="J160" s="19">
        <v>16</v>
      </c>
      <c r="K160" s="19">
        <v>6480</v>
      </c>
      <c r="L160" s="19">
        <v>67076.05</v>
      </c>
      <c r="M160" s="19">
        <v>38</v>
      </c>
      <c r="N160" s="19" t="s">
        <v>220</v>
      </c>
      <c r="O160" s="21" t="str">
        <f t="shared" si="4"/>
        <v>SIM</v>
      </c>
    </row>
    <row r="161" spans="1:15" ht="15" customHeight="1" x14ac:dyDescent="0.25">
      <c r="A161" s="18" t="s">
        <v>587</v>
      </c>
      <c r="B161" s="19" t="s">
        <v>81</v>
      </c>
      <c r="C161" s="19" t="s">
        <v>82</v>
      </c>
      <c r="D161" s="19" t="s">
        <v>124</v>
      </c>
      <c r="E161" s="19" t="s">
        <v>125</v>
      </c>
      <c r="F161" s="19" t="s">
        <v>483</v>
      </c>
      <c r="G161" s="19" t="s">
        <v>319</v>
      </c>
      <c r="H161" s="19" t="s">
        <v>319</v>
      </c>
      <c r="I161" s="19" t="s">
        <v>302</v>
      </c>
      <c r="J161" s="19">
        <v>2</v>
      </c>
      <c r="K161" s="19">
        <v>504</v>
      </c>
      <c r="L161" s="19">
        <v>5780.56</v>
      </c>
      <c r="M161" s="19">
        <v>496</v>
      </c>
      <c r="N161" s="19" t="s">
        <v>223</v>
      </c>
      <c r="O161" s="21" t="str">
        <f t="shared" si="4"/>
        <v>SIM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showGridLines="0" topLeftCell="A52" zoomScaleNormal="100" workbookViewId="0">
      <selection activeCell="E55" sqref="E55"/>
    </sheetView>
  </sheetViews>
  <sheetFormatPr defaultColWidth="8.7109375" defaultRowHeight="15" x14ac:dyDescent="0.25"/>
  <cols>
    <col min="1" max="1" width="36" style="15" customWidth="1"/>
    <col min="2" max="2" width="7.7109375" style="15" customWidth="1"/>
    <col min="3" max="3" width="16" style="15" customWidth="1"/>
    <col min="4" max="4" width="11.7109375" style="15" customWidth="1"/>
    <col min="5" max="5" width="18" style="15" customWidth="1"/>
    <col min="6" max="10" width="14" style="15" customWidth="1"/>
  </cols>
  <sheetData>
    <row r="1" spans="1:10" ht="30" customHeight="1" x14ac:dyDescent="0.25">
      <c r="A1" s="10" t="s">
        <v>588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5">
      <c r="A2" s="9" t="s">
        <v>589</v>
      </c>
      <c r="B2" s="9"/>
      <c r="C2" s="9"/>
      <c r="D2" s="9"/>
      <c r="E2" s="9"/>
      <c r="F2" s="9"/>
      <c r="G2" s="9"/>
      <c r="H2" s="9"/>
      <c r="I2" s="9"/>
      <c r="J2" s="9"/>
    </row>
    <row r="4" spans="1:10" ht="21.75" customHeight="1" x14ac:dyDescent="0.25">
      <c r="A4" s="6" t="s">
        <v>590</v>
      </c>
      <c r="B4" s="6"/>
      <c r="C4" s="6"/>
      <c r="D4" s="6"/>
      <c r="E4" s="6"/>
      <c r="F4" s="6"/>
      <c r="G4" s="6"/>
      <c r="H4" s="6"/>
      <c r="I4" s="6"/>
      <c r="J4" s="6"/>
    </row>
    <row r="5" spans="1:10" ht="15" customHeight="1" x14ac:dyDescent="0.25">
      <c r="C5" s="15" t="s">
        <v>316</v>
      </c>
    </row>
    <row r="6" spans="1:10" ht="15" customHeight="1" x14ac:dyDescent="0.25">
      <c r="A6" s="22" t="s">
        <v>591</v>
      </c>
      <c r="C6" s="23" t="s">
        <v>316</v>
      </c>
      <c r="E6" s="5" t="s">
        <v>592</v>
      </c>
      <c r="F6" s="5"/>
      <c r="G6" s="5"/>
      <c r="H6" s="5"/>
      <c r="I6" s="5"/>
    </row>
    <row r="8" spans="1:10" ht="15" customHeight="1" x14ac:dyDescent="0.25">
      <c r="A8" s="22" t="s">
        <v>593</v>
      </c>
      <c r="C8" s="24" t="str">
        <f>VLOOKUP($C$5,Encomendas!A:O,3,FALSE())</f>
        <v>Eletro Lobito</v>
      </c>
    </row>
    <row r="9" spans="1:10" ht="15" customHeight="1" x14ac:dyDescent="0.25">
      <c r="A9" s="22" t="s">
        <v>594</v>
      </c>
      <c r="C9" s="24" t="str">
        <f>VLOOKUP($C$5,Encomendas!A:O,5,FALSE())</f>
        <v>Rápido Kwanza</v>
      </c>
    </row>
    <row r="10" spans="1:10" ht="15" customHeight="1" x14ac:dyDescent="0.25">
      <c r="A10" s="22" t="s">
        <v>595</v>
      </c>
      <c r="C10" s="24" t="str">
        <f>VLOOKUP($C$5,Encomendas!A:O,9,FALSE())</f>
        <v>Atrasado</v>
      </c>
    </row>
    <row r="11" spans="1:10" ht="15" customHeight="1" x14ac:dyDescent="0.25">
      <c r="A11" s="22" t="s">
        <v>596</v>
      </c>
      <c r="C11" s="24">
        <f>VLOOKUP($C$5,Encomendas!A:O,12,FALSE())</f>
        <v>25814.84</v>
      </c>
    </row>
    <row r="12" spans="1:10" ht="15" customHeight="1" x14ac:dyDescent="0.25">
      <c r="A12" s="22" t="s">
        <v>597</v>
      </c>
      <c r="C12" s="24" t="str">
        <f>VLOOKUP($C$5,Encomendas!A:O,15,FALSE())</f>
        <v>NAO</v>
      </c>
    </row>
    <row r="13" spans="1:10" ht="15" customHeight="1" x14ac:dyDescent="0.25">
      <c r="A13" s="5" t="s">
        <v>598</v>
      </c>
      <c r="B13" s="5"/>
      <c r="C13" s="5"/>
      <c r="D13" s="5"/>
      <c r="E13" s="5"/>
      <c r="F13" s="5"/>
      <c r="G13" s="5"/>
      <c r="H13" s="5"/>
    </row>
    <row r="15" spans="1:10" ht="21.75" customHeight="1" x14ac:dyDescent="0.25">
      <c r="A15" s="6" t="s">
        <v>599</v>
      </c>
      <c r="B15" s="6"/>
      <c r="C15" s="6"/>
      <c r="D15" s="6"/>
      <c r="E15" s="6"/>
      <c r="F15" s="6"/>
      <c r="G15" s="6"/>
      <c r="H15" s="6"/>
      <c r="I15" s="6"/>
      <c r="J15" s="6"/>
    </row>
    <row r="17" spans="1:10" ht="15" customHeight="1" x14ac:dyDescent="0.25">
      <c r="A17" s="22" t="s">
        <v>600</v>
      </c>
    </row>
    <row r="18" spans="1:10" ht="15" customHeight="1" x14ac:dyDescent="0.25">
      <c r="A18" s="25" t="s">
        <v>594</v>
      </c>
      <c r="B18" s="25" t="s">
        <v>112</v>
      </c>
      <c r="C18" s="25" t="s">
        <v>115</v>
      </c>
      <c r="D18" s="25" t="s">
        <v>118</v>
      </c>
      <c r="E18" s="25" t="s">
        <v>121</v>
      </c>
      <c r="F18" s="25" t="s">
        <v>124</v>
      </c>
    </row>
    <row r="19" spans="1:10" ht="15" customHeight="1" x14ac:dyDescent="0.25">
      <c r="A19" s="26" t="s">
        <v>109</v>
      </c>
      <c r="B19" s="27">
        <f>VLOOKUP(B18,Transportadoras!A:E,3,FALSE())</f>
        <v>4500</v>
      </c>
      <c r="C19" s="27">
        <f>VLOOKUP(C18,Transportadoras!A:E,3,FALSE())</f>
        <v>5200</v>
      </c>
      <c r="D19" s="27">
        <f>VLOOKUP(D18,Transportadoras!A:E,3,FALSE())</f>
        <v>3100</v>
      </c>
      <c r="E19" s="27">
        <f>VLOOKUP(E18,Transportadoras!A:E,3,FALSE())</f>
        <v>6000</v>
      </c>
      <c r="F19" s="27">
        <f>VLOOKUP(F18,Transportadoras!A:E,3,FALSE())</f>
        <v>3800</v>
      </c>
    </row>
    <row r="20" spans="1:10" ht="15" customHeight="1" x14ac:dyDescent="0.25">
      <c r="A20" s="26" t="s">
        <v>110</v>
      </c>
      <c r="B20" s="28">
        <f>VLOOKUP(B18,Transportadoras!A:E,4,FALSE())</f>
        <v>0.96</v>
      </c>
      <c r="C20" s="28">
        <f>VLOOKUP(C18,Transportadoras!A:E,4,FALSE())</f>
        <v>0.91</v>
      </c>
      <c r="D20" s="28">
        <f>VLOOKUP(D18,Transportadoras!A:E,4,FALSE())</f>
        <v>0.88</v>
      </c>
      <c r="E20" s="28">
        <f>VLOOKUP(E18,Transportadoras!A:E,4,FALSE())</f>
        <v>0.94</v>
      </c>
      <c r="F20" s="28">
        <f>VLOOKUP(F18,Transportadoras!A:E,4,FALSE())</f>
        <v>0.85</v>
      </c>
    </row>
    <row r="22" spans="1:10" ht="15" customHeight="1" x14ac:dyDescent="0.25">
      <c r="A22" s="22" t="s">
        <v>601</v>
      </c>
      <c r="E22" s="23" t="s">
        <v>118</v>
      </c>
    </row>
    <row r="23" spans="1:10" ht="15" customHeight="1" x14ac:dyDescent="0.25">
      <c r="A23" s="22" t="s">
        <v>602</v>
      </c>
      <c r="E23" s="24">
        <f>HLOOKUP($E$22,A18:F20,2,FALSE())</f>
        <v>3100</v>
      </c>
    </row>
    <row r="24" spans="1:10" ht="15" customHeight="1" x14ac:dyDescent="0.25">
      <c r="A24" s="22" t="s">
        <v>603</v>
      </c>
      <c r="E24" s="29">
        <f>HLOOKUP($E$22,A18:F20,3,FALSE())</f>
        <v>0.88</v>
      </c>
    </row>
    <row r="25" spans="1:10" ht="15" customHeight="1" x14ac:dyDescent="0.25">
      <c r="A25" s="5" t="s">
        <v>604</v>
      </c>
      <c r="B25" s="5"/>
      <c r="C25" s="5"/>
      <c r="D25" s="5"/>
      <c r="E25" s="5"/>
      <c r="F25" s="5"/>
      <c r="G25" s="5"/>
      <c r="H25" s="5"/>
    </row>
    <row r="27" spans="1:10" ht="21.75" customHeight="1" x14ac:dyDescent="0.25">
      <c r="A27" s="6" t="s">
        <v>605</v>
      </c>
      <c r="B27" s="6"/>
      <c r="C27" s="6"/>
      <c r="D27" s="6"/>
      <c r="E27" s="6"/>
      <c r="F27" s="6"/>
      <c r="G27" s="6"/>
      <c r="H27" s="6"/>
      <c r="I27" s="6"/>
      <c r="J27" s="6"/>
    </row>
    <row r="29" spans="1:10" ht="15" customHeight="1" x14ac:dyDescent="0.25">
      <c r="A29" s="22" t="s">
        <v>606</v>
      </c>
      <c r="C29" s="23" t="s">
        <v>54</v>
      </c>
    </row>
    <row r="31" spans="1:10" ht="15" customHeight="1" x14ac:dyDescent="0.25">
      <c r="A31" s="22" t="s">
        <v>607</v>
      </c>
      <c r="E31" s="24">
        <f>SUMIF(Encomendas!B:B,$C$29,Encomendas!J:J)</f>
        <v>201</v>
      </c>
    </row>
    <row r="32" spans="1:10" ht="15" customHeight="1" x14ac:dyDescent="0.25">
      <c r="A32" s="22" t="s">
        <v>608</v>
      </c>
      <c r="E32" s="24">
        <f>SUMIF(Encomendas!B:B,$C$29,Encomendas!L:L)</f>
        <v>705279.2699999999</v>
      </c>
    </row>
    <row r="33" spans="1:10" ht="15" customHeight="1" x14ac:dyDescent="0.25">
      <c r="A33" s="22" t="s">
        <v>609</v>
      </c>
      <c r="E33" s="24">
        <f>SUMIF(Encomendas!O:O,"SIM",Encomendas!J:J)</f>
        <v>1184</v>
      </c>
    </row>
    <row r="35" spans="1:10" ht="15" customHeight="1" x14ac:dyDescent="0.25">
      <c r="A35" s="22" t="s">
        <v>610</v>
      </c>
    </row>
    <row r="36" spans="1:10" ht="15" customHeight="1" x14ac:dyDescent="0.25">
      <c r="A36" s="22" t="s">
        <v>220</v>
      </c>
      <c r="E36" s="24">
        <f>SUMIF(Stock!D:D,A36,Stock!E:E)</f>
        <v>4294</v>
      </c>
    </row>
    <row r="37" spans="1:10" ht="15" customHeight="1" x14ac:dyDescent="0.25">
      <c r="A37" s="22" t="s">
        <v>223</v>
      </c>
      <c r="E37" s="24">
        <f>SUMIF(Stock!D:D,A37,Stock!E:E)</f>
        <v>1831</v>
      </c>
    </row>
    <row r="38" spans="1:10" ht="15" customHeight="1" x14ac:dyDescent="0.25">
      <c r="A38" s="22" t="s">
        <v>227</v>
      </c>
      <c r="E38" s="24">
        <f>SUMIF(Stock!D:D,A38,Stock!E:E)</f>
        <v>2989</v>
      </c>
    </row>
    <row r="40" spans="1:10" ht="15" customHeight="1" x14ac:dyDescent="0.25">
      <c r="A40" s="5" t="s">
        <v>611</v>
      </c>
      <c r="B40" s="5"/>
      <c r="C40" s="5"/>
      <c r="D40" s="5"/>
      <c r="E40" s="5"/>
      <c r="F40" s="5"/>
      <c r="G40" s="5"/>
      <c r="H40" s="5"/>
    </row>
    <row r="42" spans="1:10" ht="21.75" customHeight="1" x14ac:dyDescent="0.25">
      <c r="A42" s="6" t="s">
        <v>612</v>
      </c>
      <c r="B42" s="6"/>
      <c r="C42" s="6"/>
      <c r="D42" s="6"/>
      <c r="E42" s="6"/>
      <c r="F42" s="6"/>
      <c r="G42" s="6"/>
      <c r="H42" s="6"/>
      <c r="I42" s="6"/>
      <c r="J42" s="6"/>
    </row>
    <row r="44" spans="1:10" ht="15" customHeight="1" x14ac:dyDescent="0.25">
      <c r="A44" s="22" t="s">
        <v>613</v>
      </c>
      <c r="C44" s="23" t="s">
        <v>147</v>
      </c>
      <c r="E44" s="5" t="s">
        <v>614</v>
      </c>
      <c r="F44" s="5"/>
      <c r="G44" s="5"/>
      <c r="H44" s="5"/>
      <c r="I44" s="5"/>
    </row>
    <row r="46" spans="1:10" ht="15" customHeight="1" x14ac:dyDescent="0.25">
      <c r="A46" s="22" t="s">
        <v>615</v>
      </c>
      <c r="E46" s="24" t="str">
        <f>INDEX(Frota!C:C,MATCH($C$44,Frota!B:B,0))</f>
        <v>Man TGS</v>
      </c>
    </row>
    <row r="47" spans="1:10" ht="15" customHeight="1" x14ac:dyDescent="0.25">
      <c r="A47" s="22" t="s">
        <v>616</v>
      </c>
      <c r="E47" s="24">
        <f>INDEX(Frota!D:D,MATCH($C$44,Frota!B:B,0))</f>
        <v>8000</v>
      </c>
    </row>
    <row r="48" spans="1:10" ht="15" customHeight="1" x14ac:dyDescent="0.25">
      <c r="A48" s="22" t="s">
        <v>617</v>
      </c>
      <c r="E48" s="24" t="str">
        <f>INDEX(Frota!G:G,MATCH($C$44,Frota!B:B,0))</f>
        <v>Disponível</v>
      </c>
    </row>
    <row r="49" spans="1:10" ht="15" customHeight="1" x14ac:dyDescent="0.25">
      <c r="A49" s="22" t="s">
        <v>618</v>
      </c>
      <c r="E49" s="24" t="str">
        <f>INDEX(Frota!I:I,MATCH($C$44,Frota!B:B,0))</f>
        <v>Vítor Hugo</v>
      </c>
    </row>
    <row r="51" spans="1:10" ht="15" customHeight="1" x14ac:dyDescent="0.25">
      <c r="A51" s="5" t="s">
        <v>619</v>
      </c>
      <c r="B51" s="5"/>
      <c r="C51" s="5"/>
      <c r="D51" s="5"/>
      <c r="E51" s="5"/>
      <c r="F51" s="5"/>
      <c r="G51" s="5"/>
      <c r="H51" s="5"/>
    </row>
    <row r="53" spans="1:10" ht="21.75" customHeight="1" x14ac:dyDescent="0.25">
      <c r="A53" s="6" t="s">
        <v>620</v>
      </c>
      <c r="B53" s="6"/>
      <c r="C53" s="6"/>
      <c r="D53" s="6"/>
      <c r="E53" s="6"/>
      <c r="F53" s="6"/>
      <c r="G53" s="6"/>
      <c r="H53" s="6"/>
      <c r="I53" s="6"/>
      <c r="J53" s="6"/>
    </row>
    <row r="55" spans="1:10" ht="15" customHeight="1" x14ac:dyDescent="0.25">
      <c r="A55" s="22" t="s">
        <v>621</v>
      </c>
      <c r="E55" s="30">
        <v>0.91</v>
      </c>
    </row>
    <row r="56" spans="1:10" ht="15" customHeight="1" x14ac:dyDescent="0.25">
      <c r="A56" s="22" t="s">
        <v>622</v>
      </c>
      <c r="E56" s="24" t="str">
        <f>IF($E$55&gt;=0.95,"EXCELENTE",IF($E$55&gt;=0.85,"BOM",IF($E$55&gt;=0.75,"SUFICIENTE","CRÍTICO")))</f>
        <v>BOM</v>
      </c>
    </row>
    <row r="57" spans="1:10" ht="15" customHeight="1" x14ac:dyDescent="0.25">
      <c r="A57" s="5" t="s">
        <v>623</v>
      </c>
      <c r="B57" s="5"/>
      <c r="C57" s="5"/>
      <c r="D57" s="5"/>
      <c r="E57" s="5"/>
      <c r="F57" s="5"/>
      <c r="G57" s="5"/>
      <c r="H57" s="5"/>
    </row>
    <row r="59" spans="1:10" ht="15" customHeight="1" x14ac:dyDescent="0.25">
      <c r="A59" s="22" t="s">
        <v>624</v>
      </c>
    </row>
    <row r="60" spans="1:10" ht="15" customHeight="1" x14ac:dyDescent="0.25">
      <c r="A60" s="5" t="s">
        <v>625</v>
      </c>
      <c r="B60" s="5"/>
      <c r="C60" s="5"/>
      <c r="D60" s="5"/>
      <c r="E60" s="5"/>
      <c r="F60" s="5"/>
      <c r="G60" s="5"/>
      <c r="H60" s="5"/>
      <c r="I60" s="5"/>
    </row>
    <row r="61" spans="1:10" ht="15" customHeight="1" x14ac:dyDescent="0.25">
      <c r="A61" s="22" t="s">
        <v>626</v>
      </c>
    </row>
    <row r="62" spans="1:10" ht="15" customHeight="1" x14ac:dyDescent="0.25">
      <c r="A62" s="5" t="s">
        <v>627</v>
      </c>
      <c r="B62" s="5"/>
      <c r="C62" s="5"/>
      <c r="D62" s="5"/>
      <c r="E62" s="5"/>
      <c r="F62" s="5"/>
      <c r="G62" s="5"/>
      <c r="H62" s="5"/>
      <c r="I62" s="5"/>
    </row>
  </sheetData>
  <mergeCells count="16">
    <mergeCell ref="A62:I62"/>
    <mergeCell ref="E44:I44"/>
    <mergeCell ref="A51:H51"/>
    <mergeCell ref="A53:J53"/>
    <mergeCell ref="A57:H57"/>
    <mergeCell ref="A60:I60"/>
    <mergeCell ref="A15:J15"/>
    <mergeCell ref="A25:H25"/>
    <mergeCell ref="A27:J27"/>
    <mergeCell ref="A40:H40"/>
    <mergeCell ref="A42:J42"/>
    <mergeCell ref="A1:J1"/>
    <mergeCell ref="A2:J2"/>
    <mergeCell ref="A4:J4"/>
    <mergeCell ref="E6:I6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showGridLines="0" zoomScaleNormal="100" workbookViewId="0">
      <selection sqref="A1:J1"/>
    </sheetView>
  </sheetViews>
  <sheetFormatPr defaultColWidth="8.7109375" defaultRowHeight="15" x14ac:dyDescent="0.25"/>
  <cols>
    <col min="1" max="1" width="24" style="15" customWidth="1"/>
    <col min="2" max="2" width="12.140625" style="15" customWidth="1"/>
    <col min="3" max="3" width="11" style="15" customWidth="1"/>
    <col min="4" max="4" width="14.28515625" style="15" customWidth="1"/>
    <col min="5" max="8" width="11" style="15" customWidth="1"/>
    <col min="9" max="9" width="13" style="15" customWidth="1"/>
  </cols>
  <sheetData>
    <row r="1" spans="1:10" ht="21.75" customHeight="1" x14ac:dyDescent="0.25">
      <c r="A1" s="48" t="s">
        <v>630</v>
      </c>
      <c r="B1" s="6"/>
      <c r="C1" s="6"/>
      <c r="D1" s="6"/>
      <c r="E1" s="6"/>
      <c r="F1" s="6"/>
      <c r="G1" s="6"/>
      <c r="H1" s="6"/>
      <c r="I1" s="6"/>
      <c r="J1" s="6"/>
    </row>
    <row r="3" spans="1:10" ht="15" customHeight="1" x14ac:dyDescent="0.25">
      <c r="A3" s="31" t="s">
        <v>631</v>
      </c>
      <c r="B3" s="25" t="s">
        <v>112</v>
      </c>
      <c r="C3" s="25" t="s">
        <v>115</v>
      </c>
      <c r="D3" s="25" t="s">
        <v>118</v>
      </c>
      <c r="E3" s="25" t="s">
        <v>121</v>
      </c>
      <c r="F3" s="25" t="s">
        <v>124</v>
      </c>
      <c r="G3" s="25" t="s">
        <v>632</v>
      </c>
    </row>
    <row r="4" spans="1:10" ht="15" customHeight="1" x14ac:dyDescent="0.25">
      <c r="A4" s="32" t="str">
        <f>VLOOKUP("CL001",Clientes!A:B,2,FALSE())</f>
        <v>Supermercado Kianda</v>
      </c>
      <c r="B4" s="27">
        <f>SUMIFS(Encomendas!J:J,Encomendas!B:B,"CL001",Encomendas!D:D,"TR01")</f>
        <v>56</v>
      </c>
      <c r="C4" s="27">
        <f>SUMIFS(Encomendas!J:J,Encomendas!B:B,"CL001",Encomendas!D:D,"TR02")</f>
        <v>45</v>
      </c>
      <c r="D4" s="27">
        <f>SUMIFS(Encomendas!J:J,Encomendas!B:B,"CL001",Encomendas!D:D,"TR03")</f>
        <v>70</v>
      </c>
      <c r="E4" s="27">
        <f>SUMIFS(Encomendas!J:J,Encomendas!B:B,"CL001",Encomendas!D:D,"TR04")</f>
        <v>0</v>
      </c>
      <c r="F4" s="27">
        <f>SUMIFS(Encomendas!J:J,Encomendas!B:B,"CL001",Encomendas!D:D,"TR05")</f>
        <v>30</v>
      </c>
      <c r="G4" s="21">
        <f t="shared" ref="G4:G15" si="0">SUM(B4:F4)</f>
        <v>201</v>
      </c>
    </row>
    <row r="5" spans="1:10" ht="15" customHeight="1" x14ac:dyDescent="0.25">
      <c r="A5" s="32" t="str">
        <f>VLOOKUP("CL002",Clientes!A:B,2,FALSE())</f>
        <v>Construtora Maiombe</v>
      </c>
      <c r="B5" s="27">
        <f>SUMIFS(Encomendas!J:J,Encomendas!B:B,"CL002",Encomendas!D:D,"TR01")</f>
        <v>12</v>
      </c>
      <c r="C5" s="27">
        <f>SUMIFS(Encomendas!J:J,Encomendas!B:B,"CL002",Encomendas!D:D,"TR02")</f>
        <v>0</v>
      </c>
      <c r="D5" s="27">
        <f>SUMIFS(Encomendas!J:J,Encomendas!B:B,"CL002",Encomendas!D:D,"TR03")</f>
        <v>38</v>
      </c>
      <c r="E5" s="27">
        <f>SUMIFS(Encomendas!J:J,Encomendas!B:B,"CL002",Encomendas!D:D,"TR04")</f>
        <v>58</v>
      </c>
      <c r="F5" s="27">
        <f>SUMIFS(Encomendas!J:J,Encomendas!B:B,"CL002",Encomendas!D:D,"TR05")</f>
        <v>85</v>
      </c>
      <c r="G5" s="21">
        <f t="shared" si="0"/>
        <v>193</v>
      </c>
    </row>
    <row r="6" spans="1:10" ht="15" customHeight="1" x14ac:dyDescent="0.25">
      <c r="A6" s="32" t="str">
        <f>VLOOKUP("CL003",Clientes!A:B,2,FALSE())</f>
        <v>Farmácia Bem-Estar</v>
      </c>
      <c r="B6" s="27">
        <f>SUMIFS(Encomendas!J:J,Encomendas!B:B,"CL003",Encomendas!D:D,"TR01")</f>
        <v>25</v>
      </c>
      <c r="C6" s="27">
        <f>SUMIFS(Encomendas!J:J,Encomendas!B:B,"CL003",Encomendas!D:D,"TR02")</f>
        <v>49</v>
      </c>
      <c r="D6" s="27">
        <f>SUMIFS(Encomendas!J:J,Encomendas!B:B,"CL003",Encomendas!D:D,"TR03")</f>
        <v>4</v>
      </c>
      <c r="E6" s="27">
        <f>SUMIFS(Encomendas!J:J,Encomendas!B:B,"CL003",Encomendas!D:D,"TR04")</f>
        <v>59</v>
      </c>
      <c r="F6" s="27">
        <f>SUMIFS(Encomendas!J:J,Encomendas!B:B,"CL003",Encomendas!D:D,"TR05")</f>
        <v>28</v>
      </c>
      <c r="G6" s="21">
        <f t="shared" si="0"/>
        <v>165</v>
      </c>
    </row>
    <row r="7" spans="1:10" ht="15" customHeight="1" x14ac:dyDescent="0.25">
      <c r="A7" s="32" t="str">
        <f>VLOOKUP("CL004",Clientes!A:B,2,FALSE())</f>
        <v>Auto Peças Cabinda</v>
      </c>
      <c r="B7" s="27">
        <f>SUMIFS(Encomendas!J:J,Encomendas!B:B,"CL004",Encomendas!D:D,"TR01")</f>
        <v>20</v>
      </c>
      <c r="C7" s="27">
        <f>SUMIFS(Encomendas!J:J,Encomendas!B:B,"CL004",Encomendas!D:D,"TR02")</f>
        <v>46</v>
      </c>
      <c r="D7" s="27">
        <f>SUMIFS(Encomendas!J:J,Encomendas!B:B,"CL004",Encomendas!D:D,"TR03")</f>
        <v>38</v>
      </c>
      <c r="E7" s="27">
        <f>SUMIFS(Encomendas!J:J,Encomendas!B:B,"CL004",Encomendas!D:D,"TR04")</f>
        <v>45</v>
      </c>
      <c r="F7" s="27">
        <f>SUMIFS(Encomendas!J:J,Encomendas!B:B,"CL004",Encomendas!D:D,"TR05")</f>
        <v>22</v>
      </c>
      <c r="G7" s="21">
        <f t="shared" si="0"/>
        <v>171</v>
      </c>
    </row>
    <row r="8" spans="1:10" ht="15" customHeight="1" x14ac:dyDescent="0.25">
      <c r="A8" s="32" t="str">
        <f>VLOOKUP("CL005",Clientes!A:B,2,FALSE())</f>
        <v>Hipermercado Mabor</v>
      </c>
      <c r="B8" s="27">
        <f>SUMIFS(Encomendas!J:J,Encomendas!B:B,"CL005",Encomendas!D:D,"TR01")</f>
        <v>5</v>
      </c>
      <c r="C8" s="27">
        <f>SUMIFS(Encomendas!J:J,Encomendas!B:B,"CL005",Encomendas!D:D,"TR02")</f>
        <v>15</v>
      </c>
      <c r="D8" s="27">
        <f>SUMIFS(Encomendas!J:J,Encomendas!B:B,"CL005",Encomendas!D:D,"TR03")</f>
        <v>26</v>
      </c>
      <c r="E8" s="27">
        <f>SUMIFS(Encomendas!J:J,Encomendas!B:B,"CL005",Encomendas!D:D,"TR04")</f>
        <v>34</v>
      </c>
      <c r="F8" s="27">
        <f>SUMIFS(Encomendas!J:J,Encomendas!B:B,"CL005",Encomendas!D:D,"TR05")</f>
        <v>3</v>
      </c>
      <c r="G8" s="21">
        <f t="shared" si="0"/>
        <v>83</v>
      </c>
    </row>
    <row r="9" spans="1:10" ht="15" customHeight="1" x14ac:dyDescent="0.25">
      <c r="A9" s="32" t="str">
        <f>VLOOKUP("CL006",Clientes!A:B,2,FALSE())</f>
        <v>Têxtil Kwanza</v>
      </c>
      <c r="B9" s="27">
        <f>SUMIFS(Encomendas!J:J,Encomendas!B:B,"CL006",Encomendas!D:D,"TR01")</f>
        <v>28</v>
      </c>
      <c r="C9" s="27">
        <f>SUMIFS(Encomendas!J:J,Encomendas!B:B,"CL006",Encomendas!D:D,"TR02")</f>
        <v>22</v>
      </c>
      <c r="D9" s="27">
        <f>SUMIFS(Encomendas!J:J,Encomendas!B:B,"CL006",Encomendas!D:D,"TR03")</f>
        <v>44</v>
      </c>
      <c r="E9" s="27">
        <f>SUMIFS(Encomendas!J:J,Encomendas!B:B,"CL006",Encomendas!D:D,"TR04")</f>
        <v>8</v>
      </c>
      <c r="F9" s="27">
        <f>SUMIFS(Encomendas!J:J,Encomendas!B:B,"CL006",Encomendas!D:D,"TR05")</f>
        <v>19</v>
      </c>
      <c r="G9" s="21">
        <f t="shared" si="0"/>
        <v>121</v>
      </c>
    </row>
    <row r="10" spans="1:10" ht="15" customHeight="1" x14ac:dyDescent="0.25">
      <c r="A10" s="32" t="str">
        <f>VLOOKUP("CL007",Clientes!A:B,2,FALSE())</f>
        <v>Distribuidora Bengo</v>
      </c>
      <c r="B10" s="27">
        <f>SUMIFS(Encomendas!J:J,Encomendas!B:B,"CL007",Encomendas!D:D,"TR01")</f>
        <v>27</v>
      </c>
      <c r="C10" s="27">
        <f>SUMIFS(Encomendas!J:J,Encomendas!B:B,"CL007",Encomendas!D:D,"TR02")</f>
        <v>19</v>
      </c>
      <c r="D10" s="27">
        <f>SUMIFS(Encomendas!J:J,Encomendas!B:B,"CL007",Encomendas!D:D,"TR03")</f>
        <v>51</v>
      </c>
      <c r="E10" s="27">
        <f>SUMIFS(Encomendas!J:J,Encomendas!B:B,"CL007",Encomendas!D:D,"TR04")</f>
        <v>63</v>
      </c>
      <c r="F10" s="27">
        <f>SUMIFS(Encomendas!J:J,Encomendas!B:B,"CL007",Encomendas!D:D,"TR05")</f>
        <v>42</v>
      </c>
      <c r="G10" s="21">
        <f t="shared" si="0"/>
        <v>202</v>
      </c>
    </row>
    <row r="11" spans="1:10" ht="15" customHeight="1" x14ac:dyDescent="0.25">
      <c r="A11" s="32" t="str">
        <f>VLOOKUP("CL008",Clientes!A:B,2,FALSE())</f>
        <v>Restaurante Sabor d'Africa</v>
      </c>
      <c r="B11" s="27">
        <f>SUMIFS(Encomendas!J:J,Encomendas!B:B,"CL008",Encomendas!D:D,"TR01")</f>
        <v>29</v>
      </c>
      <c r="C11" s="27">
        <f>SUMIFS(Encomendas!J:J,Encomendas!B:B,"CL008",Encomendas!D:D,"TR02")</f>
        <v>0</v>
      </c>
      <c r="D11" s="27">
        <f>SUMIFS(Encomendas!J:J,Encomendas!B:B,"CL008",Encomendas!D:D,"TR03")</f>
        <v>18</v>
      </c>
      <c r="E11" s="27">
        <f>SUMIFS(Encomendas!J:J,Encomendas!B:B,"CL008",Encomendas!D:D,"TR04")</f>
        <v>17</v>
      </c>
      <c r="F11" s="27">
        <f>SUMIFS(Encomendas!J:J,Encomendas!B:B,"CL008",Encomendas!D:D,"TR05")</f>
        <v>23</v>
      </c>
      <c r="G11" s="21">
        <f t="shared" si="0"/>
        <v>87</v>
      </c>
    </row>
    <row r="12" spans="1:10" ht="15" customHeight="1" x14ac:dyDescent="0.25">
      <c r="A12" s="32" t="str">
        <f>VLOOKUP("CL009",Clientes!A:B,2,FALSE())</f>
        <v>Loja MaxValor</v>
      </c>
      <c r="B12" s="27">
        <f>SUMIFS(Encomendas!J:J,Encomendas!B:B,"CL009",Encomendas!D:D,"TR01")</f>
        <v>30</v>
      </c>
      <c r="C12" s="27">
        <f>SUMIFS(Encomendas!J:J,Encomendas!B:B,"CL009",Encomendas!D:D,"TR02")</f>
        <v>47</v>
      </c>
      <c r="D12" s="27">
        <f>SUMIFS(Encomendas!J:J,Encomendas!B:B,"CL009",Encomendas!D:D,"TR03")</f>
        <v>47</v>
      </c>
      <c r="E12" s="27">
        <f>SUMIFS(Encomendas!J:J,Encomendas!B:B,"CL009",Encomendas!D:D,"TR04")</f>
        <v>77</v>
      </c>
      <c r="F12" s="27">
        <f>SUMIFS(Encomendas!J:J,Encomendas!B:B,"CL009",Encomendas!D:D,"TR05")</f>
        <v>82</v>
      </c>
      <c r="G12" s="21">
        <f t="shared" si="0"/>
        <v>283</v>
      </c>
    </row>
    <row r="13" spans="1:10" ht="15" customHeight="1" x14ac:dyDescent="0.25">
      <c r="A13" s="32" t="str">
        <f>VLOOKUP("CL010",Clientes!A:B,2,FALSE())</f>
        <v>Eletro Lobito</v>
      </c>
      <c r="B13" s="27">
        <f>SUMIFS(Encomendas!J:J,Encomendas!B:B,"CL010",Encomendas!D:D,"TR01")</f>
        <v>18</v>
      </c>
      <c r="C13" s="27">
        <f>SUMIFS(Encomendas!J:J,Encomendas!B:B,"CL010",Encomendas!D:D,"TR02")</f>
        <v>23</v>
      </c>
      <c r="D13" s="27">
        <f>SUMIFS(Encomendas!J:J,Encomendas!B:B,"CL010",Encomendas!D:D,"TR03")</f>
        <v>59</v>
      </c>
      <c r="E13" s="27">
        <f>SUMIFS(Encomendas!J:J,Encomendas!B:B,"CL010",Encomendas!D:D,"TR04")</f>
        <v>44</v>
      </c>
      <c r="F13" s="27">
        <f>SUMIFS(Encomendas!J:J,Encomendas!B:B,"CL010",Encomendas!D:D,"TR05")</f>
        <v>6</v>
      </c>
      <c r="G13" s="21">
        <f t="shared" si="0"/>
        <v>150</v>
      </c>
    </row>
    <row r="14" spans="1:10" ht="15" customHeight="1" x14ac:dyDescent="0.25">
      <c r="A14" s="32" t="str">
        <f>VLOOKUP("CL011",Clientes!A:B,2,FALSE())</f>
        <v>Padaria Pão Quente</v>
      </c>
      <c r="B14" s="27">
        <f>SUMIFS(Encomendas!J:J,Encomendas!B:B,"CL011",Encomendas!D:D,"TR01")</f>
        <v>5</v>
      </c>
      <c r="C14" s="27">
        <f>SUMIFS(Encomendas!J:J,Encomendas!B:B,"CL011",Encomendas!D:D,"TR02")</f>
        <v>34</v>
      </c>
      <c r="D14" s="27">
        <f>SUMIFS(Encomendas!J:J,Encomendas!B:B,"CL011",Encomendas!D:D,"TR03")</f>
        <v>60</v>
      </c>
      <c r="E14" s="27">
        <f>SUMIFS(Encomendas!J:J,Encomendas!B:B,"CL011",Encomendas!D:D,"TR04")</f>
        <v>84</v>
      </c>
      <c r="F14" s="27">
        <f>SUMIFS(Encomendas!J:J,Encomendas!B:B,"CL011",Encomendas!D:D,"TR05")</f>
        <v>115</v>
      </c>
      <c r="G14" s="21">
        <f t="shared" si="0"/>
        <v>298</v>
      </c>
    </row>
    <row r="15" spans="1:10" ht="15" customHeight="1" x14ac:dyDescent="0.25">
      <c r="A15" s="32" t="str">
        <f>VLOOKUP("CL012",Clientes!A:B,2,FALSE())</f>
        <v>Móveis Kalandula</v>
      </c>
      <c r="B15" s="27">
        <f>SUMIFS(Encomendas!J:J,Encomendas!B:B,"CL012",Encomendas!D:D,"TR01")</f>
        <v>0</v>
      </c>
      <c r="C15" s="27">
        <f>SUMIFS(Encomendas!J:J,Encomendas!B:B,"CL012",Encomendas!D:D,"TR02")</f>
        <v>5</v>
      </c>
      <c r="D15" s="27">
        <f>SUMIFS(Encomendas!J:J,Encomendas!B:B,"CL012",Encomendas!D:D,"TR03")</f>
        <v>94</v>
      </c>
      <c r="E15" s="27">
        <f>SUMIFS(Encomendas!J:J,Encomendas!B:B,"CL012",Encomendas!D:D,"TR04")</f>
        <v>15</v>
      </c>
      <c r="F15" s="27">
        <f>SUMIFS(Encomendas!J:J,Encomendas!B:B,"CL012",Encomendas!D:D,"TR05")</f>
        <v>0</v>
      </c>
      <c r="G15" s="21">
        <f t="shared" si="0"/>
        <v>114</v>
      </c>
    </row>
    <row r="16" spans="1:10" ht="15" customHeight="1" x14ac:dyDescent="0.25">
      <c r="A16" s="26" t="s">
        <v>633</v>
      </c>
      <c r="B16" s="21">
        <f t="shared" ref="B16:G16" si="1">SUM(B4:B15)</f>
        <v>255</v>
      </c>
      <c r="C16" s="21">
        <f t="shared" si="1"/>
        <v>305</v>
      </c>
      <c r="D16" s="21">
        <f t="shared" si="1"/>
        <v>549</v>
      </c>
      <c r="E16" s="21">
        <f t="shared" si="1"/>
        <v>504</v>
      </c>
      <c r="F16" s="21">
        <f t="shared" si="1"/>
        <v>455</v>
      </c>
      <c r="G16" s="21">
        <f t="shared" si="1"/>
        <v>2068</v>
      </c>
    </row>
    <row r="18" spans="1:10" ht="30" customHeight="1" x14ac:dyDescent="0.25">
      <c r="A18" s="4" t="s">
        <v>699</v>
      </c>
      <c r="B18" s="4"/>
      <c r="C18" s="4"/>
      <c r="D18" s="4"/>
      <c r="E18" s="4"/>
      <c r="F18" s="4"/>
      <c r="G18" s="4"/>
      <c r="H18" s="4"/>
      <c r="I18" s="4"/>
    </row>
    <row r="20" spans="1:10" ht="21.75" customHeight="1" x14ac:dyDescent="0.25">
      <c r="A20" s="6" t="s">
        <v>634</v>
      </c>
      <c r="B20" s="6"/>
      <c r="C20" s="6"/>
      <c r="D20" s="6"/>
      <c r="E20" s="6"/>
      <c r="F20" s="6"/>
      <c r="G20" s="6"/>
      <c r="H20" s="6"/>
      <c r="I20" s="6"/>
      <c r="J20" s="6"/>
    </row>
    <row r="22" spans="1:10" ht="41.25" customHeight="1" x14ac:dyDescent="0.25">
      <c r="A22" s="31" t="s">
        <v>635</v>
      </c>
      <c r="B22" s="20" t="s">
        <v>636</v>
      </c>
      <c r="C22" s="20" t="s">
        <v>637</v>
      </c>
      <c r="D22" s="20" t="s">
        <v>638</v>
      </c>
    </row>
    <row r="23" spans="1:10" ht="15" customHeight="1" x14ac:dyDescent="0.25">
      <c r="A23" s="32" t="s">
        <v>639</v>
      </c>
      <c r="B23" s="27">
        <f>SUMPRODUCT((MONTH(Encomendas!F2:F161)=1)*1)</f>
        <v>24</v>
      </c>
      <c r="C23" s="27">
        <f>SUMPRODUCT((MONTH(Encomendas!F2:F161)=1)*(Encomendas!J2:J161))</f>
        <v>259</v>
      </c>
      <c r="D23" s="33">
        <f>SUMPRODUCT((MONTH(Encomendas!F2:F161)=1)*(Encomendas!L2:L161))</f>
        <v>910274.32</v>
      </c>
    </row>
    <row r="24" spans="1:10" ht="15" customHeight="1" x14ac:dyDescent="0.25">
      <c r="A24" s="32" t="s">
        <v>640</v>
      </c>
      <c r="B24" s="27">
        <f>SUMPRODUCT((MONTH(Encomendas!F2:F161)=2)*1)</f>
        <v>18</v>
      </c>
      <c r="C24" s="27">
        <f>SUMPRODUCT((MONTH(Encomendas!F2:F161)=2)*(Encomendas!J2:J161))</f>
        <v>268</v>
      </c>
      <c r="D24" s="33">
        <f>SUMPRODUCT((MONTH(Encomendas!F2:F161)=2)*(Encomendas!L2:L161))</f>
        <v>1077222.24</v>
      </c>
    </row>
    <row r="25" spans="1:10" ht="15" customHeight="1" x14ac:dyDescent="0.25">
      <c r="A25" s="32" t="s">
        <v>641</v>
      </c>
      <c r="B25" s="27">
        <f>SUMPRODUCT((MONTH(Encomendas!F2:F161)=3)*1)</f>
        <v>29</v>
      </c>
      <c r="C25" s="27">
        <f>SUMPRODUCT((MONTH(Encomendas!F2:F161)=3)*(Encomendas!J2:J161))</f>
        <v>365</v>
      </c>
      <c r="D25" s="33">
        <f>SUMPRODUCT((MONTH(Encomendas!F2:F161)=3)*(Encomendas!L2:L161))</f>
        <v>1441635.4900000002</v>
      </c>
    </row>
    <row r="26" spans="1:10" ht="15" customHeight="1" x14ac:dyDescent="0.25">
      <c r="A26" s="32" t="s">
        <v>642</v>
      </c>
      <c r="B26" s="27">
        <f>SUMPRODUCT((MONTH(Encomendas!F2:F161)=4)*1)</f>
        <v>37</v>
      </c>
      <c r="C26" s="27">
        <f>SUMPRODUCT((MONTH(Encomendas!F2:F161)=4)*(Encomendas!J2:J161))</f>
        <v>524</v>
      </c>
      <c r="D26" s="33">
        <f>SUMPRODUCT((MONTH(Encomendas!F2:F161)=4)*(Encomendas!L2:L161))</f>
        <v>1745398.7699999996</v>
      </c>
    </row>
    <row r="27" spans="1:10" ht="15" customHeight="1" x14ac:dyDescent="0.25">
      <c r="A27" s="32" t="s">
        <v>643</v>
      </c>
      <c r="B27" s="27">
        <f>SUMPRODUCT((MONTH(Encomendas!F2:F161)=5)*1)</f>
        <v>34</v>
      </c>
      <c r="C27" s="27">
        <f>SUMPRODUCT((MONTH(Encomendas!F2:F161)=5)*(Encomendas!J2:J161))</f>
        <v>414</v>
      </c>
      <c r="D27" s="33">
        <f>SUMPRODUCT((MONTH(Encomendas!F2:F161)=5)*(Encomendas!L2:L161))</f>
        <v>1459954.6300000001</v>
      </c>
    </row>
    <row r="28" spans="1:10" ht="15" customHeight="1" x14ac:dyDescent="0.25">
      <c r="A28" s="32" t="s">
        <v>644</v>
      </c>
      <c r="B28" s="27">
        <f>SUMPRODUCT((MONTH(Encomendas!F2:F161)=6)*1)</f>
        <v>18</v>
      </c>
      <c r="C28" s="27">
        <f>SUMPRODUCT((MONTH(Encomendas!F2:F161)=6)*(Encomendas!J2:J161))</f>
        <v>238</v>
      </c>
      <c r="D28" s="33">
        <f>SUMPRODUCT((MONTH(Encomendas!F2:F161)=6)*(Encomendas!L2:L161))</f>
        <v>966291.95</v>
      </c>
    </row>
  </sheetData>
  <mergeCells count="3">
    <mergeCell ref="A20:J20"/>
    <mergeCell ref="A1:J1"/>
    <mergeCell ref="A18:I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showGridLines="0" zoomScaleNormal="100" workbookViewId="0">
      <selection activeCell="J35" sqref="J35"/>
    </sheetView>
  </sheetViews>
  <sheetFormatPr defaultColWidth="8.7109375" defaultRowHeight="15" x14ac:dyDescent="0.25"/>
  <cols>
    <col min="1" max="1" width="24.7109375" customWidth="1"/>
    <col min="2" max="2" width="19.5703125" customWidth="1"/>
    <col min="3" max="3" width="17.5703125" customWidth="1"/>
    <col min="4" max="4" width="17.7109375" customWidth="1"/>
    <col min="5" max="5" width="14.42578125" customWidth="1"/>
    <col min="6" max="6" width="19.28515625" customWidth="1"/>
    <col min="7" max="7" width="10.7109375" customWidth="1"/>
    <col min="8" max="8" width="13.7109375" customWidth="1"/>
    <col min="9" max="9" width="16.85546875" customWidth="1"/>
    <col min="10" max="10" width="18.7109375" bestFit="1" customWidth="1"/>
    <col min="11" max="11" width="24.85546875" bestFit="1" customWidth="1"/>
    <col min="12" max="12" width="20.5703125" bestFit="1" customWidth="1"/>
    <col min="13" max="13" width="13.28515625" bestFit="1" customWidth="1"/>
    <col min="14" max="14" width="10.7109375" bestFit="1" customWidth="1"/>
  </cols>
  <sheetData>
    <row r="1" spans="1:9" ht="30" customHeight="1" x14ac:dyDescent="0.25">
      <c r="A1" s="10" t="s">
        <v>628</v>
      </c>
      <c r="B1" s="10"/>
      <c r="C1" s="10"/>
      <c r="D1" s="10"/>
      <c r="E1" s="10"/>
      <c r="F1" s="10"/>
      <c r="G1" s="10"/>
      <c r="H1" s="10"/>
      <c r="I1" s="10"/>
    </row>
    <row r="2" spans="1:9" ht="15.75" customHeight="1" x14ac:dyDescent="0.25">
      <c r="A2" s="9" t="s">
        <v>629</v>
      </c>
      <c r="B2" s="9"/>
      <c r="C2" s="9"/>
      <c r="D2" s="9"/>
      <c r="E2" s="9"/>
      <c r="F2" s="9"/>
      <c r="G2" s="9"/>
      <c r="H2" s="9"/>
      <c r="I2" s="9"/>
    </row>
    <row r="4" spans="1:9" x14ac:dyDescent="0.25">
      <c r="A4" s="45" t="s">
        <v>281</v>
      </c>
      <c r="B4" t="s">
        <v>704</v>
      </c>
      <c r="H4" s="15"/>
      <c r="I4" s="15"/>
    </row>
    <row r="5" spans="1:9" ht="15.75" customHeight="1" x14ac:dyDescent="0.25"/>
    <row r="6" spans="1:9" ht="15.75" customHeight="1" x14ac:dyDescent="0.25">
      <c r="A6" s="45" t="s">
        <v>702</v>
      </c>
      <c r="B6" s="45" t="s">
        <v>701</v>
      </c>
    </row>
    <row r="7" spans="1:9" x14ac:dyDescent="0.25">
      <c r="A7" s="45" t="s">
        <v>703</v>
      </c>
      <c r="B7" s="47" t="s">
        <v>122</v>
      </c>
      <c r="C7" s="47" t="s">
        <v>125</v>
      </c>
      <c r="D7" s="47" t="s">
        <v>116</v>
      </c>
      <c r="E7" s="47" t="s">
        <v>119</v>
      </c>
      <c r="F7" s="47" t="s">
        <v>113</v>
      </c>
      <c r="G7" s="47" t="s">
        <v>700</v>
      </c>
    </row>
    <row r="8" spans="1:9" ht="15.75" customHeight="1" x14ac:dyDescent="0.25">
      <c r="A8" s="46" t="s">
        <v>69</v>
      </c>
      <c r="B8" s="47">
        <v>45</v>
      </c>
      <c r="C8" s="47">
        <v>22</v>
      </c>
      <c r="D8" s="47">
        <v>46</v>
      </c>
      <c r="E8" s="47">
        <v>38</v>
      </c>
      <c r="F8" s="47">
        <v>20</v>
      </c>
      <c r="G8" s="47">
        <v>171</v>
      </c>
    </row>
    <row r="9" spans="1:9" ht="15.75" customHeight="1" x14ac:dyDescent="0.25">
      <c r="A9" s="46" t="s">
        <v>60</v>
      </c>
      <c r="B9" s="47">
        <v>58</v>
      </c>
      <c r="C9" s="47">
        <v>85</v>
      </c>
      <c r="D9" s="47"/>
      <c r="E9" s="47">
        <v>38</v>
      </c>
      <c r="F9" s="47">
        <v>12</v>
      </c>
      <c r="G9" s="47">
        <v>193</v>
      </c>
    </row>
    <row r="10" spans="1:9" ht="15.75" customHeight="1" x14ac:dyDescent="0.25">
      <c r="A10" s="46" t="s">
        <v>82</v>
      </c>
      <c r="B10" s="47">
        <v>63</v>
      </c>
      <c r="C10" s="47">
        <v>42</v>
      </c>
      <c r="D10" s="47">
        <v>19</v>
      </c>
      <c r="E10" s="47">
        <v>51</v>
      </c>
      <c r="F10" s="47">
        <v>27</v>
      </c>
      <c r="G10" s="47">
        <v>202</v>
      </c>
    </row>
    <row r="11" spans="1:9" ht="15.75" customHeight="1" x14ac:dyDescent="0.25">
      <c r="A11" s="46" t="s">
        <v>95</v>
      </c>
      <c r="B11" s="47">
        <v>44</v>
      </c>
      <c r="C11" s="47">
        <v>6</v>
      </c>
      <c r="D11" s="47">
        <v>23</v>
      </c>
      <c r="E11" s="47">
        <v>59</v>
      </c>
      <c r="F11" s="47">
        <v>18</v>
      </c>
      <c r="G11" s="47">
        <v>150</v>
      </c>
    </row>
    <row r="12" spans="1:9" x14ac:dyDescent="0.25">
      <c r="A12" s="46" t="s">
        <v>65</v>
      </c>
      <c r="B12" s="47">
        <v>59</v>
      </c>
      <c r="C12" s="47">
        <v>28</v>
      </c>
      <c r="D12" s="47">
        <v>49</v>
      </c>
      <c r="E12" s="47">
        <v>4</v>
      </c>
      <c r="F12" s="47">
        <v>25</v>
      </c>
      <c r="G12" s="47">
        <v>165</v>
      </c>
    </row>
    <row r="13" spans="1:9" x14ac:dyDescent="0.25">
      <c r="A13" s="46" t="s">
        <v>74</v>
      </c>
      <c r="B13" s="47">
        <v>34</v>
      </c>
      <c r="C13" s="47">
        <v>3</v>
      </c>
      <c r="D13" s="47">
        <v>15</v>
      </c>
      <c r="E13" s="47">
        <v>26</v>
      </c>
      <c r="F13" s="47">
        <v>5</v>
      </c>
      <c r="G13" s="47">
        <v>83</v>
      </c>
    </row>
    <row r="14" spans="1:9" x14ac:dyDescent="0.25">
      <c r="A14" s="46" t="s">
        <v>92</v>
      </c>
      <c r="B14" s="47">
        <v>77</v>
      </c>
      <c r="C14" s="47">
        <v>82</v>
      </c>
      <c r="D14" s="47">
        <v>47</v>
      </c>
      <c r="E14" s="47">
        <v>47</v>
      </c>
      <c r="F14" s="47">
        <v>30</v>
      </c>
      <c r="G14" s="47">
        <v>283</v>
      </c>
    </row>
    <row r="15" spans="1:9" x14ac:dyDescent="0.25">
      <c r="A15" s="46" t="s">
        <v>103</v>
      </c>
      <c r="B15" s="47">
        <v>15</v>
      </c>
      <c r="C15" s="47"/>
      <c r="D15" s="47">
        <v>5</v>
      </c>
      <c r="E15" s="47">
        <v>94</v>
      </c>
      <c r="F15" s="47"/>
      <c r="G15" s="47">
        <v>114</v>
      </c>
    </row>
    <row r="16" spans="1:9" x14ac:dyDescent="0.25">
      <c r="A16" s="46" t="s">
        <v>99</v>
      </c>
      <c r="B16" s="47">
        <v>84</v>
      </c>
      <c r="C16" s="47">
        <v>115</v>
      </c>
      <c r="D16" s="47">
        <v>34</v>
      </c>
      <c r="E16" s="47">
        <v>60</v>
      </c>
      <c r="F16" s="47">
        <v>5</v>
      </c>
      <c r="G16" s="47">
        <v>298</v>
      </c>
    </row>
    <row r="17" spans="1:7" x14ac:dyDescent="0.25">
      <c r="A17" s="46" t="s">
        <v>87</v>
      </c>
      <c r="B17" s="47">
        <v>17</v>
      </c>
      <c r="C17" s="47">
        <v>23</v>
      </c>
      <c r="D17" s="47"/>
      <c r="E17" s="47">
        <v>18</v>
      </c>
      <c r="F17" s="47">
        <v>29</v>
      </c>
      <c r="G17" s="47">
        <v>87</v>
      </c>
    </row>
    <row r="18" spans="1:7" ht="15" customHeight="1" x14ac:dyDescent="0.25">
      <c r="A18" s="46" t="s">
        <v>55</v>
      </c>
      <c r="B18" s="47"/>
      <c r="C18" s="47">
        <v>30</v>
      </c>
      <c r="D18" s="47">
        <v>45</v>
      </c>
      <c r="E18" s="47">
        <v>70</v>
      </c>
      <c r="F18" s="47">
        <v>56</v>
      </c>
      <c r="G18" s="47">
        <v>201</v>
      </c>
    </row>
    <row r="19" spans="1:7" ht="15" customHeight="1" x14ac:dyDescent="0.25">
      <c r="A19" s="46" t="s">
        <v>78</v>
      </c>
      <c r="B19" s="47">
        <v>8</v>
      </c>
      <c r="C19" s="47">
        <v>19</v>
      </c>
      <c r="D19" s="47">
        <v>22</v>
      </c>
      <c r="E19" s="47">
        <v>44</v>
      </c>
      <c r="F19" s="47">
        <v>28</v>
      </c>
      <c r="G19" s="47">
        <v>121</v>
      </c>
    </row>
    <row r="20" spans="1:7" ht="15" customHeight="1" x14ac:dyDescent="0.25">
      <c r="A20" s="46" t="s">
        <v>700</v>
      </c>
      <c r="B20" s="47">
        <v>504</v>
      </c>
      <c r="C20" s="47">
        <v>455</v>
      </c>
      <c r="D20" s="47">
        <v>305</v>
      </c>
      <c r="E20" s="47">
        <v>549</v>
      </c>
      <c r="F20" s="47">
        <v>255</v>
      </c>
      <c r="G20" s="47">
        <v>2068</v>
      </c>
    </row>
    <row r="21" spans="1:7" ht="15" customHeight="1" x14ac:dyDescent="0.25"/>
    <row r="22" spans="1:7" ht="15" customHeight="1" x14ac:dyDescent="0.25"/>
    <row r="23" spans="1:7" ht="15" customHeight="1" x14ac:dyDescent="0.25"/>
    <row r="24" spans="1:7" ht="15" customHeight="1" x14ac:dyDescent="0.25"/>
    <row r="25" spans="1:7" ht="15" customHeight="1" x14ac:dyDescent="0.25"/>
    <row r="26" spans="1:7" ht="15" customHeight="1" x14ac:dyDescent="0.25"/>
    <row r="27" spans="1:7" ht="15" customHeight="1" x14ac:dyDescent="0.25"/>
    <row r="28" spans="1:7" ht="15" customHeight="1" x14ac:dyDescent="0.25"/>
    <row r="29" spans="1:7" ht="15" customHeight="1" x14ac:dyDescent="0.25"/>
    <row r="30" spans="1:7" ht="15" customHeight="1" x14ac:dyDescent="0.25"/>
    <row r="31" spans="1:7" ht="15" customHeight="1" x14ac:dyDescent="0.25"/>
    <row r="33" ht="30" customHeight="1" x14ac:dyDescent="0.25"/>
    <row r="35" ht="21.75" customHeight="1" x14ac:dyDescent="0.25"/>
    <row r="37" ht="41.2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showGridLines="0" zoomScaleNormal="100" workbookViewId="0">
      <selection activeCell="I49" sqref="I49"/>
    </sheetView>
  </sheetViews>
  <sheetFormatPr defaultColWidth="8.7109375" defaultRowHeight="15" x14ac:dyDescent="0.25"/>
  <cols>
    <col min="1" max="1" width="31.28515625" style="15" bestFit="1" customWidth="1"/>
    <col min="2" max="12" width="13" style="15" customWidth="1"/>
  </cols>
  <sheetData>
    <row r="1" spans="1:12" ht="31.5" customHeight="1" x14ac:dyDescent="0.25">
      <c r="A1" s="10" t="s">
        <v>645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8" customHeight="1" x14ac:dyDescent="0.25">
      <c r="A2" s="9" t="s">
        <v>646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ht="30" customHeight="1" x14ac:dyDescent="0.25">
      <c r="A4" s="3" t="s">
        <v>647</v>
      </c>
      <c r="B4" s="3"/>
      <c r="C4" s="2" t="s">
        <v>648</v>
      </c>
      <c r="D4" s="2"/>
      <c r="E4" s="1" t="s">
        <v>649</v>
      </c>
      <c r="F4" s="1"/>
      <c r="G4" s="35" t="s">
        <v>650</v>
      </c>
      <c r="H4" s="35"/>
      <c r="I4" s="36" t="s">
        <v>651</v>
      </c>
      <c r="J4" s="36"/>
      <c r="K4" s="37" t="s">
        <v>652</v>
      </c>
      <c r="L4" s="37"/>
    </row>
    <row r="5" spans="1:12" ht="15" customHeight="1" x14ac:dyDescent="0.25">
      <c r="A5" s="38">
        <f>COUNTA(Encomendas!A2:A161)</f>
        <v>160</v>
      </c>
      <c r="B5" s="38"/>
      <c r="C5" s="39">
        <f>SUMIF(Encomendas!O2:O161,"SIM")/COUNTIF(Encomendas!I2:I161,"Entregue")</f>
        <v>0</v>
      </c>
      <c r="D5" s="39"/>
      <c r="E5" s="40">
        <f>AVERAGE(Encomendas!L2:L161)</f>
        <v>47504.858750000007</v>
      </c>
      <c r="F5" s="40"/>
      <c r="G5" s="41">
        <f>COUNTIF(Stock!I2:I33,"RUTURA - REPOR")</f>
        <v>6</v>
      </c>
      <c r="H5" s="41"/>
      <c r="I5" s="42">
        <f>COUNTIF(Frota!G2:G19,"Disponível")</f>
        <v>3</v>
      </c>
      <c r="J5" s="42"/>
      <c r="K5" s="37"/>
      <c r="L5" s="37"/>
    </row>
    <row r="6" spans="1:12" ht="30" customHeight="1" x14ac:dyDescent="0.25">
      <c r="A6" s="38"/>
      <c r="B6" s="38"/>
      <c r="C6" s="39"/>
      <c r="D6" s="39"/>
      <c r="E6" s="40"/>
      <c r="F6" s="40"/>
      <c r="G6" s="41"/>
      <c r="H6" s="41"/>
      <c r="I6" s="42"/>
      <c r="J6" s="42"/>
      <c r="K6" s="37"/>
      <c r="L6" s="37"/>
    </row>
    <row r="7" spans="1:12" ht="7.5" customHeight="1" x14ac:dyDescent="0.25"/>
    <row r="9" spans="1:12" ht="15" customHeight="1" x14ac:dyDescent="0.25">
      <c r="A9" s="34" t="s">
        <v>653</v>
      </c>
    </row>
    <row r="10" spans="1:12" ht="15" customHeight="1" x14ac:dyDescent="0.25">
      <c r="A10" s="15" t="s">
        <v>281</v>
      </c>
      <c r="B10" s="15" t="s">
        <v>654</v>
      </c>
    </row>
    <row r="11" spans="1:12" ht="15" customHeight="1" x14ac:dyDescent="0.25">
      <c r="A11" s="15" t="s">
        <v>302</v>
      </c>
      <c r="B11" s="15">
        <f>COUNTIF(Encomendas!I2:I161,"Entregue")</f>
        <v>116</v>
      </c>
    </row>
    <row r="12" spans="1:12" ht="15" customHeight="1" x14ac:dyDescent="0.25">
      <c r="A12" s="15" t="s">
        <v>296</v>
      </c>
      <c r="B12" s="15">
        <f>COUNTIF(Encomendas!I2:I161,"Em Trânsito")</f>
        <v>19</v>
      </c>
    </row>
    <row r="13" spans="1:12" ht="15" customHeight="1" x14ac:dyDescent="0.25">
      <c r="A13" s="15" t="s">
        <v>292</v>
      </c>
      <c r="B13" s="15">
        <f>COUNTIF(Encomendas!I2:I161,"Atrasado")</f>
        <v>21</v>
      </c>
    </row>
    <row r="14" spans="1:12" ht="15" customHeight="1" x14ac:dyDescent="0.25">
      <c r="A14" s="15" t="s">
        <v>336</v>
      </c>
      <c r="B14" s="15">
        <f>COUNTIF(Encomendas!I2:I161,"Cancelado")</f>
        <v>4</v>
      </c>
    </row>
    <row r="16" spans="1:12" ht="15" customHeight="1" x14ac:dyDescent="0.25">
      <c r="A16" s="15" t="s">
        <v>594</v>
      </c>
      <c r="B16" s="15" t="s">
        <v>655</v>
      </c>
      <c r="C16" s="15" t="s">
        <v>656</v>
      </c>
    </row>
    <row r="17" spans="1:3" ht="15" customHeight="1" x14ac:dyDescent="0.25">
      <c r="A17" s="15" t="str">
        <f>VLOOKUP("TR01",Transportadoras!A:B,2,FALSE())</f>
        <v>TransAngola Express</v>
      </c>
      <c r="B17" s="15">
        <f>SUMIF(Encomendas!D2:D161,"TR01",Encomendas!J2:J161)</f>
        <v>255</v>
      </c>
      <c r="C17" s="15">
        <f>SUMIF(Encomendas!D2:D161,"TR01",Encomendas!L2:L161)</f>
        <v>999561.19999999984</v>
      </c>
    </row>
    <row r="18" spans="1:3" ht="15" customHeight="1" x14ac:dyDescent="0.25">
      <c r="A18" s="15" t="str">
        <f>VLOOKUP("TR02",Transportadoras!A:B,2,FALSE())</f>
        <v>Logitrans Atlântico</v>
      </c>
      <c r="B18" s="15">
        <f>SUMIF(Encomendas!D2:D161,"TR02",Encomendas!J2:J161)</f>
        <v>305</v>
      </c>
      <c r="C18" s="15">
        <f>SUMIF(Encomendas!D2:D161,"TR02",Encomendas!L2:L161)</f>
        <v>1066297.6499999999</v>
      </c>
    </row>
    <row r="19" spans="1:3" ht="15" customHeight="1" x14ac:dyDescent="0.25">
      <c r="A19" s="15" t="str">
        <f>VLOOKUP("TR03",Transportadoras!A:B,2,FALSE())</f>
        <v>Rápido Kwanza</v>
      </c>
      <c r="B19" s="15">
        <f>SUMIF(Encomendas!D2:D161,"TR03",Encomendas!J2:J161)</f>
        <v>549</v>
      </c>
      <c r="C19" s="15">
        <f>SUMIF(Encomendas!D2:D161,"TR03",Encomendas!L2:L161)</f>
        <v>2016539.5700000003</v>
      </c>
    </row>
    <row r="20" spans="1:3" ht="15" customHeight="1" x14ac:dyDescent="0.25">
      <c r="A20" s="15" t="str">
        <f>VLOOKUP("TR04",Transportadoras!A:B,2,FALSE())</f>
        <v>CargoLuanda SA</v>
      </c>
      <c r="B20" s="15">
        <f>SUMIF(Encomendas!D2:D161,"TR04",Encomendas!J2:J161)</f>
        <v>504</v>
      </c>
      <c r="C20" s="15">
        <f>SUMIF(Encomendas!D2:D161,"TR04",Encomendas!L2:L161)</f>
        <v>1777955.68</v>
      </c>
    </row>
    <row r="21" spans="1:3" ht="15" customHeight="1" x14ac:dyDescent="0.25">
      <c r="A21" s="15" t="str">
        <f>VLOOKUP("TR05",Transportadoras!A:B,2,FALSE())</f>
        <v>EcoFrota Benguela</v>
      </c>
      <c r="B21" s="15">
        <f>SUMIF(Encomendas!D2:D161,"TR05",Encomendas!J2:J161)</f>
        <v>455</v>
      </c>
      <c r="C21" s="15">
        <f>SUMIF(Encomendas!D2:D161,"TR05",Encomendas!L2:L161)</f>
        <v>1740423.3000000003</v>
      </c>
    </row>
    <row r="23" spans="1:3" ht="15" customHeight="1" x14ac:dyDescent="0.25">
      <c r="A23" s="15" t="s">
        <v>657</v>
      </c>
      <c r="B23" s="15" t="s">
        <v>658</v>
      </c>
      <c r="C23" s="15" t="s">
        <v>655</v>
      </c>
    </row>
    <row r="24" spans="1:3" ht="15" customHeight="1" x14ac:dyDescent="0.25">
      <c r="A24" s="15" t="s">
        <v>639</v>
      </c>
      <c r="B24" s="15">
        <f>'Resumo de apoio'!B23</f>
        <v>24</v>
      </c>
      <c r="C24" s="15">
        <f>'Resumo de apoio'!C23</f>
        <v>259</v>
      </c>
    </row>
    <row r="25" spans="1:3" ht="15" customHeight="1" x14ac:dyDescent="0.25">
      <c r="A25" s="15" t="s">
        <v>640</v>
      </c>
      <c r="B25" s="15">
        <f>'Resumo de apoio'!B24</f>
        <v>18</v>
      </c>
      <c r="C25" s="15">
        <f>'Resumo de apoio'!C24</f>
        <v>268</v>
      </c>
    </row>
    <row r="26" spans="1:3" ht="15" customHeight="1" x14ac:dyDescent="0.25">
      <c r="A26" s="15" t="s">
        <v>641</v>
      </c>
      <c r="B26" s="15">
        <f>'Resumo de apoio'!B25</f>
        <v>29</v>
      </c>
      <c r="C26" s="15">
        <f>'Resumo de apoio'!C25</f>
        <v>365</v>
      </c>
    </row>
    <row r="27" spans="1:3" ht="15" customHeight="1" x14ac:dyDescent="0.25">
      <c r="A27" s="15" t="s">
        <v>642</v>
      </c>
      <c r="B27" s="15">
        <f>'Resumo de apoio'!B26</f>
        <v>37</v>
      </c>
      <c r="C27" s="15">
        <f>'Resumo de apoio'!C26</f>
        <v>524</v>
      </c>
    </row>
    <row r="28" spans="1:3" ht="15" customHeight="1" x14ac:dyDescent="0.25">
      <c r="A28" s="15" t="s">
        <v>643</v>
      </c>
      <c r="B28" s="15">
        <f>'Resumo de apoio'!B27</f>
        <v>34</v>
      </c>
      <c r="C28" s="15">
        <f>'Resumo de apoio'!C27</f>
        <v>414</v>
      </c>
    </row>
    <row r="29" spans="1:3" ht="15" customHeight="1" x14ac:dyDescent="0.25">
      <c r="A29" s="15" t="s">
        <v>644</v>
      </c>
      <c r="B29" s="15">
        <f>'Resumo de apoio'!B28</f>
        <v>18</v>
      </c>
      <c r="C29" s="15">
        <f>'Resumo de apoio'!C28</f>
        <v>238</v>
      </c>
    </row>
  </sheetData>
  <mergeCells count="13">
    <mergeCell ref="A1:L1"/>
    <mergeCell ref="A2:L2"/>
    <mergeCell ref="A4:B4"/>
    <mergeCell ref="C4:D4"/>
    <mergeCell ref="E4:F4"/>
    <mergeCell ref="G4:H4"/>
    <mergeCell ref="I4:J4"/>
    <mergeCell ref="K4:L6"/>
    <mergeCell ref="A5:B6"/>
    <mergeCell ref="C5:D6"/>
    <mergeCell ref="E5:F6"/>
    <mergeCell ref="G5:H6"/>
    <mergeCell ref="I5:J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showGridLines="0" topLeftCell="A46" zoomScaleNormal="100" workbookViewId="0">
      <selection activeCell="A12" sqref="A12:J12"/>
    </sheetView>
  </sheetViews>
  <sheetFormatPr defaultColWidth="8.7109375" defaultRowHeight="15" x14ac:dyDescent="0.25"/>
  <cols>
    <col min="1" max="1" width="100" style="15" customWidth="1"/>
    <col min="2" max="10" width="13" style="15" customWidth="1"/>
  </cols>
  <sheetData>
    <row r="1" spans="1:10" ht="30" customHeight="1" x14ac:dyDescent="0.25">
      <c r="A1" s="10" t="s">
        <v>659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5">
      <c r="A2" s="9" t="s">
        <v>660</v>
      </c>
      <c r="B2" s="9"/>
      <c r="C2" s="9"/>
      <c r="D2" s="9"/>
      <c r="E2" s="9"/>
      <c r="F2" s="9"/>
      <c r="G2" s="9"/>
      <c r="H2" s="9"/>
      <c r="I2" s="9"/>
      <c r="J2" s="9"/>
    </row>
    <row r="4" spans="1:10" ht="21.75" customHeight="1" x14ac:dyDescent="0.25">
      <c r="A4" s="6" t="s">
        <v>661</v>
      </c>
      <c r="B4" s="6"/>
      <c r="C4" s="6"/>
      <c r="D4" s="6"/>
      <c r="E4" s="6"/>
      <c r="F4" s="6"/>
      <c r="G4" s="6"/>
      <c r="H4" s="6"/>
      <c r="I4" s="6"/>
      <c r="J4" s="6"/>
    </row>
    <row r="6" spans="1:10" x14ac:dyDescent="0.25">
      <c r="A6" s="12" t="s">
        <v>662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25">
      <c r="A7" s="12" t="s">
        <v>663</v>
      </c>
      <c r="B7" s="12"/>
      <c r="C7" s="12"/>
      <c r="D7" s="12"/>
      <c r="E7" s="12"/>
      <c r="F7" s="12"/>
      <c r="G7" s="12"/>
      <c r="H7" s="12"/>
      <c r="I7" s="12"/>
      <c r="J7" s="12"/>
    </row>
    <row r="9" spans="1:10" ht="21.75" customHeight="1" x14ac:dyDescent="0.25">
      <c r="A9" s="6" t="s">
        <v>664</v>
      </c>
      <c r="B9" s="6"/>
      <c r="C9" s="6"/>
      <c r="D9" s="6"/>
      <c r="E9" s="6"/>
      <c r="F9" s="6"/>
      <c r="G9" s="6"/>
      <c r="H9" s="6"/>
      <c r="I9" s="6"/>
      <c r="J9" s="6"/>
    </row>
    <row r="11" spans="1:10" ht="15.75" customHeight="1" x14ac:dyDescent="0.25">
      <c r="A11" s="43" t="s">
        <v>665</v>
      </c>
      <c r="B11" s="43"/>
      <c r="C11" s="43"/>
      <c r="D11" s="43"/>
      <c r="E11" s="43"/>
      <c r="F11" s="43"/>
      <c r="G11" s="43"/>
      <c r="H11" s="43"/>
      <c r="I11" s="43"/>
      <c r="J11" s="43"/>
    </row>
    <row r="12" spans="1:10" ht="15.75" customHeight="1" x14ac:dyDescent="0.25">
      <c r="A12" s="43" t="s">
        <v>666</v>
      </c>
      <c r="B12" s="43"/>
      <c r="C12" s="43"/>
      <c r="D12" s="43"/>
      <c r="E12" s="43"/>
      <c r="F12" s="43"/>
      <c r="G12" s="43"/>
      <c r="H12" s="43"/>
      <c r="I12" s="43"/>
      <c r="J12" s="43"/>
    </row>
    <row r="13" spans="1:10" ht="15.75" customHeight="1" x14ac:dyDescent="0.25">
      <c r="A13" s="43" t="s">
        <v>667</v>
      </c>
      <c r="B13" s="43"/>
      <c r="C13" s="43"/>
      <c r="D13" s="43"/>
      <c r="E13" s="43"/>
      <c r="F13" s="43"/>
      <c r="G13" s="43"/>
      <c r="H13" s="43"/>
      <c r="I13" s="43"/>
      <c r="J13" s="43"/>
    </row>
    <row r="14" spans="1:10" ht="27.75" customHeight="1" x14ac:dyDescent="0.25">
      <c r="A14" s="43" t="s">
        <v>668</v>
      </c>
      <c r="B14" s="43"/>
      <c r="C14" s="43"/>
      <c r="D14" s="43"/>
      <c r="E14" s="43"/>
      <c r="F14" s="43"/>
      <c r="G14" s="43"/>
      <c r="H14" s="43"/>
      <c r="I14" s="43"/>
      <c r="J14" s="43"/>
    </row>
    <row r="16" spans="1:10" ht="21.75" customHeight="1" x14ac:dyDescent="0.25">
      <c r="A16" s="6" t="s">
        <v>669</v>
      </c>
      <c r="B16" s="6"/>
      <c r="C16" s="6"/>
      <c r="D16" s="6"/>
      <c r="E16" s="6"/>
      <c r="F16" s="6"/>
      <c r="G16" s="6"/>
      <c r="H16" s="6"/>
      <c r="I16" s="6"/>
      <c r="J16" s="6"/>
    </row>
    <row r="18" spans="1:10" x14ac:dyDescent="0.25">
      <c r="A18" s="44" t="s">
        <v>670</v>
      </c>
      <c r="B18" s="44"/>
      <c r="C18" s="44"/>
      <c r="D18" s="44"/>
      <c r="E18" s="44"/>
      <c r="F18" s="44"/>
      <c r="G18" s="44"/>
      <c r="H18" s="44"/>
      <c r="I18" s="44"/>
      <c r="J18" s="44"/>
    </row>
    <row r="19" spans="1:10" x14ac:dyDescent="0.25">
      <c r="A19" s="44" t="s">
        <v>671</v>
      </c>
      <c r="B19" s="44"/>
      <c r="C19" s="44"/>
      <c r="D19" s="44"/>
      <c r="E19" s="44"/>
      <c r="F19" s="44"/>
      <c r="G19" s="44"/>
      <c r="H19" s="44"/>
      <c r="I19" s="44"/>
      <c r="J19" s="44"/>
    </row>
    <row r="20" spans="1:10" x14ac:dyDescent="0.25">
      <c r="A20" s="44" t="s">
        <v>672</v>
      </c>
      <c r="B20" s="44"/>
      <c r="C20" s="44"/>
      <c r="D20" s="44"/>
      <c r="E20" s="44"/>
      <c r="F20" s="44"/>
      <c r="G20" s="44"/>
      <c r="H20" s="44"/>
      <c r="I20" s="44"/>
      <c r="J20" s="44"/>
    </row>
    <row r="21" spans="1:10" x14ac:dyDescent="0.25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 x14ac:dyDescent="0.25">
      <c r="A22" s="44" t="s">
        <v>673</v>
      </c>
      <c r="B22" s="44"/>
      <c r="C22" s="44"/>
      <c r="D22" s="44"/>
      <c r="E22" s="44"/>
      <c r="F22" s="44"/>
      <c r="G22" s="44"/>
      <c r="H22" s="44"/>
      <c r="I22" s="44"/>
      <c r="J22" s="44"/>
    </row>
    <row r="23" spans="1:10" x14ac:dyDescent="0.25">
      <c r="A23" s="44" t="s">
        <v>674</v>
      </c>
      <c r="B23" s="44"/>
      <c r="C23" s="44"/>
      <c r="D23" s="44"/>
      <c r="E23" s="44"/>
      <c r="F23" s="44"/>
      <c r="G23" s="44"/>
      <c r="H23" s="44"/>
      <c r="I23" s="44"/>
      <c r="J23" s="44"/>
    </row>
    <row r="24" spans="1:10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x14ac:dyDescent="0.25">
      <c r="A25" s="44" t="s">
        <v>675</v>
      </c>
      <c r="B25" s="44"/>
      <c r="C25" s="44"/>
      <c r="D25" s="44"/>
      <c r="E25" s="44"/>
      <c r="F25" s="44"/>
      <c r="G25" s="44"/>
      <c r="H25" s="44"/>
      <c r="I25" s="44"/>
      <c r="J25" s="44"/>
    </row>
    <row r="26" spans="1:10" x14ac:dyDescent="0.25">
      <c r="A26" s="44" t="s">
        <v>676</v>
      </c>
      <c r="B26" s="44"/>
      <c r="C26" s="44"/>
      <c r="D26" s="44"/>
      <c r="E26" s="44"/>
      <c r="F26" s="44"/>
      <c r="G26" s="44"/>
      <c r="H26" s="44"/>
      <c r="I26" s="44"/>
      <c r="J26" s="44"/>
    </row>
    <row r="27" spans="1:10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 x14ac:dyDescent="0.25">
      <c r="A28" s="44" t="s">
        <v>677</v>
      </c>
      <c r="B28" s="44"/>
      <c r="C28" s="44"/>
      <c r="D28" s="44"/>
      <c r="E28" s="44"/>
      <c r="F28" s="44"/>
      <c r="G28" s="44"/>
      <c r="H28" s="44"/>
      <c r="I28" s="44"/>
      <c r="J28" s="44"/>
    </row>
    <row r="29" spans="1:10" x14ac:dyDescent="0.25">
      <c r="A29" s="44" t="s">
        <v>678</v>
      </c>
      <c r="B29" s="44"/>
      <c r="C29" s="44"/>
      <c r="D29" s="44"/>
      <c r="E29" s="44"/>
      <c r="F29" s="44"/>
      <c r="G29" s="44"/>
      <c r="H29" s="44"/>
      <c r="I29" s="44"/>
      <c r="J29" s="44"/>
    </row>
    <row r="30" spans="1:10" x14ac:dyDescent="0.25">
      <c r="A30" s="44" t="s">
        <v>679</v>
      </c>
      <c r="B30" s="44"/>
      <c r="C30" s="44"/>
      <c r="D30" s="44"/>
      <c r="E30" s="44"/>
      <c r="F30" s="44"/>
      <c r="G30" s="44"/>
      <c r="H30" s="44"/>
      <c r="I30" s="44"/>
      <c r="J30" s="44"/>
    </row>
    <row r="31" spans="1:10" x14ac:dyDescent="0.25">
      <c r="A31" s="44" t="s">
        <v>680</v>
      </c>
      <c r="B31" s="44"/>
      <c r="C31" s="44"/>
      <c r="D31" s="44"/>
      <c r="E31" s="44"/>
      <c r="F31" s="44"/>
      <c r="G31" s="44"/>
      <c r="H31" s="44"/>
      <c r="I31" s="44"/>
      <c r="J31" s="44"/>
    </row>
    <row r="32" spans="1:10" x14ac:dyDescent="0.25">
      <c r="A32" s="44" t="s">
        <v>681</v>
      </c>
      <c r="B32" s="44"/>
      <c r="C32" s="44"/>
      <c r="D32" s="44"/>
      <c r="E32" s="44"/>
      <c r="F32" s="44"/>
      <c r="G32" s="44"/>
      <c r="H32" s="44"/>
      <c r="I32" s="44"/>
      <c r="J32" s="44"/>
    </row>
    <row r="33" spans="1:10" x14ac:dyDescent="0.25">
      <c r="A33" s="44" t="s">
        <v>682</v>
      </c>
      <c r="B33" s="44"/>
      <c r="C33" s="44"/>
      <c r="D33" s="44"/>
      <c r="E33" s="44"/>
      <c r="F33" s="44"/>
      <c r="G33" s="44"/>
      <c r="H33" s="44"/>
      <c r="I33" s="44"/>
      <c r="J33" s="44"/>
    </row>
    <row r="34" spans="1:10" x14ac:dyDescent="0.25">
      <c r="A34" s="44" t="s">
        <v>683</v>
      </c>
      <c r="B34" s="44"/>
      <c r="C34" s="44"/>
      <c r="D34" s="44"/>
      <c r="E34" s="44"/>
      <c r="F34" s="44"/>
      <c r="G34" s="44"/>
      <c r="H34" s="44"/>
      <c r="I34" s="44"/>
      <c r="J34" s="44"/>
    </row>
    <row r="35" spans="1:10" x14ac:dyDescent="0.25">
      <c r="A35" s="44" t="s">
        <v>684</v>
      </c>
      <c r="B35" s="44"/>
      <c r="C35" s="44"/>
      <c r="D35" s="44"/>
      <c r="E35" s="44"/>
      <c r="F35" s="44"/>
      <c r="G35" s="44"/>
      <c r="H35" s="44"/>
      <c r="I35" s="44"/>
      <c r="J35" s="44"/>
    </row>
    <row r="36" spans="1:10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 x14ac:dyDescent="0.25">
      <c r="A37" s="44" t="s">
        <v>685</v>
      </c>
      <c r="B37" s="44"/>
      <c r="C37" s="44"/>
      <c r="D37" s="44"/>
      <c r="E37" s="44"/>
      <c r="F37" s="44"/>
      <c r="G37" s="44"/>
      <c r="H37" s="44"/>
      <c r="I37" s="44"/>
      <c r="J37" s="44"/>
    </row>
    <row r="38" spans="1:10" x14ac:dyDescent="0.25">
      <c r="A38" s="44" t="s">
        <v>686</v>
      </c>
      <c r="B38" s="44"/>
      <c r="C38" s="44"/>
      <c r="D38" s="44"/>
      <c r="E38" s="44"/>
      <c r="F38" s="44"/>
      <c r="G38" s="44"/>
      <c r="H38" s="44"/>
      <c r="I38" s="44"/>
      <c r="J38" s="44"/>
    </row>
    <row r="39" spans="1:10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x14ac:dyDescent="0.25">
      <c r="A40" s="44" t="s">
        <v>687</v>
      </c>
      <c r="B40" s="44"/>
      <c r="C40" s="44"/>
      <c r="D40" s="44"/>
      <c r="E40" s="44"/>
      <c r="F40" s="44"/>
      <c r="G40" s="44"/>
      <c r="H40" s="44"/>
      <c r="I40" s="44"/>
      <c r="J40" s="44"/>
    </row>
    <row r="41" spans="1:10" x14ac:dyDescent="0.25">
      <c r="A41" s="44" t="s">
        <v>688</v>
      </c>
      <c r="B41" s="44"/>
      <c r="C41" s="44"/>
      <c r="D41" s="44"/>
      <c r="E41" s="44"/>
      <c r="F41" s="44"/>
      <c r="G41" s="44"/>
      <c r="H41" s="44"/>
      <c r="I41" s="44"/>
      <c r="J41" s="44"/>
    </row>
    <row r="42" spans="1:10" x14ac:dyDescent="0.25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 x14ac:dyDescent="0.25">
      <c r="A43" s="44" t="s">
        <v>689</v>
      </c>
      <c r="B43" s="44"/>
      <c r="C43" s="44"/>
      <c r="D43" s="44"/>
      <c r="E43" s="44"/>
      <c r="F43" s="44"/>
      <c r="G43" s="44"/>
      <c r="H43" s="44"/>
      <c r="I43" s="44"/>
      <c r="J43" s="44"/>
    </row>
    <row r="44" spans="1:10" x14ac:dyDescent="0.25">
      <c r="A44" s="44" t="s">
        <v>690</v>
      </c>
      <c r="B44" s="44"/>
      <c r="C44" s="44"/>
      <c r="D44" s="44"/>
      <c r="E44" s="44"/>
      <c r="F44" s="44"/>
      <c r="G44" s="44"/>
      <c r="H44" s="44"/>
      <c r="I44" s="44"/>
      <c r="J44" s="44"/>
    </row>
    <row r="46" spans="1:10" ht="21.75" customHeight="1" x14ac:dyDescent="0.25">
      <c r="A46" s="6" t="s">
        <v>691</v>
      </c>
      <c r="B46" s="6"/>
      <c r="C46" s="6"/>
      <c r="D46" s="6"/>
      <c r="E46" s="6"/>
      <c r="F46" s="6"/>
      <c r="G46" s="6"/>
      <c r="H46" s="6"/>
      <c r="I46" s="6"/>
      <c r="J46" s="6"/>
    </row>
    <row r="48" spans="1:10" ht="15.75" customHeight="1" x14ac:dyDescent="0.25">
      <c r="A48" s="43" t="s">
        <v>692</v>
      </c>
      <c r="B48" s="43"/>
      <c r="C48" s="43"/>
      <c r="D48" s="43"/>
      <c r="E48" s="43"/>
      <c r="F48" s="43"/>
      <c r="G48" s="43"/>
      <c r="H48" s="43"/>
      <c r="I48" s="43"/>
      <c r="J48" s="43"/>
    </row>
    <row r="49" spans="1:10" ht="15.75" customHeight="1" x14ac:dyDescent="0.25">
      <c r="A49" s="43" t="s">
        <v>693</v>
      </c>
      <c r="B49" s="43"/>
      <c r="C49" s="43"/>
      <c r="D49" s="43"/>
      <c r="E49" s="43"/>
      <c r="F49" s="43"/>
      <c r="G49" s="43"/>
      <c r="H49" s="43"/>
      <c r="I49" s="43"/>
      <c r="J49" s="43"/>
    </row>
    <row r="50" spans="1:10" ht="27.75" customHeight="1" x14ac:dyDescent="0.25">
      <c r="A50" s="43" t="s">
        <v>694</v>
      </c>
      <c r="B50" s="43"/>
      <c r="C50" s="43"/>
      <c r="D50" s="43"/>
      <c r="E50" s="43"/>
      <c r="F50" s="43"/>
      <c r="G50" s="43"/>
      <c r="H50" s="43"/>
      <c r="I50" s="43"/>
      <c r="J50" s="43"/>
    </row>
    <row r="51" spans="1:10" ht="15.75" customHeight="1" x14ac:dyDescent="0.25">
      <c r="A51" s="43" t="s">
        <v>695</v>
      </c>
      <c r="B51" s="43"/>
      <c r="C51" s="43"/>
      <c r="D51" s="43"/>
      <c r="E51" s="43"/>
      <c r="F51" s="43"/>
      <c r="G51" s="43"/>
      <c r="H51" s="43"/>
      <c r="I51" s="43"/>
      <c r="J51" s="43"/>
    </row>
    <row r="52" spans="1:10" ht="27.75" customHeight="1" x14ac:dyDescent="0.25">
      <c r="A52" s="43" t="s">
        <v>696</v>
      </c>
      <c r="B52" s="43"/>
      <c r="C52" s="43"/>
      <c r="D52" s="43"/>
      <c r="E52" s="43"/>
      <c r="F52" s="43"/>
      <c r="G52" s="43"/>
      <c r="H52" s="43"/>
      <c r="I52" s="43"/>
      <c r="J52" s="43"/>
    </row>
    <row r="53" spans="1:10" ht="27.75" customHeight="1" x14ac:dyDescent="0.25">
      <c r="A53" s="43" t="s">
        <v>697</v>
      </c>
      <c r="B53" s="43"/>
      <c r="C53" s="43"/>
      <c r="D53" s="43"/>
      <c r="E53" s="43"/>
      <c r="F53" s="43"/>
      <c r="G53" s="43"/>
      <c r="H53" s="43"/>
      <c r="I53" s="43"/>
      <c r="J53" s="43"/>
    </row>
    <row r="55" spans="1:10" ht="30" customHeight="1" x14ac:dyDescent="0.25">
      <c r="A55" s="4" t="s">
        <v>698</v>
      </c>
      <c r="B55" s="4"/>
      <c r="C55" s="4"/>
      <c r="D55" s="4"/>
      <c r="E55" s="4"/>
      <c r="F55" s="4"/>
      <c r="G55" s="4"/>
      <c r="H55" s="4"/>
      <c r="I55" s="4"/>
      <c r="J55" s="4"/>
    </row>
  </sheetData>
  <mergeCells count="46">
    <mergeCell ref="A55:J55"/>
    <mergeCell ref="A49:J49"/>
    <mergeCell ref="A50:J50"/>
    <mergeCell ref="A51:J51"/>
    <mergeCell ref="A52:J52"/>
    <mergeCell ref="A53:J53"/>
    <mergeCell ref="A42:J42"/>
    <mergeCell ref="A43:J43"/>
    <mergeCell ref="A44:J44"/>
    <mergeCell ref="A46:J46"/>
    <mergeCell ref="A48:J48"/>
    <mergeCell ref="A37:J37"/>
    <mergeCell ref="A38:J38"/>
    <mergeCell ref="A39:J39"/>
    <mergeCell ref="A40:J40"/>
    <mergeCell ref="A41:J41"/>
    <mergeCell ref="A32:J32"/>
    <mergeCell ref="A33:J33"/>
    <mergeCell ref="A34:J34"/>
    <mergeCell ref="A35:J35"/>
    <mergeCell ref="A36:J36"/>
    <mergeCell ref="A27:J27"/>
    <mergeCell ref="A28:J28"/>
    <mergeCell ref="A29:J29"/>
    <mergeCell ref="A30:J30"/>
    <mergeCell ref="A31:J31"/>
    <mergeCell ref="A22:J22"/>
    <mergeCell ref="A23:J23"/>
    <mergeCell ref="A24:J24"/>
    <mergeCell ref="A25:J25"/>
    <mergeCell ref="A26:J26"/>
    <mergeCell ref="A16:J16"/>
    <mergeCell ref="A18:J18"/>
    <mergeCell ref="A19:J19"/>
    <mergeCell ref="A20:J20"/>
    <mergeCell ref="A21:J21"/>
    <mergeCell ref="A9:J9"/>
    <mergeCell ref="A11:J11"/>
    <mergeCell ref="A12:J12"/>
    <mergeCell ref="A13:J13"/>
    <mergeCell ref="A14:J14"/>
    <mergeCell ref="A1:J1"/>
    <mergeCell ref="A2:J2"/>
    <mergeCell ref="A4:J4"/>
    <mergeCell ref="A6:J6"/>
    <mergeCell ref="A7:J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Capa</vt:lpstr>
      <vt:lpstr>Enunciado</vt:lpstr>
      <vt:lpstr>Clientes</vt:lpstr>
      <vt:lpstr>Transportadoras</vt:lpstr>
      <vt:lpstr>Frota</vt:lpstr>
      <vt:lpstr>Stock</vt:lpstr>
      <vt:lpstr>Encomendas</vt:lpstr>
      <vt:lpstr>Painel_Calculos</vt:lpstr>
      <vt:lpstr>Resumo de apoio</vt:lpstr>
      <vt:lpstr>Pivots</vt:lpstr>
      <vt:lpstr>Dashboard</vt:lpstr>
      <vt:lpstr>Macro_Instrucoes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Projeto Final - Logística e Operações</dc:title>
  <dc:subject>Gestão de Logística e Operações em Excel</dc:subject>
  <dc:creator>Curso de Excel e Power BI</dc:creator>
  <dc:description>Projeto exemplar compatível com Microsoft Excel 2016 (.xlsx)</dc:description>
  <cp:lastModifiedBy>Aniceto José Jolela</cp:lastModifiedBy>
  <cp:revision>3</cp:revision>
  <dcterms:created xsi:type="dcterms:W3CDTF">2026-06-21T18:44:38Z</dcterms:created>
  <dcterms:modified xsi:type="dcterms:W3CDTF">2026-06-21T20:41:07Z</dcterms:modified>
  <dc:language>en-US</dc:language>
</cp:coreProperties>
</file>