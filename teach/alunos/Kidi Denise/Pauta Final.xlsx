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josej\Documents\Git\excel\teach\alunos\Kidi Denise\"/>
    </mc:Choice>
  </mc:AlternateContent>
  <bookViews>
    <workbookView xWindow="0" yWindow="0" windowWidth="20490" windowHeight="7530" tabRatio="740" activeTab="3"/>
  </bookViews>
  <sheets>
    <sheet name="Pivots" sheetId="2" r:id="rId1"/>
    <sheet name="Tabela dinamica recomendada" sheetId="3" r:id="rId2"/>
    <sheet name="Pauta final" sheetId="1" r:id="rId3"/>
    <sheet name="Dashboard" sheetId="7" r:id="rId4"/>
  </sheets>
  <definedNames>
    <definedName name="_xlnm._FilterDatabase" localSheetId="2" hidden="1">'Pauta final'!$B$17:$H$17</definedName>
  </definedNames>
  <calcPr calcId="162913"/>
  <pivotCaches>
    <pivotCache cacheId="57" r:id="rId5"/>
    <pivotCache cacheId="6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" i="7" l="1"/>
  <c r="P16" i="1"/>
  <c r="Q16" i="1" s="1"/>
  <c r="P15" i="1"/>
  <c r="Q15" i="1" s="1"/>
  <c r="G28" i="1"/>
  <c r="H28" i="1" s="1"/>
  <c r="G26" i="1"/>
  <c r="H26" i="1" s="1"/>
  <c r="G25" i="1"/>
  <c r="H25" i="1" s="1"/>
  <c r="G24" i="1"/>
  <c r="H24" i="1" s="1"/>
  <c r="G23" i="1"/>
  <c r="H23" i="1" s="1"/>
  <c r="G22" i="1"/>
  <c r="H22" i="1" s="1"/>
  <c r="G21" i="1"/>
  <c r="H21" i="1" s="1"/>
  <c r="G20" i="1"/>
  <c r="H20" i="1" s="1"/>
  <c r="G19" i="1"/>
  <c r="H19" i="1" s="1"/>
  <c r="B19" i="1"/>
  <c r="B20" i="1" s="1"/>
  <c r="B21" i="1" s="1"/>
  <c r="B22" i="1" s="1"/>
  <c r="B23" i="1" s="1"/>
  <c r="B24" i="1" s="1"/>
  <c r="B25" i="1" s="1"/>
  <c r="B26" i="1" s="1"/>
  <c r="B28" i="1" s="1"/>
  <c r="G18" i="1"/>
  <c r="H18" i="1" s="1"/>
  <c r="P14" i="1"/>
  <c r="Q14" i="1" s="1"/>
  <c r="P13" i="1"/>
  <c r="Q13" i="1" s="1"/>
  <c r="P12" i="1"/>
  <c r="Q12" i="1" s="1"/>
  <c r="P11" i="1"/>
  <c r="Q11" i="1" s="1"/>
  <c r="P10" i="1"/>
  <c r="Q10" i="1" s="1"/>
  <c r="P9" i="1"/>
  <c r="Q9" i="1" s="1"/>
  <c r="P8" i="1"/>
  <c r="Q8" i="1" s="1"/>
  <c r="P7" i="1"/>
  <c r="Q7" i="1" s="1"/>
  <c r="P6" i="1"/>
  <c r="Q6" i="1" s="1"/>
  <c r="J6" i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P5" i="1"/>
  <c r="Q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B6" i="1"/>
  <c r="B7" i="1" s="1"/>
  <c r="B8" i="1" s="1"/>
  <c r="B9" i="1" s="1"/>
  <c r="B10" i="1" s="1"/>
  <c r="B11" i="1" s="1"/>
  <c r="B12" i="1" s="1"/>
  <c r="B13" i="1" s="1"/>
  <c r="B14" i="1" s="1"/>
  <c r="G5" i="1"/>
  <c r="H5" i="1" s="1"/>
</calcChain>
</file>

<file path=xl/sharedStrings.xml><?xml version="1.0" encoding="utf-8"?>
<sst xmlns="http://schemas.openxmlformats.org/spreadsheetml/2006/main" count="101" uniqueCount="32">
  <si>
    <t>Nº</t>
  </si>
  <si>
    <t xml:space="preserve">NOME </t>
  </si>
  <si>
    <t>P1</t>
  </si>
  <si>
    <t>P2</t>
  </si>
  <si>
    <t>P3</t>
  </si>
  <si>
    <t>MÉDIA</t>
  </si>
  <si>
    <t>Kidi Denise</t>
  </si>
  <si>
    <t>Alice Da Sílva</t>
  </si>
  <si>
    <t>Esperança Da Piedade</t>
  </si>
  <si>
    <t>Liliana Guorgel</t>
  </si>
  <si>
    <t>Sílvia Gonzanga</t>
  </si>
  <si>
    <t>Dario Henriques</t>
  </si>
  <si>
    <t>Zacarias Amilton</t>
  </si>
  <si>
    <t>Julio Da Sílva</t>
  </si>
  <si>
    <t>Patricia José</t>
  </si>
  <si>
    <t>Helena Joseanne</t>
  </si>
  <si>
    <t>PAUTA FINAL</t>
  </si>
  <si>
    <t>Resultado</t>
  </si>
  <si>
    <t>Soma de MÉDIA</t>
  </si>
  <si>
    <t>Rótulos de Linha</t>
  </si>
  <si>
    <t>Apto</t>
  </si>
  <si>
    <t>Não</t>
  </si>
  <si>
    <t>Total Geral</t>
  </si>
  <si>
    <t>Pauta Final</t>
  </si>
  <si>
    <t>Seguimentação de Dados</t>
  </si>
  <si>
    <t>Filomena Da Costa</t>
  </si>
  <si>
    <t>Genero</t>
  </si>
  <si>
    <t>F</t>
  </si>
  <si>
    <t>M</t>
  </si>
  <si>
    <t>Zidane Vemba</t>
  </si>
  <si>
    <t>Nome</t>
  </si>
  <si>
    <t>Total de alunos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</si>
</sst>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0" xfId="0" quotePrefix="1"/>
    <xf numFmtId="0" fontId="2" fillId="0" borderId="0" xfId="0" quotePrefix="1" applyFont="1"/>
    <xf numFmtId="0" fontId="1" fillId="2" borderId="0" xfId="0" applyFont="1" applyFill="1"/>
    <xf numFmtId="0" fontId="0" fillId="3" borderId="0" xfId="0" applyFill="1"/>
    <xf numFmtId="0" fontId="3" fillId="2" borderId="0" xfId="0" applyFont="1" applyFill="1"/>
    <xf numFmtId="1" fontId="0" fillId="0" borderId="1" xfId="0" applyNumberFormat="1" applyBorder="1"/>
    <xf numFmtId="0" fontId="0" fillId="0" borderId="1" xfId="0" applyFill="1" applyBorder="1"/>
    <xf numFmtId="0" fontId="1" fillId="4" borderId="1" xfId="0" applyFont="1" applyFill="1" applyBorder="1"/>
    <xf numFmtId="0" fontId="0" fillId="5" borderId="1" xfId="0" applyFont="1" applyFill="1" applyBorder="1"/>
    <xf numFmtId="1" fontId="0" fillId="5" borderId="1" xfId="0" applyNumberFormat="1" applyFont="1" applyFill="1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6" xfId="0" applyFill="1" applyBorder="1"/>
    <xf numFmtId="1" fontId="0" fillId="0" borderId="8" xfId="0" applyNumberFormat="1" applyBorder="1"/>
    <xf numFmtId="0" fontId="0" fillId="5" borderId="1" xfId="0" applyFont="1" applyFill="1" applyBorder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/>
    <xf numFmtId="1" fontId="0" fillId="0" borderId="2" xfId="0" applyNumberFormat="1" applyBorder="1" applyAlignment="1">
      <alignment horizontal="left"/>
    </xf>
    <xf numFmtId="1" fontId="0" fillId="0" borderId="7" xfId="0" applyNumberFormat="1" applyBorder="1" applyAlignment="1">
      <alignment horizontal="left"/>
    </xf>
    <xf numFmtId="49" fontId="0" fillId="0" borderId="1" xfId="0" applyNumberFormat="1" applyBorder="1"/>
    <xf numFmtId="49" fontId="0" fillId="0" borderId="8" xfId="0" applyNumberFormat="1" applyBorder="1"/>
    <xf numFmtId="49" fontId="0" fillId="0" borderId="3" xfId="0" applyNumberFormat="1" applyBorder="1"/>
    <xf numFmtId="49" fontId="0" fillId="0" borderId="9" xfId="0" applyNumberFormat="1" applyBorder="1"/>
    <xf numFmtId="0" fontId="1" fillId="2" borderId="0" xfId="0" applyFont="1" applyFill="1" applyAlignment="1">
      <alignment horizontal="center"/>
    </xf>
    <xf numFmtId="0" fontId="4" fillId="0" borderId="0" xfId="0" applyFont="1"/>
  </cellXfs>
  <cellStyles count="1">
    <cellStyle name="Normal" xfId="0" builtinId="0"/>
  </cellStyles>
  <dxfs count="786"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170" formatCode="0.0000000"/>
    </dxf>
    <dxf>
      <numFmt numFmtId="164" formatCode="0.000000"/>
    </dxf>
    <dxf>
      <numFmt numFmtId="165" formatCode="0.00000"/>
    </dxf>
    <dxf>
      <numFmt numFmtId="166" formatCode="0.0000"/>
    </dxf>
    <dxf>
      <numFmt numFmtId="167" formatCode="0.000"/>
    </dxf>
    <dxf>
      <numFmt numFmtId="2" formatCode="0.00"/>
    </dxf>
    <dxf>
      <numFmt numFmtId="168" formatCode="0.0"/>
    </dxf>
    <dxf>
      <numFmt numFmtId="1" formatCode="0"/>
    </dxf>
    <dxf>
      <numFmt numFmtId="30" formatCode="@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</dxf>
    <dxf>
      <numFmt numFmtId="168" formatCode="0.0"/>
    </dxf>
    <dxf>
      <numFmt numFmtId="2" formatCode="0.00"/>
    </dxf>
    <dxf>
      <numFmt numFmtId="167" formatCode="0.000"/>
    </dxf>
    <dxf>
      <numFmt numFmtId="166" formatCode="0.0000"/>
    </dxf>
    <dxf>
      <numFmt numFmtId="165" formatCode="0.00000"/>
    </dxf>
    <dxf>
      <numFmt numFmtId="164" formatCode="0.000000"/>
    </dxf>
    <dxf>
      <numFmt numFmtId="170" formatCode="0.0000000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168" formatCode="0.0"/>
    </dxf>
    <dxf>
      <numFmt numFmtId="2" formatCode="0.00"/>
    </dxf>
    <dxf>
      <numFmt numFmtId="167" formatCode="0.000"/>
    </dxf>
    <dxf>
      <numFmt numFmtId="166" formatCode="0.0000"/>
    </dxf>
    <dxf>
      <numFmt numFmtId="165" formatCode="0.00000"/>
    </dxf>
    <dxf>
      <numFmt numFmtId="164" formatCode="0.000000"/>
    </dxf>
    <dxf>
      <numFmt numFmtId="170" formatCode="0.000000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[Pauta Final.xlsx]Pivots!Tabela dinâmica1</c:name>
    <c:fmtId val="2"/>
  </c:pivotSource>
  <c:chart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dLbl>
          <c:idx val="0"/>
          <c:layout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dLbl>
          <c:idx val="0"/>
          <c:layout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"/>
        <c:dLbl>
          <c:idx val="0"/>
          <c:layout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1"/>
        <c:dLbl>
          <c:idx val="0"/>
          <c:layout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2"/>
        <c:dLbl>
          <c:idx val="0"/>
          <c:layout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3"/>
        <c:dLbl>
          <c:idx val="0"/>
          <c:layout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4"/>
        <c:dLbl>
          <c:idx val="0"/>
          <c:layout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Pivots!$B$3:$B$4</c:f>
              <c:strCache>
                <c:ptCount val="1"/>
                <c:pt idx="0">
                  <c:v>Apto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Pivots!$A$5:$A$12</c:f>
              <c:strCache>
                <c:ptCount val="8"/>
                <c:pt idx="0">
                  <c:v>Alice Da Sílva</c:v>
                </c:pt>
                <c:pt idx="1">
                  <c:v>Esperança Da Piedade</c:v>
                </c:pt>
                <c:pt idx="2">
                  <c:v>Helena Joseanne</c:v>
                </c:pt>
                <c:pt idx="3">
                  <c:v>Kidi Denise</c:v>
                </c:pt>
                <c:pt idx="4">
                  <c:v>Liliana Guorgel</c:v>
                </c:pt>
                <c:pt idx="5">
                  <c:v>Patricia José</c:v>
                </c:pt>
                <c:pt idx="6">
                  <c:v>Sílvia Gonzanga</c:v>
                </c:pt>
                <c:pt idx="7">
                  <c:v>Filomena Da Costa</c:v>
                </c:pt>
              </c:strCache>
            </c:strRef>
          </c:cat>
          <c:val>
            <c:numRef>
              <c:f>Pivots!$B$5:$B$12</c:f>
              <c:numCache>
                <c:formatCode>0</c:formatCode>
                <c:ptCount val="8"/>
                <c:pt idx="0">
                  <c:v>12.666666666666666</c:v>
                </c:pt>
                <c:pt idx="2">
                  <c:v>13</c:v>
                </c:pt>
                <c:pt idx="5">
                  <c:v>11.333333333333334</c:v>
                </c:pt>
                <c:pt idx="6">
                  <c:v>12.666666666666666</c:v>
                </c:pt>
                <c:pt idx="7">
                  <c:v>15.666666666666666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71-46A2-8429-F6968E44938C}"/>
            </c:ext>
          </c:extLst>
        </c:ser>
        <c:ser>
          <c:idx val="1"/>
          <c:order val="1"/>
          <c:tx>
            <c:strRef>
              <c:f>Pivots!$C$3:$C$4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Pivots!$A$5:$A$12</c:f>
              <c:strCache>
                <c:ptCount val="8"/>
                <c:pt idx="0">
                  <c:v>Alice Da Sílva</c:v>
                </c:pt>
                <c:pt idx="1">
                  <c:v>Esperança Da Piedade</c:v>
                </c:pt>
                <c:pt idx="2">
                  <c:v>Helena Joseanne</c:v>
                </c:pt>
                <c:pt idx="3">
                  <c:v>Kidi Denise</c:v>
                </c:pt>
                <c:pt idx="4">
                  <c:v>Liliana Guorgel</c:v>
                </c:pt>
                <c:pt idx="5">
                  <c:v>Patricia José</c:v>
                </c:pt>
                <c:pt idx="6">
                  <c:v>Sílvia Gonzanga</c:v>
                </c:pt>
                <c:pt idx="7">
                  <c:v>Filomena Da Costa</c:v>
                </c:pt>
              </c:strCache>
            </c:strRef>
          </c:cat>
          <c:val>
            <c:numRef>
              <c:f>Pivots!$C$5:$C$12</c:f>
              <c:numCache>
                <c:formatCode>0</c:formatCode>
                <c:ptCount val="8"/>
                <c:pt idx="1">
                  <c:v>8</c:v>
                </c:pt>
                <c:pt idx="3">
                  <c:v>8.3333333333333339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671-46A2-8429-F6968E44938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68449072"/>
        <c:axId val="1368458224"/>
      </c:barChart>
      <c:catAx>
        <c:axId val="136844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458224"/>
        <c:crosses val="autoZero"/>
        <c:auto val="1"/>
        <c:lblAlgn val="ctr"/>
        <c:lblOffset val="100"/>
        <c:noMultiLvlLbl val="0"/>
      </c:catAx>
      <c:valAx>
        <c:axId val="136845822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136844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[Pauta Final.xlsx]Pivots!Tabela dinâmica8</c:name>
    <c:fmtId val="5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</c:pivotFmt>
      <c:pivotFmt>
        <c:idx val="41"/>
      </c:pivotFmt>
      <c:pivotFmt>
        <c:idx val="42"/>
      </c:pivotFmt>
      <c:pivotFmt>
        <c:idx val="43"/>
      </c:pivotFmt>
      <c:pivotFmt>
        <c:idx val="44"/>
      </c:pivotFmt>
      <c:pivotFmt>
        <c:idx val="45"/>
      </c:pivotFmt>
      <c:pivotFmt>
        <c:idx val="46"/>
      </c:pivotFmt>
      <c:pivotFmt>
        <c:idx val="47"/>
      </c:pivotFmt>
      <c:pivotFmt>
        <c:idx val="48"/>
      </c:pivotFmt>
      <c:pivotFmt>
        <c:idx val="49"/>
      </c:pivotFmt>
      <c:pivotFmt>
        <c:idx val="50"/>
        <c:dLbl>
          <c:idx val="0"/>
          <c:layout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1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layout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4"/>
        <c:dLbl>
          <c:idx val="0"/>
          <c:layout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5"/>
        <c:dLbl>
          <c:idx val="0"/>
          <c:layout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  <c15:xForSave val="1"/>
            </c:ext>
          </c:extLst>
        </c:dLbl>
      </c:pivotFmt>
      <c:pivotFmt>
        <c:idx val="56"/>
        <c:dLbl>
          <c:idx val="0"/>
          <c:layout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  <c15:xForSave val="1"/>
            </c:ext>
          </c:extLst>
        </c:dLbl>
      </c:pivotFmt>
      <c:pivotFmt>
        <c:idx val="57"/>
        <c:dLbl>
          <c:idx val="0"/>
          <c:layout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  <c15:xForSave val="1"/>
            </c:ext>
          </c:extLst>
        </c:dLbl>
      </c:pivotFmt>
      <c:pivotFmt>
        <c:idx val="58"/>
        <c:dLbl>
          <c:idx val="0"/>
          <c:layout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  <c15:xForSave val="1"/>
            </c:ext>
          </c:extLst>
        </c:dLbl>
      </c:pivotFmt>
      <c:pivotFmt>
        <c:idx val="59"/>
        <c:dLbl>
          <c:idx val="0"/>
          <c:layout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2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3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4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5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Pivots!$B$20:$B$21</c:f>
              <c:strCache>
                <c:ptCount val="1"/>
                <c:pt idx="0">
                  <c:v>Apto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C6A-4B9E-864E-43C3FFAD55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C6A-4B9E-864E-43C3FFAD55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C6A-4B9E-864E-43C3FFAD55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C6A-4B9E-864E-43C3FFAD55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C6A-4B9E-864E-43C3FFAD55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C6A-4B9E-864E-43C3FFAD55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1C6A-4B9E-864E-43C3FFAD55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1C6A-4B9E-864E-43C3FFAD55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1C6A-4B9E-864E-43C3FFAD55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1C6A-4B9E-864E-43C3FFAD55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1C6A-4B9E-864E-43C3FFAD550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Pivots!$A$22:$A$27</c:f>
              <c:strCache>
                <c:ptCount val="5"/>
                <c:pt idx="0">
                  <c:v>Alice Da Sílva</c:v>
                </c:pt>
                <c:pt idx="1">
                  <c:v>Helena Joseanne</c:v>
                </c:pt>
                <c:pt idx="2">
                  <c:v>Patricia José</c:v>
                </c:pt>
                <c:pt idx="3">
                  <c:v>Sílvia Gonzanga</c:v>
                </c:pt>
                <c:pt idx="4">
                  <c:v>Filomena Da Costa</c:v>
                </c:pt>
              </c:strCache>
            </c:strRef>
          </c:cat>
          <c:val>
            <c:numRef>
              <c:f>Pivots!$B$22:$B$27</c:f>
              <c:numCache>
                <c:formatCode>0</c:formatCode>
                <c:ptCount val="5"/>
                <c:pt idx="0">
                  <c:v>12.666666666666666</c:v>
                </c:pt>
                <c:pt idx="1">
                  <c:v>13</c:v>
                </c:pt>
                <c:pt idx="2">
                  <c:v>11.333333333333334</c:v>
                </c:pt>
                <c:pt idx="3">
                  <c:v>12.666666666666666</c:v>
                </c:pt>
                <c:pt idx="4">
                  <c:v>15.666666666666666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C6A-4B9E-864E-43C3FFAD550F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00206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95249</xdr:rowOff>
    </xdr:from>
    <xdr:to>
      <xdr:col>10</xdr:col>
      <xdr:colOff>180975</xdr:colOff>
      <xdr:row>21</xdr:row>
      <xdr:rowOff>47625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228600</xdr:colOff>
      <xdr:row>7</xdr:row>
      <xdr:rowOff>47625</xdr:rowOff>
    </xdr:from>
    <xdr:to>
      <xdr:col>18</xdr:col>
      <xdr:colOff>466725</xdr:colOff>
      <xdr:row>21</xdr:row>
      <xdr:rowOff>66675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niceto José Jolela" refreshedDate="46151.500189236111" createdVersion="6" refreshedVersion="6" minRefreshableVersion="3" recordCount="12">
  <cacheSource type="worksheet">
    <worksheetSource name="Tabela1"/>
  </cacheSource>
  <cacheFields count="8">
    <cacheField name="Nº" numFmtId="1">
      <sharedItems containsSemiMixedTypes="0" containsString="0" containsNumber="1" containsInteger="1" minValue="1" maxValue="12"/>
    </cacheField>
    <cacheField name="NOME " numFmtId="49">
      <sharedItems containsBlank="1" count="13">
        <s v="Kidi Denise"/>
        <s v="Alice Da Sílva"/>
        <s v="Esperança Da Piedade"/>
        <s v="Liliana Guorgel"/>
        <s v="Sílvia Gonzanga"/>
        <s v="Zacarias Amilton"/>
        <s v="Dario Henriques"/>
        <s v="Julio Da Sílva"/>
        <s v="Patricia José"/>
        <s v="Helena Joseanne"/>
        <s v="Filomena Da Costa"/>
        <s v="Zidane Vemba"/>
        <m u="1"/>
      </sharedItems>
    </cacheField>
    <cacheField name="Genero" numFmtId="49">
      <sharedItems count="2">
        <s v="F"/>
        <s v="M"/>
      </sharedItems>
    </cacheField>
    <cacheField name="P1" numFmtId="1">
      <sharedItems containsSemiMixedTypes="0" containsString="0" containsNumber="1" containsInteger="1" minValue="6" maxValue="20"/>
    </cacheField>
    <cacheField name="P2" numFmtId="1">
      <sharedItems containsSemiMixedTypes="0" containsString="0" containsNumber="1" containsInteger="1" minValue="4" maxValue="18"/>
    </cacheField>
    <cacheField name="P3" numFmtId="1">
      <sharedItems containsSemiMixedTypes="0" containsString="0" containsNumber="1" containsInteger="1" minValue="3" maxValue="19"/>
    </cacheField>
    <cacheField name="MÉDIA" numFmtId="1">
      <sharedItems containsSemiMixedTypes="0" containsString="0" containsNumber="1" minValue="6.666666666666667" maxValue="17"/>
    </cacheField>
    <cacheField name="Resultado" numFmtId="49">
      <sharedItems count="3">
        <s v="Não"/>
        <s v="Apto"/>
        <e v="#DIV/0!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niceto José Jolela" refreshedDate="46151.500189583334" createdVersion="6" refreshedVersion="6" minRefreshableVersion="3" recordCount="12">
  <cacheSource type="worksheet">
    <worksheetSource name="Tabela1"/>
  </cacheSource>
  <cacheFields count="8">
    <cacheField name="Nº" numFmtId="1">
      <sharedItems containsSemiMixedTypes="0" containsString="0" containsNumber="1" containsInteger="1" minValue="1" maxValue="12"/>
    </cacheField>
    <cacheField name="NOME " numFmtId="49">
      <sharedItems/>
    </cacheField>
    <cacheField name="Genero" numFmtId="49">
      <sharedItems/>
    </cacheField>
    <cacheField name="P1" numFmtId="1">
      <sharedItems containsSemiMixedTypes="0" containsString="0" containsNumber="1" containsInteger="1" minValue="6" maxValue="20"/>
    </cacheField>
    <cacheField name="P2" numFmtId="1">
      <sharedItems containsSemiMixedTypes="0" containsString="0" containsNumber="1" containsInteger="1" minValue="4" maxValue="18"/>
    </cacheField>
    <cacheField name="P3" numFmtId="1">
      <sharedItems containsSemiMixedTypes="0" containsString="0" containsNumber="1" containsInteger="1" minValue="3" maxValue="19"/>
    </cacheField>
    <cacheField name="MÉDIA" numFmtId="1">
      <sharedItems containsSemiMixedTypes="0" containsString="0" containsNumber="1" minValue="6.666666666666667" maxValue="17"/>
    </cacheField>
    <cacheField name="Resultado" numFmtId="49">
      <sharedItems count="2">
        <s v="Não"/>
        <s v="Apt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n v="1"/>
    <x v="0"/>
    <x v="0"/>
    <n v="6"/>
    <n v="16"/>
    <n v="3"/>
    <n v="8.3333333333333339"/>
    <x v="0"/>
  </r>
  <r>
    <n v="2"/>
    <x v="1"/>
    <x v="0"/>
    <n v="11"/>
    <n v="17"/>
    <n v="10"/>
    <n v="12.666666666666666"/>
    <x v="1"/>
  </r>
  <r>
    <n v="3"/>
    <x v="2"/>
    <x v="0"/>
    <n v="13"/>
    <n v="5"/>
    <n v="6"/>
    <n v="8"/>
    <x v="0"/>
  </r>
  <r>
    <n v="4"/>
    <x v="3"/>
    <x v="0"/>
    <n v="7"/>
    <n v="7"/>
    <n v="10"/>
    <n v="8"/>
    <x v="0"/>
  </r>
  <r>
    <n v="5"/>
    <x v="4"/>
    <x v="0"/>
    <n v="17"/>
    <n v="10"/>
    <n v="11"/>
    <n v="12.666666666666666"/>
    <x v="1"/>
  </r>
  <r>
    <n v="6"/>
    <x v="5"/>
    <x v="1"/>
    <n v="14"/>
    <n v="18"/>
    <n v="19"/>
    <n v="17"/>
    <x v="1"/>
  </r>
  <r>
    <n v="7"/>
    <x v="6"/>
    <x v="1"/>
    <n v="9"/>
    <n v="4"/>
    <n v="7"/>
    <n v="6.666666666666667"/>
    <x v="0"/>
  </r>
  <r>
    <n v="8"/>
    <x v="7"/>
    <x v="1"/>
    <n v="18"/>
    <n v="16"/>
    <n v="9"/>
    <n v="14.333333333333334"/>
    <x v="1"/>
  </r>
  <r>
    <n v="9"/>
    <x v="8"/>
    <x v="0"/>
    <n v="20"/>
    <n v="6"/>
    <n v="8"/>
    <n v="11.333333333333334"/>
    <x v="1"/>
  </r>
  <r>
    <n v="10"/>
    <x v="9"/>
    <x v="0"/>
    <n v="10"/>
    <n v="13"/>
    <n v="16"/>
    <n v="13"/>
    <x v="1"/>
  </r>
  <r>
    <n v="11"/>
    <x v="10"/>
    <x v="0"/>
    <n v="12"/>
    <n v="16"/>
    <n v="19"/>
    <n v="15.666666666666666"/>
    <x v="1"/>
  </r>
  <r>
    <n v="12"/>
    <x v="11"/>
    <x v="1"/>
    <n v="12"/>
    <n v="10"/>
    <n v="16"/>
    <n v="12.666666666666666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2">
  <r>
    <n v="1"/>
    <s v="Kidi Denise"/>
    <s v="F"/>
    <n v="6"/>
    <n v="16"/>
    <n v="3"/>
    <n v="8.3333333333333339"/>
    <x v="0"/>
  </r>
  <r>
    <n v="2"/>
    <s v="Alice Da Sílva"/>
    <s v="F"/>
    <n v="11"/>
    <n v="17"/>
    <n v="10"/>
    <n v="12.666666666666666"/>
    <x v="1"/>
  </r>
  <r>
    <n v="3"/>
    <s v="Esperança Da Piedade"/>
    <s v="F"/>
    <n v="13"/>
    <n v="5"/>
    <n v="6"/>
    <n v="8"/>
    <x v="0"/>
  </r>
  <r>
    <n v="4"/>
    <s v="Liliana Guorgel"/>
    <s v="F"/>
    <n v="7"/>
    <n v="7"/>
    <n v="10"/>
    <n v="8"/>
    <x v="0"/>
  </r>
  <r>
    <n v="5"/>
    <s v="Sílvia Gonzanga"/>
    <s v="F"/>
    <n v="17"/>
    <n v="10"/>
    <n v="11"/>
    <n v="12.666666666666666"/>
    <x v="1"/>
  </r>
  <r>
    <n v="6"/>
    <s v="Zacarias Amilton"/>
    <s v="M"/>
    <n v="14"/>
    <n v="18"/>
    <n v="19"/>
    <n v="17"/>
    <x v="1"/>
  </r>
  <r>
    <n v="7"/>
    <s v="Dario Henriques"/>
    <s v="M"/>
    <n v="9"/>
    <n v="4"/>
    <n v="7"/>
    <n v="6.666666666666667"/>
    <x v="0"/>
  </r>
  <r>
    <n v="8"/>
    <s v="Julio Da Sílva"/>
    <s v="M"/>
    <n v="18"/>
    <n v="16"/>
    <n v="9"/>
    <n v="14.333333333333334"/>
    <x v="1"/>
  </r>
  <r>
    <n v="9"/>
    <s v="Patricia José"/>
    <s v="F"/>
    <n v="20"/>
    <n v="6"/>
    <n v="8"/>
    <n v="11.333333333333334"/>
    <x v="1"/>
  </r>
  <r>
    <n v="10"/>
    <s v="Helena Joseanne"/>
    <s v="F"/>
    <n v="10"/>
    <n v="13"/>
    <n v="16"/>
    <n v="13"/>
    <x v="1"/>
  </r>
  <r>
    <n v="11"/>
    <s v="Filomena Da Costa"/>
    <s v="F"/>
    <n v="12"/>
    <n v="16"/>
    <n v="19"/>
    <n v="15.666666666666666"/>
    <x v="1"/>
  </r>
  <r>
    <n v="12"/>
    <s v="Zidane Vemba"/>
    <s v="M"/>
    <n v="12"/>
    <n v="10"/>
    <n v="16"/>
    <n v="12.66666666666666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ela dinâmica8" cacheId="57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6" rowHeaderCaption="Nome" colHeaderCaption="Seguimentação de Dados">
  <location ref="A20:C27" firstHeaderRow="1" firstDataRow="2" firstDataCol="1" rowPageCount="1" colPageCount="1"/>
  <pivotFields count="8">
    <pivotField showAll="0"/>
    <pivotField axis="axisRow" showAll="0">
      <items count="14">
        <item sd="0" x="1"/>
        <item sd="0" x="6"/>
        <item x="2"/>
        <item x="9"/>
        <item x="7"/>
        <item x="0"/>
        <item x="3"/>
        <item x="8"/>
        <item x="4"/>
        <item x="5"/>
        <item m="1" x="12"/>
        <item x="10"/>
        <item x="11"/>
        <item t="default"/>
      </items>
    </pivotField>
    <pivotField axis="axisPage" multipleItemSelectionAllowed="1" showAll="0" defaultSubtotal="0">
      <items count="2">
        <item x="0"/>
        <item h="1" x="1"/>
      </items>
    </pivotField>
    <pivotField showAll="0"/>
    <pivotField showAll="0"/>
    <pivotField showAll="0"/>
    <pivotField dataField="1" numFmtId="1" showAll="0"/>
    <pivotField axis="axisCol" showAll="0">
      <items count="4">
        <item x="1"/>
        <item h="1" x="0"/>
        <item h="1" m="1" x="2"/>
        <item t="default"/>
      </items>
    </pivotField>
  </pivotFields>
  <rowFields count="1">
    <field x="1"/>
  </rowFields>
  <rowItems count="6">
    <i>
      <x/>
    </i>
    <i>
      <x v="3"/>
    </i>
    <i>
      <x v="7"/>
    </i>
    <i>
      <x v="8"/>
    </i>
    <i>
      <x v="11"/>
    </i>
    <i t="grand">
      <x/>
    </i>
  </rowItems>
  <colFields count="1">
    <field x="7"/>
  </colFields>
  <colItems count="2">
    <i>
      <x/>
    </i>
    <i t="grand">
      <x/>
    </i>
  </colItems>
  <pageFields count="1">
    <pageField fld="2" hier="-1"/>
  </pageFields>
  <dataFields count="1">
    <dataField name="Pauta Final" fld="6" baseField="0" baseItem="0"/>
  </dataFields>
  <formats count="16">
    <format dxfId="736">
      <pivotArea collapsedLevelsAreSubtotals="1" fieldPosition="0">
        <references count="1">
          <reference field="1" count="0"/>
        </references>
      </pivotArea>
    </format>
    <format dxfId="737">
      <pivotArea collapsedLevelsAreSubtotals="1" fieldPosition="0">
        <references count="1">
          <reference field="1" count="0"/>
        </references>
      </pivotArea>
    </format>
    <format dxfId="738">
      <pivotArea collapsedLevelsAreSubtotals="1" fieldPosition="0">
        <references count="1">
          <reference field="1" count="0"/>
        </references>
      </pivotArea>
    </format>
    <format dxfId="739">
      <pivotArea collapsedLevelsAreSubtotals="1" fieldPosition="0">
        <references count="1">
          <reference field="1" count="0"/>
        </references>
      </pivotArea>
    </format>
    <format dxfId="740">
      <pivotArea collapsedLevelsAreSubtotals="1" fieldPosition="0">
        <references count="1">
          <reference field="1" count="0"/>
        </references>
      </pivotArea>
    </format>
    <format dxfId="741">
      <pivotArea collapsedLevelsAreSubtotals="1" fieldPosition="0">
        <references count="1">
          <reference field="1" count="0"/>
        </references>
      </pivotArea>
    </format>
    <format dxfId="742">
      <pivotArea collapsedLevelsAreSubtotals="1" fieldPosition="0">
        <references count="1">
          <reference field="1" count="0"/>
        </references>
      </pivotArea>
    </format>
    <format dxfId="743">
      <pivotArea collapsedLevelsAreSubtotals="1" fieldPosition="0">
        <references count="1">
          <reference field="1" count="0"/>
        </references>
      </pivotArea>
    </format>
    <format dxfId="744">
      <pivotArea grandRow="1" outline="0" collapsedLevelsAreSubtotals="1" fieldPosition="0"/>
    </format>
    <format dxfId="745">
      <pivotArea grandRow="1" outline="0" collapsedLevelsAreSubtotals="1" fieldPosition="0"/>
    </format>
    <format dxfId="746">
      <pivotArea grandRow="1" outline="0" collapsedLevelsAreSubtotals="1" fieldPosition="0"/>
    </format>
    <format dxfId="747">
      <pivotArea grandRow="1" outline="0" collapsedLevelsAreSubtotals="1" fieldPosition="0"/>
    </format>
    <format dxfId="748">
      <pivotArea grandRow="1" outline="0" collapsedLevelsAreSubtotals="1" fieldPosition="0"/>
    </format>
    <format dxfId="749">
      <pivotArea grandRow="1" outline="0" collapsedLevelsAreSubtotals="1" fieldPosition="0"/>
    </format>
    <format dxfId="750">
      <pivotArea grandRow="1" outline="0" collapsedLevelsAreSubtotals="1" fieldPosition="0"/>
    </format>
    <format dxfId="751">
      <pivotArea grandRow="1" outline="0" collapsedLevelsAreSubtotals="1" fieldPosition="0"/>
    </format>
  </formats>
  <chartFormats count="1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5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6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6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7" count="1" selected="0">
            <x v="0"/>
          </reference>
        </references>
      </pivotArea>
    </chartFormat>
    <chartFormat chart="5" format="62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7" count="1" selected="0">
            <x v="0"/>
          </reference>
        </references>
      </pivotArea>
    </chartFormat>
    <chartFormat chart="5" format="63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7" count="1" selected="0">
            <x v="0"/>
          </reference>
        </references>
      </pivotArea>
    </chartFormat>
    <chartFormat chart="5" format="64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7" count="1" selected="0">
            <x v="0"/>
          </reference>
        </references>
      </pivotArea>
    </chartFormat>
    <chartFormat chart="5" format="65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1" cacheId="57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outline="1" outlineData="1" multipleFieldFilters="0" chartFormat="3" rowHeaderCaption="Nome" colHeaderCaption="Seguimentação de Dados">
  <location ref="A3:C12" firstHeaderRow="1" firstDataRow="2" firstDataCol="1" rowPageCount="1" colPageCount="1"/>
  <pivotFields count="8">
    <pivotField showAll="0"/>
    <pivotField axis="axisRow" showAll="0">
      <items count="14">
        <item sd="0" x="1"/>
        <item sd="0" x="6"/>
        <item x="2"/>
        <item x="9"/>
        <item x="7"/>
        <item x="0"/>
        <item x="3"/>
        <item x="8"/>
        <item x="4"/>
        <item x="5"/>
        <item m="1" x="12"/>
        <item x="10"/>
        <item x="11"/>
        <item t="default"/>
      </items>
    </pivotField>
    <pivotField axis="axisPage" multipleItemSelectionAllowed="1" showAll="0" defaultSubtotal="0">
      <items count="2">
        <item x="0"/>
        <item h="1" x="1"/>
      </items>
    </pivotField>
    <pivotField showAll="0"/>
    <pivotField showAll="0"/>
    <pivotField showAll="0"/>
    <pivotField dataField="1" numFmtId="1" showAll="0"/>
    <pivotField axis="axisCol" showAll="0">
      <items count="4">
        <item x="1"/>
        <item x="0"/>
        <item m="1" x="2"/>
        <item t="default"/>
      </items>
    </pivotField>
  </pivotFields>
  <rowFields count="1">
    <field x="1"/>
  </rowFields>
  <rowItems count="8">
    <i>
      <x/>
    </i>
    <i>
      <x v="2"/>
    </i>
    <i>
      <x v="3"/>
    </i>
    <i>
      <x v="5"/>
    </i>
    <i>
      <x v="6"/>
    </i>
    <i>
      <x v="7"/>
    </i>
    <i>
      <x v="8"/>
    </i>
    <i>
      <x v="11"/>
    </i>
  </rowItems>
  <colFields count="1">
    <field x="7"/>
  </colFields>
  <colItems count="2">
    <i>
      <x/>
    </i>
    <i>
      <x v="1"/>
    </i>
  </colItems>
  <pageFields count="1">
    <pageField fld="2" hier="-1"/>
  </pageFields>
  <dataFields count="1">
    <dataField name="Pauta Final" fld="6" baseField="0" baseItem="0"/>
  </dataFields>
  <formats count="16">
    <format dxfId="781">
      <pivotArea collapsedLevelsAreSubtotals="1" fieldPosition="0">
        <references count="1">
          <reference field="1" count="0"/>
        </references>
      </pivotArea>
    </format>
    <format dxfId="780">
      <pivotArea collapsedLevelsAreSubtotals="1" fieldPosition="0">
        <references count="1">
          <reference field="1" count="0"/>
        </references>
      </pivotArea>
    </format>
    <format dxfId="779">
      <pivotArea collapsedLevelsAreSubtotals="1" fieldPosition="0">
        <references count="1">
          <reference field="1" count="0"/>
        </references>
      </pivotArea>
    </format>
    <format dxfId="778">
      <pivotArea collapsedLevelsAreSubtotals="1" fieldPosition="0">
        <references count="1">
          <reference field="1" count="0"/>
        </references>
      </pivotArea>
    </format>
    <format dxfId="777">
      <pivotArea collapsedLevelsAreSubtotals="1" fieldPosition="0">
        <references count="1">
          <reference field="1" count="0"/>
        </references>
      </pivotArea>
    </format>
    <format dxfId="776">
      <pivotArea collapsedLevelsAreSubtotals="1" fieldPosition="0">
        <references count="1">
          <reference field="1" count="0"/>
        </references>
      </pivotArea>
    </format>
    <format dxfId="775">
      <pivotArea collapsedLevelsAreSubtotals="1" fieldPosition="0">
        <references count="1">
          <reference field="1" count="0"/>
        </references>
      </pivotArea>
    </format>
    <format dxfId="774">
      <pivotArea collapsedLevelsAreSubtotals="1" fieldPosition="0">
        <references count="1">
          <reference field="1" count="0"/>
        </references>
      </pivotArea>
    </format>
    <format dxfId="767">
      <pivotArea grandRow="1" outline="0" collapsedLevelsAreSubtotals="1" fieldPosition="0"/>
    </format>
    <format dxfId="766">
      <pivotArea grandRow="1" outline="0" collapsedLevelsAreSubtotals="1" fieldPosition="0"/>
    </format>
    <format dxfId="765">
      <pivotArea grandRow="1" outline="0" collapsedLevelsAreSubtotals="1" fieldPosition="0"/>
    </format>
    <format dxfId="764">
      <pivotArea grandRow="1" outline="0" collapsedLevelsAreSubtotals="1" fieldPosition="0"/>
    </format>
    <format dxfId="763">
      <pivotArea grandRow="1" outline="0" collapsedLevelsAreSubtotals="1" fieldPosition="0"/>
    </format>
    <format dxfId="762">
      <pivotArea grandRow="1" outline="0" collapsedLevelsAreSubtotals="1" fieldPosition="0"/>
    </format>
    <format dxfId="761">
      <pivotArea grandRow="1" outline="0" collapsedLevelsAreSubtotals="1" fieldPosition="0"/>
    </format>
    <format dxfId="760">
      <pivotArea grandRow="1" outline="0" collapsedLevelsAreSubtotals="1" fieldPosition="0"/>
    </format>
  </formats>
  <chartFormats count="2"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3" cacheId="6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6" firstHeaderRow="1" firstDataRow="1" firstDataCol="1"/>
  <pivotFields count="8">
    <pivotField showAll="0"/>
    <pivotField showAll="0"/>
    <pivotField showAll="0" defaultSubtotal="0"/>
    <pivotField showAll="0"/>
    <pivotField showAll="0"/>
    <pivotField showAll="0"/>
    <pivotField dataField="1" numFmtId="1" showAll="0"/>
    <pivotField axis="axisRow" showAll="0">
      <items count="3">
        <item x="1"/>
        <item x="0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Soma de MÉDIA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ela1" displayName="Tabela1" ref="J4:Q16" totalsRowShown="0" headerRowDxfId="782" headerRowBorderDxfId="784" tableBorderDxfId="785" totalsRowBorderDxfId="783">
  <autoFilter ref="J4:Q16"/>
  <tableColumns count="8">
    <tableColumn id="1" name="Nº" dataDxfId="759">
      <calculatedColumnFormula>J4+1</calculatedColumnFormula>
    </tableColumn>
    <tableColumn id="2" name="NOME " dataDxfId="758"/>
    <tableColumn id="9" name="Genero" dataDxfId="757"/>
    <tableColumn id="3" name="P1" dataDxfId="756"/>
    <tableColumn id="4" name="P2" dataDxfId="755"/>
    <tableColumn id="5" name="P3" dataDxfId="754"/>
    <tableColumn id="6" name="MÉDIA" dataDxfId="753">
      <calculatedColumnFormula>AVERAGE(M5:O5)</calculatedColumnFormula>
    </tableColumn>
    <tableColumn id="7" name="Resultado" dataDxfId="752">
      <calculatedColumnFormula>IF(P5&gt;9,"Apto","Não")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selection activeCell="E2" sqref="E2:G2"/>
    </sheetView>
  </sheetViews>
  <sheetFormatPr defaultRowHeight="15" x14ac:dyDescent="0.25"/>
  <cols>
    <col min="1" max="1" width="20.5703125" customWidth="1"/>
    <col min="2" max="2" width="25.85546875" customWidth="1"/>
    <col min="3" max="3" width="4.5703125" customWidth="1"/>
    <col min="4" max="4" width="10.7109375" customWidth="1"/>
    <col min="5" max="5" width="10.7109375" bestFit="1" customWidth="1"/>
    <col min="6" max="6" width="12.42578125" customWidth="1"/>
    <col min="7" max="7" width="20.5703125" bestFit="1" customWidth="1"/>
    <col min="8" max="8" width="14.42578125" customWidth="1"/>
    <col min="9" max="9" width="11.85546875" customWidth="1"/>
    <col min="10" max="10" width="15" customWidth="1"/>
    <col min="11" max="11" width="15.7109375" bestFit="1" customWidth="1"/>
    <col min="12" max="12" width="10.7109375" bestFit="1" customWidth="1"/>
  </cols>
  <sheetData>
    <row r="1" spans="1:3" x14ac:dyDescent="0.25">
      <c r="A1" s="18" t="s">
        <v>26</v>
      </c>
      <c r="B1" t="s">
        <v>27</v>
      </c>
    </row>
    <row r="3" spans="1:3" x14ac:dyDescent="0.25">
      <c r="A3" s="18" t="s">
        <v>23</v>
      </c>
      <c r="B3" s="18" t="s">
        <v>24</v>
      </c>
    </row>
    <row r="4" spans="1:3" x14ac:dyDescent="0.25">
      <c r="A4" s="18" t="s">
        <v>30</v>
      </c>
      <c r="B4" t="s">
        <v>20</v>
      </c>
      <c r="C4" t="s">
        <v>21</v>
      </c>
    </row>
    <row r="5" spans="1:3" x14ac:dyDescent="0.25">
      <c r="A5" s="19" t="s">
        <v>7</v>
      </c>
      <c r="B5" s="21">
        <v>12.666666666666666</v>
      </c>
      <c r="C5" s="21"/>
    </row>
    <row r="6" spans="1:3" x14ac:dyDescent="0.25">
      <c r="A6" s="19" t="s">
        <v>8</v>
      </c>
      <c r="B6" s="21"/>
      <c r="C6" s="21">
        <v>8</v>
      </c>
    </row>
    <row r="7" spans="1:3" x14ac:dyDescent="0.25">
      <c r="A7" s="19" t="s">
        <v>15</v>
      </c>
      <c r="B7" s="21">
        <v>13</v>
      </c>
      <c r="C7" s="21"/>
    </row>
    <row r="8" spans="1:3" x14ac:dyDescent="0.25">
      <c r="A8" s="19" t="s">
        <v>6</v>
      </c>
      <c r="B8" s="21"/>
      <c r="C8" s="21">
        <v>8.3333333333333339</v>
      </c>
    </row>
    <row r="9" spans="1:3" x14ac:dyDescent="0.25">
      <c r="A9" s="19" t="s">
        <v>9</v>
      </c>
      <c r="B9" s="21"/>
      <c r="C9" s="21">
        <v>8</v>
      </c>
    </row>
    <row r="10" spans="1:3" x14ac:dyDescent="0.25">
      <c r="A10" s="19" t="s">
        <v>14</v>
      </c>
      <c r="B10" s="21">
        <v>11.333333333333334</v>
      </c>
      <c r="C10" s="21"/>
    </row>
    <row r="11" spans="1:3" x14ac:dyDescent="0.25">
      <c r="A11" s="19" t="s">
        <v>10</v>
      </c>
      <c r="B11" s="21">
        <v>12.666666666666666</v>
      </c>
      <c r="C11" s="21"/>
    </row>
    <row r="12" spans="1:3" x14ac:dyDescent="0.25">
      <c r="A12" s="19" t="s">
        <v>25</v>
      </c>
      <c r="B12" s="21">
        <v>15.666666666666666</v>
      </c>
      <c r="C12" s="21"/>
    </row>
    <row r="18" spans="1:3" x14ac:dyDescent="0.25">
      <c r="A18" s="18" t="s">
        <v>26</v>
      </c>
      <c r="B18" t="s">
        <v>27</v>
      </c>
    </row>
    <row r="20" spans="1:3" x14ac:dyDescent="0.25">
      <c r="A20" s="18" t="s">
        <v>23</v>
      </c>
      <c r="B20" s="18" t="s">
        <v>24</v>
      </c>
    </row>
    <row r="21" spans="1:3" x14ac:dyDescent="0.25">
      <c r="A21" s="18" t="s">
        <v>30</v>
      </c>
      <c r="B21" t="s">
        <v>20</v>
      </c>
      <c r="C21" t="s">
        <v>22</v>
      </c>
    </row>
    <row r="22" spans="1:3" x14ac:dyDescent="0.25">
      <c r="A22" s="19" t="s">
        <v>7</v>
      </c>
      <c r="B22" s="21">
        <v>12.666666666666666</v>
      </c>
      <c r="C22" s="21">
        <v>12.666666666666666</v>
      </c>
    </row>
    <row r="23" spans="1:3" x14ac:dyDescent="0.25">
      <c r="A23" s="19" t="s">
        <v>15</v>
      </c>
      <c r="B23" s="21">
        <v>13</v>
      </c>
      <c r="C23" s="21">
        <v>13</v>
      </c>
    </row>
    <row r="24" spans="1:3" x14ac:dyDescent="0.25">
      <c r="A24" s="19" t="s">
        <v>14</v>
      </c>
      <c r="B24" s="21">
        <v>11.333333333333334</v>
      </c>
      <c r="C24" s="21">
        <v>11.333333333333334</v>
      </c>
    </row>
    <row r="25" spans="1:3" x14ac:dyDescent="0.25">
      <c r="A25" s="19" t="s">
        <v>10</v>
      </c>
      <c r="B25" s="21">
        <v>12.666666666666666</v>
      </c>
      <c r="C25" s="21">
        <v>12.666666666666666</v>
      </c>
    </row>
    <row r="26" spans="1:3" x14ac:dyDescent="0.25">
      <c r="A26" s="19" t="s">
        <v>25</v>
      </c>
      <c r="B26" s="21">
        <v>15.666666666666666</v>
      </c>
      <c r="C26" s="21">
        <v>15.666666666666666</v>
      </c>
    </row>
    <row r="27" spans="1:3" x14ac:dyDescent="0.25">
      <c r="A27" s="19" t="s">
        <v>22</v>
      </c>
      <c r="B27" s="21">
        <v>65.333333333333329</v>
      </c>
      <c r="C27" s="21">
        <v>65.333333333333329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A5" sqref="A5"/>
    </sheetView>
  </sheetViews>
  <sheetFormatPr defaultRowHeight="15" x14ac:dyDescent="0.25"/>
  <cols>
    <col min="1" max="1" width="18" bestFit="1" customWidth="1"/>
    <col min="2" max="2" width="15.140625" bestFit="1" customWidth="1"/>
  </cols>
  <sheetData>
    <row r="3" spans="1:2" x14ac:dyDescent="0.25">
      <c r="A3" s="18" t="s">
        <v>19</v>
      </c>
      <c r="B3" t="s">
        <v>18</v>
      </c>
    </row>
    <row r="4" spans="1:2" x14ac:dyDescent="0.25">
      <c r="A4" s="19" t="s">
        <v>20</v>
      </c>
      <c r="B4" s="20">
        <v>109.33333333333334</v>
      </c>
    </row>
    <row r="5" spans="1:2" x14ac:dyDescent="0.25">
      <c r="A5" s="19" t="s">
        <v>21</v>
      </c>
      <c r="B5" s="20">
        <v>31.000000000000004</v>
      </c>
    </row>
    <row r="6" spans="1:2" x14ac:dyDescent="0.25">
      <c r="A6" s="19" t="s">
        <v>22</v>
      </c>
      <c r="B6" s="20">
        <v>140.33333333333334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topLeftCell="B1" zoomScaleNormal="100" workbookViewId="0">
      <selection activeCell="K9" sqref="K9"/>
    </sheetView>
  </sheetViews>
  <sheetFormatPr defaultRowHeight="15" x14ac:dyDescent="0.25"/>
  <cols>
    <col min="2" max="2" width="5.85546875" customWidth="1"/>
    <col min="3" max="3" width="20.5703125" bestFit="1" customWidth="1"/>
    <col min="6" max="6" width="5.42578125" bestFit="1" customWidth="1"/>
    <col min="7" max="7" width="12" bestFit="1" customWidth="1"/>
    <col min="8" max="8" width="12.140625" bestFit="1" customWidth="1"/>
    <col min="10" max="10" width="5.7109375" bestFit="1" customWidth="1"/>
    <col min="11" max="11" width="20.5703125" bestFit="1" customWidth="1"/>
    <col min="12" max="12" width="10" bestFit="1" customWidth="1"/>
    <col min="16" max="16" width="12" customWidth="1"/>
    <col min="17" max="17" width="12.140625" bestFit="1" customWidth="1"/>
  </cols>
  <sheetData>
    <row r="1" spans="2:17" s="5" customFormat="1" ht="21" x14ac:dyDescent="0.35">
      <c r="B1" s="7" t="s">
        <v>16</v>
      </c>
    </row>
    <row r="2" spans="2:17" s="6" customFormat="1" ht="5.25" customHeight="1" x14ac:dyDescent="0.25"/>
    <row r="3" spans="2:17" ht="18.75" x14ac:dyDescent="0.3">
      <c r="B3" s="4"/>
    </row>
    <row r="4" spans="2:17" x14ac:dyDescent="0.25">
      <c r="B4" s="2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9" t="s">
        <v>17</v>
      </c>
      <c r="J4" s="13" t="s">
        <v>0</v>
      </c>
      <c r="K4" s="14" t="s">
        <v>1</v>
      </c>
      <c r="L4" s="14" t="s">
        <v>26</v>
      </c>
      <c r="M4" s="14" t="s">
        <v>2</v>
      </c>
      <c r="N4" s="14" t="s">
        <v>3</v>
      </c>
      <c r="O4" s="14" t="s">
        <v>4</v>
      </c>
      <c r="P4" s="14" t="s">
        <v>5</v>
      </c>
      <c r="Q4" s="15" t="s">
        <v>17</v>
      </c>
    </row>
    <row r="5" spans="2:17" x14ac:dyDescent="0.25">
      <c r="B5" s="2">
        <v>1</v>
      </c>
      <c r="C5" s="1" t="s">
        <v>6</v>
      </c>
      <c r="D5" s="1">
        <v>6</v>
      </c>
      <c r="E5" s="1">
        <v>16</v>
      </c>
      <c r="F5" s="1">
        <v>3</v>
      </c>
      <c r="G5" s="8">
        <f>AVERAGE(D5:F5)</f>
        <v>8.3333333333333339</v>
      </c>
      <c r="H5" s="1" t="str">
        <f>IF(G5&gt;9,"Apto","Não")</f>
        <v>Não</v>
      </c>
      <c r="J5" s="22">
        <v>1</v>
      </c>
      <c r="K5" s="24" t="s">
        <v>6</v>
      </c>
      <c r="L5" s="24" t="s">
        <v>27</v>
      </c>
      <c r="M5" s="8">
        <v>6</v>
      </c>
      <c r="N5" s="8">
        <v>16</v>
      </c>
      <c r="O5" s="8">
        <v>3</v>
      </c>
      <c r="P5" s="8">
        <f>AVERAGE(M5:O5)</f>
        <v>8.3333333333333339</v>
      </c>
      <c r="Q5" s="26" t="str">
        <f>IF(P5&gt;9,"Apto","Não")</f>
        <v>Não</v>
      </c>
    </row>
    <row r="6" spans="2:17" x14ac:dyDescent="0.25">
      <c r="B6" s="2">
        <f>B5+1</f>
        <v>2</v>
      </c>
      <c r="C6" s="1" t="s">
        <v>7</v>
      </c>
      <c r="D6" s="1">
        <v>11</v>
      </c>
      <c r="E6" s="1">
        <v>17</v>
      </c>
      <c r="F6" s="1">
        <v>10</v>
      </c>
      <c r="G6" s="8">
        <f t="shared" ref="G6:G14" si="0">AVERAGE(D6:F6)</f>
        <v>12.666666666666666</v>
      </c>
      <c r="H6" s="1" t="str">
        <f t="shared" ref="H6:H14" si="1">IF(G6&gt;9,"Apto","Não")</f>
        <v>Apto</v>
      </c>
      <c r="J6" s="22">
        <f>J5+1</f>
        <v>2</v>
      </c>
      <c r="K6" s="24" t="s">
        <v>7</v>
      </c>
      <c r="L6" s="24" t="s">
        <v>27</v>
      </c>
      <c r="M6" s="8">
        <v>11</v>
      </c>
      <c r="N6" s="8">
        <v>17</v>
      </c>
      <c r="O6" s="8">
        <v>10</v>
      </c>
      <c r="P6" s="8">
        <f t="shared" ref="P6:P14" si="2">AVERAGE(M6:O6)</f>
        <v>12.666666666666666</v>
      </c>
      <c r="Q6" s="26" t="str">
        <f t="shared" ref="Q6:Q14" si="3">IF(P6&gt;9,"Apto","Não")</f>
        <v>Apto</v>
      </c>
    </row>
    <row r="7" spans="2:17" x14ac:dyDescent="0.25">
      <c r="B7" s="2">
        <f t="shared" ref="B7:B14" si="4">B6+1</f>
        <v>3</v>
      </c>
      <c r="C7" s="1" t="s">
        <v>8</v>
      </c>
      <c r="D7" s="1">
        <v>13</v>
      </c>
      <c r="E7" s="1">
        <v>5</v>
      </c>
      <c r="F7" s="1">
        <v>6</v>
      </c>
      <c r="G7" s="8">
        <f t="shared" si="0"/>
        <v>8</v>
      </c>
      <c r="H7" s="1" t="str">
        <f t="shared" si="1"/>
        <v>Não</v>
      </c>
      <c r="J7" s="22">
        <f t="shared" ref="J7:J14" si="5">J6+1</f>
        <v>3</v>
      </c>
      <c r="K7" s="24" t="s">
        <v>8</v>
      </c>
      <c r="L7" s="24" t="s">
        <v>27</v>
      </c>
      <c r="M7" s="8">
        <v>13</v>
      </c>
      <c r="N7" s="8">
        <v>5</v>
      </c>
      <c r="O7" s="8">
        <v>6</v>
      </c>
      <c r="P7" s="8">
        <f t="shared" si="2"/>
        <v>8</v>
      </c>
      <c r="Q7" s="26" t="str">
        <f t="shared" si="3"/>
        <v>Não</v>
      </c>
    </row>
    <row r="8" spans="2:17" x14ac:dyDescent="0.25">
      <c r="B8" s="2">
        <f t="shared" si="4"/>
        <v>4</v>
      </c>
      <c r="C8" s="1" t="s">
        <v>9</v>
      </c>
      <c r="D8" s="1">
        <v>7</v>
      </c>
      <c r="E8" s="1">
        <v>7</v>
      </c>
      <c r="F8" s="1">
        <v>10</v>
      </c>
      <c r="G8" s="8">
        <f t="shared" si="0"/>
        <v>8</v>
      </c>
      <c r="H8" s="1" t="str">
        <f t="shared" si="1"/>
        <v>Não</v>
      </c>
      <c r="J8" s="22">
        <f t="shared" si="5"/>
        <v>4</v>
      </c>
      <c r="K8" s="24" t="s">
        <v>9</v>
      </c>
      <c r="L8" s="24" t="s">
        <v>27</v>
      </c>
      <c r="M8" s="8">
        <v>7</v>
      </c>
      <c r="N8" s="8">
        <v>7</v>
      </c>
      <c r="O8" s="8">
        <v>10</v>
      </c>
      <c r="P8" s="8">
        <f t="shared" si="2"/>
        <v>8</v>
      </c>
      <c r="Q8" s="26" t="str">
        <f t="shared" si="3"/>
        <v>Não</v>
      </c>
    </row>
    <row r="9" spans="2:17" x14ac:dyDescent="0.25">
      <c r="B9" s="2">
        <f t="shared" si="4"/>
        <v>5</v>
      </c>
      <c r="C9" s="1" t="s">
        <v>10</v>
      </c>
      <c r="D9" s="1">
        <v>17</v>
      </c>
      <c r="E9" s="1">
        <v>10</v>
      </c>
      <c r="F9" s="1">
        <v>11</v>
      </c>
      <c r="G9" s="8">
        <f t="shared" si="0"/>
        <v>12.666666666666666</v>
      </c>
      <c r="H9" s="1" t="str">
        <f t="shared" si="1"/>
        <v>Apto</v>
      </c>
      <c r="J9" s="22">
        <f t="shared" si="5"/>
        <v>5</v>
      </c>
      <c r="K9" s="24" t="s">
        <v>10</v>
      </c>
      <c r="L9" s="24" t="s">
        <v>27</v>
      </c>
      <c r="M9" s="8">
        <v>17</v>
      </c>
      <c r="N9" s="8">
        <v>10</v>
      </c>
      <c r="O9" s="8">
        <v>11</v>
      </c>
      <c r="P9" s="8">
        <f t="shared" si="2"/>
        <v>12.666666666666666</v>
      </c>
      <c r="Q9" s="26" t="str">
        <f t="shared" si="3"/>
        <v>Apto</v>
      </c>
    </row>
    <row r="10" spans="2:17" x14ac:dyDescent="0.25">
      <c r="B10" s="2">
        <f t="shared" si="4"/>
        <v>6</v>
      </c>
      <c r="C10" s="1" t="s">
        <v>12</v>
      </c>
      <c r="D10" s="1">
        <v>14</v>
      </c>
      <c r="E10" s="1">
        <v>18</v>
      </c>
      <c r="F10" s="1">
        <v>19</v>
      </c>
      <c r="G10" s="8">
        <f t="shared" si="0"/>
        <v>17</v>
      </c>
      <c r="H10" s="1" t="str">
        <f t="shared" si="1"/>
        <v>Apto</v>
      </c>
      <c r="J10" s="22">
        <f t="shared" si="5"/>
        <v>6</v>
      </c>
      <c r="K10" s="24" t="s">
        <v>12</v>
      </c>
      <c r="L10" s="24" t="s">
        <v>28</v>
      </c>
      <c r="M10" s="8">
        <v>14</v>
      </c>
      <c r="N10" s="8">
        <v>18</v>
      </c>
      <c r="O10" s="8">
        <v>19</v>
      </c>
      <c r="P10" s="8">
        <f t="shared" si="2"/>
        <v>17</v>
      </c>
      <c r="Q10" s="26" t="str">
        <f t="shared" si="3"/>
        <v>Apto</v>
      </c>
    </row>
    <row r="11" spans="2:17" x14ac:dyDescent="0.25">
      <c r="B11" s="2">
        <f t="shared" si="4"/>
        <v>7</v>
      </c>
      <c r="C11" s="1" t="s">
        <v>11</v>
      </c>
      <c r="D11" s="1">
        <v>9</v>
      </c>
      <c r="E11" s="1">
        <v>4</v>
      </c>
      <c r="F11" s="1">
        <v>7</v>
      </c>
      <c r="G11" s="8">
        <f t="shared" si="0"/>
        <v>6.666666666666667</v>
      </c>
      <c r="H11" s="1" t="str">
        <f t="shared" si="1"/>
        <v>Não</v>
      </c>
      <c r="J11" s="22">
        <f t="shared" si="5"/>
        <v>7</v>
      </c>
      <c r="K11" s="24" t="s">
        <v>11</v>
      </c>
      <c r="L11" s="24" t="s">
        <v>28</v>
      </c>
      <c r="M11" s="8">
        <v>9</v>
      </c>
      <c r="N11" s="8">
        <v>4</v>
      </c>
      <c r="O11" s="8">
        <v>7</v>
      </c>
      <c r="P11" s="8">
        <f t="shared" si="2"/>
        <v>6.666666666666667</v>
      </c>
      <c r="Q11" s="26" t="str">
        <f t="shared" si="3"/>
        <v>Não</v>
      </c>
    </row>
    <row r="12" spans="2:17" x14ac:dyDescent="0.25">
      <c r="B12" s="2">
        <f t="shared" si="4"/>
        <v>8</v>
      </c>
      <c r="C12" s="1" t="s">
        <v>13</v>
      </c>
      <c r="D12" s="1">
        <v>18</v>
      </c>
      <c r="E12" s="1">
        <v>16</v>
      </c>
      <c r="F12" s="1">
        <v>9</v>
      </c>
      <c r="G12" s="8">
        <f t="shared" si="0"/>
        <v>14.333333333333334</v>
      </c>
      <c r="H12" s="1" t="str">
        <f t="shared" si="1"/>
        <v>Apto</v>
      </c>
      <c r="J12" s="22">
        <f t="shared" si="5"/>
        <v>8</v>
      </c>
      <c r="K12" s="24" t="s">
        <v>13</v>
      </c>
      <c r="L12" s="24" t="s">
        <v>28</v>
      </c>
      <c r="M12" s="8">
        <v>18</v>
      </c>
      <c r="N12" s="8">
        <v>16</v>
      </c>
      <c r="O12" s="8">
        <v>9</v>
      </c>
      <c r="P12" s="8">
        <f t="shared" si="2"/>
        <v>14.333333333333334</v>
      </c>
      <c r="Q12" s="26" t="str">
        <f t="shared" si="3"/>
        <v>Apto</v>
      </c>
    </row>
    <row r="13" spans="2:17" x14ac:dyDescent="0.25">
      <c r="B13" s="2">
        <f t="shared" si="4"/>
        <v>9</v>
      </c>
      <c r="C13" s="1" t="s">
        <v>14</v>
      </c>
      <c r="D13" s="1">
        <v>20</v>
      </c>
      <c r="E13" s="1">
        <v>6</v>
      </c>
      <c r="F13" s="1">
        <v>8</v>
      </c>
      <c r="G13" s="8">
        <f t="shared" si="0"/>
        <v>11.333333333333334</v>
      </c>
      <c r="H13" s="1" t="str">
        <f t="shared" si="1"/>
        <v>Apto</v>
      </c>
      <c r="J13" s="22">
        <f t="shared" si="5"/>
        <v>9</v>
      </c>
      <c r="K13" s="24" t="s">
        <v>14</v>
      </c>
      <c r="L13" s="24" t="s">
        <v>27</v>
      </c>
      <c r="M13" s="8">
        <v>20</v>
      </c>
      <c r="N13" s="8">
        <v>6</v>
      </c>
      <c r="O13" s="8">
        <v>8</v>
      </c>
      <c r="P13" s="8">
        <f t="shared" si="2"/>
        <v>11.333333333333334</v>
      </c>
      <c r="Q13" s="26" t="str">
        <f t="shared" si="3"/>
        <v>Apto</v>
      </c>
    </row>
    <row r="14" spans="2:17" x14ac:dyDescent="0.25">
      <c r="B14" s="2">
        <f t="shared" si="4"/>
        <v>10</v>
      </c>
      <c r="C14" s="1" t="s">
        <v>15</v>
      </c>
      <c r="D14" s="1">
        <v>10</v>
      </c>
      <c r="E14" s="1">
        <v>13</v>
      </c>
      <c r="F14" s="1">
        <v>16</v>
      </c>
      <c r="G14" s="8">
        <f t="shared" si="0"/>
        <v>13</v>
      </c>
      <c r="H14" s="1" t="str">
        <f t="shared" si="1"/>
        <v>Apto</v>
      </c>
      <c r="J14" s="23">
        <f t="shared" si="5"/>
        <v>10</v>
      </c>
      <c r="K14" s="25" t="s">
        <v>15</v>
      </c>
      <c r="L14" s="25" t="s">
        <v>27</v>
      </c>
      <c r="M14" s="16">
        <v>10</v>
      </c>
      <c r="N14" s="16">
        <v>13</v>
      </c>
      <c r="O14" s="16">
        <v>16</v>
      </c>
      <c r="P14" s="16">
        <f t="shared" si="2"/>
        <v>13</v>
      </c>
      <c r="Q14" s="27" t="str">
        <f t="shared" si="3"/>
        <v>Apto</v>
      </c>
    </row>
    <row r="15" spans="2:17" x14ac:dyDescent="0.25">
      <c r="J15" s="22">
        <f>J14+1</f>
        <v>11</v>
      </c>
      <c r="K15" s="24" t="s">
        <v>25</v>
      </c>
      <c r="L15" s="24" t="s">
        <v>27</v>
      </c>
      <c r="M15" s="8">
        <v>12</v>
      </c>
      <c r="N15" s="8">
        <v>16</v>
      </c>
      <c r="O15" s="8">
        <v>19</v>
      </c>
      <c r="P15" s="8">
        <f>AVERAGE(M15:O15)</f>
        <v>15.666666666666666</v>
      </c>
      <c r="Q15" s="26" t="str">
        <f>IF(P15&gt;9,"Apto","Não")</f>
        <v>Apto</v>
      </c>
    </row>
    <row r="16" spans="2:17" x14ac:dyDescent="0.25">
      <c r="J16" s="22">
        <f>J15+1</f>
        <v>12</v>
      </c>
      <c r="K16" s="24" t="s">
        <v>29</v>
      </c>
      <c r="L16" s="25" t="s">
        <v>28</v>
      </c>
      <c r="M16" s="8">
        <v>12</v>
      </c>
      <c r="N16" s="8">
        <v>10</v>
      </c>
      <c r="O16" s="8">
        <v>16</v>
      </c>
      <c r="P16" s="8">
        <f>AVERAGE(M16:O16)</f>
        <v>12.666666666666666</v>
      </c>
      <c r="Q16" s="26" t="str">
        <f>IF(P16&gt;9,"Apto","Não")</f>
        <v>Apto</v>
      </c>
    </row>
    <row r="17" spans="2:8" x14ac:dyDescent="0.25">
      <c r="B17" s="10" t="s">
        <v>0</v>
      </c>
      <c r="C17" s="10" t="s">
        <v>1</v>
      </c>
      <c r="D17" s="10" t="s">
        <v>2</v>
      </c>
      <c r="E17" s="10" t="s">
        <v>3</v>
      </c>
      <c r="F17" s="10" t="s">
        <v>4</v>
      </c>
      <c r="G17" s="10" t="s">
        <v>5</v>
      </c>
      <c r="H17" s="10" t="s">
        <v>17</v>
      </c>
    </row>
    <row r="18" spans="2:8" x14ac:dyDescent="0.25">
      <c r="B18" s="17">
        <v>1</v>
      </c>
      <c r="C18" s="11" t="s">
        <v>6</v>
      </c>
      <c r="D18" s="11">
        <v>6</v>
      </c>
      <c r="E18" s="11">
        <v>16</v>
      </c>
      <c r="F18" s="11">
        <v>3</v>
      </c>
      <c r="G18" s="12">
        <f>AVERAGE(D18:F18)</f>
        <v>8.3333333333333339</v>
      </c>
      <c r="H18" s="11" t="str">
        <f>IF(G18&gt;9,"Apto","Não")</f>
        <v>Não</v>
      </c>
    </row>
    <row r="19" spans="2:8" x14ac:dyDescent="0.25">
      <c r="B19" s="2">
        <f>B18+1</f>
        <v>2</v>
      </c>
      <c r="C19" s="1" t="s">
        <v>7</v>
      </c>
      <c r="D19" s="1">
        <v>11</v>
      </c>
      <c r="E19" s="1">
        <v>17</v>
      </c>
      <c r="F19" s="1">
        <v>10</v>
      </c>
      <c r="G19" s="8">
        <f t="shared" ref="G19:G28" si="6">AVERAGE(D19:F19)</f>
        <v>12.666666666666666</v>
      </c>
      <c r="H19" s="1" t="str">
        <f t="shared" ref="H19:H28" si="7">IF(G19&gt;9,"Apto","Não")</f>
        <v>Apto</v>
      </c>
    </row>
    <row r="20" spans="2:8" x14ac:dyDescent="0.25">
      <c r="B20" s="17">
        <f t="shared" ref="B20:B26" si="8">B19+1</f>
        <v>3</v>
      </c>
      <c r="C20" s="11" t="s">
        <v>8</v>
      </c>
      <c r="D20" s="11">
        <v>13</v>
      </c>
      <c r="E20" s="11">
        <v>5</v>
      </c>
      <c r="F20" s="11">
        <v>6</v>
      </c>
      <c r="G20" s="12">
        <f t="shared" si="6"/>
        <v>8</v>
      </c>
      <c r="H20" s="11" t="str">
        <f t="shared" si="7"/>
        <v>Não</v>
      </c>
    </row>
    <row r="21" spans="2:8" x14ac:dyDescent="0.25">
      <c r="B21" s="2">
        <f t="shared" si="8"/>
        <v>4</v>
      </c>
      <c r="C21" s="1" t="s">
        <v>9</v>
      </c>
      <c r="D21" s="1">
        <v>7</v>
      </c>
      <c r="E21" s="1">
        <v>7</v>
      </c>
      <c r="F21" s="1">
        <v>10</v>
      </c>
      <c r="G21" s="8">
        <f t="shared" si="6"/>
        <v>8</v>
      </c>
      <c r="H21" s="1" t="str">
        <f t="shared" si="7"/>
        <v>Não</v>
      </c>
    </row>
    <row r="22" spans="2:8" x14ac:dyDescent="0.25">
      <c r="B22" s="17">
        <f t="shared" si="8"/>
        <v>5</v>
      </c>
      <c r="C22" s="11" t="s">
        <v>10</v>
      </c>
      <c r="D22" s="11">
        <v>17</v>
      </c>
      <c r="E22" s="11">
        <v>10</v>
      </c>
      <c r="F22" s="11">
        <v>11</v>
      </c>
      <c r="G22" s="12">
        <f t="shared" si="6"/>
        <v>12.666666666666666</v>
      </c>
      <c r="H22" s="11" t="str">
        <f t="shared" si="7"/>
        <v>Apto</v>
      </c>
    </row>
    <row r="23" spans="2:8" x14ac:dyDescent="0.25">
      <c r="B23" s="2">
        <f t="shared" si="8"/>
        <v>6</v>
      </c>
      <c r="C23" s="1" t="s">
        <v>12</v>
      </c>
      <c r="D23" s="1">
        <v>14</v>
      </c>
      <c r="E23" s="1">
        <v>18</v>
      </c>
      <c r="F23" s="1">
        <v>19</v>
      </c>
      <c r="G23" s="8">
        <f t="shared" si="6"/>
        <v>17</v>
      </c>
      <c r="H23" s="1" t="str">
        <f t="shared" si="7"/>
        <v>Apto</v>
      </c>
    </row>
    <row r="24" spans="2:8" x14ac:dyDescent="0.25">
      <c r="B24" s="17">
        <f t="shared" si="8"/>
        <v>7</v>
      </c>
      <c r="C24" s="11" t="s">
        <v>11</v>
      </c>
      <c r="D24" s="11">
        <v>9</v>
      </c>
      <c r="E24" s="11">
        <v>4</v>
      </c>
      <c r="F24" s="11">
        <v>7</v>
      </c>
      <c r="G24" s="12">
        <f t="shared" si="6"/>
        <v>6.666666666666667</v>
      </c>
      <c r="H24" s="11" t="str">
        <f t="shared" si="7"/>
        <v>Não</v>
      </c>
    </row>
    <row r="25" spans="2:8" x14ac:dyDescent="0.25">
      <c r="B25" s="2">
        <f t="shared" si="8"/>
        <v>8</v>
      </c>
      <c r="C25" s="1" t="s">
        <v>13</v>
      </c>
      <c r="D25" s="1">
        <v>18</v>
      </c>
      <c r="E25" s="1">
        <v>16</v>
      </c>
      <c r="F25" s="1">
        <v>9</v>
      </c>
      <c r="G25" s="8">
        <f t="shared" si="6"/>
        <v>14.333333333333334</v>
      </c>
      <c r="H25" s="1" t="str">
        <f t="shared" si="7"/>
        <v>Apto</v>
      </c>
    </row>
    <row r="26" spans="2:8" x14ac:dyDescent="0.25">
      <c r="B26" s="17">
        <f t="shared" si="8"/>
        <v>9</v>
      </c>
      <c r="C26" s="11" t="s">
        <v>14</v>
      </c>
      <c r="D26" s="11">
        <v>20</v>
      </c>
      <c r="E26" s="11">
        <v>6</v>
      </c>
      <c r="F26" s="11">
        <v>8</v>
      </c>
      <c r="G26" s="12">
        <f t="shared" si="6"/>
        <v>11.333333333333334</v>
      </c>
      <c r="H26" s="11" t="str">
        <f t="shared" si="7"/>
        <v>Apto</v>
      </c>
    </row>
    <row r="27" spans="2:8" x14ac:dyDescent="0.25">
      <c r="B27" s="17"/>
      <c r="C27" s="11"/>
      <c r="D27" s="11"/>
      <c r="E27" s="11"/>
      <c r="F27" s="11"/>
      <c r="G27" s="12"/>
      <c r="H27" s="11"/>
    </row>
    <row r="28" spans="2:8" x14ac:dyDescent="0.25">
      <c r="B28" s="2">
        <f>B26+1</f>
        <v>10</v>
      </c>
      <c r="C28" s="1" t="s">
        <v>15</v>
      </c>
      <c r="D28" s="1">
        <v>10</v>
      </c>
      <c r="E28" s="1">
        <v>13</v>
      </c>
      <c r="F28" s="1">
        <v>16</v>
      </c>
      <c r="G28" s="8">
        <f t="shared" si="6"/>
        <v>13</v>
      </c>
      <c r="H28" s="1" t="str">
        <f t="shared" si="7"/>
        <v>Apto</v>
      </c>
    </row>
  </sheetData>
  <autoFilter ref="B17:H17"/>
  <conditionalFormatting sqref="G5:G14 P15:P16">
    <cfRule type="cellIs" dxfId="773" priority="9" operator="lessThan">
      <formula>10</formula>
    </cfRule>
    <cfRule type="cellIs" dxfId="772" priority="10" operator="greaterThan">
      <formula>9</formula>
    </cfRule>
  </conditionalFormatting>
  <conditionalFormatting sqref="P5:P16">
    <cfRule type="cellIs" dxfId="771" priority="7" operator="lessThan">
      <formula>10</formula>
    </cfRule>
    <cfRule type="cellIs" dxfId="770" priority="8" operator="greaterThan">
      <formula>9</formula>
    </cfRule>
  </conditionalFormatting>
  <conditionalFormatting sqref="G19 G21 G23 G25 G28">
    <cfRule type="cellIs" dxfId="769" priority="5" operator="lessThan">
      <formula>10</formula>
    </cfRule>
    <cfRule type="cellIs" dxfId="768" priority="6" operator="greaterThan">
      <formula>9</formula>
    </cfRule>
  </conditionalFormatting>
  <pageMargins left="0.511811024" right="0.511811024" top="0.78740157499999996" bottom="0.78740157499999996" header="0.31496062000000002" footer="0.31496062000000002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L4:N6"/>
  <sheetViews>
    <sheetView showGridLines="0" tabSelected="1" zoomScaleNormal="100" workbookViewId="0"/>
  </sheetViews>
  <sheetFormatPr defaultRowHeight="15" x14ac:dyDescent="0.25"/>
  <sheetData>
    <row r="4" spans="12:14" ht="21" x14ac:dyDescent="0.35">
      <c r="L4" s="28" t="s">
        <v>31</v>
      </c>
      <c r="M4" s="28"/>
      <c r="N4" s="29">
        <f>COUNTA(Pivots!A5:A16)</f>
        <v>8</v>
      </c>
    </row>
    <row r="6" spans="12:14" x14ac:dyDescent="0.25">
      <c r="N6" s="3"/>
    </row>
  </sheetData>
  <mergeCells count="1">
    <mergeCell ref="L4:M4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Pivots</vt:lpstr>
      <vt:lpstr>Tabela dinamica recomendada</vt:lpstr>
      <vt:lpstr>Pauta final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Aniceto José Jolela</dc:creator>
  <cp:lastModifiedBy>Aniceto José Jolela</cp:lastModifiedBy>
  <dcterms:created xsi:type="dcterms:W3CDTF">2026-05-09T07:39:36Z</dcterms:created>
  <dcterms:modified xsi:type="dcterms:W3CDTF">2026-05-09T11:21:02Z</dcterms:modified>
</cp:coreProperties>
</file>