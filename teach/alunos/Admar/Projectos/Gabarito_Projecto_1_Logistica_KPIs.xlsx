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5397b9437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nciado" sheetId="1" r:id="Rdb424cde650b494f"/>
    <x:sheet xmlns:r="http://schemas.openxmlformats.org/officeDocument/2006/relationships" name="Entregas" sheetId="2" r:id="Rf4381a5f1be34991"/>
    <x:sheet xmlns:r="http://schemas.openxmlformats.org/officeDocument/2006/relationships" name="Painel_KPI" sheetId="3" r:id="R2094e1a0d6154f72"/>
    <x:sheet xmlns:r="http://schemas.openxmlformats.org/officeDocument/2006/relationships" name="Metas_KPI" sheetId="4" r:id="R5e82a017cd0a481d"/>
    <x:sheet xmlns:r="http://schemas.openxmlformats.org/officeDocument/2006/relationships" name="Avaliacao" sheetId="5" r:id="Rd2117493ddb3450b"/>
    <x:sheet xmlns:r="http://schemas.openxmlformats.org/officeDocument/2006/relationships" name="Gabarito_Formador" sheetId="6" r:id="Rd1af84a03b19455a"/>
    <x:sheet xmlns:r="http://schemas.openxmlformats.org/officeDocument/2006/relationships" name="Dashboard_Modelo" sheetId="7" r:id="R8eb97530235a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/mm/yyyy"/>
    <x:numFmt numFmtId="201" formatCode="#,##0 &quot;AOA&quot;"/>
    <x:numFmt numFmtId="202" formatCode="0.0%"/>
    <x:numFmt numFmtId="203" formatCode="0.00%"/>
    <x:numFmt numFmtId="204" formatCode="0.00"/>
    <x:numFmt numFmtId="205" formatCode="#,##0.00"/>
    <x:numFmt numFmtId="206" formatCode="0"/>
    <x:numFmt numFmtId="207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6D7E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5B4500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5CAB"/>
      </x:patternFill>
    </x:fill>
    <x:fill>
      <x:patternFill patternType="solid">
        <x:fgColor rgb="FFF4F6F7"/>
      </x:patternFill>
    </x:fill>
    <x:fill>
      <x:patternFill patternType="solid">
        <x:fgColor rgb="FFDCEAF7"/>
      </x:patternFill>
    </x:fill>
    <x:fill>
      <x:patternFill patternType="solid">
        <x:fgColor rgb="FF1565A8"/>
      </x:patternFill>
    </x:fill>
    <x:fill>
      <x:patternFill patternType="solid">
        <x:fgColor rgb="FFFFF4CC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203" fontId="5" fillId="6" borderId="0" xfId="0" applyNumberFormat="1" applyFont="1" applyFill="1" applyBorder="1" applyAlignment="1">
      <x:alignment wrapText="1"/>
    </x:xf>
    <x:xf numFmtId="204" fontId="5" fillId="6" borderId="0" xfId="0" applyNumberFormat="1" applyFont="1" applyFill="1" applyBorder="1" applyAlignment="1">
      <x:alignment wrapText="1"/>
    </x:xf>
    <x:xf numFmtId="205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3" fontId="9" fillId="10" borderId="0" xfId="0" applyNumberFormat="1" applyFont="1" applyFill="1" applyBorder="1"/>
    <x:xf numFmtId="203" fontId="9" fillId="10" borderId="0" xfId="0" applyNumberFormat="1" applyFont="1" applyFill="1" applyBorder="1" applyAlignment="1">
      <x:alignment horizontal="center"/>
    </x:xf>
    <x:xf numFmtId="203" fontId="9" fillId="10" borderId="0" xfId="0" applyNumberFormat="1" applyFont="1" applyFill="1" applyBorder="1" applyAlignment="1">
      <x:alignment horizontal="center" vertical="center"/>
    </x:xf>
    <x:xf numFmtId="204" fontId="9" fillId="10" borderId="0" xfId="0" applyNumberFormat="1" applyFont="1" applyFill="1" applyBorder="1"/>
    <x:xf numFmtId="204" fontId="9" fillId="10" borderId="0" xfId="0" applyNumberFormat="1" applyFont="1" applyFill="1" applyBorder="1" applyAlignment="1">
      <x:alignment horizontal="center"/>
    </x:xf>
    <x:xf numFmtId="204" fontId="9" fillId="10" borderId="0" xfId="0" applyNumberFormat="1" applyFont="1" applyFill="1" applyBorder="1" applyAlignment="1">
      <x:alignment horizontal="center" vertical="center"/>
    </x:xf>
    <x:xf numFmtId="207" fontId="9" fillId="10" borderId="0" xfId="0" applyNumberFormat="1" applyFont="1" applyFill="1" applyBorder="1"/>
    <x:xf numFmtId="207" fontId="9" fillId="10" borderId="0" xfId="0" applyNumberFormat="1" applyFont="1" applyFill="1" applyBorder="1" applyAlignment="1">
      <x:alignment horizontal="center"/>
    </x:xf>
    <x:xf numFmtId="207" fontId="9" fillId="10" borderId="0" xfId="0" applyNumberFormat="1" applyFont="1" applyFill="1" applyBorder="1" applyAlignment="1">
      <x:alignment horizontal="center" vertical="center"/>
    </x:xf>
    <x:xf numFmtId="205" fontId="9" fillId="10" borderId="0" xfId="0" applyNumberFormat="1" applyFont="1" applyFill="1" applyBorder="1"/>
    <x:xf numFmtId="205" fontId="9" fillId="10" borderId="0" xfId="0" applyNumberFormat="1" applyFont="1" applyFill="1" applyBorder="1" applyAlignment="1">
      <x:alignment horizontal="center"/>
    </x:xf>
    <x:xf numFmtId="205" fontId="9" fillId="10" borderId="0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842029"/>
      </x:font>
      <x:fill>
        <x:patternFill>
          <x:bgColor rgb="FFF8D7DA"/>
        </x:patternFill>
      </x:fill>
    </x:dxf>
    <x:dxf>
      <x:font>
        <x:color rgb="FF1B5E20"/>
      </x:font>
      <x:fill>
        <x:patternFill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491a8f3fa4d47" /><Relationship Type="http://schemas.openxmlformats.org/officeDocument/2006/relationships/theme" Target="/xl/theme/theme1.xml" Id="R168175e3e9944b4d" /><Relationship Type="http://schemas.openxmlformats.org/officeDocument/2006/relationships/sharedStrings" Target="/xl/sharedStrings.xml" Id="R8a1d6027417846c4" /><Relationship Type="http://schemas.openxmlformats.org/officeDocument/2006/relationships/worksheet" Target="/xl/worksheets/sheet1.xml" Id="Rdb424cde650b494f" /><Relationship Type="http://schemas.openxmlformats.org/officeDocument/2006/relationships/worksheet" Target="/xl/worksheets/sheet2.xml" Id="Rf4381a5f1be34991" /><Relationship Type="http://schemas.openxmlformats.org/officeDocument/2006/relationships/worksheet" Target="/xl/worksheets/sheet3.xml" Id="R2094e1a0d6154f72" /><Relationship Type="http://schemas.openxmlformats.org/officeDocument/2006/relationships/worksheet" Target="/xl/worksheets/sheet4.xml" Id="R5e82a017cd0a481d" /><Relationship Type="http://schemas.openxmlformats.org/officeDocument/2006/relationships/worksheet" Target="/xl/worksheets/sheet5.xml" Id="Rd2117493ddb3450b" /><Relationship Type="http://schemas.openxmlformats.org/officeDocument/2006/relationships/worksheet" Target="/xl/worksheets/sheet6.xml" Id="Rd1af84a03b19455a" /><Relationship Type="http://schemas.openxmlformats.org/officeDocument/2006/relationships/worksheet" Target="/xl/worksheets/sheet7.xml" Id="R8eb97530235a47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de9ed9fc4841c1" /><Relationship Type="http://schemas.openxmlformats.org/officeDocument/2006/relationships/chart" Target="/xl/drawings/charts/chart2.xml" Id="Ra2ea2cbab3524b0e" /><Relationship Type="http://schemas.openxmlformats.org/officeDocument/2006/relationships/chart" Target="/xl/drawings/charts/chart3.xml" Id="Rfc70a0a36ded43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OTIF por Área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OTIF</c:v>
          </c:tx>
          <c:cat>
            <c:strRef>
              <c:f>'Dashboard_Modelo'!$A$14:$A$27</c:f>
              <c:strCache>
                <c:ptCount val="0"/>
              </c:strCache>
            </c:strRef>
          </c:cat>
          <c:val>
            <c:numRef>
              <c:f>'Dashboard_Modelo'!$B$14:$B$27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Principais Motivos de Atraso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Qtd.</c:v>
          </c:tx>
          <c:cat>
            <c:strRef>
              <c:f>'Dashboard_Modelo'!$E$14:$E$18</c:f>
              <c:strCache>
                <c:ptCount val="0"/>
              </c:strCache>
            </c:strRef>
          </c:cat>
          <c:val>
            <c:numRef>
              <c:f>'Dashboard_Modelo'!$F$14:$F$18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Médio por km — Viaturas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 médio AOA/km</c:v>
          </c:tx>
          <c:cat>
            <c:strRef>
              <c:f>'Dashboard_Modelo'!$A$32:$A$41</c:f>
              <c:strCache>
                <c:ptCount val="0"/>
              </c:strCache>
            </c:strRef>
          </c:cat>
          <c:val>
            <c:numRef>
              <c:f>'Dashboard_Modelo'!$B$32:$B$41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de9ed9fc4841c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a2cbab3524b0e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0a0a36ded43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tregasBasico" displayName="EntregasBasico" ref="A1:T851" headerRowCount="1" totalsRowCount="0" totalsRowShown="0">
  <x:tableColumns count="20">
    <x:tableColumn id="1" name="ID_Entrega"/>
    <x:tableColumn id="2" name="Data_Pedido"/>
    <x:tableColumn id="3" name="Data_Prometida"/>
    <x:tableColumn id="4" name="Data_Entrega"/>
    <x:tableColumn id="5" name="Cliente"/>
    <x:tableColumn id="6" name="Area_Destino"/>
    <x:tableColumn id="7" name="Motorista"/>
    <x:tableColumn id="8" name="Viatura"/>
    <x:tableColumn id="9" name="Modelo_Viatura"/>
    <x:tableColumn id="10" name="Capacidade_kg"/>
    <x:tableColumn id="11" name="Qtde_Pedida"/>
    <x:tableColumn id="12" name="Qtde_Entregue"/>
    <x:tableColumn id="13" name="Peso_Carga_kg"/>
    <x:tableColumn id="14" name="Distancia_km"/>
    <x:tableColumn id="15" name="Valor_Pedido_AOA"/>
    <x:tableColumn id="16" name="Custo_Transporte_AOA"/>
    <x:tableColumn id="17" name="Status"/>
    <x:tableColumn id="18" name="Motivo_Atraso"/>
    <x:tableColumn id="19" name="Devolucao"/>
    <x:tableColumn id="20" name="Ava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2a1ac21ff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0577975f05f4d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72" hidden="0" customWidth="1"/>
  </x:cols>
  <x:sheetData>
    <x:row r="1" ht="28" customHeight="1">
      <x:c r="A1" s="5" t="str">
        <x:v>PROJECTO 1 — LOGÍSTICA: KPIs DE ENTREGAS (NÍVEL BÁSICO)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2" t="str">
        <x:v>Cenário sintético realista de uma operação de distribuição em Luanda. O formando deve transformar dados brutos em indicadores de desempenho.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OBJECTIVO DO PROJECTO</x:v>
      </x:c>
      <x:c r="B4" s="19"/>
      <x:c r="C4" s="19"/>
      <x:c r="D4" s="19"/>
      <x:c r="E4" s="19"/>
      <x:c r="F4" s="19"/>
      <x:c r="G4" s="19"/>
      <x:c r="H4" s="19"/>
    </x:row>
    <x:row r="5">
      <x:c r="A5" s="24" t="str">
        <x:v>Analisar o desempenho de entregas de uma empresa logística, calcular KPIs operacionais e construir um painel simples que permita identificar atrasos, falhas, custos e nível de serviço.</x:v>
      </x:c>
      <x:c r="B5" s="24"/>
      <x:c r="C5" s="24"/>
      <x:c r="D5" s="24"/>
      <x:c r="E5" s="24"/>
      <x:c r="F5" s="24"/>
      <x:c r="G5" s="24"/>
      <x:c r="H5" s="24"/>
    </x:row>
    <x:row r="6">
      <x:c r="A6" s="24"/>
      <x:c r="B6" s="24"/>
      <x:c r="C6" s="24"/>
      <x:c r="D6" s="24"/>
      <x:c r="E6" s="24"/>
      <x:c r="F6" s="24"/>
      <x:c r="G6" s="24"/>
      <x:c r="H6" s="24"/>
    </x:row>
    <x:row r="8">
      <x:c r="A8" s="30" t="str">
        <x:v>Etapa</x:v>
      </x:c>
      <x:c r="B8" s="30" t="str">
        <x:v>Tarefa</x:v>
      </x:c>
      <x:c r="C8" s="30" t="str">
        <x:v>Requisito</x:v>
      </x:c>
    </x:row>
    <x:row r="9">
      <x:c r="A9" s="24" t="n">
        <x:v>1</x:v>
      </x:c>
      <x:c r="B9" s="24" t="str">
        <x:v>Preparar a base</x:v>
      </x:c>
      <x:c r="C9" s="24" t="str">
        <x:v>Converter a base Entregas em tabela, aplicar filtros, formatos de data e moeda e validar tipos de dados.</x:v>
      </x:c>
    </x:row>
    <x:row r="10">
      <x:c r="A10" s="24" t="n">
        <x:v>2</x:v>
      </x:c>
      <x:c r="B10" s="24" t="str">
        <x:v>Criar colunas auxiliares</x:v>
      </x:c>
      <x:c r="C10" s="24" t="str">
        <x:v>Criar indicadores lógicos para: No Prazo, Entrega Completa, OTIF, Lead Time e Utilização da Viatura.</x:v>
      </x:c>
    </x:row>
    <x:row r="11">
      <x:c r="A11" s="24" t="n">
        <x:v>3</x:v>
      </x:c>
      <x:c r="B11" s="24" t="str">
        <x:v>Calcular KPIs</x:v>
      </x:c>
      <x:c r="C11" s="24" t="str">
        <x:v>Apurar os KPIs da folha Painel_KPI usando fórmulas, funções condicionais ou tabelas dinâmicas.</x:v>
      </x:c>
    </x:row>
    <x:row r="12">
      <x:c r="A12" s="24" t="n">
        <x:v>4</x:v>
      </x:c>
      <x:c r="B12" s="24" t="str">
        <x:v>Analisar desvios</x:v>
      </x:c>
      <x:c r="C12" s="24" t="str">
        <x:v>Identificar áreas, motoristas e viaturas com maior incidência de atrasos e falhas.</x:v>
      </x:c>
    </x:row>
    <x:row r="13">
      <x:c r="A13" s="24" t="n">
        <x:v>5</x:v>
      </x:c>
      <x:c r="B13" s="24" t="str">
        <x:v>Visualizar</x:v>
      </x:c>
      <x:c r="C13" s="24" t="str">
        <x:v>Criar pelo menos 3 gráficos: entregas por status, OTIF por área e custo de transporte por área/viatura.</x:v>
      </x:c>
    </x:row>
    <x:row r="14">
      <x:c r="A14" s="24" t="n">
        <x:v>6</x:v>
      </x:c>
      <x:c r="B14" s="24" t="str">
        <x:v>Dashboard</x:v>
      </x:c>
      <x:c r="C14" s="24" t="str">
        <x:v>Organizar os KPIs e gráficos numa página executiva, com filtros por período, área e motorista.</x:v>
      </x:c>
    </x:row>
    <x:row r="15">
      <x:c r="A15" s="24" t="n">
        <x:v>7</x:v>
      </x:c>
      <x:c r="B15" s="24" t="str">
        <x:v>Conclusão</x:v>
      </x:c>
      <x:c r="C15" s="24" t="str">
        <x:v>Escrever 3 conclusões e 3 acções de melhoria com base nos dados.</x:v>
      </x:c>
    </x:row>
    <x:row r="17">
      <x:c r="A17" s="19" t="str">
        <x:v>REGRAS</x:v>
      </x:c>
      <x:c r="B17" s="19"/>
      <x:c r="C17" s="19"/>
      <x:c r="D17" s="19"/>
      <x:c r="E17" s="19"/>
      <x:c r="F17" s="19"/>
      <x:c r="G17" s="19"/>
      <x:c r="H17" s="19"/>
    </x:row>
    <x:row r="18">
      <x:c r="A18" s="24" t="str">
        <x:v>• Não alterar os dados originais.
• Todos os KPIs devem ser calculados no Excel, sem inserir resultados manualmente.
• O dashboard deve ser compreensível por um gestor sem necessidade de abrir a base.
• Os dados são fictícios/sintéticos, mas foram gerados com relações e valores plausíveis para uma operação real.</x:v>
      </x:c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</x:sheetData>
  <x:mergeCells>
    <x:mergeCell ref="A1:H1"/>
    <x:mergeCell ref="A2:H2"/>
    <x:mergeCell ref="A4:H4"/>
    <x:mergeCell ref="A5:H6"/>
    <x:mergeCell ref="A17:H17"/>
    <x:mergeCell ref="A18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27" hidden="0" customWidth="1"/>
    <x:col min="6" max="6" width="17" hidden="0" customWidth="1"/>
    <x:col min="7" max="7" width="19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24" hidden="0" customWidth="1"/>
    <x:col min="19" max="19" width="12" hidden="0" customWidth="1"/>
    <x:col min="20" max="20" width="10" hidden="0" customWidth="1"/>
  </x:cols>
  <x:sheetData>
    <x:row r="1" ht="19" customHeight="1">
      <x:c r="A1" s="36" t="str">
        <x:v>ID_Entrega</x:v>
      </x:c>
      <x:c r="B1" s="36" t="str">
        <x:v>Data_Pedido</x:v>
      </x:c>
      <x:c r="C1" s="36" t="str">
        <x:v>Data_Prometida</x:v>
      </x:c>
      <x:c r="D1" s="36" t="str">
        <x:v>Data_Entrega</x:v>
      </x:c>
      <x:c r="E1" s="36" t="str">
        <x:v>Cliente</x:v>
      </x:c>
      <x:c r="F1" s="36" t="str">
        <x:v>Area_Destino</x:v>
      </x:c>
      <x:c r="G1" s="36" t="str">
        <x:v>Motorista</x:v>
      </x:c>
      <x:c r="H1" s="36" t="str">
        <x:v>Viatura</x:v>
      </x:c>
      <x:c r="I1" s="36" t="str">
        <x:v>Modelo_Viatura</x:v>
      </x:c>
      <x:c r="J1" s="36" t="str">
        <x:v>Capacidade_kg</x:v>
      </x:c>
      <x:c r="K1" s="36" t="str">
        <x:v>Qtde_Pedida</x:v>
      </x:c>
      <x:c r="L1" s="36" t="str">
        <x:v>Qtde_Entregue</x:v>
      </x:c>
      <x:c r="M1" s="36" t="str">
        <x:v>Peso_Carga_kg</x:v>
      </x:c>
      <x:c r="N1" s="36" t="str">
        <x:v>Distancia_km</x:v>
      </x:c>
      <x:c r="O1" s="36" t="str">
        <x:v>Valor_Pedido_AOA</x:v>
      </x:c>
      <x:c r="P1" s="36" t="str">
        <x:v>Custo_Transporte_AOA</x:v>
      </x:c>
      <x:c r="Q1" s="36" t="str">
        <x:v>Status</x:v>
      </x:c>
      <x:c r="R1" s="36" t="str">
        <x:v>Motivo_Atraso</x:v>
      </x:c>
      <x:c r="S1" s="36" t="str">
        <x:v>Devolucao</x:v>
      </x:c>
      <x:c r="T1" s="36" t="str">
        <x:v>Avaria</x:v>
      </x:c>
    </x:row>
    <x:row r="2" ht="19" customHeight="1">
      <x:c r="A2" s="37" t="str">
        <x:v>ENT-00001</x:v>
      </x:c>
      <x:c r="B2" s="40" t="n">
        <x:v>46231</x:v>
      </x:c>
      <x:c r="C2" s="40" t="n">
        <x:v>46233</x:v>
      </x:c>
      <x:c r="D2" s="40" t="n">
        <x:v>46232</x:v>
      </x:c>
      <x:c r="E2" s="37" t="str">
        <x:v>Cesta Certa, Lda.</x:v>
      </x:c>
      <x:c r="F2" s="37" t="str">
        <x:v>Kikuxi</x:v>
      </x:c>
      <x:c r="G2" s="37" t="str">
        <x:v>Isaías Pedro</x:v>
      </x:c>
      <x:c r="H2" s="37" t="str">
        <x:v>VTR-03</x:v>
      </x:c>
      <x:c r="I2" s="37" t="str">
        <x:v>Toyota Dyna</x:v>
      </x:c>
      <x:c r="J2" s="37" t="n">
        <x:v>3000</x:v>
      </x:c>
      <x:c r="K2" s="37" t="n">
        <x:v>30</x:v>
      </x:c>
      <x:c r="L2" s="37" t="n">
        <x:v>30</x:v>
      </x:c>
      <x:c r="M2" s="37" t="n">
        <x:v>288.7</x:v>
      </x:c>
      <x:c r="N2" s="37" t="n">
        <x:v>30</x:v>
      </x:c>
      <x:c r="O2" s="44" t="n">
        <x:v>191010</x:v>
      </x:c>
      <x:c r="P2" s="44" t="n">
        <x:v>22000</x:v>
      </x:c>
      <x:c r="Q2" s="37" t="str">
        <x:v>Entregue</x:v>
      </x:c>
      <x:c r="R2" s="37" t="str"/>
      <x:c r="S2" s="37" t="str">
        <x:v>Nao</x:v>
      </x:c>
      <x:c r="T2" s="37" t="str">
        <x:v>Nao</x:v>
      </x:c>
    </x:row>
    <x:row r="3" ht="19" customHeight="1">
      <x:c r="A3" s="37" t="str">
        <x:v>ENT-00002</x:v>
      </x:c>
      <x:c r="B3" s="40" t="n">
        <x:v>46256</x:v>
      </x:c>
      <x:c r="C3" s="40" t="n">
        <x:v>46257</x:v>
      </x:c>
      <x:c r="D3" s="40" t="n">
        <x:v>46258</x:v>
      </x:c>
      <x:c r="E3" s="37" t="str">
        <x:v>Cesta Certa, Lda.</x:v>
      </x:c>
      <x:c r="F3" s="37" t="str">
        <x:v>Ingombota</x:v>
      </x:c>
      <x:c r="G3" s="37" t="str">
        <x:v>Lucas Tomás</x:v>
      </x:c>
      <x:c r="H3" s="37" t="str">
        <x:v>VTR-01</x:v>
      </x:c>
      <x:c r="I3" s="37" t="str">
        <x:v>Kia K2700</x:v>
      </x:c>
      <x:c r="J3" s="37" t="n">
        <x:v>1500</x:v>
      </x:c>
      <x:c r="K3" s="37" t="n">
        <x:v>44</x:v>
      </x:c>
      <x:c r="L3" s="37" t="n">
        <x:v>44</x:v>
      </x:c>
      <x:c r="M3" s="37" t="n">
        <x:v>691.8</x:v>
      </x:c>
      <x:c r="N3" s="37" t="n">
        <x:v>12</x:v>
      </x:c>
      <x:c r="O3" s="44" t="n">
        <x:v>204864</x:v>
      </x:c>
      <x:c r="P3" s="44" t="n">
        <x:v>22000</x:v>
      </x:c>
      <x:c r="Q3" s="37" t="str">
        <x:v>Entregue</x:v>
      </x:c>
      <x:c r="R3" s="37" t="str">
        <x:v>Chuva/condicao da via</x:v>
      </x:c>
      <x:c r="S3" s="37" t="str">
        <x:v>Nao</x:v>
      </x:c>
      <x:c r="T3" s="37" t="str">
        <x:v>Nao</x:v>
      </x:c>
    </x:row>
    <x:row r="4" ht="19" customHeight="1">
      <x:c r="A4" s="37" t="str">
        <x:v>ENT-00003</x:v>
      </x:c>
      <x:c r="B4" s="40" t="n">
        <x:v>46217</x:v>
      </x:c>
      <x:c r="C4" s="40" t="n">
        <x:v>46219</x:v>
      </x:c>
      <x:c r="D4" s="40" t="n">
        <x:v>46220</x:v>
      </x:c>
      <x:c r="E4" s="37" t="str">
        <x:v>Kwanza Distribuição, Lda.</x:v>
      </x:c>
      <x:c r="F4" s="37" t="str">
        <x:v>Viana</x:v>
      </x:c>
      <x:c r="G4" s="37" t="str">
        <x:v>Carlos Mateus</x:v>
      </x:c>
      <x:c r="H4" s="37" t="str">
        <x:v>VTR-09</x:v>
      </x:c>
      <x:c r="I4" s="37" t="str">
        <x:v>Toyota Hilux</x:v>
      </x:c>
      <x:c r="J4" s="37" t="n">
        <x:v>1000</x:v>
      </x:c>
      <x:c r="K4" s="37" t="n">
        <x:v>39</x:v>
      </x:c>
      <x:c r="L4" s="37" t="n">
        <x:v>39</x:v>
      </x:c>
      <x:c r="M4" s="37" t="n">
        <x:v>539.5</x:v>
      </x:c>
      <x:c r="N4" s="37" t="n">
        <x:v>26</x:v>
      </x:c>
      <x:c r="O4" s="44" t="n">
        <x:v>839982</x:v>
      </x:c>
      <x:c r="P4" s="44" t="n">
        <x:v>27000</x:v>
      </x:c>
      <x:c r="Q4" s="37" t="str">
        <x:v>Entregue</x:v>
      </x:c>
      <x:c r="R4" s="37" t="str">
        <x:v>Atraso no carregamento</x:v>
      </x:c>
      <x:c r="S4" s="37" t="str">
        <x:v>Sim</x:v>
      </x:c>
      <x:c r="T4" s="37" t="str">
        <x:v>Nao</x:v>
      </x:c>
    </x:row>
    <x:row r="5" ht="19" customHeight="1">
      <x:c r="A5" s="37" t="str">
        <x:v>ENT-00004</x:v>
      </x:c>
      <x:c r="B5" s="40" t="n">
        <x:v>46254</x:v>
      </x:c>
      <x:c r="C5" s="40" t="n">
        <x:v>46257</x:v>
      </x:c>
      <x:c r="D5" s="40" t="n">
        <x:v>46257</x:v>
      </x:c>
      <x:c r="E5" s="37" t="str">
        <x:v>Rota Azul, Lda.</x:v>
      </x:c>
      <x:c r="F5" s="37" t="str">
        <x:v>Patriota</x:v>
      </x:c>
      <x:c r="G5" s="37" t="str">
        <x:v>Elísio António</x:v>
      </x:c>
      <x:c r="H5" s="37" t="str">
        <x:v>VTR-10</x:v>
      </x:c>
      <x:c r="I5" s="37" t="str">
        <x:v>Foton Aumark</x:v>
      </x:c>
      <x:c r="J5" s="37" t="n">
        <x:v>4000</x:v>
      </x:c>
      <x:c r="K5" s="37" t="n">
        <x:v>81</x:v>
      </x:c>
      <x:c r="L5" s="37" t="n">
        <x:v>81</x:v>
      </x:c>
      <x:c r="M5" s="37" t="n">
        <x:v>1481.9</x:v>
      </x:c>
      <x:c r="N5" s="37" t="n">
        <x:v>40</x:v>
      </x:c>
      <x:c r="O5" s="44" t="n">
        <x:v>1576503</x:v>
      </x:c>
      <x:c r="P5" s="44" t="n">
        <x:v>54500</x:v>
      </x:c>
      <x:c r="Q5" s="37" t="str">
        <x:v>Entregue</x:v>
      </x:c>
      <x:c r="R5" s="37" t="str"/>
      <x:c r="S5" s="37" t="str">
        <x:v>Nao</x:v>
      </x:c>
      <x:c r="T5" s="37" t="str">
        <x:v>Nao</x:v>
      </x:c>
    </x:row>
    <x:row r="6" ht="19" customHeight="1">
      <x:c r="A6" s="37" t="str">
        <x:v>ENT-00005</x:v>
      </x:c>
      <x:c r="B6" s="40" t="n">
        <x:v>46209</x:v>
      </x:c>
      <x:c r="C6" s="40" t="n">
        <x:v>46211</x:v>
      </x:c>
      <x:c r="D6" s="40" t="n">
        <x:v>46210</x:v>
      </x:c>
      <x:c r="E6" s="37" t="str">
        <x:v>Via Certa Serviços, Lda.</x:v>
      </x:c>
      <x:c r="F6" s="37" t="str">
        <x:v>Patriota</x:v>
      </x:c>
      <x:c r="G6" s="37" t="str">
        <x:v>Elísio António</x:v>
      </x:c>
      <x:c r="H6" s="37" t="str">
        <x:v>VTR-07</x:v>
      </x:c>
      <x:c r="I6" s="37" t="str">
        <x:v>Isuzu NPR</x:v>
      </x:c>
      <x:c r="J6" s="37" t="n">
        <x:v>5000</x:v>
      </x:c>
      <x:c r="K6" s="37" t="n">
        <x:v>54</x:v>
      </x:c>
      <x:c r="L6" s="37" t="n">
        <x:v>52</x:v>
      </x:c>
      <x:c r="M6" s="37" t="n">
        <x:v>1597.9</x:v>
      </x:c>
      <x:c r="N6" s="37" t="n">
        <x:v>39</x:v>
      </x:c>
      <x:c r="O6" s="44" t="n">
        <x:v>1118394</x:v>
      </x:c>
      <x:c r="P6" s="44" t="n">
        <x:v>51500</x:v>
      </x:c>
      <x:c r="Q6" s="37" t="str">
        <x:v>Entregue</x:v>
      </x:c>
      <x:c r="R6" s="37" t="str"/>
      <x:c r="S6" s="37" t="str">
        <x:v>Nao</x:v>
      </x:c>
      <x:c r="T6" s="37" t="str">
        <x:v>Nao</x:v>
      </x:c>
    </x:row>
    <x:row r="7" ht="19" customHeight="1">
      <x:c r="A7" s="37" t="str">
        <x:v>ENT-00006</x:v>
      </x:c>
      <x:c r="B7" s="40" t="n">
        <x:v>46242</x:v>
      </x:c>
      <x:c r="C7" s="40" t="n">
        <x:v>46244</x:v>
      </x:c>
      <x:c r="D7" s="40" t="n">
        <x:v>46244</x:v>
      </x:c>
      <x:c r="E7" s="37" t="str">
        <x:v>Kiala &amp; Filhos, Lda.</x:v>
      </x:c>
      <x:c r="F7" s="37" t="str">
        <x:v>Maianga</x:v>
      </x:c>
      <x:c r="G7" s="37" t="str">
        <x:v>Gilberto José</x:v>
      </x:c>
      <x:c r="H7" s="37" t="str">
        <x:v>VTR-08</x:v>
      </x:c>
      <x:c r="I7" s="37" t="str">
        <x:v>Toyota Hilux</x:v>
      </x:c>
      <x:c r="J7" s="37" t="n">
        <x:v>1000</x:v>
      </x:c>
      <x:c r="K7" s="37" t="n">
        <x:v>6</x:v>
      </x:c>
      <x:c r="L7" s="37" t="n">
        <x:v>6</x:v>
      </x:c>
      <x:c r="M7" s="37" t="n">
        <x:v>191.3</x:v>
      </x:c>
      <x:c r="N7" s="37" t="n">
        <x:v>22</x:v>
      </x:c>
      <x:c r="O7" s="44" t="n">
        <x:v>51756</x:v>
      </x:c>
      <x:c r="P7" s="44" t="n">
        <x:v>18000</x:v>
      </x:c>
      <x:c r="Q7" s="37" t="str">
        <x:v>Entregue</x:v>
      </x:c>
      <x:c r="R7" s="37" t="str"/>
      <x:c r="S7" s="37" t="str">
        <x:v>Nao</x:v>
      </x:c>
      <x:c r="T7" s="37" t="str">
        <x:v>Sim</x:v>
      </x:c>
    </x:row>
    <x:row r="8" ht="19" customHeight="1">
      <x:c r="A8" s="37" t="str">
        <x:v>ENT-00007</x:v>
      </x:c>
      <x:c r="B8" s="40" t="n">
        <x:v>46240</x:v>
      </x:c>
      <x:c r="C8" s="40" t="n">
        <x:v>46241</x:v>
      </x:c>
      <x:c r="D8" s="40" t="n">
        <x:v>46241</x:v>
      </x:c>
      <x:c r="E8" s="37" t="str">
        <x:v>Mundo Fresco, Lda.</x:v>
      </x:c>
      <x:c r="F8" s="37" t="str">
        <x:v>Maianga</x:v>
      </x:c>
      <x:c r="G8" s="37" t="str">
        <x:v>Adriano Manuel</x:v>
      </x:c>
      <x:c r="H8" s="37" t="str">
        <x:v>VTR-07</x:v>
      </x:c>
      <x:c r="I8" s="37" t="str">
        <x:v>Isuzu NPR</x:v>
      </x:c>
      <x:c r="J8" s="37" t="n">
        <x:v>5000</x:v>
      </x:c>
      <x:c r="K8" s="37" t="n">
        <x:v>49</x:v>
      </x:c>
      <x:c r="L8" s="37" t="n">
        <x:v>49</x:v>
      </x:c>
      <x:c r="M8" s="37" t="n">
        <x:v>539.8</x:v>
      </x:c>
      <x:c r="N8" s="37" t="n">
        <x:v>10</x:v>
      </x:c>
      <x:c r="O8" s="44" t="n">
        <x:v>260435</x:v>
      </x:c>
      <x:c r="P8" s="44" t="n">
        <x:v>19500</x:v>
      </x:c>
      <x:c r="Q8" s="37" t="str">
        <x:v>Entregue</x:v>
      </x:c>
      <x:c r="R8" s="37" t="str"/>
      <x:c r="S8" s="37" t="str">
        <x:v>Nao</x:v>
      </x:c>
      <x:c r="T8" s="37" t="str">
        <x:v>Nao</x:v>
      </x:c>
    </x:row>
    <x:row r="9" ht="19" customHeight="1">
      <x:c r="A9" s="37" t="str">
        <x:v>ENT-00008</x:v>
      </x:c>
      <x:c r="B9" s="40" t="n">
        <x:v>46228</x:v>
      </x:c>
      <x:c r="C9" s="40" t="n">
        <x:v>46230</x:v>
      </x:c>
      <x:c r="D9" s="40" t="n">
        <x:v>46230</x:v>
      </x:c>
      <x:c r="E9" s="37" t="str">
        <x:v>Prime Stock, Lda.</x:v>
      </x:c>
      <x:c r="F9" s="37" t="str">
        <x:v>Camama</x:v>
      </x:c>
      <x:c r="G9" s="37" t="str">
        <x:v>Hélder Miguel</x:v>
      </x:c>
      <x:c r="H9" s="37" t="str">
        <x:v>VTR-12</x:v>
      </x:c>
      <x:c r="I9" s="37" t="str">
        <x:v>Hyundai H100</x:v>
      </x:c>
      <x:c r="J9" s="37" t="n">
        <x:v>1300</x:v>
      </x:c>
      <x:c r="K9" s="37" t="n">
        <x:v>30</x:v>
      </x:c>
      <x:c r="L9" s="37" t="n">
        <x:v>30</x:v>
      </x:c>
      <x:c r="M9" s="37" t="n">
        <x:v>962.8</x:v>
      </x:c>
      <x:c r="N9" s="37" t="n">
        <x:v>27</x:v>
      </x:c>
      <x:c r="O9" s="44" t="n">
        <x:v>574320</x:v>
      </x:c>
      <x:c r="P9" s="44" t="n">
        <x:v>32000</x:v>
      </x:c>
      <x:c r="Q9" s="37" t="str">
        <x:v>Entregue</x:v>
      </x:c>
      <x:c r="R9" s="37" t="str"/>
      <x:c r="S9" s="37" t="str">
        <x:v>Sim</x:v>
      </x:c>
      <x:c r="T9" s="37" t="str">
        <x:v>Nao</x:v>
      </x:c>
    </x:row>
    <x:row r="10" ht="19" customHeight="1">
      <x:c r="A10" s="37" t="str">
        <x:v>ENT-00009</x:v>
      </x:c>
      <x:c r="B10" s="40" t="n">
        <x:v>46264</x:v>
      </x:c>
      <x:c r="C10" s="40" t="n">
        <x:v>46265</x:v>
      </x:c>
      <x:c r="D10" s="40" t="n">
        <x:v>46265</x:v>
      </x:c>
      <x:c r="E10" s="37" t="str">
        <x:v>Sol Nascente Comércio, Lda.</x:v>
      </x:c>
      <x:c r="F10" s="37" t="str">
        <x:v>Camama</x:v>
      </x:c>
      <x:c r="G10" s="37" t="str">
        <x:v>Hélder Miguel</x:v>
      </x:c>
      <x:c r="H10" s="37" t="str">
        <x:v>VTR-09</x:v>
      </x:c>
      <x:c r="I10" s="37" t="str">
        <x:v>Toyota Hilux</x:v>
      </x:c>
      <x:c r="J10" s="37" t="n">
        <x:v>1000</x:v>
      </x:c>
      <x:c r="K10" s="37" t="n">
        <x:v>55</x:v>
      </x:c>
      <x:c r="L10" s="37" t="n">
        <x:v>55</x:v>
      </x:c>
      <x:c r="M10" s="37" t="n">
        <x:v>546.2</x:v>
      </x:c>
      <x:c r="N10" s="37" t="n">
        <x:v>18</x:v>
      </x:c>
      <x:c r="O10" s="44" t="n">
        <x:v>1114685</x:v>
      </x:c>
      <x:c r="P10" s="44" t="n">
        <x:v>22000</x:v>
      </x:c>
      <x:c r="Q10" s="37" t="str">
        <x:v>Entregue</x:v>
      </x:c>
      <x:c r="R10" s="37" t="str"/>
      <x:c r="S10" s="37" t="str">
        <x:v>Nao</x:v>
      </x:c>
      <x:c r="T10" s="37" t="str">
        <x:v>Nao</x:v>
      </x:c>
    </x:row>
    <x:row r="11" ht="19" customHeight="1">
      <x:c r="A11" s="37" t="str">
        <x:v>ENT-00010</x:v>
      </x:c>
      <x:c r="B11" s="40" t="n">
        <x:v>46253</x:v>
      </x:c>
      <x:c r="C11" s="40" t="n">
        <x:v>46254</x:v>
      </x:c>
      <x:c r="D11" s="40" t="n">
        <x:v>46255</x:v>
      </x:c>
      <x:c r="E11" s="37" t="str">
        <x:v>Maxi Centro, Lda.</x:v>
      </x:c>
      <x:c r="F11" s="37" t="str">
        <x:v>Morro Bento</x:v>
      </x:c>
      <x:c r="G11" s="37" t="str">
        <x:v>Lucas Tomás</x:v>
      </x:c>
      <x:c r="H11" s="37" t="str">
        <x:v>VTR-03</x:v>
      </x:c>
      <x:c r="I11" s="37" t="str">
        <x:v>Toyota Dyna</x:v>
      </x:c>
      <x:c r="J11" s="37" t="n">
        <x:v>3000</x:v>
      </x:c>
      <x:c r="K11" s="37" t="n">
        <x:v>76</x:v>
      </x:c>
      <x:c r="L11" s="37" t="n">
        <x:v>76</x:v>
      </x:c>
      <x:c r="M11" s="37" t="n">
        <x:v>1179.6</x:v>
      </x:c>
      <x:c r="N11" s="37" t="n">
        <x:v>15</x:v>
      </x:c>
      <x:c r="O11" s="44" t="n">
        <x:v>1585816</x:v>
      </x:c>
      <x:c r="P11" s="44" t="n">
        <x:v>31500</x:v>
      </x:c>
      <x:c r="Q11" s="37" t="str">
        <x:v>Entregue</x:v>
      </x:c>
      <x:c r="R11" s="37" t="str">
        <x:v>Transito intenso</x:v>
      </x:c>
      <x:c r="S11" s="37" t="str">
        <x:v>Nao</x:v>
      </x:c>
      <x:c r="T11" s="37" t="str">
        <x:v>Nao</x:v>
      </x:c>
    </x:row>
    <x:row r="12" ht="19" customHeight="1">
      <x:c r="A12" s="37" t="str">
        <x:v>ENT-00011</x:v>
      </x:c>
      <x:c r="B12" s="40" t="n">
        <x:v>46205</x:v>
      </x:c>
      <x:c r="C12" s="40" t="n">
        <x:v>46207</x:v>
      </x:c>
      <x:c r="D12" s="40" t="n">
        <x:v>46207</x:v>
      </x:c>
      <x:c r="E12" s="37" t="str">
        <x:v>Cesta Certa, Lda.</x:v>
      </x:c>
      <x:c r="F12" s="37" t="str">
        <x:v>Kikuxi</x:v>
      </x:c>
      <x:c r="G12" s="37" t="str">
        <x:v>Jorge Mário</x:v>
      </x:c>
      <x:c r="H12" s="37" t="str">
        <x:v>VTR-08</x:v>
      </x:c>
      <x:c r="I12" s="37" t="str">
        <x:v>Toyota Hilux</x:v>
      </x:c>
      <x:c r="J12" s="37" t="n">
        <x:v>1000</x:v>
      </x:c>
      <x:c r="K12" s="37" t="n">
        <x:v>55</x:v>
      </x:c>
      <x:c r="L12" s="37" t="n">
        <x:v>55</x:v>
      </x:c>
      <x:c r="M12" s="37" t="n">
        <x:v>684.7</x:v>
      </x:c>
      <x:c r="N12" s="37" t="n">
        <x:v>30</x:v>
      </x:c>
      <x:c r="O12" s="44" t="n">
        <x:v>1138775</x:v>
      </x:c>
      <x:c r="P12" s="44" t="n">
        <x:v>33500</x:v>
      </x:c>
      <x:c r="Q12" s="37" t="str">
        <x:v>Entregue</x:v>
      </x:c>
      <x:c r="R12" s="37" t="str"/>
      <x:c r="S12" s="37" t="str">
        <x:v>Nao</x:v>
      </x:c>
      <x:c r="T12" s="37" t="str">
        <x:v>Nao</x:v>
      </x:c>
    </x:row>
    <x:row r="13" ht="19" customHeight="1">
      <x:c r="A13" s="37" t="str">
        <x:v>ENT-00012</x:v>
      </x:c>
      <x:c r="B13" s="40" t="n">
        <x:v>46207</x:v>
      </x:c>
      <x:c r="C13" s="40" t="n">
        <x:v>46209</x:v>
      </x:c>
      <x:c r="D13" s="40" t="n">
        <x:v>46209</x:v>
      </x:c>
      <x:c r="E13" s="37" t="str">
        <x:v>Mercado Sul, Lda.</x:v>
      </x:c>
      <x:c r="F13" s="37" t="str">
        <x:v>Kilamba</x:v>
      </x:c>
      <x:c r="G13" s="37" t="str">
        <x:v>Gilberto José</x:v>
      </x:c>
      <x:c r="H13" s="37" t="str">
        <x:v>VTR-08</x:v>
      </x:c>
      <x:c r="I13" s="37" t="str">
        <x:v>Toyota Hilux</x:v>
      </x:c>
      <x:c r="J13" s="37" t="n">
        <x:v>1000</x:v>
      </x:c>
      <x:c r="K13" s="37" t="n">
        <x:v>66</x:v>
      </x:c>
      <x:c r="L13" s="37" t="n">
        <x:v>66</x:v>
      </x:c>
      <x:c r="M13" s="37" t="n">
        <x:v>637.7</x:v>
      </x:c>
      <x:c r="N13" s="37" t="n">
        <x:v>28</x:v>
      </x:c>
      <x:c r="O13" s="44" t="n">
        <x:v>809754</x:v>
      </x:c>
      <x:c r="P13" s="44" t="n">
        <x:v>28000</x:v>
      </x:c>
      <x:c r="Q13" s="37" t="str">
        <x:v>Entregue</x:v>
      </x:c>
      <x:c r="R13" s="37" t="str"/>
      <x:c r="S13" s="37" t="str">
        <x:v>Nao</x:v>
      </x:c>
      <x:c r="T13" s="37" t="str">
        <x:v>Nao</x:v>
      </x:c>
    </x:row>
    <x:row r="14" ht="19" customHeight="1">
      <x:c r="A14" s="37" t="str">
        <x:v>ENT-00013</x:v>
      </x:c>
      <x:c r="B14" s="40" t="n">
        <x:v>46252</x:v>
      </x:c>
      <x:c r="C14" s="40" t="n">
        <x:v>46255</x:v>
      </x:c>
      <x:c r="D14" s="40" t="n">
        <x:v>46256</x:v>
      </x:c>
      <x:c r="E14" s="37" t="str">
        <x:v>Prime Stock, Lda.</x:v>
      </x:c>
      <x:c r="F14" s="37" t="str">
        <x:v>Cacuaco</x:v>
      </x:c>
      <x:c r="G14" s="37" t="str">
        <x:v>Isaías Pedro</x:v>
      </x:c>
      <x:c r="H14" s="37" t="str">
        <x:v>VTR-08</x:v>
      </x:c>
      <x:c r="I14" s="37" t="str">
        <x:v>Toyota Hilux</x:v>
      </x:c>
      <x:c r="J14" s="37" t="n">
        <x:v>1000</x:v>
      </x:c>
      <x:c r="K14" s="37" t="n">
        <x:v>56</x:v>
      </x:c>
      <x:c r="L14" s="37" t="n">
        <x:v>56</x:v>
      </x:c>
      <x:c r="M14" s="37" t="n">
        <x:v>637</x:v>
      </x:c>
      <x:c r="N14" s="37" t="n">
        <x:v>52</x:v>
      </x:c>
      <x:c r="O14" s="44" t="n">
        <x:v>856016</x:v>
      </x:c>
      <x:c r="P14" s="44" t="n">
        <x:v>38000</x:v>
      </x:c>
      <x:c r="Q14" s="37" t="str">
        <x:v>Entregue</x:v>
      </x:c>
      <x:c r="R14" s="37" t="str">
        <x:v>Atraso no carregamento</x:v>
      </x:c>
      <x:c r="S14" s="37" t="str">
        <x:v>Nao</x:v>
      </x:c>
      <x:c r="T14" s="37" t="str">
        <x:v>Nao</x:v>
      </x:c>
    </x:row>
    <x:row r="15" ht="19" customHeight="1">
      <x:c r="A15" s="37" t="str">
        <x:v>ENT-00014</x:v>
      </x:c>
      <x:c r="B15" s="40" t="n">
        <x:v>46251</x:v>
      </x:c>
      <x:c r="C15" s="40" t="n">
        <x:v>46254</x:v>
      </x:c>
      <x:c r="D15" s="40" t="n">
        <x:v>46254</x:v>
      </x:c>
      <x:c r="E15" s="37" t="str">
        <x:v>Kwanza Distribuição, Lda.</x:v>
      </x:c>
      <x:c r="F15" s="37" t="str">
        <x:v>Zango</x:v>
      </x:c>
      <x:c r="G15" s="37" t="str">
        <x:v>Kito Alberto</x:v>
      </x:c>
      <x:c r="H15" s="37" t="str">
        <x:v>VTR-09</x:v>
      </x:c>
      <x:c r="I15" s="37" t="str">
        <x:v>Toyota Hilux</x:v>
      </x:c>
      <x:c r="J15" s="37" t="n">
        <x:v>1000</x:v>
      </x:c>
      <x:c r="K15" s="37" t="n">
        <x:v>63</x:v>
      </x:c>
      <x:c r="L15" s="37" t="n">
        <x:v>63</x:v>
      </x:c>
      <x:c r="M15" s="37" t="n">
        <x:v>891</x:v>
      </x:c>
      <x:c r="N15" s="37" t="n">
        <x:v>55</x:v>
      </x:c>
      <x:c r="O15" s="44" t="n">
        <x:v>1352232</x:v>
      </x:c>
      <x:c r="P15" s="44" t="n">
        <x:v>45500</x:v>
      </x:c>
      <x:c r="Q15" s="37" t="str">
        <x:v>Entregue</x:v>
      </x:c>
      <x:c r="R15" s="37" t="str"/>
      <x:c r="S15" s="37" t="str">
        <x:v>Nao</x:v>
      </x:c>
      <x:c r="T15" s="37" t="str">
        <x:v>Nao</x:v>
      </x:c>
    </x:row>
    <x:row r="16" ht="19" customHeight="1">
      <x:c r="A16" s="37" t="str">
        <x:v>ENT-00015</x:v>
      </x:c>
      <x:c r="B16" s="40" t="n">
        <x:v>46220</x:v>
      </x:c>
      <x:c r="C16" s="40" t="n">
        <x:v>46221</x:v>
      </x:c>
      <x:c r="D16" s="40" t="n">
        <x:v>46221</x:v>
      </x:c>
      <x:c r="E16" s="37" t="str">
        <x:v>Sol Nascente Comércio, Lda.</x:v>
      </x:c>
      <x:c r="F16" s="37" t="str">
        <x:v>Nova Vida</x:v>
      </x:c>
      <x:c r="G16" s="37" t="str">
        <x:v>Isaías Pedro</x:v>
      </x:c>
      <x:c r="H16" s="37" t="str">
        <x:v>VTR-06</x:v>
      </x:c>
      <x:c r="I16" s="37" t="str">
        <x:v>Isuzu NPR</x:v>
      </x:c>
      <x:c r="J16" s="37" t="n">
        <x:v>5000</x:v>
      </x:c>
      <x:c r="K16" s="37" t="n">
        <x:v>90</x:v>
      </x:c>
      <x:c r="L16" s="37" t="n">
        <x:v>90</x:v>
      </x:c>
      <x:c r="M16" s="37" t="n">
        <x:v>2586.7</x:v>
      </x:c>
      <x:c r="N16" s="37" t="n">
        <x:v>14</x:v>
      </x:c>
      <x:c r="O16" s="44" t="n">
        <x:v>2068020</x:v>
      </x:c>
      <x:c r="P16" s="44" t="n">
        <x:v>62000</x:v>
      </x:c>
      <x:c r="Q16" s="37" t="str">
        <x:v>Entregue</x:v>
      </x:c>
      <x:c r="R16" s="37" t="str"/>
      <x:c r="S16" s="37" t="str">
        <x:v>Nao</x:v>
      </x:c>
      <x:c r="T16" s="37" t="str">
        <x:v>Nao</x:v>
      </x:c>
    </x:row>
    <x:row r="17" ht="19" customHeight="1">
      <x:c r="A17" s="37" t="str">
        <x:v>ENT-00016</x:v>
      </x:c>
      <x:c r="B17" s="40" t="n">
        <x:v>46263</x:v>
      </x:c>
      <x:c r="C17" s="40" t="n">
        <x:v>46266</x:v>
      </x:c>
      <x:c r="D17" s="40" t="n">
        <x:v>46266</x:v>
      </x:c>
      <x:c r="E17" s="37" t="str">
        <x:v>Mundo Fresco, Lda.</x:v>
      </x:c>
      <x:c r="F17" s="37" t="str">
        <x:v>Zango</x:v>
      </x:c>
      <x:c r="G17" s="37" t="str">
        <x:v>Dário Joaquim</x:v>
      </x:c>
      <x:c r="H17" s="37" t="str">
        <x:v>VTR-11</x:v>
      </x:c>
      <x:c r="I17" s="37" t="str">
        <x:v>JAC N56</x:v>
      </x:c>
      <x:c r="J17" s="37" t="n">
        <x:v>3500</x:v>
      </x:c>
      <x:c r="K17" s="37" t="n">
        <x:v>17</x:v>
      </x:c>
      <x:c r="L17" s="37" t="n">
        <x:v>17</x:v>
      </x:c>
      <x:c r="M17" s="37" t="n">
        <x:v>388.4</x:v>
      </x:c>
      <x:c r="N17" s="37" t="n">
        <x:v>55</x:v>
      </x:c>
      <x:c r="O17" s="44" t="n">
        <x:v>231829</x:v>
      </x:c>
      <x:c r="P17" s="44" t="n">
        <x:v>35000</x:v>
      </x:c>
      <x:c r="Q17" s="37" t="str">
        <x:v>Entregue</x:v>
      </x:c>
      <x:c r="R17" s="37" t="str"/>
      <x:c r="S17" s="37" t="str">
        <x:v>Sim</x:v>
      </x:c>
      <x:c r="T17" s="37" t="str">
        <x:v>Nao</x:v>
      </x:c>
    </x:row>
    <x:row r="18" ht="19" customHeight="1">
      <x:c r="A18" s="37" t="str">
        <x:v>ENT-00017</x:v>
      </x:c>
      <x:c r="B18" s="40" t="n">
        <x:v>46250</x:v>
      </x:c>
      <x:c r="C18" s="40" t="n">
        <x:v>46253</x:v>
      </x:c>
      <x:c r="D18" s="40" t="n">
        <x:v>46253</x:v>
      </x:c>
      <x:c r="E18" s="37" t="str">
        <x:v>Via Certa Serviços, Lda.</x:v>
      </x:c>
      <x:c r="F18" s="37" t="str">
        <x:v>Sequele</x:v>
      </x:c>
      <x:c r="G18" s="37" t="str">
        <x:v>Bernardo Paulo</x:v>
      </x:c>
      <x:c r="H18" s="37" t="str">
        <x:v>VTR-11</x:v>
      </x:c>
      <x:c r="I18" s="37" t="str">
        <x:v>JAC N56</x:v>
      </x:c>
      <x:c r="J18" s="37" t="n">
        <x:v>3500</x:v>
      </x:c>
      <x:c r="K18" s="37" t="n">
        <x:v>80</x:v>
      </x:c>
      <x:c r="L18" s="37" t="n">
        <x:v>80</x:v>
      </x:c>
      <x:c r="M18" s="37" t="n">
        <x:v>2731.6</x:v>
      </x:c>
      <x:c r="N18" s="37" t="n">
        <x:v>64</x:v>
      </x:c>
      <x:c r="O18" s="44" t="n">
        <x:v>1158240</x:v>
      </x:c>
      <x:c r="P18" s="44" t="n">
        <x:v>88500</x:v>
      </x:c>
      <x:c r="Q18" s="37" t="str">
        <x:v>Entregue</x:v>
      </x:c>
      <x:c r="R18" s="37" t="str"/>
      <x:c r="S18" s="37" t="str">
        <x:v>Nao</x:v>
      </x:c>
      <x:c r="T18" s="37" t="str">
        <x:v>Nao</x:v>
      </x:c>
    </x:row>
    <x:row r="19" ht="19" customHeight="1">
      <x:c r="A19" s="37" t="str">
        <x:v>ENT-00018</x:v>
      </x:c>
      <x:c r="B19" s="40" t="n">
        <x:v>46252</x:v>
      </x:c>
      <x:c r="C19" s="40" t="n">
        <x:v>46255</x:v>
      </x:c>
      <x:c r="D19" s="40" t="n">
        <x:v>46255</x:v>
      </x:c>
      <x:c r="E19" s="37" t="str">
        <x:v>Atlântico Farma, Lda.</x:v>
      </x:c>
      <x:c r="F19" s="37" t="str">
        <x:v>Sequele</x:v>
      </x:c>
      <x:c r="G19" s="37" t="str">
        <x:v>Félix Domingos</x:v>
      </x:c>
      <x:c r="H19" s="37" t="str">
        <x:v>VTR-03</x:v>
      </x:c>
      <x:c r="I19" s="37" t="str">
        <x:v>Toyota Dyna</x:v>
      </x:c>
      <x:c r="J19" s="37" t="n">
        <x:v>3000</x:v>
      </x:c>
      <x:c r="K19" s="37" t="n">
        <x:v>12</x:v>
      </x:c>
      <x:c r="L19" s="37" t="n">
        <x:v>12</x:v>
      </x:c>
      <x:c r="M19" s="37" t="n">
        <x:v>354.9</x:v>
      </x:c>
      <x:c r="N19" s="37" t="n">
        <x:v>40</x:v>
      </x:c>
      <x:c r="O19" s="44" t="n">
        <x:v>206376</x:v>
      </x:c>
      <x:c r="P19" s="44" t="n">
        <x:v>30000</x:v>
      </x:c>
      <x:c r="Q19" s="37" t="str">
        <x:v>Entregue</x:v>
      </x:c>
      <x:c r="R19" s="37" t="str"/>
      <x:c r="S19" s="37" t="str">
        <x:v>Nao</x:v>
      </x:c>
      <x:c r="T19" s="37" t="str">
        <x:v>Nao</x:v>
      </x:c>
    </x:row>
    <x:row r="20" ht="19" customHeight="1">
      <x:c r="A20" s="37" t="str">
        <x:v>ENT-00019</x:v>
      </x:c>
      <x:c r="B20" s="40" t="n">
        <x:v>46254</x:v>
      </x:c>
      <x:c r="C20" s="40" t="n">
        <x:v>46256</x:v>
      </x:c>
      <x:c r="D20" s="40" t="n">
        <x:v>46256</x:v>
      </x:c>
      <x:c r="E20" s="37" t="str">
        <x:v>Maxi Centro, Lda.</x:v>
      </x:c>
      <x:c r="F20" s="37" t="str">
        <x:v>Maianga</x:v>
      </x:c>
      <x:c r="G20" s="37" t="str">
        <x:v>Hélder Miguel</x:v>
      </x:c>
      <x:c r="H20" s="37" t="str">
        <x:v>VTR-07</x:v>
      </x:c>
      <x:c r="I20" s="37" t="str">
        <x:v>Isuzu NPR</x:v>
      </x:c>
      <x:c r="J20" s="37" t="n">
        <x:v>5000</x:v>
      </x:c>
      <x:c r="K20" s="37" t="n">
        <x:v>80</x:v>
      </x:c>
      <x:c r="L20" s="37" t="n">
        <x:v>80</x:v>
      </x:c>
      <x:c r="M20" s="37" t="n">
        <x:v>1683.7</x:v>
      </x:c>
      <x:c r="N20" s="37" t="n">
        <x:v>21</x:v>
      </x:c>
      <x:c r="O20" s="44" t="n">
        <x:v>918720</x:v>
      </x:c>
      <x:c r="P20" s="44" t="n">
        <x:v>44000</x:v>
      </x:c>
      <x:c r="Q20" s="37" t="str">
        <x:v>Entregue</x:v>
      </x:c>
      <x:c r="R20" s="37" t="str"/>
      <x:c r="S20" s="37" t="str">
        <x:v>Nao</x:v>
      </x:c>
      <x:c r="T20" s="37" t="str">
        <x:v>Nao</x:v>
      </x:c>
    </x:row>
    <x:row r="21" ht="19" customHeight="1">
      <x:c r="A21" s="37" t="str">
        <x:v>ENT-00020</x:v>
      </x:c>
      <x:c r="B21" s="40" t="n">
        <x:v>46241</x:v>
      </x:c>
      <x:c r="C21" s="40" t="n">
        <x:v>46243</x:v>
      </x:c>
      <x:c r="D21" s="40" t="n">
        <x:v>46246</x:v>
      </x:c>
      <x:c r="E21" s="37" t="str">
        <x:v>Prime Stock, Lda.</x:v>
      </x:c>
      <x:c r="F21" s="37" t="str">
        <x:v>Kikuxi</x:v>
      </x:c>
      <x:c r="G21" s="37" t="str">
        <x:v>Elísio António</x:v>
      </x:c>
      <x:c r="H21" s="37" t="str">
        <x:v>VTR-08</x:v>
      </x:c>
      <x:c r="I21" s="37" t="str">
        <x:v>Toyota Hilux</x:v>
      </x:c>
      <x:c r="J21" s="37" t="n">
        <x:v>1000</x:v>
      </x:c>
      <x:c r="K21" s="37" t="n">
        <x:v>80</x:v>
      </x:c>
      <x:c r="L21" s="37" t="n">
        <x:v>0</x:v>
      </x:c>
      <x:c r="M21" s="37" t="n">
        <x:v>964.5</x:v>
      </x:c>
      <x:c r="N21" s="37" t="n">
        <x:v>35</x:v>
      </x:c>
      <x:c r="O21" s="44" t="n">
        <x:v>1557360</x:v>
      </x:c>
      <x:c r="P21" s="44" t="n">
        <x:v>36000</x:v>
      </x:c>
      <x:c r="Q21" s="37" t="str">
        <x:v>Falhada</x:v>
      </x:c>
      <x:c r="R21" s="37" t="str">
        <x:v>Acesso condicionado</x:v>
      </x:c>
      <x:c r="S21" s="37" t="str">
        <x:v>Nao</x:v>
      </x:c>
      <x:c r="T21" s="37" t="str">
        <x:v>Nao</x:v>
      </x:c>
    </x:row>
    <x:row r="22" ht="19" customHeight="1">
      <x:c r="A22" s="37" t="str">
        <x:v>ENT-00021</x:v>
      </x:c>
      <x:c r="B22" s="40" t="n">
        <x:v>46229</x:v>
      </x:c>
      <x:c r="C22" s="40" t="n">
        <x:v>46231</x:v>
      </x:c>
      <x:c r="D22" s="40" t="n">
        <x:v>46234</x:v>
      </x:c>
      <x:c r="E22" s="37" t="str">
        <x:v>Cesta Certa, Lda.</x:v>
      </x:c>
      <x:c r="F22" s="37" t="str">
        <x:v>Camama</x:v>
      </x:c>
      <x:c r="G22" s="37" t="str">
        <x:v>Félix Domingos</x:v>
      </x:c>
      <x:c r="H22" s="37" t="str">
        <x:v>VTR-12</x:v>
      </x:c>
      <x:c r="I22" s="37" t="str">
        <x:v>Hyundai H100</x:v>
      </x:c>
      <x:c r="J22" s="37" t="n">
        <x:v>1300</x:v>
      </x:c>
      <x:c r="K22" s="37" t="n">
        <x:v>58</x:v>
      </x:c>
      <x:c r="L22" s="37" t="n">
        <x:v>58</x:v>
      </x:c>
      <x:c r="M22" s="37" t="n">
        <x:v>929.6</x:v>
      </x:c>
      <x:c r="N22" s="37" t="n">
        <x:v>23</x:v>
      </x:c>
      <x:c r="O22" s="44" t="n">
        <x:v>617584</x:v>
      </x:c>
      <x:c r="P22" s="44" t="n">
        <x:v>36500</x:v>
      </x:c>
      <x:c r="Q22" s="37" t="str">
        <x:v>Entregue</x:v>
      </x:c>
      <x:c r="R22" s="37" t="str">
        <x:v>Transito intenso</x:v>
      </x:c>
      <x:c r="S22" s="37" t="str">
        <x:v>Nao</x:v>
      </x:c>
      <x:c r="T22" s="37" t="str">
        <x:v>Nao</x:v>
      </x:c>
    </x:row>
    <x:row r="23" ht="19" customHeight="1">
      <x:c r="A23" s="37" t="str">
        <x:v>ENT-00022</x:v>
      </x:c>
      <x:c r="B23" s="40" t="n">
        <x:v>46206</x:v>
      </x:c>
      <x:c r="C23" s="40" t="n">
        <x:v>46208</x:v>
      </x:c>
      <x:c r="D23" s="40" t="n">
        <x:v>46208</x:v>
      </x:c>
      <x:c r="E23" s="37" t="str">
        <x:v>Mundo Fresco, Lda.</x:v>
      </x:c>
      <x:c r="F23" s="37" t="str">
        <x:v>Cacuaco</x:v>
      </x:c>
      <x:c r="G23" s="37" t="str">
        <x:v>Gilberto José</x:v>
      </x:c>
      <x:c r="H23" s="37" t="str">
        <x:v>VTR-06</x:v>
      </x:c>
      <x:c r="I23" s="37" t="str">
        <x:v>Isuzu NPR</x:v>
      </x:c>
      <x:c r="J23" s="37" t="n">
        <x:v>5000</x:v>
      </x:c>
      <x:c r="K23" s="37" t="n">
        <x:v>47</x:v>
      </x:c>
      <x:c r="L23" s="37" t="n">
        <x:v>44</x:v>
      </x:c>
      <x:c r="M23" s="37" t="n">
        <x:v>621.5</x:v>
      </x:c>
      <x:c r="N23" s="37" t="n">
        <x:v>35</x:v>
      </x:c>
      <x:c r="O23" s="44" t="n">
        <x:v>475405</x:v>
      </x:c>
      <x:c r="P23" s="44" t="n">
        <x:v>35000</x:v>
      </x:c>
      <x:c r="Q23" s="37" t="str">
        <x:v>Entregue</x:v>
      </x:c>
      <x:c r="R23" s="37" t="str"/>
      <x:c r="S23" s="37" t="str">
        <x:v>Nao</x:v>
      </x:c>
      <x:c r="T23" s="37" t="str">
        <x:v>Nao</x:v>
      </x:c>
    </x:row>
    <x:row r="24" ht="19" customHeight="1">
      <x:c r="A24" s="37" t="str">
        <x:v>ENT-00023</x:v>
      </x:c>
      <x:c r="B24" s="40" t="n">
        <x:v>46242</x:v>
      </x:c>
      <x:c r="C24" s="40" t="n">
        <x:v>46244</x:v>
      </x:c>
      <x:c r="D24" s="40" t="n">
        <x:v>46244</x:v>
      </x:c>
      <x:c r="E24" s="37" t="str">
        <x:v>Nova Rota Comercial, Lda.</x:v>
      </x:c>
      <x:c r="F24" s="37" t="str">
        <x:v>Talatona</x:v>
      </x:c>
      <x:c r="G24" s="37" t="str">
        <x:v>Carlos Mateus</x:v>
      </x:c>
      <x:c r="H24" s="37" t="str">
        <x:v>VTR-10</x:v>
      </x:c>
      <x:c r="I24" s="37" t="str">
        <x:v>Foton Aumark</x:v>
      </x:c>
      <x:c r="J24" s="37" t="n">
        <x:v>4000</x:v>
      </x:c>
      <x:c r="K24" s="37" t="n">
        <x:v>10</x:v>
      </x:c>
      <x:c r="L24" s="37" t="n">
        <x:v>10</x:v>
      </x:c>
      <x:c r="M24" s="37" t="n">
        <x:v>214.1</x:v>
      </x:c>
      <x:c r="N24" s="37" t="n">
        <x:v>33</x:v>
      </x:c>
      <x:c r="O24" s="44" t="n">
        <x:v>194250</x:v>
      </x:c>
      <x:c r="P24" s="44" t="n">
        <x:v>25500</x:v>
      </x:c>
      <x:c r="Q24" s="37" t="str">
        <x:v>Entregue</x:v>
      </x:c>
      <x:c r="R24" s="37" t="str"/>
      <x:c r="S24" s="37" t="str">
        <x:v>Nao</x:v>
      </x:c>
      <x:c r="T24" s="37" t="str">
        <x:v>Nao</x:v>
      </x:c>
    </x:row>
    <x:row r="25" ht="19" customHeight="1">
      <x:c r="A25" s="37" t="str">
        <x:v>ENT-00024</x:v>
      </x:c>
      <x:c r="B25" s="40" t="n">
        <x:v>46213</x:v>
      </x:c>
      <x:c r="C25" s="40" t="n">
        <x:v>46216</x:v>
      </x:c>
      <x:c r="D25" s="40" t="n">
        <x:v>46218</x:v>
      </x:c>
      <x:c r="E25" s="37" t="str">
        <x:v>Sol Nascente Comércio, Lda.</x:v>
      </x:c>
      <x:c r="F25" s="37" t="str">
        <x:v>Cacuaco</x:v>
      </x:c>
      <x:c r="G25" s="37" t="str">
        <x:v>Isaías Pedro</x:v>
      </x:c>
      <x:c r="H25" s="37" t="str">
        <x:v>VTR-06</x:v>
      </x:c>
      <x:c r="I25" s="37" t="str">
        <x:v>Isuzu NPR</x:v>
      </x:c>
      <x:c r="J25" s="37" t="n">
        <x:v>5000</x:v>
      </x:c>
      <x:c r="K25" s="37" t="n">
        <x:v>69</x:v>
      </x:c>
      <x:c r="L25" s="37" t="n">
        <x:v>69</x:v>
      </x:c>
      <x:c r="M25" s="37" t="n">
        <x:v>637.7</x:v>
      </x:c>
      <x:c r="N25" s="37" t="n">
        <x:v>48</x:v>
      </x:c>
      <x:c r="O25" s="44" t="n">
        <x:v>1652826</x:v>
      </x:c>
      <x:c r="P25" s="44" t="n">
        <x:v>38500</x:v>
      </x:c>
      <x:c r="Q25" s="37" t="str">
        <x:v>Entregue</x:v>
      </x:c>
      <x:c r="R25" s="37" t="str">
        <x:v>Atraso no carregamento</x:v>
      </x:c>
      <x:c r="S25" s="37" t="str">
        <x:v>Nao</x:v>
      </x:c>
      <x:c r="T25" s="37" t="str">
        <x:v>Nao</x:v>
      </x:c>
    </x:row>
    <x:row r="26" ht="19" customHeight="1">
      <x:c r="A26" s="37" t="str">
        <x:v>ENT-00025</x:v>
      </x:c>
      <x:c r="B26" s="40" t="n">
        <x:v>46238</x:v>
      </x:c>
      <x:c r="C26" s="40" t="n">
        <x:v>46240</x:v>
      </x:c>
      <x:c r="D26" s="40" t="n">
        <x:v>46240</x:v>
      </x:c>
      <x:c r="E26" s="37" t="str">
        <x:v>Casa Horizonte, Lda.</x:v>
      </x:c>
      <x:c r="F26" s="37" t="str">
        <x:v>Kilamba</x:v>
      </x:c>
      <x:c r="G26" s="37" t="str">
        <x:v>Hélder Miguel</x:v>
      </x:c>
      <x:c r="H26" s="37" t="str">
        <x:v>VTR-05</x:v>
      </x:c>
      <x:c r="I26" s="37" t="str">
        <x:v>Hyundai HD65</x:v>
      </x:c>
      <x:c r="J26" s="37" t="n">
        <x:v>3500</x:v>
      </x:c>
      <x:c r="K26" s="37" t="n">
        <x:v>12</x:v>
      </x:c>
      <x:c r="L26" s="37" t="n">
        <x:v>12</x:v>
      </x:c>
      <x:c r="M26" s="37" t="n">
        <x:v>410.5</x:v>
      </x:c>
      <x:c r="N26" s="37" t="n">
        <x:v>28</x:v>
      </x:c>
      <x:c r="O26" s="44" t="n">
        <x:v>216576</x:v>
      </x:c>
      <x:c r="P26" s="44" t="n">
        <x:v>28500</x:v>
      </x:c>
      <x:c r="Q26" s="37" t="str">
        <x:v>Entregue</x:v>
      </x:c>
      <x:c r="R26" s="37" t="str"/>
      <x:c r="S26" s="37" t="str">
        <x:v>Nao</x:v>
      </x:c>
      <x:c r="T26" s="37" t="str">
        <x:v>Nao</x:v>
      </x:c>
    </x:row>
    <x:row r="27" ht="19" customHeight="1">
      <x:c r="A27" s="37" t="str">
        <x:v>ENT-00026</x:v>
      </x:c>
      <x:c r="B27" s="40" t="n">
        <x:v>46217</x:v>
      </x:c>
      <x:c r="C27" s="40" t="n">
        <x:v>46219</x:v>
      </x:c>
      <x:c r="D27" s="40" t="n">
        <x:v>46219</x:v>
      </x:c>
      <x:c r="E27" s="37" t="str">
        <x:v>Nova Rota Comercial, Lda.</x:v>
      </x:c>
      <x:c r="F27" s="37" t="str">
        <x:v>Kilamba</x:v>
      </x:c>
      <x:c r="G27" s="37" t="str">
        <x:v>Adriano Manuel</x:v>
      </x:c>
      <x:c r="H27" s="37" t="str">
        <x:v>VTR-08</x:v>
      </x:c>
      <x:c r="I27" s="37" t="str">
        <x:v>Toyota Hilux</x:v>
      </x:c>
      <x:c r="J27" s="37" t="n">
        <x:v>1000</x:v>
      </x:c>
      <x:c r="K27" s="37" t="n">
        <x:v>51</x:v>
      </x:c>
      <x:c r="L27" s="37" t="n">
        <x:v>51</x:v>
      </x:c>
      <x:c r="M27" s="37" t="n">
        <x:v>783</x:v>
      </x:c>
      <x:c r="N27" s="37" t="n">
        <x:v>39</x:v>
      </x:c>
      <x:c r="O27" s="44" t="n">
        <x:v>739398</x:v>
      </x:c>
      <x:c r="P27" s="44" t="n">
        <x:v>33500</x:v>
      </x:c>
      <x:c r="Q27" s="37" t="str">
        <x:v>Entregue</x:v>
      </x:c>
      <x:c r="R27" s="37" t="str"/>
      <x:c r="S27" s="37" t="str">
        <x:v>Nao</x:v>
      </x:c>
      <x:c r="T27" s="37" t="str">
        <x:v>Nao</x:v>
      </x:c>
    </x:row>
    <x:row r="28" ht="19" customHeight="1">
      <x:c r="A28" s="37" t="str">
        <x:v>ENT-00027</x:v>
      </x:c>
      <x:c r="B28" s="40" t="n">
        <x:v>46228</x:v>
      </x:c>
      <x:c r="C28" s="40" t="n">
        <x:v>46229</x:v>
      </x:c>
      <x:c r="D28" s="40" t="n">
        <x:v>46229</x:v>
      </x:c>
      <x:c r="E28" s="37" t="str">
        <x:v>Bem-Estar Higiene, Lda.</x:v>
      </x:c>
      <x:c r="F28" s="37" t="str">
        <x:v>Maianga</x:v>
      </x:c>
      <x:c r="G28" s="37" t="str">
        <x:v>Dário Joaquim</x:v>
      </x:c>
      <x:c r="H28" s="37" t="str">
        <x:v>VTR-03</x:v>
      </x:c>
      <x:c r="I28" s="37" t="str">
        <x:v>Toyota Dyna</x:v>
      </x:c>
      <x:c r="J28" s="37" t="n">
        <x:v>3000</x:v>
      </x:c>
      <x:c r="K28" s="37" t="n">
        <x:v>90</x:v>
      </x:c>
      <x:c r="L28" s="37" t="n">
        <x:v>90</x:v>
      </x:c>
      <x:c r="M28" s="37" t="n">
        <x:v>1449.1</x:v>
      </x:c>
      <x:c r="N28" s="37" t="n">
        <x:v>12</x:v>
      </x:c>
      <x:c r="O28" s="44" t="n">
        <x:v>599850</x:v>
      </x:c>
      <x:c r="P28" s="44" t="n">
        <x:v>34000</x:v>
      </x:c>
      <x:c r="Q28" s="37" t="str">
        <x:v>Entregue</x:v>
      </x:c>
      <x:c r="R28" s="37" t="str"/>
      <x:c r="S28" s="37" t="str">
        <x:v>Nao</x:v>
      </x:c>
      <x:c r="T28" s="37" t="str">
        <x:v>Nao</x:v>
      </x:c>
    </x:row>
    <x:row r="29" ht="19" customHeight="1">
      <x:c r="A29" s="37" t="str">
        <x:v>ENT-00028</x:v>
      </x:c>
      <x:c r="B29" s="40" t="n">
        <x:v>46253</x:v>
      </x:c>
      <x:c r="C29" s="40" t="n">
        <x:v>46255</x:v>
      </x:c>
      <x:c r="D29" s="40" t="n">
        <x:v>46255</x:v>
      </x:c>
      <x:c r="E29" s="37" t="str">
        <x:v>Prime Stock, Lda.</x:v>
      </x:c>
      <x:c r="F29" s="37" t="str">
        <x:v>Viana</x:v>
      </x:c>
      <x:c r="G29" s="37" t="str">
        <x:v>Bernardo Paulo</x:v>
      </x:c>
      <x:c r="H29" s="37" t="str">
        <x:v>VTR-12</x:v>
      </x:c>
      <x:c r="I29" s="37" t="str">
        <x:v>Hyundai H100</x:v>
      </x:c>
      <x:c r="J29" s="37" t="n">
        <x:v>1300</x:v>
      </x:c>
      <x:c r="K29" s="37" t="n">
        <x:v>11</x:v>
      </x:c>
      <x:c r="L29" s="37" t="n">
        <x:v>11</x:v>
      </x:c>
      <x:c r="M29" s="37" t="n">
        <x:v>301.1</x:v>
      </x:c>
      <x:c r="N29" s="37" t="n">
        <x:v>28</x:v>
      </x:c>
      <x:c r="O29" s="44" t="n">
        <x:v>84876</x:v>
      </x:c>
      <x:c r="P29" s="44" t="n">
        <x:v>25500</x:v>
      </x:c>
      <x:c r="Q29" s="37" t="str">
        <x:v>Entregue</x:v>
      </x:c>
      <x:c r="R29" s="37" t="str"/>
      <x:c r="S29" s="37" t="str">
        <x:v>Nao</x:v>
      </x:c>
      <x:c r="T29" s="37" t="str">
        <x:v>Nao</x:v>
      </x:c>
    </x:row>
    <x:row r="30" ht="19" customHeight="1">
      <x:c r="A30" s="37" t="str">
        <x:v>ENT-00029</x:v>
      </x:c>
      <x:c r="B30" s="40" t="n">
        <x:v>46235</x:v>
      </x:c>
      <x:c r="C30" s="40" t="n">
        <x:v>46237</x:v>
      </x:c>
      <x:c r="D30" s="40" t="n">
        <x:v>46237</x:v>
      </x:c>
      <x:c r="E30" s="37" t="str">
        <x:v>Atlântico Farma, Lda.</x:v>
      </x:c>
      <x:c r="F30" s="37" t="str">
        <x:v>Zango</x:v>
      </x:c>
      <x:c r="G30" s="37" t="str">
        <x:v>Lucas Tomás</x:v>
      </x:c>
      <x:c r="H30" s="37" t="str">
        <x:v>VTR-12</x:v>
      </x:c>
      <x:c r="I30" s="37" t="str">
        <x:v>Hyundai H100</x:v>
      </x:c>
      <x:c r="J30" s="37" t="n">
        <x:v>1300</x:v>
      </x:c>
      <x:c r="K30" s="37" t="n">
        <x:v>80</x:v>
      </x:c>
      <x:c r="L30" s="37" t="n">
        <x:v>80</x:v>
      </x:c>
      <x:c r="M30" s="37" t="n">
        <x:v>607.1</x:v>
      </x:c>
      <x:c r="N30" s="37" t="n">
        <x:v>37</x:v>
      </x:c>
      <x:c r="O30" s="44" t="n">
        <x:v>482800</x:v>
      </x:c>
      <x:c r="P30" s="44" t="n">
        <x:v>33000</x:v>
      </x:c>
      <x:c r="Q30" s="37" t="str">
        <x:v>Entregue</x:v>
      </x:c>
      <x:c r="R30" s="37" t="str"/>
      <x:c r="S30" s="37" t="str">
        <x:v>Nao</x:v>
      </x:c>
      <x:c r="T30" s="37" t="str">
        <x:v>Nao</x:v>
      </x:c>
    </x:row>
    <x:row r="31" ht="19" customHeight="1">
      <x:c r="A31" s="37" t="str">
        <x:v>ENT-00030</x:v>
      </x:c>
      <x:c r="B31" s="40" t="n">
        <x:v>46226</x:v>
      </x:c>
      <x:c r="C31" s="40" t="n">
        <x:v>46228</x:v>
      </x:c>
      <x:c r="D31" s="40" t="n">
        <x:v>46228</x:v>
      </x:c>
      <x:c r="E31" s="37" t="str">
        <x:v>Mercado Sul, Lda.</x:v>
      </x:c>
      <x:c r="F31" s="37" t="str">
        <x:v>Cacuaco</x:v>
      </x:c>
      <x:c r="G31" s="37" t="str">
        <x:v>Carlos Mateus</x:v>
      </x:c>
      <x:c r="H31" s="37" t="str">
        <x:v>VTR-05</x:v>
      </x:c>
      <x:c r="I31" s="37" t="str">
        <x:v>Hyundai HD65</x:v>
      </x:c>
      <x:c r="J31" s="37" t="n">
        <x:v>3500</x:v>
      </x:c>
      <x:c r="K31" s="37" t="n">
        <x:v>67</x:v>
      </x:c>
      <x:c r="L31" s="37" t="n">
        <x:v>67</x:v>
      </x:c>
      <x:c r="M31" s="37" t="n">
        <x:v>1366</x:v>
      </x:c>
      <x:c r="N31" s="37" t="n">
        <x:v>32</x:v>
      </x:c>
      <x:c r="O31" s="44" t="n">
        <x:v>1567465</x:v>
      </x:c>
      <x:c r="P31" s="44" t="n">
        <x:v>39000</x:v>
      </x:c>
      <x:c r="Q31" s="37" t="str">
        <x:v>Entregue</x:v>
      </x:c>
      <x:c r="R31" s="37" t="str"/>
      <x:c r="S31" s="37" t="str">
        <x:v>Nao</x:v>
      </x:c>
      <x:c r="T31" s="37" t="str">
        <x:v>Sim</x:v>
      </x:c>
    </x:row>
    <x:row r="32" ht="19" customHeight="1">
      <x:c r="A32" s="37" t="str">
        <x:v>ENT-00031</x:v>
      </x:c>
      <x:c r="B32" s="40" t="n">
        <x:v>46212</x:v>
      </x:c>
      <x:c r="C32" s="40" t="n">
        <x:v>46213</x:v>
      </x:c>
      <x:c r="D32" s="40" t="n">
        <x:v>46213</x:v>
      </x:c>
      <x:c r="E32" s="37" t="str">
        <x:v>Ponto Logístico, Lda.</x:v>
      </x:c>
      <x:c r="F32" s="37" t="str">
        <x:v>Nova Vida</x:v>
      </x:c>
      <x:c r="G32" s="37" t="str">
        <x:v>Carlos Mateus</x:v>
      </x:c>
      <x:c r="H32" s="37" t="str">
        <x:v>VTR-11</x:v>
      </x:c>
      <x:c r="I32" s="37" t="str">
        <x:v>JAC N56</x:v>
      </x:c>
      <x:c r="J32" s="37" t="n">
        <x:v>3500</x:v>
      </x:c>
      <x:c r="K32" s="37" t="n">
        <x:v>77</x:v>
      </x:c>
      <x:c r="L32" s="37" t="n">
        <x:v>77</x:v>
      </x:c>
      <x:c r="M32" s="37" t="n">
        <x:v>1402.4</x:v>
      </x:c>
      <x:c r="N32" s="37" t="n">
        <x:v>19</x:v>
      </x:c>
      <x:c r="O32" s="44" t="n">
        <x:v>1413412</x:v>
      </x:c>
      <x:c r="P32" s="44" t="n">
        <x:v>36000</x:v>
      </x:c>
      <x:c r="Q32" s="37" t="str">
        <x:v>Entregue</x:v>
      </x:c>
      <x:c r="R32" s="37" t="str"/>
      <x:c r="S32" s="37" t="str">
        <x:v>Nao</x:v>
      </x:c>
      <x:c r="T32" s="37" t="str">
        <x:v>Nao</x:v>
      </x:c>
    </x:row>
    <x:row r="33" ht="19" customHeight="1">
      <x:c r="A33" s="37" t="str">
        <x:v>ENT-00032</x:v>
      </x:c>
      <x:c r="B33" s="40" t="n">
        <x:v>46206</x:v>
      </x:c>
      <x:c r="C33" s="40" t="n">
        <x:v>46208</x:v>
      </x:c>
      <x:c r="D33" s="40" t="n">
        <x:v>46210</x:v>
      </x:c>
      <x:c r="E33" s="37" t="str">
        <x:v>Kwanza Distribuição, Lda.</x:v>
      </x:c>
      <x:c r="F33" s="37" t="str">
        <x:v>Talatona</x:v>
      </x:c>
      <x:c r="G33" s="37" t="str">
        <x:v>Bernardo Paulo</x:v>
      </x:c>
      <x:c r="H33" s="37" t="str">
        <x:v>VTR-05</x:v>
      </x:c>
      <x:c r="I33" s="37" t="str">
        <x:v>Hyundai HD65</x:v>
      </x:c>
      <x:c r="J33" s="37" t="n">
        <x:v>3500</x:v>
      </x:c>
      <x:c r="K33" s="37" t="n">
        <x:v>48</x:v>
      </x:c>
      <x:c r="L33" s="37" t="n">
        <x:v>48</x:v>
      </x:c>
      <x:c r="M33" s="37" t="n">
        <x:v>1449.2</x:v>
      </x:c>
      <x:c r="N33" s="37" t="n">
        <x:v>32</x:v>
      </x:c>
      <x:c r="O33" s="44" t="n">
        <x:v>895584</x:v>
      </x:c>
      <x:c r="P33" s="44" t="n">
        <x:v>46500</x:v>
      </x:c>
      <x:c r="Q33" s="37" t="str">
        <x:v>Entregue</x:v>
      </x:c>
      <x:c r="R33" s="37" t="str">
        <x:v>Chuva/condicao da via</x:v>
      </x:c>
      <x:c r="S33" s="37" t="str">
        <x:v>Nao</x:v>
      </x:c>
      <x:c r="T33" s="37" t="str">
        <x:v>Nao</x:v>
      </x:c>
    </x:row>
    <x:row r="34" ht="19" customHeight="1">
      <x:c r="A34" s="37" t="str">
        <x:v>ENT-00033</x:v>
      </x:c>
      <x:c r="B34" s="40" t="n">
        <x:v>46254</x:v>
      </x:c>
      <x:c r="C34" s="40" t="n">
        <x:v>46256</x:v>
      </x:c>
      <x:c r="D34" s="40" t="n">
        <x:v>46259</x:v>
      </x:c>
      <x:c r="E34" s="37" t="str">
        <x:v>Rota Azul, Lda.</x:v>
      </x:c>
      <x:c r="F34" s="37" t="str">
        <x:v>Viana</x:v>
      </x:c>
      <x:c r="G34" s="37" t="str">
        <x:v>Jorge Mário</x:v>
      </x:c>
      <x:c r="H34" s="37" t="str">
        <x:v>VTR-10</x:v>
      </x:c>
      <x:c r="I34" s="37" t="str">
        <x:v>Foton Aumark</x:v>
      </x:c>
      <x:c r="J34" s="37" t="n">
        <x:v>4000</x:v>
      </x:c>
      <x:c r="K34" s="37" t="n">
        <x:v>51</x:v>
      </x:c>
      <x:c r="L34" s="37" t="n">
        <x:v>51</x:v>
      </x:c>
      <x:c r="M34" s="37" t="n">
        <x:v>833.9</x:v>
      </x:c>
      <x:c r="N34" s="37" t="n">
        <x:v>31</x:v>
      </x:c>
      <x:c r="O34" s="44" t="n">
        <x:v>631890</x:v>
      </x:c>
      <x:c r="P34" s="44" t="n">
        <x:v>32500</x:v>
      </x:c>
      <x:c r="Q34" s="37" t="str">
        <x:v>Entregue</x:v>
      </x:c>
      <x:c r="R34" s="37" t="str">
        <x:v>Atraso no carregamento</x:v>
      </x:c>
      <x:c r="S34" s="37" t="str">
        <x:v>Nao</x:v>
      </x:c>
      <x:c r="T34" s="37" t="str">
        <x:v>Nao</x:v>
      </x:c>
    </x:row>
    <x:row r="35" ht="19" customHeight="1">
      <x:c r="A35" s="37" t="str">
        <x:v>ENT-00034</x:v>
      </x:c>
      <x:c r="B35" s="40" t="n">
        <x:v>46230</x:v>
      </x:c>
      <x:c r="C35" s="40" t="n">
        <x:v>46232</x:v>
      </x:c>
      <x:c r="D35" s="40" t="n">
        <x:v>46233</x:v>
      </x:c>
      <x:c r="E35" s="37" t="str">
        <x:v>Cesta Certa, Lda.</x:v>
      </x:c>
      <x:c r="F35" s="37" t="str">
        <x:v>Benfica</x:v>
      </x:c>
      <x:c r="G35" s="37" t="str">
        <x:v>Bernardo Paulo</x:v>
      </x:c>
      <x:c r="H35" s="37" t="str">
        <x:v>VTR-08</x:v>
      </x:c>
      <x:c r="I35" s="37" t="str">
        <x:v>Toyota Hilux</x:v>
      </x:c>
      <x:c r="J35" s="37" t="n">
        <x:v>1000</x:v>
      </x:c>
      <x:c r="K35" s="37" t="n">
        <x:v>43</x:v>
      </x:c>
      <x:c r="L35" s="37" t="n">
        <x:v>43</x:v>
      </x:c>
      <x:c r="M35" s="37" t="n">
        <x:v>460.7</x:v>
      </x:c>
      <x:c r="N35" s="37" t="n">
        <x:v>29</x:v>
      </x:c>
      <x:c r="O35" s="44" t="n">
        <x:v>1076763</x:v>
      </x:c>
      <x:c r="P35" s="44" t="n">
        <x:v>27000</x:v>
      </x:c>
      <x:c r="Q35" s="37" t="str">
        <x:v>Entregue</x:v>
      </x:c>
      <x:c r="R35" s="37" t="str">
        <x:v>Avaria da viatura</x:v>
      </x:c>
      <x:c r="S35" s="37" t="str">
        <x:v>Nao</x:v>
      </x:c>
      <x:c r="T35" s="37" t="str">
        <x:v>Nao</x:v>
      </x:c>
    </x:row>
    <x:row r="36" ht="19" customHeight="1">
      <x:c r="A36" s="37" t="str">
        <x:v>ENT-00035</x:v>
      </x:c>
      <x:c r="B36" s="40" t="n">
        <x:v>46261</x:v>
      </x:c>
      <x:c r="C36" s="40" t="n">
        <x:v>46264</x:v>
      </x:c>
      <x:c r="D36" s="40" t="n">
        <x:v>46263</x:v>
      </x:c>
      <x:c r="E36" s="37" t="str">
        <x:v>Casa Horizonte, Lda.</x:v>
      </x:c>
      <x:c r="F36" s="37" t="str">
        <x:v>Sequele</x:v>
      </x:c>
      <x:c r="G36" s="37" t="str">
        <x:v>Kito Alberto</x:v>
      </x:c>
      <x:c r="H36" s="37" t="str">
        <x:v>VTR-06</x:v>
      </x:c>
      <x:c r="I36" s="37" t="str">
        <x:v>Isuzu NPR</x:v>
      </x:c>
      <x:c r="J36" s="37" t="n">
        <x:v>5000</x:v>
      </x:c>
      <x:c r="K36" s="37" t="n">
        <x:v>52</x:v>
      </x:c>
      <x:c r="L36" s="37" t="n">
        <x:v>52</x:v>
      </x:c>
      <x:c r="M36" s="37" t="n">
        <x:v>1805.7</x:v>
      </x:c>
      <x:c r="N36" s="37" t="n">
        <x:v>47</x:v>
      </x:c>
      <x:c r="O36" s="44" t="n">
        <x:v>339040</x:v>
      </x:c>
      <x:c r="P36" s="44" t="n">
        <x:v>60500</x:v>
      </x:c>
      <x:c r="Q36" s="37" t="str">
        <x:v>Entregue</x:v>
      </x:c>
      <x:c r="R36" s="37" t="str"/>
      <x:c r="S36" s="37" t="str">
        <x:v>Nao</x:v>
      </x:c>
      <x:c r="T36" s="37" t="str">
        <x:v>Nao</x:v>
      </x:c>
    </x:row>
    <x:row r="37" ht="19" customHeight="1">
      <x:c r="A37" s="37" t="str">
        <x:v>ENT-00036</x:v>
      </x:c>
      <x:c r="B37" s="40" t="n">
        <x:v>46205</x:v>
      </x:c>
      <x:c r="C37" s="40" t="n">
        <x:v>46207</x:v>
      </x:c>
      <x:c r="D37" s="40" t="n">
        <x:v>46208</x:v>
      </x:c>
      <x:c r="E37" s="37" t="str">
        <x:v>N'gola Market, Lda.</x:v>
      </x:c>
      <x:c r="F37" s="37" t="str">
        <x:v>Maianga</x:v>
      </x:c>
      <x:c r="G37" s="37" t="str">
        <x:v>Gilberto José</x:v>
      </x:c>
      <x:c r="H37" s="37" t="str">
        <x:v>VTR-07</x:v>
      </x:c>
      <x:c r="I37" s="37" t="str">
        <x:v>Isuzu NPR</x:v>
      </x:c>
      <x:c r="J37" s="37" t="n">
        <x:v>5000</x:v>
      </x:c>
      <x:c r="K37" s="37" t="n">
        <x:v>22</x:v>
      </x:c>
      <x:c r="L37" s="37" t="n">
        <x:v>0</x:v>
      </x:c>
      <x:c r="M37" s="37" t="n">
        <x:v>725</x:v>
      </x:c>
      <x:c r="N37" s="37" t="n">
        <x:v>22</x:v>
      </x:c>
      <x:c r="O37" s="44" t="n">
        <x:v>420596</x:v>
      </x:c>
      <x:c r="P37" s="44" t="n">
        <x:v>30500</x:v>
      </x:c>
      <x:c r="Q37" s="37" t="str">
        <x:v>Falhada</x:v>
      </x:c>
      <x:c r="R37" s="37" t="str">
        <x:v>Endereco incompleto</x:v>
      </x:c>
      <x:c r="S37" s="37" t="str">
        <x:v>Nao</x:v>
      </x:c>
      <x:c r="T37" s="37" t="str">
        <x:v>Nao</x:v>
      </x:c>
    </x:row>
    <x:row r="38" ht="19" customHeight="1">
      <x:c r="A38" s="37" t="str">
        <x:v>ENT-00037</x:v>
      </x:c>
      <x:c r="B38" s="40" t="n">
        <x:v>46249</x:v>
      </x:c>
      <x:c r="C38" s="40" t="n">
        <x:v>46251</x:v>
      </x:c>
      <x:c r="D38" s="40" t="n">
        <x:v>46252</x:v>
      </x:c>
      <x:c r="E38" s="37" t="str">
        <x:v>Casa Horizonte, Lda.</x:v>
      </x:c>
      <x:c r="F38" s="37" t="str">
        <x:v>Viana</x:v>
      </x:c>
      <x:c r="G38" s="37" t="str">
        <x:v>Carlos Mateus</x:v>
      </x:c>
      <x:c r="H38" s="37" t="str">
        <x:v>VTR-02</x:v>
      </x:c>
      <x:c r="I38" s="37" t="str">
        <x:v>Kia K2700</x:v>
      </x:c>
      <x:c r="J38" s="37" t="n">
        <x:v>1500</x:v>
      </x:c>
      <x:c r="K38" s="37" t="n">
        <x:v>28</x:v>
      </x:c>
      <x:c r="L38" s="37" t="n">
        <x:v>28</x:v>
      </x:c>
      <x:c r="M38" s="37" t="n">
        <x:v>203.4</x:v>
      </x:c>
      <x:c r="N38" s="37" t="n">
        <x:v>23</x:v>
      </x:c>
      <x:c r="O38" s="44" t="n">
        <x:v>285852</x:v>
      </x:c>
      <x:c r="P38" s="44" t="n">
        <x:v>21500</x:v>
      </x:c>
      <x:c r="Q38" s="37" t="str">
        <x:v>Entregue</x:v>
      </x:c>
      <x:c r="R38" s="37" t="str">
        <x:v>Transito intenso</x:v>
      </x:c>
      <x:c r="S38" s="37" t="str">
        <x:v>Nao</x:v>
      </x:c>
      <x:c r="T38" s="37" t="str">
        <x:v>Nao</x:v>
      </x:c>
    </x:row>
    <x:row r="39" ht="19" customHeight="1">
      <x:c r="A39" s="37" t="str">
        <x:v>ENT-00038</x:v>
      </x:c>
      <x:c r="B39" s="40" t="n">
        <x:v>46220</x:v>
      </x:c>
      <x:c r="C39" s="40" t="n">
        <x:v>46221</x:v>
      </x:c>
      <x:c r="D39" s="40" t="n">
        <x:v>46222</x:v>
      </x:c>
      <x:c r="E39" s="37" t="str">
        <x:v>Maxi Centro, Lda.</x:v>
      </x:c>
      <x:c r="F39" s="37" t="str">
        <x:v>Nova Vida</x:v>
      </x:c>
      <x:c r="G39" s="37" t="str">
        <x:v>Dário Joaquim</x:v>
      </x:c>
      <x:c r="H39" s="37" t="str">
        <x:v>VTR-04</x:v>
      </x:c>
      <x:c r="I39" s="37" t="str">
        <x:v>Toyota Dyna</x:v>
      </x:c>
      <x:c r="J39" s="37" t="n">
        <x:v>3000</x:v>
      </x:c>
      <x:c r="K39" s="37" t="n">
        <x:v>19</x:v>
      </x:c>
      <x:c r="L39" s="37" t="n">
        <x:v>19</x:v>
      </x:c>
      <x:c r="M39" s="37" t="n">
        <x:v>531</x:v>
      </x:c>
      <x:c r="N39" s="37" t="n">
        <x:v>19</x:v>
      </x:c>
      <x:c r="O39" s="44" t="n">
        <x:v>401014</x:v>
      </x:c>
      <x:c r="P39" s="44" t="n">
        <x:v>25000</x:v>
      </x:c>
      <x:c r="Q39" s="37" t="str">
        <x:v>Entregue</x:v>
      </x:c>
      <x:c r="R39" s="37" t="str">
        <x:v>Chuva/condicao da via</x:v>
      </x:c>
      <x:c r="S39" s="37" t="str">
        <x:v>Nao</x:v>
      </x:c>
      <x:c r="T39" s="37" t="str">
        <x:v>Nao</x:v>
      </x:c>
    </x:row>
    <x:row r="40" ht="19" customHeight="1">
      <x:c r="A40" s="37" t="str">
        <x:v>ENT-00039</x:v>
      </x:c>
      <x:c r="B40" s="40" t="n">
        <x:v>46249</x:v>
      </x:c>
      <x:c r="C40" s="40" t="n">
        <x:v>46251</x:v>
      </x:c>
      <x:c r="D40" s="40" t="n">
        <x:v>46251</x:v>
      </x:c>
      <x:c r="E40" s="37" t="str">
        <x:v>Mundo Fresco, Lda.</x:v>
      </x:c>
      <x:c r="F40" s="37" t="str">
        <x:v>Viana</x:v>
      </x:c>
      <x:c r="G40" s="37" t="str">
        <x:v>Félix Domingos</x:v>
      </x:c>
      <x:c r="H40" s="37" t="str">
        <x:v>VTR-11</x:v>
      </x:c>
      <x:c r="I40" s="37" t="str">
        <x:v>JAC N56</x:v>
      </x:c>
      <x:c r="J40" s="37" t="n">
        <x:v>3500</x:v>
      </x:c>
      <x:c r="K40" s="37" t="n">
        <x:v>9</x:v>
      </x:c>
      <x:c r="L40" s="37" t="n">
        <x:v>9</x:v>
      </x:c>
      <x:c r="M40" s="37" t="n">
        <x:v>93.7</x:v>
      </x:c>
      <x:c r="N40" s="37" t="n">
        <x:v>30</x:v>
      </x:c>
      <x:c r="O40" s="44" t="n">
        <x:v>90432</x:v>
      </x:c>
      <x:c r="P40" s="44" t="n">
        <x:v>23500</x:v>
      </x:c>
      <x:c r="Q40" s="37" t="str">
        <x:v>Entregue</x:v>
      </x:c>
      <x:c r="R40" s="37" t="str"/>
      <x:c r="S40" s="37" t="str">
        <x:v>Nao</x:v>
      </x:c>
      <x:c r="T40" s="37" t="str">
        <x:v>Nao</x:v>
      </x:c>
    </x:row>
    <x:row r="41" ht="19" customHeight="1">
      <x:c r="A41" s="37" t="str">
        <x:v>ENT-00040</x:v>
      </x:c>
      <x:c r="B41" s="40" t="n">
        <x:v>46264</x:v>
      </x:c>
      <x:c r="C41" s="40" t="n">
        <x:v>46266</x:v>
      </x:c>
      <x:c r="D41" s="40" t="n">
        <x:v>46269</x:v>
      </x:c>
      <x:c r="E41" s="37" t="str">
        <x:v>Bem-Estar Higiene, Lda.</x:v>
      </x:c>
      <x:c r="F41" s="37" t="str">
        <x:v>Morro Bento</x:v>
      </x:c>
      <x:c r="G41" s="37" t="str">
        <x:v>Adriano Manuel</x:v>
      </x:c>
      <x:c r="H41" s="37" t="str">
        <x:v>VTR-02</x:v>
      </x:c>
      <x:c r="I41" s="37" t="str">
        <x:v>Kia K2700</x:v>
      </x:c>
      <x:c r="J41" s="37" t="n">
        <x:v>1500</x:v>
      </x:c>
      <x:c r="K41" s="37" t="n">
        <x:v>57</x:v>
      </x:c>
      <x:c r="L41" s="37" t="n">
        <x:v>57</x:v>
      </x:c>
      <x:c r="M41" s="37" t="n">
        <x:v>1398.6</x:v>
      </x:c>
      <x:c r="N41" s="37" t="n">
        <x:v>21</x:v>
      </x:c>
      <x:c r="O41" s="44" t="n">
        <x:v>657666</x:v>
      </x:c>
      <x:c r="P41" s="44" t="n">
        <x:v>38000</x:v>
      </x:c>
      <x:c r="Q41" s="37" t="str">
        <x:v>Entregue</x:v>
      </x:c>
      <x:c r="R41" s="37" t="str">
        <x:v>Chuva/condicao da via</x:v>
      </x:c>
      <x:c r="S41" s="37" t="str">
        <x:v>Nao</x:v>
      </x:c>
      <x:c r="T41" s="37" t="str">
        <x:v>Nao</x:v>
      </x:c>
    </x:row>
    <x:row r="42" ht="19" customHeight="1">
      <x:c r="A42" s="37" t="str">
        <x:v>ENT-00041</x:v>
      </x:c>
      <x:c r="B42" s="40" t="n">
        <x:v>46211</x:v>
      </x:c>
      <x:c r="C42" s="40" t="n">
        <x:v>46212</x:v>
      </x:c>
      <x:c r="D42" s="40" t="n">
        <x:v>46212</x:v>
      </x:c>
      <x:c r="E42" s="37" t="str">
        <x:v>Sol Nascente Comércio, Lda.</x:v>
      </x:c>
      <x:c r="F42" s="37" t="str">
        <x:v>Maianga</x:v>
      </x:c>
      <x:c r="G42" s="37" t="str">
        <x:v>Bernardo Paulo</x:v>
      </x:c>
      <x:c r="H42" s="37" t="str">
        <x:v>VTR-10</x:v>
      </x:c>
      <x:c r="I42" s="37" t="str">
        <x:v>Foton Aumark</x:v>
      </x:c>
      <x:c r="J42" s="37" t="n">
        <x:v>4000</x:v>
      </x:c>
      <x:c r="K42" s="37" t="n">
        <x:v>28</x:v>
      </x:c>
      <x:c r="L42" s="37" t="n">
        <x:v>28</x:v>
      </x:c>
      <x:c r="M42" s="37" t="n">
        <x:v>384</x:v>
      </x:c>
      <x:c r="N42" s="37" t="n">
        <x:v>19</x:v>
      </x:c>
      <x:c r="O42" s="44" t="n">
        <x:v>391160</x:v>
      </x:c>
      <x:c r="P42" s="44" t="n">
        <x:v>20500</x:v>
      </x:c>
      <x:c r="Q42" s="37" t="str">
        <x:v>Entregue</x:v>
      </x:c>
      <x:c r="R42" s="37" t="str"/>
      <x:c r="S42" s="37" t="str">
        <x:v>Nao</x:v>
      </x:c>
      <x:c r="T42" s="37" t="str">
        <x:v>Nao</x:v>
      </x:c>
    </x:row>
    <x:row r="43" ht="19" customHeight="1">
      <x:c r="A43" s="37" t="str">
        <x:v>ENT-00042</x:v>
      </x:c>
      <x:c r="B43" s="40" t="n">
        <x:v>46217</x:v>
      </x:c>
      <x:c r="C43" s="40" t="n">
        <x:v>46219</x:v>
      </x:c>
      <x:c r="D43" s="40" t="n">
        <x:v>46221</x:v>
      </x:c>
      <x:c r="E43" s="37" t="str">
        <x:v>Ponto Logístico, Lda.</x:v>
      </x:c>
      <x:c r="F43" s="37" t="str">
        <x:v>Kilamba</x:v>
      </x:c>
      <x:c r="G43" s="37" t="str">
        <x:v>Isaías Pedro</x:v>
      </x:c>
      <x:c r="H43" s="37" t="str">
        <x:v>VTR-01</x:v>
      </x:c>
      <x:c r="I43" s="37" t="str">
        <x:v>Kia K2700</x:v>
      </x:c>
      <x:c r="J43" s="37" t="n">
        <x:v>1500</x:v>
      </x:c>
      <x:c r="K43" s="37" t="n">
        <x:v>17</x:v>
      </x:c>
      <x:c r="L43" s="37" t="n">
        <x:v>15</x:v>
      </x:c>
      <x:c r="M43" s="37" t="n">
        <x:v>502.6</x:v>
      </x:c>
      <x:c r="N43" s="37" t="n">
        <x:v>34</x:v>
      </x:c>
      <x:c r="O43" s="44" t="n">
        <x:v>175236</x:v>
      </x:c>
      <x:c r="P43" s="44" t="n">
        <x:v>29500</x:v>
      </x:c>
      <x:c r="Q43" s="37" t="str">
        <x:v>Entregue</x:v>
      </x:c>
      <x:c r="R43" s="37" t="str">
        <x:v>Cliente indisponivel</x:v>
      </x:c>
      <x:c r="S43" s="37" t="str">
        <x:v>Nao</x:v>
      </x:c>
      <x:c r="T43" s="37" t="str">
        <x:v>Nao</x:v>
      </x:c>
    </x:row>
    <x:row r="44" ht="19" customHeight="1">
      <x:c r="A44" s="37" t="str">
        <x:v>ENT-00043</x:v>
      </x:c>
      <x:c r="B44" s="40" t="n">
        <x:v>46211</x:v>
      </x:c>
      <x:c r="C44" s="40" t="n">
        <x:v>46213</x:v>
      </x:c>
      <x:c r="D44" s="40" t="n">
        <x:v>46213</x:v>
      </x:c>
      <x:c r="E44" s="37" t="str">
        <x:v>Maxi Centro, Lda.</x:v>
      </x:c>
      <x:c r="F44" s="37" t="str">
        <x:v>Nova Vida</x:v>
      </x:c>
      <x:c r="G44" s="37" t="str">
        <x:v>Jorge Mário</x:v>
      </x:c>
      <x:c r="H44" s="37" t="str">
        <x:v>VTR-11</x:v>
      </x:c>
      <x:c r="I44" s="37" t="str">
        <x:v>JAC N56</x:v>
      </x:c>
      <x:c r="J44" s="37" t="n">
        <x:v>3500</x:v>
      </x:c>
      <x:c r="K44" s="37" t="n">
        <x:v>84</x:v>
      </x:c>
      <x:c r="L44" s="37" t="n">
        <x:v>84</x:v>
      </x:c>
      <x:c r="M44" s="37" t="n">
        <x:v>1601.4</x:v>
      </x:c>
      <x:c r="N44" s="37" t="n">
        <x:v>23</x:v>
      </x:c>
      <x:c r="O44" s="44" t="n">
        <x:v>830508</x:v>
      </x:c>
      <x:c r="P44" s="44" t="n">
        <x:v>43500</x:v>
      </x:c>
      <x:c r="Q44" s="37" t="str">
        <x:v>Entregue</x:v>
      </x:c>
      <x:c r="R44" s="37" t="str"/>
      <x:c r="S44" s="37" t="str">
        <x:v>Nao</x:v>
      </x:c>
      <x:c r="T44" s="37" t="str">
        <x:v>Nao</x:v>
      </x:c>
    </x:row>
    <x:row r="45" ht="19" customHeight="1">
      <x:c r="A45" s="37" t="str">
        <x:v>ENT-00044</x:v>
      </x:c>
      <x:c r="B45" s="40" t="n">
        <x:v>46264</x:v>
      </x:c>
      <x:c r="C45" s="40" t="n">
        <x:v>46267</x:v>
      </x:c>
      <x:c r="D45" s="40" t="n">
        <x:v>46267</x:v>
      </x:c>
      <x:c r="E45" s="37" t="str">
        <x:v>Maxi Centro, Lda.</x:v>
      </x:c>
      <x:c r="F45" s="37" t="str">
        <x:v>Zango</x:v>
      </x:c>
      <x:c r="G45" s="37" t="str">
        <x:v>Jorge Mário</x:v>
      </x:c>
      <x:c r="H45" s="37" t="str">
        <x:v>VTR-02</x:v>
      </x:c>
      <x:c r="I45" s="37" t="str">
        <x:v>Kia K2700</x:v>
      </x:c>
      <x:c r="J45" s="37" t="n">
        <x:v>1500</x:v>
      </x:c>
      <x:c r="K45" s="37" t="n">
        <x:v>78</x:v>
      </x:c>
      <x:c r="L45" s="37" t="n">
        <x:v>78</x:v>
      </x:c>
      <x:c r="M45" s="37" t="n">
        <x:v>917.8</x:v>
      </x:c>
      <x:c r="N45" s="37" t="n">
        <x:v>58</x:v>
      </x:c>
      <x:c r="O45" s="44" t="n">
        <x:v>495924</x:v>
      </x:c>
      <x:c r="P45" s="44" t="n">
        <x:v>50000</x:v>
      </x:c>
      <x:c r="Q45" s="37" t="str">
        <x:v>Entregue</x:v>
      </x:c>
      <x:c r="R45" s="37" t="str"/>
      <x:c r="S45" s="37" t="str">
        <x:v>Nao</x:v>
      </x:c>
      <x:c r="T45" s="37" t="str">
        <x:v>Sim</x:v>
      </x:c>
    </x:row>
    <x:row r="46" ht="19" customHeight="1">
      <x:c r="A46" s="37" t="str">
        <x:v>ENT-00045</x:v>
      </x:c>
      <x:c r="B46" s="40" t="n">
        <x:v>46211</x:v>
      </x:c>
      <x:c r="C46" s="40" t="n">
        <x:v>46213</x:v>
      </x:c>
      <x:c r="D46" s="40"/>
      <x:c r="E46" s="37" t="str">
        <x:v>Mercado Sul, Lda.</x:v>
      </x:c>
      <x:c r="F46" s="37" t="str">
        <x:v>Nova Vida</x:v>
      </x:c>
      <x:c r="G46" s="37" t="str">
        <x:v>Dário Joaquim</x:v>
      </x:c>
      <x:c r="H46" s="37" t="str">
        <x:v>VTR-10</x:v>
      </x:c>
      <x:c r="I46" s="37" t="str">
        <x:v>Foton Aumark</x:v>
      </x:c>
      <x:c r="J46" s="37" t="n">
        <x:v>4000</x:v>
      </x:c>
      <x:c r="K46" s="37" t="n">
        <x:v>74</x:v>
      </x:c>
      <x:c r="L46" s="37" t="n">
        <x:v>0</x:v>
      </x:c>
      <x:c r="M46" s="37" t="n">
        <x:v>1136</x:v>
      </x:c>
      <x:c r="N46" s="37" t="n">
        <x:v>28</x:v>
      </x:c>
      <x:c r="O46" s="44" t="n">
        <x:v>545972</x:v>
      </x:c>
      <x:c r="P46" s="44" t="n">
        <x:v>38500</x:v>
      </x:c>
      <x:c r="Q46" s="37" t="str">
        <x:v>Cancelada</x:v>
      </x:c>
      <x:c r="R46" s="37" t="str">
        <x:v>Cancelamento do cliente</x:v>
      </x:c>
      <x:c r="S46" s="37" t="str">
        <x:v>Nao</x:v>
      </x:c>
      <x:c r="T46" s="37" t="str">
        <x:v>Nao</x:v>
      </x:c>
    </x:row>
    <x:row r="47" ht="19" customHeight="1">
      <x:c r="A47" s="37" t="str">
        <x:v>ENT-00046</x:v>
      </x:c>
      <x:c r="B47" s="40" t="n">
        <x:v>46215</x:v>
      </x:c>
      <x:c r="C47" s="40" t="n">
        <x:v>46218</x:v>
      </x:c>
      <x:c r="D47" s="40" t="n">
        <x:v>46219</x:v>
      </x:c>
      <x:c r="E47" s="37" t="str">
        <x:v>Kwanza Distribuição, Lda.</x:v>
      </x:c>
      <x:c r="F47" s="37" t="str">
        <x:v>Cacuaco</x:v>
      </x:c>
      <x:c r="G47" s="37" t="str">
        <x:v>Bernardo Paulo</x:v>
      </x:c>
      <x:c r="H47" s="37" t="str">
        <x:v>VTR-02</x:v>
      </x:c>
      <x:c r="I47" s="37" t="str">
        <x:v>Kia K2700</x:v>
      </x:c>
      <x:c r="J47" s="37" t="n">
        <x:v>1500</x:v>
      </x:c>
      <x:c r="K47" s="37" t="n">
        <x:v>16</x:v>
      </x:c>
      <x:c r="L47" s="37" t="n">
        <x:v>16</x:v>
      </x:c>
      <x:c r="M47" s="37" t="n">
        <x:v>222.5</x:v>
      </x:c>
      <x:c r="N47" s="37" t="n">
        <x:v>41</x:v>
      </x:c>
      <x:c r="O47" s="44" t="n">
        <x:v>66320</x:v>
      </x:c>
      <x:c r="P47" s="44" t="n">
        <x:v>27500</x:v>
      </x:c>
      <x:c r="Q47" s="37" t="str">
        <x:v>Entregue</x:v>
      </x:c>
      <x:c r="R47" s="37" t="str">
        <x:v>Chuva/condicao da via</x:v>
      </x:c>
      <x:c r="S47" s="37" t="str">
        <x:v>Nao</x:v>
      </x:c>
      <x:c r="T47" s="37" t="str">
        <x:v>Nao</x:v>
      </x:c>
    </x:row>
    <x:row r="48" ht="19" customHeight="1">
      <x:c r="A48" s="37" t="str">
        <x:v>ENT-00047</x:v>
      </x:c>
      <x:c r="B48" s="40" t="n">
        <x:v>46226</x:v>
      </x:c>
      <x:c r="C48" s="40" t="n">
        <x:v>46228</x:v>
      </x:c>
      <x:c r="D48" s="40" t="n">
        <x:v>46228</x:v>
      </x:c>
      <x:c r="E48" s="37" t="str">
        <x:v>Cesta Certa, Lda.</x:v>
      </x:c>
      <x:c r="F48" s="37" t="str">
        <x:v>Talatona</x:v>
      </x:c>
      <x:c r="G48" s="37" t="str">
        <x:v>Gilberto José</x:v>
      </x:c>
      <x:c r="H48" s="37" t="str">
        <x:v>VTR-09</x:v>
      </x:c>
      <x:c r="I48" s="37" t="str">
        <x:v>Toyota Hilux</x:v>
      </x:c>
      <x:c r="J48" s="37" t="n">
        <x:v>1000</x:v>
      </x:c>
      <x:c r="K48" s="37" t="n">
        <x:v>86</x:v>
      </x:c>
      <x:c r="L48" s="37" t="n">
        <x:v>86</x:v>
      </x:c>
      <x:c r="M48" s="37" t="n">
        <x:v>885.5</x:v>
      </x:c>
      <x:c r="N48" s="37" t="n">
        <x:v>35</x:v>
      </x:c>
      <x:c r="O48" s="44" t="n">
        <x:v>329724</x:v>
      </x:c>
      <x:c r="P48" s="44" t="n">
        <x:v>33500</x:v>
      </x:c>
      <x:c r="Q48" s="37" t="str">
        <x:v>Entregue</x:v>
      </x:c>
      <x:c r="R48" s="37" t="str"/>
      <x:c r="S48" s="37" t="str">
        <x:v>Nao</x:v>
      </x:c>
      <x:c r="T48" s="37" t="str">
        <x:v>Nao</x:v>
      </x:c>
    </x:row>
    <x:row r="49" ht="19" customHeight="1">
      <x:c r="A49" s="37" t="str">
        <x:v>ENT-00048</x:v>
      </x:c>
      <x:c r="B49" s="40" t="n">
        <x:v>46241</x:v>
      </x:c>
      <x:c r="C49" s="40" t="n">
        <x:v>46243</x:v>
      </x:c>
      <x:c r="D49" s="40" t="n">
        <x:v>46242</x:v>
      </x:c>
      <x:c r="E49" s="37" t="str">
        <x:v>Ponto Logístico, Lda.</x:v>
      </x:c>
      <x:c r="F49" s="37" t="str">
        <x:v>Patriota</x:v>
      </x:c>
      <x:c r="G49" s="37" t="str">
        <x:v>Jorge Mário</x:v>
      </x:c>
      <x:c r="H49" s="37" t="str">
        <x:v>VTR-08</x:v>
      </x:c>
      <x:c r="I49" s="37" t="str">
        <x:v>Toyota Hilux</x:v>
      </x:c>
      <x:c r="J49" s="37" t="n">
        <x:v>1000</x:v>
      </x:c>
      <x:c r="K49" s="37" t="n">
        <x:v>63</x:v>
      </x:c>
      <x:c r="L49" s="37" t="n">
        <x:v>63</x:v>
      </x:c>
      <x:c r="M49" s="37" t="n">
        <x:v>803.2</x:v>
      </x:c>
      <x:c r="N49" s="37" t="n">
        <x:v>30</x:v>
      </x:c>
      <x:c r="O49" s="44" t="n">
        <x:v>1270332</x:v>
      </x:c>
      <x:c r="P49" s="44" t="n">
        <x:v>37500</x:v>
      </x:c>
      <x:c r="Q49" s="37" t="str">
        <x:v>Entregue</x:v>
      </x:c>
      <x:c r="R49" s="37" t="str"/>
      <x:c r="S49" s="37" t="str">
        <x:v>Nao</x:v>
      </x:c>
      <x:c r="T49" s="37" t="str">
        <x:v>Nao</x:v>
      </x:c>
    </x:row>
    <x:row r="50" ht="19" customHeight="1">
      <x:c r="A50" s="37" t="str">
        <x:v>ENT-00049</x:v>
      </x:c>
      <x:c r="B50" s="40" t="n">
        <x:v>46248</x:v>
      </x:c>
      <x:c r="C50" s="40" t="n">
        <x:v>46250</x:v>
      </x:c>
      <x:c r="D50" s="40" t="n">
        <x:v>46250</x:v>
      </x:c>
      <x:c r="E50" s="37" t="str">
        <x:v>Casa Horizonte, Lda.</x:v>
      </x:c>
      <x:c r="F50" s="37" t="str">
        <x:v>Viana</x:v>
      </x:c>
      <x:c r="G50" s="37" t="str">
        <x:v>Hélder Miguel</x:v>
      </x:c>
      <x:c r="H50" s="37" t="str">
        <x:v>VTR-05</x:v>
      </x:c>
      <x:c r="I50" s="37" t="str">
        <x:v>Hyundai HD65</x:v>
      </x:c>
      <x:c r="J50" s="37" t="n">
        <x:v>3500</x:v>
      </x:c>
      <x:c r="K50" s="37" t="n">
        <x:v>45</x:v>
      </x:c>
      <x:c r="L50" s="37" t="n">
        <x:v>45</x:v>
      </x:c>
      <x:c r="M50" s="37" t="n">
        <x:v>1177.9</x:v>
      </x:c>
      <x:c r="N50" s="37" t="n">
        <x:v>22</x:v>
      </x:c>
      <x:c r="O50" s="44" t="n">
        <x:v>1130040</x:v>
      </x:c>
      <x:c r="P50" s="44" t="n">
        <x:v>40000</x:v>
      </x:c>
      <x:c r="Q50" s="37" t="str">
        <x:v>Entregue</x:v>
      </x:c>
      <x:c r="R50" s="37" t="str"/>
      <x:c r="S50" s="37" t="str">
        <x:v>Nao</x:v>
      </x:c>
      <x:c r="T50" s="37" t="str">
        <x:v>Nao</x:v>
      </x:c>
    </x:row>
    <x:row r="51" ht="19" customHeight="1">
      <x:c r="A51" t="str">
        <x:v>ENT-00050</x:v>
      </x:c>
      <x:c r="B51" s="41" t="n">
        <x:v>46240</x:v>
      </x:c>
      <x:c r="C51" s="41" t="n">
        <x:v>46243</x:v>
      </x:c>
      <x:c r="D51" s="41" t="n">
        <x:v>46243</x:v>
      </x:c>
      <x:c r="E51" t="str">
        <x:v>Maxi Centro, Lda.</x:v>
      </x:c>
      <x:c r="F51" t="str">
        <x:v>Sequele</x:v>
      </x:c>
      <x:c r="G51" t="str">
        <x:v>Jorge Mário</x:v>
      </x:c>
      <x:c r="H51" t="str">
        <x:v>VTR-08</x:v>
      </x:c>
      <x:c r="I51" t="str">
        <x:v>Toyota Hilux</x:v>
      </x:c>
      <x:c r="J51" t="n">
        <x:v>1000</x:v>
      </x:c>
      <x:c r="K51" t="n">
        <x:v>22</x:v>
      </x:c>
      <x:c r="L51" t="n">
        <x:v>22</x:v>
      </x:c>
      <x:c r="M51" t="n">
        <x:v>480.8</x:v>
      </x:c>
      <x:c r="N51" t="n">
        <x:v>50</x:v>
      </x:c>
      <x:c r="O51" s="45" t="n">
        <x:v>146168</x:v>
      </x:c>
      <x:c r="P51" s="45" t="n">
        <x:v>35500</x:v>
      </x:c>
      <x:c r="Q51" t="str">
        <x:v>Entregue</x:v>
      </x:c>
      <x:c r="R51" t="str"/>
      <x:c r="S51" t="str">
        <x:v>Nao</x:v>
      </x:c>
      <x:c r="T51" t="str">
        <x:v>Nao</x:v>
      </x:c>
    </x:row>
    <x:row r="52" ht="19" customHeight="1">
      <x:c r="A52" t="str">
        <x:v>ENT-00051</x:v>
      </x:c>
      <x:c r="B52" s="41" t="n">
        <x:v>46222</x:v>
      </x:c>
      <x:c r="C52" s="41" t="n">
        <x:v>46224</x:v>
      </x:c>
      <x:c r="D52" s="41" t="n">
        <x:v>46224</x:v>
      </x:c>
      <x:c r="E52" t="str">
        <x:v>Bem-Estar Higiene, Lda.</x:v>
      </x:c>
      <x:c r="F52" t="str">
        <x:v>Nova Vida</x:v>
      </x:c>
      <x:c r="G52" t="str">
        <x:v>Hélder Miguel</x:v>
      </x:c>
      <x:c r="H52" t="str">
        <x:v>VTR-11</x:v>
      </x:c>
      <x:c r="I52" t="str">
        <x:v>JAC N56</x:v>
      </x:c>
      <x:c r="J52" t="n">
        <x:v>3500</x:v>
      </x:c>
      <x:c r="K52" t="n">
        <x:v>30</x:v>
      </x:c>
      <x:c r="L52" t="n">
        <x:v>30</x:v>
      </x:c>
      <x:c r="M52" t="n">
        <x:v>876.2</x:v>
      </x:c>
      <x:c r="N52" t="n">
        <x:v>25</x:v>
      </x:c>
      <x:c r="O52" s="45" t="n">
        <x:v>162090</x:v>
      </x:c>
      <x:c r="P52" s="45" t="n">
        <x:v>32000</x:v>
      </x:c>
      <x:c r="Q52" t="str">
        <x:v>Entregue</x:v>
      </x:c>
      <x:c r="R52" t="str"/>
      <x:c r="S52" t="str">
        <x:v>Nao</x:v>
      </x:c>
      <x:c r="T52" t="str">
        <x:v>Nao</x:v>
      </x:c>
    </x:row>
    <x:row r="53" ht="19" customHeight="1">
      <x:c r="A53" t="str">
        <x:v>ENT-00052</x:v>
      </x:c>
      <x:c r="B53" s="41" t="n">
        <x:v>46262</x:v>
      </x:c>
      <x:c r="C53" s="41" t="n">
        <x:v>46264</x:v>
      </x:c>
      <x:c r="D53" s="41" t="n">
        <x:v>46264</x:v>
      </x:c>
      <x:c r="E53" t="str">
        <x:v>N'gola Market, Lda.</x:v>
      </x:c>
      <x:c r="F53" t="str">
        <x:v>Viana</x:v>
      </x:c>
      <x:c r="G53" t="str">
        <x:v>Adriano Manuel</x:v>
      </x:c>
      <x:c r="H53" t="str">
        <x:v>VTR-01</x:v>
      </x:c>
      <x:c r="I53" t="str">
        <x:v>Kia K2700</x:v>
      </x:c>
      <x:c r="J53" t="n">
        <x:v>1500</x:v>
      </x:c>
      <x:c r="K53" t="n">
        <x:v>68</x:v>
      </x:c>
      <x:c r="L53" t="n">
        <x:v>68</x:v>
      </x:c>
      <x:c r="M53" t="n">
        <x:v>745.6</x:v>
      </x:c>
      <x:c r="N53" t="n">
        <x:v>27</x:v>
      </x:c>
      <x:c r="O53" s="45" t="n">
        <x:v>1240048</x:v>
      </x:c>
      <x:c r="P53" s="45" t="n">
        <x:v>29500</x:v>
      </x:c>
      <x:c r="Q53" t="str">
        <x:v>Entregue</x:v>
      </x:c>
      <x:c r="R53" t="str"/>
      <x:c r="S53" t="str">
        <x:v>Nao</x:v>
      </x:c>
      <x:c r="T53" t="str">
        <x:v>Nao</x:v>
      </x:c>
    </x:row>
    <x:row r="54" ht="19" customHeight="1">
      <x:c r="A54" t="str">
        <x:v>ENT-00053</x:v>
      </x:c>
      <x:c r="B54" s="41" t="n">
        <x:v>46231</x:v>
      </x:c>
      <x:c r="C54" s="41" t="n">
        <x:v>46233</x:v>
      </x:c>
      <x:c r="D54" s="41" t="n">
        <x:v>46232</x:v>
      </x:c>
      <x:c r="E54" t="str">
        <x:v>Savana Retail, Lda.</x:v>
      </x:c>
      <x:c r="F54" t="str">
        <x:v>Cacuaco</x:v>
      </x:c>
      <x:c r="G54" t="str">
        <x:v>Adriano Manuel</x:v>
      </x:c>
      <x:c r="H54" t="str">
        <x:v>VTR-04</x:v>
      </x:c>
      <x:c r="I54" t="str">
        <x:v>Toyota Dyna</x:v>
      </x:c>
      <x:c r="J54" t="n">
        <x:v>3000</x:v>
      </x:c>
      <x:c r="K54" t="n">
        <x:v>33</x:v>
      </x:c>
      <x:c r="L54" t="n">
        <x:v>33</x:v>
      </x:c>
      <x:c r="M54" t="n">
        <x:v>1082.9</x:v>
      </x:c>
      <x:c r="N54" t="n">
        <x:v>30</x:v>
      </x:c>
      <x:c r="O54" s="45" t="n">
        <x:v>280566</x:v>
      </x:c>
      <x:c r="P54" s="45" t="n">
        <x:v>40500</x:v>
      </x:c>
      <x:c r="Q54" t="str">
        <x:v>Entregue</x:v>
      </x:c>
      <x:c r="R54" t="str"/>
      <x:c r="S54" t="str">
        <x:v>Nao</x:v>
      </x:c>
      <x:c r="T54" t="str">
        <x:v>Nao</x:v>
      </x:c>
    </x:row>
    <x:row r="55" ht="19" customHeight="1">
      <x:c r="A55" t="str">
        <x:v>ENT-00054</x:v>
      </x:c>
      <x:c r="B55" s="41" t="n">
        <x:v>46224</x:v>
      </x:c>
      <x:c r="C55" s="41" t="n">
        <x:v>46226</x:v>
      </x:c>
      <x:c r="D55" s="41" t="n">
        <x:v>46226</x:v>
      </x:c>
      <x:c r="E55" t="str">
        <x:v>Bem-Estar Higiene, Lda.</x:v>
      </x:c>
      <x:c r="F55" t="str">
        <x:v>Maianga</x:v>
      </x:c>
      <x:c r="G55" t="str">
        <x:v>Lucas Tomás</x:v>
      </x:c>
      <x:c r="H55" t="str">
        <x:v>VTR-06</x:v>
      </x:c>
      <x:c r="I55" t="str">
        <x:v>Isuzu NPR</x:v>
      </x:c>
      <x:c r="J55" t="n">
        <x:v>5000</x:v>
      </x:c>
      <x:c r="K55" t="n">
        <x:v>18</x:v>
      </x:c>
      <x:c r="L55" t="n">
        <x:v>18</x:v>
      </x:c>
      <x:c r="M55" t="n">
        <x:v>241.6</x:v>
      </x:c>
      <x:c r="N55" t="n">
        <x:v>22</x:v>
      </x:c>
      <x:c r="O55" s="45" t="n">
        <x:v>113868</x:v>
      </x:c>
      <x:c r="P55" s="45" t="n">
        <x:v>20500</x:v>
      </x:c>
      <x:c r="Q55" t="str">
        <x:v>Entregue</x:v>
      </x:c>
      <x:c r="R55" t="str"/>
      <x:c r="S55" t="str">
        <x:v>Nao</x:v>
      </x:c>
      <x:c r="T55" t="str">
        <x:v>Nao</x:v>
      </x:c>
    </x:row>
    <x:row r="56" ht="19" customHeight="1">
      <x:c r="A56" t="str">
        <x:v>ENT-00055</x:v>
      </x:c>
      <x:c r="B56" s="41" t="n">
        <x:v>46214</x:v>
      </x:c>
      <x:c r="C56" s="41" t="n">
        <x:v>46216</x:v>
      </x:c>
      <x:c r="D56" s="41" t="n">
        <x:v>46216</x:v>
      </x:c>
      <x:c r="E56" t="str">
        <x:v>Bem-Estar Higiene, Lda.</x:v>
      </x:c>
      <x:c r="F56" t="str">
        <x:v>Zango</x:v>
      </x:c>
      <x:c r="G56" t="str">
        <x:v>Gilberto José</x:v>
      </x:c>
      <x:c r="H56" t="str">
        <x:v>VTR-02</x:v>
      </x:c>
      <x:c r="I56" t="str">
        <x:v>Kia K2700</x:v>
      </x:c>
      <x:c r="J56" t="n">
        <x:v>1500</x:v>
      </x:c>
      <x:c r="K56" t="n">
        <x:v>10</x:v>
      </x:c>
      <x:c r="L56" t="n">
        <x:v>10</x:v>
      </x:c>
      <x:c r="M56" t="n">
        <x:v>304.8</x:v>
      </x:c>
      <x:c r="N56" t="n">
        <x:v>35</x:v>
      </x:c>
      <x:c r="O56" s="45" t="n">
        <x:v>46900</x:v>
      </x:c>
      <x:c r="P56" s="45" t="n">
        <x:v>25500</x:v>
      </x:c>
      <x:c r="Q56" t="str">
        <x:v>Entregue</x:v>
      </x:c>
      <x:c r="R56" t="str"/>
      <x:c r="S56" t="str">
        <x:v>Nao</x:v>
      </x:c>
      <x:c r="T56" t="str">
        <x:v>Nao</x:v>
      </x:c>
    </x:row>
    <x:row r="57" ht="19" customHeight="1">
      <x:c r="A57" t="str">
        <x:v>ENT-00056</x:v>
      </x:c>
      <x:c r="B57" s="41" t="n">
        <x:v>46221</x:v>
      </x:c>
      <x:c r="C57" s="41" t="n">
        <x:v>46223</x:v>
      </x:c>
      <x:c r="D57" s="41" t="n">
        <x:v>46223</x:v>
      </x:c>
      <x:c r="E57" t="str">
        <x:v>Luanda Office Supply, Lda.</x:v>
      </x:c>
      <x:c r="F57" t="str">
        <x:v>Kilamba</x:v>
      </x:c>
      <x:c r="G57" t="str">
        <x:v>Félix Domingos</x:v>
      </x:c>
      <x:c r="H57" t="str">
        <x:v>VTR-02</x:v>
      </x:c>
      <x:c r="I57" t="str">
        <x:v>Kia K2700</x:v>
      </x:c>
      <x:c r="J57" t="n">
        <x:v>1500</x:v>
      </x:c>
      <x:c r="K57" t="n">
        <x:v>88</x:v>
      </x:c>
      <x:c r="L57" t="n">
        <x:v>88</x:v>
      </x:c>
      <x:c r="M57" t="n">
        <x:v>1242.8</x:v>
      </x:c>
      <x:c r="N57" t="n">
        <x:v>31</x:v>
      </x:c>
      <x:c r="O57" s="45" t="n">
        <x:v>2179144</x:v>
      </x:c>
      <x:c r="P57" s="45" t="n">
        <x:v>42000</x:v>
      </x:c>
      <x:c r="Q57" t="str">
        <x:v>Entregue</x:v>
      </x:c>
      <x:c r="R57" t="str"/>
      <x:c r="S57" t="str">
        <x:v>Nao</x:v>
      </x:c>
      <x:c r="T57" t="str">
        <x:v>Nao</x:v>
      </x:c>
    </x:row>
    <x:row r="58" ht="19" customHeight="1">
      <x:c r="A58" t="str">
        <x:v>ENT-00057</x:v>
      </x:c>
      <x:c r="B58" s="41" t="n">
        <x:v>46242</x:v>
      </x:c>
      <x:c r="C58" s="41" t="n">
        <x:v>46245</x:v>
      </x:c>
      <x:c r="D58" s="41" t="n">
        <x:v>46245</x:v>
      </x:c>
      <x:c r="E58" t="str">
        <x:v>Cesta Certa, Lda.</x:v>
      </x:c>
      <x:c r="F58" t="str">
        <x:v>Sequele</x:v>
      </x:c>
      <x:c r="G58" t="str">
        <x:v>Isaías Pedro</x:v>
      </x:c>
      <x:c r="H58" t="str">
        <x:v>VTR-04</x:v>
      </x:c>
      <x:c r="I58" t="str">
        <x:v>Toyota Dyna</x:v>
      </x:c>
      <x:c r="J58" t="n">
        <x:v>3000</x:v>
      </x:c>
      <x:c r="K58" t="n">
        <x:v>49</x:v>
      </x:c>
      <x:c r="L58" t="n">
        <x:v>49</x:v>
      </x:c>
      <x:c r="M58" t="n">
        <x:v>1510.1</x:v>
      </x:c>
      <x:c r="N58" t="n">
        <x:v>64</x:v>
      </x:c>
      <x:c r="O58" s="45" t="n">
        <x:v>250684</x:v>
      </x:c>
      <x:c r="P58" s="45" t="n">
        <x:v>60000</x:v>
      </x:c>
      <x:c r="Q58" t="str">
        <x:v>Entregue</x:v>
      </x:c>
      <x:c r="R58" t="str"/>
      <x:c r="S58" t="str">
        <x:v>Nao</x:v>
      </x:c>
      <x:c r="T58" t="str">
        <x:v>Nao</x:v>
      </x:c>
    </x:row>
    <x:row r="59" ht="19" customHeight="1">
      <x:c r="A59" t="str">
        <x:v>ENT-00058</x:v>
      </x:c>
      <x:c r="B59" s="41" t="n">
        <x:v>46262</x:v>
      </x:c>
      <x:c r="C59" s="41" t="n">
        <x:v>46263</x:v>
      </x:c>
      <x:c r="D59" s="41" t="n">
        <x:v>46263</x:v>
      </x:c>
      <x:c r="E59" t="str">
        <x:v>Kiala &amp; Filhos, Lda.</x:v>
      </x:c>
      <x:c r="F59" t="str">
        <x:v>Morro Bento</x:v>
      </x:c>
      <x:c r="G59" t="str">
        <x:v>Elísio António</x:v>
      </x:c>
      <x:c r="H59" t="str">
        <x:v>VTR-09</x:v>
      </x:c>
      <x:c r="I59" t="str">
        <x:v>Toyota Hilux</x:v>
      </x:c>
      <x:c r="J59" t="n">
        <x:v>1000</x:v>
      </x:c>
      <x:c r="K59" t="n">
        <x:v>82</x:v>
      </x:c>
      <x:c r="L59" t="n">
        <x:v>82</x:v>
      </x:c>
      <x:c r="M59" t="n">
        <x:v>673.9</x:v>
      </x:c>
      <x:c r="N59" t="n">
        <x:v>15</x:v>
      </x:c>
      <x:c r="O59" s="45" t="n">
        <x:v>1579484</x:v>
      </x:c>
      <x:c r="P59" s="45" t="n">
        <x:v>22500</x:v>
      </x:c>
      <x:c r="Q59" t="str">
        <x:v>Entregue</x:v>
      </x:c>
      <x:c r="R59" t="str"/>
      <x:c r="S59" t="str">
        <x:v>Nao</x:v>
      </x:c>
      <x:c r="T59" t="str">
        <x:v>Nao</x:v>
      </x:c>
    </x:row>
    <x:row r="60" ht="19" customHeight="1">
      <x:c r="A60" t="str">
        <x:v>ENT-00059</x:v>
      </x:c>
      <x:c r="B60" s="41" t="n">
        <x:v>46227</x:v>
      </x:c>
      <x:c r="C60" s="41" t="n">
        <x:v>46230</x:v>
      </x:c>
      <x:c r="D60" s="41" t="n">
        <x:v>46231</x:v>
      </x:c>
      <x:c r="E60" t="str">
        <x:v>Kwanza Distribuição, Lda.</x:v>
      </x:c>
      <x:c r="F60" t="str">
        <x:v>Benfica</x:v>
      </x:c>
      <x:c r="G60" t="str">
        <x:v>Dário Joaquim</x:v>
      </x:c>
      <x:c r="H60" t="str">
        <x:v>VTR-12</x:v>
      </x:c>
      <x:c r="I60" t="str">
        <x:v>Hyundai H100</x:v>
      </x:c>
      <x:c r="J60" t="n">
        <x:v>1300</x:v>
      </x:c>
      <x:c r="K60" t="n">
        <x:v>49</x:v>
      </x:c>
      <x:c r="L60" t="n">
        <x:v>49</x:v>
      </x:c>
      <x:c r="M60" t="n">
        <x:v>1112.8</x:v>
      </x:c>
      <x:c r="N60" t="n">
        <x:v>46</x:v>
      </x:c>
      <x:c r="O60" s="45" t="n">
        <x:v>642439</x:v>
      </x:c>
      <x:c r="P60" s="45" t="n">
        <x:v>44500</x:v>
      </x:c>
      <x:c r="Q60" t="str">
        <x:v>Entregue</x:v>
      </x:c>
      <x:c r="R60" t="str">
        <x:v>Chuva/condicao da via</x:v>
      </x:c>
      <x:c r="S60" t="str">
        <x:v>Nao</x:v>
      </x:c>
      <x:c r="T60" t="str">
        <x:v>Nao</x:v>
      </x:c>
    </x:row>
    <x:row r="61" ht="19" customHeight="1">
      <x:c r="A61" t="str">
        <x:v>ENT-00060</x:v>
      </x:c>
      <x:c r="B61" s="41" t="n">
        <x:v>46238</x:v>
      </x:c>
      <x:c r="C61" s="41" t="n">
        <x:v>46241</x:v>
      </x:c>
      <x:c r="D61" s="41" t="n">
        <x:v>46241</x:v>
      </x:c>
      <x:c r="E61" t="str">
        <x:v>Atlântico Farma, Lda.</x:v>
      </x:c>
      <x:c r="F61" t="str">
        <x:v>Cacuaco</x:v>
      </x:c>
      <x:c r="G61" t="str">
        <x:v>Adriano Manuel</x:v>
      </x:c>
      <x:c r="H61" t="str">
        <x:v>VTR-11</x:v>
      </x:c>
      <x:c r="I61" t="str">
        <x:v>JAC N56</x:v>
      </x:c>
      <x:c r="J61" t="n">
        <x:v>3500</x:v>
      </x:c>
      <x:c r="K61" t="n">
        <x:v>64</x:v>
      </x:c>
      <x:c r="L61" t="n">
        <x:v>64</x:v>
      </x:c>
      <x:c r="M61" t="n">
        <x:v>677.1</x:v>
      </x:c>
      <x:c r="N61" t="n">
        <x:v>44</x:v>
      </x:c>
      <x:c r="O61" s="45" t="n">
        <x:v>314240</x:v>
      </x:c>
      <x:c r="P61" s="45" t="n">
        <x:v>37500</x:v>
      </x:c>
      <x:c r="Q61" t="str">
        <x:v>Entregue</x:v>
      </x:c>
      <x:c r="R61" t="str"/>
      <x:c r="S61" t="str">
        <x:v>Nao</x:v>
      </x:c>
      <x:c r="T61" t="str">
        <x:v>Nao</x:v>
      </x:c>
    </x:row>
    <x:row r="62" ht="19" customHeight="1">
      <x:c r="A62" t="str">
        <x:v>ENT-00061</x:v>
      </x:c>
      <x:c r="B62" s="41" t="n">
        <x:v>46234</x:v>
      </x:c>
      <x:c r="C62" s="41" t="n">
        <x:v>46235</x:v>
      </x:c>
      <x:c r="D62" s="41" t="n">
        <x:v>46235</x:v>
      </x:c>
      <x:c r="E62" t="str">
        <x:v>Kwanza Distribuição, Lda.</x:v>
      </x:c>
      <x:c r="F62" t="str">
        <x:v>Camama</x:v>
      </x:c>
      <x:c r="G62" t="str">
        <x:v>Adriano Manuel</x:v>
      </x:c>
      <x:c r="H62" t="str">
        <x:v>VTR-01</x:v>
      </x:c>
      <x:c r="I62" t="str">
        <x:v>Kia K2700</x:v>
      </x:c>
      <x:c r="J62" t="n">
        <x:v>1500</x:v>
      </x:c>
      <x:c r="K62" t="n">
        <x:v>57</x:v>
      </x:c>
      <x:c r="L62" t="n">
        <x:v>57</x:v>
      </x:c>
      <x:c r="M62" t="n">
        <x:v>1129.7</x:v>
      </x:c>
      <x:c r="N62" t="n">
        <x:v>18</x:v>
      </x:c>
      <x:c r="O62" s="45" t="n">
        <x:v>753084</x:v>
      </x:c>
      <x:c r="P62" s="45" t="n">
        <x:v>36000</x:v>
      </x:c>
      <x:c r="Q62" t="str">
        <x:v>Entregue</x:v>
      </x:c>
      <x:c r="R62" t="str"/>
      <x:c r="S62" t="str">
        <x:v>Nao</x:v>
      </x:c>
      <x:c r="T62" t="str">
        <x:v>Nao</x:v>
      </x:c>
    </x:row>
    <x:row r="63" ht="19" customHeight="1">
      <x:c r="A63" t="str">
        <x:v>ENT-00062</x:v>
      </x:c>
      <x:c r="B63" s="41" t="n">
        <x:v>46239</x:v>
      </x:c>
      <x:c r="C63" s="41" t="n">
        <x:v>46241</x:v>
      </x:c>
      <x:c r="D63" s="41" t="n">
        <x:v>46241</x:v>
      </x:c>
      <x:c r="E63" t="str">
        <x:v>Mundo Fresco, Lda.</x:v>
      </x:c>
      <x:c r="F63" t="str">
        <x:v>Benfica</x:v>
      </x:c>
      <x:c r="G63" t="str">
        <x:v>Dário Joaquim</x:v>
      </x:c>
      <x:c r="H63" t="str">
        <x:v>VTR-06</x:v>
      </x:c>
      <x:c r="I63" t="str">
        <x:v>Isuzu NPR</x:v>
      </x:c>
      <x:c r="J63" t="n">
        <x:v>5000</x:v>
      </x:c>
      <x:c r="K63" t="n">
        <x:v>20</x:v>
      </x:c>
      <x:c r="L63" t="n">
        <x:v>20</x:v>
      </x:c>
      <x:c r="M63" t="n">
        <x:v>149.5</x:v>
      </x:c>
      <x:c r="N63" t="n">
        <x:v>27</x:v>
      </x:c>
      <x:c r="O63" s="45" t="n">
        <x:v>142000</x:v>
      </x:c>
      <x:c r="P63" s="45" t="n">
        <x:v>19500</x:v>
      </x:c>
      <x:c r="Q63" t="str">
        <x:v>Entregue</x:v>
      </x:c>
      <x:c r="R63" t="str"/>
      <x:c r="S63" t="str">
        <x:v>Nao</x:v>
      </x:c>
      <x:c r="T63" t="str">
        <x:v>Nao</x:v>
      </x:c>
    </x:row>
    <x:row r="64" ht="19" customHeight="1">
      <x:c r="A64" t="str">
        <x:v>ENT-00063</x:v>
      </x:c>
      <x:c r="B64" s="41" t="n">
        <x:v>46213</x:v>
      </x:c>
      <x:c r="C64" s="41" t="n">
        <x:v>46215</x:v>
      </x:c>
      <x:c r="D64" s="41" t="n">
        <x:v>46215</x:v>
      </x:c>
      <x:c r="E64" t="str">
        <x:v>Prime Stock, Lda.</x:v>
      </x:c>
      <x:c r="F64" t="str">
        <x:v>Viana</x:v>
      </x:c>
      <x:c r="G64" t="str">
        <x:v>Félix Domingos</x:v>
      </x:c>
      <x:c r="H64" t="str">
        <x:v>VTR-06</x:v>
      </x:c>
      <x:c r="I64" t="str">
        <x:v>Isuzu NPR</x:v>
      </x:c>
      <x:c r="J64" t="n">
        <x:v>5000</x:v>
      </x:c>
      <x:c r="K64" t="n">
        <x:v>88</x:v>
      </x:c>
      <x:c r="L64" t="n">
        <x:v>88</x:v>
      </x:c>
      <x:c r="M64" t="n">
        <x:v>1786.9</x:v>
      </x:c>
      <x:c r="N64" t="n">
        <x:v>30</x:v>
      </x:c>
      <x:c r="O64" s="45" t="n">
        <x:v>465520</x:v>
      </x:c>
      <x:c r="P64" s="45" t="n">
        <x:v>48000</x:v>
      </x:c>
      <x:c r="Q64" t="str">
        <x:v>Entregue</x:v>
      </x:c>
      <x:c r="R64" t="str"/>
      <x:c r="S64" t="str">
        <x:v>Nao</x:v>
      </x:c>
      <x:c r="T64" t="str">
        <x:v>Nao</x:v>
      </x:c>
    </x:row>
    <x:row r="65" ht="19" customHeight="1">
      <x:c r="A65" t="str">
        <x:v>ENT-00064</x:v>
      </x:c>
      <x:c r="B65" s="41" t="n">
        <x:v>46253</x:v>
      </x:c>
      <x:c r="C65" s="41" t="n">
        <x:v>46256</x:v>
      </x:c>
      <x:c r="D65" s="41" t="n">
        <x:v>46256</x:v>
      </x:c>
      <x:c r="E65" t="str">
        <x:v>Prime Stock, Lda.</x:v>
      </x:c>
      <x:c r="F65" t="str">
        <x:v>Sequele</x:v>
      </x:c>
      <x:c r="G65" t="str">
        <x:v>Dário Joaquim</x:v>
      </x:c>
      <x:c r="H65" t="str">
        <x:v>VTR-09</x:v>
      </x:c>
      <x:c r="I65" t="str">
        <x:v>Toyota Hilux</x:v>
      </x:c>
      <x:c r="J65" t="n">
        <x:v>1000</x:v>
      </x:c>
      <x:c r="K65" t="n">
        <x:v>71</x:v>
      </x:c>
      <x:c r="L65" t="n">
        <x:v>71</x:v>
      </x:c>
      <x:c r="M65" t="n">
        <x:v>456.9</x:v>
      </x:c>
      <x:c r="N65" t="n">
        <x:v>52</x:v>
      </x:c>
      <x:c r="O65" s="45" t="n">
        <x:v>1642443</x:v>
      </x:c>
      <x:c r="P65" s="45" t="n">
        <x:v>35000</x:v>
      </x:c>
      <x:c r="Q65" t="str">
        <x:v>Entregue</x:v>
      </x:c>
      <x:c r="R65" t="str"/>
      <x:c r="S65" t="str">
        <x:v>Nao</x:v>
      </x:c>
      <x:c r="T65" t="str">
        <x:v>Nao</x:v>
      </x:c>
    </x:row>
    <x:row r="66" ht="19" customHeight="1">
      <x:c r="A66" t="str">
        <x:v>ENT-00065</x:v>
      </x:c>
      <x:c r="B66" s="41" t="n">
        <x:v>46208</x:v>
      </x:c>
      <x:c r="C66" s="41" t="n">
        <x:v>46211</x:v>
      </x:c>
      <x:c r="D66" s="41" t="n">
        <x:v>46212</x:v>
      </x:c>
      <x:c r="E66" t="str">
        <x:v>Rota Azul, Lda.</x:v>
      </x:c>
      <x:c r="F66" t="str">
        <x:v>Zango</x:v>
      </x:c>
      <x:c r="G66" t="str">
        <x:v>Carlos Mateus</x:v>
      </x:c>
      <x:c r="H66" t="str">
        <x:v>VTR-06</x:v>
      </x:c>
      <x:c r="I66" t="str">
        <x:v>Isuzu NPR</x:v>
      </x:c>
      <x:c r="J66" t="n">
        <x:v>5000</x:v>
      </x:c>
      <x:c r="K66" t="n">
        <x:v>61</x:v>
      </x:c>
      <x:c r="L66" t="n">
        <x:v>61</x:v>
      </x:c>
      <x:c r="M66" t="n">
        <x:v>2072.2</x:v>
      </x:c>
      <x:c r="N66" t="n">
        <x:v>55</x:v>
      </x:c>
      <x:c r="O66" s="45" t="n">
        <x:v>641964</x:v>
      </x:c>
      <x:c r="P66" s="45" t="n">
        <x:v>63500</x:v>
      </x:c>
      <x:c r="Q66" t="str">
        <x:v>Entregue</x:v>
      </x:c>
      <x:c r="R66" t="str">
        <x:v>Cliente indisponivel</x:v>
      </x:c>
      <x:c r="S66" t="str">
        <x:v>Nao</x:v>
      </x:c>
      <x:c r="T66" t="str">
        <x:v>Nao</x:v>
      </x:c>
    </x:row>
    <x:row r="67" ht="19" customHeight="1">
      <x:c r="A67" t="str">
        <x:v>ENT-00066</x:v>
      </x:c>
      <x:c r="B67" s="41" t="n">
        <x:v>46217</x:v>
      </x:c>
      <x:c r="C67" s="41" t="n">
        <x:v>46220</x:v>
      </x:c>
      <x:c r="D67" s="41" t="n">
        <x:v>46220</x:v>
      </x:c>
      <x:c r="E67" t="str">
        <x:v>Via Certa Serviços, Lda.</x:v>
      </x:c>
      <x:c r="F67" t="str">
        <x:v>Sequele</x:v>
      </x:c>
      <x:c r="G67" t="str">
        <x:v>Isaías Pedro</x:v>
      </x:c>
      <x:c r="H67" t="str">
        <x:v>VTR-05</x:v>
      </x:c>
      <x:c r="I67" t="str">
        <x:v>Hyundai HD65</x:v>
      </x:c>
      <x:c r="J67" t="n">
        <x:v>3500</x:v>
      </x:c>
      <x:c r="K67" t="n">
        <x:v>10</x:v>
      </x:c>
      <x:c r="L67" t="n">
        <x:v>10</x:v>
      </x:c>
      <x:c r="M67" t="n">
        <x:v>211.5</x:v>
      </x:c>
      <x:c r="N67" t="n">
        <x:v>52</x:v>
      </x:c>
      <x:c r="O67" s="45" t="n">
        <x:v>188550</x:v>
      </x:c>
      <x:c r="P67" s="45" t="n">
        <x:v>31500</x:v>
      </x:c>
      <x:c r="Q67" t="str">
        <x:v>Entregue</x:v>
      </x:c>
      <x:c r="R67" t="str"/>
      <x:c r="S67" t="str">
        <x:v>Nao</x:v>
      </x:c>
      <x:c r="T67" t="str">
        <x:v>Nao</x:v>
      </x:c>
    </x:row>
    <x:row r="68" ht="19" customHeight="1">
      <x:c r="A68" t="str">
        <x:v>ENT-00067</x:v>
      </x:c>
      <x:c r="B68" s="41" t="n">
        <x:v>46248</x:v>
      </x:c>
      <x:c r="C68" s="41" t="n">
        <x:v>46250</x:v>
      </x:c>
      <x:c r="D68" s="41" t="n">
        <x:v>46253</x:v>
      </x:c>
      <x:c r="E68" t="str">
        <x:v>Kiala &amp; Filhos, Lda.</x:v>
      </x:c>
      <x:c r="F68" t="str">
        <x:v>Patriota</x:v>
      </x:c>
      <x:c r="G68" t="str">
        <x:v>Carlos Mateus</x:v>
      </x:c>
      <x:c r="H68" t="str">
        <x:v>VTR-03</x:v>
      </x:c>
      <x:c r="I68" t="str">
        <x:v>Toyota Dyna</x:v>
      </x:c>
      <x:c r="J68" t="n">
        <x:v>3000</x:v>
      </x:c>
      <x:c r="K68" t="n">
        <x:v>18</x:v>
      </x:c>
      <x:c r="L68" t="n">
        <x:v>18</x:v>
      </x:c>
      <x:c r="M68" t="n">
        <x:v>180.4</x:v>
      </x:c>
      <x:c r="N68" t="n">
        <x:v>39</x:v>
      </x:c>
      <x:c r="O68" s="45" t="n">
        <x:v>356580</x:v>
      </x:c>
      <x:c r="P68" s="45" t="n">
        <x:v>29000</x:v>
      </x:c>
      <x:c r="Q68" t="str">
        <x:v>Entregue</x:v>
      </x:c>
      <x:c r="R68" t="str">
        <x:v>Avaria da viatura</x:v>
      </x:c>
      <x:c r="S68" t="str">
        <x:v>Nao</x:v>
      </x:c>
      <x:c r="T68" t="str">
        <x:v>Nao</x:v>
      </x:c>
    </x:row>
    <x:row r="69" ht="19" customHeight="1">
      <x:c r="A69" t="str">
        <x:v>ENT-00068</x:v>
      </x:c>
      <x:c r="B69" s="41" t="n">
        <x:v>46222</x:v>
      </x:c>
      <x:c r="C69" s="41" t="n">
        <x:v>46224</x:v>
      </x:c>
      <x:c r="D69" s="41" t="n">
        <x:v>46224</x:v>
      </x:c>
      <x:c r="E69" t="str">
        <x:v>Kwanza Distribuição, Lda.</x:v>
      </x:c>
      <x:c r="F69" t="str">
        <x:v>Viana</x:v>
      </x:c>
      <x:c r="G69" t="str">
        <x:v>Jorge Mário</x:v>
      </x:c>
      <x:c r="H69" t="str">
        <x:v>VTR-01</x:v>
      </x:c>
      <x:c r="I69" t="str">
        <x:v>Kia K2700</x:v>
      </x:c>
      <x:c r="J69" t="n">
        <x:v>1500</x:v>
      </x:c>
      <x:c r="K69" t="n">
        <x:v>79</x:v>
      </x:c>
      <x:c r="L69" t="n">
        <x:v>79</x:v>
      </x:c>
      <x:c r="M69" t="n">
        <x:v>982.8</x:v>
      </x:c>
      <x:c r="N69" t="n">
        <x:v>33</x:v>
      </x:c>
      <x:c r="O69" s="45" t="n">
        <x:v>1296627</x:v>
      </x:c>
      <x:c r="P69" s="45" t="n">
        <x:v>41000</x:v>
      </x:c>
      <x:c r="Q69" t="str">
        <x:v>Entregue</x:v>
      </x:c>
      <x:c r="R69" t="str"/>
      <x:c r="S69" t="str">
        <x:v>Nao</x:v>
      </x:c>
      <x:c r="T69" t="str">
        <x:v>Nao</x:v>
      </x:c>
    </x:row>
    <x:row r="70" ht="19" customHeight="1">
      <x:c r="A70" t="str">
        <x:v>ENT-00069</x:v>
      </x:c>
      <x:c r="B70" s="41" t="n">
        <x:v>46227</x:v>
      </x:c>
      <x:c r="C70" s="41" t="n">
        <x:v>46229</x:v>
      </x:c>
      <x:c r="D70" s="41" t="n">
        <x:v>46232</x:v>
      </x:c>
      <x:c r="E70" t="str">
        <x:v>Atlântico Farma, Lda.</x:v>
      </x:c>
      <x:c r="F70" t="str">
        <x:v>Kikuxi</x:v>
      </x:c>
      <x:c r="G70" t="str">
        <x:v>Lucas Tomás</x:v>
      </x:c>
      <x:c r="H70" t="str">
        <x:v>VTR-07</x:v>
      </x:c>
      <x:c r="I70" t="str">
        <x:v>Isuzu NPR</x:v>
      </x:c>
      <x:c r="J70" t="n">
        <x:v>5000</x:v>
      </x:c>
      <x:c r="K70" t="n">
        <x:v>40</x:v>
      </x:c>
      <x:c r="L70" t="n">
        <x:v>0</x:v>
      </x:c>
      <x:c r="M70" t="n">
        <x:v>431</x:v>
      </x:c>
      <x:c r="N70" t="n">
        <x:v>30</x:v>
      </x:c>
      <x:c r="O70" s="45" t="n">
        <x:v>733880</x:v>
      </x:c>
      <x:c r="P70" s="45" t="n">
        <x:v>27500</x:v>
      </x:c>
      <x:c r="Q70" t="str">
        <x:v>Falhada</x:v>
      </x:c>
      <x:c r="R70" t="str">
        <x:v>Cliente ausente</x:v>
      </x:c>
      <x:c r="S70" t="str">
        <x:v>Nao</x:v>
      </x:c>
      <x:c r="T70" t="str">
        <x:v>Nao</x:v>
      </x:c>
    </x:row>
    <x:row r="71" ht="19" customHeight="1">
      <x:c r="A71" t="str">
        <x:v>ENT-00070</x:v>
      </x:c>
      <x:c r="B71" s="41" t="n">
        <x:v>46211</x:v>
      </x:c>
      <x:c r="C71" s="41" t="n">
        <x:v>46214</x:v>
      </x:c>
      <x:c r="D71" s="41" t="n">
        <x:v>46214</x:v>
      </x:c>
      <x:c r="E71" t="str">
        <x:v>Sol Nascente Comércio, Lda.</x:v>
      </x:c>
      <x:c r="F71" t="str">
        <x:v>Cacuaco</x:v>
      </x:c>
      <x:c r="G71" t="str">
        <x:v>Félix Domingos</x:v>
      </x:c>
      <x:c r="H71" t="str">
        <x:v>VTR-11</x:v>
      </x:c>
      <x:c r="I71" t="str">
        <x:v>JAC N56</x:v>
      </x:c>
      <x:c r="J71" t="n">
        <x:v>3500</x:v>
      </x:c>
      <x:c r="K71" t="n">
        <x:v>76</x:v>
      </x:c>
      <x:c r="L71" t="n">
        <x:v>76</x:v>
      </x:c>
      <x:c r="M71" t="n">
        <x:v>1141</x:v>
      </x:c>
      <x:c r="N71" t="n">
        <x:v>45</x:v>
      </x:c>
      <x:c r="O71" s="45" t="n">
        <x:v>926212</x:v>
      </x:c>
      <x:c r="P71" s="45" t="n">
        <x:v>50000</x:v>
      </x:c>
      <x:c r="Q71" t="str">
        <x:v>Entregue</x:v>
      </x:c>
      <x:c r="R71" t="str"/>
      <x:c r="S71" t="str">
        <x:v>Nao</x:v>
      </x:c>
      <x:c r="T71" t="str">
        <x:v>Nao</x:v>
      </x:c>
    </x:row>
    <x:row r="72" ht="19" customHeight="1">
      <x:c r="A72" t="str">
        <x:v>ENT-00071</x:v>
      </x:c>
      <x:c r="B72" s="41" t="n">
        <x:v>46208</x:v>
      </x:c>
      <x:c r="C72" s="41" t="n">
        <x:v>46210</x:v>
      </x:c>
      <x:c r="D72" s="41" t="n">
        <x:v>46210</x:v>
      </x:c>
      <x:c r="E72" t="str">
        <x:v>Bem-Estar Higiene, Lda.</x:v>
      </x:c>
      <x:c r="F72" t="str">
        <x:v>Kilamba</x:v>
      </x:c>
      <x:c r="G72" t="str">
        <x:v>Carlos Mateus</x:v>
      </x:c>
      <x:c r="H72" t="str">
        <x:v>VTR-01</x:v>
      </x:c>
      <x:c r="I72" t="str">
        <x:v>Kia K2700</x:v>
      </x:c>
      <x:c r="J72" t="n">
        <x:v>1500</x:v>
      </x:c>
      <x:c r="K72" t="n">
        <x:v>47</x:v>
      </x:c>
      <x:c r="L72" t="n">
        <x:v>47</x:v>
      </x:c>
      <x:c r="M72" t="n">
        <x:v>926.5</x:v>
      </x:c>
      <x:c r="N72" t="n">
        <x:v>24</x:v>
      </x:c>
      <x:c r="O72" s="45" t="n">
        <x:v>622562</x:v>
      </x:c>
      <x:c r="P72" s="45" t="n">
        <x:v>33500</x:v>
      </x:c>
      <x:c r="Q72" t="str">
        <x:v>Entregue</x:v>
      </x:c>
      <x:c r="R72" t="str"/>
      <x:c r="S72" t="str">
        <x:v>Nao</x:v>
      </x:c>
      <x:c r="T72" t="str">
        <x:v>Nao</x:v>
      </x:c>
    </x:row>
    <x:row r="73" ht="19" customHeight="1">
      <x:c r="A73" t="str">
        <x:v>ENT-00072</x:v>
      </x:c>
      <x:c r="B73" s="41" t="n">
        <x:v>46206</x:v>
      </x:c>
      <x:c r="C73" s="41" t="n">
        <x:v>46208</x:v>
      </x:c>
      <x:c r="D73" s="41" t="n">
        <x:v>46208</x:v>
      </x:c>
      <x:c r="E73" t="str">
        <x:v>Ponto Logístico, Lda.</x:v>
      </x:c>
      <x:c r="F73" t="str">
        <x:v>Kikuxi</x:v>
      </x:c>
      <x:c r="G73" t="str">
        <x:v>Dário Joaquim</x:v>
      </x:c>
      <x:c r="H73" t="str">
        <x:v>VTR-10</x:v>
      </x:c>
      <x:c r="I73" t="str">
        <x:v>Foton Aumark</x:v>
      </x:c>
      <x:c r="J73" t="n">
        <x:v>4000</x:v>
      </x:c>
      <x:c r="K73" t="n">
        <x:v>30</x:v>
      </x:c>
      <x:c r="L73" t="n">
        <x:v>30</x:v>
      </x:c>
      <x:c r="M73" t="n">
        <x:v>645.2</x:v>
      </x:c>
      <x:c r="N73" t="n">
        <x:v>28</x:v>
      </x:c>
      <x:c r="O73" s="45" t="n">
        <x:v>184530</x:v>
      </x:c>
      <x:c r="P73" s="45" t="n">
        <x:v>27000</x:v>
      </x:c>
      <x:c r="Q73" t="str">
        <x:v>Entregue</x:v>
      </x:c>
      <x:c r="R73" t="str"/>
      <x:c r="S73" t="str">
        <x:v>Nao</x:v>
      </x:c>
      <x:c r="T73" t="str">
        <x:v>Nao</x:v>
      </x:c>
    </x:row>
    <x:row r="74" ht="19" customHeight="1">
      <x:c r="A74" t="str">
        <x:v>ENT-00073</x:v>
      </x:c>
      <x:c r="B74" s="41" t="n">
        <x:v>46254</x:v>
      </x:c>
      <x:c r="C74" s="41" t="n">
        <x:v>46256</x:v>
      </x:c>
      <x:c r="D74" s="41" t="n">
        <x:v>46256</x:v>
      </x:c>
      <x:c r="E74" t="str">
        <x:v>Luanda Office Supply, Lda.</x:v>
      </x:c>
      <x:c r="F74" t="str">
        <x:v>Camama</x:v>
      </x:c>
      <x:c r="G74" t="str">
        <x:v>Dário Joaquim</x:v>
      </x:c>
      <x:c r="H74" t="str">
        <x:v>VTR-07</x:v>
      </x:c>
      <x:c r="I74" t="str">
        <x:v>Isuzu NPR</x:v>
      </x:c>
      <x:c r="J74" t="n">
        <x:v>5000</x:v>
      </x:c>
      <x:c r="K74" t="n">
        <x:v>78</x:v>
      </x:c>
      <x:c r="L74" t="n">
        <x:v>78</x:v>
      </x:c>
      <x:c r="M74" t="n">
        <x:v>2269.9</x:v>
      </x:c>
      <x:c r="N74" t="n">
        <x:v>33</x:v>
      </x:c>
      <x:c r="O74" s="45" t="n">
        <x:v>907296</x:v>
      </x:c>
      <x:c r="P74" s="45" t="n">
        <x:v>67500</x:v>
      </x:c>
      <x:c r="Q74" t="str">
        <x:v>Entregue</x:v>
      </x:c>
      <x:c r="R74" t="str"/>
      <x:c r="S74" t="str">
        <x:v>Nao</x:v>
      </x:c>
      <x:c r="T74" t="str">
        <x:v>Nao</x:v>
      </x:c>
    </x:row>
    <x:row r="75" ht="19" customHeight="1">
      <x:c r="A75" t="str">
        <x:v>ENT-00074</x:v>
      </x:c>
      <x:c r="B75" s="41" t="n">
        <x:v>46210</x:v>
      </x:c>
      <x:c r="C75" s="41" t="n">
        <x:v>46212</x:v>
      </x:c>
      <x:c r="D75" s="41" t="n">
        <x:v>46212</x:v>
      </x:c>
      <x:c r="E75" t="str">
        <x:v>Luanda Office Supply, Lda.</x:v>
      </x:c>
      <x:c r="F75" t="str">
        <x:v>Maianga</x:v>
      </x:c>
      <x:c r="G75" t="str">
        <x:v>Lucas Tomás</x:v>
      </x:c>
      <x:c r="H75" t="str">
        <x:v>VTR-10</x:v>
      </x:c>
      <x:c r="I75" t="str">
        <x:v>Foton Aumark</x:v>
      </x:c>
      <x:c r="J75" t="n">
        <x:v>4000</x:v>
      </x:c>
      <x:c r="K75" t="n">
        <x:v>72</x:v>
      </x:c>
      <x:c r="L75" t="n">
        <x:v>72</x:v>
      </x:c>
      <x:c r="M75" t="n">
        <x:v>2511.2</x:v>
      </x:c>
      <x:c r="N75" t="n">
        <x:v>21</x:v>
      </x:c>
      <x:c r="O75" s="45" t="n">
        <x:v>1378368</x:v>
      </x:c>
      <x:c r="P75" s="45" t="n">
        <x:v>58500</x:v>
      </x:c>
      <x:c r="Q75" t="str">
        <x:v>Entregue</x:v>
      </x:c>
      <x:c r="R75" t="str"/>
      <x:c r="S75" t="str">
        <x:v>Nao</x:v>
      </x:c>
      <x:c r="T75" t="str">
        <x:v>Nao</x:v>
      </x:c>
    </x:row>
    <x:row r="76" ht="19" customHeight="1">
      <x:c r="A76" t="str">
        <x:v>ENT-00075</x:v>
      </x:c>
      <x:c r="B76" s="41" t="n">
        <x:v>46222</x:v>
      </x:c>
      <x:c r="C76" s="41" t="n">
        <x:v>46224</x:v>
      </x:c>
      <x:c r="D76" s="41" t="n">
        <x:v>46224</x:v>
      </x:c>
      <x:c r="E76" t="str">
        <x:v>Bem-Estar Higiene, Lda.</x:v>
      </x:c>
      <x:c r="F76" t="str">
        <x:v>Kilamba</x:v>
      </x:c>
      <x:c r="G76" t="str">
        <x:v>Kito Alberto</x:v>
      </x:c>
      <x:c r="H76" t="str">
        <x:v>VTR-04</x:v>
      </x:c>
      <x:c r="I76" t="str">
        <x:v>Toyota Dyna</x:v>
      </x:c>
      <x:c r="J76" t="n">
        <x:v>3000</x:v>
      </x:c>
      <x:c r="K76" t="n">
        <x:v>60</x:v>
      </x:c>
      <x:c r="L76" t="n">
        <x:v>60</x:v>
      </x:c>
      <x:c r="M76" t="n">
        <x:v>1853.9</x:v>
      </x:c>
      <x:c r="N76" t="n">
        <x:v>35</x:v>
      </x:c>
      <x:c r="O76" s="45" t="n">
        <x:v>599160</x:v>
      </x:c>
      <x:c r="P76" s="45" t="n">
        <x:v>60500</x:v>
      </x:c>
      <x:c r="Q76" t="str">
        <x:v>Entregue</x:v>
      </x:c>
      <x:c r="R76" t="str"/>
      <x:c r="S76" t="str">
        <x:v>Nao</x:v>
      </x:c>
      <x:c r="T76" t="str">
        <x:v>Nao</x:v>
      </x:c>
    </x:row>
    <x:row r="77" ht="19" customHeight="1">
      <x:c r="A77" t="str">
        <x:v>ENT-00076</x:v>
      </x:c>
      <x:c r="B77" s="41" t="n">
        <x:v>46224</x:v>
      </x:c>
      <x:c r="C77" s="41" t="n">
        <x:v>46226</x:v>
      </x:c>
      <x:c r="D77" s="41" t="n">
        <x:v>46226</x:v>
      </x:c>
      <x:c r="E77" t="str">
        <x:v>Mercado Sul, Lda.</x:v>
      </x:c>
      <x:c r="F77" t="str">
        <x:v>Kikuxi</x:v>
      </x:c>
      <x:c r="G77" t="str">
        <x:v>Kito Alberto</x:v>
      </x:c>
      <x:c r="H77" t="str">
        <x:v>VTR-07</x:v>
      </x:c>
      <x:c r="I77" t="str">
        <x:v>Isuzu NPR</x:v>
      </x:c>
      <x:c r="J77" t="n">
        <x:v>5000</x:v>
      </x:c>
      <x:c r="K77" t="n">
        <x:v>83</x:v>
      </x:c>
      <x:c r="L77" t="n">
        <x:v>83</x:v>
      </x:c>
      <x:c r="M77" t="n">
        <x:v>2252</x:v>
      </x:c>
      <x:c r="N77" t="n">
        <x:v>25</x:v>
      </x:c>
      <x:c r="O77" s="45" t="n">
        <x:v>474843</x:v>
      </x:c>
      <x:c r="P77" s="45" t="n">
        <x:v>53000</x:v>
      </x:c>
      <x:c r="Q77" t="str">
        <x:v>Entregue</x:v>
      </x:c>
      <x:c r="R77" t="str"/>
      <x:c r="S77" t="str">
        <x:v>Nao</x:v>
      </x:c>
      <x:c r="T77" t="str">
        <x:v>Nao</x:v>
      </x:c>
    </x:row>
    <x:row r="78" ht="19" customHeight="1">
      <x:c r="A78" t="str">
        <x:v>ENT-00077</x:v>
      </x:c>
      <x:c r="B78" s="41" t="n">
        <x:v>46226</x:v>
      </x:c>
      <x:c r="C78" s="41" t="n">
        <x:v>46228</x:v>
      </x:c>
      <x:c r="D78" s="41" t="n">
        <x:v>46228</x:v>
      </x:c>
      <x:c r="E78" t="str">
        <x:v>Bem-Estar Higiene, Lda.</x:v>
      </x:c>
      <x:c r="F78" t="str">
        <x:v>Camama</x:v>
      </x:c>
      <x:c r="G78" t="str">
        <x:v>Jorge Mário</x:v>
      </x:c>
      <x:c r="H78" t="str">
        <x:v>VTR-05</x:v>
      </x:c>
      <x:c r="I78" t="str">
        <x:v>Hyundai HD65</x:v>
      </x:c>
      <x:c r="J78" t="n">
        <x:v>3500</x:v>
      </x:c>
      <x:c r="K78" t="n">
        <x:v>24</x:v>
      </x:c>
      <x:c r="L78" t="n">
        <x:v>24</x:v>
      </x:c>
      <x:c r="M78" t="n">
        <x:v>606.6</x:v>
      </x:c>
      <x:c r="N78" t="n">
        <x:v>24</x:v>
      </x:c>
      <x:c r="O78" s="45" t="n">
        <x:v>91752</x:v>
      </x:c>
      <x:c r="P78" s="45" t="n">
        <x:v>25000</x:v>
      </x:c>
      <x:c r="Q78" t="str">
        <x:v>Entregue</x:v>
      </x:c>
      <x:c r="R78" t="str"/>
      <x:c r="S78" t="str">
        <x:v>Nao</x:v>
      </x:c>
      <x:c r="T78" t="str">
        <x:v>Nao</x:v>
      </x:c>
    </x:row>
    <x:row r="79" ht="19" customHeight="1">
      <x:c r="A79" t="str">
        <x:v>ENT-00078</x:v>
      </x:c>
      <x:c r="B79" s="41" t="n">
        <x:v>46252</x:v>
      </x:c>
      <x:c r="C79" s="41" t="n">
        <x:v>46253</x:v>
      </x:c>
      <x:c r="D79" s="41" t="n">
        <x:v>46253</x:v>
      </x:c>
      <x:c r="E79" t="str">
        <x:v>Bem-Estar Higiene, Lda.</x:v>
      </x:c>
      <x:c r="F79" t="str">
        <x:v>Ingombota</x:v>
      </x:c>
      <x:c r="G79" t="str">
        <x:v>Jorge Mário</x:v>
      </x:c>
      <x:c r="H79" t="str">
        <x:v>VTR-07</x:v>
      </x:c>
      <x:c r="I79" t="str">
        <x:v>Isuzu NPR</x:v>
      </x:c>
      <x:c r="J79" t="n">
        <x:v>5000</x:v>
      </x:c>
      <x:c r="K79" t="n">
        <x:v>77</x:v>
      </x:c>
      <x:c r="L79" t="n">
        <x:v>77</x:v>
      </x:c>
      <x:c r="M79" t="n">
        <x:v>1289.9</x:v>
      </x:c>
      <x:c r="N79" t="n">
        <x:v>12</x:v>
      </x:c>
      <x:c r="O79" s="45" t="n">
        <x:v>838607</x:v>
      </x:c>
      <x:c r="P79" s="45" t="n">
        <x:v>34000</x:v>
      </x:c>
      <x:c r="Q79" t="str">
        <x:v>Entregue</x:v>
      </x:c>
      <x:c r="R79" t="str"/>
      <x:c r="S79" t="str">
        <x:v>Nao</x:v>
      </x:c>
      <x:c r="T79" t="str">
        <x:v>Nao</x:v>
      </x:c>
    </x:row>
    <x:row r="80" ht="19" customHeight="1">
      <x:c r="A80" t="str">
        <x:v>ENT-00079</x:v>
      </x:c>
      <x:c r="B80" s="41" t="n">
        <x:v>46249</x:v>
      </x:c>
      <x:c r="C80" s="41" t="n">
        <x:v>46251</x:v>
      </x:c>
      <x:c r="D80" s="41" t="n">
        <x:v>46251</x:v>
      </x:c>
      <x:c r="E80" t="str">
        <x:v>Kwanza Distribuição, Lda.</x:v>
      </x:c>
      <x:c r="F80" t="str">
        <x:v>Kilamba</x:v>
      </x:c>
      <x:c r="G80" t="str">
        <x:v>Kito Alberto</x:v>
      </x:c>
      <x:c r="H80" t="str">
        <x:v>VTR-06</x:v>
      </x:c>
      <x:c r="I80" t="str">
        <x:v>Isuzu NPR</x:v>
      </x:c>
      <x:c r="J80" t="n">
        <x:v>5000</x:v>
      </x:c>
      <x:c r="K80" t="n">
        <x:v>43</x:v>
      </x:c>
      <x:c r="L80" t="n">
        <x:v>43</x:v>
      </x:c>
      <x:c r="M80" t="n">
        <x:v>1292</x:v>
      </x:c>
      <x:c r="N80" t="n">
        <x:v>26</x:v>
      </x:c>
      <x:c r="O80" s="45" t="n">
        <x:v>746093</x:v>
      </x:c>
      <x:c r="P80" s="45" t="n">
        <x:v>38500</x:v>
      </x:c>
      <x:c r="Q80" t="str">
        <x:v>Entregue</x:v>
      </x:c>
      <x:c r="R80" t="str"/>
      <x:c r="S80" t="str">
        <x:v>Nao</x:v>
      </x:c>
      <x:c r="T80" t="str">
        <x:v>Nao</x:v>
      </x:c>
    </x:row>
    <x:row r="81" ht="19" customHeight="1">
      <x:c r="A81" t="str">
        <x:v>ENT-00080</x:v>
      </x:c>
      <x:c r="B81" s="41" t="n">
        <x:v>46258</x:v>
      </x:c>
      <x:c r="C81" s="41" t="n">
        <x:v>46260</x:v>
      </x:c>
      <x:c r="D81" s="41" t="n">
        <x:v>46259</x:v>
      </x:c>
      <x:c r="E81" t="str">
        <x:v>Mercado Sul, Lda.</x:v>
      </x:c>
      <x:c r="F81" t="str">
        <x:v>Kilamba</x:v>
      </x:c>
      <x:c r="G81" t="str">
        <x:v>Dário Joaquim</x:v>
      </x:c>
      <x:c r="H81" t="str">
        <x:v>VTR-06</x:v>
      </x:c>
      <x:c r="I81" t="str">
        <x:v>Isuzu NPR</x:v>
      </x:c>
      <x:c r="J81" t="n">
        <x:v>5000</x:v>
      </x:c>
      <x:c r="K81" t="n">
        <x:v>86</x:v>
      </x:c>
      <x:c r="L81" t="n">
        <x:v>86</x:v>
      </x:c>
      <x:c r="M81" t="n">
        <x:v>2806.6</x:v>
      </x:c>
      <x:c r="N81" t="n">
        <x:v>23</x:v>
      </x:c>
      <x:c r="O81" s="45" t="n">
        <x:v>2162900</x:v>
      </x:c>
      <x:c r="P81" s="45" t="n">
        <x:v>61500</x:v>
      </x:c>
      <x:c r="Q81" t="str">
        <x:v>Entregue</x:v>
      </x:c>
      <x:c r="R81" t="str"/>
      <x:c r="S81" t="str">
        <x:v>Nao</x:v>
      </x:c>
      <x:c r="T81" t="str">
        <x:v>Nao</x:v>
      </x:c>
    </x:row>
    <x:row r="82" ht="19" customHeight="1">
      <x:c r="A82" t="str">
        <x:v>ENT-00081</x:v>
      </x:c>
      <x:c r="B82" s="41" t="n">
        <x:v>46225</x:v>
      </x:c>
      <x:c r="C82" s="41" t="n">
        <x:v>46227</x:v>
      </x:c>
      <x:c r="D82" s="41" t="n">
        <x:v>46227</x:v>
      </x:c>
      <x:c r="E82" t="str">
        <x:v>Atlântico Farma, Lda.</x:v>
      </x:c>
      <x:c r="F82" t="str">
        <x:v>Patriota</x:v>
      </x:c>
      <x:c r="G82" t="str">
        <x:v>Félix Domingos</x:v>
      </x:c>
      <x:c r="H82" t="str">
        <x:v>VTR-10</x:v>
      </x:c>
      <x:c r="I82" t="str">
        <x:v>Foton Aumark</x:v>
      </x:c>
      <x:c r="J82" t="n">
        <x:v>4000</x:v>
      </x:c>
      <x:c r="K82" t="n">
        <x:v>79</x:v>
      </x:c>
      <x:c r="L82" t="n">
        <x:v>79</x:v>
      </x:c>
      <x:c r="M82" t="n">
        <x:v>2338.6</x:v>
      </x:c>
      <x:c r="N82" t="n">
        <x:v>28</x:v>
      </x:c>
      <x:c r="O82" s="45" t="n">
        <x:v>1030318</x:v>
      </x:c>
      <x:c r="P82" s="45" t="n">
        <x:v>58500</x:v>
      </x:c>
      <x:c r="Q82" t="str">
        <x:v>Entregue</x:v>
      </x:c>
      <x:c r="R82" t="str"/>
      <x:c r="S82" t="str">
        <x:v>Nao</x:v>
      </x:c>
      <x:c r="T82" t="str">
        <x:v>Nao</x:v>
      </x:c>
    </x:row>
    <x:row r="83" ht="19" customHeight="1">
      <x:c r="A83" t="str">
        <x:v>ENT-00082</x:v>
      </x:c>
      <x:c r="B83" s="41" t="n">
        <x:v>46223</x:v>
      </x:c>
      <x:c r="C83" s="41" t="n">
        <x:v>46226</x:v>
      </x:c>
      <x:c r="D83" s="41" t="n">
        <x:v>46225</x:v>
      </x:c>
      <x:c r="E83" t="str">
        <x:v>Kwanza Distribuição, Lda.</x:v>
      </x:c>
      <x:c r="F83" t="str">
        <x:v>Kikuxi</x:v>
      </x:c>
      <x:c r="G83" t="str">
        <x:v>Kito Alberto</x:v>
      </x:c>
      <x:c r="H83" t="str">
        <x:v>VTR-04</x:v>
      </x:c>
      <x:c r="I83" t="str">
        <x:v>Toyota Dyna</x:v>
      </x:c>
      <x:c r="J83" t="n">
        <x:v>3000</x:v>
      </x:c>
      <x:c r="K83" t="n">
        <x:v>67</x:v>
      </x:c>
      <x:c r="L83" t="n">
        <x:v>67</x:v>
      </x:c>
      <x:c r="M83" t="n">
        <x:v>782.3</x:v>
      </x:c>
      <x:c r="N83" t="n">
        <x:v>43</x:v>
      </x:c>
      <x:c r="O83" s="45" t="n">
        <x:v>1553998</x:v>
      </x:c>
      <x:c r="P83" s="45" t="n">
        <x:v>36000</x:v>
      </x:c>
      <x:c r="Q83" t="str">
        <x:v>Entregue</x:v>
      </x:c>
      <x:c r="R83" t="str"/>
      <x:c r="S83" t="str">
        <x:v>Nao</x:v>
      </x:c>
      <x:c r="T83" t="str">
        <x:v>Nao</x:v>
      </x:c>
    </x:row>
    <x:row r="84" ht="19" customHeight="1">
      <x:c r="A84" t="str">
        <x:v>ENT-00083</x:v>
      </x:c>
      <x:c r="B84" s="41" t="n">
        <x:v>46237</x:v>
      </x:c>
      <x:c r="C84" s="41" t="n">
        <x:v>46239</x:v>
      </x:c>
      <x:c r="D84" s="41" t="n">
        <x:v>46239</x:v>
      </x:c>
      <x:c r="E84" t="str">
        <x:v>Savana Retail, Lda.</x:v>
      </x:c>
      <x:c r="F84" t="str">
        <x:v>Kilamba</x:v>
      </x:c>
      <x:c r="G84" t="str">
        <x:v>Bernardo Paulo</x:v>
      </x:c>
      <x:c r="H84" t="str">
        <x:v>VTR-05</x:v>
      </x:c>
      <x:c r="I84" t="str">
        <x:v>Hyundai HD65</x:v>
      </x:c>
      <x:c r="J84" t="n">
        <x:v>3500</x:v>
      </x:c>
      <x:c r="K84" t="n">
        <x:v>34</x:v>
      </x:c>
      <x:c r="L84" t="n">
        <x:v>34</x:v>
      </x:c>
      <x:c r="M84" t="n">
        <x:v>1147.3</x:v>
      </x:c>
      <x:c r="N84" t="n">
        <x:v>25</x:v>
      </x:c>
      <x:c r="O84" s="45" t="n">
        <x:v>439416</x:v>
      </x:c>
      <x:c r="P84" s="45" t="n">
        <x:v>35000</x:v>
      </x:c>
      <x:c r="Q84" t="str">
        <x:v>Entregue</x:v>
      </x:c>
      <x:c r="R84" t="str"/>
      <x:c r="S84" t="str">
        <x:v>Nao</x:v>
      </x:c>
      <x:c r="T84" t="str">
        <x:v>Nao</x:v>
      </x:c>
    </x:row>
    <x:row r="85" ht="19" customHeight="1">
      <x:c r="A85" t="str">
        <x:v>ENT-00084</x:v>
      </x:c>
      <x:c r="B85" s="41" t="n">
        <x:v>46213</x:v>
      </x:c>
      <x:c r="C85" s="41" t="n">
        <x:v>46215</x:v>
      </x:c>
      <x:c r="D85" s="41" t="n">
        <x:v>46215</x:v>
      </x:c>
      <x:c r="E85" t="str">
        <x:v>Cesta Certa, Lda.</x:v>
      </x:c>
      <x:c r="F85" t="str">
        <x:v>Viana</x:v>
      </x:c>
      <x:c r="G85" t="str">
        <x:v>Carlos Mateus</x:v>
      </x:c>
      <x:c r="H85" t="str">
        <x:v>VTR-06</x:v>
      </x:c>
      <x:c r="I85" t="str">
        <x:v>Isuzu NPR</x:v>
      </x:c>
      <x:c r="J85" t="n">
        <x:v>5000</x:v>
      </x:c>
      <x:c r="K85" t="n">
        <x:v>16</x:v>
      </x:c>
      <x:c r="L85" t="n">
        <x:v>16</x:v>
      </x:c>
      <x:c r="M85" t="n">
        <x:v>275.9</x:v>
      </x:c>
      <x:c r="N85" t="n">
        <x:v>31</x:v>
      </x:c>
      <x:c r="O85" s="45" t="n">
        <x:v>219056</x:v>
      </x:c>
      <x:c r="P85" s="45" t="n">
        <x:v>27500</x:v>
      </x:c>
      <x:c r="Q85" t="str">
        <x:v>Entregue</x:v>
      </x:c>
      <x:c r="R85" t="str"/>
      <x:c r="S85" t="str">
        <x:v>Nao</x:v>
      </x:c>
      <x:c r="T85" t="str">
        <x:v>Nao</x:v>
      </x:c>
    </x:row>
    <x:row r="86" ht="19" customHeight="1">
      <x:c r="A86" t="str">
        <x:v>ENT-00085</x:v>
      </x:c>
      <x:c r="B86" s="41" t="n">
        <x:v>46245</x:v>
      </x:c>
      <x:c r="C86" s="41" t="n">
        <x:v>46247</x:v>
      </x:c>
      <x:c r="D86" s="41" t="n">
        <x:v>46247</x:v>
      </x:c>
      <x:c r="E86" t="str">
        <x:v>Prime Stock, Lda.</x:v>
      </x:c>
      <x:c r="F86" t="str">
        <x:v>Viana</x:v>
      </x:c>
      <x:c r="G86" t="str">
        <x:v>Carlos Mateus</x:v>
      </x:c>
      <x:c r="H86" t="str">
        <x:v>VTR-05</x:v>
      </x:c>
      <x:c r="I86" t="str">
        <x:v>Hyundai HD65</x:v>
      </x:c>
      <x:c r="J86" t="n">
        <x:v>3500</x:v>
      </x:c>
      <x:c r="K86" t="n">
        <x:v>40</x:v>
      </x:c>
      <x:c r="L86" t="n">
        <x:v>40</x:v>
      </x:c>
      <x:c r="M86" t="n">
        <x:v>605</x:v>
      </x:c>
      <x:c r="N86" t="n">
        <x:v>34</x:v>
      </x:c>
      <x:c r="O86" s="45" t="n">
        <x:v>247280</x:v>
      </x:c>
      <x:c r="P86" s="45" t="n">
        <x:v>31500</x:v>
      </x:c>
      <x:c r="Q86" t="str">
        <x:v>Entregue</x:v>
      </x:c>
      <x:c r="R86" t="str"/>
      <x:c r="S86" t="str">
        <x:v>Nao</x:v>
      </x:c>
      <x:c r="T86" t="str">
        <x:v>Nao</x:v>
      </x:c>
    </x:row>
    <x:row r="87" ht="19" customHeight="1">
      <x:c r="A87" t="str">
        <x:v>ENT-00086</x:v>
      </x:c>
      <x:c r="B87" s="41" t="n">
        <x:v>46218</x:v>
      </x:c>
      <x:c r="C87" s="41" t="n">
        <x:v>46220</x:v>
      </x:c>
      <x:c r="D87" s="41" t="n">
        <x:v>46220</x:v>
      </x:c>
      <x:c r="E87" t="str">
        <x:v>N'gola Market, Lda.</x:v>
      </x:c>
      <x:c r="F87" t="str">
        <x:v>Cacuaco</x:v>
      </x:c>
      <x:c r="G87" t="str">
        <x:v>Dário Joaquim</x:v>
      </x:c>
      <x:c r="H87" t="str">
        <x:v>VTR-10</x:v>
      </x:c>
      <x:c r="I87" t="str">
        <x:v>Foton Aumark</x:v>
      </x:c>
      <x:c r="J87" t="n">
        <x:v>4000</x:v>
      </x:c>
      <x:c r="K87" t="n">
        <x:v>62</x:v>
      </x:c>
      <x:c r="L87" t="n">
        <x:v>56</x:v>
      </x:c>
      <x:c r="M87" t="n">
        <x:v>1946.6</x:v>
      </x:c>
      <x:c r="N87" t="n">
        <x:v>38</x:v>
      </x:c>
      <x:c r="O87" s="45" t="n">
        <x:v>300700</x:v>
      </x:c>
      <x:c r="P87" s="45" t="n">
        <x:v>63500</x:v>
      </x:c>
      <x:c r="Q87" t="str">
        <x:v>Entregue</x:v>
      </x:c>
      <x:c r="R87" t="str"/>
      <x:c r="S87" t="str">
        <x:v>Nao</x:v>
      </x:c>
      <x:c r="T87" t="str">
        <x:v>Nao</x:v>
      </x:c>
    </x:row>
    <x:row r="88" ht="19" customHeight="1">
      <x:c r="A88" t="str">
        <x:v>ENT-00087</x:v>
      </x:c>
      <x:c r="B88" s="41" t="n">
        <x:v>46218</x:v>
      </x:c>
      <x:c r="C88" s="41" t="n">
        <x:v>46219</x:v>
      </x:c>
      <x:c r="D88" s="41" t="n">
        <x:v>46219</x:v>
      </x:c>
      <x:c r="E88" t="str">
        <x:v>Kiala &amp; Filhos, Lda.</x:v>
      </x:c>
      <x:c r="F88" t="str">
        <x:v>Ingombota</x:v>
      </x:c>
      <x:c r="G88" t="str">
        <x:v>Dário Joaquim</x:v>
      </x:c>
      <x:c r="H88" t="str">
        <x:v>VTR-02</x:v>
      </x:c>
      <x:c r="I88" t="str">
        <x:v>Kia K2700</x:v>
      </x:c>
      <x:c r="J88" t="n">
        <x:v>1500</x:v>
      </x:c>
      <x:c r="K88" t="n">
        <x:v>13</x:v>
      </x:c>
      <x:c r="L88" t="n">
        <x:v>13</x:v>
      </x:c>
      <x:c r="M88" t="n">
        <x:v>104.4</x:v>
      </x:c>
      <x:c r="N88" t="n">
        <x:v>8</x:v>
      </x:c>
      <x:c r="O88" s="45" t="n">
        <x:v>302575</x:v>
      </x:c>
      <x:c r="P88" s="45" t="n">
        <x:v>11500</x:v>
      </x:c>
      <x:c r="Q88" t="str">
        <x:v>Entregue</x:v>
      </x:c>
      <x:c r="R88" t="str"/>
      <x:c r="S88" t="str">
        <x:v>Nao</x:v>
      </x:c>
      <x:c r="T88" t="str">
        <x:v>Nao</x:v>
      </x:c>
    </x:row>
    <x:row r="89" ht="19" customHeight="1">
      <x:c r="A89" t="str">
        <x:v>ENT-00088</x:v>
      </x:c>
      <x:c r="B89" s="41" t="n">
        <x:v>46258</x:v>
      </x:c>
      <x:c r="C89" s="41" t="n">
        <x:v>46260</x:v>
      </x:c>
      <x:c r="D89" s="41" t="n">
        <x:v>46260</x:v>
      </x:c>
      <x:c r="E89" t="str">
        <x:v>Maxi Centro, Lda.</x:v>
      </x:c>
      <x:c r="F89" t="str">
        <x:v>Nova Vida</x:v>
      </x:c>
      <x:c r="G89" t="str">
        <x:v>Carlos Mateus</x:v>
      </x:c>
      <x:c r="H89" t="str">
        <x:v>VTR-07</x:v>
      </x:c>
      <x:c r="I89" t="str">
        <x:v>Isuzu NPR</x:v>
      </x:c>
      <x:c r="J89" t="n">
        <x:v>5000</x:v>
      </x:c>
      <x:c r="K89" t="n">
        <x:v>83</x:v>
      </x:c>
      <x:c r="L89" t="n">
        <x:v>81</x:v>
      </x:c>
      <x:c r="M89" t="n">
        <x:v>1545.3</x:v>
      </x:c>
      <x:c r="N89" t="n">
        <x:v>22</x:v>
      </x:c>
      <x:c r="O89" s="45" t="n">
        <x:v>1872646</x:v>
      </x:c>
      <x:c r="P89" s="45" t="n">
        <x:v>46000</x:v>
      </x:c>
      <x:c r="Q89" t="str">
        <x:v>Entregue</x:v>
      </x:c>
      <x:c r="R89" t="str"/>
      <x:c r="S89" t="str">
        <x:v>Nao</x:v>
      </x:c>
      <x:c r="T89" t="str">
        <x:v>Nao</x:v>
      </x:c>
    </x:row>
    <x:row r="90" ht="19" customHeight="1">
      <x:c r="A90" t="str">
        <x:v>ENT-00089</x:v>
      </x:c>
      <x:c r="B90" s="41" t="n">
        <x:v>46240</x:v>
      </x:c>
      <x:c r="C90" s="41" t="n">
        <x:v>46241</x:v>
      </x:c>
      <x:c r="D90" s="41" t="n">
        <x:v>46243</x:v>
      </x:c>
      <x:c r="E90" t="str">
        <x:v>Luanda Office Supply, Lda.</x:v>
      </x:c>
      <x:c r="F90" t="str">
        <x:v>Maianga</x:v>
      </x:c>
      <x:c r="G90" t="str">
        <x:v>Carlos Mateus</x:v>
      </x:c>
      <x:c r="H90" t="str">
        <x:v>VTR-10</x:v>
      </x:c>
      <x:c r="I90" t="str">
        <x:v>Foton Aumark</x:v>
      </x:c>
      <x:c r="J90" t="n">
        <x:v>4000</x:v>
      </x:c>
      <x:c r="K90" t="n">
        <x:v>80</x:v>
      </x:c>
      <x:c r="L90" t="n">
        <x:v>80</x:v>
      </x:c>
      <x:c r="M90" t="n">
        <x:v>1875.4</x:v>
      </x:c>
      <x:c r="N90" t="n">
        <x:v>18</x:v>
      </x:c>
      <x:c r="O90" s="45" t="n">
        <x:v>468320</x:v>
      </x:c>
      <x:c r="P90" s="45" t="n">
        <x:v>48500</x:v>
      </x:c>
      <x:c r="Q90" t="str">
        <x:v>Entregue</x:v>
      </x:c>
      <x:c r="R90" t="str">
        <x:v>Atraso no carregamento</x:v>
      </x:c>
      <x:c r="S90" t="str">
        <x:v>Nao</x:v>
      </x:c>
      <x:c r="T90" t="str">
        <x:v>Nao</x:v>
      </x:c>
    </x:row>
    <x:row r="91" ht="19" customHeight="1">
      <x:c r="A91" t="str">
        <x:v>ENT-00090</x:v>
      </x:c>
      <x:c r="B91" s="41" t="n">
        <x:v>46234</x:v>
      </x:c>
      <x:c r="C91" s="41" t="n">
        <x:v>46236</x:v>
      </x:c>
      <x:c r="D91" s="41" t="n">
        <x:v>46235</x:v>
      </x:c>
      <x:c r="E91" t="str">
        <x:v>Sol Nascente Comércio, Lda.</x:v>
      </x:c>
      <x:c r="F91" t="str">
        <x:v>Talatona</x:v>
      </x:c>
      <x:c r="G91" t="str">
        <x:v>Hélder Miguel</x:v>
      </x:c>
      <x:c r="H91" t="str">
        <x:v>VTR-06</x:v>
      </x:c>
      <x:c r="I91" t="str">
        <x:v>Isuzu NPR</x:v>
      </x:c>
      <x:c r="J91" t="n">
        <x:v>5000</x:v>
      </x:c>
      <x:c r="K91" t="n">
        <x:v>51</x:v>
      </x:c>
      <x:c r="L91" t="n">
        <x:v>51</x:v>
      </x:c>
      <x:c r="M91" t="n">
        <x:v>994.5</x:v>
      </x:c>
      <x:c r="N91" t="n">
        <x:v>20</x:v>
      </x:c>
      <x:c r="O91" s="45" t="n">
        <x:v>761634</x:v>
      </x:c>
      <x:c r="P91" s="45" t="n">
        <x:v>33000</x:v>
      </x:c>
      <x:c r="Q91" t="str">
        <x:v>Entregue</x:v>
      </x:c>
      <x:c r="R91" t="str"/>
      <x:c r="S91" t="str">
        <x:v>Nao</x:v>
      </x:c>
      <x:c r="T91" t="str">
        <x:v>Nao</x:v>
      </x:c>
    </x:row>
    <x:row r="92" ht="19" customHeight="1">
      <x:c r="A92" t="str">
        <x:v>ENT-00091</x:v>
      </x:c>
      <x:c r="B92" s="41" t="n">
        <x:v>46205</x:v>
      </x:c>
      <x:c r="C92" s="41" t="n">
        <x:v>46208</x:v>
      </x:c>
      <x:c r="D92" s="41" t="n">
        <x:v>46208</x:v>
      </x:c>
      <x:c r="E92" t="str">
        <x:v>Maxi Centro, Lda.</x:v>
      </x:c>
      <x:c r="F92" t="str">
        <x:v>Zango</x:v>
      </x:c>
      <x:c r="G92" t="str">
        <x:v>Bernardo Paulo</x:v>
      </x:c>
      <x:c r="H92" t="str">
        <x:v>VTR-03</x:v>
      </x:c>
      <x:c r="I92" t="str">
        <x:v>Toyota Dyna</x:v>
      </x:c>
      <x:c r="J92" t="n">
        <x:v>3000</x:v>
      </x:c>
      <x:c r="K92" t="n">
        <x:v>6</x:v>
      </x:c>
      <x:c r="L92" t="n">
        <x:v>6</x:v>
      </x:c>
      <x:c r="M92" t="n">
        <x:v>60.5</x:v>
      </x:c>
      <x:c r="N92" t="n">
        <x:v>48</x:v>
      </x:c>
      <x:c r="O92" s="45" t="n">
        <x:v>130656</x:v>
      </x:c>
      <x:c r="P92" s="45" t="n">
        <x:v>31000</x:v>
      </x:c>
      <x:c r="Q92" t="str">
        <x:v>Entregue</x:v>
      </x:c>
      <x:c r="R92" t="str"/>
      <x:c r="S92" t="str">
        <x:v>Nao</x:v>
      </x:c>
      <x:c r="T92" t="str">
        <x:v>Nao</x:v>
      </x:c>
    </x:row>
    <x:row r="93" ht="19" customHeight="1">
      <x:c r="A93" t="str">
        <x:v>ENT-00092</x:v>
      </x:c>
      <x:c r="B93" s="41" t="n">
        <x:v>46209</x:v>
      </x:c>
      <x:c r="C93" s="41" t="n">
        <x:v>46211</x:v>
      </x:c>
      <x:c r="D93" s="41" t="n">
        <x:v>46211</x:v>
      </x:c>
      <x:c r="E93" t="str">
        <x:v>Via Certa Serviços, Lda.</x:v>
      </x:c>
      <x:c r="F93" t="str">
        <x:v>Viana</x:v>
      </x:c>
      <x:c r="G93" t="str">
        <x:v>Kito Alberto</x:v>
      </x:c>
      <x:c r="H93" t="str">
        <x:v>VTR-06</x:v>
      </x:c>
      <x:c r="I93" t="str">
        <x:v>Isuzu NPR</x:v>
      </x:c>
      <x:c r="J93" t="n">
        <x:v>5000</x:v>
      </x:c>
      <x:c r="K93" t="n">
        <x:v>16</x:v>
      </x:c>
      <x:c r="L93" t="n">
        <x:v>16</x:v>
      </x:c>
      <x:c r="M93" t="n">
        <x:v>493</x:v>
      </x:c>
      <x:c r="N93" t="n">
        <x:v>22</x:v>
      </x:c>
      <x:c r="O93" s="45" t="n">
        <x:v>218656</x:v>
      </x:c>
      <x:c r="P93" s="45" t="n">
        <x:v>26000</x:v>
      </x:c>
      <x:c r="Q93" t="str">
        <x:v>Entregue</x:v>
      </x:c>
      <x:c r="R93" t="str"/>
      <x:c r="S93" t="str">
        <x:v>Nao</x:v>
      </x:c>
      <x:c r="T93" t="str">
        <x:v>Nao</x:v>
      </x:c>
    </x:row>
    <x:row r="94" ht="19" customHeight="1">
      <x:c r="A94" t="str">
        <x:v>ENT-00093</x:v>
      </x:c>
      <x:c r="B94" s="41" t="n">
        <x:v>46230</x:v>
      </x:c>
      <x:c r="C94" s="41" t="n">
        <x:v>46231</x:v>
      </x:c>
      <x:c r="D94" s="41" t="n">
        <x:v>46231</x:v>
      </x:c>
      <x:c r="E94" t="str">
        <x:v>Kiala &amp; Filhos, Lda.</x:v>
      </x:c>
      <x:c r="F94" t="str">
        <x:v>Nova Vida</x:v>
      </x:c>
      <x:c r="G94" t="str">
        <x:v>Kito Alberto</x:v>
      </x:c>
      <x:c r="H94" t="str">
        <x:v>VTR-04</x:v>
      </x:c>
      <x:c r="I94" t="str">
        <x:v>Toyota Dyna</x:v>
      </x:c>
      <x:c r="J94" t="n">
        <x:v>3000</x:v>
      </x:c>
      <x:c r="K94" t="n">
        <x:v>10</x:v>
      </x:c>
      <x:c r="L94" t="n">
        <x:v>10</x:v>
      </x:c>
      <x:c r="M94" t="n">
        <x:v>235.5</x:v>
      </x:c>
      <x:c r="N94" t="n">
        <x:v>18</x:v>
      </x:c>
      <x:c r="O94" s="45" t="n">
        <x:v>59290</x:v>
      </x:c>
      <x:c r="P94" s="45" t="n">
        <x:v>19500</x:v>
      </x:c>
      <x:c r="Q94" t="str">
        <x:v>Entregue</x:v>
      </x:c>
      <x:c r="R94" t="str"/>
      <x:c r="S94" t="str">
        <x:v>Nao</x:v>
      </x:c>
      <x:c r="T94" t="str">
        <x:v>Nao</x:v>
      </x:c>
    </x:row>
    <x:row r="95" ht="19" customHeight="1">
      <x:c r="A95" t="str">
        <x:v>ENT-00094</x:v>
      </x:c>
      <x:c r="B95" s="41" t="n">
        <x:v>46237</x:v>
      </x:c>
      <x:c r="C95" s="41" t="n">
        <x:v>46240</x:v>
      </x:c>
      <x:c r="D95" s="41" t="n">
        <x:v>46243</x:v>
      </x:c>
      <x:c r="E95" t="str">
        <x:v>Maxi Centro, Lda.</x:v>
      </x:c>
      <x:c r="F95" t="str">
        <x:v>Sequele</x:v>
      </x:c>
      <x:c r="G95" t="str">
        <x:v>Jorge Mário</x:v>
      </x:c>
      <x:c r="H95" t="str">
        <x:v>VTR-12</x:v>
      </x:c>
      <x:c r="I95" t="str">
        <x:v>Hyundai H100</x:v>
      </x:c>
      <x:c r="J95" t="n">
        <x:v>1300</x:v>
      </x:c>
      <x:c r="K95" t="n">
        <x:v>59</x:v>
      </x:c>
      <x:c r="L95" t="n">
        <x:v>0</x:v>
      </x:c>
      <x:c r="M95" t="n">
        <x:v>1065.9</x:v>
      </x:c>
      <x:c r="N95" t="n">
        <x:v>43</x:v>
      </x:c>
      <x:c r="O95" s="45" t="n">
        <x:v>1465029</x:v>
      </x:c>
      <x:c r="P95" s="45" t="n">
        <x:v>42000</x:v>
      </x:c>
      <x:c r="Q95" t="str">
        <x:v>Falhada</x:v>
      </x:c>
      <x:c r="R95" t="str">
        <x:v>Cliente ausente</x:v>
      </x:c>
      <x:c r="S95" t="str">
        <x:v>Nao</x:v>
      </x:c>
      <x:c r="T95" t="str">
        <x:v>Nao</x:v>
      </x:c>
    </x:row>
    <x:row r="96" ht="19" customHeight="1">
      <x:c r="A96" t="str">
        <x:v>ENT-00095</x:v>
      </x:c>
      <x:c r="B96" s="41" t="n">
        <x:v>46221</x:v>
      </x:c>
      <x:c r="C96" s="41" t="n">
        <x:v>46223</x:v>
      </x:c>
      <x:c r="D96" s="41" t="n">
        <x:v>46224</x:v>
      </x:c>
      <x:c r="E96" t="str">
        <x:v>Rota Azul, Lda.</x:v>
      </x:c>
      <x:c r="F96" t="str">
        <x:v>Benfica</x:v>
      </x:c>
      <x:c r="G96" t="str">
        <x:v>Lucas Tomás</x:v>
      </x:c>
      <x:c r="H96" t="str">
        <x:v>VTR-12</x:v>
      </x:c>
      <x:c r="I96" t="str">
        <x:v>Hyundai H100</x:v>
      </x:c>
      <x:c r="J96" t="n">
        <x:v>1300</x:v>
      </x:c>
      <x:c r="K96" t="n">
        <x:v>47</x:v>
      </x:c>
      <x:c r="L96" t="n">
        <x:v>0</x:v>
      </x:c>
      <x:c r="M96" t="n">
        <x:v>810.8</x:v>
      </x:c>
      <x:c r="N96" t="n">
        <x:v>33</x:v>
      </x:c>
      <x:c r="O96" s="45" t="n">
        <x:v>595302</x:v>
      </x:c>
      <x:c r="P96" s="45" t="n">
        <x:v>32500</x:v>
      </x:c>
      <x:c r="Q96" t="str">
        <x:v>Falhada</x:v>
      </x:c>
      <x:c r="R96" t="str">
        <x:v>Avaria da viatura</x:v>
      </x:c>
      <x:c r="S96" t="str">
        <x:v>Nao</x:v>
      </x:c>
      <x:c r="T96" t="str">
        <x:v>Nao</x:v>
      </x:c>
    </x:row>
    <x:row r="97" ht="19" customHeight="1">
      <x:c r="A97" t="str">
        <x:v>ENT-00096</x:v>
      </x:c>
      <x:c r="B97" s="41" t="n">
        <x:v>46228</x:v>
      </x:c>
      <x:c r="C97" s="41" t="n">
        <x:v>46229</x:v>
      </x:c>
      <x:c r="D97" s="41" t="n">
        <x:v>46230</x:v>
      </x:c>
      <x:c r="E97" t="str">
        <x:v>Rota Azul, Lda.</x:v>
      </x:c>
      <x:c r="F97" t="str">
        <x:v>Viana</x:v>
      </x:c>
      <x:c r="G97" t="str">
        <x:v>Carlos Mateus</x:v>
      </x:c>
      <x:c r="H97" t="str">
        <x:v>VTR-06</x:v>
      </x:c>
      <x:c r="I97" t="str">
        <x:v>Isuzu NPR</x:v>
      </x:c>
      <x:c r="J97" t="n">
        <x:v>5000</x:v>
      </x:c>
      <x:c r="K97" t="n">
        <x:v>89</x:v>
      </x:c>
      <x:c r="L97" t="n">
        <x:v>89</x:v>
      </x:c>
      <x:c r="M97" t="n">
        <x:v>1047.2</x:v>
      </x:c>
      <x:c r="N97" t="n">
        <x:v>18</x:v>
      </x:c>
      <x:c r="O97" s="45" t="n">
        <x:v>774122</x:v>
      </x:c>
      <x:c r="P97" s="45" t="n">
        <x:v>30000</x:v>
      </x:c>
      <x:c r="Q97" t="str">
        <x:v>Entregue</x:v>
      </x:c>
      <x:c r="R97" t="str">
        <x:v>Chuva/condicao da via</x:v>
      </x:c>
      <x:c r="S97" t="str">
        <x:v>Sim</x:v>
      </x:c>
      <x:c r="T97" t="str">
        <x:v>Nao</x:v>
      </x:c>
    </x:row>
    <x:row r="98" ht="19" customHeight="1">
      <x:c r="A98" t="str">
        <x:v>ENT-00097</x:v>
      </x:c>
      <x:c r="B98" s="41" t="n">
        <x:v>46243</x:v>
      </x:c>
      <x:c r="C98" s="41" t="n">
        <x:v>46245</x:v>
      </x:c>
      <x:c r="D98" s="41" t="n">
        <x:v>46245</x:v>
      </x:c>
      <x:c r="E98" t="str">
        <x:v>Maxi Centro, Lda.</x:v>
      </x:c>
      <x:c r="F98" t="str">
        <x:v>Kilamba</x:v>
      </x:c>
      <x:c r="G98" t="str">
        <x:v>Félix Domingos</x:v>
      </x:c>
      <x:c r="H98" t="str">
        <x:v>VTR-07</x:v>
      </x:c>
      <x:c r="I98" t="str">
        <x:v>Isuzu NPR</x:v>
      </x:c>
      <x:c r="J98" t="n">
        <x:v>5000</x:v>
      </x:c>
      <x:c r="K98" t="n">
        <x:v>57</x:v>
      </x:c>
      <x:c r="L98" t="n">
        <x:v>57</x:v>
      </x:c>
      <x:c r="M98" t="n">
        <x:v>1171.2</x:v>
      </x:c>
      <x:c r="N98" t="n">
        <x:v>30</x:v>
      </x:c>
      <x:c r="O98" s="45" t="n">
        <x:v>333621</x:v>
      </x:c>
      <x:c r="P98" s="45" t="n">
        <x:v>44500</x:v>
      </x:c>
      <x:c r="Q98" t="str">
        <x:v>Entregue</x:v>
      </x:c>
      <x:c r="R98" t="str"/>
      <x:c r="S98" t="str">
        <x:v>Nao</x:v>
      </x:c>
      <x:c r="T98" t="str">
        <x:v>Nao</x:v>
      </x:c>
    </x:row>
    <x:row r="99" ht="19" customHeight="1">
      <x:c r="A99" t="str">
        <x:v>ENT-00098</x:v>
      </x:c>
      <x:c r="B99" s="41" t="n">
        <x:v>46235</x:v>
      </x:c>
      <x:c r="C99" s="41" t="n">
        <x:v>46237</x:v>
      </x:c>
      <x:c r="D99" s="41" t="n">
        <x:v>46237</x:v>
      </x:c>
      <x:c r="E99" t="str">
        <x:v>Nova Rota Comercial, Lda.</x:v>
      </x:c>
      <x:c r="F99" t="str">
        <x:v>Zango</x:v>
      </x:c>
      <x:c r="G99" t="str">
        <x:v>Adriano Manuel</x:v>
      </x:c>
      <x:c r="H99" t="str">
        <x:v>VTR-01</x:v>
      </x:c>
      <x:c r="I99" t="str">
        <x:v>Kia K2700</x:v>
      </x:c>
      <x:c r="J99" t="n">
        <x:v>1500</x:v>
      </x:c>
      <x:c r="K99" t="n">
        <x:v>41</x:v>
      </x:c>
      <x:c r="L99" t="n">
        <x:v>41</x:v>
      </x:c>
      <x:c r="M99" t="n">
        <x:v>716</x:v>
      </x:c>
      <x:c r="N99" t="n">
        <x:v>34</x:v>
      </x:c>
      <x:c r="O99" s="45" t="n">
        <x:v>378840</x:v>
      </x:c>
      <x:c r="P99" s="45" t="n">
        <x:v>32500</x:v>
      </x:c>
      <x:c r="Q99" t="str">
        <x:v>Entregue</x:v>
      </x:c>
      <x:c r="R99" t="str"/>
      <x:c r="S99" t="str">
        <x:v>Nao</x:v>
      </x:c>
      <x:c r="T99" t="str">
        <x:v>Nao</x:v>
      </x:c>
    </x:row>
    <x:row r="100" ht="19" customHeight="1">
      <x:c r="A100" t="str">
        <x:v>ENT-00099</x:v>
      </x:c>
      <x:c r="B100" s="41" t="n">
        <x:v>46260</x:v>
      </x:c>
      <x:c r="C100" s="41" t="n">
        <x:v>46262</x:v>
      </x:c>
      <x:c r="D100" s="41" t="n">
        <x:v>46262</x:v>
      </x:c>
      <x:c r="E100" t="str">
        <x:v>Rota Azul, Lda.</x:v>
      </x:c>
      <x:c r="F100" t="str">
        <x:v>Kilamba</x:v>
      </x:c>
      <x:c r="G100" t="str">
        <x:v>Hélder Miguel</x:v>
      </x:c>
      <x:c r="H100" t="str">
        <x:v>VTR-08</x:v>
      </x:c>
      <x:c r="I100" t="str">
        <x:v>Toyota Hilux</x:v>
      </x:c>
      <x:c r="J100" t="n">
        <x:v>1000</x:v>
      </x:c>
      <x:c r="K100" t="n">
        <x:v>31</x:v>
      </x:c>
      <x:c r="L100" t="n">
        <x:v>31</x:v>
      </x:c>
      <x:c r="M100" t="n">
        <x:v>440.2</x:v>
      </x:c>
      <x:c r="N100" t="n">
        <x:v>37</x:v>
      </x:c>
      <x:c r="O100" s="45" t="n">
        <x:v>643157</x:v>
      </x:c>
      <x:c r="P100" s="45" t="n">
        <x:v>28500</x:v>
      </x:c>
      <x:c r="Q100" t="str">
        <x:v>Entregue</x:v>
      </x:c>
      <x:c r="R100" t="str"/>
      <x:c r="S100" t="str">
        <x:v>Nao</x:v>
      </x:c>
      <x:c r="T100" t="str">
        <x:v>Nao</x:v>
      </x:c>
    </x:row>
    <x:row r="101" ht="19" customHeight="1">
      <x:c r="A101" t="str">
        <x:v>ENT-00100</x:v>
      </x:c>
      <x:c r="B101" s="41" t="n">
        <x:v>46214</x:v>
      </x:c>
      <x:c r="C101" s="41" t="n">
        <x:v>46216</x:v>
      </x:c>
      <x:c r="D101" s="41" t="n">
        <x:v>46216</x:v>
      </x:c>
      <x:c r="E101" t="str">
        <x:v>Savana Retail, Lda.</x:v>
      </x:c>
      <x:c r="F101" t="str">
        <x:v>Morro Bento</x:v>
      </x:c>
      <x:c r="G101" t="str">
        <x:v>Isaías Pedro</x:v>
      </x:c>
      <x:c r="H101" t="str">
        <x:v>VTR-09</x:v>
      </x:c>
      <x:c r="I101" t="str">
        <x:v>Toyota Hilux</x:v>
      </x:c>
      <x:c r="J101" t="n">
        <x:v>1000</x:v>
      </x:c>
      <x:c r="K101" t="n">
        <x:v>47</x:v>
      </x:c>
      <x:c r="L101" t="n">
        <x:v>47</x:v>
      </x:c>
      <x:c r="M101" t="n">
        <x:v>923.8</x:v>
      </x:c>
      <x:c r="N101" t="n">
        <x:v>20</x:v>
      </x:c>
      <x:c r="O101" s="45" t="n">
        <x:v>242520</x:v>
      </x:c>
      <x:c r="P101" s="45" t="n">
        <x:v>34500</x:v>
      </x:c>
      <x:c r="Q101" t="str">
        <x:v>Entregue</x:v>
      </x:c>
      <x:c r="R101" t="str"/>
      <x:c r="S101" t="str">
        <x:v>Nao</x:v>
      </x:c>
      <x:c r="T101" t="str">
        <x:v>Nao</x:v>
      </x:c>
    </x:row>
    <x:row r="102" ht="19" customHeight="1">
      <x:c r="A102" t="str">
        <x:v>ENT-00101</x:v>
      </x:c>
      <x:c r="B102" s="41" t="n">
        <x:v>46261</x:v>
      </x:c>
      <x:c r="C102" s="41" t="n">
        <x:v>46264</x:v>
      </x:c>
      <x:c r="D102" s="41" t="n">
        <x:v>46266</x:v>
      </x:c>
      <x:c r="E102" t="str">
        <x:v>Nova Rota Comercial, Lda.</x:v>
      </x:c>
      <x:c r="F102" t="str">
        <x:v>Sequele</x:v>
      </x:c>
      <x:c r="G102" t="str">
        <x:v>Lucas Tomás</x:v>
      </x:c>
      <x:c r="H102" t="str">
        <x:v>VTR-03</x:v>
      </x:c>
      <x:c r="I102" t="str">
        <x:v>Toyota Dyna</x:v>
      </x:c>
      <x:c r="J102" t="n">
        <x:v>3000</x:v>
      </x:c>
      <x:c r="K102" t="n">
        <x:v>10</x:v>
      </x:c>
      <x:c r="L102" t="n">
        <x:v>10</x:v>
      </x:c>
      <x:c r="M102" t="n">
        <x:v>258.5</x:v>
      </x:c>
      <x:c r="N102" t="n">
        <x:v>61</x:v>
      </x:c>
      <x:c r="O102" s="45" t="n">
        <x:v>38420</x:v>
      </x:c>
      <x:c r="P102" s="45" t="n">
        <x:v>36000</x:v>
      </x:c>
      <x:c r="Q102" t="str">
        <x:v>Entregue</x:v>
      </x:c>
      <x:c r="R102" t="str">
        <x:v>Avaria da viatura</x:v>
      </x:c>
      <x:c r="S102" t="str">
        <x:v>Nao</x:v>
      </x:c>
      <x:c r="T102" t="str">
        <x:v>Nao</x:v>
      </x:c>
    </x:row>
    <x:row r="103" ht="19" customHeight="1">
      <x:c r="A103" t="str">
        <x:v>ENT-00102</x:v>
      </x:c>
      <x:c r="B103" s="41" t="n">
        <x:v>46247</x:v>
      </x:c>
      <x:c r="C103" s="41" t="n">
        <x:v>46249</x:v>
      </x:c>
      <x:c r="D103" s="41" t="n">
        <x:v>46249</x:v>
      </x:c>
      <x:c r="E103" t="str">
        <x:v>Prime Stock, Lda.</x:v>
      </x:c>
      <x:c r="F103" t="str">
        <x:v>Talatona</x:v>
      </x:c>
      <x:c r="G103" t="str">
        <x:v>Kito Alberto</x:v>
      </x:c>
      <x:c r="H103" t="str">
        <x:v>VTR-10</x:v>
      </x:c>
      <x:c r="I103" t="str">
        <x:v>Foton Aumark</x:v>
      </x:c>
      <x:c r="J103" t="n">
        <x:v>4000</x:v>
      </x:c>
      <x:c r="K103" t="n">
        <x:v>7</x:v>
      </x:c>
      <x:c r="L103" t="n">
        <x:v>7</x:v>
      </x:c>
      <x:c r="M103" t="n">
        <x:v>237.1</x:v>
      </x:c>
      <x:c r="N103" t="n">
        <x:v>35</x:v>
      </x:c>
      <x:c r="O103" s="45" t="n">
        <x:v>157857</x:v>
      </x:c>
      <x:c r="P103" s="45" t="n">
        <x:v>25500</x:v>
      </x:c>
      <x:c r="Q103" t="str">
        <x:v>Entregue</x:v>
      </x:c>
      <x:c r="R103" t="str"/>
      <x:c r="S103" t="str">
        <x:v>Nao</x:v>
      </x:c>
      <x:c r="T103" t="str">
        <x:v>Nao</x:v>
      </x:c>
    </x:row>
    <x:row r="104" ht="19" customHeight="1">
      <x:c r="A104" t="str">
        <x:v>ENT-00103</x:v>
      </x:c>
      <x:c r="B104" s="41" t="n">
        <x:v>46238</x:v>
      </x:c>
      <x:c r="C104" s="41" t="n">
        <x:v>46241</x:v>
      </x:c>
      <x:c r="D104" s="41" t="n">
        <x:v>46241</x:v>
      </x:c>
      <x:c r="E104" t="str">
        <x:v>Savana Retail, Lda.</x:v>
      </x:c>
      <x:c r="F104" t="str">
        <x:v>Cacuaco</x:v>
      </x:c>
      <x:c r="G104" t="str">
        <x:v>Gilberto José</x:v>
      </x:c>
      <x:c r="H104" t="str">
        <x:v>VTR-01</x:v>
      </x:c>
      <x:c r="I104" t="str">
        <x:v>Kia K2700</x:v>
      </x:c>
      <x:c r="J104" t="n">
        <x:v>1500</x:v>
      </x:c>
      <x:c r="K104" t="n">
        <x:v>8</x:v>
      </x:c>
      <x:c r="L104" t="n">
        <x:v>8</x:v>
      </x:c>
      <x:c r="M104" t="n">
        <x:v>269.5</x:v>
      </x:c>
      <x:c r="N104" t="n">
        <x:v>44</x:v>
      </x:c>
      <x:c r="O104" s="45" t="n">
        <x:v>89824</x:v>
      </x:c>
      <x:c r="P104" s="45" t="n">
        <x:v>30000</x:v>
      </x:c>
      <x:c r="Q104" t="str">
        <x:v>Entregue</x:v>
      </x:c>
      <x:c r="R104" t="str"/>
      <x:c r="S104" t="str">
        <x:v>Nao</x:v>
      </x:c>
      <x:c r="T104" t="str">
        <x:v>Nao</x:v>
      </x:c>
    </x:row>
    <x:row r="105" ht="19" customHeight="1">
      <x:c r="A105" t="str">
        <x:v>ENT-00104</x:v>
      </x:c>
      <x:c r="B105" s="41" t="n">
        <x:v>46215</x:v>
      </x:c>
      <x:c r="C105" s="41" t="n">
        <x:v>46216</x:v>
      </x:c>
      <x:c r="D105" s="41" t="n">
        <x:v>46217</x:v>
      </x:c>
      <x:c r="E105" t="str">
        <x:v>Nova Rota Comercial, Lda.</x:v>
      </x:c>
      <x:c r="F105" t="str">
        <x:v>Maianga</x:v>
      </x:c>
      <x:c r="G105" t="str">
        <x:v>Gilberto José</x:v>
      </x:c>
      <x:c r="H105" t="str">
        <x:v>VTR-03</x:v>
      </x:c>
      <x:c r="I105" t="str">
        <x:v>Toyota Dyna</x:v>
      </x:c>
      <x:c r="J105" t="n">
        <x:v>3000</x:v>
      </x:c>
      <x:c r="K105" t="n">
        <x:v>54</x:v>
      </x:c>
      <x:c r="L105" t="n">
        <x:v>54</x:v>
      </x:c>
      <x:c r="M105" t="n">
        <x:v>561.9</x:v>
      </x:c>
      <x:c r="N105" t="n">
        <x:v>11</x:v>
      </x:c>
      <x:c r="O105" s="45" t="n">
        <x:v>1258740</x:v>
      </x:c>
      <x:c r="P105" s="45" t="n">
        <x:v>23500</x:v>
      </x:c>
      <x:c r="Q105" t="str">
        <x:v>Entregue</x:v>
      </x:c>
      <x:c r="R105" t="str">
        <x:v>Chuva/condicao da via</x:v>
      </x:c>
      <x:c r="S105" t="str">
        <x:v>Nao</x:v>
      </x:c>
      <x:c r="T105" t="str">
        <x:v>Nao</x:v>
      </x:c>
    </x:row>
    <x:row r="106" ht="19" customHeight="1">
      <x:c r="A106" t="str">
        <x:v>ENT-00105</x:v>
      </x:c>
      <x:c r="B106" s="41" t="n">
        <x:v>46217</x:v>
      </x:c>
      <x:c r="C106" s="41" t="n">
        <x:v>46219</x:v>
      </x:c>
      <x:c r="D106" s="41" t="n">
        <x:v>46219</x:v>
      </x:c>
      <x:c r="E106" t="str">
        <x:v>Prime Stock, Lda.</x:v>
      </x:c>
      <x:c r="F106" t="str">
        <x:v>Nova Vida</x:v>
      </x:c>
      <x:c r="G106" t="str">
        <x:v>Gilberto José</x:v>
      </x:c>
      <x:c r="H106" t="str">
        <x:v>VTR-09</x:v>
      </x:c>
      <x:c r="I106" t="str">
        <x:v>Toyota Hilux</x:v>
      </x:c>
      <x:c r="J106" t="n">
        <x:v>1000</x:v>
      </x:c>
      <x:c r="K106" t="n">
        <x:v>83</x:v>
      </x:c>
      <x:c r="L106" t="n">
        <x:v>82</x:v>
      </x:c>
      <x:c r="M106" t="n">
        <x:v>602.8</x:v>
      </x:c>
      <x:c r="N106" t="n">
        <x:v>26</x:v>
      </x:c>
      <x:c r="O106" s="45" t="n">
        <x:v>1591940</x:v>
      </x:c>
      <x:c r="P106" s="45" t="n">
        <x:v>30000</x:v>
      </x:c>
      <x:c r="Q106" t="str">
        <x:v>Entregue</x:v>
      </x:c>
      <x:c r="R106" t="str"/>
      <x:c r="S106" t="str">
        <x:v>Nao</x:v>
      </x:c>
      <x:c r="T106" t="str">
        <x:v>Nao</x:v>
      </x:c>
    </x:row>
    <x:row r="107" ht="19" customHeight="1">
      <x:c r="A107" t="str">
        <x:v>ENT-00106</x:v>
      </x:c>
      <x:c r="B107" s="41" t="n">
        <x:v>46263</x:v>
      </x:c>
      <x:c r="C107" s="41" t="n">
        <x:v>46265</x:v>
      </x:c>
      <x:c r="D107" s="41" t="n">
        <x:v>46265</x:v>
      </x:c>
      <x:c r="E107" t="str">
        <x:v>Ponto Logístico, Lda.</x:v>
      </x:c>
      <x:c r="F107" t="str">
        <x:v>Zango</x:v>
      </x:c>
      <x:c r="G107" t="str">
        <x:v>Bernardo Paulo</x:v>
      </x:c>
      <x:c r="H107" t="str">
        <x:v>VTR-06</x:v>
      </x:c>
      <x:c r="I107" t="str">
        <x:v>Isuzu NPR</x:v>
      </x:c>
      <x:c r="J107" t="n">
        <x:v>5000</x:v>
      </x:c>
      <x:c r="K107" t="n">
        <x:v>9</x:v>
      </x:c>
      <x:c r="L107" t="n">
        <x:v>9</x:v>
      </x:c>
      <x:c r="M107" t="n">
        <x:v>81.6</x:v>
      </x:c>
      <x:c r="N107" t="n">
        <x:v>32</x:v>
      </x:c>
      <x:c r="O107" s="45" t="n">
        <x:v>60120</x:v>
      </x:c>
      <x:c r="P107" s="45" t="n">
        <x:v>20000</x:v>
      </x:c>
      <x:c r="Q107" t="str">
        <x:v>Entregue</x:v>
      </x:c>
      <x:c r="R107" t="str"/>
      <x:c r="S107" t="str">
        <x:v>Nao</x:v>
      </x:c>
      <x:c r="T107" t="str">
        <x:v>Nao</x:v>
      </x:c>
    </x:row>
    <x:row r="108" ht="19" customHeight="1">
      <x:c r="A108" t="str">
        <x:v>ENT-00107</x:v>
      </x:c>
      <x:c r="B108" s="41" t="n">
        <x:v>46207</x:v>
      </x:c>
      <x:c r="C108" s="41" t="n">
        <x:v>46209</x:v>
      </x:c>
      <x:c r="D108" s="41" t="n">
        <x:v>46209</x:v>
      </x:c>
      <x:c r="E108" t="str">
        <x:v>Savana Retail, Lda.</x:v>
      </x:c>
      <x:c r="F108" t="str">
        <x:v>Camama</x:v>
      </x:c>
      <x:c r="G108" t="str">
        <x:v>Bernardo Paulo</x:v>
      </x:c>
      <x:c r="H108" t="str">
        <x:v>VTR-12</x:v>
      </x:c>
      <x:c r="I108" t="str">
        <x:v>Hyundai H100</x:v>
      </x:c>
      <x:c r="J108" t="n">
        <x:v>1300</x:v>
      </x:c>
      <x:c r="K108" t="n">
        <x:v>30</x:v>
      </x:c>
      <x:c r="L108" t="n">
        <x:v>30</x:v>
      </x:c>
      <x:c r="M108" t="n">
        <x:v>273.5</x:v>
      </x:c>
      <x:c r="N108" t="n">
        <x:v>34</x:v>
      </x:c>
      <x:c r="O108" s="45" t="n">
        <x:v>535440</x:v>
      </x:c>
      <x:c r="P108" s="45" t="n">
        <x:v>24500</x:v>
      </x:c>
      <x:c r="Q108" t="str">
        <x:v>Entregue</x:v>
      </x:c>
      <x:c r="R108" t="str"/>
      <x:c r="S108" t="str">
        <x:v>Nao</x:v>
      </x:c>
      <x:c r="T108" t="str">
        <x:v>Nao</x:v>
      </x:c>
    </x:row>
    <x:row r="109" ht="19" customHeight="1">
      <x:c r="A109" t="str">
        <x:v>ENT-00108</x:v>
      </x:c>
      <x:c r="B109" s="41" t="n">
        <x:v>46233</x:v>
      </x:c>
      <x:c r="C109" s="41" t="n">
        <x:v>46236</x:v>
      </x:c>
      <x:c r="D109" s="41" t="n">
        <x:v>46236</x:v>
      </x:c>
      <x:c r="E109" t="str">
        <x:v>Atlântico Farma, Lda.</x:v>
      </x:c>
      <x:c r="F109" t="str">
        <x:v>Kikuxi</x:v>
      </x:c>
      <x:c r="G109" t="str">
        <x:v>Jorge Mário</x:v>
      </x:c>
      <x:c r="H109" t="str">
        <x:v>VTR-05</x:v>
      </x:c>
      <x:c r="I109" t="str">
        <x:v>Hyundai HD65</x:v>
      </x:c>
      <x:c r="J109" t="n">
        <x:v>3500</x:v>
      </x:c>
      <x:c r="K109" t="n">
        <x:v>24</x:v>
      </x:c>
      <x:c r="L109" t="n">
        <x:v>24</x:v>
      </x:c>
      <x:c r="M109" t="n">
        <x:v>335.2</x:v>
      </x:c>
      <x:c r="N109" t="n">
        <x:v>42</x:v>
      </x:c>
      <x:c r="O109" s="45" t="n">
        <x:v>263496</x:v>
      </x:c>
      <x:c r="P109" s="45" t="n">
        <x:v>27500</x:v>
      </x:c>
      <x:c r="Q109" t="str">
        <x:v>Entregue</x:v>
      </x:c>
      <x:c r="R109" t="str"/>
      <x:c r="S109" t="str">
        <x:v>Nao</x:v>
      </x:c>
      <x:c r="T109" t="str">
        <x:v>Nao</x:v>
      </x:c>
    </x:row>
    <x:row r="110" ht="19" customHeight="1">
      <x:c r="A110" t="str">
        <x:v>ENT-00109</x:v>
      </x:c>
      <x:c r="B110" s="41" t="n">
        <x:v>46231</x:v>
      </x:c>
      <x:c r="C110" s="41" t="n">
        <x:v>46232</x:v>
      </x:c>
      <x:c r="D110" s="41" t="n">
        <x:v>46235</x:v>
      </x:c>
      <x:c r="E110" t="str">
        <x:v>Atlântico Farma, Lda.</x:v>
      </x:c>
      <x:c r="F110" t="str">
        <x:v>Ingombota</x:v>
      </x:c>
      <x:c r="G110" t="str">
        <x:v>Jorge Mário</x:v>
      </x:c>
      <x:c r="H110" t="str">
        <x:v>VTR-05</x:v>
      </x:c>
      <x:c r="I110" t="str">
        <x:v>Hyundai HD65</x:v>
      </x:c>
      <x:c r="J110" t="n">
        <x:v>3500</x:v>
      </x:c>
      <x:c r="K110" t="n">
        <x:v>34</x:v>
      </x:c>
      <x:c r="L110" t="n">
        <x:v>0</x:v>
      </x:c>
      <x:c r="M110" t="n">
        <x:v>912.2</x:v>
      </x:c>
      <x:c r="N110" t="n">
        <x:v>13</x:v>
      </x:c>
      <x:c r="O110" s="45" t="n">
        <x:v>652868</x:v>
      </x:c>
      <x:c r="P110" s="45" t="n">
        <x:v>27000</x:v>
      </x:c>
      <x:c r="Q110" t="str">
        <x:v>Falhada</x:v>
      </x:c>
      <x:c r="R110" t="str">
        <x:v>Avaria da viatura</x:v>
      </x:c>
      <x:c r="S110" t="str">
        <x:v>Nao</x:v>
      </x:c>
      <x:c r="T110" t="str">
        <x:v>Nao</x:v>
      </x:c>
    </x:row>
    <x:row r="111" ht="19" customHeight="1">
      <x:c r="A111" t="str">
        <x:v>ENT-00110</x:v>
      </x:c>
      <x:c r="B111" s="41" t="n">
        <x:v>46248</x:v>
      </x:c>
      <x:c r="C111" s="41" t="n">
        <x:v>46250</x:v>
      </x:c>
      <x:c r="D111" s="41" t="n">
        <x:v>46250</x:v>
      </x:c>
      <x:c r="E111" t="str">
        <x:v>Kwanza Distribuição, Lda.</x:v>
      </x:c>
      <x:c r="F111" t="str">
        <x:v>Camama</x:v>
      </x:c>
      <x:c r="G111" t="str">
        <x:v>Elísio António</x:v>
      </x:c>
      <x:c r="H111" t="str">
        <x:v>VTR-01</x:v>
      </x:c>
      <x:c r="I111" t="str">
        <x:v>Kia K2700</x:v>
      </x:c>
      <x:c r="J111" t="n">
        <x:v>1500</x:v>
      </x:c>
      <x:c r="K111" t="n">
        <x:v>72</x:v>
      </x:c>
      <x:c r="L111" t="n">
        <x:v>72</x:v>
      </x:c>
      <x:c r="M111" t="n">
        <x:v>880.9</x:v>
      </x:c>
      <x:c r="N111" t="n">
        <x:v>31</x:v>
      </x:c>
      <x:c r="O111" s="45" t="n">
        <x:v>639072</x:v>
      </x:c>
      <x:c r="P111" s="45" t="n">
        <x:v>36000</x:v>
      </x:c>
      <x:c r="Q111" t="str">
        <x:v>Entregue</x:v>
      </x:c>
      <x:c r="R111" t="str"/>
      <x:c r="S111" t="str">
        <x:v>Nao</x:v>
      </x:c>
      <x:c r="T111" t="str">
        <x:v>Nao</x:v>
      </x:c>
    </x:row>
    <x:row r="112" ht="19" customHeight="1">
      <x:c r="A112" t="str">
        <x:v>ENT-00111</x:v>
      </x:c>
      <x:c r="B112" s="41" t="n">
        <x:v>46257</x:v>
      </x:c>
      <x:c r="C112" s="41" t="n">
        <x:v>46259</x:v>
      </x:c>
      <x:c r="D112" s="41" t="n">
        <x:v>46259</x:v>
      </x:c>
      <x:c r="E112" t="str">
        <x:v>Maxi Centro, Lda.</x:v>
      </x:c>
      <x:c r="F112" t="str">
        <x:v>Camama</x:v>
      </x:c>
      <x:c r="G112" t="str">
        <x:v>Adriano Manuel</x:v>
      </x:c>
      <x:c r="H112" t="str">
        <x:v>VTR-03</x:v>
      </x:c>
      <x:c r="I112" t="str">
        <x:v>Toyota Dyna</x:v>
      </x:c>
      <x:c r="J112" t="n">
        <x:v>3000</x:v>
      </x:c>
      <x:c r="K112" t="n">
        <x:v>60</x:v>
      </x:c>
      <x:c r="L112" t="n">
        <x:v>60</x:v>
      </x:c>
      <x:c r="M112" t="n">
        <x:v>1314.8</x:v>
      </x:c>
      <x:c r="N112" t="n">
        <x:v>24</x:v>
      </x:c>
      <x:c r="O112" s="45" t="n">
        <x:v>1368780</x:v>
      </x:c>
      <x:c r="P112" s="45" t="n">
        <x:v>43000</x:v>
      </x:c>
      <x:c r="Q112" t="str">
        <x:v>Entregue</x:v>
      </x:c>
      <x:c r="R112" t="str"/>
      <x:c r="S112" t="str">
        <x:v>Nao</x:v>
      </x:c>
      <x:c r="T112" t="str">
        <x:v>Nao</x:v>
      </x:c>
    </x:row>
    <x:row r="113" ht="19" customHeight="1">
      <x:c r="A113" t="str">
        <x:v>ENT-00112</x:v>
      </x:c>
      <x:c r="B113" s="41" t="n">
        <x:v>46224</x:v>
      </x:c>
      <x:c r="C113" s="41" t="n">
        <x:v>46226</x:v>
      </x:c>
      <x:c r="D113" s="41" t="n">
        <x:v>46226</x:v>
      </x:c>
      <x:c r="E113" t="str">
        <x:v>Via Certa Serviços, Lda.</x:v>
      </x:c>
      <x:c r="F113" t="str">
        <x:v>Kilamba</x:v>
      </x:c>
      <x:c r="G113" t="str">
        <x:v>Adriano Manuel</x:v>
      </x:c>
      <x:c r="H113" t="str">
        <x:v>VTR-12</x:v>
      </x:c>
      <x:c r="I113" t="str">
        <x:v>Hyundai H100</x:v>
      </x:c>
      <x:c r="J113" t="n">
        <x:v>1300</x:v>
      </x:c>
      <x:c r="K113" t="n">
        <x:v>83</x:v>
      </x:c>
      <x:c r="L113" t="n">
        <x:v>83</x:v>
      </x:c>
      <x:c r="M113" t="n">
        <x:v>893.8</x:v>
      </x:c>
      <x:c r="N113" t="n">
        <x:v>33</x:v>
      </x:c>
      <x:c r="O113" s="45" t="n">
        <x:v>1433244</x:v>
      </x:c>
      <x:c r="P113" s="45" t="n">
        <x:v>40000</x:v>
      </x:c>
      <x:c r="Q113" t="str">
        <x:v>Entregue</x:v>
      </x:c>
      <x:c r="R113" t="str"/>
      <x:c r="S113" t="str">
        <x:v>Nao</x:v>
      </x:c>
      <x:c r="T113" t="str">
        <x:v>Nao</x:v>
      </x:c>
    </x:row>
    <x:row r="114" ht="19" customHeight="1">
      <x:c r="A114" t="str">
        <x:v>ENT-00113</x:v>
      </x:c>
      <x:c r="B114" s="41" t="n">
        <x:v>46225</x:v>
      </x:c>
      <x:c r="C114" s="41" t="n">
        <x:v>46227</x:v>
      </x:c>
      <x:c r="D114" s="41" t="n">
        <x:v>46227</x:v>
      </x:c>
      <x:c r="E114" t="str">
        <x:v>Mundo Fresco, Lda.</x:v>
      </x:c>
      <x:c r="F114" t="str">
        <x:v>Viana</x:v>
      </x:c>
      <x:c r="G114" t="str">
        <x:v>Gilberto José</x:v>
      </x:c>
      <x:c r="H114" t="str">
        <x:v>VTR-07</x:v>
      </x:c>
      <x:c r="I114" t="str">
        <x:v>Isuzu NPR</x:v>
      </x:c>
      <x:c r="J114" t="n">
        <x:v>5000</x:v>
      </x:c>
      <x:c r="K114" t="n">
        <x:v>31</x:v>
      </x:c>
      <x:c r="L114" t="n">
        <x:v>31</x:v>
      </x:c>
      <x:c r="M114" t="n">
        <x:v>1012.8</x:v>
      </x:c>
      <x:c r="N114" t="n">
        <x:v>34</x:v>
      </x:c>
      <x:c r="O114" s="45" t="n">
        <x:v>642289</x:v>
      </x:c>
      <x:c r="P114" s="45" t="n">
        <x:v>36000</x:v>
      </x:c>
      <x:c r="Q114" t="str">
        <x:v>Entregue</x:v>
      </x:c>
      <x:c r="R114" t="str"/>
      <x:c r="S114" t="str">
        <x:v>Nao</x:v>
      </x:c>
      <x:c r="T114" t="str">
        <x:v>Nao</x:v>
      </x:c>
    </x:row>
    <x:row r="115" ht="19" customHeight="1">
      <x:c r="A115" t="str">
        <x:v>ENT-00114</x:v>
      </x:c>
      <x:c r="B115" s="41" t="n">
        <x:v>46242</x:v>
      </x:c>
      <x:c r="C115" s="41" t="n">
        <x:v>46243</x:v>
      </x:c>
      <x:c r="D115" s="41" t="n">
        <x:v>46243</x:v>
      </x:c>
      <x:c r="E115" t="str">
        <x:v>Bem-Estar Higiene, Lda.</x:v>
      </x:c>
      <x:c r="F115" t="str">
        <x:v>Maianga</x:v>
      </x:c>
      <x:c r="G115" t="str">
        <x:v>Hélder Miguel</x:v>
      </x:c>
      <x:c r="H115" t="str">
        <x:v>VTR-01</x:v>
      </x:c>
      <x:c r="I115" t="str">
        <x:v>Kia K2700</x:v>
      </x:c>
      <x:c r="J115" t="n">
        <x:v>1500</x:v>
      </x:c>
      <x:c r="K115" t="n">
        <x:v>10</x:v>
      </x:c>
      <x:c r="L115" t="n">
        <x:v>10</x:v>
      </x:c>
      <x:c r="M115" t="n">
        <x:v>231.3</x:v>
      </x:c>
      <x:c r="N115" t="n">
        <x:v>13</x:v>
      </x:c>
      <x:c r="O115" s="45" t="n">
        <x:v>213470</x:v>
      </x:c>
      <x:c r="P115" s="45" t="n">
        <x:v>17000</x:v>
      </x:c>
      <x:c r="Q115" t="str">
        <x:v>Entregue</x:v>
      </x:c>
      <x:c r="R115" t="str"/>
      <x:c r="S115" t="str">
        <x:v>Nao</x:v>
      </x:c>
      <x:c r="T115" t="str">
        <x:v>Nao</x:v>
      </x:c>
    </x:row>
    <x:row r="116" ht="19" customHeight="1">
      <x:c r="A116" t="str">
        <x:v>ENT-00115</x:v>
      </x:c>
      <x:c r="B116" s="41" t="n">
        <x:v>46255</x:v>
      </x:c>
      <x:c r="C116" s="41" t="n">
        <x:v>46258</x:v>
      </x:c>
      <x:c r="D116" s="41" t="n">
        <x:v>46258</x:v>
      </x:c>
      <x:c r="E116" t="str">
        <x:v>Nova Rota Comercial, Lda.</x:v>
      </x:c>
      <x:c r="F116" t="str">
        <x:v>Zango</x:v>
      </x:c>
      <x:c r="G116" t="str">
        <x:v>Jorge Mário</x:v>
      </x:c>
      <x:c r="H116" t="str">
        <x:v>VTR-01</x:v>
      </x:c>
      <x:c r="I116" t="str">
        <x:v>Kia K2700</x:v>
      </x:c>
      <x:c r="J116" t="n">
        <x:v>1500</x:v>
      </x:c>
      <x:c r="K116" t="n">
        <x:v>53</x:v>
      </x:c>
      <x:c r="L116" t="n">
        <x:v>53</x:v>
      </x:c>
      <x:c r="M116" t="n">
        <x:v>1117.6</x:v>
      </x:c>
      <x:c r="N116" t="n">
        <x:v>58</x:v>
      </x:c>
      <x:c r="O116" s="45" t="n">
        <x:v>1142309</x:v>
      </x:c>
      <x:c r="P116" s="45" t="n">
        <x:v>57000</x:v>
      </x:c>
      <x:c r="Q116" t="str">
        <x:v>Entregue</x:v>
      </x:c>
      <x:c r="R116" t="str"/>
      <x:c r="S116" t="str">
        <x:v>Nao</x:v>
      </x:c>
      <x:c r="T116" t="str">
        <x:v>Nao</x:v>
      </x:c>
    </x:row>
    <x:row r="117" ht="19" customHeight="1">
      <x:c r="A117" t="str">
        <x:v>ENT-00116</x:v>
      </x:c>
      <x:c r="B117" s="41" t="n">
        <x:v>46229</x:v>
      </x:c>
      <x:c r="C117" s="41" t="n">
        <x:v>46232</x:v>
      </x:c>
      <x:c r="D117" s="41" t="n">
        <x:v>46231</x:v>
      </x:c>
      <x:c r="E117" t="str">
        <x:v>Kwanza Distribuição, Lda.</x:v>
      </x:c>
      <x:c r="F117" t="str">
        <x:v>Kikuxi</x:v>
      </x:c>
      <x:c r="G117" t="str">
        <x:v>Isaías Pedro</x:v>
      </x:c>
      <x:c r="H117" t="str">
        <x:v>VTR-08</x:v>
      </x:c>
      <x:c r="I117" t="str">
        <x:v>Toyota Hilux</x:v>
      </x:c>
      <x:c r="J117" t="n">
        <x:v>1000</x:v>
      </x:c>
      <x:c r="K117" t="n">
        <x:v>48</x:v>
      </x:c>
      <x:c r="L117" t="n">
        <x:v>48</x:v>
      </x:c>
      <x:c r="M117" t="n">
        <x:v>625.9</x:v>
      </x:c>
      <x:c r="N117" t="n">
        <x:v>41</x:v>
      </x:c>
      <x:c r="O117" s="45" t="n">
        <x:v>1099344</x:v>
      </x:c>
      <x:c r="P117" s="45" t="n">
        <x:v>35000</x:v>
      </x:c>
      <x:c r="Q117" t="str">
        <x:v>Entregue</x:v>
      </x:c>
      <x:c r="R117" t="str"/>
      <x:c r="S117" t="str">
        <x:v>Nao</x:v>
      </x:c>
      <x:c r="T117" t="str">
        <x:v>Nao</x:v>
      </x:c>
    </x:row>
    <x:row r="118" ht="19" customHeight="1">
      <x:c r="A118" t="str">
        <x:v>ENT-00117</x:v>
      </x:c>
      <x:c r="B118" s="41" t="n">
        <x:v>46225</x:v>
      </x:c>
      <x:c r="C118" s="41" t="n">
        <x:v>46227</x:v>
      </x:c>
      <x:c r="D118" s="41" t="n">
        <x:v>46229</x:v>
      </x:c>
      <x:c r="E118" t="str">
        <x:v>Luanda Office Supply, Lda.</x:v>
      </x:c>
      <x:c r="F118" t="str">
        <x:v>Kilamba</x:v>
      </x:c>
      <x:c r="G118" t="str">
        <x:v>Hélder Miguel</x:v>
      </x:c>
      <x:c r="H118" t="str">
        <x:v>VTR-04</x:v>
      </x:c>
      <x:c r="I118" t="str">
        <x:v>Toyota Dyna</x:v>
      </x:c>
      <x:c r="J118" t="n">
        <x:v>3000</x:v>
      </x:c>
      <x:c r="K118" t="n">
        <x:v>40</x:v>
      </x:c>
      <x:c r="L118" t="n">
        <x:v>40</x:v>
      </x:c>
      <x:c r="M118" t="n">
        <x:v>340.4</x:v>
      </x:c>
      <x:c r="N118" t="n">
        <x:v>36</x:v>
      </x:c>
      <x:c r="O118" s="45" t="n">
        <x:v>313320</x:v>
      </x:c>
      <x:c r="P118" s="45" t="n">
        <x:v>28500</x:v>
      </x:c>
      <x:c r="Q118" t="str">
        <x:v>Entregue</x:v>
      </x:c>
      <x:c r="R118" t="str">
        <x:v>Cliente indisponivel</x:v>
      </x:c>
      <x:c r="S118" t="str">
        <x:v>Nao</x:v>
      </x:c>
      <x:c r="T118" t="str">
        <x:v>Nao</x:v>
      </x:c>
    </x:row>
    <x:row r="119" ht="19" customHeight="1">
      <x:c r="A119" t="str">
        <x:v>ENT-00118</x:v>
      </x:c>
      <x:c r="B119" s="41" t="n">
        <x:v>46265</x:v>
      </x:c>
      <x:c r="C119" s="41" t="n">
        <x:v>46268</x:v>
      </x:c>
      <x:c r="D119" s="41" t="n">
        <x:v>46271</x:v>
      </x:c>
      <x:c r="E119" t="str">
        <x:v>Bem-Estar Higiene, Lda.</x:v>
      </x:c>
      <x:c r="F119" t="str">
        <x:v>Benfica</x:v>
      </x:c>
      <x:c r="G119" t="str">
        <x:v>Jorge Mário</x:v>
      </x:c>
      <x:c r="H119" t="str">
        <x:v>VTR-01</x:v>
      </x:c>
      <x:c r="I119" t="str">
        <x:v>Kia K2700</x:v>
      </x:c>
      <x:c r="J119" t="n">
        <x:v>1500</x:v>
      </x:c>
      <x:c r="K119" t="n">
        <x:v>61</x:v>
      </x:c>
      <x:c r="L119" t="n">
        <x:v>61</x:v>
      </x:c>
      <x:c r="M119" t="n">
        <x:v>1434.9</x:v>
      </x:c>
      <x:c r="N119" t="n">
        <x:v>42</x:v>
      </x:c>
      <x:c r="O119" s="45" t="n">
        <x:v>1382809</x:v>
      </x:c>
      <x:c r="P119" s="45" t="n">
        <x:v>45000</x:v>
      </x:c>
      <x:c r="Q119" t="str">
        <x:v>Entregue</x:v>
      </x:c>
      <x:c r="R119" t="str">
        <x:v>Avaria da viatura</x:v>
      </x:c>
      <x:c r="S119" t="str">
        <x:v>Nao</x:v>
      </x:c>
      <x:c r="T119" t="str">
        <x:v>Sim</x:v>
      </x:c>
    </x:row>
    <x:row r="120" ht="19" customHeight="1">
      <x:c r="A120" t="str">
        <x:v>ENT-00119</x:v>
      </x:c>
      <x:c r="B120" s="41" t="n">
        <x:v>46225</x:v>
      </x:c>
      <x:c r="C120" s="41" t="n">
        <x:v>46228</x:v>
      </x:c>
      <x:c r="D120" s="41" t="n">
        <x:v>46228</x:v>
      </x:c>
      <x:c r="E120" t="str">
        <x:v>Bem-Estar Higiene, Lda.</x:v>
      </x:c>
      <x:c r="F120" t="str">
        <x:v>Benfica</x:v>
      </x:c>
      <x:c r="G120" t="str">
        <x:v>Dário Joaquim</x:v>
      </x:c>
      <x:c r="H120" t="str">
        <x:v>VTR-05</x:v>
      </x:c>
      <x:c r="I120" t="str">
        <x:v>Hyundai HD65</x:v>
      </x:c>
      <x:c r="J120" t="n">
        <x:v>3500</x:v>
      </x:c>
      <x:c r="K120" t="n">
        <x:v>36</x:v>
      </x:c>
      <x:c r="L120" t="n">
        <x:v>36</x:v>
      </x:c>
      <x:c r="M120" t="n">
        <x:v>641.1</x:v>
      </x:c>
      <x:c r="N120" t="n">
        <x:v>47</x:v>
      </x:c>
      <x:c r="O120" s="45" t="n">
        <x:v>787392</x:v>
      </x:c>
      <x:c r="P120" s="45" t="n">
        <x:v>41500</x:v>
      </x:c>
      <x:c r="Q120" t="str">
        <x:v>Entregue</x:v>
      </x:c>
      <x:c r="R120" t="str"/>
      <x:c r="S120" t="str">
        <x:v>Nao</x:v>
      </x:c>
      <x:c r="T120" t="str">
        <x:v>Nao</x:v>
      </x:c>
    </x:row>
    <x:row r="121" ht="19" customHeight="1">
      <x:c r="A121" t="str">
        <x:v>ENT-00120</x:v>
      </x:c>
      <x:c r="B121" s="41" t="n">
        <x:v>46255</x:v>
      </x:c>
      <x:c r="C121" s="41" t="n">
        <x:v>46257</x:v>
      </x:c>
      <x:c r="D121" s="41" t="n">
        <x:v>46257</x:v>
      </x:c>
      <x:c r="E121" t="str">
        <x:v>Ponto Logístico, Lda.</x:v>
      </x:c>
      <x:c r="F121" t="str">
        <x:v>Kilamba</x:v>
      </x:c>
      <x:c r="G121" t="str">
        <x:v>Adriano Manuel</x:v>
      </x:c>
      <x:c r="H121" t="str">
        <x:v>VTR-12</x:v>
      </x:c>
      <x:c r="I121" t="str">
        <x:v>Hyundai H100</x:v>
      </x:c>
      <x:c r="J121" t="n">
        <x:v>1300</x:v>
      </x:c>
      <x:c r="K121" t="n">
        <x:v>84</x:v>
      </x:c>
      <x:c r="L121" t="n">
        <x:v>84</x:v>
      </x:c>
      <x:c r="M121" t="n">
        <x:v>796.3</x:v>
      </x:c>
      <x:c r="N121" t="n">
        <x:v>33</x:v>
      </x:c>
      <x:c r="O121" s="45" t="n">
        <x:v>1050840</x:v>
      </x:c>
      <x:c r="P121" s="45" t="n">
        <x:v>34000</x:v>
      </x:c>
      <x:c r="Q121" t="str">
        <x:v>Entregue</x:v>
      </x:c>
      <x:c r="R121" t="str"/>
      <x:c r="S121" t="str">
        <x:v>Nao</x:v>
      </x:c>
      <x:c r="T121" t="str">
        <x:v>Nao</x:v>
      </x:c>
    </x:row>
    <x:row r="122" ht="19" customHeight="1">
      <x:c r="A122" t="str">
        <x:v>ENT-00121</x:v>
      </x:c>
      <x:c r="B122" s="41" t="n">
        <x:v>46207</x:v>
      </x:c>
      <x:c r="C122" s="41" t="n">
        <x:v>46208</x:v>
      </x:c>
      <x:c r="D122" s="41" t="n">
        <x:v>46208</x:v>
      </x:c>
      <x:c r="E122" t="str">
        <x:v>Casa Horizonte, Lda.</x:v>
      </x:c>
      <x:c r="F122" t="str">
        <x:v>Maianga</x:v>
      </x:c>
      <x:c r="G122" t="str">
        <x:v>Gilberto José</x:v>
      </x:c>
      <x:c r="H122" t="str">
        <x:v>VTR-10</x:v>
      </x:c>
      <x:c r="I122" t="str">
        <x:v>Foton Aumark</x:v>
      </x:c>
      <x:c r="J122" t="n">
        <x:v>4000</x:v>
      </x:c>
      <x:c r="K122" t="n">
        <x:v>5</x:v>
      </x:c>
      <x:c r="L122" t="n">
        <x:v>5</x:v>
      </x:c>
      <x:c r="M122" t="n">
        <x:v>109.1</x:v>
      </x:c>
      <x:c r="N122" t="n">
        <x:v>16</x:v>
      </x:c>
      <x:c r="O122" s="45" t="n">
        <x:v>28130</x:v>
      </x:c>
      <x:c r="P122" s="45" t="n">
        <x:v>17000</x:v>
      </x:c>
      <x:c r="Q122" t="str">
        <x:v>Entregue</x:v>
      </x:c>
      <x:c r="R122" t="str"/>
      <x:c r="S122" t="str">
        <x:v>Nao</x:v>
      </x:c>
      <x:c r="T122" t="str">
        <x:v>Nao</x:v>
      </x:c>
    </x:row>
    <x:row r="123" ht="19" customHeight="1">
      <x:c r="A123" t="str">
        <x:v>ENT-00122</x:v>
      </x:c>
      <x:c r="B123" s="41" t="n">
        <x:v>46215</x:v>
      </x:c>
      <x:c r="C123" s="41" t="n">
        <x:v>46217</x:v>
      </x:c>
      <x:c r="D123" s="41" t="n">
        <x:v>46217</x:v>
      </x:c>
      <x:c r="E123" t="str">
        <x:v>Maxi Centro, Lda.</x:v>
      </x:c>
      <x:c r="F123" t="str">
        <x:v>Maianga</x:v>
      </x:c>
      <x:c r="G123" t="str">
        <x:v>Gilberto José</x:v>
      </x:c>
      <x:c r="H123" t="str">
        <x:v>VTR-07</x:v>
      </x:c>
      <x:c r="I123" t="str">
        <x:v>Isuzu NPR</x:v>
      </x:c>
      <x:c r="J123" t="n">
        <x:v>5000</x:v>
      </x:c>
      <x:c r="K123" t="n">
        <x:v>36</x:v>
      </x:c>
      <x:c r="L123" t="n">
        <x:v>30</x:v>
      </x:c>
      <x:c r="M123" t="n">
        <x:v>626.3</x:v>
      </x:c>
      <x:c r="N123" t="n">
        <x:v>22</x:v>
      </x:c>
      <x:c r="O123" s="45" t="n">
        <x:v>333540</x:v>
      </x:c>
      <x:c r="P123" s="45" t="n">
        <x:v>26000</x:v>
      </x:c>
      <x:c r="Q123" t="str">
        <x:v>Entregue</x:v>
      </x:c>
      <x:c r="R123" t="str"/>
      <x:c r="S123" t="str">
        <x:v>Nao</x:v>
      </x:c>
      <x:c r="T123" t="str">
        <x:v>Nao</x:v>
      </x:c>
    </x:row>
    <x:row r="124" ht="19" customHeight="1">
      <x:c r="A124" t="str">
        <x:v>ENT-00123</x:v>
      </x:c>
      <x:c r="B124" s="41" t="n">
        <x:v>46252</x:v>
      </x:c>
      <x:c r="C124" s="41" t="n">
        <x:v>46255</x:v>
      </x:c>
      <x:c r="D124" s="41" t="n">
        <x:v>46255</x:v>
      </x:c>
      <x:c r="E124" t="str">
        <x:v>Maxi Centro, Lda.</x:v>
      </x:c>
      <x:c r="F124" t="str">
        <x:v>Sequele</x:v>
      </x:c>
      <x:c r="G124" t="str">
        <x:v>Dário Joaquim</x:v>
      </x:c>
      <x:c r="H124" t="str">
        <x:v>VTR-07</x:v>
      </x:c>
      <x:c r="I124" t="str">
        <x:v>Isuzu NPR</x:v>
      </x:c>
      <x:c r="J124" t="n">
        <x:v>5000</x:v>
      </x:c>
      <x:c r="K124" t="n">
        <x:v>41</x:v>
      </x:c>
      <x:c r="L124" t="n">
        <x:v>41</x:v>
      </x:c>
      <x:c r="M124" t="n">
        <x:v>647.6</x:v>
      </x:c>
      <x:c r="N124" t="n">
        <x:v>44</x:v>
      </x:c>
      <x:c r="O124" s="45" t="n">
        <x:v>429065</x:v>
      </x:c>
      <x:c r="P124" s="45" t="n">
        <x:v>36000</x:v>
      </x:c>
      <x:c r="Q124" t="str">
        <x:v>Entregue</x:v>
      </x:c>
      <x:c r="R124" t="str"/>
      <x:c r="S124" t="str">
        <x:v>Nao</x:v>
      </x:c>
      <x:c r="T124" t="str">
        <x:v>Nao</x:v>
      </x:c>
    </x:row>
    <x:row r="125" ht="19" customHeight="1">
      <x:c r="A125" t="str">
        <x:v>ENT-00124</x:v>
      </x:c>
      <x:c r="B125" s="41" t="n">
        <x:v>46228</x:v>
      </x:c>
      <x:c r="C125" s="41" t="n">
        <x:v>46230</x:v>
      </x:c>
      <x:c r="D125" s="41" t="n">
        <x:v>46230</x:v>
      </x:c>
      <x:c r="E125" t="str">
        <x:v>Prime Stock, Lda.</x:v>
      </x:c>
      <x:c r="F125" t="str">
        <x:v>Sequele</x:v>
      </x:c>
      <x:c r="G125" t="str">
        <x:v>Jorge Mário</x:v>
      </x:c>
      <x:c r="H125" t="str">
        <x:v>VTR-08</x:v>
      </x:c>
      <x:c r="I125" t="str">
        <x:v>Toyota Hilux</x:v>
      </x:c>
      <x:c r="J125" t="n">
        <x:v>1000</x:v>
      </x:c>
      <x:c r="K125" t="n">
        <x:v>71</x:v>
      </x:c>
      <x:c r="L125" t="n">
        <x:v>71</x:v>
      </x:c>
      <x:c r="M125" t="n">
        <x:v>915.8</x:v>
      </x:c>
      <x:c r="N125" t="n">
        <x:v>35</x:v>
      </x:c>
      <x:c r="O125" s="45" t="n">
        <x:v>1539138</x:v>
      </x:c>
      <x:c r="P125" s="45" t="n">
        <x:v>34500</x:v>
      </x:c>
      <x:c r="Q125" t="str">
        <x:v>Entregue</x:v>
      </x:c>
      <x:c r="R125" t="str"/>
      <x:c r="S125" t="str">
        <x:v>Nao</x:v>
      </x:c>
      <x:c r="T125" t="str">
        <x:v>Nao</x:v>
      </x:c>
    </x:row>
    <x:row r="126" ht="19" customHeight="1">
      <x:c r="A126" t="str">
        <x:v>ENT-00125</x:v>
      </x:c>
      <x:c r="B126" s="41" t="n">
        <x:v>46263</x:v>
      </x:c>
      <x:c r="C126" s="41" t="n">
        <x:v>46265</x:v>
      </x:c>
      <x:c r="D126" s="41" t="n">
        <x:v>46268</x:v>
      </x:c>
      <x:c r="E126" t="str">
        <x:v>Ponto Logístico, Lda.</x:v>
      </x:c>
      <x:c r="F126" t="str">
        <x:v>Talatona</x:v>
      </x:c>
      <x:c r="G126" t="str">
        <x:v>Jorge Mário</x:v>
      </x:c>
      <x:c r="H126" t="str">
        <x:v>VTR-08</x:v>
      </x:c>
      <x:c r="I126" t="str">
        <x:v>Toyota Hilux</x:v>
      </x:c>
      <x:c r="J126" t="n">
        <x:v>1000</x:v>
      </x:c>
      <x:c r="K126" t="n">
        <x:v>45</x:v>
      </x:c>
      <x:c r="L126" t="n">
        <x:v>45</x:v>
      </x:c>
      <x:c r="M126" t="n">
        <x:v>529.3</x:v>
      </x:c>
      <x:c r="N126" t="n">
        <x:v>23</x:v>
      </x:c>
      <x:c r="O126" s="45" t="n">
        <x:v>1045845</x:v>
      </x:c>
      <x:c r="P126" s="45" t="n">
        <x:v>24000</x:v>
      </x:c>
      <x:c r="Q126" t="str">
        <x:v>Entregue</x:v>
      </x:c>
      <x:c r="R126" t="str">
        <x:v>Avaria da viatura</x:v>
      </x:c>
      <x:c r="S126" t="str">
        <x:v>Nao</x:v>
      </x:c>
      <x:c r="T126" t="str">
        <x:v>Nao</x:v>
      </x:c>
    </x:row>
    <x:row r="127" ht="19" customHeight="1">
      <x:c r="A127" t="str">
        <x:v>ENT-00126</x:v>
      </x:c>
      <x:c r="B127" s="41" t="n">
        <x:v>46225</x:v>
      </x:c>
      <x:c r="C127" s="41" t="n">
        <x:v>46228</x:v>
      </x:c>
      <x:c r="D127" s="41" t="n">
        <x:v>46228</x:v>
      </x:c>
      <x:c r="E127" t="str">
        <x:v>Savana Retail, Lda.</x:v>
      </x:c>
      <x:c r="F127" t="str">
        <x:v>Zango</x:v>
      </x:c>
      <x:c r="G127" t="str">
        <x:v>Kito Alberto</x:v>
      </x:c>
      <x:c r="H127" t="str">
        <x:v>VTR-10</x:v>
      </x:c>
      <x:c r="I127" t="str">
        <x:v>Foton Aumark</x:v>
      </x:c>
      <x:c r="J127" t="n">
        <x:v>4000</x:v>
      </x:c>
      <x:c r="K127" t="n">
        <x:v>64</x:v>
      </x:c>
      <x:c r="L127" t="n">
        <x:v>64</x:v>
      </x:c>
      <x:c r="M127" t="n">
        <x:v>1825.7</x:v>
      </x:c>
      <x:c r="N127" t="n">
        <x:v>47</x:v>
      </x:c>
      <x:c r="O127" s="45" t="n">
        <x:v>1484928</x:v>
      </x:c>
      <x:c r="P127" s="45" t="n">
        <x:v>57500</x:v>
      </x:c>
      <x:c r="Q127" t="str">
        <x:v>Entregue</x:v>
      </x:c>
      <x:c r="R127" t="str"/>
      <x:c r="S127" t="str">
        <x:v>Nao</x:v>
      </x:c>
      <x:c r="T127" t="str">
        <x:v>Nao</x:v>
      </x:c>
    </x:row>
    <x:row r="128" ht="19" customHeight="1">
      <x:c r="A128" t="str">
        <x:v>ENT-00127</x:v>
      </x:c>
      <x:c r="B128" s="41" t="n">
        <x:v>46228</x:v>
      </x:c>
      <x:c r="C128" s="41" t="n">
        <x:v>46231</x:v>
      </x:c>
      <x:c r="D128" s="41" t="n">
        <x:v>46231</x:v>
      </x:c>
      <x:c r="E128" t="str">
        <x:v>Maxi Centro, Lda.</x:v>
      </x:c>
      <x:c r="F128" t="str">
        <x:v>Kikuxi</x:v>
      </x:c>
      <x:c r="G128" t="str">
        <x:v>Dário Joaquim</x:v>
      </x:c>
      <x:c r="H128" t="str">
        <x:v>VTR-05</x:v>
      </x:c>
      <x:c r="I128" t="str">
        <x:v>Hyundai HD65</x:v>
      </x:c>
      <x:c r="J128" t="n">
        <x:v>3500</x:v>
      </x:c>
      <x:c r="K128" t="n">
        <x:v>70</x:v>
      </x:c>
      <x:c r="L128" t="n">
        <x:v>70</x:v>
      </x:c>
      <x:c r="M128" t="n">
        <x:v>2409.8</x:v>
      </x:c>
      <x:c r="N128" t="n">
        <x:v>41</x:v>
      </x:c>
      <x:c r="O128" s="45" t="n">
        <x:v>267540</x:v>
      </x:c>
      <x:c r="P128" s="45" t="n">
        <x:v>65000</x:v>
      </x:c>
      <x:c r="Q128" t="str">
        <x:v>Entregue</x:v>
      </x:c>
      <x:c r="R128" t="str"/>
      <x:c r="S128" t="str">
        <x:v>Nao</x:v>
      </x:c>
      <x:c r="T128" t="str">
        <x:v>Nao</x:v>
      </x:c>
    </x:row>
    <x:row r="129" ht="19" customHeight="1">
      <x:c r="A129" t="str">
        <x:v>ENT-00128</x:v>
      </x:c>
      <x:c r="B129" s="41" t="n">
        <x:v>46250</x:v>
      </x:c>
      <x:c r="C129" s="41" t="n">
        <x:v>46252</x:v>
      </x:c>
      <x:c r="D129" s="41" t="n">
        <x:v>46252</x:v>
      </x:c>
      <x:c r="E129" t="str">
        <x:v>Maxi Centro, Lda.</x:v>
      </x:c>
      <x:c r="F129" t="str">
        <x:v>Kikuxi</x:v>
      </x:c>
      <x:c r="G129" t="str">
        <x:v>Hélder Miguel</x:v>
      </x:c>
      <x:c r="H129" t="str">
        <x:v>VTR-04</x:v>
      </x:c>
      <x:c r="I129" t="str">
        <x:v>Toyota Dyna</x:v>
      </x:c>
      <x:c r="J129" t="n">
        <x:v>3000</x:v>
      </x:c>
      <x:c r="K129" t="n">
        <x:v>61</x:v>
      </x:c>
      <x:c r="L129" t="n">
        <x:v>61</x:v>
      </x:c>
      <x:c r="M129" t="n">
        <x:v>1574.1</x:v>
      </x:c>
      <x:c r="N129" t="n">
        <x:v>33</x:v>
      </x:c>
      <x:c r="O129" s="45" t="n">
        <x:v>1306437</x:v>
      </x:c>
      <x:c r="P129" s="45" t="n">
        <x:v>48500</x:v>
      </x:c>
      <x:c r="Q129" t="str">
        <x:v>Entregue</x:v>
      </x:c>
      <x:c r="R129" t="str"/>
      <x:c r="S129" t="str">
        <x:v>Nao</x:v>
      </x:c>
      <x:c r="T129" t="str">
        <x:v>Nao</x:v>
      </x:c>
    </x:row>
    <x:row r="130" ht="19" customHeight="1">
      <x:c r="A130" t="str">
        <x:v>ENT-00129</x:v>
      </x:c>
      <x:c r="B130" s="41" t="n">
        <x:v>46215</x:v>
      </x:c>
      <x:c r="C130" s="41" t="n">
        <x:v>46217</x:v>
      </x:c>
      <x:c r="D130" s="41" t="n">
        <x:v>46217</x:v>
      </x:c>
      <x:c r="E130" t="str">
        <x:v>N'gola Market, Lda.</x:v>
      </x:c>
      <x:c r="F130" t="str">
        <x:v>Talatona</x:v>
      </x:c>
      <x:c r="G130" t="str">
        <x:v>Dário Joaquim</x:v>
      </x:c>
      <x:c r="H130" t="str">
        <x:v>VTR-02</x:v>
      </x:c>
      <x:c r="I130" t="str">
        <x:v>Kia K2700</x:v>
      </x:c>
      <x:c r="J130" t="n">
        <x:v>1500</x:v>
      </x:c>
      <x:c r="K130" t="n">
        <x:v>6</x:v>
      </x:c>
      <x:c r="L130" t="n">
        <x:v>6</x:v>
      </x:c>
      <x:c r="M130" t="n">
        <x:v>189.1</x:v>
      </x:c>
      <x:c r="N130" t="n">
        <x:v>36</x:v>
      </x:c>
      <x:c r="O130" s="45" t="n">
        <x:v>82578</x:v>
      </x:c>
      <x:c r="P130" s="45" t="n">
        <x:v>27000</x:v>
      </x:c>
      <x:c r="Q130" t="str">
        <x:v>Entregue</x:v>
      </x:c>
      <x:c r="R130" t="str"/>
      <x:c r="S130" t="str">
        <x:v>Nao</x:v>
      </x:c>
      <x:c r="T130" t="str">
        <x:v>Nao</x:v>
      </x:c>
    </x:row>
    <x:row r="131" ht="19" customHeight="1">
      <x:c r="A131" t="str">
        <x:v>ENT-00130</x:v>
      </x:c>
      <x:c r="B131" s="41" t="n">
        <x:v>46225</x:v>
      </x:c>
      <x:c r="C131" s="41" t="n">
        <x:v>46227</x:v>
      </x:c>
      <x:c r="D131" s="41" t="n">
        <x:v>46229</x:v>
      </x:c>
      <x:c r="E131" t="str">
        <x:v>Kwanza Distribuição, Lda.</x:v>
      </x:c>
      <x:c r="F131" t="str">
        <x:v>Morro Bento</x:v>
      </x:c>
      <x:c r="G131" t="str">
        <x:v>Kito Alberto</x:v>
      </x:c>
      <x:c r="H131" t="str">
        <x:v>VTR-04</x:v>
      </x:c>
      <x:c r="I131" t="str">
        <x:v>Toyota Dyna</x:v>
      </x:c>
      <x:c r="J131" t="n">
        <x:v>3000</x:v>
      </x:c>
      <x:c r="K131" t="n">
        <x:v>10</x:v>
      </x:c>
      <x:c r="L131" t="n">
        <x:v>10</x:v>
      </x:c>
      <x:c r="M131" t="n">
        <x:v>208.2</x:v>
      </x:c>
      <x:c r="N131" t="n">
        <x:v>25</x:v>
      </x:c>
      <x:c r="O131" s="45" t="n">
        <x:v>40330</x:v>
      </x:c>
      <x:c r="P131" s="45" t="n">
        <x:v>20000</x:v>
      </x:c>
      <x:c r="Q131" t="str">
        <x:v>Entregue</x:v>
      </x:c>
      <x:c r="R131" t="str">
        <x:v>Avaria da viatura</x:v>
      </x:c>
      <x:c r="S131" t="str">
        <x:v>Nao</x:v>
      </x:c>
      <x:c r="T131" t="str">
        <x:v>Nao</x:v>
      </x:c>
    </x:row>
    <x:row r="132" ht="19" customHeight="1">
      <x:c r="A132" t="str">
        <x:v>ENT-00131</x:v>
      </x:c>
      <x:c r="B132" s="41" t="n">
        <x:v>46255</x:v>
      </x:c>
      <x:c r="C132" s="41" t="n">
        <x:v>46256</x:v>
      </x:c>
      <x:c r="D132" s="41" t="n">
        <x:v>46257</x:v>
      </x:c>
      <x:c r="E132" t="str">
        <x:v>Cesta Certa, Lda.</x:v>
      </x:c>
      <x:c r="F132" t="str">
        <x:v>Ingombota</x:v>
      </x:c>
      <x:c r="G132" t="str">
        <x:v>Isaías Pedro</x:v>
      </x:c>
      <x:c r="H132" t="str">
        <x:v>VTR-08</x:v>
      </x:c>
      <x:c r="I132" t="str">
        <x:v>Toyota Hilux</x:v>
      </x:c>
      <x:c r="J132" t="n">
        <x:v>1000</x:v>
      </x:c>
      <x:c r="K132" t="n">
        <x:v>83</x:v>
      </x:c>
      <x:c r="L132" t="n">
        <x:v>83</x:v>
      </x:c>
      <x:c r="M132" t="n">
        <x:v>688.7</x:v>
      </x:c>
      <x:c r="N132" t="n">
        <x:v>11</x:v>
      </x:c>
      <x:c r="O132" s="45" t="n">
        <x:v>1888416</x:v>
      </x:c>
      <x:c r="P132" s="45" t="n">
        <x:v>22500</x:v>
      </x:c>
      <x:c r="Q132" t="str">
        <x:v>Entregue</x:v>
      </x:c>
      <x:c r="R132" t="str">
        <x:v>Atraso no carregamento</x:v>
      </x:c>
      <x:c r="S132" t="str">
        <x:v>Nao</x:v>
      </x:c>
      <x:c r="T132" t="str">
        <x:v>Nao</x:v>
      </x:c>
    </x:row>
    <x:row r="133" ht="19" customHeight="1">
      <x:c r="A133" t="str">
        <x:v>ENT-00132</x:v>
      </x:c>
      <x:c r="B133" s="41" t="n">
        <x:v>46244</x:v>
      </x:c>
      <x:c r="C133" s="41" t="n">
        <x:v>46246</x:v>
      </x:c>
      <x:c r="D133" s="41" t="n">
        <x:v>46246</x:v>
      </x:c>
      <x:c r="E133" t="str">
        <x:v>N'gola Market, Lda.</x:v>
      </x:c>
      <x:c r="F133" t="str">
        <x:v>Patriota</x:v>
      </x:c>
      <x:c r="G133" t="str">
        <x:v>Kito Alberto</x:v>
      </x:c>
      <x:c r="H133" t="str">
        <x:v>VTR-12</x:v>
      </x:c>
      <x:c r="I133" t="str">
        <x:v>Hyundai H100</x:v>
      </x:c>
      <x:c r="J133" t="n">
        <x:v>1300</x:v>
      </x:c>
      <x:c r="K133" t="n">
        <x:v>33</x:v>
      </x:c>
      <x:c r="L133" t="n">
        <x:v>33</x:v>
      </x:c>
      <x:c r="M133" t="n">
        <x:v>644.9</x:v>
      </x:c>
      <x:c r="N133" t="n">
        <x:v>37</x:v>
      </x:c>
      <x:c r="O133" s="45" t="n">
        <x:v>166716</x:v>
      </x:c>
      <x:c r="P133" s="45" t="n">
        <x:v>34000</x:v>
      </x:c>
      <x:c r="Q133" t="str">
        <x:v>Entregue</x:v>
      </x:c>
      <x:c r="R133" t="str"/>
      <x:c r="S133" t="str">
        <x:v>Nao</x:v>
      </x:c>
      <x:c r="T133" t="str">
        <x:v>Nao</x:v>
      </x:c>
    </x:row>
    <x:row r="134" ht="19" customHeight="1">
      <x:c r="A134" t="str">
        <x:v>ENT-00133</x:v>
      </x:c>
      <x:c r="B134" s="41" t="n">
        <x:v>46230</x:v>
      </x:c>
      <x:c r="C134" s="41" t="n">
        <x:v>46232</x:v>
      </x:c>
      <x:c r="D134" s="41" t="n">
        <x:v>46232</x:v>
      </x:c>
      <x:c r="E134" t="str">
        <x:v>Mercado Sul, Lda.</x:v>
      </x:c>
      <x:c r="F134" t="str">
        <x:v>Kilamba</x:v>
      </x:c>
      <x:c r="G134" t="str">
        <x:v>Gilberto José</x:v>
      </x:c>
      <x:c r="H134" t="str">
        <x:v>VTR-05</x:v>
      </x:c>
      <x:c r="I134" t="str">
        <x:v>Hyundai HD65</x:v>
      </x:c>
      <x:c r="J134" t="n">
        <x:v>3500</x:v>
      </x:c>
      <x:c r="K134" t="n">
        <x:v>79</x:v>
      </x:c>
      <x:c r="L134" t="n">
        <x:v>79</x:v>
      </x:c>
      <x:c r="M134" t="n">
        <x:v>1124.2</x:v>
      </x:c>
      <x:c r="N134" t="n">
        <x:v>39</x:v>
      </x:c>
      <x:c r="O134" s="45" t="n">
        <x:v>1178996</x:v>
      </x:c>
      <x:c r="P134" s="45" t="n">
        <x:v>39000</x:v>
      </x:c>
      <x:c r="Q134" t="str">
        <x:v>Entregue</x:v>
      </x:c>
      <x:c r="R134" t="str"/>
      <x:c r="S134" t="str">
        <x:v>Nao</x:v>
      </x:c>
      <x:c r="T134" t="str">
        <x:v>Nao</x:v>
      </x:c>
    </x:row>
    <x:row r="135" ht="19" customHeight="1">
      <x:c r="A135" t="str">
        <x:v>ENT-00134</x:v>
      </x:c>
      <x:c r="B135" s="41" t="n">
        <x:v>46264</x:v>
      </x:c>
      <x:c r="C135" s="41" t="n">
        <x:v>46266</x:v>
      </x:c>
      <x:c r="D135" s="41" t="n">
        <x:v>46266</x:v>
      </x:c>
      <x:c r="E135" t="str">
        <x:v>Kwanza Distribuição, Lda.</x:v>
      </x:c>
      <x:c r="F135" t="str">
        <x:v>Maianga</x:v>
      </x:c>
      <x:c r="G135" t="str">
        <x:v>Dário Joaquim</x:v>
      </x:c>
      <x:c r="H135" t="str">
        <x:v>VTR-11</x:v>
      </x:c>
      <x:c r="I135" t="str">
        <x:v>JAC N56</x:v>
      </x:c>
      <x:c r="J135" t="n">
        <x:v>3500</x:v>
      </x:c>
      <x:c r="K135" t="n">
        <x:v>36</x:v>
      </x:c>
      <x:c r="L135" t="n">
        <x:v>36</x:v>
      </x:c>
      <x:c r="M135" t="n">
        <x:v>575.4</x:v>
      </x:c>
      <x:c r="N135" t="n">
        <x:v>22</x:v>
      </x:c>
      <x:c r="O135" s="45" t="n">
        <x:v>850932</x:v>
      </x:c>
      <x:c r="P135" s="45" t="n">
        <x:v>25000</x:v>
      </x:c>
      <x:c r="Q135" t="str">
        <x:v>Entregue</x:v>
      </x:c>
      <x:c r="R135" t="str"/>
      <x:c r="S135" t="str">
        <x:v>Nao</x:v>
      </x:c>
      <x:c r="T135" t="str">
        <x:v>Nao</x:v>
      </x:c>
    </x:row>
    <x:row r="136" ht="19" customHeight="1">
      <x:c r="A136" t="str">
        <x:v>ENT-00135</x:v>
      </x:c>
      <x:c r="B136" s="41" t="n">
        <x:v>46236</x:v>
      </x:c>
      <x:c r="C136" s="41" t="n">
        <x:v>46238</x:v>
      </x:c>
      <x:c r="D136" s="41" t="n">
        <x:v>46239</x:v>
      </x:c>
      <x:c r="E136" t="str">
        <x:v>Atlântico Farma, Lda.</x:v>
      </x:c>
      <x:c r="F136" t="str">
        <x:v>Kikuxi</x:v>
      </x:c>
      <x:c r="G136" t="str">
        <x:v>Carlos Mateus</x:v>
      </x:c>
      <x:c r="H136" t="str">
        <x:v>VTR-11</x:v>
      </x:c>
      <x:c r="I136" t="str">
        <x:v>JAC N56</x:v>
      </x:c>
      <x:c r="J136" t="n">
        <x:v>3500</x:v>
      </x:c>
      <x:c r="K136" t="n">
        <x:v>36</x:v>
      </x:c>
      <x:c r="L136" t="n">
        <x:v>36</x:v>
      </x:c>
      <x:c r="M136" t="n">
        <x:v>319.4</x:v>
      </x:c>
      <x:c r="N136" t="n">
        <x:v>32</x:v>
      </x:c>
      <x:c r="O136" s="45" t="n">
        <x:v>126288</x:v>
      </x:c>
      <x:c r="P136" s="45" t="n">
        <x:v>28000</x:v>
      </x:c>
      <x:c r="Q136" t="str">
        <x:v>Entregue</x:v>
      </x:c>
      <x:c r="R136" t="str">
        <x:v>Atraso no carregamento</x:v>
      </x:c>
      <x:c r="S136" t="str">
        <x:v>Sim</x:v>
      </x:c>
      <x:c r="T136" t="str">
        <x:v>Nao</x:v>
      </x:c>
    </x:row>
    <x:row r="137" ht="19" customHeight="1">
      <x:c r="A137" t="str">
        <x:v>ENT-00136</x:v>
      </x:c>
      <x:c r="B137" s="41" t="n">
        <x:v>46212</x:v>
      </x:c>
      <x:c r="C137" s="41" t="n">
        <x:v>46214</x:v>
      </x:c>
      <x:c r="D137" s="41" t="n">
        <x:v>46214</x:v>
      </x:c>
      <x:c r="E137" t="str">
        <x:v>Rota Azul, Lda.</x:v>
      </x:c>
      <x:c r="F137" t="str">
        <x:v>Talatona</x:v>
      </x:c>
      <x:c r="G137" t="str">
        <x:v>Hélder Miguel</x:v>
      </x:c>
      <x:c r="H137" t="str">
        <x:v>VTR-03</x:v>
      </x:c>
      <x:c r="I137" t="str">
        <x:v>Toyota Dyna</x:v>
      </x:c>
      <x:c r="J137" t="n">
        <x:v>3000</x:v>
      </x:c>
      <x:c r="K137" t="n">
        <x:v>12</x:v>
      </x:c>
      <x:c r="L137" t="n">
        <x:v>12</x:v>
      </x:c>
      <x:c r="M137" t="n">
        <x:v>252.2</x:v>
      </x:c>
      <x:c r="N137" t="n">
        <x:v>26</x:v>
      </x:c>
      <x:c r="O137" s="45" t="n">
        <x:v>94788</x:v>
      </x:c>
      <x:c r="P137" s="45" t="n">
        <x:v>20000</x:v>
      </x:c>
      <x:c r="Q137" t="str">
        <x:v>Entregue</x:v>
      </x:c>
      <x:c r="R137" t="str"/>
      <x:c r="S137" t="str">
        <x:v>Nao</x:v>
      </x:c>
      <x:c r="T137" t="str">
        <x:v>Nao</x:v>
      </x:c>
    </x:row>
    <x:row r="138" ht="19" customHeight="1">
      <x:c r="A138" t="str">
        <x:v>ENT-00137</x:v>
      </x:c>
      <x:c r="B138" s="41" t="n">
        <x:v>46264</x:v>
      </x:c>
      <x:c r="C138" s="41" t="n">
        <x:v>46266</x:v>
      </x:c>
      <x:c r="D138" s="41" t="n">
        <x:v>46266</x:v>
      </x:c>
      <x:c r="E138" t="str">
        <x:v>Casa Horizonte, Lda.</x:v>
      </x:c>
      <x:c r="F138" t="str">
        <x:v>Viana</x:v>
      </x:c>
      <x:c r="G138" t="str">
        <x:v>Isaías Pedro</x:v>
      </x:c>
      <x:c r="H138" t="str">
        <x:v>VTR-04</x:v>
      </x:c>
      <x:c r="I138" t="str">
        <x:v>Toyota Dyna</x:v>
      </x:c>
      <x:c r="J138" t="n">
        <x:v>3000</x:v>
      </x:c>
      <x:c r="K138" t="n">
        <x:v>20</x:v>
      </x:c>
      <x:c r="L138" t="n">
        <x:v>20</x:v>
      </x:c>
      <x:c r="M138" t="n">
        <x:v>287.9</x:v>
      </x:c>
      <x:c r="N138" t="n">
        <x:v>38</x:v>
      </x:c>
      <x:c r="O138" s="45" t="n">
        <x:v>356820</x:v>
      </x:c>
      <x:c r="P138" s="45" t="n">
        <x:v>27500</x:v>
      </x:c>
      <x:c r="Q138" t="str">
        <x:v>Entregue</x:v>
      </x:c>
      <x:c r="R138" t="str"/>
      <x:c r="S138" t="str">
        <x:v>Nao</x:v>
      </x:c>
      <x:c r="T138" t="str">
        <x:v>Nao</x:v>
      </x:c>
    </x:row>
    <x:row r="139" ht="19" customHeight="1">
      <x:c r="A139" t="str">
        <x:v>ENT-00138</x:v>
      </x:c>
      <x:c r="B139" s="41" t="n">
        <x:v>46250</x:v>
      </x:c>
      <x:c r="C139" s="41" t="n">
        <x:v>46252</x:v>
      </x:c>
      <x:c r="D139" s="41" t="n">
        <x:v>46254</x:v>
      </x:c>
      <x:c r="E139" t="str">
        <x:v>Luanda Office Supply, Lda.</x:v>
      </x:c>
      <x:c r="F139" t="str">
        <x:v>Viana</x:v>
      </x:c>
      <x:c r="G139" t="str">
        <x:v>Bernardo Paulo</x:v>
      </x:c>
      <x:c r="H139" t="str">
        <x:v>VTR-06</x:v>
      </x:c>
      <x:c r="I139" t="str">
        <x:v>Isuzu NPR</x:v>
      </x:c>
      <x:c r="J139" t="n">
        <x:v>5000</x:v>
      </x:c>
      <x:c r="K139" t="n">
        <x:v>40</x:v>
      </x:c>
      <x:c r="L139" t="n">
        <x:v>0</x:v>
      </x:c>
      <x:c r="M139" t="n">
        <x:v>445.9</x:v>
      </x:c>
      <x:c r="N139" t="n">
        <x:v>29</x:v>
      </x:c>
      <x:c r="O139" s="45" t="n">
        <x:v>665000</x:v>
      </x:c>
      <x:c r="P139" s="45" t="n">
        <x:v>28500</x:v>
      </x:c>
      <x:c r="Q139" t="str">
        <x:v>Falhada</x:v>
      </x:c>
      <x:c r="R139" t="str">
        <x:v>Endereco incompleto</x:v>
      </x:c>
      <x:c r="S139" t="str">
        <x:v>Nao</x:v>
      </x:c>
      <x:c r="T139" t="str">
        <x:v>Nao</x:v>
      </x:c>
    </x:row>
    <x:row r="140" ht="19" customHeight="1">
      <x:c r="A140" t="str">
        <x:v>ENT-00139</x:v>
      </x:c>
      <x:c r="B140" s="41" t="n">
        <x:v>46210</x:v>
      </x:c>
      <x:c r="C140" s="41" t="n">
        <x:v>46211</x:v>
      </x:c>
      <x:c r="D140" s="41" t="n">
        <x:v>46210</x:v>
      </x:c>
      <x:c r="E140" t="str">
        <x:v>Casa Horizonte, Lda.</x:v>
      </x:c>
      <x:c r="F140" t="str">
        <x:v>Morro Bento</x:v>
      </x:c>
      <x:c r="G140" t="str">
        <x:v>Adriano Manuel</x:v>
      </x:c>
      <x:c r="H140" t="str">
        <x:v>VTR-02</x:v>
      </x:c>
      <x:c r="I140" t="str">
        <x:v>Kia K2700</x:v>
      </x:c>
      <x:c r="J140" t="n">
        <x:v>1500</x:v>
      </x:c>
      <x:c r="K140" t="n">
        <x:v>28</x:v>
      </x:c>
      <x:c r="L140" t="n">
        <x:v>28</x:v>
      </x:c>
      <x:c r="M140" t="n">
        <x:v>272.2</x:v>
      </x:c>
      <x:c r="N140" t="n">
        <x:v>17</x:v>
      </x:c>
      <x:c r="O140" s="45" t="n">
        <x:v>278460</x:v>
      </x:c>
      <x:c r="P140" s="45" t="n">
        <x:v>20000</x:v>
      </x:c>
      <x:c r="Q140" t="str">
        <x:v>Entregue</x:v>
      </x:c>
      <x:c r="R140" t="str"/>
      <x:c r="S140" t="str">
        <x:v>Nao</x:v>
      </x:c>
      <x:c r="T140" t="str">
        <x:v>Nao</x:v>
      </x:c>
    </x:row>
    <x:row r="141" ht="19" customHeight="1">
      <x:c r="A141" t="str">
        <x:v>ENT-00140</x:v>
      </x:c>
      <x:c r="B141" s="41" t="n">
        <x:v>46245</x:v>
      </x:c>
      <x:c r="C141" s="41" t="n">
        <x:v>46247</x:v>
      </x:c>
      <x:c r="D141" s="41" t="n">
        <x:v>46249</x:v>
      </x:c>
      <x:c r="E141" t="str">
        <x:v>Kwanza Distribuição, Lda.</x:v>
      </x:c>
      <x:c r="F141" t="str">
        <x:v>Maianga</x:v>
      </x:c>
      <x:c r="G141" t="str">
        <x:v>Gilberto José</x:v>
      </x:c>
      <x:c r="H141" t="str">
        <x:v>VTR-02</x:v>
      </x:c>
      <x:c r="I141" t="str">
        <x:v>Kia K2700</x:v>
      </x:c>
      <x:c r="J141" t="n">
        <x:v>1500</x:v>
      </x:c>
      <x:c r="K141" t="n">
        <x:v>66</x:v>
      </x:c>
      <x:c r="L141" t="n">
        <x:v>0</x:v>
      </x:c>
      <x:c r="M141" t="n">
        <x:v>757.2</x:v>
      </x:c>
      <x:c r="N141" t="n">
        <x:v>21</x:v>
      </x:c>
      <x:c r="O141" s="45" t="n">
        <x:v>640530</x:v>
      </x:c>
      <x:c r="P141" s="45" t="n">
        <x:v>27000</x:v>
      </x:c>
      <x:c r="Q141" t="str">
        <x:v>Falhada</x:v>
      </x:c>
      <x:c r="R141" t="str">
        <x:v>Avaria da viatura</x:v>
      </x:c>
      <x:c r="S141" t="str">
        <x:v>Nao</x:v>
      </x:c>
      <x:c r="T141" t="str">
        <x:v>Nao</x:v>
      </x:c>
    </x:row>
    <x:row r="142" ht="19" customHeight="1">
      <x:c r="A142" t="str">
        <x:v>ENT-00141</x:v>
      </x:c>
      <x:c r="B142" s="41" t="n">
        <x:v>46238</x:v>
      </x:c>
      <x:c r="C142" s="41" t="n">
        <x:v>46240</x:v>
      </x:c>
      <x:c r="D142" s="41" t="n">
        <x:v>46240</x:v>
      </x:c>
      <x:c r="E142" t="str">
        <x:v>Bem-Estar Higiene, Lda.</x:v>
      </x:c>
      <x:c r="F142" t="str">
        <x:v>Viana</x:v>
      </x:c>
      <x:c r="G142" t="str">
        <x:v>Hélder Miguel</x:v>
      </x:c>
      <x:c r="H142" t="str">
        <x:v>VTR-12</x:v>
      </x:c>
      <x:c r="I142" t="str">
        <x:v>Hyundai H100</x:v>
      </x:c>
      <x:c r="J142" t="n">
        <x:v>1300</x:v>
      </x:c>
      <x:c r="K142" t="n">
        <x:v>25</x:v>
      </x:c>
      <x:c r="L142" t="n">
        <x:v>25</x:v>
      </x:c>
      <x:c r="M142" t="n">
        <x:v>727</x:v>
      </x:c>
      <x:c r="N142" t="n">
        <x:v>35</x:v>
      </x:c>
      <x:c r="O142" s="45" t="n">
        <x:v>433025</x:v>
      </x:c>
      <x:c r="P142" s="45" t="n">
        <x:v>32000</x:v>
      </x:c>
      <x:c r="Q142" t="str">
        <x:v>Entregue</x:v>
      </x:c>
      <x:c r="R142" t="str"/>
      <x:c r="S142" t="str">
        <x:v>Nao</x:v>
      </x:c>
      <x:c r="T142" t="str">
        <x:v>Nao</x:v>
      </x:c>
    </x:row>
    <x:row r="143" ht="19" customHeight="1">
      <x:c r="A143" t="str">
        <x:v>ENT-00142</x:v>
      </x:c>
      <x:c r="B143" s="41" t="n">
        <x:v>46240</x:v>
      </x:c>
      <x:c r="C143" s="41" t="n">
        <x:v>46242</x:v>
      </x:c>
      <x:c r="D143" s="41" t="n">
        <x:v>46245</x:v>
      </x:c>
      <x:c r="E143" t="str">
        <x:v>Prime Stock, Lda.</x:v>
      </x:c>
      <x:c r="F143" t="str">
        <x:v>Talatona</x:v>
      </x:c>
      <x:c r="G143" t="str">
        <x:v>Lucas Tomás</x:v>
      </x:c>
      <x:c r="H143" t="str">
        <x:v>VTR-01</x:v>
      </x:c>
      <x:c r="I143" t="str">
        <x:v>Kia K2700</x:v>
      </x:c>
      <x:c r="J143" t="n">
        <x:v>1500</x:v>
      </x:c>
      <x:c r="K143" t="n">
        <x:v>44</x:v>
      </x:c>
      <x:c r="L143" t="n">
        <x:v>44</x:v>
      </x:c>
      <x:c r="M143" t="n">
        <x:v>1039.6</x:v>
      </x:c>
      <x:c r="N143" t="n">
        <x:v>33</x:v>
      </x:c>
      <x:c r="O143" s="45" t="n">
        <x:v>794816</x:v>
      </x:c>
      <x:c r="P143" s="45" t="n">
        <x:v>40500</x:v>
      </x:c>
      <x:c r="Q143" t="str">
        <x:v>Entregue</x:v>
      </x:c>
      <x:c r="R143" t="str">
        <x:v>Cliente indisponivel</x:v>
      </x:c>
      <x:c r="S143" t="str">
        <x:v>Nao</x:v>
      </x:c>
      <x:c r="T143" t="str">
        <x:v>Nao</x:v>
      </x:c>
    </x:row>
    <x:row r="144" ht="19" customHeight="1">
      <x:c r="A144" t="str">
        <x:v>ENT-00143</x:v>
      </x:c>
      <x:c r="B144" s="41" t="n">
        <x:v>46255</x:v>
      </x:c>
      <x:c r="C144" s="41" t="n">
        <x:v>46257</x:v>
      </x:c>
      <x:c r="D144" s="41" t="n">
        <x:v>46257</x:v>
      </x:c>
      <x:c r="E144" t="str">
        <x:v>Bem-Estar Higiene, Lda.</x:v>
      </x:c>
      <x:c r="F144" t="str">
        <x:v>Talatona</x:v>
      </x:c>
      <x:c r="G144" t="str">
        <x:v>Gilberto José</x:v>
      </x:c>
      <x:c r="H144" t="str">
        <x:v>VTR-11</x:v>
      </x:c>
      <x:c r="I144" t="str">
        <x:v>JAC N56</x:v>
      </x:c>
      <x:c r="J144" t="n">
        <x:v>3500</x:v>
      </x:c>
      <x:c r="K144" t="n">
        <x:v>43</x:v>
      </x:c>
      <x:c r="L144" t="n">
        <x:v>43</x:v>
      </x:c>
      <x:c r="M144" t="n">
        <x:v>1083</x:v>
      </x:c>
      <x:c r="N144" t="n">
        <x:v>33</x:v>
      </x:c>
      <x:c r="O144" s="45" t="n">
        <x:v>630896</x:v>
      </x:c>
      <x:c r="P144" s="45" t="n">
        <x:v>41500</x:v>
      </x:c>
      <x:c r="Q144" t="str">
        <x:v>Entregue</x:v>
      </x:c>
      <x:c r="R144" t="str"/>
      <x:c r="S144" t="str">
        <x:v>Nao</x:v>
      </x:c>
      <x:c r="T144" t="str">
        <x:v>Nao</x:v>
      </x:c>
    </x:row>
    <x:row r="145" ht="19" customHeight="1">
      <x:c r="A145" t="str">
        <x:v>ENT-00144</x:v>
      </x:c>
      <x:c r="B145" s="41" t="n">
        <x:v>46207</x:v>
      </x:c>
      <x:c r="C145" s="41" t="n">
        <x:v>46209</x:v>
      </x:c>
      <x:c r="D145" s="41" t="n">
        <x:v>46211</x:v>
      </x:c>
      <x:c r="E145" t="str">
        <x:v>Ponto Logístico, Lda.</x:v>
      </x:c>
      <x:c r="F145" t="str">
        <x:v>Morro Bento</x:v>
      </x:c>
      <x:c r="G145" t="str">
        <x:v>Gilberto José</x:v>
      </x:c>
      <x:c r="H145" t="str">
        <x:v>VTR-08</x:v>
      </x:c>
      <x:c r="I145" t="str">
        <x:v>Toyota Hilux</x:v>
      </x:c>
      <x:c r="J145" t="n">
        <x:v>1000</x:v>
      </x:c>
      <x:c r="K145" t="n">
        <x:v>67</x:v>
      </x:c>
      <x:c r="L145" t="n">
        <x:v>0</x:v>
      </x:c>
      <x:c r="M145" t="n">
        <x:v>847.3</x:v>
      </x:c>
      <x:c r="N145" t="n">
        <x:v>22</x:v>
      </x:c>
      <x:c r="O145" s="45" t="n">
        <x:v>475566</x:v>
      </x:c>
      <x:c r="P145" s="45" t="n">
        <x:v>27500</x:v>
      </x:c>
      <x:c r="Q145" t="str">
        <x:v>Falhada</x:v>
      </x:c>
      <x:c r="R145" t="str">
        <x:v>Endereco incompleto</x:v>
      </x:c>
      <x:c r="S145" t="str">
        <x:v>Nao</x:v>
      </x:c>
      <x:c r="T145" t="str">
        <x:v>Nao</x:v>
      </x:c>
    </x:row>
    <x:row r="146" ht="19" customHeight="1">
      <x:c r="A146" t="str">
        <x:v>ENT-00145</x:v>
      </x:c>
      <x:c r="B146" s="41" t="n">
        <x:v>46243</x:v>
      </x:c>
      <x:c r="C146" s="41" t="n">
        <x:v>46245</x:v>
      </x:c>
      <x:c r="D146" s="41" t="n">
        <x:v>46245</x:v>
      </x:c>
      <x:c r="E146" t="str">
        <x:v>Via Certa Serviços, Lda.</x:v>
      </x:c>
      <x:c r="F146" t="str">
        <x:v>Patriota</x:v>
      </x:c>
      <x:c r="G146" t="str">
        <x:v>Bernardo Paulo</x:v>
      </x:c>
      <x:c r="H146" t="str">
        <x:v>VTR-11</x:v>
      </x:c>
      <x:c r="I146" t="str">
        <x:v>JAC N56</x:v>
      </x:c>
      <x:c r="J146" t="n">
        <x:v>3500</x:v>
      </x:c>
      <x:c r="K146" t="n">
        <x:v>19</x:v>
      </x:c>
      <x:c r="L146" t="n">
        <x:v>18</x:v>
      </x:c>
      <x:c r="M146" t="n">
        <x:v>600.9</x:v>
      </x:c>
      <x:c r="N146" t="n">
        <x:v>35</x:v>
      </x:c>
      <x:c r="O146" s="45" t="n">
        <x:v>148409</x:v>
      </x:c>
      <x:c r="P146" s="45" t="n">
        <x:v>32000</x:v>
      </x:c>
      <x:c r="Q146" t="str">
        <x:v>Entregue</x:v>
      </x:c>
      <x:c r="R146" t="str"/>
      <x:c r="S146" t="str">
        <x:v>Nao</x:v>
      </x:c>
      <x:c r="T146" t="str">
        <x:v>Nao</x:v>
      </x:c>
    </x:row>
    <x:row r="147" ht="19" customHeight="1">
      <x:c r="A147" t="str">
        <x:v>ENT-00146</x:v>
      </x:c>
      <x:c r="B147" s="41" t="n">
        <x:v>46215</x:v>
      </x:c>
      <x:c r="C147" s="41" t="n">
        <x:v>46217</x:v>
      </x:c>
      <x:c r="D147" s="41" t="n">
        <x:v>46217</x:v>
      </x:c>
      <x:c r="E147" t="str">
        <x:v>Via Certa Serviços, Lda.</x:v>
      </x:c>
      <x:c r="F147" t="str">
        <x:v>Viana</x:v>
      </x:c>
      <x:c r="G147" t="str">
        <x:v>Adriano Manuel</x:v>
      </x:c>
      <x:c r="H147" t="str">
        <x:v>VTR-01</x:v>
      </x:c>
      <x:c r="I147" t="str">
        <x:v>Kia K2700</x:v>
      </x:c>
      <x:c r="J147" t="n">
        <x:v>1500</x:v>
      </x:c>
      <x:c r="K147" t="n">
        <x:v>32</x:v>
      </x:c>
      <x:c r="L147" t="n">
        <x:v>32</x:v>
      </x:c>
      <x:c r="M147" t="n">
        <x:v>307.4</x:v>
      </x:c>
      <x:c r="N147" t="n">
        <x:v>22</x:v>
      </x:c>
      <x:c r="O147" s="45" t="n">
        <x:v>675296</x:v>
      </x:c>
      <x:c r="P147" s="45" t="n">
        <x:v>21000</x:v>
      </x:c>
      <x:c r="Q147" t="str">
        <x:v>Entregue</x:v>
      </x:c>
      <x:c r="R147" t="str"/>
      <x:c r="S147" t="str">
        <x:v>Sim</x:v>
      </x:c>
      <x:c r="T147" t="str">
        <x:v>Nao</x:v>
      </x:c>
    </x:row>
    <x:row r="148" ht="19" customHeight="1">
      <x:c r="A148" t="str">
        <x:v>ENT-00147</x:v>
      </x:c>
      <x:c r="B148" s="41" t="n">
        <x:v>46262</x:v>
      </x:c>
      <x:c r="C148" s="41" t="n">
        <x:v>46265</x:v>
      </x:c>
      <x:c r="D148" s="41" t="n">
        <x:v>46265</x:v>
      </x:c>
      <x:c r="E148" t="str">
        <x:v>Kwanza Distribuição, Lda.</x:v>
      </x:c>
      <x:c r="F148" t="str">
        <x:v>Benfica</x:v>
      </x:c>
      <x:c r="G148" t="str">
        <x:v>Kito Alberto</x:v>
      </x:c>
      <x:c r="H148" t="str">
        <x:v>VTR-08</x:v>
      </x:c>
      <x:c r="I148" t="str">
        <x:v>Toyota Hilux</x:v>
      </x:c>
      <x:c r="J148" t="n">
        <x:v>1000</x:v>
      </x:c>
      <x:c r="K148" t="n">
        <x:v>47</x:v>
      </x:c>
      <x:c r="L148" t="n">
        <x:v>47</x:v>
      </x:c>
      <x:c r="M148" t="n">
        <x:v>590.6</x:v>
      </x:c>
      <x:c r="N148" t="n">
        <x:v>47</x:v>
      </x:c>
      <x:c r="O148" s="45" t="n">
        <x:v>1156952</x:v>
      </x:c>
      <x:c r="P148" s="45" t="n">
        <x:v>38000</x:v>
      </x:c>
      <x:c r="Q148" t="str">
        <x:v>Entregue</x:v>
      </x:c>
      <x:c r="R148" t="str"/>
      <x:c r="S148" t="str">
        <x:v>Sim</x:v>
      </x:c>
      <x:c r="T148" t="str">
        <x:v>Nao</x:v>
      </x:c>
    </x:row>
    <x:row r="149" ht="19" customHeight="1">
      <x:c r="A149" t="str">
        <x:v>ENT-00148</x:v>
      </x:c>
      <x:c r="B149" s="41" t="n">
        <x:v>46241</x:v>
      </x:c>
      <x:c r="C149" s="41" t="n">
        <x:v>46243</x:v>
      </x:c>
      <x:c r="D149" s="41" t="n">
        <x:v>46242</x:v>
      </x:c>
      <x:c r="E149" t="str">
        <x:v>Cesta Certa, Lda.</x:v>
      </x:c>
      <x:c r="F149" t="str">
        <x:v>Patriota</x:v>
      </x:c>
      <x:c r="G149" t="str">
        <x:v>Elísio António</x:v>
      </x:c>
      <x:c r="H149" t="str">
        <x:v>VTR-07</x:v>
      </x:c>
      <x:c r="I149" t="str">
        <x:v>Isuzu NPR</x:v>
      </x:c>
      <x:c r="J149" t="n">
        <x:v>5000</x:v>
      </x:c>
      <x:c r="K149" t="n">
        <x:v>46</x:v>
      </x:c>
      <x:c r="L149" t="n">
        <x:v>46</x:v>
      </x:c>
      <x:c r="M149" t="n">
        <x:v>773.1</x:v>
      </x:c>
      <x:c r="N149" t="n">
        <x:v>30</x:v>
      </x:c>
      <x:c r="O149" s="45" t="n">
        <x:v>1123550</x:v>
      </x:c>
      <x:c r="P149" s="45" t="n">
        <x:v>36500</x:v>
      </x:c>
      <x:c r="Q149" t="str">
        <x:v>Entregue</x:v>
      </x:c>
      <x:c r="R149" t="str"/>
      <x:c r="S149" t="str">
        <x:v>Nao</x:v>
      </x:c>
      <x:c r="T149" t="str">
        <x:v>Nao</x:v>
      </x:c>
    </x:row>
    <x:row r="150" ht="19" customHeight="1">
      <x:c r="A150" t="str">
        <x:v>ENT-00149</x:v>
      </x:c>
      <x:c r="B150" s="41" t="n">
        <x:v>46204</x:v>
      </x:c>
      <x:c r="C150" s="41" t="n">
        <x:v>46205</x:v>
      </x:c>
      <x:c r="D150" s="41" t="n">
        <x:v>46206</x:v>
      </x:c>
      <x:c r="E150" t="str">
        <x:v>Casa Horizonte, Lda.</x:v>
      </x:c>
      <x:c r="F150" t="str">
        <x:v>Ingombota</x:v>
      </x:c>
      <x:c r="G150" t="str">
        <x:v>Hélder Miguel</x:v>
      </x:c>
      <x:c r="H150" t="str">
        <x:v>VTR-01</x:v>
      </x:c>
      <x:c r="I150" t="str">
        <x:v>Kia K2700</x:v>
      </x:c>
      <x:c r="J150" t="n">
        <x:v>1500</x:v>
      </x:c>
      <x:c r="K150" t="n">
        <x:v>24</x:v>
      </x:c>
      <x:c r="L150" t="n">
        <x:v>20</x:v>
      </x:c>
      <x:c r="M150" t="n">
        <x:v>230.4</x:v>
      </x:c>
      <x:c r="N150" t="n">
        <x:v>17</x:v>
      </x:c>
      <x:c r="O150" s="45" t="n">
        <x:v>217728</x:v>
      </x:c>
      <x:c r="P150" s="45" t="n">
        <x:v>19000</x:v>
      </x:c>
      <x:c r="Q150" t="str">
        <x:v>Entregue</x:v>
      </x:c>
      <x:c r="R150" t="str">
        <x:v>Cliente indisponivel</x:v>
      </x:c>
      <x:c r="S150" t="str">
        <x:v>Nao</x:v>
      </x:c>
      <x:c r="T150" t="str">
        <x:v>Nao</x:v>
      </x:c>
    </x:row>
    <x:row r="151" ht="19" customHeight="1">
      <x:c r="A151" t="str">
        <x:v>ENT-00150</x:v>
      </x:c>
      <x:c r="B151" s="41" t="n">
        <x:v>46238</x:v>
      </x:c>
      <x:c r="C151" s="41" t="n">
        <x:v>46239</x:v>
      </x:c>
      <x:c r="D151" s="41" t="n">
        <x:v>46239</x:v>
      </x:c>
      <x:c r="E151" t="str">
        <x:v>Mercado Sul, Lda.</x:v>
      </x:c>
      <x:c r="F151" t="str">
        <x:v>Ingombota</x:v>
      </x:c>
      <x:c r="G151" t="str">
        <x:v>Jorge Mário</x:v>
      </x:c>
      <x:c r="H151" t="str">
        <x:v>VTR-05</x:v>
      </x:c>
      <x:c r="I151" t="str">
        <x:v>Hyundai HD65</x:v>
      </x:c>
      <x:c r="J151" t="n">
        <x:v>3500</x:v>
      </x:c>
      <x:c r="K151" t="n">
        <x:v>56</x:v>
      </x:c>
      <x:c r="L151" t="n">
        <x:v>48</x:v>
      </x:c>
      <x:c r="M151" t="n">
        <x:v>1122.4</x:v>
      </x:c>
      <x:c r="N151" t="n">
        <x:v>10</x:v>
      </x:c>
      <x:c r="O151" s="45" t="n">
        <x:v>660912</x:v>
      </x:c>
      <x:c r="P151" s="45" t="n">
        <x:v>32000</x:v>
      </x:c>
      <x:c r="Q151" t="str">
        <x:v>Entregue</x:v>
      </x:c>
      <x:c r="R151" t="str"/>
      <x:c r="S151" t="str">
        <x:v>Nao</x:v>
      </x:c>
      <x:c r="T151" t="str">
        <x:v>Nao</x:v>
      </x:c>
    </x:row>
    <x:row r="152" ht="19" customHeight="1">
      <x:c r="A152" t="str">
        <x:v>ENT-00151</x:v>
      </x:c>
      <x:c r="B152" s="41" t="n">
        <x:v>46211</x:v>
      </x:c>
      <x:c r="C152" s="41" t="n">
        <x:v>46212</x:v>
      </x:c>
      <x:c r="D152" s="41" t="n">
        <x:v>46212</x:v>
      </x:c>
      <x:c r="E152" t="str">
        <x:v>Sol Nascente Comércio, Lda.</x:v>
      </x:c>
      <x:c r="F152" t="str">
        <x:v>Ingombota</x:v>
      </x:c>
      <x:c r="G152" t="str">
        <x:v>Dário Joaquim</x:v>
      </x:c>
      <x:c r="H152" t="str">
        <x:v>VTR-03</x:v>
      </x:c>
      <x:c r="I152" t="str">
        <x:v>Toyota Dyna</x:v>
      </x:c>
      <x:c r="J152" t="n">
        <x:v>3000</x:v>
      </x:c>
      <x:c r="K152" t="n">
        <x:v>7</x:v>
      </x:c>
      <x:c r="L152" t="n">
        <x:v>7</x:v>
      </x:c>
      <x:c r="M152" t="n">
        <x:v>105</x:v>
      </x:c>
      <x:c r="N152" t="n">
        <x:v>9</x:v>
      </x:c>
      <x:c r="O152" s="45" t="n">
        <x:v>65366</x:v>
      </x:c>
      <x:c r="P152" s="45" t="n">
        <x:v>12000</x:v>
      </x:c>
      <x:c r="Q152" t="str">
        <x:v>Entregue</x:v>
      </x:c>
      <x:c r="R152" t="str"/>
      <x:c r="S152" t="str">
        <x:v>Nao</x:v>
      </x:c>
      <x:c r="T152" t="str">
        <x:v>Nao</x:v>
      </x:c>
    </x:row>
    <x:row r="153" ht="19" customHeight="1">
      <x:c r="A153" t="str">
        <x:v>ENT-00152</x:v>
      </x:c>
      <x:c r="B153" s="41" t="n">
        <x:v>46259</x:v>
      </x:c>
      <x:c r="C153" s="41" t="n">
        <x:v>46261</x:v>
      </x:c>
      <x:c r="D153" s="41" t="n">
        <x:v>46261</x:v>
      </x:c>
      <x:c r="E153" t="str">
        <x:v>Kwanza Distribuição, Lda.</x:v>
      </x:c>
      <x:c r="F153" t="str">
        <x:v>Viana</x:v>
      </x:c>
      <x:c r="G153" t="str">
        <x:v>Bernardo Paulo</x:v>
      </x:c>
      <x:c r="H153" t="str">
        <x:v>VTR-12</x:v>
      </x:c>
      <x:c r="I153" t="str">
        <x:v>Hyundai H100</x:v>
      </x:c>
      <x:c r="J153" t="n">
        <x:v>1300</x:v>
      </x:c>
      <x:c r="K153" t="n">
        <x:v>5</x:v>
      </x:c>
      <x:c r="L153" t="n">
        <x:v>5</x:v>
      </x:c>
      <x:c r="M153" t="n">
        <x:v>44.7</x:v>
      </x:c>
      <x:c r="N153" t="n">
        <x:v>29</x:v>
      </x:c>
      <x:c r="O153" s="45" t="n">
        <x:v>121420</x:v>
      </x:c>
      <x:c r="P153" s="45" t="n">
        <x:v>19000</x:v>
      </x:c>
      <x:c r="Q153" t="str">
        <x:v>Entregue</x:v>
      </x:c>
      <x:c r="R153" t="str"/>
      <x:c r="S153" t="str">
        <x:v>Nao</x:v>
      </x:c>
      <x:c r="T153" t="str">
        <x:v>Nao</x:v>
      </x:c>
    </x:row>
    <x:row r="154" ht="19" customHeight="1">
      <x:c r="A154" t="str">
        <x:v>ENT-00153</x:v>
      </x:c>
      <x:c r="B154" s="41" t="n">
        <x:v>46228</x:v>
      </x:c>
      <x:c r="C154" s="41" t="n">
        <x:v>46230</x:v>
      </x:c>
      <x:c r="D154" s="41" t="n">
        <x:v>46230</x:v>
      </x:c>
      <x:c r="E154" t="str">
        <x:v>N'gola Market, Lda.</x:v>
      </x:c>
      <x:c r="F154" t="str">
        <x:v>Viana</x:v>
      </x:c>
      <x:c r="G154" t="str">
        <x:v>Gilberto José</x:v>
      </x:c>
      <x:c r="H154" t="str">
        <x:v>VTR-02</x:v>
      </x:c>
      <x:c r="I154" t="str">
        <x:v>Kia K2700</x:v>
      </x:c>
      <x:c r="J154" t="n">
        <x:v>1500</x:v>
      </x:c>
      <x:c r="K154" t="n">
        <x:v>10</x:v>
      </x:c>
      <x:c r="L154" t="n">
        <x:v>10</x:v>
      </x:c>
      <x:c r="M154" t="n">
        <x:v>336.2</x:v>
      </x:c>
      <x:c r="N154" t="n">
        <x:v>37</x:v>
      </x:c>
      <x:c r="O154" s="45" t="n">
        <x:v>139180</x:v>
      </x:c>
      <x:c r="P154" s="45" t="n">
        <x:v>26500</x:v>
      </x:c>
      <x:c r="Q154" t="str">
        <x:v>Entregue</x:v>
      </x:c>
      <x:c r="R154" t="str"/>
      <x:c r="S154" t="str">
        <x:v>Nao</x:v>
      </x:c>
      <x:c r="T154" t="str">
        <x:v>Nao</x:v>
      </x:c>
    </x:row>
    <x:row r="155" ht="19" customHeight="1">
      <x:c r="A155" t="str">
        <x:v>ENT-00154</x:v>
      </x:c>
      <x:c r="B155" s="41" t="n">
        <x:v>46217</x:v>
      </x:c>
      <x:c r="C155" s="41" t="n">
        <x:v>46218</x:v>
      </x:c>
      <x:c r="D155" s="41" t="n">
        <x:v>46218</x:v>
      </x:c>
      <x:c r="E155" t="str">
        <x:v>Kiala &amp; Filhos, Lda.</x:v>
      </x:c>
      <x:c r="F155" t="str">
        <x:v>Morro Bento</x:v>
      </x:c>
      <x:c r="G155" t="str">
        <x:v>Félix Domingos</x:v>
      </x:c>
      <x:c r="H155" t="str">
        <x:v>VTR-04</x:v>
      </x:c>
      <x:c r="I155" t="str">
        <x:v>Toyota Dyna</x:v>
      </x:c>
      <x:c r="J155" t="n">
        <x:v>3000</x:v>
      </x:c>
      <x:c r="K155" t="n">
        <x:v>29</x:v>
      </x:c>
      <x:c r="L155" t="n">
        <x:v>29</x:v>
      </x:c>
      <x:c r="M155" t="n">
        <x:v>758.8</x:v>
      </x:c>
      <x:c r="N155" t="n">
        <x:v>17</x:v>
      </x:c>
      <x:c r="O155" s="45" t="n">
        <x:v>586293</x:v>
      </x:c>
      <x:c r="P155" s="45" t="n">
        <x:v>24500</x:v>
      </x:c>
      <x:c r="Q155" t="str">
        <x:v>Entregue</x:v>
      </x:c>
      <x:c r="R155" t="str"/>
      <x:c r="S155" t="str">
        <x:v>Nao</x:v>
      </x:c>
      <x:c r="T155" t="str">
        <x:v>Nao</x:v>
      </x:c>
    </x:row>
    <x:row r="156" ht="19" customHeight="1">
      <x:c r="A156" t="str">
        <x:v>ENT-00155</x:v>
      </x:c>
      <x:c r="B156" s="41" t="n">
        <x:v>46211</x:v>
      </x:c>
      <x:c r="C156" s="41" t="n">
        <x:v>46212</x:v>
      </x:c>
      <x:c r="D156" s="41" t="n">
        <x:v>46212</x:v>
      </x:c>
      <x:c r="E156" t="str">
        <x:v>N'gola Market, Lda.</x:v>
      </x:c>
      <x:c r="F156" t="str">
        <x:v>Maianga</x:v>
      </x:c>
      <x:c r="G156" t="str">
        <x:v>Adriano Manuel</x:v>
      </x:c>
      <x:c r="H156" t="str">
        <x:v>VTR-11</x:v>
      </x:c>
      <x:c r="I156" t="str">
        <x:v>JAC N56</x:v>
      </x:c>
      <x:c r="J156" t="n">
        <x:v>3500</x:v>
      </x:c>
      <x:c r="K156" t="n">
        <x:v>20</x:v>
      </x:c>
      <x:c r="L156" t="n">
        <x:v>20</x:v>
      </x:c>
      <x:c r="M156" t="n">
        <x:v>604.8</x:v>
      </x:c>
      <x:c r="N156" t="n">
        <x:v>19</x:v>
      </x:c>
      <x:c r="O156" s="45" t="n">
        <x:v>295780</x:v>
      </x:c>
      <x:c r="P156" s="45" t="n">
        <x:v>26500</x:v>
      </x:c>
      <x:c r="Q156" t="str">
        <x:v>Entregue</x:v>
      </x:c>
      <x:c r="R156" t="str"/>
      <x:c r="S156" t="str">
        <x:v>Nao</x:v>
      </x:c>
      <x:c r="T156" t="str">
        <x:v>Nao</x:v>
      </x:c>
    </x:row>
    <x:row r="157" ht="19" customHeight="1">
      <x:c r="A157" t="str">
        <x:v>ENT-00156</x:v>
      </x:c>
      <x:c r="B157" s="41" t="n">
        <x:v>46237</x:v>
      </x:c>
      <x:c r="C157" s="41" t="n">
        <x:v>46239</x:v>
      </x:c>
      <x:c r="D157" s="41" t="n">
        <x:v>46239</x:v>
      </x:c>
      <x:c r="E157" t="str">
        <x:v>Via Certa Serviços, Lda.</x:v>
      </x:c>
      <x:c r="F157" t="str">
        <x:v>Kilamba</x:v>
      </x:c>
      <x:c r="G157" t="str">
        <x:v>Isaías Pedro</x:v>
      </x:c>
      <x:c r="H157" t="str">
        <x:v>VTR-04</x:v>
      </x:c>
      <x:c r="I157" t="str">
        <x:v>Toyota Dyna</x:v>
      </x:c>
      <x:c r="J157" t="n">
        <x:v>3000</x:v>
      </x:c>
      <x:c r="K157" t="n">
        <x:v>25</x:v>
      </x:c>
      <x:c r="L157" t="n">
        <x:v>25</x:v>
      </x:c>
      <x:c r="M157" t="n">
        <x:v>336.4</x:v>
      </x:c>
      <x:c r="N157" t="n">
        <x:v>38</x:v>
      </x:c>
      <x:c r="O157" s="45" t="n">
        <x:v>101625</x:v>
      </x:c>
      <x:c r="P157" s="45" t="n">
        <x:v>26500</x:v>
      </x:c>
      <x:c r="Q157" t="str">
        <x:v>Entregue</x:v>
      </x:c>
      <x:c r="R157" t="str"/>
      <x:c r="S157" t="str">
        <x:v>Nao</x:v>
      </x:c>
      <x:c r="T157" t="str">
        <x:v>Nao</x:v>
      </x:c>
    </x:row>
    <x:row r="158" ht="19" customHeight="1">
      <x:c r="A158" t="str">
        <x:v>ENT-00157</x:v>
      </x:c>
      <x:c r="B158" s="41" t="n">
        <x:v>46206</x:v>
      </x:c>
      <x:c r="C158" s="41" t="n">
        <x:v>46209</x:v>
      </x:c>
      <x:c r="D158" s="41" t="n">
        <x:v>46209</x:v>
      </x:c>
      <x:c r="E158" t="str">
        <x:v>Casa Horizonte, Lda.</x:v>
      </x:c>
      <x:c r="F158" t="str">
        <x:v>Benfica</x:v>
      </x:c>
      <x:c r="G158" t="str">
        <x:v>Hélder Miguel</x:v>
      </x:c>
      <x:c r="H158" t="str">
        <x:v>VTR-10</x:v>
      </x:c>
      <x:c r="I158" t="str">
        <x:v>Foton Aumark</x:v>
      </x:c>
      <x:c r="J158" t="n">
        <x:v>4000</x:v>
      </x:c>
      <x:c r="K158" t="n">
        <x:v>87</x:v>
      </x:c>
      <x:c r="L158" t="n">
        <x:v>87</x:v>
      </x:c>
      <x:c r="M158" t="n">
        <x:v>1096.3</x:v>
      </x:c>
      <x:c r="N158" t="n">
        <x:v>48</x:v>
      </x:c>
      <x:c r="O158" s="45" t="n">
        <x:v>785001</x:v>
      </x:c>
      <x:c r="P158" s="45" t="n">
        <x:v>48500</x:v>
      </x:c>
      <x:c r="Q158" t="str">
        <x:v>Entregue</x:v>
      </x:c>
      <x:c r="R158" t="str"/>
      <x:c r="S158" t="str">
        <x:v>Nao</x:v>
      </x:c>
      <x:c r="T158" t="str">
        <x:v>Nao</x:v>
      </x:c>
    </x:row>
    <x:row r="159" ht="19" customHeight="1">
      <x:c r="A159" t="str">
        <x:v>ENT-00158</x:v>
      </x:c>
      <x:c r="B159" s="41" t="n">
        <x:v>46208</x:v>
      </x:c>
      <x:c r="C159" s="41" t="n">
        <x:v>46210</x:v>
      </x:c>
      <x:c r="D159" s="41" t="n">
        <x:v>46210</x:v>
      </x:c>
      <x:c r="E159" t="str">
        <x:v>Kiala &amp; Filhos, Lda.</x:v>
      </x:c>
      <x:c r="F159" t="str">
        <x:v>Morro Bento</x:v>
      </x:c>
      <x:c r="G159" t="str">
        <x:v>Hélder Miguel</x:v>
      </x:c>
      <x:c r="H159" t="str">
        <x:v>VTR-11</x:v>
      </x:c>
      <x:c r="I159" t="str">
        <x:v>JAC N56</x:v>
      </x:c>
      <x:c r="J159" t="n">
        <x:v>3500</x:v>
      </x:c>
      <x:c r="K159" t="n">
        <x:v>80</x:v>
      </x:c>
      <x:c r="L159" t="n">
        <x:v>80</x:v>
      </x:c>
      <x:c r="M159" t="n">
        <x:v>1364.4</x:v>
      </x:c>
      <x:c r="N159" t="n">
        <x:v>28</x:v>
      </x:c>
      <x:c r="O159" s="45" t="n">
        <x:v>2041920</x:v>
      </x:c>
      <x:c r="P159" s="45" t="n">
        <x:v>46000</x:v>
      </x:c>
      <x:c r="Q159" t="str">
        <x:v>Entregue</x:v>
      </x:c>
      <x:c r="R159" t="str"/>
      <x:c r="S159" t="str">
        <x:v>Nao</x:v>
      </x:c>
      <x:c r="T159" t="str">
        <x:v>Nao</x:v>
      </x:c>
    </x:row>
    <x:row r="160" ht="19" customHeight="1">
      <x:c r="A160" t="str">
        <x:v>ENT-00159</x:v>
      </x:c>
      <x:c r="B160" s="41" t="n">
        <x:v>46218</x:v>
      </x:c>
      <x:c r="C160" s="41" t="n">
        <x:v>46220</x:v>
      </x:c>
      <x:c r="D160" s="41" t="n">
        <x:v>46220</x:v>
      </x:c>
      <x:c r="E160" t="str">
        <x:v>Kwanza Distribuição, Lda.</x:v>
      </x:c>
      <x:c r="F160" t="str">
        <x:v>Talatona</x:v>
      </x:c>
      <x:c r="G160" t="str">
        <x:v>Dário Joaquim</x:v>
      </x:c>
      <x:c r="H160" t="str">
        <x:v>VTR-01</x:v>
      </x:c>
      <x:c r="I160" t="str">
        <x:v>Kia K2700</x:v>
      </x:c>
      <x:c r="J160" t="n">
        <x:v>1500</x:v>
      </x:c>
      <x:c r="K160" t="n">
        <x:v>88</x:v>
      </x:c>
      <x:c r="L160" t="n">
        <x:v>88</x:v>
      </x:c>
      <x:c r="M160" t="n">
        <x:v>839.5</x:v>
      </x:c>
      <x:c r="N160" t="n">
        <x:v>25</x:v>
      </x:c>
      <x:c r="O160" s="45" t="n">
        <x:v>1778480</x:v>
      </x:c>
      <x:c r="P160" s="45" t="n">
        <x:v>31000</x:v>
      </x:c>
      <x:c r="Q160" t="str">
        <x:v>Entregue</x:v>
      </x:c>
      <x:c r="R160" t="str"/>
      <x:c r="S160" t="str">
        <x:v>Nao</x:v>
      </x:c>
      <x:c r="T160" t="str">
        <x:v>Nao</x:v>
      </x:c>
    </x:row>
    <x:row r="161" ht="19" customHeight="1">
      <x:c r="A161" t="str">
        <x:v>ENT-00160</x:v>
      </x:c>
      <x:c r="B161" s="41" t="n">
        <x:v>46244</x:v>
      </x:c>
      <x:c r="C161" s="41" t="n">
        <x:v>46246</x:v>
      </x:c>
      <x:c r="D161" s="41" t="n">
        <x:v>46246</x:v>
      </x:c>
      <x:c r="E161" t="str">
        <x:v>Prime Stock, Lda.</x:v>
      </x:c>
      <x:c r="F161" t="str">
        <x:v>Viana</x:v>
      </x:c>
      <x:c r="G161" t="str">
        <x:v>Gilberto José</x:v>
      </x:c>
      <x:c r="H161" t="str">
        <x:v>VTR-03</x:v>
      </x:c>
      <x:c r="I161" t="str">
        <x:v>Toyota Dyna</x:v>
      </x:c>
      <x:c r="J161" t="n">
        <x:v>3000</x:v>
      </x:c>
      <x:c r="K161" t="n">
        <x:v>10</x:v>
      </x:c>
      <x:c r="L161" t="n">
        <x:v>10</x:v>
      </x:c>
      <x:c r="M161" t="n">
        <x:v>203.7</x:v>
      </x:c>
      <x:c r="N161" t="n">
        <x:v>30</x:v>
      </x:c>
      <x:c r="O161" s="45" t="n">
        <x:v>60120</x:v>
      </x:c>
      <x:c r="P161" s="45" t="n">
        <x:v>21500</x:v>
      </x:c>
      <x:c r="Q161" t="str">
        <x:v>Entregue</x:v>
      </x:c>
      <x:c r="R161" t="str"/>
      <x:c r="S161" t="str">
        <x:v>Nao</x:v>
      </x:c>
      <x:c r="T161" t="str">
        <x:v>Nao</x:v>
      </x:c>
    </x:row>
    <x:row r="162" ht="19" customHeight="1">
      <x:c r="A162" t="str">
        <x:v>ENT-00161</x:v>
      </x:c>
      <x:c r="B162" s="41" t="n">
        <x:v>46227</x:v>
      </x:c>
      <x:c r="C162" s="41" t="n">
        <x:v>46228</x:v>
      </x:c>
      <x:c r="D162" s="41" t="n">
        <x:v>46230</x:v>
      </x:c>
      <x:c r="E162" t="str">
        <x:v>Prime Stock, Lda.</x:v>
      </x:c>
      <x:c r="F162" t="str">
        <x:v>Ingombota</x:v>
      </x:c>
      <x:c r="G162" t="str">
        <x:v>Félix Domingos</x:v>
      </x:c>
      <x:c r="H162" t="str">
        <x:v>VTR-08</x:v>
      </x:c>
      <x:c r="I162" t="str">
        <x:v>Toyota Hilux</x:v>
      </x:c>
      <x:c r="J162" t="n">
        <x:v>1000</x:v>
      </x:c>
      <x:c r="K162" t="n">
        <x:v>44</x:v>
      </x:c>
      <x:c r="L162" t="n">
        <x:v>0</x:v>
      </x:c>
      <x:c r="M162" t="n">
        <x:v>464.7</x:v>
      </x:c>
      <x:c r="N162" t="n">
        <x:v>9</x:v>
      </x:c>
      <x:c r="O162" s="45" t="n">
        <x:v>1020844</x:v>
      </x:c>
      <x:c r="P162" s="45" t="n">
        <x:v>20000</x:v>
      </x:c>
      <x:c r="Q162" t="str">
        <x:v>Falhada</x:v>
      </x:c>
      <x:c r="R162" t="str">
        <x:v>Acesso condicionado</x:v>
      </x:c>
      <x:c r="S162" t="str">
        <x:v>Nao</x:v>
      </x:c>
      <x:c r="T162" t="str">
        <x:v>Nao</x:v>
      </x:c>
    </x:row>
    <x:row r="163" ht="19" customHeight="1">
      <x:c r="A163" t="str">
        <x:v>ENT-00162</x:v>
      </x:c>
      <x:c r="B163" s="41" t="n">
        <x:v>46235</x:v>
      </x:c>
      <x:c r="C163" s="41" t="n">
        <x:v>46236</x:v>
      </x:c>
      <x:c r="D163" s="41" t="n">
        <x:v>46235</x:v>
      </x:c>
      <x:c r="E163" t="str">
        <x:v>Rota Azul, Lda.</x:v>
      </x:c>
      <x:c r="F163" t="str">
        <x:v>Ingombota</x:v>
      </x:c>
      <x:c r="G163" t="str">
        <x:v>Carlos Mateus</x:v>
      </x:c>
      <x:c r="H163" t="str">
        <x:v>VTR-05</x:v>
      </x:c>
      <x:c r="I163" t="str">
        <x:v>Hyundai HD65</x:v>
      </x:c>
      <x:c r="J163" t="n">
        <x:v>3500</x:v>
      </x:c>
      <x:c r="K163" t="n">
        <x:v>64</x:v>
      </x:c>
      <x:c r="L163" t="n">
        <x:v>64</x:v>
      </x:c>
      <x:c r="M163" t="n">
        <x:v>537.9</x:v>
      </x:c>
      <x:c r="N163" t="n">
        <x:v>10</x:v>
      </x:c>
      <x:c r="O163" s="45" t="n">
        <x:v>585856</x:v>
      </x:c>
      <x:c r="P163" s="45" t="n">
        <x:v>19000</x:v>
      </x:c>
      <x:c r="Q163" t="str">
        <x:v>Entregue</x:v>
      </x:c>
      <x:c r="R163" t="str"/>
      <x:c r="S163" t="str">
        <x:v>Nao</x:v>
      </x:c>
      <x:c r="T163" t="str">
        <x:v>Nao</x:v>
      </x:c>
    </x:row>
    <x:row r="164" ht="19" customHeight="1">
      <x:c r="A164" t="str">
        <x:v>ENT-00163</x:v>
      </x:c>
      <x:c r="B164" s="41" t="n">
        <x:v>46222</x:v>
      </x:c>
      <x:c r="C164" s="41" t="n">
        <x:v>46225</x:v>
      </x:c>
      <x:c r="D164" s="41" t="n">
        <x:v>46225</x:v>
      </x:c>
      <x:c r="E164" t="str">
        <x:v>Kiala &amp; Filhos, Lda.</x:v>
      </x:c>
      <x:c r="F164" t="str">
        <x:v>Benfica</x:v>
      </x:c>
      <x:c r="G164" t="str">
        <x:v>Félix Domingos</x:v>
      </x:c>
      <x:c r="H164" t="str">
        <x:v>VTR-02</x:v>
      </x:c>
      <x:c r="I164" t="str">
        <x:v>Kia K2700</x:v>
      </x:c>
      <x:c r="J164" t="n">
        <x:v>1500</x:v>
      </x:c>
      <x:c r="K164" t="n">
        <x:v>61</x:v>
      </x:c>
      <x:c r="L164" t="n">
        <x:v>61</x:v>
      </x:c>
      <x:c r="M164" t="n">
        <x:v>713.1</x:v>
      </x:c>
      <x:c r="N164" t="n">
        <x:v>41</x:v>
      </x:c>
      <x:c r="O164" s="45" t="n">
        <x:v>1442650</x:v>
      </x:c>
      <x:c r="P164" s="45" t="n">
        <x:v>33500</x:v>
      </x:c>
      <x:c r="Q164" t="str">
        <x:v>Entregue</x:v>
      </x:c>
      <x:c r="R164" t="str"/>
      <x:c r="S164" t="str">
        <x:v>Nao</x:v>
      </x:c>
      <x:c r="T164" t="str">
        <x:v>Nao</x:v>
      </x:c>
    </x:row>
    <x:row r="165" ht="19" customHeight="1">
      <x:c r="A165" t="str">
        <x:v>ENT-00164</x:v>
      </x:c>
      <x:c r="B165" s="41" t="n">
        <x:v>46211</x:v>
      </x:c>
      <x:c r="C165" s="41" t="n">
        <x:v>46214</x:v>
      </x:c>
      <x:c r="D165" s="41" t="n">
        <x:v>46214</x:v>
      </x:c>
      <x:c r="E165" t="str">
        <x:v>Mundo Fresco, Lda.</x:v>
      </x:c>
      <x:c r="F165" t="str">
        <x:v>Zango</x:v>
      </x:c>
      <x:c r="G165" t="str">
        <x:v>Isaías Pedro</x:v>
      </x:c>
      <x:c r="H165" t="str">
        <x:v>VTR-02</x:v>
      </x:c>
      <x:c r="I165" t="str">
        <x:v>Kia K2700</x:v>
      </x:c>
      <x:c r="J165" t="n">
        <x:v>1500</x:v>
      </x:c>
      <x:c r="K165" t="n">
        <x:v>41</x:v>
      </x:c>
      <x:c r="L165" t="n">
        <x:v>41</x:v>
      </x:c>
      <x:c r="M165" t="n">
        <x:v>433.7</x:v>
      </x:c>
      <x:c r="N165" t="n">
        <x:v>60</x:v>
      </x:c>
      <x:c r="O165" s="45" t="n">
        <x:v>946239</x:v>
      </x:c>
      <x:c r="P165" s="45" t="n">
        <x:v>43000</x:v>
      </x:c>
      <x:c r="Q165" t="str">
        <x:v>Entregue</x:v>
      </x:c>
      <x:c r="R165" t="str"/>
      <x:c r="S165" t="str">
        <x:v>Nao</x:v>
      </x:c>
      <x:c r="T165" t="str">
        <x:v>Nao</x:v>
      </x:c>
    </x:row>
    <x:row r="166" ht="19" customHeight="1">
      <x:c r="A166" t="str">
        <x:v>ENT-00165</x:v>
      </x:c>
      <x:c r="B166" s="41" t="n">
        <x:v>46240</x:v>
      </x:c>
      <x:c r="C166" s="41" t="n">
        <x:v>46243</x:v>
      </x:c>
      <x:c r="D166" s="41" t="n">
        <x:v>46243</x:v>
      </x:c>
      <x:c r="E166" t="str">
        <x:v>Kwanza Distribuição, Lda.</x:v>
      </x:c>
      <x:c r="F166" t="str">
        <x:v>Zango</x:v>
      </x:c>
      <x:c r="G166" t="str">
        <x:v>Isaías Pedro</x:v>
      </x:c>
      <x:c r="H166" t="str">
        <x:v>VTR-03</x:v>
      </x:c>
      <x:c r="I166" t="str">
        <x:v>Toyota Dyna</x:v>
      </x:c>
      <x:c r="J166" t="n">
        <x:v>3000</x:v>
      </x:c>
      <x:c r="K166" t="n">
        <x:v>56</x:v>
      </x:c>
      <x:c r="L166" t="n">
        <x:v>56</x:v>
      </x:c>
      <x:c r="M166" t="n">
        <x:v>694.2</x:v>
      </x:c>
      <x:c r="N166" t="n">
        <x:v>52</x:v>
      </x:c>
      <x:c r="O166" s="45" t="n">
        <x:v>323624</x:v>
      </x:c>
      <x:c r="P166" s="45" t="n">
        <x:v>41500</x:v>
      </x:c>
      <x:c r="Q166" t="str">
        <x:v>Entregue</x:v>
      </x:c>
      <x:c r="R166" t="str"/>
      <x:c r="S166" t="str">
        <x:v>Nao</x:v>
      </x:c>
      <x:c r="T166" t="str">
        <x:v>Nao</x:v>
      </x:c>
    </x:row>
    <x:row r="167" ht="19" customHeight="1">
      <x:c r="A167" t="str">
        <x:v>ENT-00166</x:v>
      </x:c>
      <x:c r="B167" s="41" t="n">
        <x:v>46218</x:v>
      </x:c>
      <x:c r="C167" s="41" t="n">
        <x:v>46219</x:v>
      </x:c>
      <x:c r="D167" s="41" t="n">
        <x:v>46219</x:v>
      </x:c>
      <x:c r="E167" t="str">
        <x:v>Bem-Estar Higiene, Lda.</x:v>
      </x:c>
      <x:c r="F167" t="str">
        <x:v>Maianga</x:v>
      </x:c>
      <x:c r="G167" t="str">
        <x:v>Hélder Miguel</x:v>
      </x:c>
      <x:c r="H167" t="str">
        <x:v>VTR-06</x:v>
      </x:c>
      <x:c r="I167" t="str">
        <x:v>Isuzu NPR</x:v>
      </x:c>
      <x:c r="J167" t="n">
        <x:v>5000</x:v>
      </x:c>
      <x:c r="K167" t="n">
        <x:v>90</x:v>
      </x:c>
      <x:c r="L167" t="n">
        <x:v>90</x:v>
      </x:c>
      <x:c r="M167" t="n">
        <x:v>1500.9</x:v>
      </x:c>
      <x:c r="N167" t="n">
        <x:v>10</x:v>
      </x:c>
      <x:c r="O167" s="45" t="n">
        <x:v>663120</x:v>
      </x:c>
      <x:c r="P167" s="45" t="n">
        <x:v>37000</x:v>
      </x:c>
      <x:c r="Q167" t="str">
        <x:v>Entregue</x:v>
      </x:c>
      <x:c r="R167" t="str"/>
      <x:c r="S167" t="str">
        <x:v>Nao</x:v>
      </x:c>
      <x:c r="T167" t="str">
        <x:v>Nao</x:v>
      </x:c>
    </x:row>
    <x:row r="168" ht="19" customHeight="1">
      <x:c r="A168" t="str">
        <x:v>ENT-00167</x:v>
      </x:c>
      <x:c r="B168" s="41" t="n">
        <x:v>46223</x:v>
      </x:c>
      <x:c r="C168" s="41" t="n">
        <x:v>46225</x:v>
      </x:c>
      <x:c r="D168" s="41" t="n">
        <x:v>46227</x:v>
      </x:c>
      <x:c r="E168" t="str">
        <x:v>Casa Horizonte, Lda.</x:v>
      </x:c>
      <x:c r="F168" t="str">
        <x:v>Kilamba</x:v>
      </x:c>
      <x:c r="G168" t="str">
        <x:v>Kito Alberto</x:v>
      </x:c>
      <x:c r="H168" t="str">
        <x:v>VTR-01</x:v>
      </x:c>
      <x:c r="I168" t="str">
        <x:v>Kia K2700</x:v>
      </x:c>
      <x:c r="J168" t="n">
        <x:v>1500</x:v>
      </x:c>
      <x:c r="K168" t="n">
        <x:v>85</x:v>
      </x:c>
      <x:c r="L168" t="n">
        <x:v>85</x:v>
      </x:c>
      <x:c r="M168" t="n">
        <x:v>1184.6</x:v>
      </x:c>
      <x:c r="N168" t="n">
        <x:v>22</x:v>
      </x:c>
      <x:c r="O168" s="45" t="n">
        <x:v>2114630</x:v>
      </x:c>
      <x:c r="P168" s="45" t="n">
        <x:v>37000</x:v>
      </x:c>
      <x:c r="Q168" t="str">
        <x:v>Entregue</x:v>
      </x:c>
      <x:c r="R168" t="str">
        <x:v>Transito intenso</x:v>
      </x:c>
      <x:c r="S168" t="str">
        <x:v>Nao</x:v>
      </x:c>
      <x:c r="T168" t="str">
        <x:v>Nao</x:v>
      </x:c>
    </x:row>
    <x:row r="169" ht="19" customHeight="1">
      <x:c r="A169" t="str">
        <x:v>ENT-00168</x:v>
      </x:c>
      <x:c r="B169" s="41" t="n">
        <x:v>46263</x:v>
      </x:c>
      <x:c r="C169" s="41" t="n">
        <x:v>46265</x:v>
      </x:c>
      <x:c r="D169" s="41" t="n">
        <x:v>46268</x:v>
      </x:c>
      <x:c r="E169" t="str">
        <x:v>Savana Retail, Lda.</x:v>
      </x:c>
      <x:c r="F169" t="str">
        <x:v>Kikuxi</x:v>
      </x:c>
      <x:c r="G169" t="str">
        <x:v>Kito Alberto</x:v>
      </x:c>
      <x:c r="H169" t="str">
        <x:v>VTR-02</x:v>
      </x:c>
      <x:c r="I169" t="str">
        <x:v>Kia K2700</x:v>
      </x:c>
      <x:c r="J169" t="n">
        <x:v>1500</x:v>
      </x:c>
      <x:c r="K169" t="n">
        <x:v>86</x:v>
      </x:c>
      <x:c r="L169" t="n">
        <x:v>76</x:v>
      </x:c>
      <x:c r="M169" t="n">
        <x:v>1002.4</x:v>
      </x:c>
      <x:c r="N169" t="n">
        <x:v>24</x:v>
      </x:c>
      <x:c r="O169" s="45" t="n">
        <x:v>1792240</x:v>
      </x:c>
      <x:c r="P169" s="45" t="n">
        <x:v>37000</x:v>
      </x:c>
      <x:c r="Q169" t="str">
        <x:v>Entregue</x:v>
      </x:c>
      <x:c r="R169" t="str">
        <x:v>Chuva/condicao da via</x:v>
      </x:c>
      <x:c r="S169" t="str">
        <x:v>Nao</x:v>
      </x:c>
      <x:c r="T169" t="str">
        <x:v>Nao</x:v>
      </x:c>
    </x:row>
    <x:row r="170" ht="19" customHeight="1">
      <x:c r="A170" t="str">
        <x:v>ENT-00169</x:v>
      </x:c>
      <x:c r="B170" s="41" t="n">
        <x:v>46238</x:v>
      </x:c>
      <x:c r="C170" s="41" t="n">
        <x:v>46239</x:v>
      </x:c>
      <x:c r="D170" s="41" t="n">
        <x:v>46239</x:v>
      </x:c>
      <x:c r="E170" t="str">
        <x:v>Bem-Estar Higiene, Lda.</x:v>
      </x:c>
      <x:c r="F170" t="str">
        <x:v>Ingombota</x:v>
      </x:c>
      <x:c r="G170" t="str">
        <x:v>Elísio António</x:v>
      </x:c>
      <x:c r="H170" t="str">
        <x:v>VTR-03</x:v>
      </x:c>
      <x:c r="I170" t="str">
        <x:v>Toyota Dyna</x:v>
      </x:c>
      <x:c r="J170" t="n">
        <x:v>3000</x:v>
      </x:c>
      <x:c r="K170" t="n">
        <x:v>28</x:v>
      </x:c>
      <x:c r="L170" t="n">
        <x:v>28</x:v>
      </x:c>
      <x:c r="M170" t="n">
        <x:v>504.5</x:v>
      </x:c>
      <x:c r="N170" t="n">
        <x:v>18</x:v>
      </x:c>
      <x:c r="O170" s="45" t="n">
        <x:v>646212</x:v>
      </x:c>
      <x:c r="P170" s="45" t="n">
        <x:v>25500</x:v>
      </x:c>
      <x:c r="Q170" t="str">
        <x:v>Entregue</x:v>
      </x:c>
      <x:c r="R170" t="str"/>
      <x:c r="S170" t="str">
        <x:v>Nao</x:v>
      </x:c>
      <x:c r="T170" t="str">
        <x:v>Nao</x:v>
      </x:c>
    </x:row>
    <x:row r="171" ht="19" customHeight="1">
      <x:c r="A171" t="str">
        <x:v>ENT-00170</x:v>
      </x:c>
      <x:c r="B171" s="41" t="n">
        <x:v>46255</x:v>
      </x:c>
      <x:c r="C171" s="41" t="n">
        <x:v>46258</x:v>
      </x:c>
      <x:c r="D171" s="41" t="n">
        <x:v>46258</x:v>
      </x:c>
      <x:c r="E171" t="str">
        <x:v>N'gola Market, Lda.</x:v>
      </x:c>
      <x:c r="F171" t="str">
        <x:v>Cacuaco</x:v>
      </x:c>
      <x:c r="G171" t="str">
        <x:v>Hélder Miguel</x:v>
      </x:c>
      <x:c r="H171" t="str">
        <x:v>VTR-03</x:v>
      </x:c>
      <x:c r="I171" t="str">
        <x:v>Toyota Dyna</x:v>
      </x:c>
      <x:c r="J171" t="n">
        <x:v>3000</x:v>
      </x:c>
      <x:c r="K171" t="n">
        <x:v>44</x:v>
      </x:c>
      <x:c r="L171" t="n">
        <x:v>44</x:v>
      </x:c>
      <x:c r="M171" t="n">
        <x:v>1457.1</x:v>
      </x:c>
      <x:c r="N171" t="n">
        <x:v>42</x:v>
      </x:c>
      <x:c r="O171" s="45" t="n">
        <x:v>331804</x:v>
      </x:c>
      <x:c r="P171" s="45" t="n">
        <x:v>55000</x:v>
      </x:c>
      <x:c r="Q171" t="str">
        <x:v>Entregue</x:v>
      </x:c>
      <x:c r="R171" t="str"/>
      <x:c r="S171" t="str">
        <x:v>Sim</x:v>
      </x:c>
      <x:c r="T171" t="str">
        <x:v>Nao</x:v>
      </x:c>
    </x:row>
    <x:row r="172" ht="19" customHeight="1">
      <x:c r="A172" t="str">
        <x:v>ENT-00171</x:v>
      </x:c>
      <x:c r="B172" s="41" t="n">
        <x:v>46223</x:v>
      </x:c>
      <x:c r="C172" s="41" t="n">
        <x:v>46225</x:v>
      </x:c>
      <x:c r="D172" s="41" t="n">
        <x:v>46225</x:v>
      </x:c>
      <x:c r="E172" t="str">
        <x:v>Sol Nascente Comércio, Lda.</x:v>
      </x:c>
      <x:c r="F172" t="str">
        <x:v>Kilamba</x:v>
      </x:c>
      <x:c r="G172" t="str">
        <x:v>Carlos Mateus</x:v>
      </x:c>
      <x:c r="H172" t="str">
        <x:v>VTR-09</x:v>
      </x:c>
      <x:c r="I172" t="str">
        <x:v>Toyota Hilux</x:v>
      </x:c>
      <x:c r="J172" t="n">
        <x:v>1000</x:v>
      </x:c>
      <x:c r="K172" t="n">
        <x:v>55</x:v>
      </x:c>
      <x:c r="L172" t="n">
        <x:v>55</x:v>
      </x:c>
      <x:c r="M172" t="n">
        <x:v>402.3</x:v>
      </x:c>
      <x:c r="N172" t="n">
        <x:v>24</x:v>
      </x:c>
      <x:c r="O172" s="45" t="n">
        <x:v>776820</x:v>
      </x:c>
      <x:c r="P172" s="45" t="n">
        <x:v>23500</x:v>
      </x:c>
      <x:c r="Q172" t="str">
        <x:v>Entregue</x:v>
      </x:c>
      <x:c r="R172" t="str"/>
      <x:c r="S172" t="str">
        <x:v>Nao</x:v>
      </x:c>
      <x:c r="T172" t="str">
        <x:v>Nao</x:v>
      </x:c>
    </x:row>
    <x:row r="173" ht="19" customHeight="1">
      <x:c r="A173" t="str">
        <x:v>ENT-00172</x:v>
      </x:c>
      <x:c r="B173" s="41" t="n">
        <x:v>46255</x:v>
      </x:c>
      <x:c r="C173" s="41" t="n">
        <x:v>46256</x:v>
      </x:c>
      <x:c r="D173" s="41" t="n">
        <x:v>46256</x:v>
      </x:c>
      <x:c r="E173" t="str">
        <x:v>Sol Nascente Comércio, Lda.</x:v>
      </x:c>
      <x:c r="F173" t="str">
        <x:v>Maianga</x:v>
      </x:c>
      <x:c r="G173" t="str">
        <x:v>Isaías Pedro</x:v>
      </x:c>
      <x:c r="H173" t="str">
        <x:v>VTR-01</x:v>
      </x:c>
      <x:c r="I173" t="str">
        <x:v>Kia K2700</x:v>
      </x:c>
      <x:c r="J173" t="n">
        <x:v>1500</x:v>
      </x:c>
      <x:c r="K173" t="n">
        <x:v>45</x:v>
      </x:c>
      <x:c r="L173" t="n">
        <x:v>45</x:v>
      </x:c>
      <x:c r="M173" t="n">
        <x:v>875.4</x:v>
      </x:c>
      <x:c r="N173" t="n">
        <x:v>17</x:v>
      </x:c>
      <x:c r="O173" s="45" t="n">
        <x:v>455355</x:v>
      </x:c>
      <x:c r="P173" s="45" t="n">
        <x:v>29000</x:v>
      </x:c>
      <x:c r="Q173" t="str">
        <x:v>Entregue</x:v>
      </x:c>
      <x:c r="R173" t="str"/>
      <x:c r="S173" t="str">
        <x:v>Nao</x:v>
      </x:c>
      <x:c r="T173" t="str">
        <x:v>Nao</x:v>
      </x:c>
    </x:row>
    <x:row r="174" ht="19" customHeight="1">
      <x:c r="A174" t="str">
        <x:v>ENT-00173</x:v>
      </x:c>
      <x:c r="B174" s="41" t="n">
        <x:v>46204</x:v>
      </x:c>
      <x:c r="C174" s="41" t="n">
        <x:v>46206</x:v>
      </x:c>
      <x:c r="D174" s="41" t="n">
        <x:v>46206</x:v>
      </x:c>
      <x:c r="E174" t="str">
        <x:v>Atlântico Farma, Lda.</x:v>
      </x:c>
      <x:c r="F174" t="str">
        <x:v>Benfica</x:v>
      </x:c>
      <x:c r="G174" t="str">
        <x:v>Dário Joaquim</x:v>
      </x:c>
      <x:c r="H174" t="str">
        <x:v>VTR-06</x:v>
      </x:c>
      <x:c r="I174" t="str">
        <x:v>Isuzu NPR</x:v>
      </x:c>
      <x:c r="J174" t="n">
        <x:v>5000</x:v>
      </x:c>
      <x:c r="K174" t="n">
        <x:v>8</x:v>
      </x:c>
      <x:c r="L174" t="n">
        <x:v>8</x:v>
      </x:c>
      <x:c r="M174" t="n">
        <x:v>222.4</x:v>
      </x:c>
      <x:c r="N174" t="n">
        <x:v>38</x:v>
      </x:c>
      <x:c r="O174" s="45" t="n">
        <x:v>75160</x:v>
      </x:c>
      <x:c r="P174" s="45" t="n">
        <x:v>28500</x:v>
      </x:c>
      <x:c r="Q174" t="str">
        <x:v>Entregue</x:v>
      </x:c>
      <x:c r="R174" t="str"/>
      <x:c r="S174" t="str">
        <x:v>Nao</x:v>
      </x:c>
      <x:c r="T174" t="str">
        <x:v>Nao</x:v>
      </x:c>
    </x:row>
    <x:row r="175" ht="19" customHeight="1">
      <x:c r="A175" t="str">
        <x:v>ENT-00174</x:v>
      </x:c>
      <x:c r="B175" s="41" t="n">
        <x:v>46257</x:v>
      </x:c>
      <x:c r="C175" s="41" t="n">
        <x:v>46260</x:v>
      </x:c>
      <x:c r="D175" s="41" t="n">
        <x:v>46260</x:v>
      </x:c>
      <x:c r="E175" t="str">
        <x:v>Kiala &amp; Filhos, Lda.</x:v>
      </x:c>
      <x:c r="F175" t="str">
        <x:v>Benfica</x:v>
      </x:c>
      <x:c r="G175" t="str">
        <x:v>Isaías Pedro</x:v>
      </x:c>
      <x:c r="H175" t="str">
        <x:v>VTR-08</x:v>
      </x:c>
      <x:c r="I175" t="str">
        <x:v>Toyota Hilux</x:v>
      </x:c>
      <x:c r="J175" t="n">
        <x:v>1000</x:v>
      </x:c>
      <x:c r="K175" t="n">
        <x:v>44</x:v>
      </x:c>
      <x:c r="L175" t="n">
        <x:v>44</x:v>
      </x:c>
      <x:c r="M175" t="n">
        <x:v>460.7</x:v>
      </x:c>
      <x:c r="N175" t="n">
        <x:v>47</x:v>
      </x:c>
      <x:c r="O175" s="45" t="n">
        <x:v>629904</x:v>
      </x:c>
      <x:c r="P175" s="45" t="n">
        <x:v>35000</x:v>
      </x:c>
      <x:c r="Q175" t="str">
        <x:v>Entregue</x:v>
      </x:c>
      <x:c r="R175" t="str"/>
      <x:c r="S175" t="str">
        <x:v>Nao</x:v>
      </x:c>
      <x:c r="T175" t="str">
        <x:v>Nao</x:v>
      </x:c>
    </x:row>
    <x:row r="176" ht="19" customHeight="1">
      <x:c r="A176" t="str">
        <x:v>ENT-00175</x:v>
      </x:c>
      <x:c r="B176" s="41" t="n">
        <x:v>46226</x:v>
      </x:c>
      <x:c r="C176" s="41" t="n">
        <x:v>46228</x:v>
      </x:c>
      <x:c r="D176" s="41" t="n">
        <x:v>46228</x:v>
      </x:c>
      <x:c r="E176" t="str">
        <x:v>Casa Horizonte, Lda.</x:v>
      </x:c>
      <x:c r="F176" t="str">
        <x:v>Patriota</x:v>
      </x:c>
      <x:c r="G176" t="str">
        <x:v>Lucas Tomás</x:v>
      </x:c>
      <x:c r="H176" t="str">
        <x:v>VTR-07</x:v>
      </x:c>
      <x:c r="I176" t="str">
        <x:v>Isuzu NPR</x:v>
      </x:c>
      <x:c r="J176" t="n">
        <x:v>5000</x:v>
      </x:c>
      <x:c r="K176" t="n">
        <x:v>46</x:v>
      </x:c>
      <x:c r="L176" t="n">
        <x:v>43</x:v>
      </x:c>
      <x:c r="M176" t="n">
        <x:v>1492.8</x:v>
      </x:c>
      <x:c r="N176" t="n">
        <x:v>33</x:v>
      </x:c>
      <x:c r="O176" s="45" t="n">
        <x:v>1132382</x:v>
      </x:c>
      <x:c r="P176" s="45" t="n">
        <x:v>42000</x:v>
      </x:c>
      <x:c r="Q176" t="str">
        <x:v>Entregue</x:v>
      </x:c>
      <x:c r="R176" t="str"/>
      <x:c r="S176" t="str">
        <x:v>Nao</x:v>
      </x:c>
      <x:c r="T176" t="str">
        <x:v>Nao</x:v>
      </x:c>
    </x:row>
    <x:row r="177" ht="19" customHeight="1">
      <x:c r="A177" t="str">
        <x:v>ENT-00176</x:v>
      </x:c>
      <x:c r="B177" s="41" t="n">
        <x:v>46220</x:v>
      </x:c>
      <x:c r="C177" s="41" t="n">
        <x:v>46222</x:v>
      </x:c>
      <x:c r="D177" s="41" t="n">
        <x:v>46222</x:v>
      </x:c>
      <x:c r="E177" t="str">
        <x:v>Atlântico Farma, Lda.</x:v>
      </x:c>
      <x:c r="F177" t="str">
        <x:v>Talatona</x:v>
      </x:c>
      <x:c r="G177" t="str">
        <x:v>Adriano Manuel</x:v>
      </x:c>
      <x:c r="H177" t="str">
        <x:v>VTR-08</x:v>
      </x:c>
      <x:c r="I177" t="str">
        <x:v>Toyota Hilux</x:v>
      </x:c>
      <x:c r="J177" t="n">
        <x:v>1000</x:v>
      </x:c>
      <x:c r="K177" t="n">
        <x:v>70</x:v>
      </x:c>
      <x:c r="L177" t="n">
        <x:v>70</x:v>
      </x:c>
      <x:c r="M177" t="n">
        <x:v>598</x:v>
      </x:c>
      <x:c r="N177" t="n">
        <x:v>32</x:v>
      </x:c>
      <x:c r="O177" s="45" t="n">
        <x:v>1378090</x:v>
      </x:c>
      <x:c r="P177" s="45" t="n">
        <x:v>29500</x:v>
      </x:c>
      <x:c r="Q177" t="str">
        <x:v>Entregue</x:v>
      </x:c>
      <x:c r="R177" t="str"/>
      <x:c r="S177" t="str">
        <x:v>Nao</x:v>
      </x:c>
      <x:c r="T177" t="str">
        <x:v>Nao</x:v>
      </x:c>
    </x:row>
    <x:row r="178" ht="19" customHeight="1">
      <x:c r="A178" t="str">
        <x:v>ENT-00177</x:v>
      </x:c>
      <x:c r="B178" s="41" t="n">
        <x:v>46247</x:v>
      </x:c>
      <x:c r="C178" s="41" t="n">
        <x:v>46249</x:v>
      </x:c>
      <x:c r="D178" s="41" t="n">
        <x:v>46250</x:v>
      </x:c>
      <x:c r="E178" t="str">
        <x:v>Mundo Fresco, Lda.</x:v>
      </x:c>
      <x:c r="F178" t="str">
        <x:v>Nova Vida</x:v>
      </x:c>
      <x:c r="G178" t="str">
        <x:v>Bernardo Paulo</x:v>
      </x:c>
      <x:c r="H178" t="str">
        <x:v>VTR-02</x:v>
      </x:c>
      <x:c r="I178" t="str">
        <x:v>Kia K2700</x:v>
      </x:c>
      <x:c r="J178" t="n">
        <x:v>1500</x:v>
      </x:c>
      <x:c r="K178" t="n">
        <x:v>48</x:v>
      </x:c>
      <x:c r="L178" t="n">
        <x:v>48</x:v>
      </x:c>
      <x:c r="M178" t="n">
        <x:v>1260.1</x:v>
      </x:c>
      <x:c r="N178" t="n">
        <x:v>21</x:v>
      </x:c>
      <x:c r="O178" s="45" t="n">
        <x:v>811632</x:v>
      </x:c>
      <x:c r="P178" s="45" t="n">
        <x:v>34500</x:v>
      </x:c>
      <x:c r="Q178" t="str">
        <x:v>Entregue</x:v>
      </x:c>
      <x:c r="R178" t="str">
        <x:v>Avaria da viatura</x:v>
      </x:c>
      <x:c r="S178" t="str">
        <x:v>Nao</x:v>
      </x:c>
      <x:c r="T178" t="str">
        <x:v>Nao</x:v>
      </x:c>
    </x:row>
    <x:row r="179" ht="19" customHeight="1">
      <x:c r="A179" t="str">
        <x:v>ENT-00178</x:v>
      </x:c>
      <x:c r="B179" s="41" t="n">
        <x:v>46250</x:v>
      </x:c>
      <x:c r="C179" s="41" t="n">
        <x:v>46251</x:v>
      </x:c>
      <x:c r="D179" s="41" t="n">
        <x:v>46250</x:v>
      </x:c>
      <x:c r="E179" t="str">
        <x:v>Nova Rota Comercial, Lda.</x:v>
      </x:c>
      <x:c r="F179" t="str">
        <x:v>Ingombota</x:v>
      </x:c>
      <x:c r="G179" t="str">
        <x:v>Dário Joaquim</x:v>
      </x:c>
      <x:c r="H179" t="str">
        <x:v>VTR-08</x:v>
      </x:c>
      <x:c r="I179" t="str">
        <x:v>Toyota Hilux</x:v>
      </x:c>
      <x:c r="J179" t="n">
        <x:v>1000</x:v>
      </x:c>
      <x:c r="K179" t="n">
        <x:v>42</x:v>
      </x:c>
      <x:c r="L179" t="n">
        <x:v>42</x:v>
      </x:c>
      <x:c r="M179" t="n">
        <x:v>672.1</x:v>
      </x:c>
      <x:c r="N179" t="n">
        <x:v>18</x:v>
      </x:c>
      <x:c r="O179" s="45" t="n">
        <x:v>809760</x:v>
      </x:c>
      <x:c r="P179" s="45" t="n">
        <x:v>25500</x:v>
      </x:c>
      <x:c r="Q179" t="str">
        <x:v>Entregue</x:v>
      </x:c>
      <x:c r="R179" t="str"/>
      <x:c r="S179" t="str">
        <x:v>Nao</x:v>
      </x:c>
      <x:c r="T179" t="str">
        <x:v>Nao</x:v>
      </x:c>
    </x:row>
    <x:row r="180" ht="19" customHeight="1">
      <x:c r="A180" t="str">
        <x:v>ENT-00179</x:v>
      </x:c>
      <x:c r="B180" s="41" t="n">
        <x:v>46223</x:v>
      </x:c>
      <x:c r="C180" s="41" t="n">
        <x:v>46226</x:v>
      </x:c>
      <x:c r="D180" s="41" t="n">
        <x:v>46226</x:v>
      </x:c>
      <x:c r="E180" t="str">
        <x:v>Maxi Centro, Lda.</x:v>
      </x:c>
      <x:c r="F180" t="str">
        <x:v>Zango</x:v>
      </x:c>
      <x:c r="G180" t="str">
        <x:v>Isaías Pedro</x:v>
      </x:c>
      <x:c r="H180" t="str">
        <x:v>VTR-06</x:v>
      </x:c>
      <x:c r="I180" t="str">
        <x:v>Isuzu NPR</x:v>
      </x:c>
      <x:c r="J180" t="n">
        <x:v>5000</x:v>
      </x:c>
      <x:c r="K180" t="n">
        <x:v>87</x:v>
      </x:c>
      <x:c r="L180" t="n">
        <x:v>87</x:v>
      </x:c>
      <x:c r="M180" t="n">
        <x:v>1789.8</x:v>
      </x:c>
      <x:c r="N180" t="n">
        <x:v>44</x:v>
      </x:c>
      <x:c r="O180" s="45" t="n">
        <x:v>1230354</x:v>
      </x:c>
      <x:c r="P180" s="45" t="n">
        <x:v>60500</x:v>
      </x:c>
      <x:c r="Q180" t="str">
        <x:v>Entregue</x:v>
      </x:c>
      <x:c r="R180" t="str"/>
      <x:c r="S180" t="str">
        <x:v>Nao</x:v>
      </x:c>
      <x:c r="T180" t="str">
        <x:v>Nao</x:v>
      </x:c>
    </x:row>
    <x:row r="181" ht="19" customHeight="1">
      <x:c r="A181" t="str">
        <x:v>ENT-00180</x:v>
      </x:c>
      <x:c r="B181" s="41" t="n">
        <x:v>46248</x:v>
      </x:c>
      <x:c r="C181" s="41" t="n">
        <x:v>46249</x:v>
      </x:c>
      <x:c r="D181" s="41" t="n">
        <x:v>46251</x:v>
      </x:c>
      <x:c r="E181" t="str">
        <x:v>Kwanza Distribuição, Lda.</x:v>
      </x:c>
      <x:c r="F181" t="str">
        <x:v>Camama</x:v>
      </x:c>
      <x:c r="G181" t="str">
        <x:v>Lucas Tomás</x:v>
      </x:c>
      <x:c r="H181" t="str">
        <x:v>VTR-01</x:v>
      </x:c>
      <x:c r="I181" t="str">
        <x:v>Kia K2700</x:v>
      </x:c>
      <x:c r="J181" t="n">
        <x:v>1500</x:v>
      </x:c>
      <x:c r="K181" t="n">
        <x:v>89</x:v>
      </x:c>
      <x:c r="L181" t="n">
        <x:v>89</x:v>
      </x:c>
      <x:c r="M181" t="n">
        <x:v>741.4</x:v>
      </x:c>
      <x:c r="N181" t="n">
        <x:v>18</x:v>
      </x:c>
      <x:c r="O181" s="45" t="n">
        <x:v>1755881</x:v>
      </x:c>
      <x:c r="P181" s="45" t="n">
        <x:v>24500</x:v>
      </x:c>
      <x:c r="Q181" t="str">
        <x:v>Entregue</x:v>
      </x:c>
      <x:c r="R181" t="str">
        <x:v>Transito intenso</x:v>
      </x:c>
      <x:c r="S181" t="str">
        <x:v>Nao</x:v>
      </x:c>
      <x:c r="T181" t="str">
        <x:v>Nao</x:v>
      </x:c>
    </x:row>
    <x:row r="182" ht="19" customHeight="1">
      <x:c r="A182" t="str">
        <x:v>ENT-00181</x:v>
      </x:c>
      <x:c r="B182" s="41" t="n">
        <x:v>46229</x:v>
      </x:c>
      <x:c r="C182" s="41" t="n">
        <x:v>46231</x:v>
      </x:c>
      <x:c r="D182" s="41" t="n">
        <x:v>46231</x:v>
      </x:c>
      <x:c r="E182" t="str">
        <x:v>Nova Rota Comercial, Lda.</x:v>
      </x:c>
      <x:c r="F182" t="str">
        <x:v>Zango</x:v>
      </x:c>
      <x:c r="G182" t="str">
        <x:v>Dário Joaquim</x:v>
      </x:c>
      <x:c r="H182" t="str">
        <x:v>VTR-03</x:v>
      </x:c>
      <x:c r="I182" t="str">
        <x:v>Toyota Dyna</x:v>
      </x:c>
      <x:c r="J182" t="n">
        <x:v>3000</x:v>
      </x:c>
      <x:c r="K182" t="n">
        <x:v>21</x:v>
      </x:c>
      <x:c r="L182" t="n">
        <x:v>21</x:v>
      </x:c>
      <x:c r="M182" t="n">
        <x:v>492.5</x:v>
      </x:c>
      <x:c r="N182" t="n">
        <x:v>36</x:v>
      </x:c>
      <x:c r="O182" s="45" t="n">
        <x:v>497952</x:v>
      </x:c>
      <x:c r="P182" s="45" t="n">
        <x:v>34500</x:v>
      </x:c>
      <x:c r="Q182" t="str">
        <x:v>Entregue</x:v>
      </x:c>
      <x:c r="R182" t="str"/>
      <x:c r="S182" t="str">
        <x:v>Nao</x:v>
      </x:c>
      <x:c r="T182" t="str">
        <x:v>Nao</x:v>
      </x:c>
    </x:row>
    <x:row r="183" ht="19" customHeight="1">
      <x:c r="A183" t="str">
        <x:v>ENT-00182</x:v>
      </x:c>
      <x:c r="B183" s="41" t="n">
        <x:v>46219</x:v>
      </x:c>
      <x:c r="C183" s="41" t="n">
        <x:v>46222</x:v>
      </x:c>
      <x:c r="D183" s="41"/>
      <x:c r="E183" t="str">
        <x:v>Mercado Sul, Lda.</x:v>
      </x:c>
      <x:c r="F183" t="str">
        <x:v>Zango</x:v>
      </x:c>
      <x:c r="G183" t="str">
        <x:v>Lucas Tomás</x:v>
      </x:c>
      <x:c r="H183" t="str">
        <x:v>VTR-12</x:v>
      </x:c>
      <x:c r="I183" t="str">
        <x:v>Hyundai H100</x:v>
      </x:c>
      <x:c r="J183" t="n">
        <x:v>1300</x:v>
      </x:c>
      <x:c r="K183" t="n">
        <x:v>8</x:v>
      </x:c>
      <x:c r="L183" t="n">
        <x:v>0</x:v>
      </x:c>
      <x:c r="M183" t="n">
        <x:v>172</x:v>
      </x:c>
      <x:c r="N183" t="n">
        <x:v>61</x:v>
      </x:c>
      <x:c r="O183" s="45" t="n">
        <x:v>84760</x:v>
      </x:c>
      <x:c r="P183" s="45" t="n">
        <x:v>32500</x:v>
      </x:c>
      <x:c r="Q183" t="str">
        <x:v>Cancelada</x:v>
      </x:c>
      <x:c r="R183" t="str">
        <x:v>Cancelamento do cliente</x:v>
      </x:c>
      <x:c r="S183" t="str">
        <x:v>Nao</x:v>
      </x:c>
      <x:c r="T183" t="str">
        <x:v>Nao</x:v>
      </x:c>
    </x:row>
    <x:row r="184" ht="19" customHeight="1">
      <x:c r="A184" t="str">
        <x:v>ENT-00183</x:v>
      </x:c>
      <x:c r="B184" s="41" t="n">
        <x:v>46225</x:v>
      </x:c>
      <x:c r="C184" s="41" t="n">
        <x:v>46227</x:v>
      </x:c>
      <x:c r="D184" s="41" t="n">
        <x:v>46227</x:v>
      </x:c>
      <x:c r="E184" t="str">
        <x:v>N'gola Market, Lda.</x:v>
      </x:c>
      <x:c r="F184" t="str">
        <x:v>Camama</x:v>
      </x:c>
      <x:c r="G184" t="str">
        <x:v>Hélder Miguel</x:v>
      </x:c>
      <x:c r="H184" t="str">
        <x:v>VTR-10</x:v>
      </x:c>
      <x:c r="I184" t="str">
        <x:v>Foton Aumark</x:v>
      </x:c>
      <x:c r="J184" t="n">
        <x:v>4000</x:v>
      </x:c>
      <x:c r="K184" t="n">
        <x:v>60</x:v>
      </x:c>
      <x:c r="L184" t="n">
        <x:v>60</x:v>
      </x:c>
      <x:c r="M184" t="n">
        <x:v>806.8</x:v>
      </x:c>
      <x:c r="N184" t="n">
        <x:v>20</x:v>
      </x:c>
      <x:c r="O184" s="45" t="n">
        <x:v>1170480</x:v>
      </x:c>
      <x:c r="P184" s="45" t="n">
        <x:v>27500</x:v>
      </x:c>
      <x:c r="Q184" t="str">
        <x:v>Entregue</x:v>
      </x:c>
      <x:c r="R184" t="str"/>
      <x:c r="S184" t="str">
        <x:v>Nao</x:v>
      </x:c>
      <x:c r="T184" t="str">
        <x:v>Nao</x:v>
      </x:c>
    </x:row>
    <x:row r="185" ht="19" customHeight="1">
      <x:c r="A185" t="str">
        <x:v>ENT-00184</x:v>
      </x:c>
      <x:c r="B185" s="41" t="n">
        <x:v>46249</x:v>
      </x:c>
      <x:c r="C185" s="41" t="n">
        <x:v>46252</x:v>
      </x:c>
      <x:c r="D185" s="41" t="n">
        <x:v>46252</x:v>
      </x:c>
      <x:c r="E185" t="str">
        <x:v>Luanda Office Supply, Lda.</x:v>
      </x:c>
      <x:c r="F185" t="str">
        <x:v>Kikuxi</x:v>
      </x:c>
      <x:c r="G185" t="str">
        <x:v>Gilberto José</x:v>
      </x:c>
      <x:c r="H185" t="str">
        <x:v>VTR-06</x:v>
      </x:c>
      <x:c r="I185" t="str">
        <x:v>Isuzu NPR</x:v>
      </x:c>
      <x:c r="J185" t="n">
        <x:v>5000</x:v>
      </x:c>
      <x:c r="K185" t="n">
        <x:v>64</x:v>
      </x:c>
      <x:c r="L185" t="n">
        <x:v>64</x:v>
      </x:c>
      <x:c r="M185" t="n">
        <x:v>2223.5</x:v>
      </x:c>
      <x:c r="N185" t="n">
        <x:v>45</x:v>
      </x:c>
      <x:c r="O185" s="45" t="n">
        <x:v>1495360</x:v>
      </x:c>
      <x:c r="P185" s="45" t="n">
        <x:v>59000</x:v>
      </x:c>
      <x:c r="Q185" t="str">
        <x:v>Entregue</x:v>
      </x:c>
      <x:c r="R185" t="str"/>
      <x:c r="S185" t="str">
        <x:v>Nao</x:v>
      </x:c>
      <x:c r="T185" t="str">
        <x:v>Nao</x:v>
      </x:c>
    </x:row>
    <x:row r="186" ht="19" customHeight="1">
      <x:c r="A186" t="str">
        <x:v>ENT-00185</x:v>
      </x:c>
      <x:c r="B186" s="41" t="n">
        <x:v>46211</x:v>
      </x:c>
      <x:c r="C186" s="41" t="n">
        <x:v>46214</x:v>
      </x:c>
      <x:c r="D186" s="41" t="n">
        <x:v>46214</x:v>
      </x:c>
      <x:c r="E186" t="str">
        <x:v>Ponto Logístico, Lda.</x:v>
      </x:c>
      <x:c r="F186" t="str">
        <x:v>Benfica</x:v>
      </x:c>
      <x:c r="G186" t="str">
        <x:v>Félix Domingos</x:v>
      </x:c>
      <x:c r="H186" t="str">
        <x:v>VTR-11</x:v>
      </x:c>
      <x:c r="I186" t="str">
        <x:v>JAC N56</x:v>
      </x:c>
      <x:c r="J186" t="n">
        <x:v>3500</x:v>
      </x:c>
      <x:c r="K186" t="n">
        <x:v>17</x:v>
      </x:c>
      <x:c r="L186" t="n">
        <x:v>17</x:v>
      </x:c>
      <x:c r="M186" t="n">
        <x:v>195.1</x:v>
      </x:c>
      <x:c r="N186" t="n">
        <x:v>45</x:v>
      </x:c>
      <x:c r="O186" s="45" t="n">
        <x:v>249883</x:v>
      </x:c>
      <x:c r="P186" s="45" t="n">
        <x:v>30000</x:v>
      </x:c>
      <x:c r="Q186" t="str">
        <x:v>Entregue</x:v>
      </x:c>
      <x:c r="R186" t="str"/>
      <x:c r="S186" t="str">
        <x:v>Nao</x:v>
      </x:c>
      <x:c r="T186" t="str">
        <x:v>Nao</x:v>
      </x:c>
    </x:row>
    <x:row r="187" ht="19" customHeight="1">
      <x:c r="A187" t="str">
        <x:v>ENT-00186</x:v>
      </x:c>
      <x:c r="B187" s="41" t="n">
        <x:v>46211</x:v>
      </x:c>
      <x:c r="C187" s="41" t="n">
        <x:v>46213</x:v>
      </x:c>
      <x:c r="D187" s="41" t="n">
        <x:v>46213</x:v>
      </x:c>
      <x:c r="E187" t="str">
        <x:v>Kiala &amp; Filhos, Lda.</x:v>
      </x:c>
      <x:c r="F187" t="str">
        <x:v>Kilamba</x:v>
      </x:c>
      <x:c r="G187" t="str">
        <x:v>Carlos Mateus</x:v>
      </x:c>
      <x:c r="H187" t="str">
        <x:v>VTR-09</x:v>
      </x:c>
      <x:c r="I187" t="str">
        <x:v>Toyota Hilux</x:v>
      </x:c>
      <x:c r="J187" t="n">
        <x:v>1000</x:v>
      </x:c>
      <x:c r="K187" t="n">
        <x:v>82</x:v>
      </x:c>
      <x:c r="L187" t="n">
        <x:v>82</x:v>
      </x:c>
      <x:c r="M187" t="n">
        <x:v>485.7</x:v>
      </x:c>
      <x:c r="N187" t="n">
        <x:v>26</x:v>
      </x:c>
      <x:c r="O187" s="45" t="n">
        <x:v>1529300</x:v>
      </x:c>
      <x:c r="P187" s="45" t="n">
        <x:v>26500</x:v>
      </x:c>
      <x:c r="Q187" t="str">
        <x:v>Entregue</x:v>
      </x:c>
      <x:c r="R187" t="str"/>
      <x:c r="S187" t="str">
        <x:v>Nao</x:v>
      </x:c>
      <x:c r="T187" t="str">
        <x:v>Nao</x:v>
      </x:c>
    </x:row>
    <x:row r="188" ht="19" customHeight="1">
      <x:c r="A188" t="str">
        <x:v>ENT-00187</x:v>
      </x:c>
      <x:c r="B188" s="41" t="n">
        <x:v>46252</x:v>
      </x:c>
      <x:c r="C188" s="41" t="n">
        <x:v>46254</x:v>
      </x:c>
      <x:c r="D188" s="41" t="n">
        <x:v>46253</x:v>
      </x:c>
      <x:c r="E188" t="str">
        <x:v>Atlântico Farma, Lda.</x:v>
      </x:c>
      <x:c r="F188" t="str">
        <x:v>Zango</x:v>
      </x:c>
      <x:c r="G188" t="str">
        <x:v>Félix Domingos</x:v>
      </x:c>
      <x:c r="H188" t="str">
        <x:v>VTR-04</x:v>
      </x:c>
      <x:c r="I188" t="str">
        <x:v>Toyota Dyna</x:v>
      </x:c>
      <x:c r="J188" t="n">
        <x:v>3000</x:v>
      </x:c>
      <x:c r="K188" t="n">
        <x:v>42</x:v>
      </x:c>
      <x:c r="L188" t="n">
        <x:v>42</x:v>
      </x:c>
      <x:c r="M188" t="n">
        <x:v>425.2</x:v>
      </x:c>
      <x:c r="N188" t="n">
        <x:v>35</x:v>
      </x:c>
      <x:c r="O188" s="45" t="n">
        <x:v>362376</x:v>
      </x:c>
      <x:c r="P188" s="45" t="n">
        <x:v>26500</x:v>
      </x:c>
      <x:c r="Q188" t="str">
        <x:v>Entregue</x:v>
      </x:c>
      <x:c r="R188" t="str"/>
      <x:c r="S188" t="str">
        <x:v>Nao</x:v>
      </x:c>
      <x:c r="T188" t="str">
        <x:v>Nao</x:v>
      </x:c>
    </x:row>
    <x:row r="189" ht="19" customHeight="1">
      <x:c r="A189" t="str">
        <x:v>ENT-00188</x:v>
      </x:c>
      <x:c r="B189" s="41" t="n">
        <x:v>46233</x:v>
      </x:c>
      <x:c r="C189" s="41" t="n">
        <x:v>46235</x:v>
      </x:c>
      <x:c r="D189" s="41" t="n">
        <x:v>46235</x:v>
      </x:c>
      <x:c r="E189" t="str">
        <x:v>Rota Azul, Lda.</x:v>
      </x:c>
      <x:c r="F189" t="str">
        <x:v>Talatona</x:v>
      </x:c>
      <x:c r="G189" t="str">
        <x:v>Gilberto José</x:v>
      </x:c>
      <x:c r="H189" t="str">
        <x:v>VTR-03</x:v>
      </x:c>
      <x:c r="I189" t="str">
        <x:v>Toyota Dyna</x:v>
      </x:c>
      <x:c r="J189" t="n">
        <x:v>3000</x:v>
      </x:c>
      <x:c r="K189" t="n">
        <x:v>57</x:v>
      </x:c>
      <x:c r="L189" t="n">
        <x:v>57</x:v>
      </x:c>
      <x:c r="M189" t="n">
        <x:v>1672.9</x:v>
      </x:c>
      <x:c r="N189" t="n">
        <x:v>31</x:v>
      </x:c>
      <x:c r="O189" s="45" t="n">
        <x:v>213864</x:v>
      </x:c>
      <x:c r="P189" s="45" t="n">
        <x:v>53500</x:v>
      </x:c>
      <x:c r="Q189" t="str">
        <x:v>Entregue</x:v>
      </x:c>
      <x:c r="R189" t="str"/>
      <x:c r="S189" t="str">
        <x:v>Nao</x:v>
      </x:c>
      <x:c r="T189" t="str">
        <x:v>Nao</x:v>
      </x:c>
    </x:row>
    <x:row r="190" ht="19" customHeight="1">
      <x:c r="A190" t="str">
        <x:v>ENT-00189</x:v>
      </x:c>
      <x:c r="B190" s="41" t="n">
        <x:v>46263</x:v>
      </x:c>
      <x:c r="C190" s="41" t="n">
        <x:v>46265</x:v>
      </x:c>
      <x:c r="D190" s="41" t="n">
        <x:v>46265</x:v>
      </x:c>
      <x:c r="E190" t="str">
        <x:v>N'gola Market, Lda.</x:v>
      </x:c>
      <x:c r="F190" t="str">
        <x:v>Cacuaco</x:v>
      </x:c>
      <x:c r="G190" t="str">
        <x:v>Carlos Mateus</x:v>
      </x:c>
      <x:c r="H190" t="str">
        <x:v>VTR-09</x:v>
      </x:c>
      <x:c r="I190" t="str">
        <x:v>Toyota Hilux</x:v>
      </x:c>
      <x:c r="J190" t="n">
        <x:v>1000</x:v>
      </x:c>
      <x:c r="K190" t="n">
        <x:v>19</x:v>
      </x:c>
      <x:c r="L190" t="n">
        <x:v>19</x:v>
      </x:c>
      <x:c r="M190" t="n">
        <x:v>521.2</x:v>
      </x:c>
      <x:c r="N190" t="n">
        <x:v>38</x:v>
      </x:c>
      <x:c r="O190" s="45" t="n">
        <x:v>388075</x:v>
      </x:c>
      <x:c r="P190" s="45" t="n">
        <x:v>33500</x:v>
      </x:c>
      <x:c r="Q190" t="str">
        <x:v>Entregue</x:v>
      </x:c>
      <x:c r="R190" t="str"/>
      <x:c r="S190" t="str">
        <x:v>Nao</x:v>
      </x:c>
      <x:c r="T190" t="str">
        <x:v>Nao</x:v>
      </x:c>
    </x:row>
    <x:row r="191" ht="19" customHeight="1">
      <x:c r="A191" t="str">
        <x:v>ENT-00190</x:v>
      </x:c>
      <x:c r="B191" s="41" t="n">
        <x:v>46213</x:v>
      </x:c>
      <x:c r="C191" s="41" t="n">
        <x:v>46215</x:v>
      </x:c>
      <x:c r="D191" s="41" t="n">
        <x:v>46215</x:v>
      </x:c>
      <x:c r="E191" t="str">
        <x:v>Prime Stock, Lda.</x:v>
      </x:c>
      <x:c r="F191" t="str">
        <x:v>Camama</x:v>
      </x:c>
      <x:c r="G191" t="str">
        <x:v>Jorge Mário</x:v>
      </x:c>
      <x:c r="H191" t="str">
        <x:v>VTR-12</x:v>
      </x:c>
      <x:c r="I191" t="str">
        <x:v>Hyundai H100</x:v>
      </x:c>
      <x:c r="J191" t="n">
        <x:v>1300</x:v>
      </x:c>
      <x:c r="K191" t="n">
        <x:v>66</x:v>
      </x:c>
      <x:c r="L191" t="n">
        <x:v>66</x:v>
      </x:c>
      <x:c r="M191" t="n">
        <x:v>857.7</x:v>
      </x:c>
      <x:c r="N191" t="n">
        <x:v>32</x:v>
      </x:c>
      <x:c r="O191" s="45" t="n">
        <x:v>1387650</x:v>
      </x:c>
      <x:c r="P191" s="45" t="n">
        <x:v>33000</x:v>
      </x:c>
      <x:c r="Q191" t="str">
        <x:v>Entregue</x:v>
      </x:c>
      <x:c r="R191" t="str"/>
      <x:c r="S191" t="str">
        <x:v>Nao</x:v>
      </x:c>
      <x:c r="T191" t="str">
        <x:v>Nao</x:v>
      </x:c>
    </x:row>
    <x:row r="192" ht="19" customHeight="1">
      <x:c r="A192" t="str">
        <x:v>ENT-00191</x:v>
      </x:c>
      <x:c r="B192" s="41" t="n">
        <x:v>46262</x:v>
      </x:c>
      <x:c r="C192" s="41" t="n">
        <x:v>46264</x:v>
      </x:c>
      <x:c r="D192" s="41" t="n">
        <x:v>46264</x:v>
      </x:c>
      <x:c r="E192" t="str">
        <x:v>Ponto Logístico, Lda.</x:v>
      </x:c>
      <x:c r="F192" t="str">
        <x:v>Sequele</x:v>
      </x:c>
      <x:c r="G192" t="str">
        <x:v>Isaías Pedro</x:v>
      </x:c>
      <x:c r="H192" t="str">
        <x:v>VTR-10</x:v>
      </x:c>
      <x:c r="I192" t="str">
        <x:v>Foton Aumark</x:v>
      </x:c>
      <x:c r="J192" t="n">
        <x:v>4000</x:v>
      </x:c>
      <x:c r="K192" t="n">
        <x:v>83</x:v>
      </x:c>
      <x:c r="L192" t="n">
        <x:v>83</x:v>
      </x:c>
      <x:c r="M192" t="n">
        <x:v>1278.3</x:v>
      </x:c>
      <x:c r="N192" t="n">
        <x:v>36</x:v>
      </x:c>
      <x:c r="O192" s="45" t="n">
        <x:v>1162498</x:v>
      </x:c>
      <x:c r="P192" s="45" t="n">
        <x:v>46000</x:v>
      </x:c>
      <x:c r="Q192" t="str">
        <x:v>Entregue</x:v>
      </x:c>
      <x:c r="R192" t="str"/>
      <x:c r="S192" t="str">
        <x:v>Nao</x:v>
      </x:c>
      <x:c r="T192" t="str">
        <x:v>Nao</x:v>
      </x:c>
    </x:row>
    <x:row r="193" ht="19" customHeight="1">
      <x:c r="A193" t="str">
        <x:v>ENT-00192</x:v>
      </x:c>
      <x:c r="B193" s="41" t="n">
        <x:v>46264</x:v>
      </x:c>
      <x:c r="C193" s="41" t="n">
        <x:v>46266</x:v>
      </x:c>
      <x:c r="D193" s="41" t="n">
        <x:v>46268</x:v>
      </x:c>
      <x:c r="E193" t="str">
        <x:v>Atlântico Farma, Lda.</x:v>
      </x:c>
      <x:c r="F193" t="str">
        <x:v>Viana</x:v>
      </x:c>
      <x:c r="G193" t="str">
        <x:v>Kito Alberto</x:v>
      </x:c>
      <x:c r="H193" t="str">
        <x:v>VTR-03</x:v>
      </x:c>
      <x:c r="I193" t="str">
        <x:v>Toyota Dyna</x:v>
      </x:c>
      <x:c r="J193" t="n">
        <x:v>3000</x:v>
      </x:c>
      <x:c r="K193" t="n">
        <x:v>51</x:v>
      </x:c>
      <x:c r="L193" t="n">
        <x:v>51</x:v>
      </x:c>
      <x:c r="M193" t="n">
        <x:v>1482.3</x:v>
      </x:c>
      <x:c r="N193" t="n">
        <x:v>22</x:v>
      </x:c>
      <x:c r="O193" s="45" t="n">
        <x:v>884289</x:v>
      </x:c>
      <x:c r="P193" s="45" t="n">
        <x:v>37500</x:v>
      </x:c>
      <x:c r="Q193" t="str">
        <x:v>Entregue</x:v>
      </x:c>
      <x:c r="R193" t="str">
        <x:v>Avaria da viatura</x:v>
      </x:c>
      <x:c r="S193" t="str">
        <x:v>Nao</x:v>
      </x:c>
      <x:c r="T193" t="str">
        <x:v>Nao</x:v>
      </x:c>
    </x:row>
    <x:row r="194" ht="19" customHeight="1">
      <x:c r="A194" t="str">
        <x:v>ENT-00193</x:v>
      </x:c>
      <x:c r="B194" s="41" t="n">
        <x:v>46260</x:v>
      </x:c>
      <x:c r="C194" s="41" t="n">
        <x:v>46262</x:v>
      </x:c>
      <x:c r="D194" s="41" t="n">
        <x:v>46262</x:v>
      </x:c>
      <x:c r="E194" t="str">
        <x:v>Ponto Logístico, Lda.</x:v>
      </x:c>
      <x:c r="F194" t="str">
        <x:v>Maianga</x:v>
      </x:c>
      <x:c r="G194" t="str">
        <x:v>Dário Joaquim</x:v>
      </x:c>
      <x:c r="H194" t="str">
        <x:v>VTR-10</x:v>
      </x:c>
      <x:c r="I194" t="str">
        <x:v>Foton Aumark</x:v>
      </x:c>
      <x:c r="J194" t="n">
        <x:v>4000</x:v>
      </x:c>
      <x:c r="K194" t="n">
        <x:v>65</x:v>
      </x:c>
      <x:c r="L194" t="n">
        <x:v>65</x:v>
      </x:c>
      <x:c r="M194" t="n">
        <x:v>2066.3</x:v>
      </x:c>
      <x:c r="N194" t="n">
        <x:v>21</x:v>
      </x:c>
      <x:c r="O194" s="45" t="n">
        <x:v>1363115</x:v>
      </x:c>
      <x:c r="P194" s="45" t="n">
        <x:v>49000</x:v>
      </x:c>
      <x:c r="Q194" t="str">
        <x:v>Entregue</x:v>
      </x:c>
      <x:c r="R194" t="str"/>
      <x:c r="S194" t="str">
        <x:v>Nao</x:v>
      </x:c>
      <x:c r="T194" t="str">
        <x:v>Nao</x:v>
      </x:c>
    </x:row>
    <x:row r="195" ht="19" customHeight="1">
      <x:c r="A195" t="str">
        <x:v>ENT-00194</x:v>
      </x:c>
      <x:c r="B195" s="41" t="n">
        <x:v>46261</x:v>
      </x:c>
      <x:c r="C195" s="41" t="n">
        <x:v>46262</x:v>
      </x:c>
      <x:c r="D195" s="41" t="n">
        <x:v>46262</x:v>
      </x:c>
      <x:c r="E195" t="str">
        <x:v>Mundo Fresco, Lda.</x:v>
      </x:c>
      <x:c r="F195" t="str">
        <x:v>Maianga</x:v>
      </x:c>
      <x:c r="G195" t="str">
        <x:v>Carlos Mateus</x:v>
      </x:c>
      <x:c r="H195" t="str">
        <x:v>VTR-11</x:v>
      </x:c>
      <x:c r="I195" t="str">
        <x:v>JAC N56</x:v>
      </x:c>
      <x:c r="J195" t="n">
        <x:v>3500</x:v>
      </x:c>
      <x:c r="K195" t="n">
        <x:v>23</x:v>
      </x:c>
      <x:c r="L195" t="n">
        <x:v>23</x:v>
      </x:c>
      <x:c r="M195" t="n">
        <x:v>256.7</x:v>
      </x:c>
      <x:c r="N195" t="n">
        <x:v>12</x:v>
      </x:c>
      <x:c r="O195" s="45" t="n">
        <x:v>497835</x:v>
      </x:c>
      <x:c r="P195" s="45" t="n">
        <x:v>17000</x:v>
      </x:c>
      <x:c r="Q195" t="str">
        <x:v>Entregue</x:v>
      </x:c>
      <x:c r="R195" t="str"/>
      <x:c r="S195" t="str">
        <x:v>Nao</x:v>
      </x:c>
      <x:c r="T195" t="str">
        <x:v>Nao</x:v>
      </x:c>
    </x:row>
    <x:row r="196" ht="19" customHeight="1">
      <x:c r="A196" t="str">
        <x:v>ENT-00195</x:v>
      </x:c>
      <x:c r="B196" s="41" t="n">
        <x:v>46221</x:v>
      </x:c>
      <x:c r="C196" s="41" t="n">
        <x:v>46223</x:v>
      </x:c>
      <x:c r="D196" s="41" t="n">
        <x:v>46223</x:v>
      </x:c>
      <x:c r="E196" t="str">
        <x:v>Rota Azul, Lda.</x:v>
      </x:c>
      <x:c r="F196" t="str">
        <x:v>Maianga</x:v>
      </x:c>
      <x:c r="G196" t="str">
        <x:v>Isaías Pedro</x:v>
      </x:c>
      <x:c r="H196" t="str">
        <x:v>VTR-09</x:v>
      </x:c>
      <x:c r="I196" t="str">
        <x:v>Toyota Hilux</x:v>
      </x:c>
      <x:c r="J196" t="n">
        <x:v>1000</x:v>
      </x:c>
      <x:c r="K196" t="n">
        <x:v>21</x:v>
      </x:c>
      <x:c r="L196" t="n">
        <x:v>21</x:v>
      </x:c>
      <x:c r="M196" t="n">
        <x:v>562.1</x:v>
      </x:c>
      <x:c r="N196" t="n">
        <x:v>20</x:v>
      </x:c>
      <x:c r="O196" s="45" t="n">
        <x:v>461118</x:v>
      </x:c>
      <x:c r="P196" s="45" t="n">
        <x:v>25000</x:v>
      </x:c>
      <x:c r="Q196" t="str">
        <x:v>Entregue</x:v>
      </x:c>
      <x:c r="R196" t="str"/>
      <x:c r="S196" t="str">
        <x:v>Nao</x:v>
      </x:c>
      <x:c r="T196" t="str">
        <x:v>Nao</x:v>
      </x:c>
    </x:row>
    <x:row r="197" ht="19" customHeight="1">
      <x:c r="A197" t="str">
        <x:v>ENT-00196</x:v>
      </x:c>
      <x:c r="B197" s="41" t="n">
        <x:v>46249</x:v>
      </x:c>
      <x:c r="C197" s="41" t="n">
        <x:v>46251</x:v>
      </x:c>
      <x:c r="D197" s="41" t="n">
        <x:v>46251</x:v>
      </x:c>
      <x:c r="E197" t="str">
        <x:v>Via Certa Serviços, Lda.</x:v>
      </x:c>
      <x:c r="F197" t="str">
        <x:v>Benfica</x:v>
      </x:c>
      <x:c r="G197" t="str">
        <x:v>Dário Joaquim</x:v>
      </x:c>
      <x:c r="H197" t="str">
        <x:v>VTR-10</x:v>
      </x:c>
      <x:c r="I197" t="str">
        <x:v>Foton Aumark</x:v>
      </x:c>
      <x:c r="J197" t="n">
        <x:v>4000</x:v>
      </x:c>
      <x:c r="K197" t="n">
        <x:v>81</x:v>
      </x:c>
      <x:c r="L197" t="n">
        <x:v>81</x:v>
      </x:c>
      <x:c r="M197" t="n">
        <x:v>2166.3</x:v>
      </x:c>
      <x:c r="N197" t="n">
        <x:v>28</x:v>
      </x:c>
      <x:c r="O197" s="45" t="n">
        <x:v>1062639</x:v>
      </x:c>
      <x:c r="P197" s="45" t="n">
        <x:v>55000</x:v>
      </x:c>
      <x:c r="Q197" t="str">
        <x:v>Entregue</x:v>
      </x:c>
      <x:c r="R197" t="str"/>
      <x:c r="S197" t="str">
        <x:v>Nao</x:v>
      </x:c>
      <x:c r="T197" t="str">
        <x:v>Nao</x:v>
      </x:c>
    </x:row>
    <x:row r="198" ht="19" customHeight="1">
      <x:c r="A198" t="str">
        <x:v>ENT-00197</x:v>
      </x:c>
      <x:c r="B198" s="41" t="n">
        <x:v>46241</x:v>
      </x:c>
      <x:c r="C198" s="41" t="n">
        <x:v>46243</x:v>
      </x:c>
      <x:c r="D198" s="41" t="n">
        <x:v>46243</x:v>
      </x:c>
      <x:c r="E198" t="str">
        <x:v>Nova Rota Comercial, Lda.</x:v>
      </x:c>
      <x:c r="F198" t="str">
        <x:v>Morro Bento</x:v>
      </x:c>
      <x:c r="G198" t="str">
        <x:v>Félix Domingos</x:v>
      </x:c>
      <x:c r="H198" t="str">
        <x:v>VTR-06</x:v>
      </x:c>
      <x:c r="I198" t="str">
        <x:v>Isuzu NPR</x:v>
      </x:c>
      <x:c r="J198" t="n">
        <x:v>5000</x:v>
      </x:c>
      <x:c r="K198" t="n">
        <x:v>78</x:v>
      </x:c>
      <x:c r="L198" t="n">
        <x:v>78</x:v>
      </x:c>
      <x:c r="M198" t="n">
        <x:v>1815.1</x:v>
      </x:c>
      <x:c r="N198" t="n">
        <x:v>26</x:v>
      </x:c>
      <x:c r="O198" s="45" t="n">
        <x:v>775008</x:v>
      </x:c>
      <x:c r="P198" s="45" t="n">
        <x:v>48000</x:v>
      </x:c>
      <x:c r="Q198" t="str">
        <x:v>Entregue</x:v>
      </x:c>
      <x:c r="R198" t="str"/>
      <x:c r="S198" t="str">
        <x:v>Nao</x:v>
      </x:c>
      <x:c r="T198" t="str">
        <x:v>Nao</x:v>
      </x:c>
    </x:row>
    <x:row r="199" ht="19" customHeight="1">
      <x:c r="A199" t="str">
        <x:v>ENT-00198</x:v>
      </x:c>
      <x:c r="B199" s="41" t="n">
        <x:v>46215</x:v>
      </x:c>
      <x:c r="C199" s="41" t="n">
        <x:v>46216</x:v>
      </x:c>
      <x:c r="D199" s="41"/>
      <x:c r="E199" t="str">
        <x:v>Kiala &amp; Filhos, Lda.</x:v>
      </x:c>
      <x:c r="F199" t="str">
        <x:v>Maianga</x:v>
      </x:c>
      <x:c r="G199" t="str">
        <x:v>Isaías Pedro</x:v>
      </x:c>
      <x:c r="H199" t="str">
        <x:v>VTR-05</x:v>
      </x:c>
      <x:c r="I199" t="str">
        <x:v>Hyundai HD65</x:v>
      </x:c>
      <x:c r="J199" t="n">
        <x:v>3500</x:v>
      </x:c>
      <x:c r="K199" t="n">
        <x:v>12</x:v>
      </x:c>
      <x:c r="L199" t="n">
        <x:v>0</x:v>
      </x:c>
      <x:c r="M199" t="n">
        <x:v>358.6</x:v>
      </x:c>
      <x:c r="N199" t="n">
        <x:v>12</x:v>
      </x:c>
      <x:c r="O199" s="45" t="n">
        <x:v>47988</x:v>
      </x:c>
      <x:c r="P199" s="45" t="n">
        <x:v>19500</x:v>
      </x:c>
      <x:c r="Q199" t="str">
        <x:v>Cancelada</x:v>
      </x:c>
      <x:c r="R199" t="str">
        <x:v>Cancelamento do cliente</x:v>
      </x:c>
      <x:c r="S199" t="str">
        <x:v>Nao</x:v>
      </x:c>
      <x:c r="T199" t="str">
        <x:v>Nao</x:v>
      </x:c>
    </x:row>
    <x:row r="200" ht="19" customHeight="1">
      <x:c r="A200" t="str">
        <x:v>ENT-00199</x:v>
      </x:c>
      <x:c r="B200" s="41" t="n">
        <x:v>46213</x:v>
      </x:c>
      <x:c r="C200" s="41" t="n">
        <x:v>46215</x:v>
      </x:c>
      <x:c r="D200" s="41" t="n">
        <x:v>46215</x:v>
      </x:c>
      <x:c r="E200" t="str">
        <x:v>Ponto Logístico, Lda.</x:v>
      </x:c>
      <x:c r="F200" t="str">
        <x:v>Camama</x:v>
      </x:c>
      <x:c r="G200" t="str">
        <x:v>Gilberto José</x:v>
      </x:c>
      <x:c r="H200" t="str">
        <x:v>VTR-05</x:v>
      </x:c>
      <x:c r="I200" t="str">
        <x:v>Hyundai HD65</x:v>
      </x:c>
      <x:c r="J200" t="n">
        <x:v>3500</x:v>
      </x:c>
      <x:c r="K200" t="n">
        <x:v>58</x:v>
      </x:c>
      <x:c r="L200" t="n">
        <x:v>58</x:v>
      </x:c>
      <x:c r="M200" t="n">
        <x:v>1356.2</x:v>
      </x:c>
      <x:c r="N200" t="n">
        <x:v>23</x:v>
      </x:c>
      <x:c r="O200" s="45" t="n">
        <x:v>904452</x:v>
      </x:c>
      <x:c r="P200" s="45" t="n">
        <x:v>42500</x:v>
      </x:c>
      <x:c r="Q200" t="str">
        <x:v>Entregue</x:v>
      </x:c>
      <x:c r="R200" t="str"/>
      <x:c r="S200" t="str">
        <x:v>Nao</x:v>
      </x:c>
      <x:c r="T200" t="str">
        <x:v>Nao</x:v>
      </x:c>
    </x:row>
    <x:row r="201" ht="19" customHeight="1">
      <x:c r="A201" t="str">
        <x:v>ENT-00200</x:v>
      </x:c>
      <x:c r="B201" s="41" t="n">
        <x:v>46228</x:v>
      </x:c>
      <x:c r="C201" s="41" t="n">
        <x:v>46231</x:v>
      </x:c>
      <x:c r="D201" s="41" t="n">
        <x:v>46231</x:v>
      </x:c>
      <x:c r="E201" t="str">
        <x:v>Mercado Sul, Lda.</x:v>
      </x:c>
      <x:c r="F201" t="str">
        <x:v>Zango</x:v>
      </x:c>
      <x:c r="G201" t="str">
        <x:v>Isaías Pedro</x:v>
      </x:c>
      <x:c r="H201" t="str">
        <x:v>VTR-07</x:v>
      </x:c>
      <x:c r="I201" t="str">
        <x:v>Isuzu NPR</x:v>
      </x:c>
      <x:c r="J201" t="n">
        <x:v>5000</x:v>
      </x:c>
      <x:c r="K201" t="n">
        <x:v>73</x:v>
      </x:c>
      <x:c r="L201" t="n">
        <x:v>73</x:v>
      </x:c>
      <x:c r="M201" t="n">
        <x:v>2546.3</x:v>
      </x:c>
      <x:c r="N201" t="n">
        <x:v>52</x:v>
      </x:c>
      <x:c r="O201" s="45" t="n">
        <x:v>1758862</x:v>
      </x:c>
      <x:c r="P201" s="45" t="n">
        <x:v>81500</x:v>
      </x:c>
      <x:c r="Q201" t="str">
        <x:v>Entregue</x:v>
      </x:c>
      <x:c r="R201" t="str"/>
      <x:c r="S201" t="str">
        <x:v>Nao</x:v>
      </x:c>
      <x:c r="T201" t="str">
        <x:v>Nao</x:v>
      </x:c>
    </x:row>
    <x:row r="202" ht="19" customHeight="1">
      <x:c r="A202" t="str">
        <x:v>ENT-00201</x:v>
      </x:c>
      <x:c r="B202" s="41" t="n">
        <x:v>46242</x:v>
      </x:c>
      <x:c r="C202" s="41" t="n">
        <x:v>46244</x:v>
      </x:c>
      <x:c r="D202" s="41" t="n">
        <x:v>46244</x:v>
      </x:c>
      <x:c r="E202" t="str">
        <x:v>N'gola Market, Lda.</x:v>
      </x:c>
      <x:c r="F202" t="str">
        <x:v>Talatona</x:v>
      </x:c>
      <x:c r="G202" t="str">
        <x:v>Hélder Miguel</x:v>
      </x:c>
      <x:c r="H202" t="str">
        <x:v>VTR-01</x:v>
      </x:c>
      <x:c r="I202" t="str">
        <x:v>Kia K2700</x:v>
      </x:c>
      <x:c r="J202" t="n">
        <x:v>1500</x:v>
      </x:c>
      <x:c r="K202" t="n">
        <x:v>35</x:v>
      </x:c>
      <x:c r="L202" t="n">
        <x:v>35</x:v>
      </x:c>
      <x:c r="M202" t="n">
        <x:v>287.3</x:v>
      </x:c>
      <x:c r="N202" t="n">
        <x:v>26</x:v>
      </x:c>
      <x:c r="O202" s="45" t="n">
        <x:v>210735</x:v>
      </x:c>
      <x:c r="P202" s="45" t="n">
        <x:v>25500</x:v>
      </x:c>
      <x:c r="Q202" t="str">
        <x:v>Entregue</x:v>
      </x:c>
      <x:c r="R202" t="str"/>
      <x:c r="S202" t="str">
        <x:v>Nao</x:v>
      </x:c>
      <x:c r="T202" t="str">
        <x:v>Nao</x:v>
      </x:c>
    </x:row>
    <x:row r="203" ht="19" customHeight="1">
      <x:c r="A203" t="str">
        <x:v>ENT-00202</x:v>
      </x:c>
      <x:c r="B203" s="41" t="n">
        <x:v>46261</x:v>
      </x:c>
      <x:c r="C203" s="41" t="n">
        <x:v>46263</x:v>
      </x:c>
      <x:c r="D203" s="41" t="n">
        <x:v>46265</x:v>
      </x:c>
      <x:c r="E203" t="str">
        <x:v>Ponto Logístico, Lda.</x:v>
      </x:c>
      <x:c r="F203" t="str">
        <x:v>Camama</x:v>
      </x:c>
      <x:c r="G203" t="str">
        <x:v>Adriano Manuel</x:v>
      </x:c>
      <x:c r="H203" t="str">
        <x:v>VTR-06</x:v>
      </x:c>
      <x:c r="I203" t="str">
        <x:v>Isuzu NPR</x:v>
      </x:c>
      <x:c r="J203" t="n">
        <x:v>5000</x:v>
      </x:c>
      <x:c r="K203" t="n">
        <x:v>62</x:v>
      </x:c>
      <x:c r="L203" t="n">
        <x:v>62</x:v>
      </x:c>
      <x:c r="M203" t="n">
        <x:v>2121.7</x:v>
      </x:c>
      <x:c r="N203" t="n">
        <x:v>32</x:v>
      </x:c>
      <x:c r="O203" s="45" t="n">
        <x:v>1162996</x:v>
      </x:c>
      <x:c r="P203" s="45" t="n">
        <x:v>56500</x:v>
      </x:c>
      <x:c r="Q203" t="str">
        <x:v>Entregue</x:v>
      </x:c>
      <x:c r="R203" t="str">
        <x:v>Avaria da viatura</x:v>
      </x:c>
      <x:c r="S203" t="str">
        <x:v>Nao</x:v>
      </x:c>
      <x:c r="T203" t="str">
        <x:v>Nao</x:v>
      </x:c>
    </x:row>
    <x:row r="204" ht="19" customHeight="1">
      <x:c r="A204" t="str">
        <x:v>ENT-00203</x:v>
      </x:c>
      <x:c r="B204" s="41" t="n">
        <x:v>46245</x:v>
      </x:c>
      <x:c r="C204" s="41" t="n">
        <x:v>46246</x:v>
      </x:c>
      <x:c r="D204" s="41" t="n">
        <x:v>46246</x:v>
      </x:c>
      <x:c r="E204" t="str">
        <x:v>Rota Azul, Lda.</x:v>
      </x:c>
      <x:c r="F204" t="str">
        <x:v>Ingombota</x:v>
      </x:c>
      <x:c r="G204" t="str">
        <x:v>Carlos Mateus</x:v>
      </x:c>
      <x:c r="H204" t="str">
        <x:v>VTR-12</x:v>
      </x:c>
      <x:c r="I204" t="str">
        <x:v>Hyundai H100</x:v>
      </x:c>
      <x:c r="J204" t="n">
        <x:v>1300</x:v>
      </x:c>
      <x:c r="K204" t="n">
        <x:v>49</x:v>
      </x:c>
      <x:c r="L204" t="n">
        <x:v>49</x:v>
      </x:c>
      <x:c r="M204" t="n">
        <x:v>899.9</x:v>
      </x:c>
      <x:c r="N204" t="n">
        <x:v>17</x:v>
      </x:c>
      <x:c r="O204" s="45" t="n">
        <x:v>434434</x:v>
      </x:c>
      <x:c r="P204" s="45" t="n">
        <x:v>31500</x:v>
      </x:c>
      <x:c r="Q204" t="str">
        <x:v>Entregue</x:v>
      </x:c>
      <x:c r="R204" t="str"/>
      <x:c r="S204" t="str">
        <x:v>Nao</x:v>
      </x:c>
      <x:c r="T204" t="str">
        <x:v>Nao</x:v>
      </x:c>
    </x:row>
    <x:row r="205" ht="19" customHeight="1">
      <x:c r="A205" t="str">
        <x:v>ENT-00204</x:v>
      </x:c>
      <x:c r="B205" s="41" t="n">
        <x:v>46264</x:v>
      </x:c>
      <x:c r="C205" s="41" t="n">
        <x:v>46266</x:v>
      </x:c>
      <x:c r="D205" s="41" t="n">
        <x:v>46266</x:v>
      </x:c>
      <x:c r="E205" t="str">
        <x:v>Bem-Estar Higiene, Lda.</x:v>
      </x:c>
      <x:c r="F205" t="str">
        <x:v>Talatona</x:v>
      </x:c>
      <x:c r="G205" t="str">
        <x:v>Isaías Pedro</x:v>
      </x:c>
      <x:c r="H205" t="str">
        <x:v>VTR-02</x:v>
      </x:c>
      <x:c r="I205" t="str">
        <x:v>Kia K2700</x:v>
      </x:c>
      <x:c r="J205" t="n">
        <x:v>1500</x:v>
      </x:c>
      <x:c r="K205" t="n">
        <x:v>59</x:v>
      </x:c>
      <x:c r="L205" t="n">
        <x:v>59</x:v>
      </x:c>
      <x:c r="M205" t="n">
        <x:v>443.2</x:v>
      </x:c>
      <x:c r="N205" t="n">
        <x:v>21</x:v>
      </x:c>
      <x:c r="O205" s="45" t="n">
        <x:v>908069</x:v>
      </x:c>
      <x:c r="P205" s="45" t="n">
        <x:v>23000</x:v>
      </x:c>
      <x:c r="Q205" t="str">
        <x:v>Entregue</x:v>
      </x:c>
      <x:c r="R205" t="str"/>
      <x:c r="S205" t="str">
        <x:v>Nao</x:v>
      </x:c>
      <x:c r="T205" t="str">
        <x:v>Nao</x:v>
      </x:c>
    </x:row>
    <x:row r="206" ht="19" customHeight="1">
      <x:c r="A206" t="str">
        <x:v>ENT-00205</x:v>
      </x:c>
      <x:c r="B206" s="41" t="n">
        <x:v>46255</x:v>
      </x:c>
      <x:c r="C206" s="41" t="n">
        <x:v>46257</x:v>
      </x:c>
      <x:c r="D206" s="41" t="n">
        <x:v>46257</x:v>
      </x:c>
      <x:c r="E206" t="str">
        <x:v>Sol Nascente Comércio, Lda.</x:v>
      </x:c>
      <x:c r="F206" t="str">
        <x:v>Talatona</x:v>
      </x:c>
      <x:c r="G206" t="str">
        <x:v>Jorge Mário</x:v>
      </x:c>
      <x:c r="H206" t="str">
        <x:v>VTR-11</x:v>
      </x:c>
      <x:c r="I206" t="str">
        <x:v>JAC N56</x:v>
      </x:c>
      <x:c r="J206" t="n">
        <x:v>3500</x:v>
      </x:c>
      <x:c r="K206" t="n">
        <x:v>26</x:v>
      </x:c>
      <x:c r="L206" t="n">
        <x:v>26</x:v>
      </x:c>
      <x:c r="M206" t="n">
        <x:v>443.6</x:v>
      </x:c>
      <x:c r="N206" t="n">
        <x:v>38</x:v>
      </x:c>
      <x:c r="O206" s="45" t="n">
        <x:v>364650</x:v>
      </x:c>
      <x:c r="P206" s="45" t="n">
        <x:v>34500</x:v>
      </x:c>
      <x:c r="Q206" t="str">
        <x:v>Entregue</x:v>
      </x:c>
      <x:c r="R206" t="str"/>
      <x:c r="S206" t="str">
        <x:v>Nao</x:v>
      </x:c>
      <x:c r="T206" t="str">
        <x:v>Nao</x:v>
      </x:c>
    </x:row>
    <x:row r="207" ht="19" customHeight="1">
      <x:c r="A207" t="str">
        <x:v>ENT-00206</x:v>
      </x:c>
      <x:c r="B207" s="41" t="n">
        <x:v>46249</x:v>
      </x:c>
      <x:c r="C207" s="41" t="n">
        <x:v>46252</x:v>
      </x:c>
      <x:c r="D207" s="41" t="n">
        <x:v>46252</x:v>
      </x:c>
      <x:c r="E207" t="str">
        <x:v>Nova Rota Comercial, Lda.</x:v>
      </x:c>
      <x:c r="F207" t="str">
        <x:v>Benfica</x:v>
      </x:c>
      <x:c r="G207" t="str">
        <x:v>Gilberto José</x:v>
      </x:c>
      <x:c r="H207" t="str">
        <x:v>VTR-08</x:v>
      </x:c>
      <x:c r="I207" t="str">
        <x:v>Toyota Hilux</x:v>
      </x:c>
      <x:c r="J207" t="n">
        <x:v>1000</x:v>
      </x:c>
      <x:c r="K207" t="n">
        <x:v>67</x:v>
      </x:c>
      <x:c r="L207" t="n">
        <x:v>67</x:v>
      </x:c>
      <x:c r="M207" t="n">
        <x:v>909</x:v>
      </x:c>
      <x:c r="N207" t="n">
        <x:v>40</x:v>
      </x:c>
      <x:c r="O207" s="45" t="n">
        <x:v>474561</x:v>
      </x:c>
      <x:c r="P207" s="45" t="n">
        <x:v>39500</x:v>
      </x:c>
      <x:c r="Q207" t="str">
        <x:v>Entregue</x:v>
      </x:c>
      <x:c r="R207" t="str"/>
      <x:c r="S207" t="str">
        <x:v>Nao</x:v>
      </x:c>
      <x:c r="T207" t="str">
        <x:v>Nao</x:v>
      </x:c>
    </x:row>
    <x:row r="208" ht="19" customHeight="1">
      <x:c r="A208" t="str">
        <x:v>ENT-00207</x:v>
      </x:c>
      <x:c r="B208" s="41" t="n">
        <x:v>46231</x:v>
      </x:c>
      <x:c r="C208" s="41" t="n">
        <x:v>46234</x:v>
      </x:c>
      <x:c r="D208" s="41" t="n">
        <x:v>46234</x:v>
      </x:c>
      <x:c r="E208" t="str">
        <x:v>Bem-Estar Higiene, Lda.</x:v>
      </x:c>
      <x:c r="F208" t="str">
        <x:v>Benfica</x:v>
      </x:c>
      <x:c r="G208" t="str">
        <x:v>Bernardo Paulo</x:v>
      </x:c>
      <x:c r="H208" t="str">
        <x:v>VTR-01</x:v>
      </x:c>
      <x:c r="I208" t="str">
        <x:v>Kia K2700</x:v>
      </x:c>
      <x:c r="J208" t="n">
        <x:v>1500</x:v>
      </x:c>
      <x:c r="K208" t="n">
        <x:v>48</x:v>
      </x:c>
      <x:c r="L208" t="n">
        <x:v>48</x:v>
      </x:c>
      <x:c r="M208" t="n">
        <x:v>972.6</x:v>
      </x:c>
      <x:c r="N208" t="n">
        <x:v>47</x:v>
      </x:c>
      <x:c r="O208" s="45" t="n">
        <x:v>899856</x:v>
      </x:c>
      <x:c r="P208" s="45" t="n">
        <x:v>45000</x:v>
      </x:c>
      <x:c r="Q208" t="str">
        <x:v>Entregue</x:v>
      </x:c>
      <x:c r="R208" t="str"/>
      <x:c r="S208" t="str">
        <x:v>Nao</x:v>
      </x:c>
      <x:c r="T208" t="str">
        <x:v>Nao</x:v>
      </x:c>
    </x:row>
    <x:row r="209" ht="19" customHeight="1">
      <x:c r="A209" t="str">
        <x:v>ENT-00208</x:v>
      </x:c>
      <x:c r="B209" s="41" t="n">
        <x:v>46265</x:v>
      </x:c>
      <x:c r="C209" s="41" t="n">
        <x:v>46267</x:v>
      </x:c>
      <x:c r="D209" s="41" t="n">
        <x:v>46267</x:v>
      </x:c>
      <x:c r="E209" t="str">
        <x:v>Mercado Sul, Lda.</x:v>
      </x:c>
      <x:c r="F209" t="str">
        <x:v>Nova Vida</x:v>
      </x:c>
      <x:c r="G209" t="str">
        <x:v>Dário Joaquim</x:v>
      </x:c>
      <x:c r="H209" t="str">
        <x:v>VTR-01</x:v>
      </x:c>
      <x:c r="I209" t="str">
        <x:v>Kia K2700</x:v>
      </x:c>
      <x:c r="J209" t="n">
        <x:v>1500</x:v>
      </x:c>
      <x:c r="K209" t="n">
        <x:v>55</x:v>
      </x:c>
      <x:c r="L209" t="n">
        <x:v>55</x:v>
      </x:c>
      <x:c r="M209" t="n">
        <x:v>1068.9</x:v>
      </x:c>
      <x:c r="N209" t="n">
        <x:v>20</x:v>
      </x:c>
      <x:c r="O209" s="45" t="n">
        <x:v>948805</x:v>
      </x:c>
      <x:c r="P209" s="45" t="n">
        <x:v>30000</x:v>
      </x:c>
      <x:c r="Q209" t="str">
        <x:v>Entregue</x:v>
      </x:c>
      <x:c r="R209" t="str"/>
      <x:c r="S209" t="str">
        <x:v>Nao</x:v>
      </x:c>
      <x:c r="T209" t="str">
        <x:v>Nao</x:v>
      </x:c>
    </x:row>
    <x:row r="210" ht="19" customHeight="1">
      <x:c r="A210" t="str">
        <x:v>ENT-00209</x:v>
      </x:c>
      <x:c r="B210" s="41" t="n">
        <x:v>46259</x:v>
      </x:c>
      <x:c r="C210" s="41" t="n">
        <x:v>46261</x:v>
      </x:c>
      <x:c r="D210" s="41" t="n">
        <x:v>46261</x:v>
      </x:c>
      <x:c r="E210" t="str">
        <x:v>Via Certa Serviços, Lda.</x:v>
      </x:c>
      <x:c r="F210" t="str">
        <x:v>Talatona</x:v>
      </x:c>
      <x:c r="G210" t="str">
        <x:v>Kito Alberto</x:v>
      </x:c>
      <x:c r="H210" t="str">
        <x:v>VTR-03</x:v>
      </x:c>
      <x:c r="I210" t="str">
        <x:v>Toyota Dyna</x:v>
      </x:c>
      <x:c r="J210" t="n">
        <x:v>3000</x:v>
      </x:c>
      <x:c r="K210" t="n">
        <x:v>73</x:v>
      </x:c>
      <x:c r="L210" t="n">
        <x:v>73</x:v>
      </x:c>
      <x:c r="M210" t="n">
        <x:v>774.9</x:v>
      </x:c>
      <x:c r="N210" t="n">
        <x:v>38</x:v>
      </x:c>
      <x:c r="O210" s="45" t="n">
        <x:v>1523510</x:v>
      </x:c>
      <x:c r="P210" s="45" t="n">
        <x:v>35500</x:v>
      </x:c>
      <x:c r="Q210" t="str">
        <x:v>Entregue</x:v>
      </x:c>
      <x:c r="R210" t="str"/>
      <x:c r="S210" t="str">
        <x:v>Nao</x:v>
      </x:c>
      <x:c r="T210" t="str">
        <x:v>Nao</x:v>
      </x:c>
    </x:row>
    <x:row r="211" ht="19" customHeight="1">
      <x:c r="A211" t="str">
        <x:v>ENT-00210</x:v>
      </x:c>
      <x:c r="B211" s="41" t="n">
        <x:v>46228</x:v>
      </x:c>
      <x:c r="C211" s="41" t="n">
        <x:v>46230</x:v>
      </x:c>
      <x:c r="D211" s="41" t="n">
        <x:v>46231</x:v>
      </x:c>
      <x:c r="E211" t="str">
        <x:v>Mundo Fresco, Lda.</x:v>
      </x:c>
      <x:c r="F211" t="str">
        <x:v>Viana</x:v>
      </x:c>
      <x:c r="G211" t="str">
        <x:v>Félix Domingos</x:v>
      </x:c>
      <x:c r="H211" t="str">
        <x:v>VTR-04</x:v>
      </x:c>
      <x:c r="I211" t="str">
        <x:v>Toyota Dyna</x:v>
      </x:c>
      <x:c r="J211" t="n">
        <x:v>3000</x:v>
      </x:c>
      <x:c r="K211" t="n">
        <x:v>13</x:v>
      </x:c>
      <x:c r="L211" t="n">
        <x:v>13</x:v>
      </x:c>
      <x:c r="M211" t="n">
        <x:v>425.4</x:v>
      </x:c>
      <x:c r="N211" t="n">
        <x:v>37</x:v>
      </x:c>
      <x:c r="O211" s="45" t="n">
        <x:v>223587</x:v>
      </x:c>
      <x:c r="P211" s="45" t="n">
        <x:v>30000</x:v>
      </x:c>
      <x:c r="Q211" t="str">
        <x:v>Entregue</x:v>
      </x:c>
      <x:c r="R211" t="str">
        <x:v>Chuva/condicao da via</x:v>
      </x:c>
      <x:c r="S211" t="str">
        <x:v>Nao</x:v>
      </x:c>
      <x:c r="T211" t="str">
        <x:v>Nao</x:v>
      </x:c>
    </x:row>
    <x:row r="212" ht="19" customHeight="1">
      <x:c r="A212" t="str">
        <x:v>ENT-00211</x:v>
      </x:c>
      <x:c r="B212" s="41" t="n">
        <x:v>46211</x:v>
      </x:c>
      <x:c r="C212" s="41" t="n">
        <x:v>46213</x:v>
      </x:c>
      <x:c r="D212" s="41" t="n">
        <x:v>46214</x:v>
      </x:c>
      <x:c r="E212" t="str">
        <x:v>Maxi Centro, Lda.</x:v>
      </x:c>
      <x:c r="F212" t="str">
        <x:v>Viana</x:v>
      </x:c>
      <x:c r="G212" t="str">
        <x:v>Bernardo Paulo</x:v>
      </x:c>
      <x:c r="H212" t="str">
        <x:v>VTR-06</x:v>
      </x:c>
      <x:c r="I212" t="str">
        <x:v>Isuzu NPR</x:v>
      </x:c>
      <x:c r="J212" t="n">
        <x:v>5000</x:v>
      </x:c>
      <x:c r="K212" t="n">
        <x:v>40</x:v>
      </x:c>
      <x:c r="L212" t="n">
        <x:v>40</x:v>
      </x:c>
      <x:c r="M212" t="n">
        <x:v>712.8</x:v>
      </x:c>
      <x:c r="N212" t="n">
        <x:v>38</x:v>
      </x:c>
      <x:c r="O212" s="45" t="n">
        <x:v>685680</x:v>
      </x:c>
      <x:c r="P212" s="45" t="n">
        <x:v>34000</x:v>
      </x:c>
      <x:c r="Q212" t="str">
        <x:v>Entregue</x:v>
      </x:c>
      <x:c r="R212" t="str">
        <x:v>Transito intenso</x:v>
      </x:c>
      <x:c r="S212" t="str">
        <x:v>Nao</x:v>
      </x:c>
      <x:c r="T212" t="str">
        <x:v>Nao</x:v>
      </x:c>
    </x:row>
    <x:row r="213" ht="19" customHeight="1">
      <x:c r="A213" t="str">
        <x:v>ENT-00212</x:v>
      </x:c>
      <x:c r="B213" s="41" t="n">
        <x:v>46241</x:v>
      </x:c>
      <x:c r="C213" s="41" t="n">
        <x:v>46242</x:v>
      </x:c>
      <x:c r="D213" s="41" t="n">
        <x:v>46242</x:v>
      </x:c>
      <x:c r="E213" t="str">
        <x:v>Mundo Fresco, Lda.</x:v>
      </x:c>
      <x:c r="F213" t="str">
        <x:v>Maianga</x:v>
      </x:c>
      <x:c r="G213" t="str">
        <x:v>Adriano Manuel</x:v>
      </x:c>
      <x:c r="H213" t="str">
        <x:v>VTR-11</x:v>
      </x:c>
      <x:c r="I213" t="str">
        <x:v>JAC N56</x:v>
      </x:c>
      <x:c r="J213" t="n">
        <x:v>3500</x:v>
      </x:c>
      <x:c r="K213" t="n">
        <x:v>28</x:v>
      </x:c>
      <x:c r="L213" t="n">
        <x:v>28</x:v>
      </x:c>
      <x:c r="M213" t="n">
        <x:v>794.7</x:v>
      </x:c>
      <x:c r="N213" t="n">
        <x:v>13</x:v>
      </x:c>
      <x:c r="O213" s="45" t="n">
        <x:v>543060</x:v>
      </x:c>
      <x:c r="P213" s="45" t="n">
        <x:v>26500</x:v>
      </x:c>
      <x:c r="Q213" t="str">
        <x:v>Entregue</x:v>
      </x:c>
      <x:c r="R213" t="str"/>
      <x:c r="S213" t="str">
        <x:v>Nao</x:v>
      </x:c>
      <x:c r="T213" t="str">
        <x:v>Nao</x:v>
      </x:c>
    </x:row>
    <x:row r="214" ht="19" customHeight="1">
      <x:c r="A214" t="str">
        <x:v>ENT-00213</x:v>
      </x:c>
      <x:c r="B214" s="41" t="n">
        <x:v>46230</x:v>
      </x:c>
      <x:c r="C214" s="41" t="n">
        <x:v>46232</x:v>
      </x:c>
      <x:c r="D214" s="41" t="n">
        <x:v>46232</x:v>
      </x:c>
      <x:c r="E214" t="str">
        <x:v>Bem-Estar Higiene, Lda.</x:v>
      </x:c>
      <x:c r="F214" t="str">
        <x:v>Talatona</x:v>
      </x:c>
      <x:c r="G214" t="str">
        <x:v>Jorge Mário</x:v>
      </x:c>
      <x:c r="H214" t="str">
        <x:v>VTR-09</x:v>
      </x:c>
      <x:c r="I214" t="str">
        <x:v>Toyota Hilux</x:v>
      </x:c>
      <x:c r="J214" t="n">
        <x:v>1000</x:v>
      </x:c>
      <x:c r="K214" t="n">
        <x:v>69</x:v>
      </x:c>
      <x:c r="L214" t="n">
        <x:v>69</x:v>
      </x:c>
      <x:c r="M214" t="n">
        <x:v>608</x:v>
      </x:c>
      <x:c r="N214" t="n">
        <x:v>20</x:v>
      </x:c>
      <x:c r="O214" s="45" t="n">
        <x:v>782943</x:v>
      </x:c>
      <x:c r="P214" s="45" t="n">
        <x:v>28000</x:v>
      </x:c>
      <x:c r="Q214" t="str">
        <x:v>Entregue</x:v>
      </x:c>
      <x:c r="R214" t="str"/>
      <x:c r="S214" t="str">
        <x:v>Nao</x:v>
      </x:c>
      <x:c r="T214" t="str">
        <x:v>Nao</x:v>
      </x:c>
    </x:row>
    <x:row r="215" ht="19" customHeight="1">
      <x:c r="A215" t="str">
        <x:v>ENT-00214</x:v>
      </x:c>
      <x:c r="B215" s="41" t="n">
        <x:v>46254</x:v>
      </x:c>
      <x:c r="C215" s="41" t="n">
        <x:v>46257</x:v>
      </x:c>
      <x:c r="D215" s="41" t="n">
        <x:v>46258</x:v>
      </x:c>
      <x:c r="E215" t="str">
        <x:v>Via Certa Serviços, Lda.</x:v>
      </x:c>
      <x:c r="F215" t="str">
        <x:v>Kilamba</x:v>
      </x:c>
      <x:c r="G215" t="str">
        <x:v>Elísio António</x:v>
      </x:c>
      <x:c r="H215" t="str">
        <x:v>VTR-02</x:v>
      </x:c>
      <x:c r="I215" t="str">
        <x:v>Kia K2700</x:v>
      </x:c>
      <x:c r="J215" t="n">
        <x:v>1500</x:v>
      </x:c>
      <x:c r="K215" t="n">
        <x:v>19</x:v>
      </x:c>
      <x:c r="L215" t="n">
        <x:v>19</x:v>
      </x:c>
      <x:c r="M215" t="n">
        <x:v>272.4</x:v>
      </x:c>
      <x:c r="N215" t="n">
        <x:v>42</x:v>
      </x:c>
      <x:c r="O215" s="45" t="n">
        <x:v>471390</x:v>
      </x:c>
      <x:c r="P215" s="45" t="n">
        <x:v>29000</x:v>
      </x:c>
      <x:c r="Q215" t="str">
        <x:v>Entregue</x:v>
      </x:c>
      <x:c r="R215" t="str">
        <x:v>Chuva/condicao da via</x:v>
      </x:c>
      <x:c r="S215" t="str">
        <x:v>Nao</x:v>
      </x:c>
      <x:c r="T215" t="str">
        <x:v>Nao</x:v>
      </x:c>
    </x:row>
    <x:row r="216" ht="19" customHeight="1">
      <x:c r="A216" t="str">
        <x:v>ENT-00215</x:v>
      </x:c>
      <x:c r="B216" s="41" t="n">
        <x:v>46255</x:v>
      </x:c>
      <x:c r="C216" s="41" t="n">
        <x:v>46257</x:v>
      </x:c>
      <x:c r="D216" s="41" t="n">
        <x:v>46257</x:v>
      </x:c>
      <x:c r="E216" t="str">
        <x:v>Bem-Estar Higiene, Lda.</x:v>
      </x:c>
      <x:c r="F216" t="str">
        <x:v>Talatona</x:v>
      </x:c>
      <x:c r="G216" t="str">
        <x:v>Carlos Mateus</x:v>
      </x:c>
      <x:c r="H216" t="str">
        <x:v>VTR-01</x:v>
      </x:c>
      <x:c r="I216" t="str">
        <x:v>Kia K2700</x:v>
      </x:c>
      <x:c r="J216" t="n">
        <x:v>1500</x:v>
      </x:c>
      <x:c r="K216" t="n">
        <x:v>35</x:v>
      </x:c>
      <x:c r="L216" t="n">
        <x:v>35</x:v>
      </x:c>
      <x:c r="M216" t="n">
        <x:v>585.5</x:v>
      </x:c>
      <x:c r="N216" t="n">
        <x:v>20</x:v>
      </x:c>
      <x:c r="O216" s="45" t="n">
        <x:v>623175</x:v>
      </x:c>
      <x:c r="P216" s="45" t="n">
        <x:v>27000</x:v>
      </x:c>
      <x:c r="Q216" t="str">
        <x:v>Entregue</x:v>
      </x:c>
      <x:c r="R216" t="str"/>
      <x:c r="S216" t="str">
        <x:v>Nao</x:v>
      </x:c>
      <x:c r="T216" t="str">
        <x:v>Nao</x:v>
      </x:c>
    </x:row>
    <x:row r="217" ht="19" customHeight="1">
      <x:c r="A217" t="str">
        <x:v>ENT-00216</x:v>
      </x:c>
      <x:c r="B217" s="41" t="n">
        <x:v>46209</x:v>
      </x:c>
      <x:c r="C217" s="41" t="n">
        <x:v>46211</x:v>
      </x:c>
      <x:c r="D217" s="41" t="n">
        <x:v>46211</x:v>
      </x:c>
      <x:c r="E217" t="str">
        <x:v>Kiala &amp; Filhos, Lda.</x:v>
      </x:c>
      <x:c r="F217" t="str">
        <x:v>Morro Bento</x:v>
      </x:c>
      <x:c r="G217" t="str">
        <x:v>Jorge Mário</x:v>
      </x:c>
      <x:c r="H217" t="str">
        <x:v>VTR-03</x:v>
      </x:c>
      <x:c r="I217" t="str">
        <x:v>Toyota Dyna</x:v>
      </x:c>
      <x:c r="J217" t="n">
        <x:v>3000</x:v>
      </x:c>
      <x:c r="K217" t="n">
        <x:v>34</x:v>
      </x:c>
      <x:c r="L217" t="n">
        <x:v>34</x:v>
      </x:c>
      <x:c r="M217" t="n">
        <x:v>1034.6</x:v>
      </x:c>
      <x:c r="N217" t="n">
        <x:v>20</x:v>
      </x:c>
      <x:c r="O217" s="45" t="n">
        <x:v>220660</x:v>
      </x:c>
      <x:c r="P217" s="45" t="n">
        <x:v>34000</x:v>
      </x:c>
      <x:c r="Q217" t="str">
        <x:v>Entregue</x:v>
      </x:c>
      <x:c r="R217" t="str"/>
      <x:c r="S217" t="str">
        <x:v>Nao</x:v>
      </x:c>
      <x:c r="T217" t="str">
        <x:v>Nao</x:v>
      </x:c>
    </x:row>
    <x:row r="218" ht="19" customHeight="1">
      <x:c r="A218" t="str">
        <x:v>ENT-00217</x:v>
      </x:c>
      <x:c r="B218" s="41" t="n">
        <x:v>46257</x:v>
      </x:c>
      <x:c r="C218" s="41" t="n">
        <x:v>46258</x:v>
      </x:c>
      <x:c r="D218" s="41" t="n">
        <x:v>46258</x:v>
      </x:c>
      <x:c r="E218" t="str">
        <x:v>Maxi Centro, Lda.</x:v>
      </x:c>
      <x:c r="F218" t="str">
        <x:v>Maianga</x:v>
      </x:c>
      <x:c r="G218" t="str">
        <x:v>Isaías Pedro</x:v>
      </x:c>
      <x:c r="H218" t="str">
        <x:v>VTR-01</x:v>
      </x:c>
      <x:c r="I218" t="str">
        <x:v>Kia K2700</x:v>
      </x:c>
      <x:c r="J218" t="n">
        <x:v>1500</x:v>
      </x:c>
      <x:c r="K218" t="n">
        <x:v>9</x:v>
      </x:c>
      <x:c r="L218" t="n">
        <x:v>9</x:v>
      </x:c>
      <x:c r="M218" t="n">
        <x:v>216.6</x:v>
      </x:c>
      <x:c r="N218" t="n">
        <x:v>15</x:v>
      </x:c>
      <x:c r="O218" s="45" t="n">
        <x:v>145350</x:v>
      </x:c>
      <x:c r="P218" s="45" t="n">
        <x:v>18000</x:v>
      </x:c>
      <x:c r="Q218" t="str">
        <x:v>Entregue</x:v>
      </x:c>
      <x:c r="R218" t="str"/>
      <x:c r="S218" t="str">
        <x:v>Nao</x:v>
      </x:c>
      <x:c r="T218" t="str">
        <x:v>Nao</x:v>
      </x:c>
    </x:row>
    <x:row r="219" ht="19" customHeight="1">
      <x:c r="A219" t="str">
        <x:v>ENT-00218</x:v>
      </x:c>
      <x:c r="B219" s="41" t="n">
        <x:v>46216</x:v>
      </x:c>
      <x:c r="C219" s="41" t="n">
        <x:v>46218</x:v>
      </x:c>
      <x:c r="D219" s="41" t="n">
        <x:v>46218</x:v>
      </x:c>
      <x:c r="E219" t="str">
        <x:v>Rota Azul, Lda.</x:v>
      </x:c>
      <x:c r="F219" t="str">
        <x:v>Benfica</x:v>
      </x:c>
      <x:c r="G219" t="str">
        <x:v>Bernardo Paulo</x:v>
      </x:c>
      <x:c r="H219" t="str">
        <x:v>VTR-08</x:v>
      </x:c>
      <x:c r="I219" t="str">
        <x:v>Toyota Hilux</x:v>
      </x:c>
      <x:c r="J219" t="n">
        <x:v>1000</x:v>
      </x:c>
      <x:c r="K219" t="n">
        <x:v>9</x:v>
      </x:c>
      <x:c r="L219" t="n">
        <x:v>9</x:v>
      </x:c>
      <x:c r="M219" t="n">
        <x:v>229.8</x:v>
      </x:c>
      <x:c r="N219" t="n">
        <x:v>35</x:v>
      </x:c>
      <x:c r="O219" s="45" t="n">
        <x:v>198774</x:v>
      </x:c>
      <x:c r="P219" s="45" t="n">
        <x:v>23500</x:v>
      </x:c>
      <x:c r="Q219" t="str">
        <x:v>Entregue</x:v>
      </x:c>
      <x:c r="R219" t="str"/>
      <x:c r="S219" t="str">
        <x:v>Nao</x:v>
      </x:c>
      <x:c r="T219" t="str">
        <x:v>Nao</x:v>
      </x:c>
    </x:row>
    <x:row r="220" ht="19" customHeight="1">
      <x:c r="A220" t="str">
        <x:v>ENT-00219</x:v>
      </x:c>
      <x:c r="B220" s="41" t="n">
        <x:v>46246</x:v>
      </x:c>
      <x:c r="C220" s="41" t="n">
        <x:v>46249</x:v>
      </x:c>
      <x:c r="D220" s="41" t="n">
        <x:v>46248</x:v>
      </x:c>
      <x:c r="E220" t="str">
        <x:v>Ponto Logístico, Lda.</x:v>
      </x:c>
      <x:c r="F220" t="str">
        <x:v>Cacuaco</x:v>
      </x:c>
      <x:c r="G220" t="str">
        <x:v>Lucas Tomás</x:v>
      </x:c>
      <x:c r="H220" t="str">
        <x:v>VTR-12</x:v>
      </x:c>
      <x:c r="I220" t="str">
        <x:v>Hyundai H100</x:v>
      </x:c>
      <x:c r="J220" t="n">
        <x:v>1300</x:v>
      </x:c>
      <x:c r="K220" t="n">
        <x:v>59</x:v>
      </x:c>
      <x:c r="L220" t="n">
        <x:v>59</x:v>
      </x:c>
      <x:c r="M220" t="n">
        <x:v>810</x:v>
      </x:c>
      <x:c r="N220" t="n">
        <x:v>49</x:v>
      </x:c>
      <x:c r="O220" s="45" t="n">
        <x:v>1065304</x:v>
      </x:c>
      <x:c r="P220" s="45" t="n">
        <x:v>43000</x:v>
      </x:c>
      <x:c r="Q220" t="str">
        <x:v>Entregue</x:v>
      </x:c>
      <x:c r="R220" t="str"/>
      <x:c r="S220" t="str">
        <x:v>Nao</x:v>
      </x:c>
      <x:c r="T220" t="str">
        <x:v>Nao</x:v>
      </x:c>
    </x:row>
    <x:row r="221" ht="19" customHeight="1">
      <x:c r="A221" t="str">
        <x:v>ENT-00220</x:v>
      </x:c>
      <x:c r="B221" s="41" t="n">
        <x:v>46217</x:v>
      </x:c>
      <x:c r="C221" s="41" t="n">
        <x:v>46219</x:v>
      </x:c>
      <x:c r="D221" s="41" t="n">
        <x:v>46220</x:v>
      </x:c>
      <x:c r="E221" t="str">
        <x:v>Prime Stock, Lda.</x:v>
      </x:c>
      <x:c r="F221" t="str">
        <x:v>Kilamba</x:v>
      </x:c>
      <x:c r="G221" t="str">
        <x:v>Félix Domingos</x:v>
      </x:c>
      <x:c r="H221" t="str">
        <x:v>VTR-10</x:v>
      </x:c>
      <x:c r="I221" t="str">
        <x:v>Foton Aumark</x:v>
      </x:c>
      <x:c r="J221" t="n">
        <x:v>4000</x:v>
      </x:c>
      <x:c r="K221" t="n">
        <x:v>33</x:v>
      </x:c>
      <x:c r="L221" t="n">
        <x:v>33</x:v>
      </x:c>
      <x:c r="M221" t="n">
        <x:v>601.6</x:v>
      </x:c>
      <x:c r="N221" t="n">
        <x:v>33</x:v>
      </x:c>
      <x:c r="O221" s="45" t="n">
        <x:v>751575</x:v>
      </x:c>
      <x:c r="P221" s="45" t="n">
        <x:v>32500</x:v>
      </x:c>
      <x:c r="Q221" t="str">
        <x:v>Entregue</x:v>
      </x:c>
      <x:c r="R221" t="str">
        <x:v>Cliente indisponivel</x:v>
      </x:c>
      <x:c r="S221" t="str">
        <x:v>Nao</x:v>
      </x:c>
      <x:c r="T221" t="str">
        <x:v>Nao</x:v>
      </x:c>
    </x:row>
    <x:row r="222" ht="19" customHeight="1">
      <x:c r="A222" t="str">
        <x:v>ENT-00221</x:v>
      </x:c>
      <x:c r="B222" s="41" t="n">
        <x:v>46264</x:v>
      </x:c>
      <x:c r="C222" s="41" t="n">
        <x:v>46265</x:v>
      </x:c>
      <x:c r="D222" s="41" t="n">
        <x:v>46267</x:v>
      </x:c>
      <x:c r="E222" t="str">
        <x:v>Ponto Logístico, Lda.</x:v>
      </x:c>
      <x:c r="F222" t="str">
        <x:v>Viana</x:v>
      </x:c>
      <x:c r="G222" t="str">
        <x:v>Elísio António</x:v>
      </x:c>
      <x:c r="H222" t="str">
        <x:v>VTR-08</x:v>
      </x:c>
      <x:c r="I222" t="str">
        <x:v>Toyota Hilux</x:v>
      </x:c>
      <x:c r="J222" t="n">
        <x:v>1000</x:v>
      </x:c>
      <x:c r="K222" t="n">
        <x:v>15</x:v>
      </x:c>
      <x:c r="L222" t="n">
        <x:v>0</x:v>
      </x:c>
      <x:c r="M222" t="n">
        <x:v>488.4</x:v>
      </x:c>
      <x:c r="N222" t="n">
        <x:v>19</x:v>
      </x:c>
      <x:c r="O222" s="45" t="n">
        <x:v>230895</x:v>
      </x:c>
      <x:c r="P222" s="45" t="n">
        <x:v>25500</x:v>
      </x:c>
      <x:c r="Q222" t="str">
        <x:v>Falhada</x:v>
      </x:c>
      <x:c r="R222" t="str">
        <x:v>Cliente ausente</x:v>
      </x:c>
      <x:c r="S222" t="str">
        <x:v>Nao</x:v>
      </x:c>
      <x:c r="T222" t="str">
        <x:v>Nao</x:v>
      </x:c>
    </x:row>
    <x:row r="223" ht="19" customHeight="1">
      <x:c r="A223" t="str">
        <x:v>ENT-00222</x:v>
      </x:c>
      <x:c r="B223" s="41" t="n">
        <x:v>46206</x:v>
      </x:c>
      <x:c r="C223" s="41" t="n">
        <x:v>46209</x:v>
      </x:c>
      <x:c r="D223" s="41" t="n">
        <x:v>46209</x:v>
      </x:c>
      <x:c r="E223" t="str">
        <x:v>Sol Nascente Comércio, Lda.</x:v>
      </x:c>
      <x:c r="F223" t="str">
        <x:v>Benfica</x:v>
      </x:c>
      <x:c r="G223" t="str">
        <x:v>Elísio António</x:v>
      </x:c>
      <x:c r="H223" t="str">
        <x:v>VTR-12</x:v>
      </x:c>
      <x:c r="I223" t="str">
        <x:v>Hyundai H100</x:v>
      </x:c>
      <x:c r="J223" t="n">
        <x:v>1300</x:v>
      </x:c>
      <x:c r="K223" t="n">
        <x:v>25</x:v>
      </x:c>
      <x:c r="L223" t="n">
        <x:v>25</x:v>
      </x:c>
      <x:c r="M223" t="n">
        <x:v>342.5</x:v>
      </x:c>
      <x:c r="N223" t="n">
        <x:v>41</x:v>
      </x:c>
      <x:c r="O223" s="45" t="n">
        <x:v>136050</x:v>
      </x:c>
      <x:c r="P223" s="45" t="n">
        <x:v>32500</x:v>
      </x:c>
      <x:c r="Q223" t="str">
        <x:v>Entregue</x:v>
      </x:c>
      <x:c r="R223" t="str"/>
      <x:c r="S223" t="str">
        <x:v>Nao</x:v>
      </x:c>
      <x:c r="T223" t="str">
        <x:v>Nao</x:v>
      </x:c>
    </x:row>
    <x:row r="224" ht="19" customHeight="1">
      <x:c r="A224" t="str">
        <x:v>ENT-00223</x:v>
      </x:c>
      <x:c r="B224" s="41" t="n">
        <x:v>46214</x:v>
      </x:c>
      <x:c r="C224" s="41" t="n">
        <x:v>46216</x:v>
      </x:c>
      <x:c r="D224" s="41" t="n">
        <x:v>46216</x:v>
      </x:c>
      <x:c r="E224" t="str">
        <x:v>Cesta Certa, Lda.</x:v>
      </x:c>
      <x:c r="F224" t="str">
        <x:v>Talatona</x:v>
      </x:c>
      <x:c r="G224" t="str">
        <x:v>Elísio António</x:v>
      </x:c>
      <x:c r="H224" t="str">
        <x:v>VTR-05</x:v>
      </x:c>
      <x:c r="I224" t="str">
        <x:v>Hyundai HD65</x:v>
      </x:c>
      <x:c r="J224" t="n">
        <x:v>3500</x:v>
      </x:c>
      <x:c r="K224" t="n">
        <x:v>58</x:v>
      </x:c>
      <x:c r="L224" t="n">
        <x:v>58</x:v>
      </x:c>
      <x:c r="M224" t="n">
        <x:v>1104.8</x:v>
      </x:c>
      <x:c r="N224" t="n">
        <x:v>32</x:v>
      </x:c>
      <x:c r="O224" s="45" t="n">
        <x:v>993308</x:v>
      </x:c>
      <x:c r="P224" s="45" t="n">
        <x:v>40000</x:v>
      </x:c>
      <x:c r="Q224" t="str">
        <x:v>Entregue</x:v>
      </x:c>
      <x:c r="R224" t="str"/>
      <x:c r="S224" t="str">
        <x:v>Nao</x:v>
      </x:c>
      <x:c r="T224" t="str">
        <x:v>Nao</x:v>
      </x:c>
    </x:row>
    <x:row r="225" ht="19" customHeight="1">
      <x:c r="A225" t="str">
        <x:v>ENT-00224</x:v>
      </x:c>
      <x:c r="B225" s="41" t="n">
        <x:v>46207</x:v>
      </x:c>
      <x:c r="C225" s="41" t="n">
        <x:v>46210</x:v>
      </x:c>
      <x:c r="D225" s="41" t="n">
        <x:v>46210</x:v>
      </x:c>
      <x:c r="E225" t="str">
        <x:v>Mundo Fresco, Lda.</x:v>
      </x:c>
      <x:c r="F225" t="str">
        <x:v>Cacuaco</x:v>
      </x:c>
      <x:c r="G225" t="str">
        <x:v>Isaías Pedro</x:v>
      </x:c>
      <x:c r="H225" t="str">
        <x:v>VTR-10</x:v>
      </x:c>
      <x:c r="I225" t="str">
        <x:v>Foton Aumark</x:v>
      </x:c>
      <x:c r="J225" t="n">
        <x:v>4000</x:v>
      </x:c>
      <x:c r="K225" t="n">
        <x:v>29</x:v>
      </x:c>
      <x:c r="L225" t="n">
        <x:v>29</x:v>
      </x:c>
      <x:c r="M225" t="n">
        <x:v>811.1</x:v>
      </x:c>
      <x:c r="N225" t="n">
        <x:v>44</x:v>
      </x:c>
      <x:c r="O225" s="45" t="n">
        <x:v>637333</x:v>
      </x:c>
      <x:c r="P225" s="45" t="n">
        <x:v>40000</x:v>
      </x:c>
      <x:c r="Q225" t="str">
        <x:v>Entregue</x:v>
      </x:c>
      <x:c r="R225" t="str"/>
      <x:c r="S225" t="str">
        <x:v>Nao</x:v>
      </x:c>
      <x:c r="T225" t="str">
        <x:v>Nao</x:v>
      </x:c>
    </x:row>
    <x:row r="226" ht="19" customHeight="1">
      <x:c r="A226" t="str">
        <x:v>ENT-00225</x:v>
      </x:c>
      <x:c r="B226" s="41" t="n">
        <x:v>46247</x:v>
      </x:c>
      <x:c r="C226" s="41" t="n">
        <x:v>46250</x:v>
      </x:c>
      <x:c r="D226" s="41" t="n">
        <x:v>46249</x:v>
      </x:c>
      <x:c r="E226" t="str">
        <x:v>Ponto Logístico, Lda.</x:v>
      </x:c>
      <x:c r="F226" t="str">
        <x:v>Kikuxi</x:v>
      </x:c>
      <x:c r="G226" t="str">
        <x:v>Gilberto José</x:v>
      </x:c>
      <x:c r="H226" t="str">
        <x:v>VTR-04</x:v>
      </x:c>
      <x:c r="I226" t="str">
        <x:v>Toyota Dyna</x:v>
      </x:c>
      <x:c r="J226" t="n">
        <x:v>3000</x:v>
      </x:c>
      <x:c r="K226" t="n">
        <x:v>37</x:v>
      </x:c>
      <x:c r="L226" t="n">
        <x:v>37</x:v>
      </x:c>
      <x:c r="M226" t="n">
        <x:v>1020.6</x:v>
      </x:c>
      <x:c r="N226" t="n">
        <x:v>41</x:v>
      </x:c>
      <x:c r="O226" s="45" t="n">
        <x:v>791615</x:v>
      </x:c>
      <x:c r="P226" s="45" t="n">
        <x:v>45500</x:v>
      </x:c>
      <x:c r="Q226" t="str">
        <x:v>Entregue</x:v>
      </x:c>
      <x:c r="R226" t="str"/>
      <x:c r="S226" t="str">
        <x:v>Nao</x:v>
      </x:c>
      <x:c r="T226" t="str">
        <x:v>Nao</x:v>
      </x:c>
    </x:row>
    <x:row r="227" ht="19" customHeight="1">
      <x:c r="A227" t="str">
        <x:v>ENT-00226</x:v>
      </x:c>
      <x:c r="B227" s="41" t="n">
        <x:v>46204</x:v>
      </x:c>
      <x:c r="C227" s="41" t="n">
        <x:v>46206</x:v>
      </x:c>
      <x:c r="D227" s="41" t="n">
        <x:v>46208</x:v>
      </x:c>
      <x:c r="E227" t="str">
        <x:v>N'gola Market, Lda.</x:v>
      </x:c>
      <x:c r="F227" t="str">
        <x:v>Camama</x:v>
      </x:c>
      <x:c r="G227" t="str">
        <x:v>Gilberto José</x:v>
      </x:c>
      <x:c r="H227" t="str">
        <x:v>VTR-09</x:v>
      </x:c>
      <x:c r="I227" t="str">
        <x:v>Toyota Hilux</x:v>
      </x:c>
      <x:c r="J227" t="n">
        <x:v>1000</x:v>
      </x:c>
      <x:c r="K227" t="n">
        <x:v>72</x:v>
      </x:c>
      <x:c r="L227" t="n">
        <x:v>72</x:v>
      </x:c>
      <x:c r="M227" t="n">
        <x:v>666.2</x:v>
      </x:c>
      <x:c r="N227" t="n">
        <x:v>31</x:v>
      </x:c>
      <x:c r="O227" s="45" t="n">
        <x:v>1149120</x:v>
      </x:c>
      <x:c r="P227" s="45" t="n">
        <x:v>35000</x:v>
      </x:c>
      <x:c r="Q227" t="str">
        <x:v>Entregue</x:v>
      </x:c>
      <x:c r="R227" t="str">
        <x:v>Transito intenso</x:v>
      </x:c>
      <x:c r="S227" t="str">
        <x:v>Nao</x:v>
      </x:c>
      <x:c r="T227" t="str">
        <x:v>Nao</x:v>
      </x:c>
    </x:row>
    <x:row r="228" ht="19" customHeight="1">
      <x:c r="A228" t="str">
        <x:v>ENT-00227</x:v>
      </x:c>
      <x:c r="B228" s="41" t="n">
        <x:v>46234</x:v>
      </x:c>
      <x:c r="C228" s="41" t="n">
        <x:v>46236</x:v>
      </x:c>
      <x:c r="D228" s="41" t="n">
        <x:v>46236</x:v>
      </x:c>
      <x:c r="E228" t="str">
        <x:v>Via Certa Serviços, Lda.</x:v>
      </x:c>
      <x:c r="F228" t="str">
        <x:v>Camama</x:v>
      </x:c>
      <x:c r="G228" t="str">
        <x:v>Carlos Mateus</x:v>
      </x:c>
      <x:c r="H228" t="str">
        <x:v>VTR-09</x:v>
      </x:c>
      <x:c r="I228" t="str">
        <x:v>Toyota Hilux</x:v>
      </x:c>
      <x:c r="J228" t="n">
        <x:v>1000</x:v>
      </x:c>
      <x:c r="K228" t="n">
        <x:v>60</x:v>
      </x:c>
      <x:c r="L228" t="n">
        <x:v>60</x:v>
      </x:c>
      <x:c r="M228" t="n">
        <x:v>686.6</x:v>
      </x:c>
      <x:c r="N228" t="n">
        <x:v>32</x:v>
      </x:c>
      <x:c r="O228" s="45" t="n">
        <x:v>779760</x:v>
      </x:c>
      <x:c r="P228" s="45" t="n">
        <x:v>36000</x:v>
      </x:c>
      <x:c r="Q228" t="str">
        <x:v>Entregue</x:v>
      </x:c>
      <x:c r="R228" t="str"/>
      <x:c r="S228" t="str">
        <x:v>Nao</x:v>
      </x:c>
      <x:c r="T228" t="str">
        <x:v>Nao</x:v>
      </x:c>
    </x:row>
    <x:row r="229" ht="19" customHeight="1">
      <x:c r="A229" t="str">
        <x:v>ENT-00228</x:v>
      </x:c>
      <x:c r="B229" s="41" t="n">
        <x:v>46246</x:v>
      </x:c>
      <x:c r="C229" s="41" t="n">
        <x:v>46247</x:v>
      </x:c>
      <x:c r="D229" s="41" t="n">
        <x:v>46247</x:v>
      </x:c>
      <x:c r="E229" t="str">
        <x:v>Via Certa Serviços, Lda.</x:v>
      </x:c>
      <x:c r="F229" t="str">
        <x:v>Nova Vida</x:v>
      </x:c>
      <x:c r="G229" t="str">
        <x:v>Adriano Manuel</x:v>
      </x:c>
      <x:c r="H229" t="str">
        <x:v>VTR-05</x:v>
      </x:c>
      <x:c r="I229" t="str">
        <x:v>Hyundai HD65</x:v>
      </x:c>
      <x:c r="J229" t="n">
        <x:v>3500</x:v>
      </x:c>
      <x:c r="K229" t="n">
        <x:v>65</x:v>
      </x:c>
      <x:c r="L229" t="n">
        <x:v>65</x:v>
      </x:c>
      <x:c r="M229" t="n">
        <x:v>1322.8</x:v>
      </x:c>
      <x:c r="N229" t="n">
        <x:v>15</x:v>
      </x:c>
      <x:c r="O229" s="45" t="n">
        <x:v>898495</x:v>
      </x:c>
      <x:c r="P229" s="45" t="n">
        <x:v>39500</x:v>
      </x:c>
      <x:c r="Q229" t="str">
        <x:v>Entregue</x:v>
      </x:c>
      <x:c r="R229" t="str"/>
      <x:c r="S229" t="str">
        <x:v>Nao</x:v>
      </x:c>
      <x:c r="T229" t="str">
        <x:v>Nao</x:v>
      </x:c>
    </x:row>
    <x:row r="230" ht="19" customHeight="1">
      <x:c r="A230" t="str">
        <x:v>ENT-00229</x:v>
      </x:c>
      <x:c r="B230" s="41" t="n">
        <x:v>46238</x:v>
      </x:c>
      <x:c r="C230" s="41" t="n">
        <x:v>46241</x:v>
      </x:c>
      <x:c r="D230" s="41" t="n">
        <x:v>46241</x:v>
      </x:c>
      <x:c r="E230" t="str">
        <x:v>Atlântico Farma, Lda.</x:v>
      </x:c>
      <x:c r="F230" t="str">
        <x:v>Cacuaco</x:v>
      </x:c>
      <x:c r="G230" t="str">
        <x:v>Kito Alberto</x:v>
      </x:c>
      <x:c r="H230" t="str">
        <x:v>VTR-02</x:v>
      </x:c>
      <x:c r="I230" t="str">
        <x:v>Kia K2700</x:v>
      </x:c>
      <x:c r="J230" t="n">
        <x:v>1500</x:v>
      </x:c>
      <x:c r="K230" t="n">
        <x:v>14</x:v>
      </x:c>
      <x:c r="L230" t="n">
        <x:v>14</x:v>
      </x:c>
      <x:c r="M230" t="n">
        <x:v>129.5</x:v>
      </x:c>
      <x:c r="N230" t="n">
        <x:v>55</x:v>
      </x:c>
      <x:c r="O230" s="45" t="n">
        <x:v>86240</x:v>
      </x:c>
      <x:c r="P230" s="45" t="n">
        <x:v>36500</x:v>
      </x:c>
      <x:c r="Q230" t="str">
        <x:v>Entregue</x:v>
      </x:c>
      <x:c r="R230" t="str"/>
      <x:c r="S230" t="str">
        <x:v>Nao</x:v>
      </x:c>
      <x:c r="T230" t="str">
        <x:v>Nao</x:v>
      </x:c>
    </x:row>
    <x:row r="231" ht="19" customHeight="1">
      <x:c r="A231" t="str">
        <x:v>ENT-00230</x:v>
      </x:c>
      <x:c r="B231" s="41" t="n">
        <x:v>46234</x:v>
      </x:c>
      <x:c r="C231" s="41" t="n">
        <x:v>46236</x:v>
      </x:c>
      <x:c r="D231" s="41" t="n">
        <x:v>46236</x:v>
      </x:c>
      <x:c r="E231" t="str">
        <x:v>Bem-Estar Higiene, Lda.</x:v>
      </x:c>
      <x:c r="F231" t="str">
        <x:v>Patriota</x:v>
      </x:c>
      <x:c r="G231" t="str">
        <x:v>Isaías Pedro</x:v>
      </x:c>
      <x:c r="H231" t="str">
        <x:v>VTR-01</x:v>
      </x:c>
      <x:c r="I231" t="str">
        <x:v>Kia K2700</x:v>
      </x:c>
      <x:c r="J231" t="n">
        <x:v>1500</x:v>
      </x:c>
      <x:c r="K231" t="n">
        <x:v>7</x:v>
      </x:c>
      <x:c r="L231" t="n">
        <x:v>7</x:v>
      </x:c>
      <x:c r="M231" t="n">
        <x:v>121.3</x:v>
      </x:c>
      <x:c r="N231" t="n">
        <x:v>33</x:v>
      </x:c>
      <x:c r="O231" s="45" t="n">
        <x:v>89845</x:v>
      </x:c>
      <x:c r="P231" s="45" t="n">
        <x:v>22000</x:v>
      </x:c>
      <x:c r="Q231" t="str">
        <x:v>Entregue</x:v>
      </x:c>
      <x:c r="R231" t="str"/>
      <x:c r="S231" t="str">
        <x:v>Nao</x:v>
      </x:c>
      <x:c r="T231" t="str">
        <x:v>Nao</x:v>
      </x:c>
    </x:row>
    <x:row r="232" ht="19" customHeight="1">
      <x:c r="A232" t="str">
        <x:v>ENT-00231</x:v>
      </x:c>
      <x:c r="B232" s="41" t="n">
        <x:v>46254</x:v>
      </x:c>
      <x:c r="C232" s="41" t="n">
        <x:v>46257</x:v>
      </x:c>
      <x:c r="D232" s="41" t="n">
        <x:v>46257</x:v>
      </x:c>
      <x:c r="E232" t="str">
        <x:v>Kiala &amp; Filhos, Lda.</x:v>
      </x:c>
      <x:c r="F232" t="str">
        <x:v>Zango</x:v>
      </x:c>
      <x:c r="G232" t="str">
        <x:v>Adriano Manuel</x:v>
      </x:c>
      <x:c r="H232" t="str">
        <x:v>VTR-03</x:v>
      </x:c>
      <x:c r="I232" t="str">
        <x:v>Toyota Dyna</x:v>
      </x:c>
      <x:c r="J232" t="n">
        <x:v>3000</x:v>
      </x:c>
      <x:c r="K232" t="n">
        <x:v>82</x:v>
      </x:c>
      <x:c r="L232" t="n">
        <x:v>82</x:v>
      </x:c>
      <x:c r="M232" t="n">
        <x:v>1280.3</x:v>
      </x:c>
      <x:c r="N232" t="n">
        <x:v>58</x:v>
      </x:c>
      <x:c r="O232" s="45" t="n">
        <x:v>1098308</x:v>
      </x:c>
      <x:c r="P232" s="45" t="n">
        <x:v>59500</x:v>
      </x:c>
      <x:c r="Q232" t="str">
        <x:v>Entregue</x:v>
      </x:c>
      <x:c r="R232" t="str"/>
      <x:c r="S232" t="str">
        <x:v>Nao</x:v>
      </x:c>
      <x:c r="T232" t="str">
        <x:v>Nao</x:v>
      </x:c>
    </x:row>
    <x:row r="233" ht="19" customHeight="1">
      <x:c r="A233" t="str">
        <x:v>ENT-00232</x:v>
      </x:c>
      <x:c r="B233" s="41" t="n">
        <x:v>46223</x:v>
      </x:c>
      <x:c r="C233" s="41" t="n">
        <x:v>46224</x:v>
      </x:c>
      <x:c r="D233" s="41" t="n">
        <x:v>46224</x:v>
      </x:c>
      <x:c r="E233" t="str">
        <x:v>Mundo Fresco, Lda.</x:v>
      </x:c>
      <x:c r="F233" t="str">
        <x:v>Ingombota</x:v>
      </x:c>
      <x:c r="G233" t="str">
        <x:v>Gilberto José</x:v>
      </x:c>
      <x:c r="H233" t="str">
        <x:v>VTR-05</x:v>
      </x:c>
      <x:c r="I233" t="str">
        <x:v>Hyundai HD65</x:v>
      </x:c>
      <x:c r="J233" t="n">
        <x:v>3500</x:v>
      </x:c>
      <x:c r="K233" t="n">
        <x:v>51</x:v>
      </x:c>
      <x:c r="L233" t="n">
        <x:v>51</x:v>
      </x:c>
      <x:c r="M233" t="n">
        <x:v>916.4</x:v>
      </x:c>
      <x:c r="N233" t="n">
        <x:v>8</x:v>
      </x:c>
      <x:c r="O233" s="45" t="n">
        <x:v>1070796</x:v>
      </x:c>
      <x:c r="P233" s="45" t="n">
        <x:v>25500</x:v>
      </x:c>
      <x:c r="Q233" t="str">
        <x:v>Entregue</x:v>
      </x:c>
      <x:c r="R233" t="str"/>
      <x:c r="S233" t="str">
        <x:v>Nao</x:v>
      </x:c>
      <x:c r="T233" t="str">
        <x:v>Nao</x:v>
      </x:c>
    </x:row>
    <x:row r="234" ht="19" customHeight="1">
      <x:c r="A234" t="str">
        <x:v>ENT-00233</x:v>
      </x:c>
      <x:c r="B234" s="41" t="n">
        <x:v>46242</x:v>
      </x:c>
      <x:c r="C234" s="41" t="n">
        <x:v>46245</x:v>
      </x:c>
      <x:c r="D234" s="41" t="n">
        <x:v>46245</x:v>
      </x:c>
      <x:c r="E234" t="str">
        <x:v>Prime Stock, Lda.</x:v>
      </x:c>
      <x:c r="F234" t="str">
        <x:v>Sequele</x:v>
      </x:c>
      <x:c r="G234" t="str">
        <x:v>Carlos Mateus</x:v>
      </x:c>
      <x:c r="H234" t="str">
        <x:v>VTR-03</x:v>
      </x:c>
      <x:c r="I234" t="str">
        <x:v>Toyota Dyna</x:v>
      </x:c>
      <x:c r="J234" t="n">
        <x:v>3000</x:v>
      </x:c>
      <x:c r="K234" t="n">
        <x:v>44</x:v>
      </x:c>
      <x:c r="L234" t="n">
        <x:v>40</x:v>
      </x:c>
      <x:c r="M234" t="n">
        <x:v>809.6</x:v>
      </x:c>
      <x:c r="N234" t="n">
        <x:v>44</x:v>
      </x:c>
      <x:c r="O234" s="45" t="n">
        <x:v>593516</x:v>
      </x:c>
      <x:c r="P234" s="45" t="n">
        <x:v>43000</x:v>
      </x:c>
      <x:c r="Q234" t="str">
        <x:v>Entregue</x:v>
      </x:c>
      <x:c r="R234" t="str"/>
      <x:c r="S234" t="str">
        <x:v>Nao</x:v>
      </x:c>
      <x:c r="T234" t="str">
        <x:v>Nao</x:v>
      </x:c>
    </x:row>
    <x:row r="235" ht="19" customHeight="1">
      <x:c r="A235" t="str">
        <x:v>ENT-00234</x:v>
      </x:c>
      <x:c r="B235" s="41" t="n">
        <x:v>46221</x:v>
      </x:c>
      <x:c r="C235" s="41" t="n">
        <x:v>46223</x:v>
      </x:c>
      <x:c r="D235" s="41" t="n">
        <x:v>46223</x:v>
      </x:c>
      <x:c r="E235" t="str">
        <x:v>Sol Nascente Comércio, Lda.</x:v>
      </x:c>
      <x:c r="F235" t="str">
        <x:v>Kikuxi</x:v>
      </x:c>
      <x:c r="G235" t="str">
        <x:v>Adriano Manuel</x:v>
      </x:c>
      <x:c r="H235" t="str">
        <x:v>VTR-10</x:v>
      </x:c>
      <x:c r="I235" t="str">
        <x:v>Foton Aumark</x:v>
      </x:c>
      <x:c r="J235" t="n">
        <x:v>4000</x:v>
      </x:c>
      <x:c r="K235" t="n">
        <x:v>40</x:v>
      </x:c>
      <x:c r="L235" t="n">
        <x:v>40</x:v>
      </x:c>
      <x:c r="M235" t="n">
        <x:v>360.3</x:v>
      </x:c>
      <x:c r="N235" t="n">
        <x:v>39</x:v>
      </x:c>
      <x:c r="O235" s="45" t="n">
        <x:v>457720</x:v>
      </x:c>
      <x:c r="P235" s="45" t="n">
        <x:v>33000</x:v>
      </x:c>
      <x:c r="Q235" t="str">
        <x:v>Entregue</x:v>
      </x:c>
      <x:c r="R235" t="str"/>
      <x:c r="S235" t="str">
        <x:v>Nao</x:v>
      </x:c>
      <x:c r="T235" t="str">
        <x:v>Nao</x:v>
      </x:c>
    </x:row>
    <x:row r="236" ht="19" customHeight="1">
      <x:c r="A236" t="str">
        <x:v>ENT-00235</x:v>
      </x:c>
      <x:c r="B236" s="41" t="n">
        <x:v>46224</x:v>
      </x:c>
      <x:c r="C236" s="41" t="n">
        <x:v>46226</x:v>
      </x:c>
      <x:c r="D236" s="41" t="n">
        <x:v>46226</x:v>
      </x:c>
      <x:c r="E236" t="str">
        <x:v>Cesta Certa, Lda.</x:v>
      </x:c>
      <x:c r="F236" t="str">
        <x:v>Kikuxi</x:v>
      </x:c>
      <x:c r="G236" t="str">
        <x:v>Carlos Mateus</x:v>
      </x:c>
      <x:c r="H236" t="str">
        <x:v>VTR-08</x:v>
      </x:c>
      <x:c r="I236" t="str">
        <x:v>Toyota Hilux</x:v>
      </x:c>
      <x:c r="J236" t="n">
        <x:v>1000</x:v>
      </x:c>
      <x:c r="K236" t="n">
        <x:v>59</x:v>
      </x:c>
      <x:c r="L236" t="n">
        <x:v>59</x:v>
      </x:c>
      <x:c r="M236" t="n">
        <x:v>598.3</x:v>
      </x:c>
      <x:c r="N236" t="n">
        <x:v>30</x:v>
      </x:c>
      <x:c r="O236" s="45" t="n">
        <x:v>578141</x:v>
      </x:c>
      <x:c r="P236" s="45" t="n">
        <x:v>29000</x:v>
      </x:c>
      <x:c r="Q236" t="str">
        <x:v>Entregue</x:v>
      </x:c>
      <x:c r="R236" t="str"/>
      <x:c r="S236" t="str">
        <x:v>Nao</x:v>
      </x:c>
      <x:c r="T236" t="str">
        <x:v>Nao</x:v>
      </x:c>
    </x:row>
    <x:row r="237" ht="19" customHeight="1">
      <x:c r="A237" t="str">
        <x:v>ENT-00236</x:v>
      </x:c>
      <x:c r="B237" s="41" t="n">
        <x:v>46240</x:v>
      </x:c>
      <x:c r="C237" s="41" t="n">
        <x:v>46241</x:v>
      </x:c>
      <x:c r="D237" s="41" t="n">
        <x:v>46241</x:v>
      </x:c>
      <x:c r="E237" t="str">
        <x:v>Luanda Office Supply, Lda.</x:v>
      </x:c>
      <x:c r="F237" t="str">
        <x:v>Ingombota</x:v>
      </x:c>
      <x:c r="G237" t="str">
        <x:v>Carlos Mateus</x:v>
      </x:c>
      <x:c r="H237" t="str">
        <x:v>VTR-11</x:v>
      </x:c>
      <x:c r="I237" t="str">
        <x:v>JAC N56</x:v>
      </x:c>
      <x:c r="J237" t="n">
        <x:v>3500</x:v>
      </x:c>
      <x:c r="K237" t="n">
        <x:v>79</x:v>
      </x:c>
      <x:c r="L237" t="n">
        <x:v>79</x:v>
      </x:c>
      <x:c r="M237" t="n">
        <x:v>1832.8</x:v>
      </x:c>
      <x:c r="N237" t="n">
        <x:v>8</x:v>
      </x:c>
      <x:c r="O237" s="45" t="n">
        <x:v>2005494</x:v>
      </x:c>
      <x:c r="P237" s="45" t="n">
        <x:v>44500</x:v>
      </x:c>
      <x:c r="Q237" t="str">
        <x:v>Entregue</x:v>
      </x:c>
      <x:c r="R237" t="str"/>
      <x:c r="S237" t="str">
        <x:v>Nao</x:v>
      </x:c>
      <x:c r="T237" t="str">
        <x:v>Nao</x:v>
      </x:c>
    </x:row>
    <x:row r="238" ht="19" customHeight="1">
      <x:c r="A238" t="str">
        <x:v>ENT-00237</x:v>
      </x:c>
      <x:c r="B238" s="41" t="n">
        <x:v>46207</x:v>
      </x:c>
      <x:c r="C238" s="41" t="n">
        <x:v>46209</x:v>
      </x:c>
      <x:c r="D238" s="41" t="n">
        <x:v>46208</x:v>
      </x:c>
      <x:c r="E238" t="str">
        <x:v>N'gola Market, Lda.</x:v>
      </x:c>
      <x:c r="F238" t="str">
        <x:v>Benfica</x:v>
      </x:c>
      <x:c r="G238" t="str">
        <x:v>Lucas Tomás</x:v>
      </x:c>
      <x:c r="H238" t="str">
        <x:v>VTR-08</x:v>
      </x:c>
      <x:c r="I238" t="str">
        <x:v>Toyota Hilux</x:v>
      </x:c>
      <x:c r="J238" t="n">
        <x:v>1000</x:v>
      </x:c>
      <x:c r="K238" t="n">
        <x:v>16</x:v>
      </x:c>
      <x:c r="L238" t="n">
        <x:v>16</x:v>
      </x:c>
      <x:c r="M238" t="n">
        <x:v>354.3</x:v>
      </x:c>
      <x:c r="N238" t="n">
        <x:v>27</x:v>
      </x:c>
      <x:c r="O238" s="45" t="n">
        <x:v>163984</x:v>
      </x:c>
      <x:c r="P238" s="45" t="n">
        <x:v>23000</x:v>
      </x:c>
      <x:c r="Q238" t="str">
        <x:v>Entregue</x:v>
      </x:c>
      <x:c r="R238" t="str"/>
      <x:c r="S238" t="str">
        <x:v>Nao</x:v>
      </x:c>
      <x:c r="T238" t="str">
        <x:v>Nao</x:v>
      </x:c>
    </x:row>
    <x:row r="239" ht="19" customHeight="1">
      <x:c r="A239" t="str">
        <x:v>ENT-00238</x:v>
      </x:c>
      <x:c r="B239" s="41" t="n">
        <x:v>46245</x:v>
      </x:c>
      <x:c r="C239" s="41" t="n">
        <x:v>46248</x:v>
      </x:c>
      <x:c r="D239" s="41" t="n">
        <x:v>46248</x:v>
      </x:c>
      <x:c r="E239" t="str">
        <x:v>Cesta Certa, Lda.</x:v>
      </x:c>
      <x:c r="F239" t="str">
        <x:v>Patriota</x:v>
      </x:c>
      <x:c r="G239" t="str">
        <x:v>Lucas Tomás</x:v>
      </x:c>
      <x:c r="H239" t="str">
        <x:v>VTR-05</x:v>
      </x:c>
      <x:c r="I239" t="str">
        <x:v>Hyundai HD65</x:v>
      </x:c>
      <x:c r="J239" t="n">
        <x:v>3500</x:v>
      </x:c>
      <x:c r="K239" t="n">
        <x:v>59</x:v>
      </x:c>
      <x:c r="L239" t="n">
        <x:v>59</x:v>
      </x:c>
      <x:c r="M239" t="n">
        <x:v>1334.2</x:v>
      </x:c>
      <x:c r="N239" t="n">
        <x:v>40</x:v>
      </x:c>
      <x:c r="O239" s="45" t="n">
        <x:v>464507</x:v>
      </x:c>
      <x:c r="P239" s="45" t="n">
        <x:v>43000</x:v>
      </x:c>
      <x:c r="Q239" t="str">
        <x:v>Entregue</x:v>
      </x:c>
      <x:c r="R239" t="str"/>
      <x:c r="S239" t="str">
        <x:v>Nao</x:v>
      </x:c>
      <x:c r="T239" t="str">
        <x:v>Nao</x:v>
      </x:c>
    </x:row>
    <x:row r="240" ht="19" customHeight="1">
      <x:c r="A240" t="str">
        <x:v>ENT-00239</x:v>
      </x:c>
      <x:c r="B240" s="41" t="n">
        <x:v>46249</x:v>
      </x:c>
      <x:c r="C240" s="41" t="n">
        <x:v>46252</x:v>
      </x:c>
      <x:c r="D240" s="41" t="n">
        <x:v>46251</x:v>
      </x:c>
      <x:c r="E240" t="str">
        <x:v>Rota Azul, Lda.</x:v>
      </x:c>
      <x:c r="F240" t="str">
        <x:v>Sequele</x:v>
      </x:c>
      <x:c r="G240" t="str">
        <x:v>Jorge Mário</x:v>
      </x:c>
      <x:c r="H240" t="str">
        <x:v>VTR-11</x:v>
      </x:c>
      <x:c r="I240" t="str">
        <x:v>JAC N56</x:v>
      </x:c>
      <x:c r="J240" t="n">
        <x:v>3500</x:v>
      </x:c>
      <x:c r="K240" t="n">
        <x:v>59</x:v>
      </x:c>
      <x:c r="L240" t="n">
        <x:v>59</x:v>
      </x:c>
      <x:c r="M240" t="n">
        <x:v>1345.6</x:v>
      </x:c>
      <x:c r="N240" t="n">
        <x:v>51</x:v>
      </x:c>
      <x:c r="O240" s="45" t="n">
        <x:v>862993</x:v>
      </x:c>
      <x:c r="P240" s="45" t="n">
        <x:v>57500</x:v>
      </x:c>
      <x:c r="Q240" t="str">
        <x:v>Entregue</x:v>
      </x:c>
      <x:c r="R240" t="str"/>
      <x:c r="S240" t="str">
        <x:v>Nao</x:v>
      </x:c>
      <x:c r="T240" t="str">
        <x:v>Nao</x:v>
      </x:c>
    </x:row>
    <x:row r="241" ht="19" customHeight="1">
      <x:c r="A241" t="str">
        <x:v>ENT-00240</x:v>
      </x:c>
      <x:c r="B241" s="41" t="n">
        <x:v>46261</x:v>
      </x:c>
      <x:c r="C241" s="41" t="n">
        <x:v>46263</x:v>
      </x:c>
      <x:c r="D241" s="41" t="n">
        <x:v>46263</x:v>
      </x:c>
      <x:c r="E241" t="str">
        <x:v>Mercado Sul, Lda.</x:v>
      </x:c>
      <x:c r="F241" t="str">
        <x:v>Viana</x:v>
      </x:c>
      <x:c r="G241" t="str">
        <x:v>Kito Alberto</x:v>
      </x:c>
      <x:c r="H241" t="str">
        <x:v>VTR-01</x:v>
      </x:c>
      <x:c r="I241" t="str">
        <x:v>Kia K2700</x:v>
      </x:c>
      <x:c r="J241" t="n">
        <x:v>1500</x:v>
      </x:c>
      <x:c r="K241" t="n">
        <x:v>26</x:v>
      </x:c>
      <x:c r="L241" t="n">
        <x:v>26</x:v>
      </x:c>
      <x:c r="M241" t="n">
        <x:v>394.6</x:v>
      </x:c>
      <x:c r="N241" t="n">
        <x:v>27</x:v>
      </x:c>
      <x:c r="O241" s="45" t="n">
        <x:v>566930</x:v>
      </x:c>
      <x:c r="P241" s="45" t="n">
        <x:v>23000</x:v>
      </x:c>
      <x:c r="Q241" t="str">
        <x:v>Entregue</x:v>
      </x:c>
      <x:c r="R241" t="str"/>
      <x:c r="S241" t="str">
        <x:v>Nao</x:v>
      </x:c>
      <x:c r="T241" t="str">
        <x:v>Nao</x:v>
      </x:c>
    </x:row>
    <x:row r="242" ht="19" customHeight="1">
      <x:c r="A242" t="str">
        <x:v>ENT-00241</x:v>
      </x:c>
      <x:c r="B242" s="41" t="n">
        <x:v>46209</x:v>
      </x:c>
      <x:c r="C242" s="41" t="n">
        <x:v>46211</x:v>
      </x:c>
      <x:c r="D242" s="41" t="n">
        <x:v>46211</x:v>
      </x:c>
      <x:c r="E242" t="str">
        <x:v>Mercado Sul, Lda.</x:v>
      </x:c>
      <x:c r="F242" t="str">
        <x:v>Benfica</x:v>
      </x:c>
      <x:c r="G242" t="str">
        <x:v>Isaías Pedro</x:v>
      </x:c>
      <x:c r="H242" t="str">
        <x:v>VTR-12</x:v>
      </x:c>
      <x:c r="I242" t="str">
        <x:v>Hyundai H100</x:v>
      </x:c>
      <x:c r="J242" t="n">
        <x:v>1300</x:v>
      </x:c>
      <x:c r="K242" t="n">
        <x:v>51</x:v>
      </x:c>
      <x:c r="L242" t="n">
        <x:v>51</x:v>
      </x:c>
      <x:c r="M242" t="n">
        <x:v>718.4</x:v>
      </x:c>
      <x:c r="N242" t="n">
        <x:v>27</x:v>
      </x:c>
      <x:c r="O242" s="45" t="n">
        <x:v>1256334</x:v>
      </x:c>
      <x:c r="P242" s="45" t="n">
        <x:v>31500</x:v>
      </x:c>
      <x:c r="Q242" t="str">
        <x:v>Entregue</x:v>
      </x:c>
      <x:c r="R242" t="str"/>
      <x:c r="S242" t="str">
        <x:v>Nao</x:v>
      </x:c>
      <x:c r="T242" t="str">
        <x:v>Nao</x:v>
      </x:c>
    </x:row>
    <x:row r="243" ht="19" customHeight="1">
      <x:c r="A243" t="str">
        <x:v>ENT-00242</x:v>
      </x:c>
      <x:c r="B243" s="41" t="n">
        <x:v>46219</x:v>
      </x:c>
      <x:c r="C243" s="41" t="n">
        <x:v>46221</x:v>
      </x:c>
      <x:c r="D243" s="41" t="n">
        <x:v>46223</x:v>
      </x:c>
      <x:c r="E243" t="str">
        <x:v>Kwanza Distribuição, Lda.</x:v>
      </x:c>
      <x:c r="F243" t="str">
        <x:v>Talatona</x:v>
      </x:c>
      <x:c r="G243" t="str">
        <x:v>Elísio António</x:v>
      </x:c>
      <x:c r="H243" t="str">
        <x:v>VTR-08</x:v>
      </x:c>
      <x:c r="I243" t="str">
        <x:v>Toyota Hilux</x:v>
      </x:c>
      <x:c r="J243" t="n">
        <x:v>1000</x:v>
      </x:c>
      <x:c r="K243" t="n">
        <x:v>20</x:v>
      </x:c>
      <x:c r="L243" t="n">
        <x:v>20</x:v>
      </x:c>
      <x:c r="M243" t="n">
        <x:v>551</x:v>
      </x:c>
      <x:c r="N243" t="n">
        <x:v>35</x:v>
      </x:c>
      <x:c r="O243" s="45" t="n">
        <x:v>385380</x:v>
      </x:c>
      <x:c r="P243" s="45" t="n">
        <x:v>35000</x:v>
      </x:c>
      <x:c r="Q243" t="str">
        <x:v>Entregue</x:v>
      </x:c>
      <x:c r="R243" t="str">
        <x:v>Cliente indisponivel</x:v>
      </x:c>
      <x:c r="S243" t="str">
        <x:v>Nao</x:v>
      </x:c>
      <x:c r="T243" t="str">
        <x:v>Nao</x:v>
      </x:c>
    </x:row>
    <x:row r="244" ht="19" customHeight="1">
      <x:c r="A244" t="str">
        <x:v>ENT-00243</x:v>
      </x:c>
      <x:c r="B244" s="41" t="n">
        <x:v>46218</x:v>
      </x:c>
      <x:c r="C244" s="41" t="n">
        <x:v>46220</x:v>
      </x:c>
      <x:c r="D244" s="41" t="n">
        <x:v>46220</x:v>
      </x:c>
      <x:c r="E244" t="str">
        <x:v>Mercado Sul, Lda.</x:v>
      </x:c>
      <x:c r="F244" t="str">
        <x:v>Kikuxi</x:v>
      </x:c>
      <x:c r="G244" t="str">
        <x:v>Gilberto José</x:v>
      </x:c>
      <x:c r="H244" t="str">
        <x:v>VTR-01</x:v>
      </x:c>
      <x:c r="I244" t="str">
        <x:v>Kia K2700</x:v>
      </x:c>
      <x:c r="J244" t="n">
        <x:v>1500</x:v>
      </x:c>
      <x:c r="K244" t="n">
        <x:v>11</x:v>
      </x:c>
      <x:c r="L244" t="n">
        <x:v>11</x:v>
      </x:c>
      <x:c r="M244" t="n">
        <x:v>383.2</x:v>
      </x:c>
      <x:c r="N244" t="n">
        <x:v>25</x:v>
      </x:c>
      <x:c r="O244" s="45" t="n">
        <x:v>81224</x:v>
      </x:c>
      <x:c r="P244" s="45" t="n">
        <x:v>22500</x:v>
      </x:c>
      <x:c r="Q244" t="str">
        <x:v>Entregue</x:v>
      </x:c>
      <x:c r="R244" t="str"/>
      <x:c r="S244" t="str">
        <x:v>Nao</x:v>
      </x:c>
      <x:c r="T244" t="str">
        <x:v>Nao</x:v>
      </x:c>
    </x:row>
    <x:row r="245" ht="19" customHeight="1">
      <x:c r="A245" t="str">
        <x:v>ENT-00244</x:v>
      </x:c>
      <x:c r="B245" s="41" t="n">
        <x:v>46233</x:v>
      </x:c>
      <x:c r="C245" s="41" t="n">
        <x:v>46235</x:v>
      </x:c>
      <x:c r="D245" s="41" t="n">
        <x:v>46235</x:v>
      </x:c>
      <x:c r="E245" t="str">
        <x:v>Atlântico Farma, Lda.</x:v>
      </x:c>
      <x:c r="F245" t="str">
        <x:v>Zango</x:v>
      </x:c>
      <x:c r="G245" t="str">
        <x:v>Gilberto José</x:v>
      </x:c>
      <x:c r="H245" t="str">
        <x:v>VTR-02</x:v>
      </x:c>
      <x:c r="I245" t="str">
        <x:v>Kia K2700</x:v>
      </x:c>
      <x:c r="J245" t="n">
        <x:v>1500</x:v>
      </x:c>
      <x:c r="K245" t="n">
        <x:v>80</x:v>
      </x:c>
      <x:c r="L245" t="n">
        <x:v>80</x:v>
      </x:c>
      <x:c r="M245" t="n">
        <x:v>1129.6</x:v>
      </x:c>
      <x:c r="N245" t="n">
        <x:v>33</x:v>
      </x:c>
      <x:c r="O245" s="45" t="n">
        <x:v>1886640</x:v>
      </x:c>
      <x:c r="P245" s="45" t="n">
        <x:v>41500</x:v>
      </x:c>
      <x:c r="Q245" t="str">
        <x:v>Entregue</x:v>
      </x:c>
      <x:c r="R245" t="str"/>
      <x:c r="S245" t="str">
        <x:v>Nao</x:v>
      </x:c>
      <x:c r="T245" t="str">
        <x:v>Nao</x:v>
      </x:c>
    </x:row>
    <x:row r="246" ht="19" customHeight="1">
      <x:c r="A246" t="str">
        <x:v>ENT-00245</x:v>
      </x:c>
      <x:c r="B246" s="41" t="n">
        <x:v>46229</x:v>
      </x:c>
      <x:c r="C246" s="41" t="n">
        <x:v>46231</x:v>
      </x:c>
      <x:c r="D246" s="41" t="n">
        <x:v>46231</x:v>
      </x:c>
      <x:c r="E246" t="str">
        <x:v>Mundo Fresco, Lda.</x:v>
      </x:c>
      <x:c r="F246" t="str">
        <x:v>Camama</x:v>
      </x:c>
      <x:c r="G246" t="str">
        <x:v>Jorge Mário</x:v>
      </x:c>
      <x:c r="H246" t="str">
        <x:v>VTR-08</x:v>
      </x:c>
      <x:c r="I246" t="str">
        <x:v>Toyota Hilux</x:v>
      </x:c>
      <x:c r="J246" t="n">
        <x:v>1000</x:v>
      </x:c>
      <x:c r="K246" t="n">
        <x:v>44</x:v>
      </x:c>
      <x:c r="L246" t="n">
        <x:v>44</x:v>
      </x:c>
      <x:c r="M246" t="n">
        <x:v>943.9</x:v>
      </x:c>
      <x:c r="N246" t="n">
        <x:v>32</x:v>
      </x:c>
      <x:c r="O246" s="45" t="n">
        <x:v>1083280</x:v>
      </x:c>
      <x:c r="P246" s="45" t="n">
        <x:v>40000</x:v>
      </x:c>
      <x:c r="Q246" t="str">
        <x:v>Entregue</x:v>
      </x:c>
      <x:c r="R246" t="str"/>
      <x:c r="S246" t="str">
        <x:v>Nao</x:v>
      </x:c>
      <x:c r="T246" t="str">
        <x:v>Nao</x:v>
      </x:c>
    </x:row>
    <x:row r="247" ht="19" customHeight="1">
      <x:c r="A247" t="str">
        <x:v>ENT-00246</x:v>
      </x:c>
      <x:c r="B247" s="41" t="n">
        <x:v>46248</x:v>
      </x:c>
      <x:c r="C247" s="41" t="n">
        <x:v>46250</x:v>
      </x:c>
      <x:c r="D247" s="41" t="n">
        <x:v>46250</x:v>
      </x:c>
      <x:c r="E247" t="str">
        <x:v>Savana Retail, Lda.</x:v>
      </x:c>
      <x:c r="F247" t="str">
        <x:v>Zango</x:v>
      </x:c>
      <x:c r="G247" t="str">
        <x:v>Bernardo Paulo</x:v>
      </x:c>
      <x:c r="H247" t="str">
        <x:v>VTR-07</x:v>
      </x:c>
      <x:c r="I247" t="str">
        <x:v>Isuzu NPR</x:v>
      </x:c>
      <x:c r="J247" t="n">
        <x:v>5000</x:v>
      </x:c>
      <x:c r="K247" t="n">
        <x:v>49</x:v>
      </x:c>
      <x:c r="L247" t="n">
        <x:v>49</x:v>
      </x:c>
      <x:c r="M247" t="n">
        <x:v>1306.1</x:v>
      </x:c>
      <x:c r="N247" t="n">
        <x:v>36</x:v>
      </x:c>
      <x:c r="O247" s="45" t="n">
        <x:v>441049</x:v>
      </x:c>
      <x:c r="P247" s="45" t="n">
        <x:v>42000</x:v>
      </x:c>
      <x:c r="Q247" t="str">
        <x:v>Entregue</x:v>
      </x:c>
      <x:c r="R247" t="str"/>
      <x:c r="S247" t="str">
        <x:v>Nao</x:v>
      </x:c>
      <x:c r="T247" t="str">
        <x:v>Nao</x:v>
      </x:c>
    </x:row>
    <x:row r="248" ht="19" customHeight="1">
      <x:c r="A248" t="str">
        <x:v>ENT-00247</x:v>
      </x:c>
      <x:c r="B248" s="41" t="n">
        <x:v>46220</x:v>
      </x:c>
      <x:c r="C248" s="41" t="n">
        <x:v>46222</x:v>
      </x:c>
      <x:c r="D248" s="41" t="n">
        <x:v>46222</x:v>
      </x:c>
      <x:c r="E248" t="str">
        <x:v>Savana Retail, Lda.</x:v>
      </x:c>
      <x:c r="F248" t="str">
        <x:v>Morro Bento</x:v>
      </x:c>
      <x:c r="G248" t="str">
        <x:v>Lucas Tomás</x:v>
      </x:c>
      <x:c r="H248" t="str">
        <x:v>VTR-02</x:v>
      </x:c>
      <x:c r="I248" t="str">
        <x:v>Kia K2700</x:v>
      </x:c>
      <x:c r="J248" t="n">
        <x:v>1500</x:v>
      </x:c>
      <x:c r="K248" t="n">
        <x:v>79</x:v>
      </x:c>
      <x:c r="L248" t="n">
        <x:v>79</x:v>
      </x:c>
      <x:c r="M248" t="n">
        <x:v>902.3</x:v>
      </x:c>
      <x:c r="N248" t="n">
        <x:v>24</x:v>
      </x:c>
      <x:c r="O248" s="45" t="n">
        <x:v>935755</x:v>
      </x:c>
      <x:c r="P248" s="45" t="n">
        <x:v>35500</x:v>
      </x:c>
      <x:c r="Q248" t="str">
        <x:v>Entregue</x:v>
      </x:c>
      <x:c r="R248" t="str"/>
      <x:c r="S248" t="str">
        <x:v>Nao</x:v>
      </x:c>
      <x:c r="T248" t="str">
        <x:v>Nao</x:v>
      </x:c>
    </x:row>
    <x:row r="249" ht="19" customHeight="1">
      <x:c r="A249" t="str">
        <x:v>ENT-00248</x:v>
      </x:c>
      <x:c r="B249" s="41" t="n">
        <x:v>46253</x:v>
      </x:c>
      <x:c r="C249" s="41" t="n">
        <x:v>46256</x:v>
      </x:c>
      <x:c r="D249" s="41" t="n">
        <x:v>46256</x:v>
      </x:c>
      <x:c r="E249" t="str">
        <x:v>Atlântico Farma, Lda.</x:v>
      </x:c>
      <x:c r="F249" t="str">
        <x:v>Zango</x:v>
      </x:c>
      <x:c r="G249" t="str">
        <x:v>Isaías Pedro</x:v>
      </x:c>
      <x:c r="H249" t="str">
        <x:v>VTR-06</x:v>
      </x:c>
      <x:c r="I249" t="str">
        <x:v>Isuzu NPR</x:v>
      </x:c>
      <x:c r="J249" t="n">
        <x:v>5000</x:v>
      </x:c>
      <x:c r="K249" t="n">
        <x:v>7</x:v>
      </x:c>
      <x:c r="L249" t="n">
        <x:v>7</x:v>
      </x:c>
      <x:c r="M249" t="n">
        <x:v>102</x:v>
      </x:c>
      <x:c r="N249" t="n">
        <x:v>51</x:v>
      </x:c>
      <x:c r="O249" s="45" t="n">
        <x:v>66199</x:v>
      </x:c>
      <x:c r="P249" s="45" t="n">
        <x:v>30500</x:v>
      </x:c>
      <x:c r="Q249" t="str">
        <x:v>Entregue</x:v>
      </x:c>
      <x:c r="R249" t="str"/>
      <x:c r="S249" t="str">
        <x:v>Nao</x:v>
      </x:c>
      <x:c r="T249" t="str">
        <x:v>Nao</x:v>
      </x:c>
    </x:row>
    <x:row r="250" ht="19" customHeight="1">
      <x:c r="A250" t="str">
        <x:v>ENT-00249</x:v>
      </x:c>
      <x:c r="B250" s="41" t="n">
        <x:v>46251</x:v>
      </x:c>
      <x:c r="C250" s="41" t="n">
        <x:v>46253</x:v>
      </x:c>
      <x:c r="D250" s="41" t="n">
        <x:v>46253</x:v>
      </x:c>
      <x:c r="E250" t="str">
        <x:v>Cesta Certa, Lda.</x:v>
      </x:c>
      <x:c r="F250" t="str">
        <x:v>Sequele</x:v>
      </x:c>
      <x:c r="G250" t="str">
        <x:v>Hélder Miguel</x:v>
      </x:c>
      <x:c r="H250" t="str">
        <x:v>VTR-07</x:v>
      </x:c>
      <x:c r="I250" t="str">
        <x:v>Isuzu NPR</x:v>
      </x:c>
      <x:c r="J250" t="n">
        <x:v>5000</x:v>
      </x:c>
      <x:c r="K250" t="n">
        <x:v>49</x:v>
      </x:c>
      <x:c r="L250" t="n">
        <x:v>49</x:v>
      </x:c>
      <x:c r="M250" t="n">
        <x:v>1013.5</x:v>
      </x:c>
      <x:c r="N250" t="n">
        <x:v>36</x:v>
      </x:c>
      <x:c r="O250" s="45" t="n">
        <x:v>348341</x:v>
      </x:c>
      <x:c r="P250" s="45" t="n">
        <x:v>35500</x:v>
      </x:c>
      <x:c r="Q250" t="str">
        <x:v>Entregue</x:v>
      </x:c>
      <x:c r="R250" t="str"/>
      <x:c r="S250" t="str">
        <x:v>Nao</x:v>
      </x:c>
      <x:c r="T250" t="str">
        <x:v>Nao</x:v>
      </x:c>
    </x:row>
    <x:row r="251" ht="19" customHeight="1">
      <x:c r="A251" t="str">
        <x:v>ENT-00250</x:v>
      </x:c>
      <x:c r="B251" s="41" t="n">
        <x:v>46265</x:v>
      </x:c>
      <x:c r="C251" s="41" t="n">
        <x:v>46267</x:v>
      </x:c>
      <x:c r="D251" s="41" t="n">
        <x:v>46267</x:v>
      </x:c>
      <x:c r="E251" t="str">
        <x:v>Savana Retail, Lda.</x:v>
      </x:c>
      <x:c r="F251" t="str">
        <x:v>Viana</x:v>
      </x:c>
      <x:c r="G251" t="str">
        <x:v>Lucas Tomás</x:v>
      </x:c>
      <x:c r="H251" t="str">
        <x:v>VTR-07</x:v>
      </x:c>
      <x:c r="I251" t="str">
        <x:v>Isuzu NPR</x:v>
      </x:c>
      <x:c r="J251" t="n">
        <x:v>5000</x:v>
      </x:c>
      <x:c r="K251" t="n">
        <x:v>18</x:v>
      </x:c>
      <x:c r="L251" t="n">
        <x:v>18</x:v>
      </x:c>
      <x:c r="M251" t="n">
        <x:v>619.3</x:v>
      </x:c>
      <x:c r="N251" t="n">
        <x:v>24</x:v>
      </x:c>
      <x:c r="O251" s="45" t="n">
        <x:v>234612</x:v>
      </x:c>
      <x:c r="P251" s="45" t="n">
        <x:v>30000</x:v>
      </x:c>
      <x:c r="Q251" t="str">
        <x:v>Entregue</x:v>
      </x:c>
      <x:c r="R251" t="str"/>
      <x:c r="S251" t="str">
        <x:v>Nao</x:v>
      </x:c>
      <x:c r="T251" t="str">
        <x:v>Nao</x:v>
      </x:c>
    </x:row>
    <x:row r="252" ht="19" customHeight="1">
      <x:c r="A252" t="str">
        <x:v>ENT-00251</x:v>
      </x:c>
      <x:c r="B252" s="41" t="n">
        <x:v>46222</x:v>
      </x:c>
      <x:c r="C252" s="41" t="n">
        <x:v>46224</x:v>
      </x:c>
      <x:c r="D252" s="41" t="n">
        <x:v>46224</x:v>
      </x:c>
      <x:c r="E252" t="str">
        <x:v>Casa Horizonte, Lda.</x:v>
      </x:c>
      <x:c r="F252" t="str">
        <x:v>Patriota</x:v>
      </x:c>
      <x:c r="G252" t="str">
        <x:v>Jorge Mário</x:v>
      </x:c>
      <x:c r="H252" t="str">
        <x:v>VTR-05</x:v>
      </x:c>
      <x:c r="I252" t="str">
        <x:v>Hyundai HD65</x:v>
      </x:c>
      <x:c r="J252" t="n">
        <x:v>3500</x:v>
      </x:c>
      <x:c r="K252" t="n">
        <x:v>53</x:v>
      </x:c>
      <x:c r="L252" t="n">
        <x:v>53</x:v>
      </x:c>
      <x:c r="M252" t="n">
        <x:v>844.8</x:v>
      </x:c>
      <x:c r="N252" t="n">
        <x:v>30</x:v>
      </x:c>
      <x:c r="O252" s="45" t="n">
        <x:v>724775</x:v>
      </x:c>
      <x:c r="P252" s="45" t="n">
        <x:v>36500</x:v>
      </x:c>
      <x:c r="Q252" t="str">
        <x:v>Entregue</x:v>
      </x:c>
      <x:c r="R252" t="str"/>
      <x:c r="S252" t="str">
        <x:v>Nao</x:v>
      </x:c>
      <x:c r="T252" t="str">
        <x:v>Nao</x:v>
      </x:c>
    </x:row>
    <x:row r="253" ht="19" customHeight="1">
      <x:c r="A253" t="str">
        <x:v>ENT-00252</x:v>
      </x:c>
      <x:c r="B253" s="41" t="n">
        <x:v>46259</x:v>
      </x:c>
      <x:c r="C253" s="41" t="n">
        <x:v>46261</x:v>
      </x:c>
      <x:c r="D253" s="41" t="n">
        <x:v>46261</x:v>
      </x:c>
      <x:c r="E253" t="str">
        <x:v>N'gola Market, Lda.</x:v>
      </x:c>
      <x:c r="F253" t="str">
        <x:v>Kikuxi</x:v>
      </x:c>
      <x:c r="G253" t="str">
        <x:v>Isaías Pedro</x:v>
      </x:c>
      <x:c r="H253" t="str">
        <x:v>VTR-06</x:v>
      </x:c>
      <x:c r="I253" t="str">
        <x:v>Isuzu NPR</x:v>
      </x:c>
      <x:c r="J253" t="n">
        <x:v>5000</x:v>
      </x:c>
      <x:c r="K253" t="n">
        <x:v>57</x:v>
      </x:c>
      <x:c r="L253" t="n">
        <x:v>57</x:v>
      </x:c>
      <x:c r="M253" t="n">
        <x:v>1889.5</x:v>
      </x:c>
      <x:c r="N253" t="n">
        <x:v>24</x:v>
      </x:c>
      <x:c r="O253" s="45" t="n">
        <x:v>1180299</x:v>
      </x:c>
      <x:c r="P253" s="45" t="n">
        <x:v>51500</x:v>
      </x:c>
      <x:c r="Q253" t="str">
        <x:v>Entregue</x:v>
      </x:c>
      <x:c r="R253" t="str"/>
      <x:c r="S253" t="str">
        <x:v>Nao</x:v>
      </x:c>
      <x:c r="T253" t="str">
        <x:v>Nao</x:v>
      </x:c>
    </x:row>
    <x:row r="254" ht="19" customHeight="1">
      <x:c r="A254" t="str">
        <x:v>ENT-00253</x:v>
      </x:c>
      <x:c r="B254" s="41" t="n">
        <x:v>46245</x:v>
      </x:c>
      <x:c r="C254" s="41" t="n">
        <x:v>46248</x:v>
      </x:c>
      <x:c r="D254" s="41" t="n">
        <x:v>46249</x:v>
      </x:c>
      <x:c r="E254" t="str">
        <x:v>Mundo Fresco, Lda.</x:v>
      </x:c>
      <x:c r="F254" t="str">
        <x:v>Benfica</x:v>
      </x:c>
      <x:c r="G254" t="str">
        <x:v>Gilberto José</x:v>
      </x:c>
      <x:c r="H254" t="str">
        <x:v>VTR-09</x:v>
      </x:c>
      <x:c r="I254" t="str">
        <x:v>Toyota Hilux</x:v>
      </x:c>
      <x:c r="J254" t="n">
        <x:v>1000</x:v>
      </x:c>
      <x:c r="K254" t="n">
        <x:v>60</x:v>
      </x:c>
      <x:c r="L254" t="n">
        <x:v>60</x:v>
      </x:c>
      <x:c r="M254" t="n">
        <x:v>813.5</x:v>
      </x:c>
      <x:c r="N254" t="n">
        <x:v>41</x:v>
      </x:c>
      <x:c r="O254" s="45" t="n">
        <x:v>854220</x:v>
      </x:c>
      <x:c r="P254" s="45" t="n">
        <x:v>39000</x:v>
      </x:c>
      <x:c r="Q254" t="str">
        <x:v>Entregue</x:v>
      </x:c>
      <x:c r="R254" t="str">
        <x:v>Transito intenso</x:v>
      </x:c>
      <x:c r="S254" t="str">
        <x:v>Nao</x:v>
      </x:c>
      <x:c r="T254" t="str">
        <x:v>Nao</x:v>
      </x:c>
    </x:row>
    <x:row r="255" ht="19" customHeight="1">
      <x:c r="A255" t="str">
        <x:v>ENT-00254</x:v>
      </x:c>
      <x:c r="B255" s="41" t="n">
        <x:v>46242</x:v>
      </x:c>
      <x:c r="C255" s="41" t="n">
        <x:v>46244</x:v>
      </x:c>
      <x:c r="D255" s="41" t="n">
        <x:v>46244</x:v>
      </x:c>
      <x:c r="E255" t="str">
        <x:v>Bem-Estar Higiene, Lda.</x:v>
      </x:c>
      <x:c r="F255" t="str">
        <x:v>Nova Vida</x:v>
      </x:c>
      <x:c r="G255" t="str">
        <x:v>Gilberto José</x:v>
      </x:c>
      <x:c r="H255" t="str">
        <x:v>VTR-08</x:v>
      </x:c>
      <x:c r="I255" t="str">
        <x:v>Toyota Hilux</x:v>
      </x:c>
      <x:c r="J255" t="n">
        <x:v>1000</x:v>
      </x:c>
      <x:c r="K255" t="n">
        <x:v>90</x:v>
      </x:c>
      <x:c r="L255" t="n">
        <x:v>90</x:v>
      </x:c>
      <x:c r="M255" t="n">
        <x:v>475.6</x:v>
      </x:c>
      <x:c r="N255" t="n">
        <x:v>21</x:v>
      </x:c>
      <x:c r="O255" s="45" t="n">
        <x:v>2180520</x:v>
      </x:c>
      <x:c r="P255" s="45" t="n">
        <x:v>26500</x:v>
      </x:c>
      <x:c r="Q255" t="str">
        <x:v>Entregue</x:v>
      </x:c>
      <x:c r="R255" t="str"/>
      <x:c r="S255" t="str">
        <x:v>Nao</x:v>
      </x:c>
      <x:c r="T255" t="str">
        <x:v>Nao</x:v>
      </x:c>
    </x:row>
    <x:row r="256" ht="19" customHeight="1">
      <x:c r="A256" t="str">
        <x:v>ENT-00255</x:v>
      </x:c>
      <x:c r="B256" s="41" t="n">
        <x:v>46220</x:v>
      </x:c>
      <x:c r="C256" s="41" t="n">
        <x:v>46222</x:v>
      </x:c>
      <x:c r="D256" s="41" t="n">
        <x:v>46222</x:v>
      </x:c>
      <x:c r="E256" t="str">
        <x:v>Via Certa Serviços, Lda.</x:v>
      </x:c>
      <x:c r="F256" t="str">
        <x:v>Nova Vida</x:v>
      </x:c>
      <x:c r="G256" t="str">
        <x:v>Elísio António</x:v>
      </x:c>
      <x:c r="H256" t="str">
        <x:v>VTR-03</x:v>
      </x:c>
      <x:c r="I256" t="str">
        <x:v>Toyota Dyna</x:v>
      </x:c>
      <x:c r="J256" t="n">
        <x:v>3000</x:v>
      </x:c>
      <x:c r="K256" t="n">
        <x:v>15</x:v>
      </x:c>
      <x:c r="L256" t="n">
        <x:v>15</x:v>
      </x:c>
      <x:c r="M256" t="n">
        <x:v>392.3</x:v>
      </x:c>
      <x:c r="N256" t="n">
        <x:v>21</x:v>
      </x:c>
      <x:c r="O256" s="45" t="n">
        <x:v>359805</x:v>
      </x:c>
      <x:c r="P256" s="45" t="n">
        <x:v>20000</x:v>
      </x:c>
      <x:c r="Q256" t="str">
        <x:v>Entregue</x:v>
      </x:c>
      <x:c r="R256" t="str"/>
      <x:c r="S256" t="str">
        <x:v>Nao</x:v>
      </x:c>
      <x:c r="T256" t="str">
        <x:v>Nao</x:v>
      </x:c>
    </x:row>
    <x:row r="257" ht="19" customHeight="1">
      <x:c r="A257" t="str">
        <x:v>ENT-00256</x:v>
      </x:c>
      <x:c r="B257" s="41" t="n">
        <x:v>46265</x:v>
      </x:c>
      <x:c r="C257" s="41" t="n">
        <x:v>46266</x:v>
      </x:c>
      <x:c r="D257" s="41" t="n">
        <x:v>46266</x:v>
      </x:c>
      <x:c r="E257" t="str">
        <x:v>Prime Stock, Lda.</x:v>
      </x:c>
      <x:c r="F257" t="str">
        <x:v>Morro Bento</x:v>
      </x:c>
      <x:c r="G257" t="str">
        <x:v>Lucas Tomás</x:v>
      </x:c>
      <x:c r="H257" t="str">
        <x:v>VTR-04</x:v>
      </x:c>
      <x:c r="I257" t="str">
        <x:v>Toyota Dyna</x:v>
      </x:c>
      <x:c r="J257" t="n">
        <x:v>3000</x:v>
      </x:c>
      <x:c r="K257" t="n">
        <x:v>56</x:v>
      </x:c>
      <x:c r="L257" t="n">
        <x:v>56</x:v>
      </x:c>
      <x:c r="M257" t="n">
        <x:v>1697</x:v>
      </x:c>
      <x:c r="N257" t="n">
        <x:v>18</x:v>
      </x:c>
      <x:c r="O257" s="45" t="n">
        <x:v>541912</x:v>
      </x:c>
      <x:c r="P257" s="45" t="n">
        <x:v>48500</x:v>
      </x:c>
      <x:c r="Q257" t="str">
        <x:v>Entregue</x:v>
      </x:c>
      <x:c r="R257" t="str"/>
      <x:c r="S257" t="str">
        <x:v>Nao</x:v>
      </x:c>
      <x:c r="T257" t="str">
        <x:v>Nao</x:v>
      </x:c>
    </x:row>
    <x:row r="258" ht="19" customHeight="1">
      <x:c r="A258" t="str">
        <x:v>ENT-00257</x:v>
      </x:c>
      <x:c r="B258" s="41" t="n">
        <x:v>46224</x:v>
      </x:c>
      <x:c r="C258" s="41" t="n">
        <x:v>46226</x:v>
      </x:c>
      <x:c r="D258" s="41" t="n">
        <x:v>46226</x:v>
      </x:c>
      <x:c r="E258" t="str">
        <x:v>Casa Horizonte, Lda.</x:v>
      </x:c>
      <x:c r="F258" t="str">
        <x:v>Benfica</x:v>
      </x:c>
      <x:c r="G258" t="str">
        <x:v>Kito Alberto</x:v>
      </x:c>
      <x:c r="H258" t="str">
        <x:v>VTR-05</x:v>
      </x:c>
      <x:c r="I258" t="str">
        <x:v>Hyundai HD65</x:v>
      </x:c>
      <x:c r="J258" t="n">
        <x:v>3500</x:v>
      </x:c>
      <x:c r="K258" t="n">
        <x:v>75</x:v>
      </x:c>
      <x:c r="L258" t="n">
        <x:v>75</x:v>
      </x:c>
      <x:c r="M258" t="n">
        <x:v>2574.3</x:v>
      </x:c>
      <x:c r="N258" t="n">
        <x:v>28</x:v>
      </x:c>
      <x:c r="O258" s="45" t="n">
        <x:v>416025</x:v>
      </x:c>
      <x:c r="P258" s="45" t="n">
        <x:v>67500</x:v>
      </x:c>
      <x:c r="Q258" t="str">
        <x:v>Entregue</x:v>
      </x:c>
      <x:c r="R258" t="str"/>
      <x:c r="S258" t="str">
        <x:v>Nao</x:v>
      </x:c>
      <x:c r="T258" t="str">
        <x:v>Nao</x:v>
      </x:c>
    </x:row>
    <x:row r="259" ht="19" customHeight="1">
      <x:c r="A259" t="str">
        <x:v>ENT-00258</x:v>
      </x:c>
      <x:c r="B259" s="41" t="n">
        <x:v>46213</x:v>
      </x:c>
      <x:c r="C259" s="41" t="n">
        <x:v>46214</x:v>
      </x:c>
      <x:c r="D259" s="41" t="n">
        <x:v>46214</x:v>
      </x:c>
      <x:c r="E259" t="str">
        <x:v>Kwanza Distribuição, Lda.</x:v>
      </x:c>
      <x:c r="F259" t="str">
        <x:v>Maianga</x:v>
      </x:c>
      <x:c r="G259" t="str">
        <x:v>Elísio António</x:v>
      </x:c>
      <x:c r="H259" t="str">
        <x:v>VTR-01</x:v>
      </x:c>
      <x:c r="I259" t="str">
        <x:v>Kia K2700</x:v>
      </x:c>
      <x:c r="J259" t="n">
        <x:v>1500</x:v>
      </x:c>
      <x:c r="K259" t="n">
        <x:v>32</x:v>
      </x:c>
      <x:c r="L259" t="n">
        <x:v>32</x:v>
      </x:c>
      <x:c r="M259" t="n">
        <x:v>623.4</x:v>
      </x:c>
      <x:c r="N259" t="n">
        <x:v>11</x:v>
      </x:c>
      <x:c r="O259" s="45" t="n">
        <x:v>673504</x:v>
      </x:c>
      <x:c r="P259" s="45" t="n">
        <x:v>20500</x:v>
      </x:c>
      <x:c r="Q259" t="str">
        <x:v>Entregue</x:v>
      </x:c>
      <x:c r="R259" t="str"/>
      <x:c r="S259" t="str">
        <x:v>Nao</x:v>
      </x:c>
      <x:c r="T259" t="str">
        <x:v>Nao</x:v>
      </x:c>
    </x:row>
    <x:row r="260" ht="19" customHeight="1">
      <x:c r="A260" t="str">
        <x:v>ENT-00259</x:v>
      </x:c>
      <x:c r="B260" s="41" t="n">
        <x:v>46225</x:v>
      </x:c>
      <x:c r="C260" s="41" t="n">
        <x:v>46228</x:v>
      </x:c>
      <x:c r="D260" s="41" t="n">
        <x:v>46231</x:v>
      </x:c>
      <x:c r="E260" t="str">
        <x:v>Kwanza Distribuição, Lda.</x:v>
      </x:c>
      <x:c r="F260" t="str">
        <x:v>Kilamba</x:v>
      </x:c>
      <x:c r="G260" t="str">
        <x:v>Isaías Pedro</x:v>
      </x:c>
      <x:c r="H260" t="str">
        <x:v>VTR-09</x:v>
      </x:c>
      <x:c r="I260" t="str">
        <x:v>Toyota Hilux</x:v>
      </x:c>
      <x:c r="J260" t="n">
        <x:v>1000</x:v>
      </x:c>
      <x:c r="K260" t="n">
        <x:v>78</x:v>
      </x:c>
      <x:c r="L260" t="n">
        <x:v>0</x:v>
      </x:c>
      <x:c r="M260" t="n">
        <x:v>658.9</x:v>
      </x:c>
      <x:c r="N260" t="n">
        <x:v>41</x:v>
      </x:c>
      <x:c r="O260" s="45" t="n">
        <x:v>1207830</x:v>
      </x:c>
      <x:c r="P260" s="45" t="n">
        <x:v>32000</x:v>
      </x:c>
      <x:c r="Q260" t="str">
        <x:v>Falhada</x:v>
      </x:c>
      <x:c r="R260" t="str">
        <x:v>Acesso condicionado</x:v>
      </x:c>
      <x:c r="S260" t="str">
        <x:v>Nao</x:v>
      </x:c>
      <x:c r="T260" t="str">
        <x:v>Nao</x:v>
      </x:c>
    </x:row>
    <x:row r="261" ht="19" customHeight="1">
      <x:c r="A261" t="str">
        <x:v>ENT-00260</x:v>
      </x:c>
      <x:c r="B261" s="41" t="n">
        <x:v>46250</x:v>
      </x:c>
      <x:c r="C261" s="41" t="n">
        <x:v>46252</x:v>
      </x:c>
      <x:c r="D261" s="41" t="n">
        <x:v>46252</x:v>
      </x:c>
      <x:c r="E261" t="str">
        <x:v>N'gola Market, Lda.</x:v>
      </x:c>
      <x:c r="F261" t="str">
        <x:v>Benfica</x:v>
      </x:c>
      <x:c r="G261" t="str">
        <x:v>Lucas Tomás</x:v>
      </x:c>
      <x:c r="H261" t="str">
        <x:v>VTR-03</x:v>
      </x:c>
      <x:c r="I261" t="str">
        <x:v>Toyota Dyna</x:v>
      </x:c>
      <x:c r="J261" t="n">
        <x:v>3000</x:v>
      </x:c>
      <x:c r="K261" t="n">
        <x:v>69</x:v>
      </x:c>
      <x:c r="L261" t="n">
        <x:v>69</x:v>
      </x:c>
      <x:c r="M261" t="n">
        <x:v>2399.6</x:v>
      </x:c>
      <x:c r="N261" t="n">
        <x:v>36</x:v>
      </x:c>
      <x:c r="O261" s="45" t="n">
        <x:v>342171</x:v>
      </x:c>
      <x:c r="P261" s="45" t="n">
        <x:v>59000</x:v>
      </x:c>
      <x:c r="Q261" t="str">
        <x:v>Entregue</x:v>
      </x:c>
      <x:c r="R261" t="str"/>
      <x:c r="S261" t="str">
        <x:v>Nao</x:v>
      </x:c>
      <x:c r="T261" t="str">
        <x:v>Nao</x:v>
      </x:c>
    </x:row>
    <x:row r="262" ht="19" customHeight="1">
      <x:c r="A262" t="str">
        <x:v>ENT-00261</x:v>
      </x:c>
      <x:c r="B262" s="41" t="n">
        <x:v>46241</x:v>
      </x:c>
      <x:c r="C262" s="41" t="n">
        <x:v>46243</x:v>
      </x:c>
      <x:c r="D262" s="41" t="n">
        <x:v>46243</x:v>
      </x:c>
      <x:c r="E262" t="str">
        <x:v>Mundo Fresco, Lda.</x:v>
      </x:c>
      <x:c r="F262" t="str">
        <x:v>Viana</x:v>
      </x:c>
      <x:c r="G262" t="str">
        <x:v>Jorge Mário</x:v>
      </x:c>
      <x:c r="H262" t="str">
        <x:v>VTR-02</x:v>
      </x:c>
      <x:c r="I262" t="str">
        <x:v>Kia K2700</x:v>
      </x:c>
      <x:c r="J262" t="n">
        <x:v>1500</x:v>
      </x:c>
      <x:c r="K262" t="n">
        <x:v>55</x:v>
      </x:c>
      <x:c r="L262" t="n">
        <x:v>50</x:v>
      </x:c>
      <x:c r="M262" t="n">
        <x:v>637.6</x:v>
      </x:c>
      <x:c r="N262" t="n">
        <x:v>30</x:v>
      </x:c>
      <x:c r="O262" s="45" t="n">
        <x:v>331155</x:v>
      </x:c>
      <x:c r="P262" s="45" t="n">
        <x:v>34000</x:v>
      </x:c>
      <x:c r="Q262" t="str">
        <x:v>Entregue</x:v>
      </x:c>
      <x:c r="R262" t="str"/>
      <x:c r="S262" t="str">
        <x:v>Nao</x:v>
      </x:c>
      <x:c r="T262" t="str">
        <x:v>Nao</x:v>
      </x:c>
    </x:row>
    <x:row r="263" ht="19" customHeight="1">
      <x:c r="A263" t="str">
        <x:v>ENT-00262</x:v>
      </x:c>
      <x:c r="B263" s="41" t="n">
        <x:v>46230</x:v>
      </x:c>
      <x:c r="C263" s="41" t="n">
        <x:v>46232</x:v>
      </x:c>
      <x:c r="D263" s="41"/>
      <x:c r="E263" t="str">
        <x:v>Mundo Fresco, Lda.</x:v>
      </x:c>
      <x:c r="F263" t="str">
        <x:v>Sequele</x:v>
      </x:c>
      <x:c r="G263" t="str">
        <x:v>Lucas Tomás</x:v>
      </x:c>
      <x:c r="H263" t="str">
        <x:v>VTR-12</x:v>
      </x:c>
      <x:c r="I263" t="str">
        <x:v>Hyundai H100</x:v>
      </x:c>
      <x:c r="J263" t="n">
        <x:v>1300</x:v>
      </x:c>
      <x:c r="K263" t="n">
        <x:v>71</x:v>
      </x:c>
      <x:c r="L263" t="n">
        <x:v>0</x:v>
      </x:c>
      <x:c r="M263" t="n">
        <x:v>765.8</x:v>
      </x:c>
      <x:c r="N263" t="n">
        <x:v>37</x:v>
      </x:c>
      <x:c r="O263" s="45" t="n">
        <x:v>1752209</x:v>
      </x:c>
      <x:c r="P263" s="45" t="n">
        <x:v>36500</x:v>
      </x:c>
      <x:c r="Q263" t="str">
        <x:v>Cancelada</x:v>
      </x:c>
      <x:c r="R263" t="str">
        <x:v>Cancelamento do cliente</x:v>
      </x:c>
      <x:c r="S263" t="str">
        <x:v>Nao</x:v>
      </x:c>
      <x:c r="T263" t="str">
        <x:v>Nao</x:v>
      </x:c>
    </x:row>
    <x:row r="264" ht="19" customHeight="1">
      <x:c r="A264" t="str">
        <x:v>ENT-00263</x:v>
      </x:c>
      <x:c r="B264" s="41" t="n">
        <x:v>46247</x:v>
      </x:c>
      <x:c r="C264" s="41" t="n">
        <x:v>46249</x:v>
      </x:c>
      <x:c r="D264" s="41" t="n">
        <x:v>46249</x:v>
      </x:c>
      <x:c r="E264" t="str">
        <x:v>Ponto Logístico, Lda.</x:v>
      </x:c>
      <x:c r="F264" t="str">
        <x:v>Camama</x:v>
      </x:c>
      <x:c r="G264" t="str">
        <x:v>Félix Domingos</x:v>
      </x:c>
      <x:c r="H264" t="str">
        <x:v>VTR-05</x:v>
      </x:c>
      <x:c r="I264" t="str">
        <x:v>Hyundai HD65</x:v>
      </x:c>
      <x:c r="J264" t="n">
        <x:v>3500</x:v>
      </x:c>
      <x:c r="K264" t="n">
        <x:v>75</x:v>
      </x:c>
      <x:c r="L264" t="n">
        <x:v>75</x:v>
      </x:c>
      <x:c r="M264" t="n">
        <x:v>1953.1</x:v>
      </x:c>
      <x:c r="N264" t="n">
        <x:v>23</x:v>
      </x:c>
      <x:c r="O264" s="45" t="n">
        <x:v>784800</x:v>
      </x:c>
      <x:c r="P264" s="45" t="n">
        <x:v>51000</x:v>
      </x:c>
      <x:c r="Q264" t="str">
        <x:v>Entregue</x:v>
      </x:c>
      <x:c r="R264" t="str"/>
      <x:c r="S264" t="str">
        <x:v>Nao</x:v>
      </x:c>
      <x:c r="T264" t="str">
        <x:v>Nao</x:v>
      </x:c>
    </x:row>
    <x:row r="265" ht="19" customHeight="1">
      <x:c r="A265" t="str">
        <x:v>ENT-00264</x:v>
      </x:c>
      <x:c r="B265" s="41" t="n">
        <x:v>46264</x:v>
      </x:c>
      <x:c r="C265" s="41" t="n">
        <x:v>46267</x:v>
      </x:c>
      <x:c r="D265" s="41" t="n">
        <x:v>46267</x:v>
      </x:c>
      <x:c r="E265" t="str">
        <x:v>Atlântico Farma, Lda.</x:v>
      </x:c>
      <x:c r="F265" t="str">
        <x:v>Sequele</x:v>
      </x:c>
      <x:c r="G265" t="str">
        <x:v>Jorge Mário</x:v>
      </x:c>
      <x:c r="H265" t="str">
        <x:v>VTR-01</x:v>
      </x:c>
      <x:c r="I265" t="str">
        <x:v>Kia K2700</x:v>
      </x:c>
      <x:c r="J265" t="n">
        <x:v>1500</x:v>
      </x:c>
      <x:c r="K265" t="n">
        <x:v>42</x:v>
      </x:c>
      <x:c r="L265" t="n">
        <x:v>42</x:v>
      </x:c>
      <x:c r="M265" t="n">
        <x:v>692.1</x:v>
      </x:c>
      <x:c r="N265" t="n">
        <x:v>65</x:v>
      </x:c>
      <x:c r="O265" s="45" t="n">
        <x:v>285474</x:v>
      </x:c>
      <x:c r="P265" s="45" t="n">
        <x:v>47000</x:v>
      </x:c>
      <x:c r="Q265" t="str">
        <x:v>Entregue</x:v>
      </x:c>
      <x:c r="R265" t="str"/>
      <x:c r="S265" t="str">
        <x:v>Nao</x:v>
      </x:c>
      <x:c r="T265" t="str">
        <x:v>Nao</x:v>
      </x:c>
    </x:row>
    <x:row r="266" ht="19" customHeight="1">
      <x:c r="A266" t="str">
        <x:v>ENT-00265</x:v>
      </x:c>
      <x:c r="B266" s="41" t="n">
        <x:v>46208</x:v>
      </x:c>
      <x:c r="C266" s="41" t="n">
        <x:v>46211</x:v>
      </x:c>
      <x:c r="D266" s="41" t="n">
        <x:v>46211</x:v>
      </x:c>
      <x:c r="E266" t="str">
        <x:v>Casa Horizonte, Lda.</x:v>
      </x:c>
      <x:c r="F266" t="str">
        <x:v>Benfica</x:v>
      </x:c>
      <x:c r="G266" t="str">
        <x:v>Jorge Mário</x:v>
      </x:c>
      <x:c r="H266" t="str">
        <x:v>VTR-10</x:v>
      </x:c>
      <x:c r="I266" t="str">
        <x:v>Foton Aumark</x:v>
      </x:c>
      <x:c r="J266" t="n">
        <x:v>4000</x:v>
      </x:c>
      <x:c r="K266" t="n">
        <x:v>71</x:v>
      </x:c>
      <x:c r="L266" t="n">
        <x:v>71</x:v>
      </x:c>
      <x:c r="M266" t="n">
        <x:v>545.7</x:v>
      </x:c>
      <x:c r="N266" t="n">
        <x:v>48</x:v>
      </x:c>
      <x:c r="O266" s="45" t="n">
        <x:v>360467</x:v>
      </x:c>
      <x:c r="P266" s="45" t="n">
        <x:v>39000</x:v>
      </x:c>
      <x:c r="Q266" t="str">
        <x:v>Entregue</x:v>
      </x:c>
      <x:c r="R266" t="str"/>
      <x:c r="S266" t="str">
        <x:v>Nao</x:v>
      </x:c>
      <x:c r="T266" t="str">
        <x:v>Nao</x:v>
      </x:c>
    </x:row>
    <x:row r="267" ht="19" customHeight="1">
      <x:c r="A267" t="str">
        <x:v>ENT-00266</x:v>
      </x:c>
      <x:c r="B267" s="41" t="n">
        <x:v>46225</x:v>
      </x:c>
      <x:c r="C267" s="41" t="n">
        <x:v>46227</x:v>
      </x:c>
      <x:c r="D267" s="41" t="n">
        <x:v>46227</x:v>
      </x:c>
      <x:c r="E267" t="str">
        <x:v>N'gola Market, Lda.</x:v>
      </x:c>
      <x:c r="F267" t="str">
        <x:v>Morro Bento</x:v>
      </x:c>
      <x:c r="G267" t="str">
        <x:v>Jorge Mário</x:v>
      </x:c>
      <x:c r="H267" t="str">
        <x:v>VTR-03</x:v>
      </x:c>
      <x:c r="I267" t="str">
        <x:v>Toyota Dyna</x:v>
      </x:c>
      <x:c r="J267" t="n">
        <x:v>3000</x:v>
      </x:c>
      <x:c r="K267" t="n">
        <x:v>18</x:v>
      </x:c>
      <x:c r="L267" t="n">
        <x:v>18</x:v>
      </x:c>
      <x:c r="M267" t="n">
        <x:v>334.4</x:v>
      </x:c>
      <x:c r="N267" t="n">
        <x:v>22</x:v>
      </x:c>
      <x:c r="O267" s="45" t="n">
        <x:v>118584</x:v>
      </x:c>
      <x:c r="P267" s="45" t="n">
        <x:v>22000</x:v>
      </x:c>
      <x:c r="Q267" t="str">
        <x:v>Entregue</x:v>
      </x:c>
      <x:c r="R267" t="str"/>
      <x:c r="S267" t="str">
        <x:v>Nao</x:v>
      </x:c>
      <x:c r="T267" t="str">
        <x:v>Nao</x:v>
      </x:c>
    </x:row>
    <x:row r="268" ht="19" customHeight="1">
      <x:c r="A268" t="str">
        <x:v>ENT-00267</x:v>
      </x:c>
      <x:c r="B268" s="41" t="n">
        <x:v>46221</x:v>
      </x:c>
      <x:c r="C268" s="41" t="n">
        <x:v>46223</x:v>
      </x:c>
      <x:c r="D268" s="41" t="n">
        <x:v>46222</x:v>
      </x:c>
      <x:c r="E268" t="str">
        <x:v>N'gola Market, Lda.</x:v>
      </x:c>
      <x:c r="F268" t="str">
        <x:v>Maianga</x:v>
      </x:c>
      <x:c r="G268" t="str">
        <x:v>Elísio António</x:v>
      </x:c>
      <x:c r="H268" t="str">
        <x:v>VTR-06</x:v>
      </x:c>
      <x:c r="I268" t="str">
        <x:v>Isuzu NPR</x:v>
      </x:c>
      <x:c r="J268" t="n">
        <x:v>5000</x:v>
      </x:c>
      <x:c r="K268" t="n">
        <x:v>37</x:v>
      </x:c>
      <x:c r="L268" t="n">
        <x:v>37</x:v>
      </x:c>
      <x:c r="M268" t="n">
        <x:v>575</x:v>
      </x:c>
      <x:c r="N268" t="n">
        <x:v>21</x:v>
      </x:c>
      <x:c r="O268" s="45" t="n">
        <x:v>928552</x:v>
      </x:c>
      <x:c r="P268" s="45" t="n">
        <x:v>23000</x:v>
      </x:c>
      <x:c r="Q268" t="str">
        <x:v>Entregue</x:v>
      </x:c>
      <x:c r="R268" t="str"/>
      <x:c r="S268" t="str">
        <x:v>Nao</x:v>
      </x:c>
      <x:c r="T268" t="str">
        <x:v>Nao</x:v>
      </x:c>
    </x:row>
    <x:row r="269" ht="19" customHeight="1">
      <x:c r="A269" t="str">
        <x:v>ENT-00268</x:v>
      </x:c>
      <x:c r="B269" s="41" t="n">
        <x:v>46227</x:v>
      </x:c>
      <x:c r="C269" s="41" t="n">
        <x:v>46229</x:v>
      </x:c>
      <x:c r="D269" s="41" t="n">
        <x:v>46229</x:v>
      </x:c>
      <x:c r="E269" t="str">
        <x:v>Mundo Fresco, Lda.</x:v>
      </x:c>
      <x:c r="F269" t="str">
        <x:v>Benfica</x:v>
      </x:c>
      <x:c r="G269" t="str">
        <x:v>Carlos Mateus</x:v>
      </x:c>
      <x:c r="H269" t="str">
        <x:v>VTR-02</x:v>
      </x:c>
      <x:c r="I269" t="str">
        <x:v>Kia K2700</x:v>
      </x:c>
      <x:c r="J269" t="n">
        <x:v>1500</x:v>
      </x:c>
      <x:c r="K269" t="n">
        <x:v>11</x:v>
      </x:c>
      <x:c r="L269" t="n">
        <x:v>11</x:v>
      </x:c>
      <x:c r="M269" t="n">
        <x:v>194.3</x:v>
      </x:c>
      <x:c r="N269" t="n">
        <x:v>37</x:v>
      </x:c>
      <x:c r="O269" s="45" t="n">
        <x:v>181951</x:v>
      </x:c>
      <x:c r="P269" s="45" t="n">
        <x:v>25000</x:v>
      </x:c>
      <x:c r="Q269" t="str">
        <x:v>Entregue</x:v>
      </x:c>
      <x:c r="R269" t="str"/>
      <x:c r="S269" t="str">
        <x:v>Nao</x:v>
      </x:c>
      <x:c r="T269" t="str">
        <x:v>Nao</x:v>
      </x:c>
    </x:row>
    <x:row r="270" ht="19" customHeight="1">
      <x:c r="A270" t="str">
        <x:v>ENT-00269</x:v>
      </x:c>
      <x:c r="B270" s="41" t="n">
        <x:v>46243</x:v>
      </x:c>
      <x:c r="C270" s="41" t="n">
        <x:v>46246</x:v>
      </x:c>
      <x:c r="D270" s="41" t="n">
        <x:v>46246</x:v>
      </x:c>
      <x:c r="E270" t="str">
        <x:v>Ponto Logístico, Lda.</x:v>
      </x:c>
      <x:c r="F270" t="str">
        <x:v>Cacuaco</x:v>
      </x:c>
      <x:c r="G270" t="str">
        <x:v>Gilberto José</x:v>
      </x:c>
      <x:c r="H270" t="str">
        <x:v>VTR-06</x:v>
      </x:c>
      <x:c r="I270" t="str">
        <x:v>Isuzu NPR</x:v>
      </x:c>
      <x:c r="J270" t="n">
        <x:v>5000</x:v>
      </x:c>
      <x:c r="K270" t="n">
        <x:v>39</x:v>
      </x:c>
      <x:c r="L270" t="n">
        <x:v>39</x:v>
      </x:c>
      <x:c r="M270" t="n">
        <x:v>1066</x:v>
      </x:c>
      <x:c r="N270" t="n">
        <x:v>47</x:v>
      </x:c>
      <x:c r="O270" s="45" t="n">
        <x:v>155688</x:v>
      </x:c>
      <x:c r="P270" s="45" t="n">
        <x:v>51000</x:v>
      </x:c>
      <x:c r="Q270" t="str">
        <x:v>Entregue</x:v>
      </x:c>
      <x:c r="R270" t="str"/>
      <x:c r="S270" t="str">
        <x:v>Nao</x:v>
      </x:c>
      <x:c r="T270" t="str">
        <x:v>Nao</x:v>
      </x:c>
    </x:row>
    <x:row r="271" ht="19" customHeight="1">
      <x:c r="A271" t="str">
        <x:v>ENT-00270</x:v>
      </x:c>
      <x:c r="B271" s="41" t="n">
        <x:v>46233</x:v>
      </x:c>
      <x:c r="C271" s="41" t="n">
        <x:v>46236</x:v>
      </x:c>
      <x:c r="D271" s="41" t="n">
        <x:v>46236</x:v>
      </x:c>
      <x:c r="E271" t="str">
        <x:v>Prime Stock, Lda.</x:v>
      </x:c>
      <x:c r="F271" t="str">
        <x:v>Sequele</x:v>
      </x:c>
      <x:c r="G271" t="str">
        <x:v>Gilberto José</x:v>
      </x:c>
      <x:c r="H271" t="str">
        <x:v>VTR-08</x:v>
      </x:c>
      <x:c r="I271" t="str">
        <x:v>Toyota Hilux</x:v>
      </x:c>
      <x:c r="J271" t="n">
        <x:v>1000</x:v>
      </x:c>
      <x:c r="K271" t="n">
        <x:v>88</x:v>
      </x:c>
      <x:c r="L271" t="n">
        <x:v>88</x:v>
      </x:c>
      <x:c r="M271" t="n">
        <x:v>537.3</x:v>
      </x:c>
      <x:c r="N271" t="n">
        <x:v>56</x:v>
      </x:c>
      <x:c r="O271" s="45" t="n">
        <x:v>875424</x:v>
      </x:c>
      <x:c r="P271" s="45" t="n">
        <x:v>36000</x:v>
      </x:c>
      <x:c r="Q271" t="str">
        <x:v>Entregue</x:v>
      </x:c>
      <x:c r="R271" t="str"/>
      <x:c r="S271" t="str">
        <x:v>Nao</x:v>
      </x:c>
      <x:c r="T271" t="str">
        <x:v>Nao</x:v>
      </x:c>
    </x:row>
    <x:row r="272" ht="19" customHeight="1">
      <x:c r="A272" t="str">
        <x:v>ENT-00271</x:v>
      </x:c>
      <x:c r="B272" s="41" t="n">
        <x:v>46223</x:v>
      </x:c>
      <x:c r="C272" s="41" t="n">
        <x:v>46224</x:v>
      </x:c>
      <x:c r="D272" s="41"/>
      <x:c r="E272" t="str">
        <x:v>Savana Retail, Lda.</x:v>
      </x:c>
      <x:c r="F272" t="str">
        <x:v>Ingombota</x:v>
      </x:c>
      <x:c r="G272" t="str">
        <x:v>Hélder Miguel</x:v>
      </x:c>
      <x:c r="H272" t="str">
        <x:v>VTR-02</x:v>
      </x:c>
      <x:c r="I272" t="str">
        <x:v>Kia K2700</x:v>
      </x:c>
      <x:c r="J272" t="n">
        <x:v>1500</x:v>
      </x:c>
      <x:c r="K272" t="n">
        <x:v>44</x:v>
      </x:c>
      <x:c r="L272" t="n">
        <x:v>0</x:v>
      </x:c>
      <x:c r="M272" t="n">
        <x:v>456.8</x:v>
      </x:c>
      <x:c r="N272" t="n">
        <x:v>15</x:v>
      </x:c>
      <x:c r="O272" s="45" t="n">
        <x:v>427064</x:v>
      </x:c>
      <x:c r="P272" s="45" t="n">
        <x:v>22000</x:v>
      </x:c>
      <x:c r="Q272" t="str">
        <x:v>Cancelada</x:v>
      </x:c>
      <x:c r="R272" t="str">
        <x:v>Cancelamento do cliente</x:v>
      </x:c>
      <x:c r="S272" t="str">
        <x:v>Nao</x:v>
      </x:c>
      <x:c r="T272" t="str">
        <x:v>Nao</x:v>
      </x:c>
    </x:row>
    <x:row r="273" ht="19" customHeight="1">
      <x:c r="A273" t="str">
        <x:v>ENT-00272</x:v>
      </x:c>
      <x:c r="B273" s="41" t="n">
        <x:v>46232</x:v>
      </x:c>
      <x:c r="C273" s="41" t="n">
        <x:v>46235</x:v>
      </x:c>
      <x:c r="D273" s="41" t="n">
        <x:v>46235</x:v>
      </x:c>
      <x:c r="E273" t="str">
        <x:v>Sol Nascente Comércio, Lda.</x:v>
      </x:c>
      <x:c r="F273" t="str">
        <x:v>Sequele</x:v>
      </x:c>
      <x:c r="G273" t="str">
        <x:v>Jorge Mário</x:v>
      </x:c>
      <x:c r="H273" t="str">
        <x:v>VTR-03</x:v>
      </x:c>
      <x:c r="I273" t="str">
        <x:v>Toyota Dyna</x:v>
      </x:c>
      <x:c r="J273" t="n">
        <x:v>3000</x:v>
      </x:c>
      <x:c r="K273" t="n">
        <x:v>74</x:v>
      </x:c>
      <x:c r="L273" t="n">
        <x:v>74</x:v>
      </x:c>
      <x:c r="M273" t="n">
        <x:v>751.4</x:v>
      </x:c>
      <x:c r="N273" t="n">
        <x:v>48</x:v>
      </x:c>
      <x:c r="O273" s="45" t="n">
        <x:v>1176008</x:v>
      </x:c>
      <x:c r="P273" s="45" t="n">
        <x:v>42500</x:v>
      </x:c>
      <x:c r="Q273" t="str">
        <x:v>Entregue</x:v>
      </x:c>
      <x:c r="R273" t="str"/>
      <x:c r="S273" t="str">
        <x:v>Nao</x:v>
      </x:c>
      <x:c r="T273" t="str">
        <x:v>Nao</x:v>
      </x:c>
    </x:row>
    <x:row r="274" ht="19" customHeight="1">
      <x:c r="A274" t="str">
        <x:v>ENT-00273</x:v>
      </x:c>
      <x:c r="B274" s="41" t="n">
        <x:v>46244</x:v>
      </x:c>
      <x:c r="C274" s="41" t="n">
        <x:v>46245</x:v>
      </x:c>
      <x:c r="D274" s="41" t="n">
        <x:v>46245</x:v>
      </x:c>
      <x:c r="E274" t="str">
        <x:v>Via Certa Serviços, Lda.</x:v>
      </x:c>
      <x:c r="F274" t="str">
        <x:v>Ingombota</x:v>
      </x:c>
      <x:c r="G274" t="str">
        <x:v>Bernardo Paulo</x:v>
      </x:c>
      <x:c r="H274" t="str">
        <x:v>VTR-05</x:v>
      </x:c>
      <x:c r="I274" t="str">
        <x:v>Hyundai HD65</x:v>
      </x:c>
      <x:c r="J274" t="n">
        <x:v>3500</x:v>
      </x:c>
      <x:c r="K274" t="n">
        <x:v>86</x:v>
      </x:c>
      <x:c r="L274" t="n">
        <x:v>86</x:v>
      </x:c>
      <x:c r="M274" t="n">
        <x:v>1095</x:v>
      </x:c>
      <x:c r="N274" t="n">
        <x:v>9</x:v>
      </x:c>
      <x:c r="O274" s="45" t="n">
        <x:v>526062</x:v>
      </x:c>
      <x:c r="P274" s="45" t="n">
        <x:v>26500</x:v>
      </x:c>
      <x:c r="Q274" t="str">
        <x:v>Entregue</x:v>
      </x:c>
      <x:c r="R274" t="str"/>
      <x:c r="S274" t="str">
        <x:v>Nao</x:v>
      </x:c>
      <x:c r="T274" t="str">
        <x:v>Nao</x:v>
      </x:c>
    </x:row>
    <x:row r="275" ht="19" customHeight="1">
      <x:c r="A275" t="str">
        <x:v>ENT-00274</x:v>
      </x:c>
      <x:c r="B275" s="41" t="n">
        <x:v>46241</x:v>
      </x:c>
      <x:c r="C275" s="41" t="n">
        <x:v>46243</x:v>
      </x:c>
      <x:c r="D275" s="41" t="n">
        <x:v>46243</x:v>
      </x:c>
      <x:c r="E275" t="str">
        <x:v>Mercado Sul, Lda.</x:v>
      </x:c>
      <x:c r="F275" t="str">
        <x:v>Camama</x:v>
      </x:c>
      <x:c r="G275" t="str">
        <x:v>Isaías Pedro</x:v>
      </x:c>
      <x:c r="H275" t="str">
        <x:v>VTR-03</x:v>
      </x:c>
      <x:c r="I275" t="str">
        <x:v>Toyota Dyna</x:v>
      </x:c>
      <x:c r="J275" t="n">
        <x:v>3000</x:v>
      </x:c>
      <x:c r="K275" t="n">
        <x:v>7</x:v>
      </x:c>
      <x:c r="L275" t="n">
        <x:v>7</x:v>
      </x:c>
      <x:c r="M275" t="n">
        <x:v>206.7</x:v>
      </x:c>
      <x:c r="N275" t="n">
        <x:v>27</x:v>
      </x:c>
      <x:c r="O275" s="45" t="n">
        <x:v>176876</x:v>
      </x:c>
      <x:c r="P275" s="45" t="n">
        <x:v>22000</x:v>
      </x:c>
      <x:c r="Q275" t="str">
        <x:v>Entregue</x:v>
      </x:c>
      <x:c r="R275" t="str"/>
      <x:c r="S275" t="str">
        <x:v>Nao</x:v>
      </x:c>
      <x:c r="T275" t="str">
        <x:v>Nao</x:v>
      </x:c>
    </x:row>
    <x:row r="276" ht="19" customHeight="1">
      <x:c r="A276" t="str">
        <x:v>ENT-00275</x:v>
      </x:c>
      <x:c r="B276" s="41" t="n">
        <x:v>46221</x:v>
      </x:c>
      <x:c r="C276" s="41" t="n">
        <x:v>46223</x:v>
      </x:c>
      <x:c r="D276" s="41" t="n">
        <x:v>46223</x:v>
      </x:c>
      <x:c r="E276" t="str">
        <x:v>Ponto Logístico, Lda.</x:v>
      </x:c>
      <x:c r="F276" t="str">
        <x:v>Maianga</x:v>
      </x:c>
      <x:c r="G276" t="str">
        <x:v>Carlos Mateus</x:v>
      </x:c>
      <x:c r="H276" t="str">
        <x:v>VTR-03</x:v>
      </x:c>
      <x:c r="I276" t="str">
        <x:v>Toyota Dyna</x:v>
      </x:c>
      <x:c r="J276" t="n">
        <x:v>3000</x:v>
      </x:c>
      <x:c r="K276" t="n">
        <x:v>61</x:v>
      </x:c>
      <x:c r="L276" t="n">
        <x:v>61</x:v>
      </x:c>
      <x:c r="M276" t="n">
        <x:v>1501</x:v>
      </x:c>
      <x:c r="N276" t="n">
        <x:v>21</x:v>
      </x:c>
      <x:c r="O276" s="45" t="n">
        <x:v>414373</x:v>
      </x:c>
      <x:c r="P276" s="45" t="n">
        <x:v>43500</x:v>
      </x:c>
      <x:c r="Q276" t="str">
        <x:v>Entregue</x:v>
      </x:c>
      <x:c r="R276" t="str"/>
      <x:c r="S276" t="str">
        <x:v>Nao</x:v>
      </x:c>
      <x:c r="T276" t="str">
        <x:v>Nao</x:v>
      </x:c>
    </x:row>
    <x:row r="277" ht="19" customHeight="1">
      <x:c r="A277" t="str">
        <x:v>ENT-00276</x:v>
      </x:c>
      <x:c r="B277" s="41" t="n">
        <x:v>46207</x:v>
      </x:c>
      <x:c r="C277" s="41" t="n">
        <x:v>46209</x:v>
      </x:c>
      <x:c r="D277" s="41" t="n">
        <x:v>46211</x:v>
      </x:c>
      <x:c r="E277" t="str">
        <x:v>Prime Stock, Lda.</x:v>
      </x:c>
      <x:c r="F277" t="str">
        <x:v>Patriota</x:v>
      </x:c>
      <x:c r="G277" t="str">
        <x:v>Carlos Mateus</x:v>
      </x:c>
      <x:c r="H277" t="str">
        <x:v>VTR-04</x:v>
      </x:c>
      <x:c r="I277" t="str">
        <x:v>Toyota Dyna</x:v>
      </x:c>
      <x:c r="J277" t="n">
        <x:v>3000</x:v>
      </x:c>
      <x:c r="K277" t="n">
        <x:v>44</x:v>
      </x:c>
      <x:c r="L277" t="n">
        <x:v>44</x:v>
      </x:c>
      <x:c r="M277" t="n">
        <x:v>343.5</x:v>
      </x:c>
      <x:c r="N277" t="n">
        <x:v>25</x:v>
      </x:c>
      <x:c r="O277" s="45" t="n">
        <x:v>539792</x:v>
      </x:c>
      <x:c r="P277" s="45" t="n">
        <x:v>24500</x:v>
      </x:c>
      <x:c r="Q277" t="str">
        <x:v>Entregue</x:v>
      </x:c>
      <x:c r="R277" t="str">
        <x:v>Transito intenso</x:v>
      </x:c>
      <x:c r="S277" t="str">
        <x:v>Nao</x:v>
      </x:c>
      <x:c r="T277" t="str">
        <x:v>Nao</x:v>
      </x:c>
    </x:row>
    <x:row r="278" ht="19" customHeight="1">
      <x:c r="A278" t="str">
        <x:v>ENT-00277</x:v>
      </x:c>
      <x:c r="B278" s="41" t="n">
        <x:v>46249</x:v>
      </x:c>
      <x:c r="C278" s="41" t="n">
        <x:v>46252</x:v>
      </x:c>
      <x:c r="D278" s="41" t="n">
        <x:v>46254</x:v>
      </x:c>
      <x:c r="E278" t="str">
        <x:v>Mercado Sul, Lda.</x:v>
      </x:c>
      <x:c r="F278" t="str">
        <x:v>Cacuaco</x:v>
      </x:c>
      <x:c r="G278" t="str">
        <x:v>Félix Domingos</x:v>
      </x:c>
      <x:c r="H278" t="str">
        <x:v>VTR-06</x:v>
      </x:c>
      <x:c r="I278" t="str">
        <x:v>Isuzu NPR</x:v>
      </x:c>
      <x:c r="J278" t="n">
        <x:v>5000</x:v>
      </x:c>
      <x:c r="K278" t="n">
        <x:v>11</x:v>
      </x:c>
      <x:c r="L278" t="n">
        <x:v>11</x:v>
      </x:c>
      <x:c r="M278" t="n">
        <x:v>352.4</x:v>
      </x:c>
      <x:c r="N278" t="n">
        <x:v>42</x:v>
      </x:c>
      <x:c r="O278" s="45" t="n">
        <x:v>204820</x:v>
      </x:c>
      <x:c r="P278" s="45" t="n">
        <x:v>33500</x:v>
      </x:c>
      <x:c r="Q278" t="str">
        <x:v>Entregue</x:v>
      </x:c>
      <x:c r="R278" t="str">
        <x:v>Cliente indisponivel</x:v>
      </x:c>
      <x:c r="S278" t="str">
        <x:v>Nao</x:v>
      </x:c>
      <x:c r="T278" t="str">
        <x:v>Nao</x:v>
      </x:c>
    </x:row>
    <x:row r="279" ht="19" customHeight="1">
      <x:c r="A279" t="str">
        <x:v>ENT-00278</x:v>
      </x:c>
      <x:c r="B279" s="41" t="n">
        <x:v>46225</x:v>
      </x:c>
      <x:c r="C279" s="41" t="n">
        <x:v>46227</x:v>
      </x:c>
      <x:c r="D279" s="41" t="n">
        <x:v>46228</x:v>
      </x:c>
      <x:c r="E279" t="str">
        <x:v>Ponto Logístico, Lda.</x:v>
      </x:c>
      <x:c r="F279" t="str">
        <x:v>Viana</x:v>
      </x:c>
      <x:c r="G279" t="str">
        <x:v>Lucas Tomás</x:v>
      </x:c>
      <x:c r="H279" t="str">
        <x:v>VTR-02</x:v>
      </x:c>
      <x:c r="I279" t="str">
        <x:v>Kia K2700</x:v>
      </x:c>
      <x:c r="J279" t="n">
        <x:v>1500</x:v>
      </x:c>
      <x:c r="K279" t="n">
        <x:v>17</x:v>
      </x:c>
      <x:c r="L279" t="n">
        <x:v>17</x:v>
      </x:c>
      <x:c r="M279" t="n">
        <x:v>247.1</x:v>
      </x:c>
      <x:c r="N279" t="n">
        <x:v>25</x:v>
      </x:c>
      <x:c r="O279" s="45" t="n">
        <x:v>256530</x:v>
      </x:c>
      <x:c r="P279" s="45" t="n">
        <x:v>20500</x:v>
      </x:c>
      <x:c r="Q279" t="str">
        <x:v>Entregue</x:v>
      </x:c>
      <x:c r="R279" t="str">
        <x:v>Transito intenso</x:v>
      </x:c>
      <x:c r="S279" t="str">
        <x:v>Nao</x:v>
      </x:c>
      <x:c r="T279" t="str">
        <x:v>Nao</x:v>
      </x:c>
    </x:row>
    <x:row r="280" ht="19" customHeight="1">
      <x:c r="A280" t="str">
        <x:v>ENT-00279</x:v>
      </x:c>
      <x:c r="B280" s="41" t="n">
        <x:v>46215</x:v>
      </x:c>
      <x:c r="C280" s="41" t="n">
        <x:v>46217</x:v>
      </x:c>
      <x:c r="D280" s="41" t="n">
        <x:v>46217</x:v>
      </x:c>
      <x:c r="E280" t="str">
        <x:v>Rota Azul, Lda.</x:v>
      </x:c>
      <x:c r="F280" t="str">
        <x:v>Kilamba</x:v>
      </x:c>
      <x:c r="G280" t="str">
        <x:v>Elísio António</x:v>
      </x:c>
      <x:c r="H280" t="str">
        <x:v>VTR-06</x:v>
      </x:c>
      <x:c r="I280" t="str">
        <x:v>Isuzu NPR</x:v>
      </x:c>
      <x:c r="J280" t="n">
        <x:v>5000</x:v>
      </x:c>
      <x:c r="K280" t="n">
        <x:v>39</x:v>
      </x:c>
      <x:c r="L280" t="n">
        <x:v>39</x:v>
      </x:c>
      <x:c r="M280" t="n">
        <x:v>966.5</x:v>
      </x:c>
      <x:c r="N280" t="n">
        <x:v>33</x:v>
      </x:c>
      <x:c r="O280" s="45" t="n">
        <x:v>956007</x:v>
      </x:c>
      <x:c r="P280" s="45" t="n">
        <x:v>37000</x:v>
      </x:c>
      <x:c r="Q280" t="str">
        <x:v>Entregue</x:v>
      </x:c>
      <x:c r="R280" t="str"/>
      <x:c r="S280" t="str">
        <x:v>Nao</x:v>
      </x:c>
      <x:c r="T280" t="str">
        <x:v>Nao</x:v>
      </x:c>
    </x:row>
    <x:row r="281" ht="19" customHeight="1">
      <x:c r="A281" t="str">
        <x:v>ENT-00280</x:v>
      </x:c>
      <x:c r="B281" s="41" t="n">
        <x:v>46256</x:v>
      </x:c>
      <x:c r="C281" s="41" t="n">
        <x:v>46257</x:v>
      </x:c>
      <x:c r="D281" s="41" t="n">
        <x:v>46257</x:v>
      </x:c>
      <x:c r="E281" t="str">
        <x:v>Cesta Certa, Lda.</x:v>
      </x:c>
      <x:c r="F281" t="str">
        <x:v>Maianga</x:v>
      </x:c>
      <x:c r="G281" t="str">
        <x:v>Elísio António</x:v>
      </x:c>
      <x:c r="H281" t="str">
        <x:v>VTR-02</x:v>
      </x:c>
      <x:c r="I281" t="str">
        <x:v>Kia K2700</x:v>
      </x:c>
      <x:c r="J281" t="n">
        <x:v>1500</x:v>
      </x:c>
      <x:c r="K281" t="n">
        <x:v>79</x:v>
      </x:c>
      <x:c r="L281" t="n">
        <x:v>67</x:v>
      </x:c>
      <x:c r="M281" t="n">
        <x:v>555.4</x:v>
      </x:c>
      <x:c r="N281" t="n">
        <x:v>14</x:v>
      </x:c>
      <x:c r="O281" s="45" t="n">
        <x:v>1460868</x:v>
      </x:c>
      <x:c r="P281" s="45" t="n">
        <x:v>23000</x:v>
      </x:c>
      <x:c r="Q281" t="str">
        <x:v>Entregue</x:v>
      </x:c>
      <x:c r="R281" t="str"/>
      <x:c r="S281" t="str">
        <x:v>Nao</x:v>
      </x:c>
      <x:c r="T281" t="str">
        <x:v>Nao</x:v>
      </x:c>
    </x:row>
    <x:row r="282" ht="19" customHeight="1">
      <x:c r="A282" t="str">
        <x:v>ENT-00281</x:v>
      </x:c>
      <x:c r="B282" s="41" t="n">
        <x:v>46245</x:v>
      </x:c>
      <x:c r="C282" s="41" t="n">
        <x:v>46247</x:v>
      </x:c>
      <x:c r="D282" s="41" t="n">
        <x:v>46247</x:v>
      </x:c>
      <x:c r="E282" t="str">
        <x:v>Cesta Certa, Lda.</x:v>
      </x:c>
      <x:c r="F282" t="str">
        <x:v>Cacuaco</x:v>
      </x:c>
      <x:c r="G282" t="str">
        <x:v>Gilberto José</x:v>
      </x:c>
      <x:c r="H282" t="str">
        <x:v>VTR-10</x:v>
      </x:c>
      <x:c r="I282" t="str">
        <x:v>Foton Aumark</x:v>
      </x:c>
      <x:c r="J282" t="n">
        <x:v>4000</x:v>
      </x:c>
      <x:c r="K282" t="n">
        <x:v>88</x:v>
      </x:c>
      <x:c r="L282" t="n">
        <x:v>88</x:v>
      </x:c>
      <x:c r="M282" t="n">
        <x:v>2116</x:v>
      </x:c>
      <x:c r="N282" t="n">
        <x:v>30</x:v>
      </x:c>
      <x:c r="O282" s="45" t="n">
        <x:v>479160</x:v>
      </x:c>
      <x:c r="P282" s="45" t="n">
        <x:v>61500</x:v>
      </x:c>
      <x:c r="Q282" t="str">
        <x:v>Entregue</x:v>
      </x:c>
      <x:c r="R282" t="str"/>
      <x:c r="S282" t="str">
        <x:v>Nao</x:v>
      </x:c>
      <x:c r="T282" t="str">
        <x:v>Nao</x:v>
      </x:c>
    </x:row>
    <x:row r="283" ht="19" customHeight="1">
      <x:c r="A283" t="str">
        <x:v>ENT-00282</x:v>
      </x:c>
      <x:c r="B283" s="41" t="n">
        <x:v>46206</x:v>
      </x:c>
      <x:c r="C283" s="41" t="n">
        <x:v>46207</x:v>
      </x:c>
      <x:c r="D283" s="41" t="n">
        <x:v>46207</x:v>
      </x:c>
      <x:c r="E283" t="str">
        <x:v>Prime Stock, Lda.</x:v>
      </x:c>
      <x:c r="F283" t="str">
        <x:v>Maianga</x:v>
      </x:c>
      <x:c r="G283" t="str">
        <x:v>Elísio António</x:v>
      </x:c>
      <x:c r="H283" t="str">
        <x:v>VTR-02</x:v>
      </x:c>
      <x:c r="I283" t="str">
        <x:v>Kia K2700</x:v>
      </x:c>
      <x:c r="J283" t="n">
        <x:v>1500</x:v>
      </x:c>
      <x:c r="K283" t="n">
        <x:v>56</x:v>
      </x:c>
      <x:c r="L283" t="n">
        <x:v>56</x:v>
      </x:c>
      <x:c r="M283" t="n">
        <x:v>1255.6</x:v>
      </x:c>
      <x:c r="N283" t="n">
        <x:v>10</x:v>
      </x:c>
      <x:c r="O283" s="45" t="n">
        <x:v>603456</x:v>
      </x:c>
      <x:c r="P283" s="45" t="n">
        <x:v>29500</x:v>
      </x:c>
      <x:c r="Q283" t="str">
        <x:v>Entregue</x:v>
      </x:c>
      <x:c r="R283" t="str"/>
      <x:c r="S283" t="str">
        <x:v>Nao</x:v>
      </x:c>
      <x:c r="T283" t="str">
        <x:v>Nao</x:v>
      </x:c>
    </x:row>
    <x:row r="284" ht="19" customHeight="1">
      <x:c r="A284" t="str">
        <x:v>ENT-00283</x:v>
      </x:c>
      <x:c r="B284" s="41" t="n">
        <x:v>46225</x:v>
      </x:c>
      <x:c r="C284" s="41" t="n">
        <x:v>46227</x:v>
      </x:c>
      <x:c r="D284" s="41" t="n">
        <x:v>46227</x:v>
      </x:c>
      <x:c r="E284" t="str">
        <x:v>Mercado Sul, Lda.</x:v>
      </x:c>
      <x:c r="F284" t="str">
        <x:v>Viana</x:v>
      </x:c>
      <x:c r="G284" t="str">
        <x:v>Dário Joaquim</x:v>
      </x:c>
      <x:c r="H284" t="str">
        <x:v>VTR-07</x:v>
      </x:c>
      <x:c r="I284" t="str">
        <x:v>Isuzu NPR</x:v>
      </x:c>
      <x:c r="J284" t="n">
        <x:v>5000</x:v>
      </x:c>
      <x:c r="K284" t="n">
        <x:v>23</x:v>
      </x:c>
      <x:c r="L284" t="n">
        <x:v>23</x:v>
      </x:c>
      <x:c r="M284" t="n">
        <x:v>782.3</x:v>
      </x:c>
      <x:c r="N284" t="n">
        <x:v>35</x:v>
      </x:c>
      <x:c r="O284" s="45" t="n">
        <x:v>356500</x:v>
      </x:c>
      <x:c r="P284" s="45" t="n">
        <x:v>32000</x:v>
      </x:c>
      <x:c r="Q284" t="str">
        <x:v>Entregue</x:v>
      </x:c>
      <x:c r="R284" t="str"/>
      <x:c r="S284" t="str">
        <x:v>Nao</x:v>
      </x:c>
      <x:c r="T284" t="str">
        <x:v>Nao</x:v>
      </x:c>
    </x:row>
    <x:row r="285" ht="19" customHeight="1">
      <x:c r="A285" t="str">
        <x:v>ENT-00284</x:v>
      </x:c>
      <x:c r="B285" s="41" t="n">
        <x:v>46251</x:v>
      </x:c>
      <x:c r="C285" s="41" t="n">
        <x:v>46253</x:v>
      </x:c>
      <x:c r="D285" s="41" t="n">
        <x:v>46253</x:v>
      </x:c>
      <x:c r="E285" t="str">
        <x:v>Bem-Estar Higiene, Lda.</x:v>
      </x:c>
      <x:c r="F285" t="str">
        <x:v>Patriota</x:v>
      </x:c>
      <x:c r="G285" t="str">
        <x:v>Carlos Mateus</x:v>
      </x:c>
      <x:c r="H285" t="str">
        <x:v>VTR-10</x:v>
      </x:c>
      <x:c r="I285" t="str">
        <x:v>Foton Aumark</x:v>
      </x:c>
      <x:c r="J285" t="n">
        <x:v>4000</x:v>
      </x:c>
      <x:c r="K285" t="n">
        <x:v>24</x:v>
      </x:c>
      <x:c r="L285" t="n">
        <x:v>24</x:v>
      </x:c>
      <x:c r="M285" t="n">
        <x:v>491.4</x:v>
      </x:c>
      <x:c r="N285" t="n">
        <x:v>26</x:v>
      </x:c>
      <x:c r="O285" s="45" t="n">
        <x:v>195624</x:v>
      </x:c>
      <x:c r="P285" s="45" t="n">
        <x:v>28500</x:v>
      </x:c>
      <x:c r="Q285" t="str">
        <x:v>Entregue</x:v>
      </x:c>
      <x:c r="R285" t="str"/>
      <x:c r="S285" t="str">
        <x:v>Nao</x:v>
      </x:c>
      <x:c r="T285" t="str">
        <x:v>Nao</x:v>
      </x:c>
    </x:row>
    <x:row r="286" ht="19" customHeight="1">
      <x:c r="A286" t="str">
        <x:v>ENT-00285</x:v>
      </x:c>
      <x:c r="B286" s="41" t="n">
        <x:v>46245</x:v>
      </x:c>
      <x:c r="C286" s="41" t="n">
        <x:v>46247</x:v>
      </x:c>
      <x:c r="D286" s="41" t="n">
        <x:v>46248</x:v>
      </x:c>
      <x:c r="E286" t="str">
        <x:v>Casa Horizonte, Lda.</x:v>
      </x:c>
      <x:c r="F286" t="str">
        <x:v>Zango</x:v>
      </x:c>
      <x:c r="G286" t="str">
        <x:v>Hélder Miguel</x:v>
      </x:c>
      <x:c r="H286" t="str">
        <x:v>VTR-02</x:v>
      </x:c>
      <x:c r="I286" t="str">
        <x:v>Kia K2700</x:v>
      </x:c>
      <x:c r="J286" t="n">
        <x:v>1500</x:v>
      </x:c>
      <x:c r="K286" t="n">
        <x:v>34</x:v>
      </x:c>
      <x:c r="L286" t="n">
        <x:v>34</x:v>
      </x:c>
      <x:c r="M286" t="n">
        <x:v>545.6</x:v>
      </x:c>
      <x:c r="N286" t="n">
        <x:v>37</x:v>
      </x:c>
      <x:c r="O286" s="45" t="n">
        <x:v>461006</x:v>
      </x:c>
      <x:c r="P286" s="45" t="n">
        <x:v>35500</x:v>
      </x:c>
      <x:c r="Q286" t="str">
        <x:v>Entregue</x:v>
      </x:c>
      <x:c r="R286" t="str">
        <x:v>Cliente indisponivel</x:v>
      </x:c>
      <x:c r="S286" t="str">
        <x:v>Nao</x:v>
      </x:c>
      <x:c r="T286" t="str">
        <x:v>Nao</x:v>
      </x:c>
    </x:row>
    <x:row r="287" ht="19" customHeight="1">
      <x:c r="A287" t="str">
        <x:v>ENT-00286</x:v>
      </x:c>
      <x:c r="B287" s="41" t="n">
        <x:v>46257</x:v>
      </x:c>
      <x:c r="C287" s="41" t="n">
        <x:v>46258</x:v>
      </x:c>
      <x:c r="D287" s="41" t="n">
        <x:v>46258</x:v>
      </x:c>
      <x:c r="E287" t="str">
        <x:v>Atlântico Farma, Lda.</x:v>
      </x:c>
      <x:c r="F287" t="str">
        <x:v>Maianga</x:v>
      </x:c>
      <x:c r="G287" t="str">
        <x:v>Isaías Pedro</x:v>
      </x:c>
      <x:c r="H287" t="str">
        <x:v>VTR-05</x:v>
      </x:c>
      <x:c r="I287" t="str">
        <x:v>Hyundai HD65</x:v>
      </x:c>
      <x:c r="J287" t="n">
        <x:v>3500</x:v>
      </x:c>
      <x:c r="K287" t="n">
        <x:v>22</x:v>
      </x:c>
      <x:c r="L287" t="n">
        <x:v>22</x:v>
      </x:c>
      <x:c r="M287" t="n">
        <x:v>521.2</x:v>
      </x:c>
      <x:c r="N287" t="n">
        <x:v>14</x:v>
      </x:c>
      <x:c r="O287" s="45" t="n">
        <x:v>209396</x:v>
      </x:c>
      <x:c r="P287" s="45" t="n">
        <x:v>22000</x:v>
      </x:c>
      <x:c r="Q287" t="str">
        <x:v>Entregue</x:v>
      </x:c>
      <x:c r="R287" t="str"/>
      <x:c r="S287" t="str">
        <x:v>Nao</x:v>
      </x:c>
      <x:c r="T287" t="str">
        <x:v>Nao</x:v>
      </x:c>
    </x:row>
    <x:row r="288" ht="19" customHeight="1">
      <x:c r="A288" t="str">
        <x:v>ENT-00287</x:v>
      </x:c>
      <x:c r="B288" s="41" t="n">
        <x:v>46233</x:v>
      </x:c>
      <x:c r="C288" s="41" t="n">
        <x:v>46234</x:v>
      </x:c>
      <x:c r="D288" s="41" t="n">
        <x:v>46234</x:v>
      </x:c>
      <x:c r="E288" t="str">
        <x:v>Luanda Office Supply, Lda.</x:v>
      </x:c>
      <x:c r="F288" t="str">
        <x:v>Ingombota</x:v>
      </x:c>
      <x:c r="G288" t="str">
        <x:v>Adriano Manuel</x:v>
      </x:c>
      <x:c r="H288" t="str">
        <x:v>VTR-10</x:v>
      </x:c>
      <x:c r="I288" t="str">
        <x:v>Foton Aumark</x:v>
      </x:c>
      <x:c r="J288" t="n">
        <x:v>4000</x:v>
      </x:c>
      <x:c r="K288" t="n">
        <x:v>77</x:v>
      </x:c>
      <x:c r="L288" t="n">
        <x:v>77</x:v>
      </x:c>
      <x:c r="M288" t="n">
        <x:v>1897.9</x:v>
      </x:c>
      <x:c r="N288" t="n">
        <x:v>17</x:v>
      </x:c>
      <x:c r="O288" s="45" t="n">
        <x:v>981827</x:v>
      </x:c>
      <x:c r="P288" s="45" t="n">
        <x:v>45500</x:v>
      </x:c>
      <x:c r="Q288" t="str">
        <x:v>Entregue</x:v>
      </x:c>
      <x:c r="R288" t="str"/>
      <x:c r="S288" t="str">
        <x:v>Nao</x:v>
      </x:c>
      <x:c r="T288" t="str">
        <x:v>Nao</x:v>
      </x:c>
    </x:row>
    <x:row r="289" ht="19" customHeight="1">
      <x:c r="A289" t="str">
        <x:v>ENT-00288</x:v>
      </x:c>
      <x:c r="B289" s="41" t="n">
        <x:v>46207</x:v>
      </x:c>
      <x:c r="C289" s="41" t="n">
        <x:v>46209</x:v>
      </x:c>
      <x:c r="D289" s="41" t="n">
        <x:v>46209</x:v>
      </x:c>
      <x:c r="E289" t="str">
        <x:v>Atlântico Farma, Lda.</x:v>
      </x:c>
      <x:c r="F289" t="str">
        <x:v>Cacuaco</x:v>
      </x:c>
      <x:c r="G289" t="str">
        <x:v>Carlos Mateus</x:v>
      </x:c>
      <x:c r="H289" t="str">
        <x:v>VTR-06</x:v>
      </x:c>
      <x:c r="I289" t="str">
        <x:v>Isuzu NPR</x:v>
      </x:c>
      <x:c r="J289" t="n">
        <x:v>5000</x:v>
      </x:c>
      <x:c r="K289" t="n">
        <x:v>51</x:v>
      </x:c>
      <x:c r="L289" t="n">
        <x:v>51</x:v>
      </x:c>
      <x:c r="M289" t="n">
        <x:v>818.3</x:v>
      </x:c>
      <x:c r="N289" t="n">
        <x:v>38</x:v>
      </x:c>
      <x:c r="O289" s="45" t="n">
        <x:v>551973</x:v>
      </x:c>
      <x:c r="P289" s="45" t="n">
        <x:v>33500</x:v>
      </x:c>
      <x:c r="Q289" t="str">
        <x:v>Entregue</x:v>
      </x:c>
      <x:c r="R289" t="str"/>
      <x:c r="S289" t="str">
        <x:v>Nao</x:v>
      </x:c>
      <x:c r="T289" t="str">
        <x:v>Nao</x:v>
      </x:c>
    </x:row>
    <x:row r="290" ht="19" customHeight="1">
      <x:c r="A290" t="str">
        <x:v>ENT-00289</x:v>
      </x:c>
      <x:c r="B290" s="41" t="n">
        <x:v>46256</x:v>
      </x:c>
      <x:c r="C290" s="41" t="n">
        <x:v>46259</x:v>
      </x:c>
      <x:c r="D290" s="41" t="n">
        <x:v>46259</x:v>
      </x:c>
      <x:c r="E290" t="str">
        <x:v>Rota Azul, Lda.</x:v>
      </x:c>
      <x:c r="F290" t="str">
        <x:v>Zango</x:v>
      </x:c>
      <x:c r="G290" t="str">
        <x:v>Jorge Mário</x:v>
      </x:c>
      <x:c r="H290" t="str">
        <x:v>VTR-07</x:v>
      </x:c>
      <x:c r="I290" t="str">
        <x:v>Isuzu NPR</x:v>
      </x:c>
      <x:c r="J290" t="n">
        <x:v>5000</x:v>
      </x:c>
      <x:c r="K290" t="n">
        <x:v>48</x:v>
      </x:c>
      <x:c r="L290" t="n">
        <x:v>48</x:v>
      </x:c>
      <x:c r="M290" t="n">
        <x:v>887</x:v>
      </x:c>
      <x:c r="N290" t="n">
        <x:v>47</x:v>
      </x:c>
      <x:c r="O290" s="45" t="n">
        <x:v>241392</x:v>
      </x:c>
      <x:c r="P290" s="45" t="n">
        <x:v>44000</x:v>
      </x:c>
      <x:c r="Q290" t="str">
        <x:v>Entregue</x:v>
      </x:c>
      <x:c r="R290" t="str"/>
      <x:c r="S290" t="str">
        <x:v>Nao</x:v>
      </x:c>
      <x:c r="T290" t="str">
        <x:v>Nao</x:v>
      </x:c>
    </x:row>
    <x:row r="291" ht="19" customHeight="1">
      <x:c r="A291" t="str">
        <x:v>ENT-00290</x:v>
      </x:c>
      <x:c r="B291" s="41" t="n">
        <x:v>46251</x:v>
      </x:c>
      <x:c r="C291" s="41" t="n">
        <x:v>46254</x:v>
      </x:c>
      <x:c r="D291" s="41" t="n">
        <x:v>46254</x:v>
      </x:c>
      <x:c r="E291" t="str">
        <x:v>Cesta Certa, Lda.</x:v>
      </x:c>
      <x:c r="F291" t="str">
        <x:v>Sequele</x:v>
      </x:c>
      <x:c r="G291" t="str">
        <x:v>Hélder Miguel</x:v>
      </x:c>
      <x:c r="H291" t="str">
        <x:v>VTR-10</x:v>
      </x:c>
      <x:c r="I291" t="str">
        <x:v>Foton Aumark</x:v>
      </x:c>
      <x:c r="J291" t="n">
        <x:v>4000</x:v>
      </x:c>
      <x:c r="K291" t="n">
        <x:v>6</x:v>
      </x:c>
      <x:c r="L291" t="n">
        <x:v>6</x:v>
      </x:c>
      <x:c r="M291" t="n">
        <x:v>96.6</x:v>
      </x:c>
      <x:c r="N291" t="n">
        <x:v>53</x:v>
      </x:c>
      <x:c r="O291" s="45" t="n">
        <x:v>141774</x:v>
      </x:c>
      <x:c r="P291" s="45" t="n">
        <x:v>33500</x:v>
      </x:c>
      <x:c r="Q291" t="str">
        <x:v>Entregue</x:v>
      </x:c>
      <x:c r="R291" t="str"/>
      <x:c r="S291" t="str">
        <x:v>Nao</x:v>
      </x:c>
      <x:c r="T291" t="str">
        <x:v>Nao</x:v>
      </x:c>
    </x:row>
    <x:row r="292" ht="19" customHeight="1">
      <x:c r="A292" t="str">
        <x:v>ENT-00291</x:v>
      </x:c>
      <x:c r="B292" s="41" t="n">
        <x:v>46224</x:v>
      </x:c>
      <x:c r="C292" s="41" t="n">
        <x:v>46225</x:v>
      </x:c>
      <x:c r="D292" s="41" t="n">
        <x:v>46225</x:v>
      </x:c>
      <x:c r="E292" t="str">
        <x:v>Rota Azul, Lda.</x:v>
      </x:c>
      <x:c r="F292" t="str">
        <x:v>Maianga</x:v>
      </x:c>
      <x:c r="G292" t="str">
        <x:v>Lucas Tomás</x:v>
      </x:c>
      <x:c r="H292" t="str">
        <x:v>VTR-12</x:v>
      </x:c>
      <x:c r="I292" t="str">
        <x:v>Hyundai H100</x:v>
      </x:c>
      <x:c r="J292" t="n">
        <x:v>1300</x:v>
      </x:c>
      <x:c r="K292" t="n">
        <x:v>43</x:v>
      </x:c>
      <x:c r="L292" t="n">
        <x:v>43</x:v>
      </x:c>
      <x:c r="M292" t="n">
        <x:v>592.4</x:v>
      </x:c>
      <x:c r="N292" t="n">
        <x:v>13</x:v>
      </x:c>
      <x:c r="O292" s="45" t="n">
        <x:v>1046362</x:v>
      </x:c>
      <x:c r="P292" s="45" t="n">
        <x:v>23500</x:v>
      </x:c>
      <x:c r="Q292" t="str">
        <x:v>Entregue</x:v>
      </x:c>
      <x:c r="R292" t="str"/>
      <x:c r="S292" t="str">
        <x:v>Nao</x:v>
      </x:c>
      <x:c r="T292" t="str">
        <x:v>Nao</x:v>
      </x:c>
    </x:row>
    <x:row r="293" ht="19" customHeight="1">
      <x:c r="A293" t="str">
        <x:v>ENT-00292</x:v>
      </x:c>
      <x:c r="B293" s="41" t="n">
        <x:v>46245</x:v>
      </x:c>
      <x:c r="C293" s="41" t="n">
        <x:v>46247</x:v>
      </x:c>
      <x:c r="D293" s="41" t="n">
        <x:v>46250</x:v>
      </x:c>
      <x:c r="E293" t="str">
        <x:v>Casa Horizonte, Lda.</x:v>
      </x:c>
      <x:c r="F293" t="str">
        <x:v>Camama</x:v>
      </x:c>
      <x:c r="G293" t="str">
        <x:v>Jorge Mário</x:v>
      </x:c>
      <x:c r="H293" t="str">
        <x:v>VTR-09</x:v>
      </x:c>
      <x:c r="I293" t="str">
        <x:v>Toyota Hilux</x:v>
      </x:c>
      <x:c r="J293" t="n">
        <x:v>1000</x:v>
      </x:c>
      <x:c r="K293" t="n">
        <x:v>17</x:v>
      </x:c>
      <x:c r="L293" t="n">
        <x:v>17</x:v>
      </x:c>
      <x:c r="M293" t="n">
        <x:v>284</x:v>
      </x:c>
      <x:c r="N293" t="n">
        <x:v>29</x:v>
      </x:c>
      <x:c r="O293" s="45" t="n">
        <x:v>218280</x:v>
      </x:c>
      <x:c r="P293" s="45" t="n">
        <x:v>23500</x:v>
      </x:c>
      <x:c r="Q293" t="str">
        <x:v>Entregue</x:v>
      </x:c>
      <x:c r="R293" t="str">
        <x:v>Transito intenso</x:v>
      </x:c>
      <x:c r="S293" t="str">
        <x:v>Nao</x:v>
      </x:c>
      <x:c r="T293" t="str">
        <x:v>Nao</x:v>
      </x:c>
    </x:row>
    <x:row r="294" ht="19" customHeight="1">
      <x:c r="A294" t="str">
        <x:v>ENT-00293</x:v>
      </x:c>
      <x:c r="B294" s="41" t="n">
        <x:v>46207</x:v>
      </x:c>
      <x:c r="C294" s="41" t="n">
        <x:v>46209</x:v>
      </x:c>
      <x:c r="D294" s="41" t="n">
        <x:v>46209</x:v>
      </x:c>
      <x:c r="E294" t="str">
        <x:v>Prime Stock, Lda.</x:v>
      </x:c>
      <x:c r="F294" t="str">
        <x:v>Kilamba</x:v>
      </x:c>
      <x:c r="G294" t="str">
        <x:v>Carlos Mateus</x:v>
      </x:c>
      <x:c r="H294" t="str">
        <x:v>VTR-12</x:v>
      </x:c>
      <x:c r="I294" t="str">
        <x:v>Hyundai H100</x:v>
      </x:c>
      <x:c r="J294" t="n">
        <x:v>1300</x:v>
      </x:c>
      <x:c r="K294" t="n">
        <x:v>19</x:v>
      </x:c>
      <x:c r="L294" t="n">
        <x:v>19</x:v>
      </x:c>
      <x:c r="M294" t="n">
        <x:v>218.4</x:v>
      </x:c>
      <x:c r="N294" t="n">
        <x:v>38</x:v>
      </x:c>
      <x:c r="O294" s="45" t="n">
        <x:v>302841</x:v>
      </x:c>
      <x:c r="P294" s="45" t="n">
        <x:v>26500</x:v>
      </x:c>
      <x:c r="Q294" t="str">
        <x:v>Entregue</x:v>
      </x:c>
      <x:c r="R294" t="str"/>
      <x:c r="S294" t="str">
        <x:v>Nao</x:v>
      </x:c>
      <x:c r="T294" t="str">
        <x:v>Nao</x:v>
      </x:c>
    </x:row>
    <x:row r="295" ht="19" customHeight="1">
      <x:c r="A295" t="str">
        <x:v>ENT-00294</x:v>
      </x:c>
      <x:c r="B295" s="41" t="n">
        <x:v>46229</x:v>
      </x:c>
      <x:c r="C295" s="41" t="n">
        <x:v>46232</x:v>
      </x:c>
      <x:c r="D295" s="41" t="n">
        <x:v>46232</x:v>
      </x:c>
      <x:c r="E295" t="str">
        <x:v>Prime Stock, Lda.</x:v>
      </x:c>
      <x:c r="F295" t="str">
        <x:v>Sequele</x:v>
      </x:c>
      <x:c r="G295" t="str">
        <x:v>Gilberto José</x:v>
      </x:c>
      <x:c r="H295" t="str">
        <x:v>VTR-08</x:v>
      </x:c>
      <x:c r="I295" t="str">
        <x:v>Toyota Hilux</x:v>
      </x:c>
      <x:c r="J295" t="n">
        <x:v>1000</x:v>
      </x:c>
      <x:c r="K295" t="n">
        <x:v>82</x:v>
      </x:c>
      <x:c r="L295" t="n">
        <x:v>82</x:v>
      </x:c>
      <x:c r="M295" t="n">
        <x:v>712.6</x:v>
      </x:c>
      <x:c r="N295" t="n">
        <x:v>65</x:v>
      </x:c>
      <x:c r="O295" s="45" t="n">
        <x:v>1205728</x:v>
      </x:c>
      <x:c r="P295" s="45" t="n">
        <x:v>44500</x:v>
      </x:c>
      <x:c r="Q295" t="str">
        <x:v>Entregue</x:v>
      </x:c>
      <x:c r="R295" t="str"/>
      <x:c r="S295" t="str">
        <x:v>Nao</x:v>
      </x:c>
      <x:c r="T295" t="str">
        <x:v>Nao</x:v>
      </x:c>
    </x:row>
    <x:row r="296" ht="19" customHeight="1">
      <x:c r="A296" t="str">
        <x:v>ENT-00295</x:v>
      </x:c>
      <x:c r="B296" s="41" t="n">
        <x:v>46244</x:v>
      </x:c>
      <x:c r="C296" s="41" t="n">
        <x:v>46246</x:v>
      </x:c>
      <x:c r="D296" s="41" t="n">
        <x:v>46248</x:v>
      </x:c>
      <x:c r="E296" t="str">
        <x:v>Bem-Estar Higiene, Lda.</x:v>
      </x:c>
      <x:c r="F296" t="str">
        <x:v>Viana</x:v>
      </x:c>
      <x:c r="G296" t="str">
        <x:v>Hélder Miguel</x:v>
      </x:c>
      <x:c r="H296" t="str">
        <x:v>VTR-05</x:v>
      </x:c>
      <x:c r="I296" t="str">
        <x:v>Hyundai HD65</x:v>
      </x:c>
      <x:c r="J296" t="n">
        <x:v>3500</x:v>
      </x:c>
      <x:c r="K296" t="n">
        <x:v>7</x:v>
      </x:c>
      <x:c r="L296" t="n">
        <x:v>7</x:v>
      </x:c>
      <x:c r="M296" t="n">
        <x:v>127</x:v>
      </x:c>
      <x:c r="N296" t="n">
        <x:v>20</x:v>
      </x:c>
      <x:c r="O296" s="45" t="n">
        <x:v>131138</x:v>
      </x:c>
      <x:c r="P296" s="45" t="n">
        <x:v>16500</x:v>
      </x:c>
      <x:c r="Q296" t="str">
        <x:v>Entregue</x:v>
      </x:c>
      <x:c r="R296" t="str">
        <x:v>Atraso no carregamento</x:v>
      </x:c>
      <x:c r="S296" t="str">
        <x:v>Nao</x:v>
      </x:c>
      <x:c r="T296" t="str">
        <x:v>Nao</x:v>
      </x:c>
    </x:row>
    <x:row r="297" ht="19" customHeight="1">
      <x:c r="A297" t="str">
        <x:v>ENT-00296</x:v>
      </x:c>
      <x:c r="B297" s="41" t="n">
        <x:v>46255</x:v>
      </x:c>
      <x:c r="C297" s="41" t="n">
        <x:v>46257</x:v>
      </x:c>
      <x:c r="D297" s="41" t="n">
        <x:v>46257</x:v>
      </x:c>
      <x:c r="E297" t="str">
        <x:v>Kiala &amp; Filhos, Lda.</x:v>
      </x:c>
      <x:c r="F297" t="str">
        <x:v>Camama</x:v>
      </x:c>
      <x:c r="G297" t="str">
        <x:v>Isaías Pedro</x:v>
      </x:c>
      <x:c r="H297" t="str">
        <x:v>VTR-06</x:v>
      </x:c>
      <x:c r="I297" t="str">
        <x:v>Isuzu NPR</x:v>
      </x:c>
      <x:c r="J297" t="n">
        <x:v>5000</x:v>
      </x:c>
      <x:c r="K297" t="n">
        <x:v>26</x:v>
      </x:c>
      <x:c r="L297" t="n">
        <x:v>26</x:v>
      </x:c>
      <x:c r="M297" t="n">
        <x:v>630.4</x:v>
      </x:c>
      <x:c r="N297" t="n">
        <x:v>28</x:v>
      </x:c>
      <x:c r="O297" s="45" t="n">
        <x:v>226902</x:v>
      </x:c>
      <x:c r="P297" s="45" t="n">
        <x:v>29500</x:v>
      </x:c>
      <x:c r="Q297" t="str">
        <x:v>Entregue</x:v>
      </x:c>
      <x:c r="R297" t="str"/>
      <x:c r="S297" t="str">
        <x:v>Nao</x:v>
      </x:c>
      <x:c r="T297" t="str">
        <x:v>Nao</x:v>
      </x:c>
    </x:row>
    <x:row r="298" ht="19" customHeight="1">
      <x:c r="A298" t="str">
        <x:v>ENT-00297</x:v>
      </x:c>
      <x:c r="B298" s="41" t="n">
        <x:v>46247</x:v>
      </x:c>
      <x:c r="C298" s="41" t="n">
        <x:v>46249</x:v>
      </x:c>
      <x:c r="D298" s="41" t="n">
        <x:v>46249</x:v>
      </x:c>
      <x:c r="E298" t="str">
        <x:v>Cesta Certa, Lda.</x:v>
      </x:c>
      <x:c r="F298" t="str">
        <x:v>Nova Vida</x:v>
      </x:c>
      <x:c r="G298" t="str">
        <x:v>Carlos Mateus</x:v>
      </x:c>
      <x:c r="H298" t="str">
        <x:v>VTR-12</x:v>
      </x:c>
      <x:c r="I298" t="str">
        <x:v>Hyundai H100</x:v>
      </x:c>
      <x:c r="J298" t="n">
        <x:v>1300</x:v>
      </x:c>
      <x:c r="K298" t="n">
        <x:v>77</x:v>
      </x:c>
      <x:c r="L298" t="n">
        <x:v>77</x:v>
      </x:c>
      <x:c r="M298" t="n">
        <x:v>1117.3</x:v>
      </x:c>
      <x:c r="N298" t="n">
        <x:v>27</x:v>
      </x:c>
      <x:c r="O298" s="45" t="n">
        <x:v>794640</x:v>
      </x:c>
      <x:c r="P298" s="45" t="n">
        <x:v>42000</x:v>
      </x:c>
      <x:c r="Q298" t="str">
        <x:v>Entregue</x:v>
      </x:c>
      <x:c r="R298" t="str"/>
      <x:c r="S298" t="str">
        <x:v>Nao</x:v>
      </x:c>
      <x:c r="T298" t="str">
        <x:v>Nao</x:v>
      </x:c>
    </x:row>
    <x:row r="299" ht="19" customHeight="1">
      <x:c r="A299" t="str">
        <x:v>ENT-00298</x:v>
      </x:c>
      <x:c r="B299" s="41" t="n">
        <x:v>46214</x:v>
      </x:c>
      <x:c r="C299" s="41" t="n">
        <x:v>46216</x:v>
      </x:c>
      <x:c r="D299" s="41" t="n">
        <x:v>46216</x:v>
      </x:c>
      <x:c r="E299" t="str">
        <x:v>Prime Stock, Lda.</x:v>
      </x:c>
      <x:c r="F299" t="str">
        <x:v>Camama</x:v>
      </x:c>
      <x:c r="G299" t="str">
        <x:v>Kito Alberto</x:v>
      </x:c>
      <x:c r="H299" t="str">
        <x:v>VTR-09</x:v>
      </x:c>
      <x:c r="I299" t="str">
        <x:v>Toyota Hilux</x:v>
      </x:c>
      <x:c r="J299" t="n">
        <x:v>1000</x:v>
      </x:c>
      <x:c r="K299" t="n">
        <x:v>24</x:v>
      </x:c>
      <x:c r="L299" t="n">
        <x:v>24</x:v>
      </x:c>
      <x:c r="M299" t="n">
        <x:v>772.9</x:v>
      </x:c>
      <x:c r="N299" t="n">
        <x:v>23</x:v>
      </x:c>
      <x:c r="O299" s="45" t="n">
        <x:v>512784</x:v>
      </x:c>
      <x:c r="P299" s="45" t="n">
        <x:v>32500</x:v>
      </x:c>
      <x:c r="Q299" t="str">
        <x:v>Entregue</x:v>
      </x:c>
      <x:c r="R299" t="str"/>
      <x:c r="S299" t="str">
        <x:v>Nao</x:v>
      </x:c>
      <x:c r="T299" t="str">
        <x:v>Nao</x:v>
      </x:c>
    </x:row>
    <x:row r="300" ht="19" customHeight="1">
      <x:c r="A300" t="str">
        <x:v>ENT-00299</x:v>
      </x:c>
      <x:c r="B300" s="41" t="n">
        <x:v>46225</x:v>
      </x:c>
      <x:c r="C300" s="41" t="n">
        <x:v>46227</x:v>
      </x:c>
      <x:c r="D300" s="41" t="n">
        <x:v>46228</x:v>
      </x:c>
      <x:c r="E300" t="str">
        <x:v>Via Certa Serviços, Lda.</x:v>
      </x:c>
      <x:c r="F300" t="str">
        <x:v>Talatona</x:v>
      </x:c>
      <x:c r="G300" t="str">
        <x:v>Carlos Mateus</x:v>
      </x:c>
      <x:c r="H300" t="str">
        <x:v>VTR-10</x:v>
      </x:c>
      <x:c r="I300" t="str">
        <x:v>Foton Aumark</x:v>
      </x:c>
      <x:c r="J300" t="n">
        <x:v>4000</x:v>
      </x:c>
      <x:c r="K300" t="n">
        <x:v>55</x:v>
      </x:c>
      <x:c r="L300" t="n">
        <x:v>0</x:v>
      </x:c>
      <x:c r="M300" t="n">
        <x:v>1096</x:v>
      </x:c>
      <x:c r="N300" t="n">
        <x:v>30</x:v>
      </x:c>
      <x:c r="O300" s="45" t="n">
        <x:v>394680</x:v>
      </x:c>
      <x:c r="P300" s="45" t="n">
        <x:v>40500</x:v>
      </x:c>
      <x:c r="Q300" t="str">
        <x:v>Falhada</x:v>
      </x:c>
      <x:c r="R300" t="str">
        <x:v>Cliente ausente</x:v>
      </x:c>
      <x:c r="S300" t="str">
        <x:v>Nao</x:v>
      </x:c>
      <x:c r="T300" t="str">
        <x:v>Nao</x:v>
      </x:c>
    </x:row>
    <x:row r="301" ht="19" customHeight="1">
      <x:c r="A301" t="str">
        <x:v>ENT-00300</x:v>
      </x:c>
      <x:c r="B301" s="41" t="n">
        <x:v>46245</x:v>
      </x:c>
      <x:c r="C301" s="41" t="n">
        <x:v>46246</x:v>
      </x:c>
      <x:c r="D301" s="41" t="n">
        <x:v>46246</x:v>
      </x:c>
      <x:c r="E301" t="str">
        <x:v>Luanda Office Supply, Lda.</x:v>
      </x:c>
      <x:c r="F301" t="str">
        <x:v>Ingombota</x:v>
      </x:c>
      <x:c r="G301" t="str">
        <x:v>Félix Domingos</x:v>
      </x:c>
      <x:c r="H301" t="str">
        <x:v>VTR-12</x:v>
      </x:c>
      <x:c r="I301" t="str">
        <x:v>Hyundai H100</x:v>
      </x:c>
      <x:c r="J301" t="n">
        <x:v>1300</x:v>
      </x:c>
      <x:c r="K301" t="n">
        <x:v>90</x:v>
      </x:c>
      <x:c r="L301" t="n">
        <x:v>90</x:v>
      </x:c>
      <x:c r="M301" t="n">
        <x:v>707.1</x:v>
      </x:c>
      <x:c r="N301" t="n">
        <x:v>10</x:v>
      </x:c>
      <x:c r="O301" s="45" t="n">
        <x:v>1861920</x:v>
      </x:c>
      <x:c r="P301" s="45" t="n">
        <x:v>23000</x:v>
      </x:c>
      <x:c r="Q301" t="str">
        <x:v>Entregue</x:v>
      </x:c>
      <x:c r="R301" t="str"/>
      <x:c r="S301" t="str">
        <x:v>Nao</x:v>
      </x:c>
      <x:c r="T301" t="str">
        <x:v>Nao</x:v>
      </x:c>
    </x:row>
    <x:row r="302" ht="19" customHeight="1">
      <x:c r="A302" t="str">
        <x:v>ENT-00301</x:v>
      </x:c>
      <x:c r="B302" s="41" t="n">
        <x:v>46257</x:v>
      </x:c>
      <x:c r="C302" s="41" t="n">
        <x:v>46259</x:v>
      </x:c>
      <x:c r="D302" s="41" t="n">
        <x:v>46259</x:v>
      </x:c>
      <x:c r="E302" t="str">
        <x:v>Mercado Sul, Lda.</x:v>
      </x:c>
      <x:c r="F302" t="str">
        <x:v>Nova Vida</x:v>
      </x:c>
      <x:c r="G302" t="str">
        <x:v>Lucas Tomás</x:v>
      </x:c>
      <x:c r="H302" t="str">
        <x:v>VTR-09</x:v>
      </x:c>
      <x:c r="I302" t="str">
        <x:v>Toyota Hilux</x:v>
      </x:c>
      <x:c r="J302" t="n">
        <x:v>1000</x:v>
      </x:c>
      <x:c r="K302" t="n">
        <x:v>27</x:v>
      </x:c>
      <x:c r="L302" t="n">
        <x:v>27</x:v>
      </x:c>
      <x:c r="M302" t="n">
        <x:v>616.3</x:v>
      </x:c>
      <x:c r="N302" t="n">
        <x:v>25</x:v>
      </x:c>
      <x:c r="O302" s="45" t="n">
        <x:v>276561</x:v>
      </x:c>
      <x:c r="P302" s="45" t="n">
        <x:v>31000</x:v>
      </x:c>
      <x:c r="Q302" t="str">
        <x:v>Entregue</x:v>
      </x:c>
      <x:c r="R302" t="str"/>
      <x:c r="S302" t="str">
        <x:v>Nao</x:v>
      </x:c>
      <x:c r="T302" t="str">
        <x:v>Nao</x:v>
      </x:c>
    </x:row>
    <x:row r="303" ht="19" customHeight="1">
      <x:c r="A303" t="str">
        <x:v>ENT-00302</x:v>
      </x:c>
      <x:c r="B303" s="41" t="n">
        <x:v>46258</x:v>
      </x:c>
      <x:c r="C303" s="41" t="n">
        <x:v>46259</x:v>
      </x:c>
      <x:c r="D303" s="41" t="n">
        <x:v>46259</x:v>
      </x:c>
      <x:c r="E303" t="str">
        <x:v>Nova Rota Comercial, Lda.</x:v>
      </x:c>
      <x:c r="F303" t="str">
        <x:v>Morro Bento</x:v>
      </x:c>
      <x:c r="G303" t="str">
        <x:v>Félix Domingos</x:v>
      </x:c>
      <x:c r="H303" t="str">
        <x:v>VTR-06</x:v>
      </x:c>
      <x:c r="I303" t="str">
        <x:v>Isuzu NPR</x:v>
      </x:c>
      <x:c r="J303" t="n">
        <x:v>5000</x:v>
      </x:c>
      <x:c r="K303" t="n">
        <x:v>77</x:v>
      </x:c>
      <x:c r="L303" t="n">
        <x:v>77</x:v>
      </x:c>
      <x:c r="M303" t="n">
        <x:v>743.4</x:v>
      </x:c>
      <x:c r="N303" t="n">
        <x:v>18</x:v>
      </x:c>
      <x:c r="O303" s="45" t="n">
        <x:v>1092091</x:v>
      </x:c>
      <x:c r="P303" s="45" t="n">
        <x:v>30000</x:v>
      </x:c>
      <x:c r="Q303" t="str">
        <x:v>Entregue</x:v>
      </x:c>
      <x:c r="R303" t="str"/>
      <x:c r="S303" t="str">
        <x:v>Nao</x:v>
      </x:c>
      <x:c r="T303" t="str">
        <x:v>Nao</x:v>
      </x:c>
    </x:row>
    <x:row r="304" ht="19" customHeight="1">
      <x:c r="A304" t="str">
        <x:v>ENT-00303</x:v>
      </x:c>
      <x:c r="B304" s="41" t="n">
        <x:v>46211</x:v>
      </x:c>
      <x:c r="C304" s="41" t="n">
        <x:v>46214</x:v>
      </x:c>
      <x:c r="D304" s="41" t="n">
        <x:v>46216</x:v>
      </x:c>
      <x:c r="E304" t="str">
        <x:v>Cesta Certa, Lda.</x:v>
      </x:c>
      <x:c r="F304" t="str">
        <x:v>Zango</x:v>
      </x:c>
      <x:c r="G304" t="str">
        <x:v>Lucas Tomás</x:v>
      </x:c>
      <x:c r="H304" t="str">
        <x:v>VTR-03</x:v>
      </x:c>
      <x:c r="I304" t="str">
        <x:v>Toyota Dyna</x:v>
      </x:c>
      <x:c r="J304" t="n">
        <x:v>3000</x:v>
      </x:c>
      <x:c r="K304" t="n">
        <x:v>56</x:v>
      </x:c>
      <x:c r="L304" t="n">
        <x:v>56</x:v>
      </x:c>
      <x:c r="M304" t="n">
        <x:v>1290.4</x:v>
      </x:c>
      <x:c r="N304" t="n">
        <x:v>41</x:v>
      </x:c>
      <x:c r="O304" s="45" t="n">
        <x:v>1339520</x:v>
      </x:c>
      <x:c r="P304" s="45" t="n">
        <x:v>49000</x:v>
      </x:c>
      <x:c r="Q304" t="str">
        <x:v>Entregue</x:v>
      </x:c>
      <x:c r="R304" t="str">
        <x:v>Avaria da viatura</x:v>
      </x:c>
      <x:c r="S304" t="str">
        <x:v>Nao</x:v>
      </x:c>
      <x:c r="T304" t="str">
        <x:v>Nao</x:v>
      </x:c>
    </x:row>
    <x:row r="305" ht="19" customHeight="1">
      <x:c r="A305" t="str">
        <x:v>ENT-00304</x:v>
      </x:c>
      <x:c r="B305" s="41" t="n">
        <x:v>46213</x:v>
      </x:c>
      <x:c r="C305" s="41" t="n">
        <x:v>46215</x:v>
      </x:c>
      <x:c r="D305" s="41" t="n">
        <x:v>46214</x:v>
      </x:c>
      <x:c r="E305" t="str">
        <x:v>Mundo Fresco, Lda.</x:v>
      </x:c>
      <x:c r="F305" t="str">
        <x:v>Benfica</x:v>
      </x:c>
      <x:c r="G305" t="str">
        <x:v>Elísio António</x:v>
      </x:c>
      <x:c r="H305" t="str">
        <x:v>VTR-10</x:v>
      </x:c>
      <x:c r="I305" t="str">
        <x:v>Foton Aumark</x:v>
      </x:c>
      <x:c r="J305" t="n">
        <x:v>4000</x:v>
      </x:c>
      <x:c r="K305" t="n">
        <x:v>46</x:v>
      </x:c>
      <x:c r="L305" t="n">
        <x:v>46</x:v>
      </x:c>
      <x:c r="M305" t="n">
        <x:v>493.9</x:v>
      </x:c>
      <x:c r="N305" t="n">
        <x:v>30</x:v>
      </x:c>
      <x:c r="O305" s="45" t="n">
        <x:v>547952</x:v>
      </x:c>
      <x:c r="P305" s="45" t="n">
        <x:v>27500</x:v>
      </x:c>
      <x:c r="Q305" t="str">
        <x:v>Entregue</x:v>
      </x:c>
      <x:c r="R305" t="str"/>
      <x:c r="S305" t="str">
        <x:v>Nao</x:v>
      </x:c>
      <x:c r="T305" t="str">
        <x:v>Nao</x:v>
      </x:c>
    </x:row>
    <x:row r="306" ht="19" customHeight="1">
      <x:c r="A306" t="str">
        <x:v>ENT-00305</x:v>
      </x:c>
      <x:c r="B306" s="41" t="n">
        <x:v>46228</x:v>
      </x:c>
      <x:c r="C306" s="41" t="n">
        <x:v>46231</x:v>
      </x:c>
      <x:c r="D306" s="41" t="n">
        <x:v>46231</x:v>
      </x:c>
      <x:c r="E306" t="str">
        <x:v>Maxi Centro, Lda.</x:v>
      </x:c>
      <x:c r="F306" t="str">
        <x:v>Cacuaco</x:v>
      </x:c>
      <x:c r="G306" t="str">
        <x:v>Dário Joaquim</x:v>
      </x:c>
      <x:c r="H306" t="str">
        <x:v>VTR-01</x:v>
      </x:c>
      <x:c r="I306" t="str">
        <x:v>Kia K2700</x:v>
      </x:c>
      <x:c r="J306" t="n">
        <x:v>1500</x:v>
      </x:c>
      <x:c r="K306" t="n">
        <x:v>42</x:v>
      </x:c>
      <x:c r="L306" t="n">
        <x:v>42</x:v>
      </x:c>
      <x:c r="M306" t="n">
        <x:v>524.1</x:v>
      </x:c>
      <x:c r="N306" t="n">
        <x:v>47</x:v>
      </x:c>
      <x:c r="O306" s="45" t="n">
        <x:v>328104</x:v>
      </x:c>
      <x:c r="P306" s="45" t="n">
        <x:v>36500</x:v>
      </x:c>
      <x:c r="Q306" t="str">
        <x:v>Entregue</x:v>
      </x:c>
      <x:c r="R306" t="str"/>
      <x:c r="S306" t="str">
        <x:v>Nao</x:v>
      </x:c>
      <x:c r="T306" t="str">
        <x:v>Nao</x:v>
      </x:c>
    </x:row>
    <x:row r="307" ht="19" customHeight="1">
      <x:c r="A307" t="str">
        <x:v>ENT-00306</x:v>
      </x:c>
      <x:c r="B307" s="41" t="n">
        <x:v>46261</x:v>
      </x:c>
      <x:c r="C307" s="41" t="n">
        <x:v>46262</x:v>
      </x:c>
      <x:c r="D307" s="41" t="n">
        <x:v>46261</x:v>
      </x:c>
      <x:c r="E307" t="str">
        <x:v>N'gola Market, Lda.</x:v>
      </x:c>
      <x:c r="F307" t="str">
        <x:v>Nova Vida</x:v>
      </x:c>
      <x:c r="G307" t="str">
        <x:v>Isaías Pedro</x:v>
      </x:c>
      <x:c r="H307" t="str">
        <x:v>VTR-06</x:v>
      </x:c>
      <x:c r="I307" t="str">
        <x:v>Isuzu NPR</x:v>
      </x:c>
      <x:c r="J307" t="n">
        <x:v>5000</x:v>
      </x:c>
      <x:c r="K307" t="n">
        <x:v>9</x:v>
      </x:c>
      <x:c r="L307" t="n">
        <x:v>9</x:v>
      </x:c>
      <x:c r="M307" t="n">
        <x:v>253.3</x:v>
      </x:c>
      <x:c r="N307" t="n">
        <x:v>19</x:v>
      </x:c>
      <x:c r="O307" s="45" t="n">
        <x:v>73890</x:v>
      </x:c>
      <x:c r="P307" s="45" t="n">
        <x:v>21000</x:v>
      </x:c>
      <x:c r="Q307" t="str">
        <x:v>Entregue</x:v>
      </x:c>
      <x:c r="R307" t="str"/>
      <x:c r="S307" t="str">
        <x:v>Nao</x:v>
      </x:c>
      <x:c r="T307" t="str">
        <x:v>Nao</x:v>
      </x:c>
    </x:row>
    <x:row r="308" ht="19" customHeight="1">
      <x:c r="A308" t="str">
        <x:v>ENT-00307</x:v>
      </x:c>
      <x:c r="B308" s="41" t="n">
        <x:v>46215</x:v>
      </x:c>
      <x:c r="C308" s="41" t="n">
        <x:v>46217</x:v>
      </x:c>
      <x:c r="D308" s="41" t="n">
        <x:v>46217</x:v>
      </x:c>
      <x:c r="E308" t="str">
        <x:v>N'gola Market, Lda.</x:v>
      </x:c>
      <x:c r="F308" t="str">
        <x:v>Nova Vida</x:v>
      </x:c>
      <x:c r="G308" t="str">
        <x:v>Carlos Mateus</x:v>
      </x:c>
      <x:c r="H308" t="str">
        <x:v>VTR-05</x:v>
      </x:c>
      <x:c r="I308" t="str">
        <x:v>Hyundai HD65</x:v>
      </x:c>
      <x:c r="J308" t="n">
        <x:v>3500</x:v>
      </x:c>
      <x:c r="K308" t="n">
        <x:v>21</x:v>
      </x:c>
      <x:c r="L308" t="n">
        <x:v>21</x:v>
      </x:c>
      <x:c r="M308" t="n">
        <x:v>277.4</x:v>
      </x:c>
      <x:c r="N308" t="n">
        <x:v>24</x:v>
      </x:c>
      <x:c r="O308" s="45" t="n">
        <x:v>540330</x:v>
      </x:c>
      <x:c r="P308" s="45" t="n">
        <x:v>20000</x:v>
      </x:c>
      <x:c r="Q308" t="str">
        <x:v>Entregue</x:v>
      </x:c>
      <x:c r="R308" t="str"/>
      <x:c r="S308" t="str">
        <x:v>Nao</x:v>
      </x:c>
      <x:c r="T308" t="str">
        <x:v>Nao</x:v>
      </x:c>
    </x:row>
    <x:row r="309" ht="19" customHeight="1">
      <x:c r="A309" t="str">
        <x:v>ENT-00308</x:v>
      </x:c>
      <x:c r="B309" s="41" t="n">
        <x:v>46229</x:v>
      </x:c>
      <x:c r="C309" s="41" t="n">
        <x:v>46232</x:v>
      </x:c>
      <x:c r="D309" s="41" t="n">
        <x:v>46232</x:v>
      </x:c>
      <x:c r="E309" t="str">
        <x:v>Mundo Fresco, Lda.</x:v>
      </x:c>
      <x:c r="F309" t="str">
        <x:v>Benfica</x:v>
      </x:c>
      <x:c r="G309" t="str">
        <x:v>Bernardo Paulo</x:v>
      </x:c>
      <x:c r="H309" t="str">
        <x:v>VTR-11</x:v>
      </x:c>
      <x:c r="I309" t="str">
        <x:v>JAC N56</x:v>
      </x:c>
      <x:c r="J309" t="n">
        <x:v>3500</x:v>
      </x:c>
      <x:c r="K309" t="n">
        <x:v>50</x:v>
      </x:c>
      <x:c r="L309" t="n">
        <x:v>50</x:v>
      </x:c>
      <x:c r="M309" t="n">
        <x:v>490.8</x:v>
      </x:c>
      <x:c r="N309" t="n">
        <x:v>41</x:v>
      </x:c>
      <x:c r="O309" s="45" t="n">
        <x:v>399000</x:v>
      </x:c>
      <x:c r="P309" s="45" t="n">
        <x:v>31500</x:v>
      </x:c>
      <x:c r="Q309" t="str">
        <x:v>Entregue</x:v>
      </x:c>
      <x:c r="R309" t="str"/>
      <x:c r="S309" t="str">
        <x:v>Nao</x:v>
      </x:c>
      <x:c r="T309" t="str">
        <x:v>Nao</x:v>
      </x:c>
    </x:row>
    <x:row r="310" ht="19" customHeight="1">
      <x:c r="A310" t="str">
        <x:v>ENT-00309</x:v>
      </x:c>
      <x:c r="B310" s="41" t="n">
        <x:v>46252</x:v>
      </x:c>
      <x:c r="C310" s="41" t="n">
        <x:v>46254</x:v>
      </x:c>
      <x:c r="D310" s="41" t="n">
        <x:v>46254</x:v>
      </x:c>
      <x:c r="E310" t="str">
        <x:v>Prime Stock, Lda.</x:v>
      </x:c>
      <x:c r="F310" t="str">
        <x:v>Benfica</x:v>
      </x:c>
      <x:c r="G310" t="str">
        <x:v>Kito Alberto</x:v>
      </x:c>
      <x:c r="H310" t="str">
        <x:v>VTR-10</x:v>
      </x:c>
      <x:c r="I310" t="str">
        <x:v>Foton Aumark</x:v>
      </x:c>
      <x:c r="J310" t="n">
        <x:v>4000</x:v>
      </x:c>
      <x:c r="K310" t="n">
        <x:v>38</x:v>
      </x:c>
      <x:c r="L310" t="n">
        <x:v>38</x:v>
      </x:c>
      <x:c r="M310" t="n">
        <x:v>675.1</x:v>
      </x:c>
      <x:c r="N310" t="n">
        <x:v>27</x:v>
      </x:c>
      <x:c r="O310" s="45" t="n">
        <x:v>770070</x:v>
      </x:c>
      <x:c r="P310" s="45" t="n">
        <x:v>33000</x:v>
      </x:c>
      <x:c r="Q310" t="str">
        <x:v>Entregue</x:v>
      </x:c>
      <x:c r="R310" t="str"/>
      <x:c r="S310" t="str">
        <x:v>Nao</x:v>
      </x:c>
      <x:c r="T310" t="str">
        <x:v>Nao</x:v>
      </x:c>
    </x:row>
    <x:row r="311" ht="19" customHeight="1">
      <x:c r="A311" t="str">
        <x:v>ENT-00310</x:v>
      </x:c>
      <x:c r="B311" s="41" t="n">
        <x:v>46223</x:v>
      </x:c>
      <x:c r="C311" s="41" t="n">
        <x:v>46226</x:v>
      </x:c>
      <x:c r="D311" s="41" t="n">
        <x:v>46226</x:v>
      </x:c>
      <x:c r="E311" t="str">
        <x:v>Kwanza Distribuição, Lda.</x:v>
      </x:c>
      <x:c r="F311" t="str">
        <x:v>Zango</x:v>
      </x:c>
      <x:c r="G311" t="str">
        <x:v>Hélder Miguel</x:v>
      </x:c>
      <x:c r="H311" t="str">
        <x:v>VTR-04</x:v>
      </x:c>
      <x:c r="I311" t="str">
        <x:v>Toyota Dyna</x:v>
      </x:c>
      <x:c r="J311" t="n">
        <x:v>3000</x:v>
      </x:c>
      <x:c r="K311" t="n">
        <x:v>8</x:v>
      </x:c>
      <x:c r="L311" t="n">
        <x:v>8</x:v>
      </x:c>
      <x:c r="M311" t="n">
        <x:v>193.4</x:v>
      </x:c>
      <x:c r="N311" t="n">
        <x:v>55</x:v>
      </x:c>
      <x:c r="O311" s="45" t="n">
        <x:v>207216</x:v>
      </x:c>
      <x:c r="P311" s="45" t="n">
        <x:v>30500</x:v>
      </x:c>
      <x:c r="Q311" t="str">
        <x:v>Entregue</x:v>
      </x:c>
      <x:c r="R311" t="str"/>
      <x:c r="S311" t="str">
        <x:v>Nao</x:v>
      </x:c>
      <x:c r="T311" t="str">
        <x:v>Nao</x:v>
      </x:c>
    </x:row>
    <x:row r="312" ht="19" customHeight="1">
      <x:c r="A312" t="str">
        <x:v>ENT-00311</x:v>
      </x:c>
      <x:c r="B312" s="41" t="n">
        <x:v>46259</x:v>
      </x:c>
      <x:c r="C312" s="41" t="n">
        <x:v>46261</x:v>
      </x:c>
      <x:c r="D312" s="41" t="n">
        <x:v>46261</x:v>
      </x:c>
      <x:c r="E312" t="str">
        <x:v>Prime Stock, Lda.</x:v>
      </x:c>
      <x:c r="F312" t="str">
        <x:v>Zango</x:v>
      </x:c>
      <x:c r="G312" t="str">
        <x:v>Isaías Pedro</x:v>
      </x:c>
      <x:c r="H312" t="str">
        <x:v>VTR-04</x:v>
      </x:c>
      <x:c r="I312" t="str">
        <x:v>Toyota Dyna</x:v>
      </x:c>
      <x:c r="J312" t="n">
        <x:v>3000</x:v>
      </x:c>
      <x:c r="K312" t="n">
        <x:v>11</x:v>
      </x:c>
      <x:c r="L312" t="n">
        <x:v>10</x:v>
      </x:c>
      <x:c r="M312" t="n">
        <x:v>80</x:v>
      </x:c>
      <x:c r="N312" t="n">
        <x:v>38</x:v>
      </x:c>
      <x:c r="O312" s="45" t="n">
        <x:v>125994</x:v>
      </x:c>
      <x:c r="P312" s="45" t="n">
        <x:v>26000</x:v>
      </x:c>
      <x:c r="Q312" t="str">
        <x:v>Entregue</x:v>
      </x:c>
      <x:c r="R312" t="str"/>
      <x:c r="S312" t="str">
        <x:v>Nao</x:v>
      </x:c>
      <x:c r="T312" t="str">
        <x:v>Nao</x:v>
      </x:c>
    </x:row>
    <x:row r="313" ht="19" customHeight="1">
      <x:c r="A313" t="str">
        <x:v>ENT-00312</x:v>
      </x:c>
      <x:c r="B313" s="41" t="n">
        <x:v>46210</x:v>
      </x:c>
      <x:c r="C313" s="41" t="n">
        <x:v>46213</x:v>
      </x:c>
      <x:c r="D313" s="41" t="n">
        <x:v>46216</x:v>
      </x:c>
      <x:c r="E313" t="str">
        <x:v>Bem-Estar Higiene, Lda.</x:v>
      </x:c>
      <x:c r="F313" t="str">
        <x:v>Sequele</x:v>
      </x:c>
      <x:c r="G313" t="str">
        <x:v>Bernardo Paulo</x:v>
      </x:c>
      <x:c r="H313" t="str">
        <x:v>VTR-02</x:v>
      </x:c>
      <x:c r="I313" t="str">
        <x:v>Kia K2700</x:v>
      </x:c>
      <x:c r="J313" t="n">
        <x:v>1500</x:v>
      </x:c>
      <x:c r="K313" t="n">
        <x:v>24</x:v>
      </x:c>
      <x:c r="L313" t="n">
        <x:v>0</x:v>
      </x:c>
      <x:c r="M313" t="n">
        <x:v>381.9</x:v>
      </x:c>
      <x:c r="N313" t="n">
        <x:v>48</x:v>
      </x:c>
      <x:c r="O313" s="45" t="n">
        <x:v>214272</x:v>
      </x:c>
      <x:c r="P313" s="45" t="n">
        <x:v>35000</x:v>
      </x:c>
      <x:c r="Q313" t="str">
        <x:v>Falhada</x:v>
      </x:c>
      <x:c r="R313" t="str">
        <x:v>Cliente ausente</x:v>
      </x:c>
      <x:c r="S313" t="str">
        <x:v>Nao</x:v>
      </x:c>
      <x:c r="T313" t="str">
        <x:v>Nao</x:v>
      </x:c>
    </x:row>
    <x:row r="314" ht="19" customHeight="1">
      <x:c r="A314" t="str">
        <x:v>ENT-00313</x:v>
      </x:c>
      <x:c r="B314" s="41" t="n">
        <x:v>46220</x:v>
      </x:c>
      <x:c r="C314" s="41" t="n">
        <x:v>46223</x:v>
      </x:c>
      <x:c r="D314" s="41" t="n">
        <x:v>46223</x:v>
      </x:c>
      <x:c r="E314" t="str">
        <x:v>Luanda Office Supply, Lda.</x:v>
      </x:c>
      <x:c r="F314" t="str">
        <x:v>Sequele</x:v>
      </x:c>
      <x:c r="G314" t="str">
        <x:v>Elísio António</x:v>
      </x:c>
      <x:c r="H314" t="str">
        <x:v>VTR-08</x:v>
      </x:c>
      <x:c r="I314" t="str">
        <x:v>Toyota Hilux</x:v>
      </x:c>
      <x:c r="J314" t="n">
        <x:v>1000</x:v>
      </x:c>
      <x:c r="K314" t="n">
        <x:v>80</x:v>
      </x:c>
      <x:c r="L314" t="n">
        <x:v>80</x:v>
      </x:c>
      <x:c r="M314" t="n">
        <x:v>469.5</x:v>
      </x:c>
      <x:c r="N314" t="n">
        <x:v>65</x:v>
      </x:c>
      <x:c r="O314" s="45" t="n">
        <x:v>338640</x:v>
      </x:c>
      <x:c r="P314" s="45" t="n">
        <x:v>45500</x:v>
      </x:c>
      <x:c r="Q314" t="str">
        <x:v>Entregue</x:v>
      </x:c>
      <x:c r="R314" t="str"/>
      <x:c r="S314" t="str">
        <x:v>Nao</x:v>
      </x:c>
      <x:c r="T314" t="str">
        <x:v>Nao</x:v>
      </x:c>
    </x:row>
    <x:row r="315" ht="19" customHeight="1">
      <x:c r="A315" t="str">
        <x:v>ENT-00314</x:v>
      </x:c>
      <x:c r="B315" s="41" t="n">
        <x:v>46218</x:v>
      </x:c>
      <x:c r="C315" s="41" t="n">
        <x:v>46220</x:v>
      </x:c>
      <x:c r="D315" s="41" t="n">
        <x:v>46220</x:v>
      </x:c>
      <x:c r="E315" t="str">
        <x:v>Savana Retail, Lda.</x:v>
      </x:c>
      <x:c r="F315" t="str">
        <x:v>Camama</x:v>
      </x:c>
      <x:c r="G315" t="str">
        <x:v>Elísio António</x:v>
      </x:c>
      <x:c r="H315" t="str">
        <x:v>VTR-02</x:v>
      </x:c>
      <x:c r="I315" t="str">
        <x:v>Kia K2700</x:v>
      </x:c>
      <x:c r="J315" t="n">
        <x:v>1500</x:v>
      </x:c>
      <x:c r="K315" t="n">
        <x:v>53</x:v>
      </x:c>
      <x:c r="L315" t="n">
        <x:v>53</x:v>
      </x:c>
      <x:c r="M315" t="n">
        <x:v>788</x:v>
      </x:c>
      <x:c r="N315" t="n">
        <x:v>34</x:v>
      </x:c>
      <x:c r="O315" s="45" t="n">
        <x:v>1342755</x:v>
      </x:c>
      <x:c r="P315" s="45" t="n">
        <x:v>38000</x:v>
      </x:c>
      <x:c r="Q315" t="str">
        <x:v>Entregue</x:v>
      </x:c>
      <x:c r="R315" t="str"/>
      <x:c r="S315" t="str">
        <x:v>Nao</x:v>
      </x:c>
      <x:c r="T315" t="str">
        <x:v>Nao</x:v>
      </x:c>
    </x:row>
    <x:row r="316" ht="19" customHeight="1">
      <x:c r="A316" t="str">
        <x:v>ENT-00315</x:v>
      </x:c>
      <x:c r="B316" s="41" t="n">
        <x:v>46255</x:v>
      </x:c>
      <x:c r="C316" s="41" t="n">
        <x:v>46257</x:v>
      </x:c>
      <x:c r="D316" s="41" t="n">
        <x:v>46257</x:v>
      </x:c>
      <x:c r="E316" t="str">
        <x:v>Atlântico Farma, Lda.</x:v>
      </x:c>
      <x:c r="F316" t="str">
        <x:v>Patriota</x:v>
      </x:c>
      <x:c r="G316" t="str">
        <x:v>Kito Alberto</x:v>
      </x:c>
      <x:c r="H316" t="str">
        <x:v>VTR-05</x:v>
      </x:c>
      <x:c r="I316" t="str">
        <x:v>Hyundai HD65</x:v>
      </x:c>
      <x:c r="J316" t="n">
        <x:v>3500</x:v>
      </x:c>
      <x:c r="K316" t="n">
        <x:v>45</x:v>
      </x:c>
      <x:c r="L316" t="n">
        <x:v>42</x:v>
      </x:c>
      <x:c r="M316" t="n">
        <x:v>1363.9</x:v>
      </x:c>
      <x:c r="N316" t="n">
        <x:v>22</x:v>
      </x:c>
      <x:c r="O316" s="45" t="n">
        <x:v>809730</x:v>
      </x:c>
      <x:c r="P316" s="45" t="n">
        <x:v>40500</x:v>
      </x:c>
      <x:c r="Q316" t="str">
        <x:v>Entregue</x:v>
      </x:c>
      <x:c r="R316" t="str"/>
      <x:c r="S316" t="str">
        <x:v>Nao</x:v>
      </x:c>
      <x:c r="T316" t="str">
        <x:v>Nao</x:v>
      </x:c>
    </x:row>
    <x:row r="317" ht="19" customHeight="1">
      <x:c r="A317" t="str">
        <x:v>ENT-00316</x:v>
      </x:c>
      <x:c r="B317" s="41" t="n">
        <x:v>46236</x:v>
      </x:c>
      <x:c r="C317" s="41" t="n">
        <x:v>46238</x:v>
      </x:c>
      <x:c r="D317" s="41" t="n">
        <x:v>46239</x:v>
      </x:c>
      <x:c r="E317" t="str">
        <x:v>Kwanza Distribuição, Lda.</x:v>
      </x:c>
      <x:c r="F317" t="str">
        <x:v>Cacuaco</x:v>
      </x:c>
      <x:c r="G317" t="str">
        <x:v>Adriano Manuel</x:v>
      </x:c>
      <x:c r="H317" t="str">
        <x:v>VTR-09</x:v>
      </x:c>
      <x:c r="I317" t="str">
        <x:v>Toyota Hilux</x:v>
      </x:c>
      <x:c r="J317" t="n">
        <x:v>1000</x:v>
      </x:c>
      <x:c r="K317" t="n">
        <x:v>42</x:v>
      </x:c>
      <x:c r="L317" t="n">
        <x:v>42</x:v>
      </x:c>
      <x:c r="M317" t="n">
        <x:v>525.8</x:v>
      </x:c>
      <x:c r="N317" t="n">
        <x:v>28</x:v>
      </x:c>
      <x:c r="O317" s="45" t="n">
        <x:v>562674</x:v>
      </x:c>
      <x:c r="P317" s="45" t="n">
        <x:v>25500</x:v>
      </x:c>
      <x:c r="Q317" t="str">
        <x:v>Entregue</x:v>
      </x:c>
      <x:c r="R317" t="str">
        <x:v>Avaria da viatura</x:v>
      </x:c>
      <x:c r="S317" t="str">
        <x:v>Nao</x:v>
      </x:c>
      <x:c r="T317" t="str">
        <x:v>Nao</x:v>
      </x:c>
    </x:row>
    <x:row r="318" ht="19" customHeight="1">
      <x:c r="A318" t="str">
        <x:v>ENT-00317</x:v>
      </x:c>
      <x:c r="B318" s="41" t="n">
        <x:v>46246</x:v>
      </x:c>
      <x:c r="C318" s="41" t="n">
        <x:v>46248</x:v>
      </x:c>
      <x:c r="D318" s="41" t="n">
        <x:v>46249</x:v>
      </x:c>
      <x:c r="E318" t="str">
        <x:v>Cesta Certa, Lda.</x:v>
      </x:c>
      <x:c r="F318" t="str">
        <x:v>Camama</x:v>
      </x:c>
      <x:c r="G318" t="str">
        <x:v>Lucas Tomás</x:v>
      </x:c>
      <x:c r="H318" t="str">
        <x:v>VTR-06</x:v>
      </x:c>
      <x:c r="I318" t="str">
        <x:v>Isuzu NPR</x:v>
      </x:c>
      <x:c r="J318" t="n">
        <x:v>5000</x:v>
      </x:c>
      <x:c r="K318" t="n">
        <x:v>27</x:v>
      </x:c>
      <x:c r="L318" t="n">
        <x:v>27</x:v>
      </x:c>
      <x:c r="M318" t="n">
        <x:v>463.6</x:v>
      </x:c>
      <x:c r="N318" t="n">
        <x:v>28</x:v>
      </x:c>
      <x:c r="O318" s="45" t="n">
        <x:v>619542</x:v>
      </x:c>
      <x:c r="P318" s="45" t="n">
        <x:v>28500</x:v>
      </x:c>
      <x:c r="Q318" t="str">
        <x:v>Entregue</x:v>
      </x:c>
      <x:c r="R318" t="str">
        <x:v>Transito intenso</x:v>
      </x:c>
      <x:c r="S318" t="str">
        <x:v>Nao</x:v>
      </x:c>
      <x:c r="T318" t="str">
        <x:v>Nao</x:v>
      </x:c>
    </x:row>
    <x:row r="319" ht="19" customHeight="1">
      <x:c r="A319" t="str">
        <x:v>ENT-00318</x:v>
      </x:c>
      <x:c r="B319" s="41" t="n">
        <x:v>46205</x:v>
      </x:c>
      <x:c r="C319" s="41" t="n">
        <x:v>46207</x:v>
      </x:c>
      <x:c r="D319" s="41" t="n">
        <x:v>46207</x:v>
      </x:c>
      <x:c r="E319" t="str">
        <x:v>Cesta Certa, Lda.</x:v>
      </x:c>
      <x:c r="F319" t="str">
        <x:v>Kikuxi</x:v>
      </x:c>
      <x:c r="G319" t="str">
        <x:v>Carlos Mateus</x:v>
      </x:c>
      <x:c r="H319" t="str">
        <x:v>VTR-04</x:v>
      </x:c>
      <x:c r="I319" t="str">
        <x:v>Toyota Dyna</x:v>
      </x:c>
      <x:c r="J319" t="n">
        <x:v>3000</x:v>
      </x:c>
      <x:c r="K319" t="n">
        <x:v>27</x:v>
      </x:c>
      <x:c r="L319" t="n">
        <x:v>27</x:v>
      </x:c>
      <x:c r="M319" t="n">
        <x:v>311.2</x:v>
      </x:c>
      <x:c r="N319" t="n">
        <x:v>37</x:v>
      </x:c>
      <x:c r="O319" s="45" t="n">
        <x:v>311769</x:v>
      </x:c>
      <x:c r="P319" s="45" t="n">
        <x:v>28500</x:v>
      </x:c>
      <x:c r="Q319" t="str">
        <x:v>Entregue</x:v>
      </x:c>
      <x:c r="R319" t="str"/>
      <x:c r="S319" t="str">
        <x:v>Nao</x:v>
      </x:c>
      <x:c r="T319" t="str">
        <x:v>Nao</x:v>
      </x:c>
    </x:row>
    <x:row r="320" ht="19" customHeight="1">
      <x:c r="A320" t="str">
        <x:v>ENT-00319</x:v>
      </x:c>
      <x:c r="B320" s="41" t="n">
        <x:v>46252</x:v>
      </x:c>
      <x:c r="C320" s="41" t="n">
        <x:v>46255</x:v>
      </x:c>
      <x:c r="D320" s="41" t="n">
        <x:v>46255</x:v>
      </x:c>
      <x:c r="E320" t="str">
        <x:v>N'gola Market, Lda.</x:v>
      </x:c>
      <x:c r="F320" t="str">
        <x:v>Sequele</x:v>
      </x:c>
      <x:c r="G320" t="str">
        <x:v>Gilberto José</x:v>
      </x:c>
      <x:c r="H320" t="str">
        <x:v>VTR-03</x:v>
      </x:c>
      <x:c r="I320" t="str">
        <x:v>Toyota Dyna</x:v>
      </x:c>
      <x:c r="J320" t="n">
        <x:v>3000</x:v>
      </x:c>
      <x:c r="K320" t="n">
        <x:v>29</x:v>
      </x:c>
      <x:c r="L320" t="n">
        <x:v>29</x:v>
      </x:c>
      <x:c r="M320" t="n">
        <x:v>995.1</x:v>
      </x:c>
      <x:c r="N320" t="n">
        <x:v>47</x:v>
      </x:c>
      <x:c r="O320" s="45" t="n">
        <x:v>436682</x:v>
      </x:c>
      <x:c r="P320" s="45" t="n">
        <x:v>43500</x:v>
      </x:c>
      <x:c r="Q320" t="str">
        <x:v>Entregue</x:v>
      </x:c>
      <x:c r="R320" t="str"/>
      <x:c r="S320" t="str">
        <x:v>Nao</x:v>
      </x:c>
      <x:c r="T320" t="str">
        <x:v>Nao</x:v>
      </x:c>
    </x:row>
    <x:row r="321" ht="19" customHeight="1">
      <x:c r="A321" t="str">
        <x:v>ENT-00320</x:v>
      </x:c>
      <x:c r="B321" s="41" t="n">
        <x:v>46205</x:v>
      </x:c>
      <x:c r="C321" s="41" t="n">
        <x:v>46206</x:v>
      </x:c>
      <x:c r="D321" s="41" t="n">
        <x:v>46207</x:v>
      </x:c>
      <x:c r="E321" t="str">
        <x:v>Cesta Certa, Lda.</x:v>
      </x:c>
      <x:c r="F321" t="str">
        <x:v>Morro Bento</x:v>
      </x:c>
      <x:c r="G321" t="str">
        <x:v>Kito Alberto</x:v>
      </x:c>
      <x:c r="H321" t="str">
        <x:v>VTR-03</x:v>
      </x:c>
      <x:c r="I321" t="str">
        <x:v>Toyota Dyna</x:v>
      </x:c>
      <x:c r="J321" t="n">
        <x:v>3000</x:v>
      </x:c>
      <x:c r="K321" t="n">
        <x:v>15</x:v>
      </x:c>
      <x:c r="L321" t="n">
        <x:v>15</x:v>
      </x:c>
      <x:c r="M321" t="n">
        <x:v>441.3</x:v>
      </x:c>
      <x:c r="N321" t="n">
        <x:v>17</x:v>
      </x:c>
      <x:c r="O321" s="45" t="n">
        <x:v>221460</x:v>
      </x:c>
      <x:c r="P321" s="45" t="n">
        <x:v>21500</x:v>
      </x:c>
      <x:c r="Q321" t="str">
        <x:v>Entregue</x:v>
      </x:c>
      <x:c r="R321" t="str">
        <x:v>Avaria da viatura</x:v>
      </x:c>
      <x:c r="S321" t="str">
        <x:v>Nao</x:v>
      </x:c>
      <x:c r="T321" t="str">
        <x:v>Nao</x:v>
      </x:c>
    </x:row>
    <x:row r="322" ht="19" customHeight="1">
      <x:c r="A322" t="str">
        <x:v>ENT-00321</x:v>
      </x:c>
      <x:c r="B322" s="41" t="n">
        <x:v>46249</x:v>
      </x:c>
      <x:c r="C322" s="41" t="n">
        <x:v>46251</x:v>
      </x:c>
      <x:c r="D322" s="41" t="n">
        <x:v>46252</x:v>
      </x:c>
      <x:c r="E322" t="str">
        <x:v>Mundo Fresco, Lda.</x:v>
      </x:c>
      <x:c r="F322" t="str">
        <x:v>Talatona</x:v>
      </x:c>
      <x:c r="G322" t="str">
        <x:v>Félix Domingos</x:v>
      </x:c>
      <x:c r="H322" t="str">
        <x:v>VTR-05</x:v>
      </x:c>
      <x:c r="I322" t="str">
        <x:v>Hyundai HD65</x:v>
      </x:c>
      <x:c r="J322" t="n">
        <x:v>3500</x:v>
      </x:c>
      <x:c r="K322" t="n">
        <x:v>27</x:v>
      </x:c>
      <x:c r="L322" t="n">
        <x:v>27</x:v>
      </x:c>
      <x:c r="M322" t="n">
        <x:v>277.1</x:v>
      </x:c>
      <x:c r="N322" t="n">
        <x:v>38</x:v>
      </x:c>
      <x:c r="O322" s="45" t="n">
        <x:v>623268</x:v>
      </x:c>
      <x:c r="P322" s="45" t="n">
        <x:v>30000</x:v>
      </x:c>
      <x:c r="Q322" t="str">
        <x:v>Entregue</x:v>
      </x:c>
      <x:c r="R322" t="str">
        <x:v>Atraso no carregamento</x:v>
      </x:c>
      <x:c r="S322" t="str">
        <x:v>Nao</x:v>
      </x:c>
      <x:c r="T322" t="str">
        <x:v>Nao</x:v>
      </x:c>
    </x:row>
    <x:row r="323" ht="19" customHeight="1">
      <x:c r="A323" t="str">
        <x:v>ENT-00322</x:v>
      </x:c>
      <x:c r="B323" s="41" t="n">
        <x:v>46258</x:v>
      </x:c>
      <x:c r="C323" s="41" t="n">
        <x:v>46260</x:v>
      </x:c>
      <x:c r="D323" s="41" t="n">
        <x:v>46260</x:v>
      </x:c>
      <x:c r="E323" t="str">
        <x:v>Prime Stock, Lda.</x:v>
      </x:c>
      <x:c r="F323" t="str">
        <x:v>Camama</x:v>
      </x:c>
      <x:c r="G323" t="str">
        <x:v>Lucas Tomás</x:v>
      </x:c>
      <x:c r="H323" t="str">
        <x:v>VTR-04</x:v>
      </x:c>
      <x:c r="I323" t="str">
        <x:v>Toyota Dyna</x:v>
      </x:c>
      <x:c r="J323" t="n">
        <x:v>3000</x:v>
      </x:c>
      <x:c r="K323" t="n">
        <x:v>62</x:v>
      </x:c>
      <x:c r="L323" t="n">
        <x:v>62</x:v>
      </x:c>
      <x:c r="M323" t="n">
        <x:v>1615.6</x:v>
      </x:c>
      <x:c r="N323" t="n">
        <x:v>34</x:v>
      </x:c>
      <x:c r="O323" s="45" t="n">
        <x:v>273792</x:v>
      </x:c>
      <x:c r="P323" s="45" t="n">
        <x:v>44500</x:v>
      </x:c>
      <x:c r="Q323" t="str">
        <x:v>Entregue</x:v>
      </x:c>
      <x:c r="R323" t="str"/>
      <x:c r="S323" t="str">
        <x:v>Nao</x:v>
      </x:c>
      <x:c r="T323" t="str">
        <x:v>Nao</x:v>
      </x:c>
    </x:row>
    <x:row r="324" ht="19" customHeight="1">
      <x:c r="A324" t="str">
        <x:v>ENT-00323</x:v>
      </x:c>
      <x:c r="B324" s="41" t="n">
        <x:v>46242</x:v>
      </x:c>
      <x:c r="C324" s="41" t="n">
        <x:v>46245</x:v>
      </x:c>
      <x:c r="D324" s="41" t="n">
        <x:v>46245</x:v>
      </x:c>
      <x:c r="E324" t="str">
        <x:v>Mercado Sul, Lda.</x:v>
      </x:c>
      <x:c r="F324" t="str">
        <x:v>Sequele</x:v>
      </x:c>
      <x:c r="G324" t="str">
        <x:v>Félix Domingos</x:v>
      </x:c>
      <x:c r="H324" t="str">
        <x:v>VTR-04</x:v>
      </x:c>
      <x:c r="I324" t="str">
        <x:v>Toyota Dyna</x:v>
      </x:c>
      <x:c r="J324" t="n">
        <x:v>3000</x:v>
      </x:c>
      <x:c r="K324" t="n">
        <x:v>81</x:v>
      </x:c>
      <x:c r="L324" t="n">
        <x:v>81</x:v>
      </x:c>
      <x:c r="M324" t="n">
        <x:v>2102.9</x:v>
      </x:c>
      <x:c r="N324" t="n">
        <x:v>52</x:v>
      </x:c>
      <x:c r="O324" s="45" t="n">
        <x:v>609849</x:v>
      </x:c>
      <x:c r="P324" s="45" t="n">
        <x:v>58500</x:v>
      </x:c>
      <x:c r="Q324" t="str">
        <x:v>Entregue</x:v>
      </x:c>
      <x:c r="R324" t="str"/>
      <x:c r="S324" t="str">
        <x:v>Nao</x:v>
      </x:c>
      <x:c r="T324" t="str">
        <x:v>Nao</x:v>
      </x:c>
    </x:row>
    <x:row r="325" ht="19" customHeight="1">
      <x:c r="A325" t="str">
        <x:v>ENT-00324</x:v>
      </x:c>
      <x:c r="B325" s="41" t="n">
        <x:v>46251</x:v>
      </x:c>
      <x:c r="C325" s="41" t="n">
        <x:v>46253</x:v>
      </x:c>
      <x:c r="D325" s="41" t="n">
        <x:v>46256</x:v>
      </x:c>
      <x:c r="E325" t="str">
        <x:v>Prime Stock, Lda.</x:v>
      </x:c>
      <x:c r="F325" t="str">
        <x:v>Patriota</x:v>
      </x:c>
      <x:c r="G325" t="str">
        <x:v>Adriano Manuel</x:v>
      </x:c>
      <x:c r="H325" t="str">
        <x:v>VTR-06</x:v>
      </x:c>
      <x:c r="I325" t="str">
        <x:v>Isuzu NPR</x:v>
      </x:c>
      <x:c r="J325" t="n">
        <x:v>5000</x:v>
      </x:c>
      <x:c r="K325" t="n">
        <x:v>15</x:v>
      </x:c>
      <x:c r="L325" t="n">
        <x:v>15</x:v>
      </x:c>
      <x:c r="M325" t="n">
        <x:v>244.4</x:v>
      </x:c>
      <x:c r="N325" t="n">
        <x:v>29</x:v>
      </x:c>
      <x:c r="O325" s="45" t="n">
        <x:v>282990</x:v>
      </x:c>
      <x:c r="P325" s="45" t="n">
        <x:v>21000</x:v>
      </x:c>
      <x:c r="Q325" t="str">
        <x:v>Entregue</x:v>
      </x:c>
      <x:c r="R325" t="str">
        <x:v>Atraso no carregamento</x:v>
      </x:c>
      <x:c r="S325" t="str">
        <x:v>Nao</x:v>
      </x:c>
      <x:c r="T325" t="str">
        <x:v>Nao</x:v>
      </x:c>
    </x:row>
    <x:row r="326" ht="19" customHeight="1">
      <x:c r="A326" t="str">
        <x:v>ENT-00325</x:v>
      </x:c>
      <x:c r="B326" s="41" t="n">
        <x:v>46253</x:v>
      </x:c>
      <x:c r="C326" s="41" t="n">
        <x:v>46254</x:v>
      </x:c>
      <x:c r="D326" s="41" t="n">
        <x:v>46254</x:v>
      </x:c>
      <x:c r="E326" t="str">
        <x:v>Nova Rota Comercial, Lda.</x:v>
      </x:c>
      <x:c r="F326" t="str">
        <x:v>Ingombota</x:v>
      </x:c>
      <x:c r="G326" t="str">
        <x:v>Jorge Mário</x:v>
      </x:c>
      <x:c r="H326" t="str">
        <x:v>VTR-08</x:v>
      </x:c>
      <x:c r="I326" t="str">
        <x:v>Toyota Hilux</x:v>
      </x:c>
      <x:c r="J326" t="n">
        <x:v>1000</x:v>
      </x:c>
      <x:c r="K326" t="n">
        <x:v>51</x:v>
      </x:c>
      <x:c r="L326" t="n">
        <x:v>51</x:v>
      </x:c>
      <x:c r="M326" t="n">
        <x:v>557.2</x:v>
      </x:c>
      <x:c r="N326" t="n">
        <x:v>9</x:v>
      </x:c>
      <x:c r="O326" s="45" t="n">
        <x:v>377808</x:v>
      </x:c>
      <x:c r="P326" s="45" t="n">
        <x:v>22500</x:v>
      </x:c>
      <x:c r="Q326" t="str">
        <x:v>Entregue</x:v>
      </x:c>
      <x:c r="R326" t="str"/>
      <x:c r="S326" t="str">
        <x:v>Sim</x:v>
      </x:c>
      <x:c r="T326" t="str">
        <x:v>Nao</x:v>
      </x:c>
    </x:row>
    <x:row r="327" ht="19" customHeight="1">
      <x:c r="A327" t="str">
        <x:v>ENT-00326</x:v>
      </x:c>
      <x:c r="B327" s="41" t="n">
        <x:v>46212</x:v>
      </x:c>
      <x:c r="C327" s="41" t="n">
        <x:v>46214</x:v>
      </x:c>
      <x:c r="D327" s="41" t="n">
        <x:v>46214</x:v>
      </x:c>
      <x:c r="E327" t="str">
        <x:v>Sol Nascente Comércio, Lda.</x:v>
      </x:c>
      <x:c r="F327" t="str">
        <x:v>Benfica</x:v>
      </x:c>
      <x:c r="G327" t="str">
        <x:v>Adriano Manuel</x:v>
      </x:c>
      <x:c r="H327" t="str">
        <x:v>VTR-02</x:v>
      </x:c>
      <x:c r="I327" t="str">
        <x:v>Kia K2700</x:v>
      </x:c>
      <x:c r="J327" t="n">
        <x:v>1500</x:v>
      </x:c>
      <x:c r="K327" t="n">
        <x:v>71</x:v>
      </x:c>
      <x:c r="L327" t="n">
        <x:v>71</x:v>
      </x:c>
      <x:c r="M327" t="n">
        <x:v>1290</x:v>
      </x:c>
      <x:c r="N327" t="n">
        <x:v>31</x:v>
      </x:c>
      <x:c r="O327" s="45" t="n">
        <x:v>481522</x:v>
      </x:c>
      <x:c r="P327" s="45" t="n">
        <x:v>38500</x:v>
      </x:c>
      <x:c r="Q327" t="str">
        <x:v>Entregue</x:v>
      </x:c>
      <x:c r="R327" t="str"/>
      <x:c r="S327" t="str">
        <x:v>Nao</x:v>
      </x:c>
      <x:c r="T327" t="str">
        <x:v>Nao</x:v>
      </x:c>
    </x:row>
    <x:row r="328" ht="19" customHeight="1">
      <x:c r="A328" t="str">
        <x:v>ENT-00327</x:v>
      </x:c>
      <x:c r="B328" s="41" t="n">
        <x:v>46234</x:v>
      </x:c>
      <x:c r="C328" s="41" t="n">
        <x:v>46236</x:v>
      </x:c>
      <x:c r="D328" s="41"/>
      <x:c r="E328" t="str">
        <x:v>Luanda Office Supply, Lda.</x:v>
      </x:c>
      <x:c r="F328" t="str">
        <x:v>Kilamba</x:v>
      </x:c>
      <x:c r="G328" t="str">
        <x:v>Elísio António</x:v>
      </x:c>
      <x:c r="H328" t="str">
        <x:v>VTR-05</x:v>
      </x:c>
      <x:c r="I328" t="str">
        <x:v>Hyundai HD65</x:v>
      </x:c>
      <x:c r="J328" t="n">
        <x:v>3500</x:v>
      </x:c>
      <x:c r="K328" t="n">
        <x:v>69</x:v>
      </x:c>
      <x:c r="L328" t="n">
        <x:v>0</x:v>
      </x:c>
      <x:c r="M328" t="n">
        <x:v>1592.5</x:v>
      </x:c>
      <x:c r="N328" t="n">
        <x:v>23</x:v>
      </x:c>
      <x:c r="O328" s="45" t="n">
        <x:v>272274</x:v>
      </x:c>
      <x:c r="P328" s="45" t="n">
        <x:v>41500</x:v>
      </x:c>
      <x:c r="Q328" t="str">
        <x:v>Cancelada</x:v>
      </x:c>
      <x:c r="R328" t="str">
        <x:v>Cancelamento do cliente</x:v>
      </x:c>
      <x:c r="S328" t="str">
        <x:v>Nao</x:v>
      </x:c>
      <x:c r="T328" t="str">
        <x:v>Nao</x:v>
      </x:c>
    </x:row>
    <x:row r="329" ht="19" customHeight="1">
      <x:c r="A329" t="str">
        <x:v>ENT-00328</x:v>
      </x:c>
      <x:c r="B329" s="41" t="n">
        <x:v>46223</x:v>
      </x:c>
      <x:c r="C329" s="41" t="n">
        <x:v>46225</x:v>
      </x:c>
      <x:c r="D329" s="41" t="n">
        <x:v>46225</x:v>
      </x:c>
      <x:c r="E329" t="str">
        <x:v>Luanda Office Supply, Lda.</x:v>
      </x:c>
      <x:c r="F329" t="str">
        <x:v>Talatona</x:v>
      </x:c>
      <x:c r="G329" t="str">
        <x:v>Hélder Miguel</x:v>
      </x:c>
      <x:c r="H329" t="str">
        <x:v>VTR-11</x:v>
      </x:c>
      <x:c r="I329" t="str">
        <x:v>JAC N56</x:v>
      </x:c>
      <x:c r="J329" t="n">
        <x:v>3500</x:v>
      </x:c>
      <x:c r="K329" t="n">
        <x:v>74</x:v>
      </x:c>
      <x:c r="L329" t="n">
        <x:v>74</x:v>
      </x:c>
      <x:c r="M329" t="n">
        <x:v>1343.9</x:v>
      </x:c>
      <x:c r="N329" t="n">
        <x:v>35</x:v>
      </x:c>
      <x:c r="O329" s="45" t="n">
        <x:v>1295962</x:v>
      </x:c>
      <x:c r="P329" s="45" t="n">
        <x:v>49000</x:v>
      </x:c>
      <x:c r="Q329" t="str">
        <x:v>Entregue</x:v>
      </x:c>
      <x:c r="R329" t="str"/>
      <x:c r="S329" t="str">
        <x:v>Nao</x:v>
      </x:c>
      <x:c r="T329" t="str">
        <x:v>Nao</x:v>
      </x:c>
    </x:row>
    <x:row r="330" ht="19" customHeight="1">
      <x:c r="A330" t="str">
        <x:v>ENT-00329</x:v>
      </x:c>
      <x:c r="B330" s="41" t="n">
        <x:v>46216</x:v>
      </x:c>
      <x:c r="C330" s="41" t="n">
        <x:v>46217</x:v>
      </x:c>
      <x:c r="D330" s="41" t="n">
        <x:v>46217</x:v>
      </x:c>
      <x:c r="E330" t="str">
        <x:v>Mundo Fresco, Lda.</x:v>
      </x:c>
      <x:c r="F330" t="str">
        <x:v>Maianga</x:v>
      </x:c>
      <x:c r="G330" t="str">
        <x:v>Isaías Pedro</x:v>
      </x:c>
      <x:c r="H330" t="str">
        <x:v>VTR-09</x:v>
      </x:c>
      <x:c r="I330" t="str">
        <x:v>Toyota Hilux</x:v>
      </x:c>
      <x:c r="J330" t="n">
        <x:v>1000</x:v>
      </x:c>
      <x:c r="K330" t="n">
        <x:v>71</x:v>
      </x:c>
      <x:c r="L330" t="n">
        <x:v>71</x:v>
      </x:c>
      <x:c r="M330" t="n">
        <x:v>924.1</x:v>
      </x:c>
      <x:c r="N330" t="n">
        <x:v>14</x:v>
      </x:c>
      <x:c r="O330" s="45" t="n">
        <x:v>1562923</x:v>
      </x:c>
      <x:c r="P330" s="45" t="n">
        <x:v>28500</x:v>
      </x:c>
      <x:c r="Q330" t="str">
        <x:v>Entregue</x:v>
      </x:c>
      <x:c r="R330" t="str"/>
      <x:c r="S330" t="str">
        <x:v>Nao</x:v>
      </x:c>
      <x:c r="T330" t="str">
        <x:v>Nao</x:v>
      </x:c>
    </x:row>
    <x:row r="331" ht="19" customHeight="1">
      <x:c r="A331" t="str">
        <x:v>ENT-00330</x:v>
      </x:c>
      <x:c r="B331" s="41" t="n">
        <x:v>46254</x:v>
      </x:c>
      <x:c r="C331" s="41" t="n">
        <x:v>46257</x:v>
      </x:c>
      <x:c r="D331" s="41" t="n">
        <x:v>46257</x:v>
      </x:c>
      <x:c r="E331" t="str">
        <x:v>Luanda Office Supply, Lda.</x:v>
      </x:c>
      <x:c r="F331" t="str">
        <x:v>Kilamba</x:v>
      </x:c>
      <x:c r="G331" t="str">
        <x:v>Bernardo Paulo</x:v>
      </x:c>
      <x:c r="H331" t="str">
        <x:v>VTR-12</x:v>
      </x:c>
      <x:c r="I331" t="str">
        <x:v>Hyundai H100</x:v>
      </x:c>
      <x:c r="J331" t="n">
        <x:v>1300</x:v>
      </x:c>
      <x:c r="K331" t="n">
        <x:v>67</x:v>
      </x:c>
      <x:c r="L331" t="n">
        <x:v>67</x:v>
      </x:c>
      <x:c r="M331" t="n">
        <x:v>1186</x:v>
      </x:c>
      <x:c r="N331" t="n">
        <x:v>40</x:v>
      </x:c>
      <x:c r="O331" s="45" t="n">
        <x:v>1137928</x:v>
      </x:c>
      <x:c r="P331" s="45" t="n">
        <x:v>49500</x:v>
      </x:c>
      <x:c r="Q331" t="str">
        <x:v>Entregue</x:v>
      </x:c>
      <x:c r="R331" t="str"/>
      <x:c r="S331" t="str">
        <x:v>Nao</x:v>
      </x:c>
      <x:c r="T331" t="str">
        <x:v>Nao</x:v>
      </x:c>
    </x:row>
    <x:row r="332" ht="19" customHeight="1">
      <x:c r="A332" t="str">
        <x:v>ENT-00331</x:v>
      </x:c>
      <x:c r="B332" s="41" t="n">
        <x:v>46238</x:v>
      </x:c>
      <x:c r="C332" s="41" t="n">
        <x:v>46240</x:v>
      </x:c>
      <x:c r="D332" s="41" t="n">
        <x:v>46241</x:v>
      </x:c>
      <x:c r="E332" t="str">
        <x:v>Cesta Certa, Lda.</x:v>
      </x:c>
      <x:c r="F332" t="str">
        <x:v>Talatona</x:v>
      </x:c>
      <x:c r="G332" t="str">
        <x:v>Hélder Miguel</x:v>
      </x:c>
      <x:c r="H332" t="str">
        <x:v>VTR-02</x:v>
      </x:c>
      <x:c r="I332" t="str">
        <x:v>Kia K2700</x:v>
      </x:c>
      <x:c r="J332" t="n">
        <x:v>1500</x:v>
      </x:c>
      <x:c r="K332" t="n">
        <x:v>15</x:v>
      </x:c>
      <x:c r="L332" t="n">
        <x:v>15</x:v>
      </x:c>
      <x:c r="M332" t="n">
        <x:v>469.5</x:v>
      </x:c>
      <x:c r="N332" t="n">
        <x:v>25</x:v>
      </x:c>
      <x:c r="O332" s="45" t="n">
        <x:v>91155</x:v>
      </x:c>
      <x:c r="P332" s="45" t="n">
        <x:v>27000</x:v>
      </x:c>
      <x:c r="Q332" t="str">
        <x:v>Entregue</x:v>
      </x:c>
      <x:c r="R332" t="str">
        <x:v>Atraso no carregamento</x:v>
      </x:c>
      <x:c r="S332" t="str">
        <x:v>Nao</x:v>
      </x:c>
      <x:c r="T332" t="str">
        <x:v>Nao</x:v>
      </x:c>
    </x:row>
    <x:row r="333" ht="19" customHeight="1">
      <x:c r="A333" t="str">
        <x:v>ENT-00332</x:v>
      </x:c>
      <x:c r="B333" s="41" t="n">
        <x:v>46254</x:v>
      </x:c>
      <x:c r="C333" s="41" t="n">
        <x:v>46256</x:v>
      </x:c>
      <x:c r="D333" s="41" t="n">
        <x:v>46259</x:v>
      </x:c>
      <x:c r="E333" t="str">
        <x:v>Rota Azul, Lda.</x:v>
      </x:c>
      <x:c r="F333" t="str">
        <x:v>Kikuxi</x:v>
      </x:c>
      <x:c r="G333" t="str">
        <x:v>Jorge Mário</x:v>
      </x:c>
      <x:c r="H333" t="str">
        <x:v>VTR-12</x:v>
      </x:c>
      <x:c r="I333" t="str">
        <x:v>Hyundai H100</x:v>
      </x:c>
      <x:c r="J333" t="n">
        <x:v>1300</x:v>
      </x:c>
      <x:c r="K333" t="n">
        <x:v>86</x:v>
      </x:c>
      <x:c r="L333" t="n">
        <x:v>86</x:v>
      </x:c>
      <x:c r="M333" t="n">
        <x:v>739.6</x:v>
      </x:c>
      <x:c r="N333" t="n">
        <x:v>27</x:v>
      </x:c>
      <x:c r="O333" s="45" t="n">
        <x:v>696944</x:v>
      </x:c>
      <x:c r="P333" s="45" t="n">
        <x:v>29000</x:v>
      </x:c>
      <x:c r="Q333" t="str">
        <x:v>Entregue</x:v>
      </x:c>
      <x:c r="R333" t="str">
        <x:v>Cliente indisponivel</x:v>
      </x:c>
      <x:c r="S333" t="str">
        <x:v>Nao</x:v>
      </x:c>
      <x:c r="T333" t="str">
        <x:v>Nao</x:v>
      </x:c>
    </x:row>
    <x:row r="334" ht="19" customHeight="1">
      <x:c r="A334" t="str">
        <x:v>ENT-00333</x:v>
      </x:c>
      <x:c r="B334" s="41" t="n">
        <x:v>46263</x:v>
      </x:c>
      <x:c r="C334" s="41" t="n">
        <x:v>46265</x:v>
      </x:c>
      <x:c r="D334" s="41" t="n">
        <x:v>46265</x:v>
      </x:c>
      <x:c r="E334" t="str">
        <x:v>Sol Nascente Comércio, Lda.</x:v>
      </x:c>
      <x:c r="F334" t="str">
        <x:v>Viana</x:v>
      </x:c>
      <x:c r="G334" t="str">
        <x:v>Lucas Tomás</x:v>
      </x:c>
      <x:c r="H334" t="str">
        <x:v>VTR-04</x:v>
      </x:c>
      <x:c r="I334" t="str">
        <x:v>Toyota Dyna</x:v>
      </x:c>
      <x:c r="J334" t="n">
        <x:v>3000</x:v>
      </x:c>
      <x:c r="K334" t="n">
        <x:v>83</x:v>
      </x:c>
      <x:c r="L334" t="n">
        <x:v>83</x:v>
      </x:c>
      <x:c r="M334" t="n">
        <x:v>1952</x:v>
      </x:c>
      <x:c r="N334" t="n">
        <x:v>33</x:v>
      </x:c>
      <x:c r="O334" s="45" t="n">
        <x:v>1669379</x:v>
      </x:c>
      <x:c r="P334" s="45" t="n">
        <x:v>59000</x:v>
      </x:c>
      <x:c r="Q334" t="str">
        <x:v>Entregue</x:v>
      </x:c>
      <x:c r="R334" t="str"/>
      <x:c r="S334" t="str">
        <x:v>Nao</x:v>
      </x:c>
      <x:c r="T334" t="str">
        <x:v>Nao</x:v>
      </x:c>
    </x:row>
    <x:row r="335" ht="19" customHeight="1">
      <x:c r="A335" t="str">
        <x:v>ENT-00334</x:v>
      </x:c>
      <x:c r="B335" s="41" t="n">
        <x:v>46256</x:v>
      </x:c>
      <x:c r="C335" s="41" t="n">
        <x:v>46258</x:v>
      </x:c>
      <x:c r="D335" s="41" t="n">
        <x:v>46260</x:v>
      </x:c>
      <x:c r="E335" t="str">
        <x:v>Bem-Estar Higiene, Lda.</x:v>
      </x:c>
      <x:c r="F335" t="str">
        <x:v>Nova Vida</x:v>
      </x:c>
      <x:c r="G335" t="str">
        <x:v>Lucas Tomás</x:v>
      </x:c>
      <x:c r="H335" t="str">
        <x:v>VTR-12</x:v>
      </x:c>
      <x:c r="I335" t="str">
        <x:v>Hyundai H100</x:v>
      </x:c>
      <x:c r="J335" t="n">
        <x:v>1300</x:v>
      </x:c>
      <x:c r="K335" t="n">
        <x:v>76</x:v>
      </x:c>
      <x:c r="L335" t="n">
        <x:v>76</x:v>
      </x:c>
      <x:c r="M335" t="n">
        <x:v>951.1</x:v>
      </x:c>
      <x:c r="N335" t="n">
        <x:v>24</x:v>
      </x:c>
      <x:c r="O335" s="45" t="n">
        <x:v>1767228</x:v>
      </x:c>
      <x:c r="P335" s="45" t="n">
        <x:v>31500</x:v>
      </x:c>
      <x:c r="Q335" t="str">
        <x:v>Entregue</x:v>
      </x:c>
      <x:c r="R335" t="str">
        <x:v>Transito intenso</x:v>
      </x:c>
      <x:c r="S335" t="str">
        <x:v>Nao</x:v>
      </x:c>
      <x:c r="T335" t="str">
        <x:v>Nao</x:v>
      </x:c>
    </x:row>
    <x:row r="336" ht="19" customHeight="1">
      <x:c r="A336" t="str">
        <x:v>ENT-00335</x:v>
      </x:c>
      <x:c r="B336" s="41" t="n">
        <x:v>46222</x:v>
      </x:c>
      <x:c r="C336" s="41" t="n">
        <x:v>46224</x:v>
      </x:c>
      <x:c r="D336" s="41" t="n">
        <x:v>46227</x:v>
      </x:c>
      <x:c r="E336" t="str">
        <x:v>Kiala &amp; Filhos, Lda.</x:v>
      </x:c>
      <x:c r="F336" t="str">
        <x:v>Talatona</x:v>
      </x:c>
      <x:c r="G336" t="str">
        <x:v>Adriano Manuel</x:v>
      </x:c>
      <x:c r="H336" t="str">
        <x:v>VTR-12</x:v>
      </x:c>
      <x:c r="I336" t="str">
        <x:v>Hyundai H100</x:v>
      </x:c>
      <x:c r="J336" t="n">
        <x:v>1300</x:v>
      </x:c>
      <x:c r="K336" t="n">
        <x:v>23</x:v>
      </x:c>
      <x:c r="L336" t="n">
        <x:v>23</x:v>
      </x:c>
      <x:c r="M336" t="n">
        <x:v>562.5</x:v>
      </x:c>
      <x:c r="N336" t="n">
        <x:v>38</x:v>
      </x:c>
      <x:c r="O336" s="45" t="n">
        <x:v>346288</x:v>
      </x:c>
      <x:c r="P336" s="45" t="n">
        <x:v>31500</x:v>
      </x:c>
      <x:c r="Q336" t="str">
        <x:v>Entregue</x:v>
      </x:c>
      <x:c r="R336" t="str">
        <x:v>Chuva/condicao da via</x:v>
      </x:c>
      <x:c r="S336" t="str">
        <x:v>Nao</x:v>
      </x:c>
      <x:c r="T336" t="str">
        <x:v>Nao</x:v>
      </x:c>
    </x:row>
    <x:row r="337" ht="19" customHeight="1">
      <x:c r="A337" t="str">
        <x:v>ENT-00336</x:v>
      </x:c>
      <x:c r="B337" s="41" t="n">
        <x:v>46230</x:v>
      </x:c>
      <x:c r="C337" s="41" t="n">
        <x:v>46233</x:v>
      </x:c>
      <x:c r="D337" s="41" t="n">
        <x:v>46233</x:v>
      </x:c>
      <x:c r="E337" t="str">
        <x:v>Nova Rota Comercial, Lda.</x:v>
      </x:c>
      <x:c r="F337" t="str">
        <x:v>Cacuaco</x:v>
      </x:c>
      <x:c r="G337" t="str">
        <x:v>Kito Alberto</x:v>
      </x:c>
      <x:c r="H337" t="str">
        <x:v>VTR-05</x:v>
      </x:c>
      <x:c r="I337" t="str">
        <x:v>Hyundai HD65</x:v>
      </x:c>
      <x:c r="J337" t="n">
        <x:v>3500</x:v>
      </x:c>
      <x:c r="K337" t="n">
        <x:v>43</x:v>
      </x:c>
      <x:c r="L337" t="n">
        <x:v>43</x:v>
      </x:c>
      <x:c r="M337" t="n">
        <x:v>652</x:v>
      </x:c>
      <x:c r="N337" t="n">
        <x:v>47</x:v>
      </x:c>
      <x:c r="O337" s="45" t="n">
        <x:v>300957</x:v>
      </x:c>
      <x:c r="P337" s="45" t="n">
        <x:v>40000</x:v>
      </x:c>
      <x:c r="Q337" t="str">
        <x:v>Entregue</x:v>
      </x:c>
      <x:c r="R337" t="str"/>
      <x:c r="S337" t="str">
        <x:v>Nao</x:v>
      </x:c>
      <x:c r="T337" t="str">
        <x:v>Nao</x:v>
      </x:c>
    </x:row>
    <x:row r="338" ht="19" customHeight="1">
      <x:c r="A338" t="str">
        <x:v>ENT-00337</x:v>
      </x:c>
      <x:c r="B338" s="41" t="n">
        <x:v>46218</x:v>
      </x:c>
      <x:c r="C338" s="41" t="n">
        <x:v>46219</x:v>
      </x:c>
      <x:c r="D338" s="41" t="n">
        <x:v>46219</x:v>
      </x:c>
      <x:c r="E338" t="str">
        <x:v>Nova Rota Comercial, Lda.</x:v>
      </x:c>
      <x:c r="F338" t="str">
        <x:v>Morro Bento</x:v>
      </x:c>
      <x:c r="G338" t="str">
        <x:v>Adriano Manuel</x:v>
      </x:c>
      <x:c r="H338" t="str">
        <x:v>VTR-08</x:v>
      </x:c>
      <x:c r="I338" t="str">
        <x:v>Toyota Hilux</x:v>
      </x:c>
      <x:c r="J338" t="n">
        <x:v>1000</x:v>
      </x:c>
      <x:c r="K338" t="n">
        <x:v>40</x:v>
      </x:c>
      <x:c r="L338" t="n">
        <x:v>40</x:v>
      </x:c>
      <x:c r="M338" t="n">
        <x:v>578.3</x:v>
      </x:c>
      <x:c r="N338" t="n">
        <x:v>18</x:v>
      </x:c>
      <x:c r="O338" s="45" t="n">
        <x:v>678080</x:v>
      </x:c>
      <x:c r="P338" s="45" t="n">
        <x:v>27000</x:v>
      </x:c>
      <x:c r="Q338" t="str">
        <x:v>Entregue</x:v>
      </x:c>
      <x:c r="R338" t="str"/>
      <x:c r="S338" t="str">
        <x:v>Nao</x:v>
      </x:c>
      <x:c r="T338" t="str">
        <x:v>Sim</x:v>
      </x:c>
    </x:row>
    <x:row r="339" ht="19" customHeight="1">
      <x:c r="A339" t="str">
        <x:v>ENT-00338</x:v>
      </x:c>
      <x:c r="B339" s="41" t="n">
        <x:v>46262</x:v>
      </x:c>
      <x:c r="C339" s="41" t="n">
        <x:v>46263</x:v>
      </x:c>
      <x:c r="D339" s="41" t="n">
        <x:v>46263</x:v>
      </x:c>
      <x:c r="E339" t="str">
        <x:v>Maxi Centro, Lda.</x:v>
      </x:c>
      <x:c r="F339" t="str">
        <x:v>Maianga</x:v>
      </x:c>
      <x:c r="G339" t="str">
        <x:v>Jorge Mário</x:v>
      </x:c>
      <x:c r="H339" t="str">
        <x:v>VTR-08</x:v>
      </x:c>
      <x:c r="I339" t="str">
        <x:v>Toyota Hilux</x:v>
      </x:c>
      <x:c r="J339" t="n">
        <x:v>1000</x:v>
      </x:c>
      <x:c r="K339" t="n">
        <x:v>79</x:v>
      </x:c>
      <x:c r="L339" t="n">
        <x:v>79</x:v>
      </x:c>
      <x:c r="M339" t="n">
        <x:v>881.5</x:v>
      </x:c>
      <x:c r="N339" t="n">
        <x:v>11</x:v>
      </x:c>
      <x:c r="O339" s="45" t="n">
        <x:v>1089884</x:v>
      </x:c>
      <x:c r="P339" s="45" t="n">
        <x:v>27500</x:v>
      </x:c>
      <x:c r="Q339" t="str">
        <x:v>Entregue</x:v>
      </x:c>
      <x:c r="R339" t="str"/>
      <x:c r="S339" t="str">
        <x:v>Nao</x:v>
      </x:c>
      <x:c r="T339" t="str">
        <x:v>Nao</x:v>
      </x:c>
    </x:row>
    <x:row r="340" ht="19" customHeight="1">
      <x:c r="A340" t="str">
        <x:v>ENT-00339</x:v>
      </x:c>
      <x:c r="B340" s="41" t="n">
        <x:v>46212</x:v>
      </x:c>
      <x:c r="C340" s="41" t="n">
        <x:v>46213</x:v>
      </x:c>
      <x:c r="D340" s="41" t="n">
        <x:v>46213</x:v>
      </x:c>
      <x:c r="E340" t="str">
        <x:v>Cesta Certa, Lda.</x:v>
      </x:c>
      <x:c r="F340" t="str">
        <x:v>Morro Bento</x:v>
      </x:c>
      <x:c r="G340" t="str">
        <x:v>Carlos Mateus</x:v>
      </x:c>
      <x:c r="H340" t="str">
        <x:v>VTR-09</x:v>
      </x:c>
      <x:c r="I340" t="str">
        <x:v>Toyota Hilux</x:v>
      </x:c>
      <x:c r="J340" t="n">
        <x:v>1000</x:v>
      </x:c>
      <x:c r="K340" t="n">
        <x:v>17</x:v>
      </x:c>
      <x:c r="L340" t="n">
        <x:v>16</x:v>
      </x:c>
      <x:c r="M340" t="n">
        <x:v>383.4</x:v>
      </x:c>
      <x:c r="N340" t="n">
        <x:v>15</x:v>
      </x:c>
      <x:c r="O340" s="45" t="n">
        <x:v>440181</x:v>
      </x:c>
      <x:c r="P340" s="45" t="n">
        <x:v>20000</x:v>
      </x:c>
      <x:c r="Q340" t="str">
        <x:v>Entregue</x:v>
      </x:c>
      <x:c r="R340" t="str"/>
      <x:c r="S340" t="str">
        <x:v>Nao</x:v>
      </x:c>
      <x:c r="T340" t="str">
        <x:v>Nao</x:v>
      </x:c>
    </x:row>
    <x:row r="341" ht="19" customHeight="1">
      <x:c r="A341" t="str">
        <x:v>ENT-00340</x:v>
      </x:c>
      <x:c r="B341" s="41" t="n">
        <x:v>46232</x:v>
      </x:c>
      <x:c r="C341" s="41" t="n">
        <x:v>46233</x:v>
      </x:c>
      <x:c r="D341" s="41" t="n">
        <x:v>46235</x:v>
      </x:c>
      <x:c r="E341" t="str">
        <x:v>Sol Nascente Comércio, Lda.</x:v>
      </x:c>
      <x:c r="F341" t="str">
        <x:v>Ingombota</x:v>
      </x:c>
      <x:c r="G341" t="str">
        <x:v>Félix Domingos</x:v>
      </x:c>
      <x:c r="H341" t="str">
        <x:v>VTR-12</x:v>
      </x:c>
      <x:c r="I341" t="str">
        <x:v>Hyundai H100</x:v>
      </x:c>
      <x:c r="J341" t="n">
        <x:v>1300</x:v>
      </x:c>
      <x:c r="K341" t="n">
        <x:v>19</x:v>
      </x:c>
      <x:c r="L341" t="n">
        <x:v>19</x:v>
      </x:c>
      <x:c r="M341" t="n">
        <x:v>654.1</x:v>
      </x:c>
      <x:c r="N341" t="n">
        <x:v>9</x:v>
      </x:c>
      <x:c r="O341" s="45" t="n">
        <x:v>120327</x:v>
      </x:c>
      <x:c r="P341" s="45" t="n">
        <x:v>19500</x:v>
      </x:c>
      <x:c r="Q341" t="str">
        <x:v>Entregue</x:v>
      </x:c>
      <x:c r="R341" t="str">
        <x:v>Transito intenso</x:v>
      </x:c>
      <x:c r="S341" t="str">
        <x:v>Nao</x:v>
      </x:c>
      <x:c r="T341" t="str">
        <x:v>Nao</x:v>
      </x:c>
    </x:row>
    <x:row r="342" ht="19" customHeight="1">
      <x:c r="A342" t="str">
        <x:v>ENT-00341</x:v>
      </x:c>
      <x:c r="B342" s="41" t="n">
        <x:v>46224</x:v>
      </x:c>
      <x:c r="C342" s="41" t="n">
        <x:v>46225</x:v>
      </x:c>
      <x:c r="D342" s="41" t="n">
        <x:v>46224</x:v>
      </x:c>
      <x:c r="E342" t="str">
        <x:v>Savana Retail, Lda.</x:v>
      </x:c>
      <x:c r="F342" t="str">
        <x:v>Maianga</x:v>
      </x:c>
      <x:c r="G342" t="str">
        <x:v>Hélder Miguel</x:v>
      </x:c>
      <x:c r="H342" t="str">
        <x:v>VTR-03</x:v>
      </x:c>
      <x:c r="I342" t="str">
        <x:v>Toyota Dyna</x:v>
      </x:c>
      <x:c r="J342" t="n">
        <x:v>3000</x:v>
      </x:c>
      <x:c r="K342" t="n">
        <x:v>77</x:v>
      </x:c>
      <x:c r="L342" t="n">
        <x:v>77</x:v>
      </x:c>
      <x:c r="M342" t="n">
        <x:v>2085.3</x:v>
      </x:c>
      <x:c r="N342" t="n">
        <x:v>14</x:v>
      </x:c>
      <x:c r="O342" s="45" t="n">
        <x:v>1440593</x:v>
      </x:c>
      <x:c r="P342" s="45" t="n">
        <x:v>50000</x:v>
      </x:c>
      <x:c r="Q342" t="str">
        <x:v>Entregue</x:v>
      </x:c>
      <x:c r="R342" t="str"/>
      <x:c r="S342" t="str">
        <x:v>Nao</x:v>
      </x:c>
      <x:c r="T342" t="str">
        <x:v>Nao</x:v>
      </x:c>
    </x:row>
    <x:row r="343" ht="19" customHeight="1">
      <x:c r="A343" t="str">
        <x:v>ENT-00342</x:v>
      </x:c>
      <x:c r="B343" s="41" t="n">
        <x:v>46242</x:v>
      </x:c>
      <x:c r="C343" s="41" t="n">
        <x:v>46244</x:v>
      </x:c>
      <x:c r="D343" s="41" t="n">
        <x:v>46244</x:v>
      </x:c>
      <x:c r="E343" t="str">
        <x:v>Ponto Logístico, Lda.</x:v>
      </x:c>
      <x:c r="F343" t="str">
        <x:v>Viana</x:v>
      </x:c>
      <x:c r="G343" t="str">
        <x:v>Lucas Tomás</x:v>
      </x:c>
      <x:c r="H343" t="str">
        <x:v>VTR-06</x:v>
      </x:c>
      <x:c r="I343" t="str">
        <x:v>Isuzu NPR</x:v>
      </x:c>
      <x:c r="J343" t="n">
        <x:v>5000</x:v>
      </x:c>
      <x:c r="K343" t="n">
        <x:v>37</x:v>
      </x:c>
      <x:c r="L343" t="n">
        <x:v>37</x:v>
      </x:c>
      <x:c r="M343" t="n">
        <x:v>991.3</x:v>
      </x:c>
      <x:c r="N343" t="n">
        <x:v>27</x:v>
      </x:c>
      <x:c r="O343" s="45" t="n">
        <x:v>726717</x:v>
      </x:c>
      <x:c r="P343" s="45" t="n">
        <x:v>32000</x:v>
      </x:c>
      <x:c r="Q343" t="str">
        <x:v>Entregue</x:v>
      </x:c>
      <x:c r="R343" t="str"/>
      <x:c r="S343" t="str">
        <x:v>Nao</x:v>
      </x:c>
      <x:c r="T343" t="str">
        <x:v>Nao</x:v>
      </x:c>
    </x:row>
    <x:row r="344" ht="19" customHeight="1">
      <x:c r="A344" t="str">
        <x:v>ENT-00343</x:v>
      </x:c>
      <x:c r="B344" s="41" t="n">
        <x:v>46247</x:v>
      </x:c>
      <x:c r="C344" s="41" t="n">
        <x:v>46249</x:v>
      </x:c>
      <x:c r="D344" s="41" t="n">
        <x:v>46249</x:v>
      </x:c>
      <x:c r="E344" t="str">
        <x:v>Savana Retail, Lda.</x:v>
      </x:c>
      <x:c r="F344" t="str">
        <x:v>Camama</x:v>
      </x:c>
      <x:c r="G344" t="str">
        <x:v>Félix Domingos</x:v>
      </x:c>
      <x:c r="H344" t="str">
        <x:v>VTR-11</x:v>
      </x:c>
      <x:c r="I344" t="str">
        <x:v>JAC N56</x:v>
      </x:c>
      <x:c r="J344" t="n">
        <x:v>3500</x:v>
      </x:c>
      <x:c r="K344" t="n">
        <x:v>22</x:v>
      </x:c>
      <x:c r="L344" t="n">
        <x:v>22</x:v>
      </x:c>
      <x:c r="M344" t="n">
        <x:v>334.5</x:v>
      </x:c>
      <x:c r="N344" t="n">
        <x:v>30</x:v>
      </x:c>
      <x:c r="O344" s="45" t="n">
        <x:v>196702</x:v>
      </x:c>
      <x:c r="P344" s="45" t="n">
        <x:v>24500</x:v>
      </x:c>
      <x:c r="Q344" t="str">
        <x:v>Entregue</x:v>
      </x:c>
      <x:c r="R344" t="str"/>
      <x:c r="S344" t="str">
        <x:v>Nao</x:v>
      </x:c>
      <x:c r="T344" t="str">
        <x:v>Nao</x:v>
      </x:c>
    </x:row>
    <x:row r="345" ht="19" customHeight="1">
      <x:c r="A345" t="str">
        <x:v>ENT-00344</x:v>
      </x:c>
      <x:c r="B345" s="41" t="n">
        <x:v>46227</x:v>
      </x:c>
      <x:c r="C345" s="41" t="n">
        <x:v>46229</x:v>
      </x:c>
      <x:c r="D345" s="41" t="n">
        <x:v>46229</x:v>
      </x:c>
      <x:c r="E345" t="str">
        <x:v>Luanda Office Supply, Lda.</x:v>
      </x:c>
      <x:c r="F345" t="str">
        <x:v>Camama</x:v>
      </x:c>
      <x:c r="G345" t="str">
        <x:v>Elísio António</x:v>
      </x:c>
      <x:c r="H345" t="str">
        <x:v>VTR-10</x:v>
      </x:c>
      <x:c r="I345" t="str">
        <x:v>Foton Aumark</x:v>
      </x:c>
      <x:c r="J345" t="n">
        <x:v>4000</x:v>
      </x:c>
      <x:c r="K345" t="n">
        <x:v>57</x:v>
      </x:c>
      <x:c r="L345" t="n">
        <x:v>57</x:v>
      </x:c>
      <x:c r="M345" t="n">
        <x:v>1911.6</x:v>
      </x:c>
      <x:c r="N345" t="n">
        <x:v>28</x:v>
      </x:c>
      <x:c r="O345" s="45" t="n">
        <x:v>701670</x:v>
      </x:c>
      <x:c r="P345" s="45" t="n">
        <x:v>46000</x:v>
      </x:c>
      <x:c r="Q345" t="str">
        <x:v>Entregue</x:v>
      </x:c>
      <x:c r="R345" t="str"/>
      <x:c r="S345" t="str">
        <x:v>Nao</x:v>
      </x:c>
      <x:c r="T345" t="str">
        <x:v>Nao</x:v>
      </x:c>
    </x:row>
    <x:row r="346" ht="19" customHeight="1">
      <x:c r="A346" t="str">
        <x:v>ENT-00345</x:v>
      </x:c>
      <x:c r="B346" s="41" t="n">
        <x:v>46262</x:v>
      </x:c>
      <x:c r="C346" s="41" t="n">
        <x:v>46264</x:v>
      </x:c>
      <x:c r="D346" s="41" t="n">
        <x:v>46266</x:v>
      </x:c>
      <x:c r="E346" t="str">
        <x:v>Maxi Centro, Lda.</x:v>
      </x:c>
      <x:c r="F346" t="str">
        <x:v>Kilamba</x:v>
      </x:c>
      <x:c r="G346" t="str">
        <x:v>Isaías Pedro</x:v>
      </x:c>
      <x:c r="H346" t="str">
        <x:v>VTR-11</x:v>
      </x:c>
      <x:c r="I346" t="str">
        <x:v>JAC N56</x:v>
      </x:c>
      <x:c r="J346" t="n">
        <x:v>3500</x:v>
      </x:c>
      <x:c r="K346" t="n">
        <x:v>12</x:v>
      </x:c>
      <x:c r="L346" t="n">
        <x:v>0</x:v>
      </x:c>
      <x:c r="M346" t="n">
        <x:v>212.3</x:v>
      </x:c>
      <x:c r="N346" t="n">
        <x:v>30</x:v>
      </x:c>
      <x:c r="O346" s="45" t="n">
        <x:v>80364</x:v>
      </x:c>
      <x:c r="P346" s="45" t="n">
        <x:v>22500</x:v>
      </x:c>
      <x:c r="Q346" t="str">
        <x:v>Falhada</x:v>
      </x:c>
      <x:c r="R346" t="str">
        <x:v>Acesso condicionado</x:v>
      </x:c>
      <x:c r="S346" t="str">
        <x:v>Nao</x:v>
      </x:c>
      <x:c r="T346" t="str">
        <x:v>Nao</x:v>
      </x:c>
    </x:row>
    <x:row r="347" ht="19" customHeight="1">
      <x:c r="A347" t="str">
        <x:v>ENT-00346</x:v>
      </x:c>
      <x:c r="B347" s="41" t="n">
        <x:v>46255</x:v>
      </x:c>
      <x:c r="C347" s="41" t="n">
        <x:v>46257</x:v>
      </x:c>
      <x:c r="D347" s="41" t="n">
        <x:v>46257</x:v>
      </x:c>
      <x:c r="E347" t="str">
        <x:v>Cesta Certa, Lda.</x:v>
      </x:c>
      <x:c r="F347" t="str">
        <x:v>Kikuxi</x:v>
      </x:c>
      <x:c r="G347" t="str">
        <x:v>Isaías Pedro</x:v>
      </x:c>
      <x:c r="H347" t="str">
        <x:v>VTR-11</x:v>
      </x:c>
      <x:c r="I347" t="str">
        <x:v>JAC N56</x:v>
      </x:c>
      <x:c r="J347" t="n">
        <x:v>3500</x:v>
      </x:c>
      <x:c r="K347" t="n">
        <x:v>67</x:v>
      </x:c>
      <x:c r="L347" t="n">
        <x:v>67</x:v>
      </x:c>
      <x:c r="M347" t="n">
        <x:v>1630.2</x:v>
      </x:c>
      <x:c r="N347" t="n">
        <x:v>38</x:v>
      </x:c>
      <x:c r="O347" s="45" t="n">
        <x:v>314230</x:v>
      </x:c>
      <x:c r="P347" s="45" t="n">
        <x:v>57000</x:v>
      </x:c>
      <x:c r="Q347" t="str">
        <x:v>Entregue</x:v>
      </x:c>
      <x:c r="R347" t="str"/>
      <x:c r="S347" t="str">
        <x:v>Nao</x:v>
      </x:c>
      <x:c r="T347" t="str">
        <x:v>Sim</x:v>
      </x:c>
    </x:row>
    <x:row r="348" ht="19" customHeight="1">
      <x:c r="A348" t="str">
        <x:v>ENT-00347</x:v>
      </x:c>
      <x:c r="B348" s="41" t="n">
        <x:v>46242</x:v>
      </x:c>
      <x:c r="C348" s="41" t="n">
        <x:v>46244</x:v>
      </x:c>
      <x:c r="D348" s="41" t="n">
        <x:v>46244</x:v>
      </x:c>
      <x:c r="E348" t="str">
        <x:v>Atlântico Farma, Lda.</x:v>
      </x:c>
      <x:c r="F348" t="str">
        <x:v>Camama</x:v>
      </x:c>
      <x:c r="G348" t="str">
        <x:v>Bernardo Paulo</x:v>
      </x:c>
      <x:c r="H348" t="str">
        <x:v>VTR-10</x:v>
      </x:c>
      <x:c r="I348" t="str">
        <x:v>Foton Aumark</x:v>
      </x:c>
      <x:c r="J348" t="n">
        <x:v>4000</x:v>
      </x:c>
      <x:c r="K348" t="n">
        <x:v>49</x:v>
      </x:c>
      <x:c r="L348" t="n">
        <x:v>49</x:v>
      </x:c>
      <x:c r="M348" t="n">
        <x:v>1582.8</x:v>
      </x:c>
      <x:c r="N348" t="n">
        <x:v>25</x:v>
      </x:c>
      <x:c r="O348" s="45" t="n">
        <x:v>1066828</x:v>
      </x:c>
      <x:c r="P348" s="45" t="n">
        <x:v>48500</x:v>
      </x:c>
      <x:c r="Q348" t="str">
        <x:v>Entregue</x:v>
      </x:c>
      <x:c r="R348" t="str"/>
      <x:c r="S348" t="str">
        <x:v>Nao</x:v>
      </x:c>
      <x:c r="T348" t="str">
        <x:v>Nao</x:v>
      </x:c>
    </x:row>
    <x:row r="349" ht="19" customHeight="1">
      <x:c r="A349" t="str">
        <x:v>ENT-00348</x:v>
      </x:c>
      <x:c r="B349" s="41" t="n">
        <x:v>46254</x:v>
      </x:c>
      <x:c r="C349" s="41" t="n">
        <x:v>46257</x:v>
      </x:c>
      <x:c r="D349" s="41" t="n">
        <x:v>46257</x:v>
      </x:c>
      <x:c r="E349" t="str">
        <x:v>Cesta Certa, Lda.</x:v>
      </x:c>
      <x:c r="F349" t="str">
        <x:v>Zango</x:v>
      </x:c>
      <x:c r="G349" t="str">
        <x:v>Hélder Miguel</x:v>
      </x:c>
      <x:c r="H349" t="str">
        <x:v>VTR-09</x:v>
      </x:c>
      <x:c r="I349" t="str">
        <x:v>Toyota Hilux</x:v>
      </x:c>
      <x:c r="J349" t="n">
        <x:v>1000</x:v>
      </x:c>
      <x:c r="K349" t="n">
        <x:v>26</x:v>
      </x:c>
      <x:c r="L349" t="n">
        <x:v>26</x:v>
      </x:c>
      <x:c r="M349" t="n">
        <x:v>554.2</x:v>
      </x:c>
      <x:c r="N349" t="n">
        <x:v>49</x:v>
      </x:c>
      <x:c r="O349" s="45" t="n">
        <x:v>299286</x:v>
      </x:c>
      <x:c r="P349" s="45" t="n">
        <x:v>38500</x:v>
      </x:c>
      <x:c r="Q349" t="str">
        <x:v>Entregue</x:v>
      </x:c>
      <x:c r="R349" t="str"/>
      <x:c r="S349" t="str">
        <x:v>Nao</x:v>
      </x:c>
      <x:c r="T349" t="str">
        <x:v>Nao</x:v>
      </x:c>
    </x:row>
    <x:row r="350" ht="19" customHeight="1">
      <x:c r="A350" t="str">
        <x:v>ENT-00349</x:v>
      </x:c>
      <x:c r="B350" s="41" t="n">
        <x:v>46252</x:v>
      </x:c>
      <x:c r="C350" s="41" t="n">
        <x:v>46253</x:v>
      </x:c>
      <x:c r="D350" s="41" t="n">
        <x:v>46253</x:v>
      </x:c>
      <x:c r="E350" t="str">
        <x:v>Savana Retail, Lda.</x:v>
      </x:c>
      <x:c r="F350" t="str">
        <x:v>Maianga</x:v>
      </x:c>
      <x:c r="G350" t="str">
        <x:v>Kito Alberto</x:v>
      </x:c>
      <x:c r="H350" t="str">
        <x:v>VTR-12</x:v>
      </x:c>
      <x:c r="I350" t="str">
        <x:v>Hyundai H100</x:v>
      </x:c>
      <x:c r="J350" t="n">
        <x:v>1300</x:v>
      </x:c>
      <x:c r="K350" t="n">
        <x:v>73</x:v>
      </x:c>
      <x:c r="L350" t="n">
        <x:v>73</x:v>
      </x:c>
      <x:c r="M350" t="n">
        <x:v>756.7</x:v>
      </x:c>
      <x:c r="N350" t="n">
        <x:v>10</x:v>
      </x:c>
      <x:c r="O350" s="45" t="n">
        <x:v>1240416</x:v>
      </x:c>
      <x:c r="P350" s="45" t="n">
        <x:v>25000</x:v>
      </x:c>
      <x:c r="Q350" t="str">
        <x:v>Entregue</x:v>
      </x:c>
      <x:c r="R350" t="str"/>
      <x:c r="S350" t="str">
        <x:v>Nao</x:v>
      </x:c>
      <x:c r="T350" t="str">
        <x:v>Nao</x:v>
      </x:c>
    </x:row>
    <x:row r="351" ht="19" customHeight="1">
      <x:c r="A351" t="str">
        <x:v>ENT-00350</x:v>
      </x:c>
      <x:c r="B351" s="41" t="n">
        <x:v>46210</x:v>
      </x:c>
      <x:c r="C351" s="41" t="n">
        <x:v>46211</x:v>
      </x:c>
      <x:c r="D351" s="41" t="n">
        <x:v>46211</x:v>
      </x:c>
      <x:c r="E351" t="str">
        <x:v>Cesta Certa, Lda.</x:v>
      </x:c>
      <x:c r="F351" t="str">
        <x:v>Morro Bento</x:v>
      </x:c>
      <x:c r="G351" t="str">
        <x:v>Hélder Miguel</x:v>
      </x:c>
      <x:c r="H351" t="str">
        <x:v>VTR-01</x:v>
      </x:c>
      <x:c r="I351" t="str">
        <x:v>Kia K2700</x:v>
      </x:c>
      <x:c r="J351" t="n">
        <x:v>1500</x:v>
      </x:c>
      <x:c r="K351" t="n">
        <x:v>65</x:v>
      </x:c>
      <x:c r="L351" t="n">
        <x:v>65</x:v>
      </x:c>
      <x:c r="M351" t="n">
        <x:v>799.2</x:v>
      </x:c>
      <x:c r="N351" t="n">
        <x:v>16</x:v>
      </x:c>
      <x:c r="O351" s="45" t="n">
        <x:v>460135</x:v>
      </x:c>
      <x:c r="P351" s="45" t="n">
        <x:v>27500</x:v>
      </x:c>
      <x:c r="Q351" t="str">
        <x:v>Entregue</x:v>
      </x:c>
      <x:c r="R351" t="str"/>
      <x:c r="S351" t="str">
        <x:v>Nao</x:v>
      </x:c>
      <x:c r="T351" t="str">
        <x:v>Nao</x:v>
      </x:c>
    </x:row>
    <x:row r="352" ht="19" customHeight="1">
      <x:c r="A352" t="str">
        <x:v>ENT-00351</x:v>
      </x:c>
      <x:c r="B352" s="41" t="n">
        <x:v>46232</x:v>
      </x:c>
      <x:c r="C352" s="41" t="n">
        <x:v>46234</x:v>
      </x:c>
      <x:c r="D352" s="41" t="n">
        <x:v>46234</x:v>
      </x:c>
      <x:c r="E352" t="str">
        <x:v>Casa Horizonte, Lda.</x:v>
      </x:c>
      <x:c r="F352" t="str">
        <x:v>Patriota</x:v>
      </x:c>
      <x:c r="G352" t="str">
        <x:v>Jorge Mário</x:v>
      </x:c>
      <x:c r="H352" t="str">
        <x:v>VTR-10</x:v>
      </x:c>
      <x:c r="I352" t="str">
        <x:v>Foton Aumark</x:v>
      </x:c>
      <x:c r="J352" t="n">
        <x:v>4000</x:v>
      </x:c>
      <x:c r="K352" t="n">
        <x:v>7</x:v>
      </x:c>
      <x:c r="L352" t="n">
        <x:v>7</x:v>
      </x:c>
      <x:c r="M352" t="n">
        <x:v>92.7</x:v>
      </x:c>
      <x:c r="N352" t="n">
        <x:v>33</x:v>
      </x:c>
      <x:c r="O352" s="45" t="n">
        <x:v>90167</x:v>
      </x:c>
      <x:c r="P352" s="45" t="n">
        <x:v>23000</x:v>
      </x:c>
      <x:c r="Q352" t="str">
        <x:v>Entregue</x:v>
      </x:c>
      <x:c r="R352" t="str"/>
      <x:c r="S352" t="str">
        <x:v>Nao</x:v>
      </x:c>
      <x:c r="T352" t="str">
        <x:v>Nao</x:v>
      </x:c>
    </x:row>
    <x:row r="353" ht="19" customHeight="1">
      <x:c r="A353" t="str">
        <x:v>ENT-00352</x:v>
      </x:c>
      <x:c r="B353" s="41" t="n">
        <x:v>46224</x:v>
      </x:c>
      <x:c r="C353" s="41" t="n">
        <x:v>46226</x:v>
      </x:c>
      <x:c r="D353" s="41" t="n">
        <x:v>46226</x:v>
      </x:c>
      <x:c r="E353" t="str">
        <x:v>Sol Nascente Comércio, Lda.</x:v>
      </x:c>
      <x:c r="F353" t="str">
        <x:v>Patriota</x:v>
      </x:c>
      <x:c r="G353" t="str">
        <x:v>Adriano Manuel</x:v>
      </x:c>
      <x:c r="H353" t="str">
        <x:v>VTR-06</x:v>
      </x:c>
      <x:c r="I353" t="str">
        <x:v>Isuzu NPR</x:v>
      </x:c>
      <x:c r="J353" t="n">
        <x:v>5000</x:v>
      </x:c>
      <x:c r="K353" t="n">
        <x:v>60</x:v>
      </x:c>
      <x:c r="L353" t="n">
        <x:v>60</x:v>
      </x:c>
      <x:c r="M353" t="n">
        <x:v>1972.5</x:v>
      </x:c>
      <x:c r="N353" t="n">
        <x:v>25</x:v>
      </x:c>
      <x:c r="O353" s="45" t="n">
        <x:v>415800</x:v>
      </x:c>
      <x:c r="P353" s="45" t="n">
        <x:v>48000</x:v>
      </x:c>
      <x:c r="Q353" t="str">
        <x:v>Entregue</x:v>
      </x:c>
      <x:c r="R353" t="str"/>
      <x:c r="S353" t="str">
        <x:v>Nao</x:v>
      </x:c>
      <x:c r="T353" t="str">
        <x:v>Nao</x:v>
      </x:c>
    </x:row>
    <x:row r="354" ht="19" customHeight="1">
      <x:c r="A354" t="str">
        <x:v>ENT-00353</x:v>
      </x:c>
      <x:c r="B354" s="41" t="n">
        <x:v>46207</x:v>
      </x:c>
      <x:c r="C354" s="41" t="n">
        <x:v>46209</x:v>
      </x:c>
      <x:c r="D354" s="41" t="n">
        <x:v>46209</x:v>
      </x:c>
      <x:c r="E354" t="str">
        <x:v>N'gola Market, Lda.</x:v>
      </x:c>
      <x:c r="F354" t="str">
        <x:v>Patriota</x:v>
      </x:c>
      <x:c r="G354" t="str">
        <x:v>Elísio António</x:v>
      </x:c>
      <x:c r="H354" t="str">
        <x:v>VTR-04</x:v>
      </x:c>
      <x:c r="I354" t="str">
        <x:v>Toyota Dyna</x:v>
      </x:c>
      <x:c r="J354" t="n">
        <x:v>3000</x:v>
      </x:c>
      <x:c r="K354" t="n">
        <x:v>14</x:v>
      </x:c>
      <x:c r="L354" t="n">
        <x:v>14</x:v>
      </x:c>
      <x:c r="M354" t="n">
        <x:v>171</x:v>
      </x:c>
      <x:c r="N354" t="n">
        <x:v>32</x:v>
      </x:c>
      <x:c r="O354" s="45" t="n">
        <x:v>56280</x:v>
      </x:c>
      <x:c r="P354" s="45" t="n">
        <x:v>25000</x:v>
      </x:c>
      <x:c r="Q354" t="str">
        <x:v>Entregue</x:v>
      </x:c>
      <x:c r="R354" t="str"/>
      <x:c r="S354" t="str">
        <x:v>Nao</x:v>
      </x:c>
      <x:c r="T354" t="str">
        <x:v>Nao</x:v>
      </x:c>
    </x:row>
    <x:row r="355" ht="19" customHeight="1">
      <x:c r="A355" t="str">
        <x:v>ENT-00354</x:v>
      </x:c>
      <x:c r="B355" s="41" t="n">
        <x:v>46212</x:v>
      </x:c>
      <x:c r="C355" s="41" t="n">
        <x:v>46214</x:v>
      </x:c>
      <x:c r="D355" s="41" t="n">
        <x:v>46214</x:v>
      </x:c>
      <x:c r="E355" t="str">
        <x:v>Maxi Centro, Lda.</x:v>
      </x:c>
      <x:c r="F355" t="str">
        <x:v>Camama</x:v>
      </x:c>
      <x:c r="G355" t="str">
        <x:v>Carlos Mateus</x:v>
      </x:c>
      <x:c r="H355" t="str">
        <x:v>VTR-09</x:v>
      </x:c>
      <x:c r="I355" t="str">
        <x:v>Toyota Hilux</x:v>
      </x:c>
      <x:c r="J355" t="n">
        <x:v>1000</x:v>
      </x:c>
      <x:c r="K355" t="n">
        <x:v>63</x:v>
      </x:c>
      <x:c r="L355" t="n">
        <x:v>63</x:v>
      </x:c>
      <x:c r="M355" t="n">
        <x:v>688.7</x:v>
      </x:c>
      <x:c r="N355" t="n">
        <x:v>23</x:v>
      </x:c>
      <x:c r="O355" s="45" t="n">
        <x:v>1150695</x:v>
      </x:c>
      <x:c r="P355" s="45" t="n">
        <x:v>26000</x:v>
      </x:c>
      <x:c r="Q355" t="str">
        <x:v>Entregue</x:v>
      </x:c>
      <x:c r="R355" t="str"/>
      <x:c r="S355" t="str">
        <x:v>Nao</x:v>
      </x:c>
      <x:c r="T355" t="str">
        <x:v>Nao</x:v>
      </x:c>
    </x:row>
    <x:row r="356" ht="19" customHeight="1">
      <x:c r="A356" t="str">
        <x:v>ENT-00355</x:v>
      </x:c>
      <x:c r="B356" s="41" t="n">
        <x:v>46234</x:v>
      </x:c>
      <x:c r="C356" s="41" t="n">
        <x:v>46237</x:v>
      </x:c>
      <x:c r="D356" s="41" t="n">
        <x:v>46237</x:v>
      </x:c>
      <x:c r="E356" t="str">
        <x:v>Luanda Office Supply, Lda.</x:v>
      </x:c>
      <x:c r="F356" t="str">
        <x:v>Cacuaco</x:v>
      </x:c>
      <x:c r="G356" t="str">
        <x:v>Dário Joaquim</x:v>
      </x:c>
      <x:c r="H356" t="str">
        <x:v>VTR-07</x:v>
      </x:c>
      <x:c r="I356" t="str">
        <x:v>Isuzu NPR</x:v>
      </x:c>
      <x:c r="J356" t="n">
        <x:v>5000</x:v>
      </x:c>
      <x:c r="K356" t="n">
        <x:v>39</x:v>
      </x:c>
      <x:c r="L356" t="n">
        <x:v>39</x:v>
      </x:c>
      <x:c r="M356" t="n">
        <x:v>708.9</x:v>
      </x:c>
      <x:c r="N356" t="n">
        <x:v>47</x:v>
      </x:c>
      <x:c r="O356" s="45" t="n">
        <x:v>673218</x:v>
      </x:c>
      <x:c r="P356" s="45" t="n">
        <x:v>37000</x:v>
      </x:c>
      <x:c r="Q356" t="str">
        <x:v>Entregue</x:v>
      </x:c>
      <x:c r="R356" t="str"/>
      <x:c r="S356" t="str">
        <x:v>Nao</x:v>
      </x:c>
      <x:c r="T356" t="str">
        <x:v>Nao</x:v>
      </x:c>
    </x:row>
    <x:row r="357" ht="19" customHeight="1">
      <x:c r="A357" t="str">
        <x:v>ENT-00356</x:v>
      </x:c>
      <x:c r="B357" s="41" t="n">
        <x:v>46212</x:v>
      </x:c>
      <x:c r="C357" s="41" t="n">
        <x:v>46214</x:v>
      </x:c>
      <x:c r="D357" s="41" t="n">
        <x:v>46214</x:v>
      </x:c>
      <x:c r="E357" t="str">
        <x:v>Prime Stock, Lda.</x:v>
      </x:c>
      <x:c r="F357" t="str">
        <x:v>Camama</x:v>
      </x:c>
      <x:c r="G357" t="str">
        <x:v>Kito Alberto</x:v>
      </x:c>
      <x:c r="H357" t="str">
        <x:v>VTR-07</x:v>
      </x:c>
      <x:c r="I357" t="str">
        <x:v>Isuzu NPR</x:v>
      </x:c>
      <x:c r="J357" t="n">
        <x:v>5000</x:v>
      </x:c>
      <x:c r="K357" t="n">
        <x:v>27</x:v>
      </x:c>
      <x:c r="L357" t="n">
        <x:v>27</x:v>
      </x:c>
      <x:c r="M357" t="n">
        <x:v>567.1</x:v>
      </x:c>
      <x:c r="N357" t="n">
        <x:v>30</x:v>
      </x:c>
      <x:c r="O357" s="45" t="n">
        <x:v>355293</x:v>
      </x:c>
      <x:c r="P357" s="45" t="n">
        <x:v>29000</x:v>
      </x:c>
      <x:c r="Q357" t="str">
        <x:v>Entregue</x:v>
      </x:c>
      <x:c r="R357" t="str"/>
      <x:c r="S357" t="str">
        <x:v>Nao</x:v>
      </x:c>
      <x:c r="T357" t="str">
        <x:v>Nao</x:v>
      </x:c>
    </x:row>
    <x:row r="358" ht="19" customHeight="1">
      <x:c r="A358" t="str">
        <x:v>ENT-00357</x:v>
      </x:c>
      <x:c r="B358" s="41" t="n">
        <x:v>46204</x:v>
      </x:c>
      <x:c r="C358" s="41" t="n">
        <x:v>46206</x:v>
      </x:c>
      <x:c r="D358" s="41" t="n">
        <x:v>46205</x:v>
      </x:c>
      <x:c r="E358" t="str">
        <x:v>Prime Stock, Lda.</x:v>
      </x:c>
      <x:c r="F358" t="str">
        <x:v>Morro Bento</x:v>
      </x:c>
      <x:c r="G358" t="str">
        <x:v>Bernardo Paulo</x:v>
      </x:c>
      <x:c r="H358" t="str">
        <x:v>VTR-01</x:v>
      </x:c>
      <x:c r="I358" t="str">
        <x:v>Kia K2700</x:v>
      </x:c>
      <x:c r="J358" t="n">
        <x:v>1500</x:v>
      </x:c>
      <x:c r="K358" t="n">
        <x:v>55</x:v>
      </x:c>
      <x:c r="L358" t="n">
        <x:v>55</x:v>
      </x:c>
      <x:c r="M358" t="n">
        <x:v>1095.9</x:v>
      </x:c>
      <x:c r="N358" t="n">
        <x:v>22</x:v>
      </x:c>
      <x:c r="O358" s="45" t="n">
        <x:v>1393205</x:v>
      </x:c>
      <x:c r="P358" s="45" t="n">
        <x:v>39000</x:v>
      </x:c>
      <x:c r="Q358" t="str">
        <x:v>Entregue</x:v>
      </x:c>
      <x:c r="R358" t="str"/>
      <x:c r="S358" t="str">
        <x:v>Nao</x:v>
      </x:c>
      <x:c r="T358" t="str">
        <x:v>Nao</x:v>
      </x:c>
    </x:row>
    <x:row r="359" ht="19" customHeight="1">
      <x:c r="A359" t="str">
        <x:v>ENT-00358</x:v>
      </x:c>
      <x:c r="B359" s="41" t="n">
        <x:v>46218</x:v>
      </x:c>
      <x:c r="C359" s="41" t="n">
        <x:v>46221</x:v>
      </x:c>
      <x:c r="D359" s="41" t="n">
        <x:v>46224</x:v>
      </x:c>
      <x:c r="E359" t="str">
        <x:v>Cesta Certa, Lda.</x:v>
      </x:c>
      <x:c r="F359" t="str">
        <x:v>Zango</x:v>
      </x:c>
      <x:c r="G359" t="str">
        <x:v>Hélder Miguel</x:v>
      </x:c>
      <x:c r="H359" t="str">
        <x:v>VTR-10</x:v>
      </x:c>
      <x:c r="I359" t="str">
        <x:v>Foton Aumark</x:v>
      </x:c>
      <x:c r="J359" t="n">
        <x:v>4000</x:v>
      </x:c>
      <x:c r="K359" t="n">
        <x:v>70</x:v>
      </x:c>
      <x:c r="L359" t="n">
        <x:v>70</x:v>
      </x:c>
      <x:c r="M359" t="n">
        <x:v>1075.6</x:v>
      </x:c>
      <x:c r="N359" t="n">
        <x:v>53</x:v>
      </x:c>
      <x:c r="O359" s="45" t="n">
        <x:v>1220660</x:v>
      </x:c>
      <x:c r="P359" s="45" t="n">
        <x:v>50500</x:v>
      </x:c>
      <x:c r="Q359" t="str">
        <x:v>Entregue</x:v>
      </x:c>
      <x:c r="R359" t="str">
        <x:v>Atraso no carregamento</x:v>
      </x:c>
      <x:c r="S359" t="str">
        <x:v>Nao</x:v>
      </x:c>
      <x:c r="T359" t="str">
        <x:v>Nao</x:v>
      </x:c>
    </x:row>
    <x:row r="360" ht="19" customHeight="1">
      <x:c r="A360" t="str">
        <x:v>ENT-00359</x:v>
      </x:c>
      <x:c r="B360" s="41" t="n">
        <x:v>46258</x:v>
      </x:c>
      <x:c r="C360" s="41" t="n">
        <x:v>46260</x:v>
      </x:c>
      <x:c r="D360" s="41" t="n">
        <x:v>46260</x:v>
      </x:c>
      <x:c r="E360" t="str">
        <x:v>Ponto Logístico, Lda.</x:v>
      </x:c>
      <x:c r="F360" t="str">
        <x:v>Benfica</x:v>
      </x:c>
      <x:c r="G360" t="str">
        <x:v>Félix Domingos</x:v>
      </x:c>
      <x:c r="H360" t="str">
        <x:v>VTR-07</x:v>
      </x:c>
      <x:c r="I360" t="str">
        <x:v>Isuzu NPR</x:v>
      </x:c>
      <x:c r="J360" t="n">
        <x:v>5000</x:v>
      </x:c>
      <x:c r="K360" t="n">
        <x:v>14</x:v>
      </x:c>
      <x:c r="L360" t="n">
        <x:v>14</x:v>
      </x:c>
      <x:c r="M360" t="n">
        <x:v>415.3</x:v>
      </x:c>
      <x:c r="N360" t="n">
        <x:v>38</x:v>
      </x:c>
      <x:c r="O360" s="45" t="n">
        <x:v>61222</x:v>
      </x:c>
      <x:c r="P360" s="45" t="n">
        <x:v>31500</x:v>
      </x:c>
      <x:c r="Q360" t="str">
        <x:v>Entregue</x:v>
      </x:c>
      <x:c r="R360" t="str"/>
      <x:c r="S360" t="str">
        <x:v>Nao</x:v>
      </x:c>
      <x:c r="T360" t="str">
        <x:v>Nao</x:v>
      </x:c>
    </x:row>
    <x:row r="361" ht="19" customHeight="1">
      <x:c r="A361" t="str">
        <x:v>ENT-00360</x:v>
      </x:c>
      <x:c r="B361" s="41" t="n">
        <x:v>46255</x:v>
      </x:c>
      <x:c r="C361" s="41" t="n">
        <x:v>46257</x:v>
      </x:c>
      <x:c r="D361" s="41" t="n">
        <x:v>46257</x:v>
      </x:c>
      <x:c r="E361" t="str">
        <x:v>Kwanza Distribuição, Lda.</x:v>
      </x:c>
      <x:c r="F361" t="str">
        <x:v>Patriota</x:v>
      </x:c>
      <x:c r="G361" t="str">
        <x:v>Bernardo Paulo</x:v>
      </x:c>
      <x:c r="H361" t="str">
        <x:v>VTR-03</x:v>
      </x:c>
      <x:c r="I361" t="str">
        <x:v>Toyota Dyna</x:v>
      </x:c>
      <x:c r="J361" t="n">
        <x:v>3000</x:v>
      </x:c>
      <x:c r="K361" t="n">
        <x:v>56</x:v>
      </x:c>
      <x:c r="L361" t="n">
        <x:v>56</x:v>
      </x:c>
      <x:c r="M361" t="n">
        <x:v>1718.7</x:v>
      </x:c>
      <x:c r="N361" t="n">
        <x:v>35</x:v>
      </x:c>
      <x:c r="O361" s="45" t="n">
        <x:v>480200</x:v>
      </x:c>
      <x:c r="P361" s="45" t="n">
        <x:v>49500</x:v>
      </x:c>
      <x:c r="Q361" t="str">
        <x:v>Entregue</x:v>
      </x:c>
      <x:c r="R361" t="str"/>
      <x:c r="S361" t="str">
        <x:v>Nao</x:v>
      </x:c>
      <x:c r="T361" t="str">
        <x:v>Nao</x:v>
      </x:c>
    </x:row>
    <x:row r="362" ht="19" customHeight="1">
      <x:c r="A362" t="str">
        <x:v>ENT-00361</x:v>
      </x:c>
      <x:c r="B362" s="41" t="n">
        <x:v>46257</x:v>
      </x:c>
      <x:c r="C362" s="41" t="n">
        <x:v>46259</x:v>
      </x:c>
      <x:c r="D362" s="41" t="n">
        <x:v>46259</x:v>
      </x:c>
      <x:c r="E362" t="str">
        <x:v>N'gola Market, Lda.</x:v>
      </x:c>
      <x:c r="F362" t="str">
        <x:v>Talatona</x:v>
      </x:c>
      <x:c r="G362" t="str">
        <x:v>Jorge Mário</x:v>
      </x:c>
      <x:c r="H362" t="str">
        <x:v>VTR-11</x:v>
      </x:c>
      <x:c r="I362" t="str">
        <x:v>JAC N56</x:v>
      </x:c>
      <x:c r="J362" t="n">
        <x:v>3500</x:v>
      </x:c>
      <x:c r="K362" t="n">
        <x:v>40</x:v>
      </x:c>
      <x:c r="L362" t="n">
        <x:v>40</x:v>
      </x:c>
      <x:c r="M362" t="n">
        <x:v>1005</x:v>
      </x:c>
      <x:c r="N362" t="n">
        <x:v>22</x:v>
      </x:c>
      <x:c r="O362" s="45" t="n">
        <x:v>529280</x:v>
      </x:c>
      <x:c r="P362" s="45" t="n">
        <x:v>33500</x:v>
      </x:c>
      <x:c r="Q362" t="str">
        <x:v>Entregue</x:v>
      </x:c>
      <x:c r="R362" t="str"/>
      <x:c r="S362" t="str">
        <x:v>Nao</x:v>
      </x:c>
      <x:c r="T362" t="str">
        <x:v>Nao</x:v>
      </x:c>
    </x:row>
    <x:row r="363" ht="19" customHeight="1">
      <x:c r="A363" t="str">
        <x:v>ENT-00362</x:v>
      </x:c>
      <x:c r="B363" s="41" t="n">
        <x:v>46244</x:v>
      </x:c>
      <x:c r="C363" s="41" t="n">
        <x:v>46246</x:v>
      </x:c>
      <x:c r="D363" s="41" t="n">
        <x:v>46246</x:v>
      </x:c>
      <x:c r="E363" t="str">
        <x:v>Savana Retail, Lda.</x:v>
      </x:c>
      <x:c r="F363" t="str">
        <x:v>Benfica</x:v>
      </x:c>
      <x:c r="G363" t="str">
        <x:v>Gilberto José</x:v>
      </x:c>
      <x:c r="H363" t="str">
        <x:v>VTR-01</x:v>
      </x:c>
      <x:c r="I363" t="str">
        <x:v>Kia K2700</x:v>
      </x:c>
      <x:c r="J363" t="n">
        <x:v>1500</x:v>
      </x:c>
      <x:c r="K363" t="n">
        <x:v>16</x:v>
      </x:c>
      <x:c r="L363" t="n">
        <x:v>16</x:v>
      </x:c>
      <x:c r="M363" t="n">
        <x:v>508.7</x:v>
      </x:c>
      <x:c r="N363" t="n">
        <x:v>31</x:v>
      </x:c>
      <x:c r="O363" s="45" t="n">
        <x:v>251136</x:v>
      </x:c>
      <x:c r="P363" s="45" t="n">
        <x:v>32000</x:v>
      </x:c>
      <x:c r="Q363" t="str">
        <x:v>Entregue</x:v>
      </x:c>
      <x:c r="R363" t="str"/>
      <x:c r="S363" t="str">
        <x:v>Nao</x:v>
      </x:c>
      <x:c r="T363" t="str">
        <x:v>Nao</x:v>
      </x:c>
    </x:row>
    <x:row r="364" ht="19" customHeight="1">
      <x:c r="A364" t="str">
        <x:v>ENT-00363</x:v>
      </x:c>
      <x:c r="B364" s="41" t="n">
        <x:v>46209</x:v>
      </x:c>
      <x:c r="C364" s="41" t="n">
        <x:v>46211</x:v>
      </x:c>
      <x:c r="D364" s="41" t="n">
        <x:v>46211</x:v>
      </x:c>
      <x:c r="E364" t="str">
        <x:v>Maxi Centro, Lda.</x:v>
      </x:c>
      <x:c r="F364" t="str">
        <x:v>Nova Vida</x:v>
      </x:c>
      <x:c r="G364" t="str">
        <x:v>Hélder Miguel</x:v>
      </x:c>
      <x:c r="H364" t="str">
        <x:v>VTR-06</x:v>
      </x:c>
      <x:c r="I364" t="str">
        <x:v>Isuzu NPR</x:v>
      </x:c>
      <x:c r="J364" t="n">
        <x:v>5000</x:v>
      </x:c>
      <x:c r="K364" t="n">
        <x:v>23</x:v>
      </x:c>
      <x:c r="L364" t="n">
        <x:v>23</x:v>
      </x:c>
      <x:c r="M364" t="n">
        <x:v>390.3</x:v>
      </x:c>
      <x:c r="N364" t="n">
        <x:v>25</x:v>
      </x:c>
      <x:c r="O364" s="45" t="n">
        <x:v>175122</x:v>
      </x:c>
      <x:c r="P364" s="45" t="n">
        <x:v>27000</x:v>
      </x:c>
      <x:c r="Q364" t="str">
        <x:v>Entregue</x:v>
      </x:c>
      <x:c r="R364" t="str"/>
      <x:c r="S364" t="str">
        <x:v>Sim</x:v>
      </x:c>
      <x:c r="T364" t="str">
        <x:v>Nao</x:v>
      </x:c>
    </x:row>
    <x:row r="365" ht="19" customHeight="1">
      <x:c r="A365" t="str">
        <x:v>ENT-00364</x:v>
      </x:c>
      <x:c r="B365" s="41" t="n">
        <x:v>46258</x:v>
      </x:c>
      <x:c r="C365" s="41" t="n">
        <x:v>46261</x:v>
      </x:c>
      <x:c r="D365" s="41" t="n">
        <x:v>46260</x:v>
      </x:c>
      <x:c r="E365" t="str">
        <x:v>Casa Horizonte, Lda.</x:v>
      </x:c>
      <x:c r="F365" t="str">
        <x:v>Sequele</x:v>
      </x:c>
      <x:c r="G365" t="str">
        <x:v>Bernardo Paulo</x:v>
      </x:c>
      <x:c r="H365" t="str">
        <x:v>VTR-08</x:v>
      </x:c>
      <x:c r="I365" t="str">
        <x:v>Toyota Hilux</x:v>
      </x:c>
      <x:c r="J365" t="n">
        <x:v>1000</x:v>
      </x:c>
      <x:c r="K365" t="n">
        <x:v>37</x:v>
      </x:c>
      <x:c r="L365" t="n">
        <x:v>37</x:v>
      </x:c>
      <x:c r="M365" t="n">
        <x:v>455.4</x:v>
      </x:c>
      <x:c r="N365" t="n">
        <x:v>53</x:v>
      </x:c>
      <x:c r="O365" s="45" t="n">
        <x:v>272024</x:v>
      </x:c>
      <x:c r="P365" s="45" t="n">
        <x:v>37000</x:v>
      </x:c>
      <x:c r="Q365" t="str">
        <x:v>Entregue</x:v>
      </x:c>
      <x:c r="R365" t="str"/>
      <x:c r="S365" t="str">
        <x:v>Nao</x:v>
      </x:c>
      <x:c r="T365" t="str">
        <x:v>Nao</x:v>
      </x:c>
    </x:row>
    <x:row r="366" ht="19" customHeight="1">
      <x:c r="A366" t="str">
        <x:v>ENT-00365</x:v>
      </x:c>
      <x:c r="B366" s="41" t="n">
        <x:v>46215</x:v>
      </x:c>
      <x:c r="C366" s="41" t="n">
        <x:v>46217</x:v>
      </x:c>
      <x:c r="D366" s="41" t="n">
        <x:v>46220</x:v>
      </x:c>
      <x:c r="E366" t="str">
        <x:v>Mundo Fresco, Lda.</x:v>
      </x:c>
      <x:c r="F366" t="str">
        <x:v>Benfica</x:v>
      </x:c>
      <x:c r="G366" t="str">
        <x:v>Félix Domingos</x:v>
      </x:c>
      <x:c r="H366" t="str">
        <x:v>VTR-03</x:v>
      </x:c>
      <x:c r="I366" t="str">
        <x:v>Toyota Dyna</x:v>
      </x:c>
      <x:c r="J366" t="n">
        <x:v>3000</x:v>
      </x:c>
      <x:c r="K366" t="n">
        <x:v>15</x:v>
      </x:c>
      <x:c r="L366" t="n">
        <x:v>0</x:v>
      </x:c>
      <x:c r="M366" t="n">
        <x:v>429.9</x:v>
      </x:c>
      <x:c r="N366" t="n">
        <x:v>38</x:v>
      </x:c>
      <x:c r="O366" s="45" t="n">
        <x:v>297960</x:v>
      </x:c>
      <x:c r="P366" s="45" t="n">
        <x:v>28500</x:v>
      </x:c>
      <x:c r="Q366" t="str">
        <x:v>Falhada</x:v>
      </x:c>
      <x:c r="R366" t="str">
        <x:v>Avaria da viatura</x:v>
      </x:c>
      <x:c r="S366" t="str">
        <x:v>Nao</x:v>
      </x:c>
      <x:c r="T366" t="str">
        <x:v>Nao</x:v>
      </x:c>
    </x:row>
    <x:row r="367" ht="19" customHeight="1">
      <x:c r="A367" t="str">
        <x:v>ENT-00366</x:v>
      </x:c>
      <x:c r="B367" s="41" t="n">
        <x:v>46208</x:v>
      </x:c>
      <x:c r="C367" s="41" t="n">
        <x:v>46210</x:v>
      </x:c>
      <x:c r="D367" s="41" t="n">
        <x:v>46210</x:v>
      </x:c>
      <x:c r="E367" t="str">
        <x:v>Rota Azul, Lda.</x:v>
      </x:c>
      <x:c r="F367" t="str">
        <x:v>Camama</x:v>
      </x:c>
      <x:c r="G367" t="str">
        <x:v>Elísio António</x:v>
      </x:c>
      <x:c r="H367" t="str">
        <x:v>VTR-09</x:v>
      </x:c>
      <x:c r="I367" t="str">
        <x:v>Toyota Hilux</x:v>
      </x:c>
      <x:c r="J367" t="n">
        <x:v>1000</x:v>
      </x:c>
      <x:c r="K367" t="n">
        <x:v>20</x:v>
      </x:c>
      <x:c r="L367" t="n">
        <x:v>20</x:v>
      </x:c>
      <x:c r="M367" t="n">
        <x:v>383.3</x:v>
      </x:c>
      <x:c r="N367" t="n">
        <x:v>26</x:v>
      </x:c>
      <x:c r="O367" s="45" t="n">
        <x:v>144960</x:v>
      </x:c>
      <x:c r="P367" s="45" t="n">
        <x:v>25500</x:v>
      </x:c>
      <x:c r="Q367" t="str">
        <x:v>Entregue</x:v>
      </x:c>
      <x:c r="R367" t="str"/>
      <x:c r="S367" t="str">
        <x:v>Nao</x:v>
      </x:c>
      <x:c r="T367" t="str">
        <x:v>Nao</x:v>
      </x:c>
    </x:row>
    <x:row r="368" ht="19" customHeight="1">
      <x:c r="A368" t="str">
        <x:v>ENT-00367</x:v>
      </x:c>
      <x:c r="B368" s="41" t="n">
        <x:v>46259</x:v>
      </x:c>
      <x:c r="C368" s="41" t="n">
        <x:v>46260</x:v>
      </x:c>
      <x:c r="D368" s="41" t="n">
        <x:v>46260</x:v>
      </x:c>
      <x:c r="E368" t="str">
        <x:v>Maxi Centro, Lda.</x:v>
      </x:c>
      <x:c r="F368" t="str">
        <x:v>Morro Bento</x:v>
      </x:c>
      <x:c r="G368" t="str">
        <x:v>Hélder Miguel</x:v>
      </x:c>
      <x:c r="H368" t="str">
        <x:v>VTR-04</x:v>
      </x:c>
      <x:c r="I368" t="str">
        <x:v>Toyota Dyna</x:v>
      </x:c>
      <x:c r="J368" t="n">
        <x:v>3000</x:v>
      </x:c>
      <x:c r="K368" t="n">
        <x:v>17</x:v>
      </x:c>
      <x:c r="L368" t="n">
        <x:v>17</x:v>
      </x:c>
      <x:c r="M368" t="n">
        <x:v>389.6</x:v>
      </x:c>
      <x:c r="N368" t="n">
        <x:v>17</x:v>
      </x:c>
      <x:c r="O368" s="45" t="n">
        <x:v>104584</x:v>
      </x:c>
      <x:c r="P368" s="45" t="n">
        <x:v>21500</x:v>
      </x:c>
      <x:c r="Q368" t="str">
        <x:v>Entregue</x:v>
      </x:c>
      <x:c r="R368" t="str"/>
      <x:c r="S368" t="str">
        <x:v>Nao</x:v>
      </x:c>
      <x:c r="T368" t="str">
        <x:v>Nao</x:v>
      </x:c>
    </x:row>
    <x:row r="369" ht="19" customHeight="1">
      <x:c r="A369" t="str">
        <x:v>ENT-00368</x:v>
      </x:c>
      <x:c r="B369" s="41" t="n">
        <x:v>46250</x:v>
      </x:c>
      <x:c r="C369" s="41" t="n">
        <x:v>46252</x:v>
      </x:c>
      <x:c r="D369" s="41" t="n">
        <x:v>46252</x:v>
      </x:c>
      <x:c r="E369" t="str">
        <x:v>Ponto Logístico, Lda.</x:v>
      </x:c>
      <x:c r="F369" t="str">
        <x:v>Benfica</x:v>
      </x:c>
      <x:c r="G369" t="str">
        <x:v>Elísio António</x:v>
      </x:c>
      <x:c r="H369" t="str">
        <x:v>VTR-05</x:v>
      </x:c>
      <x:c r="I369" t="str">
        <x:v>Hyundai HD65</x:v>
      </x:c>
      <x:c r="J369" t="n">
        <x:v>3500</x:v>
      </x:c>
      <x:c r="K369" t="n">
        <x:v>68</x:v>
      </x:c>
      <x:c r="L369" t="n">
        <x:v>68</x:v>
      </x:c>
      <x:c r="M369" t="n">
        <x:v>1977.6</x:v>
      </x:c>
      <x:c r="N369" t="n">
        <x:v>34</x:v>
      </x:c>
      <x:c r="O369" s="45" t="n">
        <x:v>1071612</x:v>
      </x:c>
      <x:c r="P369" s="45" t="n">
        <x:v>54500</x:v>
      </x:c>
      <x:c r="Q369" t="str">
        <x:v>Entregue</x:v>
      </x:c>
      <x:c r="R369" t="str"/>
      <x:c r="S369" t="str">
        <x:v>Nao</x:v>
      </x:c>
      <x:c r="T369" t="str">
        <x:v>Nao</x:v>
      </x:c>
    </x:row>
    <x:row r="370" ht="19" customHeight="1">
      <x:c r="A370" t="str">
        <x:v>ENT-00369</x:v>
      </x:c>
      <x:c r="B370" s="41" t="n">
        <x:v>46244</x:v>
      </x:c>
      <x:c r="C370" s="41" t="n">
        <x:v>46245</x:v>
      </x:c>
      <x:c r="D370" s="41" t="n">
        <x:v>46246</x:v>
      </x:c>
      <x:c r="E370" t="str">
        <x:v>Maxi Centro, Lda.</x:v>
      </x:c>
      <x:c r="F370" t="str">
        <x:v>Nova Vida</x:v>
      </x:c>
      <x:c r="G370" t="str">
        <x:v>Hélder Miguel</x:v>
      </x:c>
      <x:c r="H370" t="str">
        <x:v>VTR-06</x:v>
      </x:c>
      <x:c r="I370" t="str">
        <x:v>Isuzu NPR</x:v>
      </x:c>
      <x:c r="J370" t="n">
        <x:v>5000</x:v>
      </x:c>
      <x:c r="K370" t="n">
        <x:v>66</x:v>
      </x:c>
      <x:c r="L370" t="n">
        <x:v>66</x:v>
      </x:c>
      <x:c r="M370" t="n">
        <x:v>2198.4</x:v>
      </x:c>
      <x:c r="N370" t="n">
        <x:v>17</x:v>
      </x:c>
      <x:c r="O370" s="45" t="n">
        <x:v>301950</x:v>
      </x:c>
      <x:c r="P370" s="45" t="n">
        <x:v>56000</x:v>
      </x:c>
      <x:c r="Q370" t="str">
        <x:v>Entregue</x:v>
      </x:c>
      <x:c r="R370" t="str">
        <x:v>Chuva/condicao da via</x:v>
      </x:c>
      <x:c r="S370" t="str">
        <x:v>Nao</x:v>
      </x:c>
      <x:c r="T370" t="str">
        <x:v>Nao</x:v>
      </x:c>
    </x:row>
    <x:row r="371" ht="19" customHeight="1">
      <x:c r="A371" t="str">
        <x:v>ENT-00370</x:v>
      </x:c>
      <x:c r="B371" s="41" t="n">
        <x:v>46263</x:v>
      </x:c>
      <x:c r="C371" s="41" t="n">
        <x:v>46265</x:v>
      </x:c>
      <x:c r="D371" s="41" t="n">
        <x:v>46265</x:v>
      </x:c>
      <x:c r="E371" t="str">
        <x:v>Kiala &amp; Filhos, Lda.</x:v>
      </x:c>
      <x:c r="F371" t="str">
        <x:v>Kilamba</x:v>
      </x:c>
      <x:c r="G371" t="str">
        <x:v>Hélder Miguel</x:v>
      </x:c>
      <x:c r="H371" t="str">
        <x:v>VTR-12</x:v>
      </x:c>
      <x:c r="I371" t="str">
        <x:v>Hyundai H100</x:v>
      </x:c>
      <x:c r="J371" t="n">
        <x:v>1300</x:v>
      </x:c>
      <x:c r="K371" t="n">
        <x:v>42</x:v>
      </x:c>
      <x:c r="L371" t="n">
        <x:v>42</x:v>
      </x:c>
      <x:c r="M371" t="n">
        <x:v>733.3</x:v>
      </x:c>
      <x:c r="N371" t="n">
        <x:v>22</x:v>
      </x:c>
      <x:c r="O371" s="45" t="n">
        <x:v>367206</x:v>
      </x:c>
      <x:c r="P371" s="45" t="n">
        <x:v>32000</x:v>
      </x:c>
      <x:c r="Q371" t="str">
        <x:v>Entregue</x:v>
      </x:c>
      <x:c r="R371" t="str"/>
      <x:c r="S371" t="str">
        <x:v>Nao</x:v>
      </x:c>
      <x:c r="T371" t="str">
        <x:v>Nao</x:v>
      </x:c>
    </x:row>
    <x:row r="372" ht="19" customHeight="1">
      <x:c r="A372" t="str">
        <x:v>ENT-00371</x:v>
      </x:c>
      <x:c r="B372" s="41" t="n">
        <x:v>46259</x:v>
      </x:c>
      <x:c r="C372" s="41" t="n">
        <x:v>46261</x:v>
      </x:c>
      <x:c r="D372" s="41" t="n">
        <x:v>46261</x:v>
      </x:c>
      <x:c r="E372" t="str">
        <x:v>Mercado Sul, Lda.</x:v>
      </x:c>
      <x:c r="F372" t="str">
        <x:v>Kikuxi</x:v>
      </x:c>
      <x:c r="G372" t="str">
        <x:v>Kito Alberto</x:v>
      </x:c>
      <x:c r="H372" t="str">
        <x:v>VTR-12</x:v>
      </x:c>
      <x:c r="I372" t="str">
        <x:v>Hyundai H100</x:v>
      </x:c>
      <x:c r="J372" t="n">
        <x:v>1300</x:v>
      </x:c>
      <x:c r="K372" t="n">
        <x:v>36</x:v>
      </x:c>
      <x:c r="L372" t="n">
        <x:v>36</x:v>
      </x:c>
      <x:c r="M372" t="n">
        <x:v>636</x:v>
      </x:c>
      <x:c r="N372" t="n">
        <x:v>31</x:v>
      </x:c>
      <x:c r="O372" s="45" t="n">
        <x:v>384372</x:v>
      </x:c>
      <x:c r="P372" s="45" t="n">
        <x:v>30500</x:v>
      </x:c>
      <x:c r="Q372" t="str">
        <x:v>Entregue</x:v>
      </x:c>
      <x:c r="R372" t="str"/>
      <x:c r="S372" t="str">
        <x:v>Nao</x:v>
      </x:c>
      <x:c r="T372" t="str">
        <x:v>Nao</x:v>
      </x:c>
    </x:row>
    <x:row r="373" ht="19" customHeight="1">
      <x:c r="A373" t="str">
        <x:v>ENT-00372</x:v>
      </x:c>
      <x:c r="B373" s="41" t="n">
        <x:v>46207</x:v>
      </x:c>
      <x:c r="C373" s="41" t="n">
        <x:v>46209</x:v>
      </x:c>
      <x:c r="D373" s="41" t="n">
        <x:v>46209</x:v>
      </x:c>
      <x:c r="E373" t="str">
        <x:v>Luanda Office Supply, Lda.</x:v>
      </x:c>
      <x:c r="F373" t="str">
        <x:v>Cacuaco</x:v>
      </x:c>
      <x:c r="G373" t="str">
        <x:v>Kito Alberto</x:v>
      </x:c>
      <x:c r="H373" t="str">
        <x:v>VTR-10</x:v>
      </x:c>
      <x:c r="I373" t="str">
        <x:v>Foton Aumark</x:v>
      </x:c>
      <x:c r="J373" t="n">
        <x:v>4000</x:v>
      </x:c>
      <x:c r="K373" t="n">
        <x:v>53</x:v>
      </x:c>
      <x:c r="L373" t="n">
        <x:v>53</x:v>
      </x:c>
      <x:c r="M373" t="n">
        <x:v>439.5</x:v>
      </x:c>
      <x:c r="N373" t="n">
        <x:v>30</x:v>
      </x:c>
      <x:c r="O373" s="45" t="n">
        <x:v>1190009</x:v>
      </x:c>
      <x:c r="P373" s="45" t="n">
        <x:v>25500</x:v>
      </x:c>
      <x:c r="Q373" t="str">
        <x:v>Entregue</x:v>
      </x:c>
      <x:c r="R373" t="str"/>
      <x:c r="S373" t="str">
        <x:v>Nao</x:v>
      </x:c>
      <x:c r="T373" t="str">
        <x:v>Sim</x:v>
      </x:c>
    </x:row>
    <x:row r="374" ht="19" customHeight="1">
      <x:c r="A374" t="str">
        <x:v>ENT-00373</x:v>
      </x:c>
      <x:c r="B374" s="41" t="n">
        <x:v>46220</x:v>
      </x:c>
      <x:c r="C374" s="41" t="n">
        <x:v>46222</x:v>
      </x:c>
      <x:c r="D374" s="41" t="n">
        <x:v>46222</x:v>
      </x:c>
      <x:c r="E374" t="str">
        <x:v>Savana Retail, Lda.</x:v>
      </x:c>
      <x:c r="F374" t="str">
        <x:v>Zango</x:v>
      </x:c>
      <x:c r="G374" t="str">
        <x:v>Bernardo Paulo</x:v>
      </x:c>
      <x:c r="H374" t="str">
        <x:v>VTR-01</x:v>
      </x:c>
      <x:c r="I374" t="str">
        <x:v>Kia K2700</x:v>
      </x:c>
      <x:c r="J374" t="n">
        <x:v>1500</x:v>
      </x:c>
      <x:c r="K374" t="n">
        <x:v>60</x:v>
      </x:c>
      <x:c r="L374" t="n">
        <x:v>53</x:v>
      </x:c>
      <x:c r="M374" t="n">
        <x:v>1072.8</x:v>
      </x:c>
      <x:c r="N374" t="n">
        <x:v>34</x:v>
      </x:c>
      <x:c r="O374" s="45" t="n">
        <x:v>302400</x:v>
      </x:c>
      <x:c r="P374" s="45" t="n">
        <x:v>37500</x:v>
      </x:c>
      <x:c r="Q374" t="str">
        <x:v>Entregue</x:v>
      </x:c>
      <x:c r="R374" t="str"/>
      <x:c r="S374" t="str">
        <x:v>Nao</x:v>
      </x:c>
      <x:c r="T374" t="str">
        <x:v>Nao</x:v>
      </x:c>
    </x:row>
    <x:row r="375" ht="19" customHeight="1">
      <x:c r="A375" t="str">
        <x:v>ENT-00374</x:v>
      </x:c>
      <x:c r="B375" s="41" t="n">
        <x:v>46231</x:v>
      </x:c>
      <x:c r="C375" s="41" t="n">
        <x:v>46233</x:v>
      </x:c>
      <x:c r="D375" s="41" t="n">
        <x:v>46233</x:v>
      </x:c>
      <x:c r="E375" t="str">
        <x:v>Maxi Centro, Lda.</x:v>
      </x:c>
      <x:c r="F375" t="str">
        <x:v>Talatona</x:v>
      </x:c>
      <x:c r="G375" t="str">
        <x:v>Lucas Tomás</x:v>
      </x:c>
      <x:c r="H375" t="str">
        <x:v>VTR-04</x:v>
      </x:c>
      <x:c r="I375" t="str">
        <x:v>Toyota Dyna</x:v>
      </x:c>
      <x:c r="J375" t="n">
        <x:v>3000</x:v>
      </x:c>
      <x:c r="K375" t="n">
        <x:v>26</x:v>
      </x:c>
      <x:c r="L375" t="n">
        <x:v>26</x:v>
      </x:c>
      <x:c r="M375" t="n">
        <x:v>566.4</x:v>
      </x:c>
      <x:c r="N375" t="n">
        <x:v>28</x:v>
      </x:c>
      <x:c r="O375" s="45" t="n">
        <x:v>497250</x:v>
      </x:c>
      <x:c r="P375" s="45" t="n">
        <x:v>26500</x:v>
      </x:c>
      <x:c r="Q375" t="str">
        <x:v>Entregue</x:v>
      </x:c>
      <x:c r="R375" t="str"/>
      <x:c r="S375" t="str">
        <x:v>Nao</x:v>
      </x:c>
      <x:c r="T375" t="str">
        <x:v>Nao</x:v>
      </x:c>
    </x:row>
    <x:row r="376" ht="19" customHeight="1">
      <x:c r="A376" t="str">
        <x:v>ENT-00375</x:v>
      </x:c>
      <x:c r="B376" s="41" t="n">
        <x:v>46253</x:v>
      </x:c>
      <x:c r="C376" s="41" t="n">
        <x:v>46256</x:v>
      </x:c>
      <x:c r="D376" s="41" t="n">
        <x:v>46256</x:v>
      </x:c>
      <x:c r="E376" t="str">
        <x:v>Maxi Centro, Lda.</x:v>
      </x:c>
      <x:c r="F376" t="str">
        <x:v>Zango</x:v>
      </x:c>
      <x:c r="G376" t="str">
        <x:v>Dário Joaquim</x:v>
      </x:c>
      <x:c r="H376" t="str">
        <x:v>VTR-06</x:v>
      </x:c>
      <x:c r="I376" t="str">
        <x:v>Isuzu NPR</x:v>
      </x:c>
      <x:c r="J376" t="n">
        <x:v>5000</x:v>
      </x:c>
      <x:c r="K376" t="n">
        <x:v>38</x:v>
      </x:c>
      <x:c r="L376" t="n">
        <x:v>38</x:v>
      </x:c>
      <x:c r="M376" t="n">
        <x:v>331.2</x:v>
      </x:c>
      <x:c r="N376" t="n">
        <x:v>49</x:v>
      </x:c>
      <x:c r="O376" s="45" t="n">
        <x:v>684532</x:v>
      </x:c>
      <x:c r="P376" s="45" t="n">
        <x:v>36500</x:v>
      </x:c>
      <x:c r="Q376" t="str">
        <x:v>Entregue</x:v>
      </x:c>
      <x:c r="R376" t="str"/>
      <x:c r="S376" t="str">
        <x:v>Nao</x:v>
      </x:c>
      <x:c r="T376" t="str">
        <x:v>Nao</x:v>
      </x:c>
    </x:row>
    <x:row r="377" ht="19" customHeight="1">
      <x:c r="A377" t="str">
        <x:v>ENT-00376</x:v>
      </x:c>
      <x:c r="B377" s="41" t="n">
        <x:v>46262</x:v>
      </x:c>
      <x:c r="C377" s="41" t="n">
        <x:v>46265</x:v>
      </x:c>
      <x:c r="D377" s="41" t="n">
        <x:v>46265</x:v>
      </x:c>
      <x:c r="E377" t="str">
        <x:v>Rota Azul, Lda.</x:v>
      </x:c>
      <x:c r="F377" t="str">
        <x:v>Cacuaco</x:v>
      </x:c>
      <x:c r="G377" t="str">
        <x:v>Jorge Mário</x:v>
      </x:c>
      <x:c r="H377" t="str">
        <x:v>VTR-01</x:v>
      </x:c>
      <x:c r="I377" t="str">
        <x:v>Kia K2700</x:v>
      </x:c>
      <x:c r="J377" t="n">
        <x:v>1500</x:v>
      </x:c>
      <x:c r="K377" t="n">
        <x:v>64</x:v>
      </x:c>
      <x:c r="L377" t="n">
        <x:v>64</x:v>
      </x:c>
      <x:c r="M377" t="n">
        <x:v>538.2</x:v>
      </x:c>
      <x:c r="N377" t="n">
        <x:v>41</x:v>
      </x:c>
      <x:c r="O377" s="45" t="n">
        <x:v>1482176</x:v>
      </x:c>
      <x:c r="P377" s="45" t="n">
        <x:v>31500</x:v>
      </x:c>
      <x:c r="Q377" t="str">
        <x:v>Entregue</x:v>
      </x:c>
      <x:c r="R377" t="str"/>
      <x:c r="S377" t="str">
        <x:v>Nao</x:v>
      </x:c>
      <x:c r="T377" t="str">
        <x:v>Nao</x:v>
      </x:c>
    </x:row>
    <x:row r="378" ht="19" customHeight="1">
      <x:c r="A378" t="str">
        <x:v>ENT-00377</x:v>
      </x:c>
      <x:c r="B378" s="41" t="n">
        <x:v>46211</x:v>
      </x:c>
      <x:c r="C378" s="41" t="n">
        <x:v>46213</x:v>
      </x:c>
      <x:c r="D378" s="41" t="n">
        <x:v>46213</x:v>
      </x:c>
      <x:c r="E378" t="str">
        <x:v>Ponto Logístico, Lda.</x:v>
      </x:c>
      <x:c r="F378" t="str">
        <x:v>Camama</x:v>
      </x:c>
      <x:c r="G378" t="str">
        <x:v>Dário Joaquim</x:v>
      </x:c>
      <x:c r="H378" t="str">
        <x:v>VTR-06</x:v>
      </x:c>
      <x:c r="I378" t="str">
        <x:v>Isuzu NPR</x:v>
      </x:c>
      <x:c r="J378" t="n">
        <x:v>5000</x:v>
      </x:c>
      <x:c r="K378" t="n">
        <x:v>59</x:v>
      </x:c>
      <x:c r="L378" t="n">
        <x:v>59</x:v>
      </x:c>
      <x:c r="M378" t="n">
        <x:v>885.5</x:v>
      </x:c>
      <x:c r="N378" t="n">
        <x:v>23</x:v>
      </x:c>
      <x:c r="O378" s="45" t="n">
        <x:v>1409451</x:v>
      </x:c>
      <x:c r="P378" s="45" t="n">
        <x:v>32500</x:v>
      </x:c>
      <x:c r="Q378" t="str">
        <x:v>Entregue</x:v>
      </x:c>
      <x:c r="R378" t="str"/>
      <x:c r="S378" t="str">
        <x:v>Nao</x:v>
      </x:c>
      <x:c r="T378" t="str">
        <x:v>Nao</x:v>
      </x:c>
    </x:row>
    <x:row r="379" ht="19" customHeight="1">
      <x:c r="A379" t="str">
        <x:v>ENT-00378</x:v>
      </x:c>
      <x:c r="B379" s="41" t="n">
        <x:v>46233</x:v>
      </x:c>
      <x:c r="C379" s="41" t="n">
        <x:v>46235</x:v>
      </x:c>
      <x:c r="D379" s="41" t="n">
        <x:v>46235</x:v>
      </x:c>
      <x:c r="E379" t="str">
        <x:v>Nova Rota Comercial, Lda.</x:v>
      </x:c>
      <x:c r="F379" t="str">
        <x:v>Zango</x:v>
      </x:c>
      <x:c r="G379" t="str">
        <x:v>Hélder Miguel</x:v>
      </x:c>
      <x:c r="H379" t="str">
        <x:v>VTR-09</x:v>
      </x:c>
      <x:c r="I379" t="str">
        <x:v>Toyota Hilux</x:v>
      </x:c>
      <x:c r="J379" t="n">
        <x:v>1000</x:v>
      </x:c>
      <x:c r="K379" t="n">
        <x:v>65</x:v>
      </x:c>
      <x:c r="L379" t="n">
        <x:v>65</x:v>
      </x:c>
      <x:c r="M379" t="n">
        <x:v>559.5</x:v>
      </x:c>
      <x:c r="N379" t="n">
        <x:v>39</x:v>
      </x:c>
      <x:c r="O379" s="45" t="n">
        <x:v>788970</x:v>
      </x:c>
      <x:c r="P379" s="45" t="n">
        <x:v>30000</x:v>
      </x:c>
      <x:c r="Q379" t="str">
        <x:v>Entregue</x:v>
      </x:c>
      <x:c r="R379" t="str"/>
      <x:c r="S379" t="str">
        <x:v>Nao</x:v>
      </x:c>
      <x:c r="T379" t="str">
        <x:v>Nao</x:v>
      </x:c>
    </x:row>
    <x:row r="380" ht="19" customHeight="1">
      <x:c r="A380" t="str">
        <x:v>ENT-00379</x:v>
      </x:c>
      <x:c r="B380" s="41" t="n">
        <x:v>46221</x:v>
      </x:c>
      <x:c r="C380" s="41" t="n">
        <x:v>46224</x:v>
      </x:c>
      <x:c r="D380" s="41" t="n">
        <x:v>46224</x:v>
      </x:c>
      <x:c r="E380" t="str">
        <x:v>Kiala &amp; Filhos, Lda.</x:v>
      </x:c>
      <x:c r="F380" t="str">
        <x:v>Sequele</x:v>
      </x:c>
      <x:c r="G380" t="str">
        <x:v>Jorge Mário</x:v>
      </x:c>
      <x:c r="H380" t="str">
        <x:v>VTR-10</x:v>
      </x:c>
      <x:c r="I380" t="str">
        <x:v>Foton Aumark</x:v>
      </x:c>
      <x:c r="J380" t="n">
        <x:v>4000</x:v>
      </x:c>
      <x:c r="K380" t="n">
        <x:v>82</x:v>
      </x:c>
      <x:c r="L380" t="n">
        <x:v>82</x:v>
      </x:c>
      <x:c r="M380" t="n">
        <x:v>1812.1</x:v>
      </x:c>
      <x:c r="N380" t="n">
        <x:v>61</x:v>
      </x:c>
      <x:c r="O380" s="45" t="n">
        <x:v>1069772</x:v>
      </x:c>
      <x:c r="P380" s="45" t="n">
        <x:v>68000</x:v>
      </x:c>
      <x:c r="Q380" t="str">
        <x:v>Entregue</x:v>
      </x:c>
      <x:c r="R380" t="str"/>
      <x:c r="S380" t="str">
        <x:v>Nao</x:v>
      </x:c>
      <x:c r="T380" t="str">
        <x:v>Nao</x:v>
      </x:c>
    </x:row>
    <x:row r="381" ht="19" customHeight="1">
      <x:c r="A381" t="str">
        <x:v>ENT-00380</x:v>
      </x:c>
      <x:c r="B381" s="41" t="n">
        <x:v>46228</x:v>
      </x:c>
      <x:c r="C381" s="41" t="n">
        <x:v>46230</x:v>
      </x:c>
      <x:c r="D381" s="41" t="n">
        <x:v>46230</x:v>
      </x:c>
      <x:c r="E381" t="str">
        <x:v>N'gola Market, Lda.</x:v>
      </x:c>
      <x:c r="F381" t="str">
        <x:v>Kikuxi</x:v>
      </x:c>
      <x:c r="G381" t="str">
        <x:v>Carlos Mateus</x:v>
      </x:c>
      <x:c r="H381" t="str">
        <x:v>VTR-06</x:v>
      </x:c>
      <x:c r="I381" t="str">
        <x:v>Isuzu NPR</x:v>
      </x:c>
      <x:c r="J381" t="n">
        <x:v>5000</x:v>
      </x:c>
      <x:c r="K381" t="n">
        <x:v>77</x:v>
      </x:c>
      <x:c r="L381" t="n">
        <x:v>77</x:v>
      </x:c>
      <x:c r="M381" t="n">
        <x:v>2124.5</x:v>
      </x:c>
      <x:c r="N381" t="n">
        <x:v>25</x:v>
      </x:c>
      <x:c r="O381" s="45" t="n">
        <x:v>1803494</x:v>
      </x:c>
      <x:c r="P381" s="45" t="n">
        <x:v>53500</x:v>
      </x:c>
      <x:c r="Q381" t="str">
        <x:v>Entregue</x:v>
      </x:c>
      <x:c r="R381" t="str"/>
      <x:c r="S381" t="str">
        <x:v>Nao</x:v>
      </x:c>
      <x:c r="T381" t="str">
        <x:v>Nao</x:v>
      </x:c>
    </x:row>
    <x:row r="382" ht="19" customHeight="1">
      <x:c r="A382" t="str">
        <x:v>ENT-00381</x:v>
      </x:c>
      <x:c r="B382" s="41" t="n">
        <x:v>46259</x:v>
      </x:c>
      <x:c r="C382" s="41" t="n">
        <x:v>46261</x:v>
      </x:c>
      <x:c r="D382" s="41" t="n">
        <x:v>46261</x:v>
      </x:c>
      <x:c r="E382" t="str">
        <x:v>Maxi Centro, Lda.</x:v>
      </x:c>
      <x:c r="F382" t="str">
        <x:v>Nova Vida</x:v>
      </x:c>
      <x:c r="G382" t="str">
        <x:v>Jorge Mário</x:v>
      </x:c>
      <x:c r="H382" t="str">
        <x:v>VTR-12</x:v>
      </x:c>
      <x:c r="I382" t="str">
        <x:v>Hyundai H100</x:v>
      </x:c>
      <x:c r="J382" t="n">
        <x:v>1300</x:v>
      </x:c>
      <x:c r="K382" t="n">
        <x:v>16</x:v>
      </x:c>
      <x:c r="L382" t="n">
        <x:v>16</x:v>
      </x:c>
      <x:c r="M382" t="n">
        <x:v>325.2</x:v>
      </x:c>
      <x:c r="N382" t="n">
        <x:v>20</x:v>
      </x:c>
      <x:c r="O382" s="45" t="n">
        <x:v>75888</x:v>
      </x:c>
      <x:c r="P382" s="45" t="n">
        <x:v>18500</x:v>
      </x:c>
      <x:c r="Q382" t="str">
        <x:v>Entregue</x:v>
      </x:c>
      <x:c r="R382" t="str"/>
      <x:c r="S382" t="str">
        <x:v>Nao</x:v>
      </x:c>
      <x:c r="T382" t="str">
        <x:v>Nao</x:v>
      </x:c>
    </x:row>
    <x:row r="383" ht="19" customHeight="1">
      <x:c r="A383" t="str">
        <x:v>ENT-00382</x:v>
      </x:c>
      <x:c r="B383" s="41" t="n">
        <x:v>46260</x:v>
      </x:c>
      <x:c r="C383" s="41" t="n">
        <x:v>46262</x:v>
      </x:c>
      <x:c r="D383" s="41" t="n">
        <x:v>46262</x:v>
      </x:c>
      <x:c r="E383" t="str">
        <x:v>Prime Stock, Lda.</x:v>
      </x:c>
      <x:c r="F383" t="str">
        <x:v>Benfica</x:v>
      </x:c>
      <x:c r="G383" t="str">
        <x:v>Carlos Mateus</x:v>
      </x:c>
      <x:c r="H383" t="str">
        <x:v>VTR-01</x:v>
      </x:c>
      <x:c r="I383" t="str">
        <x:v>Kia K2700</x:v>
      </x:c>
      <x:c r="J383" t="n">
        <x:v>1500</x:v>
      </x:c>
      <x:c r="K383" t="n">
        <x:v>54</x:v>
      </x:c>
      <x:c r="L383" t="n">
        <x:v>54</x:v>
      </x:c>
      <x:c r="M383" t="n">
        <x:v>990.3</x:v>
      </x:c>
      <x:c r="N383" t="n">
        <x:v>32</x:v>
      </x:c>
      <x:c r="O383" s="45" t="n">
        <x:v>977886</x:v>
      </x:c>
      <x:c r="P383" s="45" t="n">
        <x:v>38500</x:v>
      </x:c>
      <x:c r="Q383" t="str">
        <x:v>Entregue</x:v>
      </x:c>
      <x:c r="R383" t="str"/>
      <x:c r="S383" t="str">
        <x:v>Nao</x:v>
      </x:c>
      <x:c r="T383" t="str">
        <x:v>Nao</x:v>
      </x:c>
    </x:row>
    <x:row r="384" ht="19" customHeight="1">
      <x:c r="A384" t="str">
        <x:v>ENT-00383</x:v>
      </x:c>
      <x:c r="B384" s="41" t="n">
        <x:v>46250</x:v>
      </x:c>
      <x:c r="C384" s="41" t="n">
        <x:v>46252</x:v>
      </x:c>
      <x:c r="D384" s="41" t="n">
        <x:v>46252</x:v>
      </x:c>
      <x:c r="E384" t="str">
        <x:v>Maxi Centro, Lda.</x:v>
      </x:c>
      <x:c r="F384" t="str">
        <x:v>Talatona</x:v>
      </x:c>
      <x:c r="G384" t="str">
        <x:v>Félix Domingos</x:v>
      </x:c>
      <x:c r="H384" t="str">
        <x:v>VTR-03</x:v>
      </x:c>
      <x:c r="I384" t="str">
        <x:v>Toyota Dyna</x:v>
      </x:c>
      <x:c r="J384" t="n">
        <x:v>3000</x:v>
      </x:c>
      <x:c r="K384" t="n">
        <x:v>77</x:v>
      </x:c>
      <x:c r="L384" t="n">
        <x:v>65</x:v>
      </x:c>
      <x:c r="M384" t="n">
        <x:v>1399.6</x:v>
      </x:c>
      <x:c r="N384" t="n">
        <x:v>22</x:v>
      </x:c>
      <x:c r="O384" s="45" t="n">
        <x:v>709709</x:v>
      </x:c>
      <x:c r="P384" s="45" t="n">
        <x:v>41500</x:v>
      </x:c>
      <x:c r="Q384" t="str">
        <x:v>Entregue</x:v>
      </x:c>
      <x:c r="R384" t="str"/>
      <x:c r="S384" t="str">
        <x:v>Nao</x:v>
      </x:c>
      <x:c r="T384" t="str">
        <x:v>Nao</x:v>
      </x:c>
    </x:row>
    <x:row r="385" ht="19" customHeight="1">
      <x:c r="A385" t="str">
        <x:v>ENT-00384</x:v>
      </x:c>
      <x:c r="B385" s="41" t="n">
        <x:v>46262</x:v>
      </x:c>
      <x:c r="C385" s="41" t="n">
        <x:v>46264</x:v>
      </x:c>
      <x:c r="D385" s="41" t="n">
        <x:v>46265</x:v>
      </x:c>
      <x:c r="E385" t="str">
        <x:v>N'gola Market, Lda.</x:v>
      </x:c>
      <x:c r="F385" t="str">
        <x:v>Kilamba</x:v>
      </x:c>
      <x:c r="G385" t="str">
        <x:v>Gilberto José</x:v>
      </x:c>
      <x:c r="H385" t="str">
        <x:v>VTR-11</x:v>
      </x:c>
      <x:c r="I385" t="str">
        <x:v>JAC N56</x:v>
      </x:c>
      <x:c r="J385" t="n">
        <x:v>3500</x:v>
      </x:c>
      <x:c r="K385" t="n">
        <x:v>45</x:v>
      </x:c>
      <x:c r="L385" t="n">
        <x:v>45</x:v>
      </x:c>
      <x:c r="M385" t="n">
        <x:v>479.9</x:v>
      </x:c>
      <x:c r="N385" t="n">
        <x:v>38</x:v>
      </x:c>
      <x:c r="O385" s="45" t="n">
        <x:v>303435</x:v>
      </x:c>
      <x:c r="P385" s="45" t="n">
        <x:v>35000</x:v>
      </x:c>
      <x:c r="Q385" t="str">
        <x:v>Entregue</x:v>
      </x:c>
      <x:c r="R385" t="str">
        <x:v>Atraso no carregamento</x:v>
      </x:c>
      <x:c r="S385" t="str">
        <x:v>Nao</x:v>
      </x:c>
      <x:c r="T385" t="str">
        <x:v>Nao</x:v>
      </x:c>
    </x:row>
    <x:row r="386" ht="19" customHeight="1">
      <x:c r="A386" t="str">
        <x:v>ENT-00385</x:v>
      </x:c>
      <x:c r="B386" s="41" t="n">
        <x:v>46249</x:v>
      </x:c>
      <x:c r="C386" s="41" t="n">
        <x:v>46251</x:v>
      </x:c>
      <x:c r="D386" s="41" t="n">
        <x:v>46251</x:v>
      </x:c>
      <x:c r="E386" t="str">
        <x:v>Casa Horizonte, Lda.</x:v>
      </x:c>
      <x:c r="F386" t="str">
        <x:v>Kilamba</x:v>
      </x:c>
      <x:c r="G386" t="str">
        <x:v>Elísio António</x:v>
      </x:c>
      <x:c r="H386" t="str">
        <x:v>VTR-06</x:v>
      </x:c>
      <x:c r="I386" t="str">
        <x:v>Isuzu NPR</x:v>
      </x:c>
      <x:c r="J386" t="n">
        <x:v>5000</x:v>
      </x:c>
      <x:c r="K386" t="n">
        <x:v>44</x:v>
      </x:c>
      <x:c r="L386" t="n">
        <x:v>44</x:v>
      </x:c>
      <x:c r="M386" t="n">
        <x:v>390</x:v>
      </x:c>
      <x:c r="N386" t="n">
        <x:v>28</x:v>
      </x:c>
      <x:c r="O386" s="45" t="n">
        <x:v>816508</x:v>
      </x:c>
      <x:c r="P386" s="45" t="n">
        <x:v>27000</x:v>
      </x:c>
      <x:c r="Q386" t="str">
        <x:v>Entregue</x:v>
      </x:c>
      <x:c r="R386" t="str"/>
      <x:c r="S386" t="str">
        <x:v>Nao</x:v>
      </x:c>
      <x:c r="T386" t="str">
        <x:v>Nao</x:v>
      </x:c>
    </x:row>
    <x:row r="387" ht="19" customHeight="1">
      <x:c r="A387" t="str">
        <x:v>ENT-00386</x:v>
      </x:c>
      <x:c r="B387" s="41" t="n">
        <x:v>46229</x:v>
      </x:c>
      <x:c r="C387" s="41" t="n">
        <x:v>46232</x:v>
      </x:c>
      <x:c r="D387" s="41" t="n">
        <x:v>46231</x:v>
      </x:c>
      <x:c r="E387" t="str">
        <x:v>Sol Nascente Comércio, Lda.</x:v>
      </x:c>
      <x:c r="F387" t="str">
        <x:v>Sequele</x:v>
      </x:c>
      <x:c r="G387" t="str">
        <x:v>Hélder Miguel</x:v>
      </x:c>
      <x:c r="H387" t="str">
        <x:v>VTR-02</x:v>
      </x:c>
      <x:c r="I387" t="str">
        <x:v>Kia K2700</x:v>
      </x:c>
      <x:c r="J387" t="n">
        <x:v>1500</x:v>
      </x:c>
      <x:c r="K387" t="n">
        <x:v>85</x:v>
      </x:c>
      <x:c r="L387" t="n">
        <x:v>85</x:v>
      </x:c>
      <x:c r="M387" t="n">
        <x:v>668.4</x:v>
      </x:c>
      <x:c r="N387" t="n">
        <x:v>46</x:v>
      </x:c>
      <x:c r="O387" s="45" t="n">
        <x:v>1672630</x:v>
      </x:c>
      <x:c r="P387" s="45" t="n">
        <x:v>35000</x:v>
      </x:c>
      <x:c r="Q387" t="str">
        <x:v>Entregue</x:v>
      </x:c>
      <x:c r="R387" t="str"/>
      <x:c r="S387" t="str">
        <x:v>Nao</x:v>
      </x:c>
      <x:c r="T387" t="str">
        <x:v>Nao</x:v>
      </x:c>
    </x:row>
    <x:row r="388" ht="19" customHeight="1">
      <x:c r="A388" t="str">
        <x:v>ENT-00387</x:v>
      </x:c>
      <x:c r="B388" s="41" t="n">
        <x:v>46216</x:v>
      </x:c>
      <x:c r="C388" s="41" t="n">
        <x:v>46218</x:v>
      </x:c>
      <x:c r="D388" s="41" t="n">
        <x:v>46218</x:v>
      </x:c>
      <x:c r="E388" t="str">
        <x:v>Cesta Certa, Lda.</x:v>
      </x:c>
      <x:c r="F388" t="str">
        <x:v>Kikuxi</x:v>
      </x:c>
      <x:c r="G388" t="str">
        <x:v>Adriano Manuel</x:v>
      </x:c>
      <x:c r="H388" t="str">
        <x:v>VTR-12</x:v>
      </x:c>
      <x:c r="I388" t="str">
        <x:v>Hyundai H100</x:v>
      </x:c>
      <x:c r="J388" t="n">
        <x:v>1300</x:v>
      </x:c>
      <x:c r="K388" t="n">
        <x:v>53</x:v>
      </x:c>
      <x:c r="L388" t="n">
        <x:v>53</x:v>
      </x:c>
      <x:c r="M388" t="n">
        <x:v>858.8</x:v>
      </x:c>
      <x:c r="N388" t="n">
        <x:v>37</x:v>
      </x:c>
      <x:c r="O388" s="45" t="n">
        <x:v>273003</x:v>
      </x:c>
      <x:c r="P388" s="45" t="n">
        <x:v>34500</x:v>
      </x:c>
      <x:c r="Q388" t="str">
        <x:v>Entregue</x:v>
      </x:c>
      <x:c r="R388" t="str"/>
      <x:c r="S388" t="str">
        <x:v>Nao</x:v>
      </x:c>
      <x:c r="T388" t="str">
        <x:v>Nao</x:v>
      </x:c>
    </x:row>
    <x:row r="389" ht="19" customHeight="1">
      <x:c r="A389" t="str">
        <x:v>ENT-00388</x:v>
      </x:c>
      <x:c r="B389" s="41" t="n">
        <x:v>46249</x:v>
      </x:c>
      <x:c r="C389" s="41" t="n">
        <x:v>46252</x:v>
      </x:c>
      <x:c r="D389" s="41" t="n">
        <x:v>46252</x:v>
      </x:c>
      <x:c r="E389" t="str">
        <x:v>Via Certa Serviços, Lda.</x:v>
      </x:c>
      <x:c r="F389" t="str">
        <x:v>Cacuaco</x:v>
      </x:c>
      <x:c r="G389" t="str">
        <x:v>Lucas Tomás</x:v>
      </x:c>
      <x:c r="H389" t="str">
        <x:v>VTR-09</x:v>
      </x:c>
      <x:c r="I389" t="str">
        <x:v>Toyota Hilux</x:v>
      </x:c>
      <x:c r="J389" t="n">
        <x:v>1000</x:v>
      </x:c>
      <x:c r="K389" t="n">
        <x:v>49</x:v>
      </x:c>
      <x:c r="L389" t="n">
        <x:v>49</x:v>
      </x:c>
      <x:c r="M389" t="n">
        <x:v>621.1</x:v>
      </x:c>
      <x:c r="N389" t="n">
        <x:v>51</x:v>
      </x:c>
      <x:c r="O389" s="45" t="n">
        <x:v>338590</x:v>
      </x:c>
      <x:c r="P389" s="45" t="n">
        <x:v>39500</x:v>
      </x:c>
      <x:c r="Q389" t="str">
        <x:v>Entregue</x:v>
      </x:c>
      <x:c r="R389" t="str"/>
      <x:c r="S389" t="str">
        <x:v>Nao</x:v>
      </x:c>
      <x:c r="T389" t="str">
        <x:v>Nao</x:v>
      </x:c>
    </x:row>
    <x:row r="390" ht="19" customHeight="1">
      <x:c r="A390" t="str">
        <x:v>ENT-00389</x:v>
      </x:c>
      <x:c r="B390" s="41" t="n">
        <x:v>46217</x:v>
      </x:c>
      <x:c r="C390" s="41" t="n">
        <x:v>46219</x:v>
      </x:c>
      <x:c r="D390" s="41" t="n">
        <x:v>46221</x:v>
      </x:c>
      <x:c r="E390" t="str">
        <x:v>Ponto Logístico, Lda.</x:v>
      </x:c>
      <x:c r="F390" t="str">
        <x:v>Kilamba</x:v>
      </x:c>
      <x:c r="G390" t="str">
        <x:v>Kito Alberto</x:v>
      </x:c>
      <x:c r="H390" t="str">
        <x:v>VTR-06</x:v>
      </x:c>
      <x:c r="I390" t="str">
        <x:v>Isuzu NPR</x:v>
      </x:c>
      <x:c r="J390" t="n">
        <x:v>5000</x:v>
      </x:c>
      <x:c r="K390" t="n">
        <x:v>77</x:v>
      </x:c>
      <x:c r="L390" t="n">
        <x:v>0</x:v>
      </x:c>
      <x:c r="M390" t="n">
        <x:v>1669.7</x:v>
      </x:c>
      <x:c r="N390" t="n">
        <x:v>36</x:v>
      </x:c>
      <x:c r="O390" s="45" t="n">
        <x:v>573111</x:v>
      </x:c>
      <x:c r="P390" s="45" t="n">
        <x:v>48000</x:v>
      </x:c>
      <x:c r="Q390" t="str">
        <x:v>Falhada</x:v>
      </x:c>
      <x:c r="R390" t="str">
        <x:v>Avaria da viatura</x:v>
      </x:c>
      <x:c r="S390" t="str">
        <x:v>Nao</x:v>
      </x:c>
      <x:c r="T390" t="str">
        <x:v>Nao</x:v>
      </x:c>
    </x:row>
    <x:row r="391" ht="19" customHeight="1">
      <x:c r="A391" t="str">
        <x:v>ENT-00390</x:v>
      </x:c>
      <x:c r="B391" s="41" t="n">
        <x:v>46220</x:v>
      </x:c>
      <x:c r="C391" s="41" t="n">
        <x:v>46223</x:v>
      </x:c>
      <x:c r="D391" s="41" t="n">
        <x:v>46223</x:v>
      </x:c>
      <x:c r="E391" t="str">
        <x:v>Savana Retail, Lda.</x:v>
      </x:c>
      <x:c r="F391" t="str">
        <x:v>Cacuaco</x:v>
      </x:c>
      <x:c r="G391" t="str">
        <x:v>Bernardo Paulo</x:v>
      </x:c>
      <x:c r="H391" t="str">
        <x:v>VTR-06</x:v>
      </x:c>
      <x:c r="I391" t="str">
        <x:v>Isuzu NPR</x:v>
      </x:c>
      <x:c r="J391" t="n">
        <x:v>5000</x:v>
      </x:c>
      <x:c r="K391" t="n">
        <x:v>49</x:v>
      </x:c>
      <x:c r="L391" t="n">
        <x:v>49</x:v>
      </x:c>
      <x:c r="M391" t="n">
        <x:v>414.7</x:v>
      </x:c>
      <x:c r="N391" t="n">
        <x:v>47</x:v>
      </x:c>
      <x:c r="O391" s="45" t="n">
        <x:v>909440</x:v>
      </x:c>
      <x:c r="P391" s="45" t="n">
        <x:v>31500</x:v>
      </x:c>
      <x:c r="Q391" t="str">
        <x:v>Entregue</x:v>
      </x:c>
      <x:c r="R391" t="str"/>
      <x:c r="S391" t="str">
        <x:v>Nao</x:v>
      </x:c>
      <x:c r="T391" t="str">
        <x:v>Nao</x:v>
      </x:c>
    </x:row>
    <x:row r="392" ht="19" customHeight="1">
      <x:c r="A392" t="str">
        <x:v>ENT-00391</x:v>
      </x:c>
      <x:c r="B392" s="41" t="n">
        <x:v>46265</x:v>
      </x:c>
      <x:c r="C392" s="41" t="n">
        <x:v>46267</x:v>
      </x:c>
      <x:c r="D392" s="41" t="n">
        <x:v>46267</x:v>
      </x:c>
      <x:c r="E392" t="str">
        <x:v>Ponto Logístico, Lda.</x:v>
      </x:c>
      <x:c r="F392" t="str">
        <x:v>Camama</x:v>
      </x:c>
      <x:c r="G392" t="str">
        <x:v>Dário Joaquim</x:v>
      </x:c>
      <x:c r="H392" t="str">
        <x:v>VTR-07</x:v>
      </x:c>
      <x:c r="I392" t="str">
        <x:v>Isuzu NPR</x:v>
      </x:c>
      <x:c r="J392" t="n">
        <x:v>5000</x:v>
      </x:c>
      <x:c r="K392" t="n">
        <x:v>47</x:v>
      </x:c>
      <x:c r="L392" t="n">
        <x:v>47</x:v>
      </x:c>
      <x:c r="M392" t="n">
        <x:v>1609</x:v>
      </x:c>
      <x:c r="N392" t="n">
        <x:v>24</x:v>
      </x:c>
      <x:c r="O392" s="45" t="n">
        <x:v>1022203</x:v>
      </x:c>
      <x:c r="P392" s="45" t="n">
        <x:v>46000</x:v>
      </x:c>
      <x:c r="Q392" t="str">
        <x:v>Entregue</x:v>
      </x:c>
      <x:c r="R392" t="str"/>
      <x:c r="S392" t="str">
        <x:v>Nao</x:v>
      </x:c>
      <x:c r="T392" t="str">
        <x:v>Nao</x:v>
      </x:c>
    </x:row>
    <x:row r="393" ht="19" customHeight="1">
      <x:c r="A393" t="str">
        <x:v>ENT-00392</x:v>
      </x:c>
      <x:c r="B393" s="41" t="n">
        <x:v>46222</x:v>
      </x:c>
      <x:c r="C393" s="41" t="n">
        <x:v>46223</x:v>
      </x:c>
      <x:c r="D393" s="41" t="n">
        <x:v>46223</x:v>
      </x:c>
      <x:c r="E393" t="str">
        <x:v>Nova Rota Comercial, Lda.</x:v>
      </x:c>
      <x:c r="F393" t="str">
        <x:v>Nova Vida</x:v>
      </x:c>
      <x:c r="G393" t="str">
        <x:v>Isaías Pedro</x:v>
      </x:c>
      <x:c r="H393" t="str">
        <x:v>VTR-04</x:v>
      </x:c>
      <x:c r="I393" t="str">
        <x:v>Toyota Dyna</x:v>
      </x:c>
      <x:c r="J393" t="n">
        <x:v>3000</x:v>
      </x:c>
      <x:c r="K393" t="n">
        <x:v>40</x:v>
      </x:c>
      <x:c r="L393" t="n">
        <x:v>40</x:v>
      </x:c>
      <x:c r="M393" t="n">
        <x:v>389.8</x:v>
      </x:c>
      <x:c r="N393" t="n">
        <x:v>17</x:v>
      </x:c>
      <x:c r="O393" s="45" t="n">
        <x:v>155400</x:v>
      </x:c>
      <x:c r="P393" s="45" t="n">
        <x:v>19500</x:v>
      </x:c>
      <x:c r="Q393" t="str">
        <x:v>Entregue</x:v>
      </x:c>
      <x:c r="R393" t="str"/>
      <x:c r="S393" t="str">
        <x:v>Nao</x:v>
      </x:c>
      <x:c r="T393" t="str">
        <x:v>Nao</x:v>
      </x:c>
    </x:row>
    <x:row r="394" ht="19" customHeight="1">
      <x:c r="A394" t="str">
        <x:v>ENT-00393</x:v>
      </x:c>
      <x:c r="B394" s="41" t="n">
        <x:v>46206</x:v>
      </x:c>
      <x:c r="C394" s="41" t="n">
        <x:v>46207</x:v>
      </x:c>
      <x:c r="D394" s="41" t="n">
        <x:v>46207</x:v>
      </x:c>
      <x:c r="E394" t="str">
        <x:v>Cesta Certa, Lda.</x:v>
      </x:c>
      <x:c r="F394" t="str">
        <x:v>Ingombota</x:v>
      </x:c>
      <x:c r="G394" t="str">
        <x:v>Elísio António</x:v>
      </x:c>
      <x:c r="H394" t="str">
        <x:v>VTR-02</x:v>
      </x:c>
      <x:c r="I394" t="str">
        <x:v>Kia K2700</x:v>
      </x:c>
      <x:c r="J394" t="n">
        <x:v>1500</x:v>
      </x:c>
      <x:c r="K394" t="n">
        <x:v>22</x:v>
      </x:c>
      <x:c r="L394" t="n">
        <x:v>22</x:v>
      </x:c>
      <x:c r="M394" t="n">
        <x:v>164.7</x:v>
      </x:c>
      <x:c r="N394" t="n">
        <x:v>10</x:v>
      </x:c>
      <x:c r="O394" s="45" t="n">
        <x:v>554114</x:v>
      </x:c>
      <x:c r="P394" s="45" t="n">
        <x:v>13000</x:v>
      </x:c>
      <x:c r="Q394" t="str">
        <x:v>Entregue</x:v>
      </x:c>
      <x:c r="R394" t="str"/>
      <x:c r="S394" t="str">
        <x:v>Nao</x:v>
      </x:c>
      <x:c r="T394" t="str">
        <x:v>Nao</x:v>
      </x:c>
    </x:row>
    <x:row r="395" ht="19" customHeight="1">
      <x:c r="A395" t="str">
        <x:v>ENT-00394</x:v>
      </x:c>
      <x:c r="B395" s="41" t="n">
        <x:v>46247</x:v>
      </x:c>
      <x:c r="C395" s="41" t="n">
        <x:v>46249</x:v>
      </x:c>
      <x:c r="D395" s="41" t="n">
        <x:v>46249</x:v>
      </x:c>
      <x:c r="E395" t="str">
        <x:v>N'gola Market, Lda.</x:v>
      </x:c>
      <x:c r="F395" t="str">
        <x:v>Nova Vida</x:v>
      </x:c>
      <x:c r="G395" t="str">
        <x:v>Lucas Tomás</x:v>
      </x:c>
      <x:c r="H395" t="str">
        <x:v>VTR-07</x:v>
      </x:c>
      <x:c r="I395" t="str">
        <x:v>Isuzu NPR</x:v>
      </x:c>
      <x:c r="J395" t="n">
        <x:v>5000</x:v>
      </x:c>
      <x:c r="K395" t="n">
        <x:v>13</x:v>
      </x:c>
      <x:c r="L395" t="n">
        <x:v>13</x:v>
      </x:c>
      <x:c r="M395" t="n">
        <x:v>287.8</x:v>
      </x:c>
      <x:c r="N395" t="n">
        <x:v>25</x:v>
      </x:c>
      <x:c r="O395" s="45" t="n">
        <x:v>102037</x:v>
      </x:c>
      <x:c r="P395" s="45" t="n">
        <x:v>25000</x:v>
      </x:c>
      <x:c r="Q395" t="str">
        <x:v>Entregue</x:v>
      </x:c>
      <x:c r="R395" t="str"/>
      <x:c r="S395" t="str">
        <x:v>Nao</x:v>
      </x:c>
      <x:c r="T395" t="str">
        <x:v>Nao</x:v>
      </x:c>
    </x:row>
    <x:row r="396" ht="19" customHeight="1">
      <x:c r="A396" t="str">
        <x:v>ENT-00395</x:v>
      </x:c>
      <x:c r="B396" s="41" t="n">
        <x:v>46225</x:v>
      </x:c>
      <x:c r="C396" s="41" t="n">
        <x:v>46227</x:v>
      </x:c>
      <x:c r="D396" s="41" t="n">
        <x:v>46227</x:v>
      </x:c>
      <x:c r="E396" t="str">
        <x:v>Sol Nascente Comércio, Lda.</x:v>
      </x:c>
      <x:c r="F396" t="str">
        <x:v>Camama</x:v>
      </x:c>
      <x:c r="G396" t="str">
        <x:v>Kito Alberto</x:v>
      </x:c>
      <x:c r="H396" t="str">
        <x:v>VTR-11</x:v>
      </x:c>
      <x:c r="I396" t="str">
        <x:v>JAC N56</x:v>
      </x:c>
      <x:c r="J396" t="n">
        <x:v>3500</x:v>
      </x:c>
      <x:c r="K396" t="n">
        <x:v>8</x:v>
      </x:c>
      <x:c r="L396" t="n">
        <x:v>8</x:v>
      </x:c>
      <x:c r="M396" t="n">
        <x:v>178.2</x:v>
      </x:c>
      <x:c r="N396" t="n">
        <x:v>28</x:v>
      </x:c>
      <x:c r="O396" s="45" t="n">
        <x:v>133904</x:v>
      </x:c>
      <x:c r="P396" s="45" t="n">
        <x:v>22500</x:v>
      </x:c>
      <x:c r="Q396" t="str">
        <x:v>Entregue</x:v>
      </x:c>
      <x:c r="R396" t="str"/>
      <x:c r="S396" t="str">
        <x:v>Nao</x:v>
      </x:c>
      <x:c r="T396" t="str">
        <x:v>Nao</x:v>
      </x:c>
    </x:row>
    <x:row r="397" ht="19" customHeight="1">
      <x:c r="A397" t="str">
        <x:v>ENT-00396</x:v>
      </x:c>
      <x:c r="B397" s="41" t="n">
        <x:v>46245</x:v>
      </x:c>
      <x:c r="C397" s="41" t="n">
        <x:v>46247</x:v>
      </x:c>
      <x:c r="D397" s="41" t="n">
        <x:v>46247</x:v>
      </x:c>
      <x:c r="E397" t="str">
        <x:v>Prime Stock, Lda.</x:v>
      </x:c>
      <x:c r="F397" t="str">
        <x:v>Kilamba</x:v>
      </x:c>
      <x:c r="G397" t="str">
        <x:v>Carlos Mateus</x:v>
      </x:c>
      <x:c r="H397" t="str">
        <x:v>VTR-02</x:v>
      </x:c>
      <x:c r="I397" t="str">
        <x:v>Kia K2700</x:v>
      </x:c>
      <x:c r="J397" t="n">
        <x:v>1500</x:v>
      </x:c>
      <x:c r="K397" t="n">
        <x:v>88</x:v>
      </x:c>
      <x:c r="L397" t="n">
        <x:v>88</x:v>
      </x:c>
      <x:c r="M397" t="n">
        <x:v>679.1</x:v>
      </x:c>
      <x:c r="N397" t="n">
        <x:v>25</x:v>
      </x:c>
      <x:c r="O397" s="45" t="n">
        <x:v>2092728</x:v>
      </x:c>
      <x:c r="P397" s="45" t="n">
        <x:v>27500</x:v>
      </x:c>
      <x:c r="Q397" t="str">
        <x:v>Entregue</x:v>
      </x:c>
      <x:c r="R397" t="str"/>
      <x:c r="S397" t="str">
        <x:v>Nao</x:v>
      </x:c>
      <x:c r="T397" t="str">
        <x:v>Nao</x:v>
      </x:c>
    </x:row>
    <x:row r="398" ht="19" customHeight="1">
      <x:c r="A398" t="str">
        <x:v>ENT-00397</x:v>
      </x:c>
      <x:c r="B398" s="41" t="n">
        <x:v>46212</x:v>
      </x:c>
      <x:c r="C398" s="41" t="n">
        <x:v>46213</x:v>
      </x:c>
      <x:c r="D398" s="41" t="n">
        <x:v>46213</x:v>
      </x:c>
      <x:c r="E398" t="str">
        <x:v>Savana Retail, Lda.</x:v>
      </x:c>
      <x:c r="F398" t="str">
        <x:v>Nova Vida</x:v>
      </x:c>
      <x:c r="G398" t="str">
        <x:v>Jorge Mário</x:v>
      </x:c>
      <x:c r="H398" t="str">
        <x:v>VTR-05</x:v>
      </x:c>
      <x:c r="I398" t="str">
        <x:v>Hyundai HD65</x:v>
      </x:c>
      <x:c r="J398" t="n">
        <x:v>3500</x:v>
      </x:c>
      <x:c r="K398" t="n">
        <x:v>90</x:v>
      </x:c>
      <x:c r="L398" t="n">
        <x:v>90</x:v>
      </x:c>
      <x:c r="M398" t="n">
        <x:v>1626.3</x:v>
      </x:c>
      <x:c r="N398" t="n">
        <x:v>15</x:v>
      </x:c>
      <x:c r="O398" s="45" t="n">
        <x:v>1861740</x:v>
      </x:c>
      <x:c r="P398" s="45" t="n">
        <x:v>40500</x:v>
      </x:c>
      <x:c r="Q398" t="str">
        <x:v>Entregue</x:v>
      </x:c>
      <x:c r="R398" t="str"/>
      <x:c r="S398" t="str">
        <x:v>Nao</x:v>
      </x:c>
      <x:c r="T398" t="str">
        <x:v>Nao</x:v>
      </x:c>
    </x:row>
    <x:row r="399" ht="19" customHeight="1">
      <x:c r="A399" t="str">
        <x:v>ENT-00398</x:v>
      </x:c>
      <x:c r="B399" s="41" t="n">
        <x:v>46242</x:v>
      </x:c>
      <x:c r="C399" s="41" t="n">
        <x:v>46244</x:v>
      </x:c>
      <x:c r="D399" s="41" t="n">
        <x:v>46244</x:v>
      </x:c>
      <x:c r="E399" t="str">
        <x:v>Sol Nascente Comércio, Lda.</x:v>
      </x:c>
      <x:c r="F399" t="str">
        <x:v>Patriota</x:v>
      </x:c>
      <x:c r="G399" t="str">
        <x:v>Isaías Pedro</x:v>
      </x:c>
      <x:c r="H399" t="str">
        <x:v>VTR-01</x:v>
      </x:c>
      <x:c r="I399" t="str">
        <x:v>Kia K2700</x:v>
      </x:c>
      <x:c r="J399" t="n">
        <x:v>1500</x:v>
      </x:c>
      <x:c r="K399" t="n">
        <x:v>26</x:v>
      </x:c>
      <x:c r="L399" t="n">
        <x:v>26</x:v>
      </x:c>
      <x:c r="M399" t="n">
        <x:v>472.2</x:v>
      </x:c>
      <x:c r="N399" t="n">
        <x:v>26</x:v>
      </x:c>
      <x:c r="O399" s="45" t="n">
        <x:v>162162</x:v>
      </x:c>
      <x:c r="P399" s="45" t="n">
        <x:v>28500</x:v>
      </x:c>
      <x:c r="Q399" t="str">
        <x:v>Entregue</x:v>
      </x:c>
      <x:c r="R399" t="str"/>
      <x:c r="S399" t="str">
        <x:v>Nao</x:v>
      </x:c>
      <x:c r="T399" t="str">
        <x:v>Nao</x:v>
      </x:c>
    </x:row>
    <x:row r="400" ht="19" customHeight="1">
      <x:c r="A400" t="str">
        <x:v>ENT-00399</x:v>
      </x:c>
      <x:c r="B400" s="41" t="n">
        <x:v>46209</x:v>
      </x:c>
      <x:c r="C400" s="41" t="n">
        <x:v>46210</x:v>
      </x:c>
      <x:c r="D400" s="41" t="n">
        <x:v>46210</x:v>
      </x:c>
      <x:c r="E400" t="str">
        <x:v>Kwanza Distribuição, Lda.</x:v>
      </x:c>
      <x:c r="F400" t="str">
        <x:v>Morro Bento</x:v>
      </x:c>
      <x:c r="G400" t="str">
        <x:v>Lucas Tomás</x:v>
      </x:c>
      <x:c r="H400" t="str">
        <x:v>VTR-03</x:v>
      </x:c>
      <x:c r="I400" t="str">
        <x:v>Toyota Dyna</x:v>
      </x:c>
      <x:c r="J400" t="n">
        <x:v>3000</x:v>
      </x:c>
      <x:c r="K400" t="n">
        <x:v>24</x:v>
      </x:c>
      <x:c r="L400" t="n">
        <x:v>21</x:v>
      </x:c>
      <x:c r="M400" t="n">
        <x:v>171.4</x:v>
      </x:c>
      <x:c r="N400" t="n">
        <x:v>14</x:v>
      </x:c>
      <x:c r="O400" s="45" t="n">
        <x:v>293928</x:v>
      </x:c>
      <x:c r="P400" s="45" t="n">
        <x:v>17500</x:v>
      </x:c>
      <x:c r="Q400" t="str">
        <x:v>Entregue</x:v>
      </x:c>
      <x:c r="R400" t="str"/>
      <x:c r="S400" t="str">
        <x:v>Nao</x:v>
      </x:c>
      <x:c r="T400" t="str">
        <x:v>Nao</x:v>
      </x:c>
    </x:row>
    <x:row r="401" ht="19" customHeight="1">
      <x:c r="A401" t="str">
        <x:v>ENT-00400</x:v>
      </x:c>
      <x:c r="B401" s="41" t="n">
        <x:v>46221</x:v>
      </x:c>
      <x:c r="C401" s="41" t="n">
        <x:v>46223</x:v>
      </x:c>
      <x:c r="D401" s="41" t="n">
        <x:v>46224</x:v>
      </x:c>
      <x:c r="E401" t="str">
        <x:v>Casa Horizonte, Lda.</x:v>
      </x:c>
      <x:c r="F401" t="str">
        <x:v>Zango</x:v>
      </x:c>
      <x:c r="G401" t="str">
        <x:v>Isaías Pedro</x:v>
      </x:c>
      <x:c r="H401" t="str">
        <x:v>VTR-10</x:v>
      </x:c>
      <x:c r="I401" t="str">
        <x:v>Foton Aumark</x:v>
      </x:c>
      <x:c r="J401" t="n">
        <x:v>4000</x:v>
      </x:c>
      <x:c r="K401" t="n">
        <x:v>35</x:v>
      </x:c>
      <x:c r="L401" t="n">
        <x:v>0</x:v>
      </x:c>
      <x:c r="M401" t="n">
        <x:v>727.8</x:v>
      </x:c>
      <x:c r="N401" t="n">
        <x:v>34</x:v>
      </x:c>
      <x:c r="O401" s="45" t="n">
        <x:v>284375</x:v>
      </x:c>
      <x:c r="P401" s="45" t="n">
        <x:v>33000</x:v>
      </x:c>
      <x:c r="Q401" t="str">
        <x:v>Falhada</x:v>
      </x:c>
      <x:c r="R401" t="str">
        <x:v>Acesso condicionado</x:v>
      </x:c>
      <x:c r="S401" t="str">
        <x:v>Nao</x:v>
      </x:c>
      <x:c r="T401" t="str">
        <x:v>Nao</x:v>
      </x:c>
    </x:row>
    <x:row r="402" ht="19" customHeight="1">
      <x:c r="A402" t="str">
        <x:v>ENT-00401</x:v>
      </x:c>
      <x:c r="B402" s="41" t="n">
        <x:v>46258</x:v>
      </x:c>
      <x:c r="C402" s="41" t="n">
        <x:v>46260</x:v>
      </x:c>
      <x:c r="D402" s="41" t="n">
        <x:v>46260</x:v>
      </x:c>
      <x:c r="E402" t="str">
        <x:v>Prime Stock, Lda.</x:v>
      </x:c>
      <x:c r="F402" t="str">
        <x:v>Patriota</x:v>
      </x:c>
      <x:c r="G402" t="str">
        <x:v>Elísio António</x:v>
      </x:c>
      <x:c r="H402" t="str">
        <x:v>VTR-06</x:v>
      </x:c>
      <x:c r="I402" t="str">
        <x:v>Isuzu NPR</x:v>
      </x:c>
      <x:c r="J402" t="n">
        <x:v>5000</x:v>
      </x:c>
      <x:c r="K402" t="n">
        <x:v>75</x:v>
      </x:c>
      <x:c r="L402" t="n">
        <x:v>75</x:v>
      </x:c>
      <x:c r="M402" t="n">
        <x:v>2204.2</x:v>
      </x:c>
      <x:c r="N402" t="n">
        <x:v>27</x:v>
      </x:c>
      <x:c r="O402" s="45" t="n">
        <x:v>1357350</x:v>
      </x:c>
      <x:c r="P402" s="45" t="n">
        <x:v>58000</x:v>
      </x:c>
      <x:c r="Q402" t="str">
        <x:v>Entregue</x:v>
      </x:c>
      <x:c r="R402" t="str"/>
      <x:c r="S402" t="str">
        <x:v>Nao</x:v>
      </x:c>
      <x:c r="T402" t="str">
        <x:v>Nao</x:v>
      </x:c>
    </x:row>
    <x:row r="403" ht="19" customHeight="1">
      <x:c r="A403" t="str">
        <x:v>ENT-00402</x:v>
      </x:c>
      <x:c r="B403" s="41" t="n">
        <x:v>46230</x:v>
      </x:c>
      <x:c r="C403" s="41" t="n">
        <x:v>46232</x:v>
      </x:c>
      <x:c r="D403" s="41" t="n">
        <x:v>46232</x:v>
      </x:c>
      <x:c r="E403" t="str">
        <x:v>Casa Horizonte, Lda.</x:v>
      </x:c>
      <x:c r="F403" t="str">
        <x:v>Patriota</x:v>
      </x:c>
      <x:c r="G403" t="str">
        <x:v>Isaías Pedro</x:v>
      </x:c>
      <x:c r="H403" t="str">
        <x:v>VTR-09</x:v>
      </x:c>
      <x:c r="I403" t="str">
        <x:v>Toyota Hilux</x:v>
      </x:c>
      <x:c r="J403" t="n">
        <x:v>1000</x:v>
      </x:c>
      <x:c r="K403" t="n">
        <x:v>56</x:v>
      </x:c>
      <x:c r="L403" t="n">
        <x:v>56</x:v>
      </x:c>
      <x:c r="M403" t="n">
        <x:v>907.3</x:v>
      </x:c>
      <x:c r="N403" t="n">
        <x:v>39</x:v>
      </x:c>
      <x:c r="O403" s="45" t="n">
        <x:v>825776</x:v>
      </x:c>
      <x:c r="P403" s="45" t="n">
        <x:v>39500</x:v>
      </x:c>
      <x:c r="Q403" t="str">
        <x:v>Entregue</x:v>
      </x:c>
      <x:c r="R403" t="str"/>
      <x:c r="S403" t="str">
        <x:v>Nao</x:v>
      </x:c>
      <x:c r="T403" t="str">
        <x:v>Nao</x:v>
      </x:c>
    </x:row>
    <x:row r="404" ht="19" customHeight="1">
      <x:c r="A404" t="str">
        <x:v>ENT-00403</x:v>
      </x:c>
      <x:c r="B404" s="41" t="n">
        <x:v>46241</x:v>
      </x:c>
      <x:c r="C404" s="41" t="n">
        <x:v>46242</x:v>
      </x:c>
      <x:c r="D404" s="41" t="n">
        <x:v>46242</x:v>
      </x:c>
      <x:c r="E404" t="str">
        <x:v>Nova Rota Comercial, Lda.</x:v>
      </x:c>
      <x:c r="F404" t="str">
        <x:v>Morro Bento</x:v>
      </x:c>
      <x:c r="G404" t="str">
        <x:v>Jorge Mário</x:v>
      </x:c>
      <x:c r="H404" t="str">
        <x:v>VTR-11</x:v>
      </x:c>
      <x:c r="I404" t="str">
        <x:v>JAC N56</x:v>
      </x:c>
      <x:c r="J404" t="n">
        <x:v>3500</x:v>
      </x:c>
      <x:c r="K404" t="n">
        <x:v>78</x:v>
      </x:c>
      <x:c r="L404" t="n">
        <x:v>78</x:v>
      </x:c>
      <x:c r="M404" t="n">
        <x:v>1852.8</x:v>
      </x:c>
      <x:c r="N404" t="n">
        <x:v>18</x:v>
      </x:c>
      <x:c r="O404" s="45" t="n">
        <x:v>873834</x:v>
      </x:c>
      <x:c r="P404" s="45" t="n">
        <x:v>45500</x:v>
      </x:c>
      <x:c r="Q404" t="str">
        <x:v>Entregue</x:v>
      </x:c>
      <x:c r="R404" t="str"/>
      <x:c r="S404" t="str">
        <x:v>Nao</x:v>
      </x:c>
      <x:c r="T404" t="str">
        <x:v>Nao</x:v>
      </x:c>
    </x:row>
    <x:row r="405" ht="19" customHeight="1">
      <x:c r="A405" t="str">
        <x:v>ENT-00404</x:v>
      </x:c>
      <x:c r="B405" s="41" t="n">
        <x:v>46208</x:v>
      </x:c>
      <x:c r="C405" s="41" t="n">
        <x:v>46211</x:v>
      </x:c>
      <x:c r="D405" s="41" t="n">
        <x:v>46210</x:v>
      </x:c>
      <x:c r="E405" t="str">
        <x:v>N'gola Market, Lda.</x:v>
      </x:c>
      <x:c r="F405" t="str">
        <x:v>Kikuxi</x:v>
      </x:c>
      <x:c r="G405" t="str">
        <x:v>Elísio António</x:v>
      </x:c>
      <x:c r="H405" t="str">
        <x:v>VTR-12</x:v>
      </x:c>
      <x:c r="I405" t="str">
        <x:v>Hyundai H100</x:v>
      </x:c>
      <x:c r="J405" t="n">
        <x:v>1300</x:v>
      </x:c>
      <x:c r="K405" t="n">
        <x:v>20</x:v>
      </x:c>
      <x:c r="L405" t="n">
        <x:v>20</x:v>
      </x:c>
      <x:c r="M405" t="n">
        <x:v>205.4</x:v>
      </x:c>
      <x:c r="N405" t="n">
        <x:v>44</x:v>
      </x:c>
      <x:c r="O405" s="45" t="n">
        <x:v>368980</x:v>
      </x:c>
      <x:c r="P405" s="45" t="n">
        <x:v>31500</x:v>
      </x:c>
      <x:c r="Q405" t="str">
        <x:v>Entregue</x:v>
      </x:c>
      <x:c r="R405" t="str"/>
      <x:c r="S405" t="str">
        <x:v>Nao</x:v>
      </x:c>
      <x:c r="T405" t="str">
        <x:v>Nao</x:v>
      </x:c>
    </x:row>
    <x:row r="406" ht="19" customHeight="1">
      <x:c r="A406" t="str">
        <x:v>ENT-00405</x:v>
      </x:c>
      <x:c r="B406" s="41" t="n">
        <x:v>46236</x:v>
      </x:c>
      <x:c r="C406" s="41" t="n">
        <x:v>46237</x:v>
      </x:c>
      <x:c r="D406" s="41" t="n">
        <x:v>46238</x:v>
      </x:c>
      <x:c r="E406" t="str">
        <x:v>Casa Horizonte, Lda.</x:v>
      </x:c>
      <x:c r="F406" t="str">
        <x:v>Maianga</x:v>
      </x:c>
      <x:c r="G406" t="str">
        <x:v>Carlos Mateus</x:v>
      </x:c>
      <x:c r="H406" t="str">
        <x:v>VTR-01</x:v>
      </x:c>
      <x:c r="I406" t="str">
        <x:v>Kia K2700</x:v>
      </x:c>
      <x:c r="J406" t="n">
        <x:v>1500</x:v>
      </x:c>
      <x:c r="K406" t="n">
        <x:v>40</x:v>
      </x:c>
      <x:c r="L406" t="n">
        <x:v>40</x:v>
      </x:c>
      <x:c r="M406" t="n">
        <x:v>402.9</x:v>
      </x:c>
      <x:c r="N406" t="n">
        <x:v>11</x:v>
      </x:c>
      <x:c r="O406" s="45" t="n">
        <x:v>783080</x:v>
      </x:c>
      <x:c r="P406" s="45" t="n">
        <x:v>17000</x:v>
      </x:c>
      <x:c r="Q406" t="str">
        <x:v>Entregue</x:v>
      </x:c>
      <x:c r="R406" t="str">
        <x:v>Chuva/condicao da via</x:v>
      </x:c>
      <x:c r="S406" t="str">
        <x:v>Nao</x:v>
      </x:c>
      <x:c r="T406" t="str">
        <x:v>Nao</x:v>
      </x:c>
    </x:row>
    <x:row r="407" ht="19" customHeight="1">
      <x:c r="A407" t="str">
        <x:v>ENT-00406</x:v>
      </x:c>
      <x:c r="B407" s="41" t="n">
        <x:v>46229</x:v>
      </x:c>
      <x:c r="C407" s="41" t="n">
        <x:v>46231</x:v>
      </x:c>
      <x:c r="D407" s="41" t="n">
        <x:v>46231</x:v>
      </x:c>
      <x:c r="E407" t="str">
        <x:v>Rota Azul, Lda.</x:v>
      </x:c>
      <x:c r="F407" t="str">
        <x:v>Patriota</x:v>
      </x:c>
      <x:c r="G407" t="str">
        <x:v>Adriano Manuel</x:v>
      </x:c>
      <x:c r="H407" t="str">
        <x:v>VTR-02</x:v>
      </x:c>
      <x:c r="I407" t="str">
        <x:v>Kia K2700</x:v>
      </x:c>
      <x:c r="J407" t="n">
        <x:v>1500</x:v>
      </x:c>
      <x:c r="K407" t="n">
        <x:v>10</x:v>
      </x:c>
      <x:c r="L407" t="n">
        <x:v>10</x:v>
      </x:c>
      <x:c r="M407" t="n">
        <x:v>192.5</x:v>
      </x:c>
      <x:c r="N407" t="n">
        <x:v>28</x:v>
      </x:c>
      <x:c r="O407" s="45" t="n">
        <x:v>68760</x:v>
      </x:c>
      <x:c r="P407" s="45" t="n">
        <x:v>23500</x:v>
      </x:c>
      <x:c r="Q407" t="str">
        <x:v>Entregue</x:v>
      </x:c>
      <x:c r="R407" t="str"/>
      <x:c r="S407" t="str">
        <x:v>Nao</x:v>
      </x:c>
      <x:c r="T407" t="str">
        <x:v>Nao</x:v>
      </x:c>
    </x:row>
    <x:row r="408" ht="19" customHeight="1">
      <x:c r="A408" t="str">
        <x:v>ENT-00407</x:v>
      </x:c>
      <x:c r="B408" s="41" t="n">
        <x:v>46242</x:v>
      </x:c>
      <x:c r="C408" s="41" t="n">
        <x:v>46243</x:v>
      </x:c>
      <x:c r="D408" s="41" t="n">
        <x:v>46243</x:v>
      </x:c>
      <x:c r="E408" t="str">
        <x:v>Mundo Fresco, Lda.</x:v>
      </x:c>
      <x:c r="F408" t="str">
        <x:v>Morro Bento</x:v>
      </x:c>
      <x:c r="G408" t="str">
        <x:v>Félix Domingos</x:v>
      </x:c>
      <x:c r="H408" t="str">
        <x:v>VTR-04</x:v>
      </x:c>
      <x:c r="I408" t="str">
        <x:v>Toyota Dyna</x:v>
      </x:c>
      <x:c r="J408" t="n">
        <x:v>3000</x:v>
      </x:c>
      <x:c r="K408" t="n">
        <x:v>11</x:v>
      </x:c>
      <x:c r="L408" t="n">
        <x:v>11</x:v>
      </x:c>
      <x:c r="M408" t="n">
        <x:v>364</x:v>
      </x:c>
      <x:c r="N408" t="n">
        <x:v>19</x:v>
      </x:c>
      <x:c r="O408" s="45" t="n">
        <x:v>225335</x:v>
      </x:c>
      <x:c r="P408" s="45" t="n">
        <x:v>21000</x:v>
      </x:c>
      <x:c r="Q408" t="str">
        <x:v>Entregue</x:v>
      </x:c>
      <x:c r="R408" t="str"/>
      <x:c r="S408" t="str">
        <x:v>Nao</x:v>
      </x:c>
      <x:c r="T408" t="str">
        <x:v>Nao</x:v>
      </x:c>
    </x:row>
    <x:row r="409" ht="19" customHeight="1">
      <x:c r="A409" t="str">
        <x:v>ENT-00408</x:v>
      </x:c>
      <x:c r="B409" s="41" t="n">
        <x:v>46225</x:v>
      </x:c>
      <x:c r="C409" s="41" t="n">
        <x:v>46227</x:v>
      </x:c>
      <x:c r="D409" s="41" t="n">
        <x:v>46227</x:v>
      </x:c>
      <x:c r="E409" t="str">
        <x:v>Atlântico Farma, Lda.</x:v>
      </x:c>
      <x:c r="F409" t="str">
        <x:v>Talatona</x:v>
      </x:c>
      <x:c r="G409" t="str">
        <x:v>Gilberto José</x:v>
      </x:c>
      <x:c r="H409" t="str">
        <x:v>VTR-02</x:v>
      </x:c>
      <x:c r="I409" t="str">
        <x:v>Kia K2700</x:v>
      </x:c>
      <x:c r="J409" t="n">
        <x:v>1500</x:v>
      </x:c>
      <x:c r="K409" t="n">
        <x:v>36</x:v>
      </x:c>
      <x:c r="L409" t="n">
        <x:v>36</x:v>
      </x:c>
      <x:c r="M409" t="n">
        <x:v>579.6</x:v>
      </x:c>
      <x:c r="N409" t="n">
        <x:v>31</x:v>
      </x:c>
      <x:c r="O409" s="45" t="n">
        <x:v>525456</x:v>
      </x:c>
      <x:c r="P409" s="45" t="n">
        <x:v>31500</x:v>
      </x:c>
      <x:c r="Q409" t="str">
        <x:v>Entregue</x:v>
      </x:c>
      <x:c r="R409" t="str"/>
      <x:c r="S409" t="str">
        <x:v>Nao</x:v>
      </x:c>
      <x:c r="T409" t="str">
        <x:v>Nao</x:v>
      </x:c>
    </x:row>
    <x:row r="410" ht="19" customHeight="1">
      <x:c r="A410" t="str">
        <x:v>ENT-00409</x:v>
      </x:c>
      <x:c r="B410" s="41" t="n">
        <x:v>46216</x:v>
      </x:c>
      <x:c r="C410" s="41" t="n">
        <x:v>46218</x:v>
      </x:c>
      <x:c r="D410" s="41" t="n">
        <x:v>46218</x:v>
      </x:c>
      <x:c r="E410" t="str">
        <x:v>Savana Retail, Lda.</x:v>
      </x:c>
      <x:c r="F410" t="str">
        <x:v>Talatona</x:v>
      </x:c>
      <x:c r="G410" t="str">
        <x:v>Hélder Miguel</x:v>
      </x:c>
      <x:c r="H410" t="str">
        <x:v>VTR-09</x:v>
      </x:c>
      <x:c r="I410" t="str">
        <x:v>Toyota Hilux</x:v>
      </x:c>
      <x:c r="J410" t="n">
        <x:v>1000</x:v>
      </x:c>
      <x:c r="K410" t="n">
        <x:v>73</x:v>
      </x:c>
      <x:c r="L410" t="n">
        <x:v>73</x:v>
      </x:c>
      <x:c r="M410" t="n">
        <x:v>943.5</x:v>
      </x:c>
      <x:c r="N410" t="n">
        <x:v>26</x:v>
      </x:c>
      <x:c r="O410" s="45" t="n">
        <x:v>641743</x:v>
      </x:c>
      <x:c r="P410" s="45" t="n">
        <x:v>34000</x:v>
      </x:c>
      <x:c r="Q410" t="str">
        <x:v>Entregue</x:v>
      </x:c>
      <x:c r="R410" t="str"/>
      <x:c r="S410" t="str">
        <x:v>Nao</x:v>
      </x:c>
      <x:c r="T410" t="str">
        <x:v>Nao</x:v>
      </x:c>
    </x:row>
    <x:row r="411" ht="19" customHeight="1">
      <x:c r="A411" t="str">
        <x:v>ENT-00410</x:v>
      </x:c>
      <x:c r="B411" s="41" t="n">
        <x:v>46222</x:v>
      </x:c>
      <x:c r="C411" s="41" t="n">
        <x:v>46225</x:v>
      </x:c>
      <x:c r="D411" s="41" t="n">
        <x:v>46225</x:v>
      </x:c>
      <x:c r="E411" t="str">
        <x:v>Via Certa Serviços, Lda.</x:v>
      </x:c>
      <x:c r="F411" t="str">
        <x:v>Zango</x:v>
      </x:c>
      <x:c r="G411" t="str">
        <x:v>Félix Domingos</x:v>
      </x:c>
      <x:c r="H411" t="str">
        <x:v>VTR-01</x:v>
      </x:c>
      <x:c r="I411" t="str">
        <x:v>Kia K2700</x:v>
      </x:c>
      <x:c r="J411" t="n">
        <x:v>1500</x:v>
      </x:c>
      <x:c r="K411" t="n">
        <x:v>42</x:v>
      </x:c>
      <x:c r="L411" t="n">
        <x:v>42</x:v>
      </x:c>
      <x:c r="M411" t="n">
        <x:v>948.2</x:v>
      </x:c>
      <x:c r="N411" t="n">
        <x:v>59</x:v>
      </x:c>
      <x:c r="O411" s="45" t="n">
        <x:v>790650</x:v>
      </x:c>
      <x:c r="P411" s="45" t="n">
        <x:v>52500</x:v>
      </x:c>
      <x:c r="Q411" t="str">
        <x:v>Entregue</x:v>
      </x:c>
      <x:c r="R411" t="str"/>
      <x:c r="S411" t="str">
        <x:v>Nao</x:v>
      </x:c>
      <x:c r="T411" t="str">
        <x:v>Nao</x:v>
      </x:c>
    </x:row>
    <x:row r="412" ht="19" customHeight="1">
      <x:c r="A412" t="str">
        <x:v>ENT-00411</x:v>
      </x:c>
      <x:c r="B412" s="41" t="n">
        <x:v>46211</x:v>
      </x:c>
      <x:c r="C412" s="41" t="n">
        <x:v>46214</x:v>
      </x:c>
      <x:c r="D412" s="41" t="n">
        <x:v>46214</x:v>
      </x:c>
      <x:c r="E412" t="str">
        <x:v>Mercado Sul, Lda.</x:v>
      </x:c>
      <x:c r="F412" t="str">
        <x:v>Sequele</x:v>
      </x:c>
      <x:c r="G412" t="str">
        <x:v>Gilberto José</x:v>
      </x:c>
      <x:c r="H412" t="str">
        <x:v>VTR-06</x:v>
      </x:c>
      <x:c r="I412" t="str">
        <x:v>Isuzu NPR</x:v>
      </x:c>
      <x:c r="J412" t="n">
        <x:v>5000</x:v>
      </x:c>
      <x:c r="K412" t="n">
        <x:v>25</x:v>
      </x:c>
      <x:c r="L412" t="n">
        <x:v>25</x:v>
      </x:c>
      <x:c r="M412" t="n">
        <x:v>460.6</x:v>
      </x:c>
      <x:c r="N412" t="n">
        <x:v>55</x:v>
      </x:c>
      <x:c r="O412" s="45" t="n">
        <x:v>203925</x:v>
      </x:c>
      <x:c r="P412" s="45" t="n">
        <x:v>43000</x:v>
      </x:c>
      <x:c r="Q412" t="str">
        <x:v>Entregue</x:v>
      </x:c>
      <x:c r="R412" t="str"/>
      <x:c r="S412" t="str">
        <x:v>Nao</x:v>
      </x:c>
      <x:c r="T412" t="str">
        <x:v>Nao</x:v>
      </x:c>
    </x:row>
    <x:row r="413" ht="19" customHeight="1">
      <x:c r="A413" t="str">
        <x:v>ENT-00412</x:v>
      </x:c>
      <x:c r="B413" s="41" t="n">
        <x:v>46221</x:v>
      </x:c>
      <x:c r="C413" s="41" t="n">
        <x:v>46222</x:v>
      </x:c>
      <x:c r="D413" s="41" t="n">
        <x:v>46223</x:v>
      </x:c>
      <x:c r="E413" t="str">
        <x:v>Mercado Sul, Lda.</x:v>
      </x:c>
      <x:c r="F413" t="str">
        <x:v>Ingombota</x:v>
      </x:c>
      <x:c r="G413" t="str">
        <x:v>Carlos Mateus</x:v>
      </x:c>
      <x:c r="H413" t="str">
        <x:v>VTR-05</x:v>
      </x:c>
      <x:c r="I413" t="str">
        <x:v>Hyundai HD65</x:v>
      </x:c>
      <x:c r="J413" t="n">
        <x:v>3500</x:v>
      </x:c>
      <x:c r="K413" t="n">
        <x:v>86</x:v>
      </x:c>
      <x:c r="L413" t="n">
        <x:v>86</x:v>
      </x:c>
      <x:c r="M413" t="n">
        <x:v>2692.2</x:v>
      </x:c>
      <x:c r="N413" t="n">
        <x:v>16</x:v>
      </x:c>
      <x:c r="O413" s="45" t="n">
        <x:v>1162892</x:v>
      </x:c>
      <x:c r="P413" s="45" t="n">
        <x:v>64000</x:v>
      </x:c>
      <x:c r="Q413" t="str">
        <x:v>Entregue</x:v>
      </x:c>
      <x:c r="R413" t="str">
        <x:v>Cliente indisponivel</x:v>
      </x:c>
      <x:c r="S413" t="str">
        <x:v>Nao</x:v>
      </x:c>
      <x:c r="T413" t="str">
        <x:v>Nao</x:v>
      </x:c>
    </x:row>
    <x:row r="414" ht="19" customHeight="1">
      <x:c r="A414" t="str">
        <x:v>ENT-00413</x:v>
      </x:c>
      <x:c r="B414" s="41" t="n">
        <x:v>46227</x:v>
      </x:c>
      <x:c r="C414" s="41" t="n">
        <x:v>46229</x:v>
      </x:c>
      <x:c r="D414" s="41" t="n">
        <x:v>46229</x:v>
      </x:c>
      <x:c r="E414" t="str">
        <x:v>Kwanza Distribuição, Lda.</x:v>
      </x:c>
      <x:c r="F414" t="str">
        <x:v>Talatona</x:v>
      </x:c>
      <x:c r="G414" t="str">
        <x:v>Kito Alberto</x:v>
      </x:c>
      <x:c r="H414" t="str">
        <x:v>VTR-12</x:v>
      </x:c>
      <x:c r="I414" t="str">
        <x:v>Hyundai H100</x:v>
      </x:c>
      <x:c r="J414" t="n">
        <x:v>1300</x:v>
      </x:c>
      <x:c r="K414" t="n">
        <x:v>57</x:v>
      </x:c>
      <x:c r="L414" t="n">
        <x:v>57</x:v>
      </x:c>
      <x:c r="M414" t="n">
        <x:v>1072.4</x:v>
      </x:c>
      <x:c r="N414" t="n">
        <x:v>31</x:v>
      </x:c>
      <x:c r="O414" s="45" t="n">
        <x:v>1387608</x:v>
      </x:c>
      <x:c r="P414" s="45" t="n">
        <x:v>36500</x:v>
      </x:c>
      <x:c r="Q414" t="str">
        <x:v>Entregue</x:v>
      </x:c>
      <x:c r="R414" t="str"/>
      <x:c r="S414" t="str">
        <x:v>Nao</x:v>
      </x:c>
      <x:c r="T414" t="str">
        <x:v>Nao</x:v>
      </x:c>
    </x:row>
    <x:row r="415" ht="19" customHeight="1">
      <x:c r="A415" t="str">
        <x:v>ENT-00414</x:v>
      </x:c>
      <x:c r="B415" s="41" t="n">
        <x:v>46224</x:v>
      </x:c>
      <x:c r="C415" s="41" t="n">
        <x:v>46226</x:v>
      </x:c>
      <x:c r="D415" s="41" t="n">
        <x:v>46226</x:v>
      </x:c>
      <x:c r="E415" t="str">
        <x:v>Nova Rota Comercial, Lda.</x:v>
      </x:c>
      <x:c r="F415" t="str">
        <x:v>Patriota</x:v>
      </x:c>
      <x:c r="G415" t="str">
        <x:v>Kito Alberto</x:v>
      </x:c>
      <x:c r="H415" t="str">
        <x:v>VTR-06</x:v>
      </x:c>
      <x:c r="I415" t="str">
        <x:v>Isuzu NPR</x:v>
      </x:c>
      <x:c r="J415" t="n">
        <x:v>5000</x:v>
      </x:c>
      <x:c r="K415" t="n">
        <x:v>63</x:v>
      </x:c>
      <x:c r="L415" t="n">
        <x:v>63</x:v>
      </x:c>
      <x:c r="M415" t="n">
        <x:v>1343.6</x:v>
      </x:c>
      <x:c r="N415" t="n">
        <x:v>23</x:v>
      </x:c>
      <x:c r="O415" s="45" t="n">
        <x:v>296037</x:v>
      </x:c>
      <x:c r="P415" s="45" t="n">
        <x:v>40000</x:v>
      </x:c>
      <x:c r="Q415" t="str">
        <x:v>Entregue</x:v>
      </x:c>
      <x:c r="R415" t="str"/>
      <x:c r="S415" t="str">
        <x:v>Nao</x:v>
      </x:c>
      <x:c r="T415" t="str">
        <x:v>Nao</x:v>
      </x:c>
    </x:row>
    <x:row r="416" ht="19" customHeight="1">
      <x:c r="A416" t="str">
        <x:v>ENT-00415</x:v>
      </x:c>
      <x:c r="B416" s="41" t="n">
        <x:v>46225</x:v>
      </x:c>
      <x:c r="C416" s="41" t="n">
        <x:v>46227</x:v>
      </x:c>
      <x:c r="D416" s="41"/>
      <x:c r="E416" t="str">
        <x:v>Cesta Certa, Lda.</x:v>
      </x:c>
      <x:c r="F416" t="str">
        <x:v>Zango</x:v>
      </x:c>
      <x:c r="G416" t="str">
        <x:v>Elísio António</x:v>
      </x:c>
      <x:c r="H416" t="str">
        <x:v>VTR-06</x:v>
      </x:c>
      <x:c r="I416" t="str">
        <x:v>Isuzu NPR</x:v>
      </x:c>
      <x:c r="J416" t="n">
        <x:v>5000</x:v>
      </x:c>
      <x:c r="K416" t="n">
        <x:v>25</x:v>
      </x:c>
      <x:c r="L416" t="n">
        <x:v>0</x:v>
      </x:c>
      <x:c r="M416" t="n">
        <x:v>572.4</x:v>
      </x:c>
      <x:c r="N416" t="n">
        <x:v>39</x:v>
      </x:c>
      <x:c r="O416" s="45" t="n">
        <x:v>305300</x:v>
      </x:c>
      <x:c r="P416" s="45" t="n">
        <x:v>32500</x:v>
      </x:c>
      <x:c r="Q416" t="str">
        <x:v>Cancelada</x:v>
      </x:c>
      <x:c r="R416" t="str">
        <x:v>Cancelamento do cliente</x:v>
      </x:c>
      <x:c r="S416" t="str">
        <x:v>Nao</x:v>
      </x:c>
      <x:c r="T416" t="str">
        <x:v>Nao</x:v>
      </x:c>
    </x:row>
    <x:row r="417" ht="19" customHeight="1">
      <x:c r="A417" t="str">
        <x:v>ENT-00416</x:v>
      </x:c>
      <x:c r="B417" s="41" t="n">
        <x:v>46243</x:v>
      </x:c>
      <x:c r="C417" s="41" t="n">
        <x:v>46244</x:v>
      </x:c>
      <x:c r="D417" s="41" t="n">
        <x:v>46247</x:v>
      </x:c>
      <x:c r="E417" t="str">
        <x:v>Prime Stock, Lda.</x:v>
      </x:c>
      <x:c r="F417" t="str">
        <x:v>Maianga</x:v>
      </x:c>
      <x:c r="G417" t="str">
        <x:v>Bernardo Paulo</x:v>
      </x:c>
      <x:c r="H417" t="str">
        <x:v>VTR-07</x:v>
      </x:c>
      <x:c r="I417" t="str">
        <x:v>Isuzu NPR</x:v>
      </x:c>
      <x:c r="J417" t="n">
        <x:v>5000</x:v>
      </x:c>
      <x:c r="K417" t="n">
        <x:v>52</x:v>
      </x:c>
      <x:c r="L417" t="n">
        <x:v>52</x:v>
      </x:c>
      <x:c r="M417" t="n">
        <x:v>1361.5</x:v>
      </x:c>
      <x:c r="N417" t="n">
        <x:v>19</x:v>
      </x:c>
      <x:c r="O417" s="45" t="n">
        <x:v>853008</x:v>
      </x:c>
      <x:c r="P417" s="45" t="n">
        <x:v>38500</x:v>
      </x:c>
      <x:c r="Q417" t="str">
        <x:v>Entregue</x:v>
      </x:c>
      <x:c r="R417" t="str">
        <x:v>Avaria da viatura</x:v>
      </x:c>
      <x:c r="S417" t="str">
        <x:v>Nao</x:v>
      </x:c>
      <x:c r="T417" t="str">
        <x:v>Nao</x:v>
      </x:c>
    </x:row>
    <x:row r="418" ht="19" customHeight="1">
      <x:c r="A418" t="str">
        <x:v>ENT-00417</x:v>
      </x:c>
      <x:c r="B418" s="41" t="n">
        <x:v>46215</x:v>
      </x:c>
      <x:c r="C418" s="41" t="n">
        <x:v>46217</x:v>
      </x:c>
      <x:c r="D418" s="41" t="n">
        <x:v>46219</x:v>
      </x:c>
      <x:c r="E418" t="str">
        <x:v>Cesta Certa, Lda.</x:v>
      </x:c>
      <x:c r="F418" t="str">
        <x:v>Viana</x:v>
      </x:c>
      <x:c r="G418" t="str">
        <x:v>Jorge Mário</x:v>
      </x:c>
      <x:c r="H418" t="str">
        <x:v>VTR-04</x:v>
      </x:c>
      <x:c r="I418" t="str">
        <x:v>Toyota Dyna</x:v>
      </x:c>
      <x:c r="J418" t="n">
        <x:v>3000</x:v>
      </x:c>
      <x:c r="K418" t="n">
        <x:v>19</x:v>
      </x:c>
      <x:c r="L418" t="n">
        <x:v>0</x:v>
      </x:c>
      <x:c r="M418" t="n">
        <x:v>298.3</x:v>
      </x:c>
      <x:c r="N418" t="n">
        <x:v>30</x:v>
      </x:c>
      <x:c r="O418" s="45" t="n">
        <x:v>285589</x:v>
      </x:c>
      <x:c r="P418" s="45" t="n">
        <x:v>26500</x:v>
      </x:c>
      <x:c r="Q418" t="str">
        <x:v>Falhada</x:v>
      </x:c>
      <x:c r="R418" t="str">
        <x:v>Avaria da viatura</x:v>
      </x:c>
      <x:c r="S418" t="str">
        <x:v>Nao</x:v>
      </x:c>
      <x:c r="T418" t="str">
        <x:v>Nao</x:v>
      </x:c>
    </x:row>
    <x:row r="419" ht="19" customHeight="1">
      <x:c r="A419" t="str">
        <x:v>ENT-00418</x:v>
      </x:c>
      <x:c r="B419" s="41" t="n">
        <x:v>46230</x:v>
      </x:c>
      <x:c r="C419" s="41" t="n">
        <x:v>46231</x:v>
      </x:c>
      <x:c r="D419" s="41" t="n">
        <x:v>46230</x:v>
      </x:c>
      <x:c r="E419" t="str">
        <x:v>Luanda Office Supply, Lda.</x:v>
      </x:c>
      <x:c r="F419" t="str">
        <x:v>Maianga</x:v>
      </x:c>
      <x:c r="G419" t="str">
        <x:v>Gilberto José</x:v>
      </x:c>
      <x:c r="H419" t="str">
        <x:v>VTR-08</x:v>
      </x:c>
      <x:c r="I419" t="str">
        <x:v>Toyota Hilux</x:v>
      </x:c>
      <x:c r="J419" t="n">
        <x:v>1000</x:v>
      </x:c>
      <x:c r="K419" t="n">
        <x:v>87</x:v>
      </x:c>
      <x:c r="L419" t="n">
        <x:v>87</x:v>
      </x:c>
      <x:c r="M419" t="n">
        <x:v>608.9</x:v>
      </x:c>
      <x:c r="N419" t="n">
        <x:v>13</x:v>
      </x:c>
      <x:c r="O419" s="45" t="n">
        <x:v>1661613</x:v>
      </x:c>
      <x:c r="P419" s="45" t="n">
        <x:v>22500</x:v>
      </x:c>
      <x:c r="Q419" t="str">
        <x:v>Entregue</x:v>
      </x:c>
      <x:c r="R419" t="str"/>
      <x:c r="S419" t="str">
        <x:v>Nao</x:v>
      </x:c>
      <x:c r="T419" t="str">
        <x:v>Nao</x:v>
      </x:c>
    </x:row>
    <x:row r="420" ht="19" customHeight="1">
      <x:c r="A420" t="str">
        <x:v>ENT-00419</x:v>
      </x:c>
      <x:c r="B420" s="41" t="n">
        <x:v>46234</x:v>
      </x:c>
      <x:c r="C420" s="41" t="n">
        <x:v>46237</x:v>
      </x:c>
      <x:c r="D420" s="41" t="n">
        <x:v>46237</x:v>
      </x:c>
      <x:c r="E420" t="str">
        <x:v>Prime Stock, Lda.</x:v>
      </x:c>
      <x:c r="F420" t="str">
        <x:v>Zango</x:v>
      </x:c>
      <x:c r="G420" t="str">
        <x:v>Félix Domingos</x:v>
      </x:c>
      <x:c r="H420" t="str">
        <x:v>VTR-05</x:v>
      </x:c>
      <x:c r="I420" t="str">
        <x:v>Hyundai HD65</x:v>
      </x:c>
      <x:c r="J420" t="n">
        <x:v>3500</x:v>
      </x:c>
      <x:c r="K420" t="n">
        <x:v>36</x:v>
      </x:c>
      <x:c r="L420" t="n">
        <x:v>36</x:v>
      </x:c>
      <x:c r="M420" t="n">
        <x:v>751.4</x:v>
      </x:c>
      <x:c r="N420" t="n">
        <x:v>40</x:v>
      </x:c>
      <x:c r="O420" s="45" t="n">
        <x:v>679896</x:v>
      </x:c>
      <x:c r="P420" s="45" t="n">
        <x:v>41500</x:v>
      </x:c>
      <x:c r="Q420" t="str">
        <x:v>Entregue</x:v>
      </x:c>
      <x:c r="R420" t="str"/>
      <x:c r="S420" t="str">
        <x:v>Nao</x:v>
      </x:c>
      <x:c r="T420" t="str">
        <x:v>Nao</x:v>
      </x:c>
    </x:row>
    <x:row r="421" ht="19" customHeight="1">
      <x:c r="A421" t="str">
        <x:v>ENT-00420</x:v>
      </x:c>
      <x:c r="B421" s="41" t="n">
        <x:v>46239</x:v>
      </x:c>
      <x:c r="C421" s="41" t="n">
        <x:v>46241</x:v>
      </x:c>
      <x:c r="D421" s="41" t="n">
        <x:v>46241</x:v>
      </x:c>
      <x:c r="E421" t="str">
        <x:v>N'gola Market, Lda.</x:v>
      </x:c>
      <x:c r="F421" t="str">
        <x:v>Patriota</x:v>
      </x:c>
      <x:c r="G421" t="str">
        <x:v>Gilberto José</x:v>
      </x:c>
      <x:c r="H421" t="str">
        <x:v>VTR-02</x:v>
      </x:c>
      <x:c r="I421" t="str">
        <x:v>Kia K2700</x:v>
      </x:c>
      <x:c r="J421" t="n">
        <x:v>1500</x:v>
      </x:c>
      <x:c r="K421" t="n">
        <x:v>9</x:v>
      </x:c>
      <x:c r="L421" t="n">
        <x:v>9</x:v>
      </x:c>
      <x:c r="M421" t="n">
        <x:v>84.3</x:v>
      </x:c>
      <x:c r="N421" t="n">
        <x:v>25</x:v>
      </x:c>
      <x:c r="O421" s="45" t="n">
        <x:v>67941</x:v>
      </x:c>
      <x:c r="P421" s="45" t="n">
        <x:v>21000</x:v>
      </x:c>
      <x:c r="Q421" t="str">
        <x:v>Entregue</x:v>
      </x:c>
      <x:c r="R421" t="str"/>
      <x:c r="S421" t="str">
        <x:v>Nao</x:v>
      </x:c>
      <x:c r="T421" t="str">
        <x:v>Nao</x:v>
      </x:c>
    </x:row>
    <x:row r="422" ht="19" customHeight="1">
      <x:c r="A422" t="str">
        <x:v>ENT-00421</x:v>
      </x:c>
      <x:c r="B422" s="41" t="n">
        <x:v>46246</x:v>
      </x:c>
      <x:c r="C422" s="41" t="n">
        <x:v>46248</x:v>
      </x:c>
      <x:c r="D422" s="41" t="n">
        <x:v>46248</x:v>
      </x:c>
      <x:c r="E422" t="str">
        <x:v>Mercado Sul, Lda.</x:v>
      </x:c>
      <x:c r="F422" t="str">
        <x:v>Kikuxi</x:v>
      </x:c>
      <x:c r="G422" t="str">
        <x:v>Félix Domingos</x:v>
      </x:c>
      <x:c r="H422" t="str">
        <x:v>VTR-12</x:v>
      </x:c>
      <x:c r="I422" t="str">
        <x:v>Hyundai H100</x:v>
      </x:c>
      <x:c r="J422" t="n">
        <x:v>1300</x:v>
      </x:c>
      <x:c r="K422" t="n">
        <x:v>69</x:v>
      </x:c>
      <x:c r="L422" t="n">
        <x:v>69</x:v>
      </x:c>
      <x:c r="M422" t="n">
        <x:v>972.4</x:v>
      </x:c>
      <x:c r="N422" t="n">
        <x:v>35</x:v>
      </x:c>
      <x:c r="O422" s="45" t="n">
        <x:v>1093995</x:v>
      </x:c>
      <x:c r="P422" s="45" t="n">
        <x:v>41000</x:v>
      </x:c>
      <x:c r="Q422" t="str">
        <x:v>Entregue</x:v>
      </x:c>
      <x:c r="R422" t="str"/>
      <x:c r="S422" t="str">
        <x:v>Nao</x:v>
      </x:c>
      <x:c r="T422" t="str">
        <x:v>Nao</x:v>
      </x:c>
    </x:row>
    <x:row r="423" ht="19" customHeight="1">
      <x:c r="A423" t="str">
        <x:v>ENT-00422</x:v>
      </x:c>
      <x:c r="B423" s="41" t="n">
        <x:v>46238</x:v>
      </x:c>
      <x:c r="C423" s="41" t="n">
        <x:v>46241</x:v>
      </x:c>
      <x:c r="D423" s="41" t="n">
        <x:v>46241</x:v>
      </x:c>
      <x:c r="E423" t="str">
        <x:v>Luanda Office Supply, Lda.</x:v>
      </x:c>
      <x:c r="F423" t="str">
        <x:v>Benfica</x:v>
      </x:c>
      <x:c r="G423" t="str">
        <x:v>Kito Alberto</x:v>
      </x:c>
      <x:c r="H423" t="str">
        <x:v>VTR-11</x:v>
      </x:c>
      <x:c r="I423" t="str">
        <x:v>JAC N56</x:v>
      </x:c>
      <x:c r="J423" t="n">
        <x:v>3500</x:v>
      </x:c>
      <x:c r="K423" t="n">
        <x:v>64</x:v>
      </x:c>
      <x:c r="L423" t="n">
        <x:v>60</x:v>
      </x:c>
      <x:c r="M423" t="n">
        <x:v>463.9</x:v>
      </x:c>
      <x:c r="N423" t="n">
        <x:v>43</x:v>
      </x:c>
      <x:c r="O423" s="45" t="n">
        <x:v>578048</x:v>
      </x:c>
      <x:c r="P423" s="45" t="n">
        <x:v>37000</x:v>
      </x:c>
      <x:c r="Q423" t="str">
        <x:v>Entregue</x:v>
      </x:c>
      <x:c r="R423" t="str"/>
      <x:c r="S423" t="str">
        <x:v>Nao</x:v>
      </x:c>
      <x:c r="T423" t="str">
        <x:v>Nao</x:v>
      </x:c>
    </x:row>
    <x:row r="424" ht="19" customHeight="1">
      <x:c r="A424" t="str">
        <x:v>ENT-00423</x:v>
      </x:c>
      <x:c r="B424" s="41" t="n">
        <x:v>46252</x:v>
      </x:c>
      <x:c r="C424" s="41" t="n">
        <x:v>46254</x:v>
      </x:c>
      <x:c r="D424" s="41" t="n">
        <x:v>46256</x:v>
      </x:c>
      <x:c r="E424" t="str">
        <x:v>Sol Nascente Comércio, Lda.</x:v>
      </x:c>
      <x:c r="F424" t="str">
        <x:v>Nova Vida</x:v>
      </x:c>
      <x:c r="G424" t="str">
        <x:v>Gilberto José</x:v>
      </x:c>
      <x:c r="H424" t="str">
        <x:v>VTR-03</x:v>
      </x:c>
      <x:c r="I424" t="str">
        <x:v>Toyota Dyna</x:v>
      </x:c>
      <x:c r="J424" t="n">
        <x:v>3000</x:v>
      </x:c>
      <x:c r="K424" t="n">
        <x:v>46</x:v>
      </x:c>
      <x:c r="L424" t="n">
        <x:v>46</x:v>
      </x:c>
      <x:c r="M424" t="n">
        <x:v>941.2</x:v>
      </x:c>
      <x:c r="N424" t="n">
        <x:v>28</x:v>
      </x:c>
      <x:c r="O424" s="45" t="n">
        <x:v>844652</x:v>
      </x:c>
      <x:c r="P424" s="45" t="n">
        <x:v>33000</x:v>
      </x:c>
      <x:c r="Q424" t="str">
        <x:v>Entregue</x:v>
      </x:c>
      <x:c r="R424" t="str">
        <x:v>Transito intenso</x:v>
      </x:c>
      <x:c r="S424" t="str">
        <x:v>Nao</x:v>
      </x:c>
      <x:c r="T424" t="str">
        <x:v>Nao</x:v>
      </x:c>
    </x:row>
    <x:row r="425" ht="19" customHeight="1">
      <x:c r="A425" t="str">
        <x:v>ENT-00424</x:v>
      </x:c>
      <x:c r="B425" s="41" t="n">
        <x:v>46235</x:v>
      </x:c>
      <x:c r="C425" s="41" t="n">
        <x:v>46238</x:v>
      </x:c>
      <x:c r="D425" s="41" t="n">
        <x:v>46238</x:v>
      </x:c>
      <x:c r="E425" t="str">
        <x:v>Casa Horizonte, Lda.</x:v>
      </x:c>
      <x:c r="F425" t="str">
        <x:v>Sequele</x:v>
      </x:c>
      <x:c r="G425" t="str">
        <x:v>Dário Joaquim</x:v>
      </x:c>
      <x:c r="H425" t="str">
        <x:v>VTR-02</x:v>
      </x:c>
      <x:c r="I425" t="str">
        <x:v>Kia K2700</x:v>
      </x:c>
      <x:c r="J425" t="n">
        <x:v>1500</x:v>
      </x:c>
      <x:c r="K425" t="n">
        <x:v>80</x:v>
      </x:c>
      <x:c r="L425" t="n">
        <x:v>80</x:v>
      </x:c>
      <x:c r="M425" t="n">
        <x:v>627</x:v>
      </x:c>
      <x:c r="N425" t="n">
        <x:v>51</x:v>
      </x:c>
      <x:c r="O425" s="45" t="n">
        <x:v>395120</x:v>
      </x:c>
      <x:c r="P425" s="45" t="n">
        <x:v>43500</x:v>
      </x:c>
      <x:c r="Q425" t="str">
        <x:v>Entregue</x:v>
      </x:c>
      <x:c r="R425" t="str"/>
      <x:c r="S425" t="str">
        <x:v>Nao</x:v>
      </x:c>
      <x:c r="T425" t="str">
        <x:v>Nao</x:v>
      </x:c>
    </x:row>
    <x:row r="426" ht="19" customHeight="1">
      <x:c r="A426" t="str">
        <x:v>ENT-00425</x:v>
      </x:c>
      <x:c r="B426" s="41" t="n">
        <x:v>46218</x:v>
      </x:c>
      <x:c r="C426" s="41" t="n">
        <x:v>46221</x:v>
      </x:c>
      <x:c r="D426" s="41" t="n">
        <x:v>46220</x:v>
      </x:c>
      <x:c r="E426" t="str">
        <x:v>Mundo Fresco, Lda.</x:v>
      </x:c>
      <x:c r="F426" t="str">
        <x:v>Cacuaco</x:v>
      </x:c>
      <x:c r="G426" t="str">
        <x:v>Félix Domingos</x:v>
      </x:c>
      <x:c r="H426" t="str">
        <x:v>VTR-02</x:v>
      </x:c>
      <x:c r="I426" t="str">
        <x:v>Kia K2700</x:v>
      </x:c>
      <x:c r="J426" t="n">
        <x:v>1500</x:v>
      </x:c>
      <x:c r="K426" t="n">
        <x:v>65</x:v>
      </x:c>
      <x:c r="L426" t="n">
        <x:v>65</x:v>
      </x:c>
      <x:c r="M426" t="n">
        <x:v>1120.1</x:v>
      </x:c>
      <x:c r="N426" t="n">
        <x:v>40</x:v>
      </x:c>
      <x:c r="O426" s="45" t="n">
        <x:v>1665170</x:v>
      </x:c>
      <x:c r="P426" s="45" t="n">
        <x:v>39500</x:v>
      </x:c>
      <x:c r="Q426" t="str">
        <x:v>Entregue</x:v>
      </x:c>
      <x:c r="R426" t="str"/>
      <x:c r="S426" t="str">
        <x:v>Nao</x:v>
      </x:c>
      <x:c r="T426" t="str">
        <x:v>Nao</x:v>
      </x:c>
    </x:row>
    <x:row r="427" ht="19" customHeight="1">
      <x:c r="A427" t="str">
        <x:v>ENT-00426</x:v>
      </x:c>
      <x:c r="B427" s="41" t="n">
        <x:v>46221</x:v>
      </x:c>
      <x:c r="C427" s="41" t="n">
        <x:v>46224</x:v>
      </x:c>
      <x:c r="D427" s="41" t="n">
        <x:v>46224</x:v>
      </x:c>
      <x:c r="E427" t="str">
        <x:v>Prime Stock, Lda.</x:v>
      </x:c>
      <x:c r="F427" t="str">
        <x:v>Zango</x:v>
      </x:c>
      <x:c r="G427" t="str">
        <x:v>Hélder Miguel</x:v>
      </x:c>
      <x:c r="H427" t="str">
        <x:v>VTR-11</x:v>
      </x:c>
      <x:c r="I427" t="str">
        <x:v>JAC N56</x:v>
      </x:c>
      <x:c r="J427" t="n">
        <x:v>3500</x:v>
      </x:c>
      <x:c r="K427" t="n">
        <x:v>73</x:v>
      </x:c>
      <x:c r="L427" t="n">
        <x:v>73</x:v>
      </x:c>
      <x:c r="M427" t="n">
        <x:v>1401.7</x:v>
      </x:c>
      <x:c r="N427" t="n">
        <x:v>51</x:v>
      </x:c>
      <x:c r="O427" s="45" t="n">
        <x:v>1138727</x:v>
      </x:c>
      <x:c r="P427" s="45" t="n">
        <x:v>59000</x:v>
      </x:c>
      <x:c r="Q427" t="str">
        <x:v>Entregue</x:v>
      </x:c>
      <x:c r="R427" t="str"/>
      <x:c r="S427" t="str">
        <x:v>Nao</x:v>
      </x:c>
      <x:c r="T427" t="str">
        <x:v>Nao</x:v>
      </x:c>
    </x:row>
    <x:row r="428" ht="19" customHeight="1">
      <x:c r="A428" t="str">
        <x:v>ENT-00427</x:v>
      </x:c>
      <x:c r="B428" s="41" t="n">
        <x:v>46206</x:v>
      </x:c>
      <x:c r="C428" s="41" t="n">
        <x:v>46208</x:v>
      </x:c>
      <x:c r="D428" s="41" t="n">
        <x:v>46210</x:v>
      </x:c>
      <x:c r="E428" t="str">
        <x:v>Sol Nascente Comércio, Lda.</x:v>
      </x:c>
      <x:c r="F428" t="str">
        <x:v>Patriota</x:v>
      </x:c>
      <x:c r="G428" t="str">
        <x:v>Elísio António</x:v>
      </x:c>
      <x:c r="H428" t="str">
        <x:v>VTR-12</x:v>
      </x:c>
      <x:c r="I428" t="str">
        <x:v>Hyundai H100</x:v>
      </x:c>
      <x:c r="J428" t="n">
        <x:v>1300</x:v>
      </x:c>
      <x:c r="K428" t="n">
        <x:v>81</x:v>
      </x:c>
      <x:c r="L428" t="n">
        <x:v>81</x:v>
      </x:c>
      <x:c r="M428" t="n">
        <x:v>1259.7</x:v>
      </x:c>
      <x:c r="N428" t="n">
        <x:v>23</x:v>
      </x:c>
      <x:c r="O428" s="45" t="n">
        <x:v>1481976</x:v>
      </x:c>
      <x:c r="P428" s="45" t="n">
        <x:v>41500</x:v>
      </x:c>
      <x:c r="Q428" t="str">
        <x:v>Entregue</x:v>
      </x:c>
      <x:c r="R428" t="str">
        <x:v>Cliente indisponivel</x:v>
      </x:c>
      <x:c r="S428" t="str">
        <x:v>Nao</x:v>
      </x:c>
      <x:c r="T428" t="str">
        <x:v>Nao</x:v>
      </x:c>
    </x:row>
    <x:row r="429" ht="19" customHeight="1">
      <x:c r="A429" t="str">
        <x:v>ENT-00428</x:v>
      </x:c>
      <x:c r="B429" s="41" t="n">
        <x:v>46230</x:v>
      </x:c>
      <x:c r="C429" s="41" t="n">
        <x:v>46231</x:v>
      </x:c>
      <x:c r="D429" s="41" t="n">
        <x:v>46232</x:v>
      </x:c>
      <x:c r="E429" t="str">
        <x:v>Luanda Office Supply, Lda.</x:v>
      </x:c>
      <x:c r="F429" t="str">
        <x:v>Nova Vida</x:v>
      </x:c>
      <x:c r="G429" t="str">
        <x:v>Elísio António</x:v>
      </x:c>
      <x:c r="H429" t="str">
        <x:v>VTR-11</x:v>
      </x:c>
      <x:c r="I429" t="str">
        <x:v>JAC N56</x:v>
      </x:c>
      <x:c r="J429" t="n">
        <x:v>3500</x:v>
      </x:c>
      <x:c r="K429" t="n">
        <x:v>53</x:v>
      </x:c>
      <x:c r="L429" t="n">
        <x:v>0</x:v>
      </x:c>
      <x:c r="M429" t="n">
        <x:v>1513.6</x:v>
      </x:c>
      <x:c r="N429" t="n">
        <x:v>15</x:v>
      </x:c>
      <x:c r="O429" s="45" t="n">
        <x:v>193291</x:v>
      </x:c>
      <x:c r="P429" s="45" t="n">
        <x:v>35500</x:v>
      </x:c>
      <x:c r="Q429" t="str">
        <x:v>Falhada</x:v>
      </x:c>
      <x:c r="R429" t="str">
        <x:v>Cliente ausente</x:v>
      </x:c>
      <x:c r="S429" t="str">
        <x:v>Nao</x:v>
      </x:c>
      <x:c r="T429" t="str">
        <x:v>Nao</x:v>
      </x:c>
    </x:row>
    <x:row r="430" ht="19" customHeight="1">
      <x:c r="A430" t="str">
        <x:v>ENT-00429</x:v>
      </x:c>
      <x:c r="B430" s="41" t="n">
        <x:v>46212</x:v>
      </x:c>
      <x:c r="C430" s="41" t="n">
        <x:v>46213</x:v>
      </x:c>
      <x:c r="D430" s="41" t="n">
        <x:v>46214</x:v>
      </x:c>
      <x:c r="E430" t="str">
        <x:v>N'gola Market, Lda.</x:v>
      </x:c>
      <x:c r="F430" t="str">
        <x:v>Morro Bento</x:v>
      </x:c>
      <x:c r="G430" t="str">
        <x:v>Kito Alberto</x:v>
      </x:c>
      <x:c r="H430" t="str">
        <x:v>VTR-11</x:v>
      </x:c>
      <x:c r="I430" t="str">
        <x:v>JAC N56</x:v>
      </x:c>
      <x:c r="J430" t="n">
        <x:v>3500</x:v>
      </x:c>
      <x:c r="K430" t="n">
        <x:v>78</x:v>
      </x:c>
      <x:c r="L430" t="n">
        <x:v>78</x:v>
      </x:c>
      <x:c r="M430" t="n">
        <x:v>1912.7</x:v>
      </x:c>
      <x:c r="N430" t="n">
        <x:v>17</x:v>
      </x:c>
      <x:c r="O430" s="45" t="n">
        <x:v>902928</x:v>
      </x:c>
      <x:c r="P430" s="45" t="n">
        <x:v>47000</x:v>
      </x:c>
      <x:c r="Q430" t="str">
        <x:v>Entregue</x:v>
      </x:c>
      <x:c r="R430" t="str">
        <x:v>Transito intenso</x:v>
      </x:c>
      <x:c r="S430" t="str">
        <x:v>Nao</x:v>
      </x:c>
      <x:c r="T430" t="str">
        <x:v>Nao</x:v>
      </x:c>
    </x:row>
    <x:row r="431" ht="19" customHeight="1">
      <x:c r="A431" t="str">
        <x:v>ENT-00430</x:v>
      </x:c>
      <x:c r="B431" s="41" t="n">
        <x:v>46224</x:v>
      </x:c>
      <x:c r="C431" s="41" t="n">
        <x:v>46225</x:v>
      </x:c>
      <x:c r="D431" s="41" t="n">
        <x:v>46225</x:v>
      </x:c>
      <x:c r="E431" t="str">
        <x:v>Sol Nascente Comércio, Lda.</x:v>
      </x:c>
      <x:c r="F431" t="str">
        <x:v>Maianga</x:v>
      </x:c>
      <x:c r="G431" t="str">
        <x:v>Carlos Mateus</x:v>
      </x:c>
      <x:c r="H431" t="str">
        <x:v>VTR-08</x:v>
      </x:c>
      <x:c r="I431" t="str">
        <x:v>Toyota Hilux</x:v>
      </x:c>
      <x:c r="J431" t="n">
        <x:v>1000</x:v>
      </x:c>
      <x:c r="K431" t="n">
        <x:v>15</x:v>
      </x:c>
      <x:c r="L431" t="n">
        <x:v>15</x:v>
      </x:c>
      <x:c r="M431" t="n">
        <x:v>396.4</x:v>
      </x:c>
      <x:c r="N431" t="n">
        <x:v>19</x:v>
      </x:c>
      <x:c r="O431" s="45" t="n">
        <x:v>178110</x:v>
      </x:c>
      <x:c r="P431" s="45" t="n">
        <x:v>23000</x:v>
      </x:c>
      <x:c r="Q431" t="str">
        <x:v>Entregue</x:v>
      </x:c>
      <x:c r="R431" t="str"/>
      <x:c r="S431" t="str">
        <x:v>Nao</x:v>
      </x:c>
      <x:c r="T431" t="str">
        <x:v>Nao</x:v>
      </x:c>
    </x:row>
    <x:row r="432" ht="19" customHeight="1">
      <x:c r="A432" t="str">
        <x:v>ENT-00431</x:v>
      </x:c>
      <x:c r="B432" s="41" t="n">
        <x:v>46207</x:v>
      </x:c>
      <x:c r="C432" s="41" t="n">
        <x:v>46209</x:v>
      </x:c>
      <x:c r="D432" s="41" t="n">
        <x:v>46209</x:v>
      </x:c>
      <x:c r="E432" t="str">
        <x:v>Mundo Fresco, Lda.</x:v>
      </x:c>
      <x:c r="F432" t="str">
        <x:v>Camama</x:v>
      </x:c>
      <x:c r="G432" t="str">
        <x:v>Hélder Miguel</x:v>
      </x:c>
      <x:c r="H432" t="str">
        <x:v>VTR-11</x:v>
      </x:c>
      <x:c r="I432" t="str">
        <x:v>JAC N56</x:v>
      </x:c>
      <x:c r="J432" t="n">
        <x:v>3500</x:v>
      </x:c>
      <x:c r="K432" t="n">
        <x:v>49</x:v>
      </x:c>
      <x:c r="L432" t="n">
        <x:v>49</x:v>
      </x:c>
      <x:c r="M432" t="n">
        <x:v>1201.3</x:v>
      </x:c>
      <x:c r="N432" t="n">
        <x:v>30</x:v>
      </x:c>
      <x:c r="O432" s="45" t="n">
        <x:v>1046395</x:v>
      </x:c>
      <x:c r="P432" s="45" t="n">
        <x:v>37000</x:v>
      </x:c>
      <x:c r="Q432" t="str">
        <x:v>Entregue</x:v>
      </x:c>
      <x:c r="R432" t="str"/>
      <x:c r="S432" t="str">
        <x:v>Nao</x:v>
      </x:c>
      <x:c r="T432" t="str">
        <x:v>Nao</x:v>
      </x:c>
    </x:row>
    <x:row r="433" ht="19" customHeight="1">
      <x:c r="A433" t="str">
        <x:v>ENT-00432</x:v>
      </x:c>
      <x:c r="B433" s="41" t="n">
        <x:v>46219</x:v>
      </x:c>
      <x:c r="C433" s="41" t="n">
        <x:v>46220</x:v>
      </x:c>
      <x:c r="D433" s="41" t="n">
        <x:v>46220</x:v>
      </x:c>
      <x:c r="E433" t="str">
        <x:v>Mercado Sul, Lda.</x:v>
      </x:c>
      <x:c r="F433" t="str">
        <x:v>Nova Vida</x:v>
      </x:c>
      <x:c r="G433" t="str">
        <x:v>Lucas Tomás</x:v>
      </x:c>
      <x:c r="H433" t="str">
        <x:v>VTR-11</x:v>
      </x:c>
      <x:c r="I433" t="str">
        <x:v>JAC N56</x:v>
      </x:c>
      <x:c r="J433" t="n">
        <x:v>3500</x:v>
      </x:c>
      <x:c r="K433" t="n">
        <x:v>28</x:v>
      </x:c>
      <x:c r="L433" t="n">
        <x:v>28</x:v>
      </x:c>
      <x:c r="M433" t="n">
        <x:v>856.7</x:v>
      </x:c>
      <x:c r="N433" t="n">
        <x:v>15</x:v>
      </x:c>
      <x:c r="O433" s="45" t="n">
        <x:v>373716</x:v>
      </x:c>
      <x:c r="P433" s="45" t="n">
        <x:v>26500</x:v>
      </x:c>
      <x:c r="Q433" t="str">
        <x:v>Entregue</x:v>
      </x:c>
      <x:c r="R433" t="str"/>
      <x:c r="S433" t="str">
        <x:v>Nao</x:v>
      </x:c>
      <x:c r="T433" t="str">
        <x:v>Nao</x:v>
      </x:c>
    </x:row>
    <x:row r="434" ht="19" customHeight="1">
      <x:c r="A434" t="str">
        <x:v>ENT-00433</x:v>
      </x:c>
      <x:c r="B434" s="41" t="n">
        <x:v>46209</x:v>
      </x:c>
      <x:c r="C434" s="41" t="n">
        <x:v>46212</x:v>
      </x:c>
      <x:c r="D434" s="41" t="n">
        <x:v>46212</x:v>
      </x:c>
      <x:c r="E434" t="str">
        <x:v>Maxi Centro, Lda.</x:v>
      </x:c>
      <x:c r="F434" t="str">
        <x:v>Sequele</x:v>
      </x:c>
      <x:c r="G434" t="str">
        <x:v>Elísio António</x:v>
      </x:c>
      <x:c r="H434" t="str">
        <x:v>VTR-05</x:v>
      </x:c>
      <x:c r="I434" t="str">
        <x:v>Hyundai HD65</x:v>
      </x:c>
      <x:c r="J434" t="n">
        <x:v>3500</x:v>
      </x:c>
      <x:c r="K434" t="n">
        <x:v>31</x:v>
      </x:c>
      <x:c r="L434" t="n">
        <x:v>31</x:v>
      </x:c>
      <x:c r="M434" t="n">
        <x:v>687.9</x:v>
      </x:c>
      <x:c r="N434" t="n">
        <x:v>50</x:v>
      </x:c>
      <x:c r="O434" s="45" t="n">
        <x:v>557225</x:v>
      </x:c>
      <x:c r="P434" s="45" t="n">
        <x:v>37500</x:v>
      </x:c>
      <x:c r="Q434" t="str">
        <x:v>Entregue</x:v>
      </x:c>
      <x:c r="R434" t="str"/>
      <x:c r="S434" t="str">
        <x:v>Nao</x:v>
      </x:c>
      <x:c r="T434" t="str">
        <x:v>Nao</x:v>
      </x:c>
    </x:row>
    <x:row r="435" ht="19" customHeight="1">
      <x:c r="A435" t="str">
        <x:v>ENT-00434</x:v>
      </x:c>
      <x:c r="B435" s="41" t="n">
        <x:v>46219</x:v>
      </x:c>
      <x:c r="C435" s="41" t="n">
        <x:v>46221</x:v>
      </x:c>
      <x:c r="D435" s="41" t="n">
        <x:v>46221</x:v>
      </x:c>
      <x:c r="E435" t="str">
        <x:v>Rota Azul, Lda.</x:v>
      </x:c>
      <x:c r="F435" t="str">
        <x:v>Kilamba</x:v>
      </x:c>
      <x:c r="G435" t="str">
        <x:v>Bernardo Paulo</x:v>
      </x:c>
      <x:c r="H435" t="str">
        <x:v>VTR-01</x:v>
      </x:c>
      <x:c r="I435" t="str">
        <x:v>Kia K2700</x:v>
      </x:c>
      <x:c r="J435" t="n">
        <x:v>1500</x:v>
      </x:c>
      <x:c r="K435" t="n">
        <x:v>78</x:v>
      </x:c>
      <x:c r="L435" t="n">
        <x:v>78</x:v>
      </x:c>
      <x:c r="M435" t="n">
        <x:v>746.7</x:v>
      </x:c>
      <x:c r="N435" t="n">
        <x:v>34</x:v>
      </x:c>
      <x:c r="O435" s="45" t="n">
        <x:v>1899690</x:v>
      </x:c>
      <x:c r="P435" s="45" t="n">
        <x:v>34000</x:v>
      </x:c>
      <x:c r="Q435" t="str">
        <x:v>Entregue</x:v>
      </x:c>
      <x:c r="R435" t="str"/>
      <x:c r="S435" t="str">
        <x:v>Nao</x:v>
      </x:c>
      <x:c r="T435" t="str">
        <x:v>Nao</x:v>
      </x:c>
    </x:row>
    <x:row r="436" ht="19" customHeight="1">
      <x:c r="A436" t="str">
        <x:v>ENT-00435</x:v>
      </x:c>
      <x:c r="B436" s="41" t="n">
        <x:v>46241</x:v>
      </x:c>
      <x:c r="C436" s="41" t="n">
        <x:v>46243</x:v>
      </x:c>
      <x:c r="D436" s="41" t="n">
        <x:v>46244</x:v>
      </x:c>
      <x:c r="E436" t="str">
        <x:v>Savana Retail, Lda.</x:v>
      </x:c>
      <x:c r="F436" t="str">
        <x:v>Camama</x:v>
      </x:c>
      <x:c r="G436" t="str">
        <x:v>Carlos Mateus</x:v>
      </x:c>
      <x:c r="H436" t="str">
        <x:v>VTR-04</x:v>
      </x:c>
      <x:c r="I436" t="str">
        <x:v>Toyota Dyna</x:v>
      </x:c>
      <x:c r="J436" t="n">
        <x:v>3000</x:v>
      </x:c>
      <x:c r="K436" t="n">
        <x:v>14</x:v>
      </x:c>
      <x:c r="L436" t="n">
        <x:v>14</x:v>
      </x:c>
      <x:c r="M436" t="n">
        <x:v>483.1</x:v>
      </x:c>
      <x:c r="N436" t="n">
        <x:v>29</x:v>
      </x:c>
      <x:c r="O436" s="45" t="n">
        <x:v>69678</x:v>
      </x:c>
      <x:c r="P436" s="45" t="n">
        <x:v>26500</x:v>
      </x:c>
      <x:c r="Q436" t="str">
        <x:v>Entregue</x:v>
      </x:c>
      <x:c r="R436" t="str">
        <x:v>Transito intenso</x:v>
      </x:c>
      <x:c r="S436" t="str">
        <x:v>Nao</x:v>
      </x:c>
      <x:c r="T436" t="str">
        <x:v>Nao</x:v>
      </x:c>
    </x:row>
    <x:row r="437" ht="19" customHeight="1">
      <x:c r="A437" t="str">
        <x:v>ENT-00436</x:v>
      </x:c>
      <x:c r="B437" s="41" t="n">
        <x:v>46227</x:v>
      </x:c>
      <x:c r="C437" s="41" t="n">
        <x:v>46228</x:v>
      </x:c>
      <x:c r="D437" s="41" t="n">
        <x:v>46228</x:v>
      </x:c>
      <x:c r="E437" t="str">
        <x:v>Bem-Estar Higiene, Lda.</x:v>
      </x:c>
      <x:c r="F437" t="str">
        <x:v>Maianga</x:v>
      </x:c>
      <x:c r="G437" t="str">
        <x:v>Gilberto José</x:v>
      </x:c>
      <x:c r="H437" t="str">
        <x:v>VTR-12</x:v>
      </x:c>
      <x:c r="I437" t="str">
        <x:v>Hyundai H100</x:v>
      </x:c>
      <x:c r="J437" t="n">
        <x:v>1300</x:v>
      </x:c>
      <x:c r="K437" t="n">
        <x:v>32</x:v>
      </x:c>
      <x:c r="L437" t="n">
        <x:v>32</x:v>
      </x:c>
      <x:c r="M437" t="n">
        <x:v>654.8</x:v>
      </x:c>
      <x:c r="N437" t="n">
        <x:v>14</x:v>
      </x:c>
      <x:c r="O437" s="45" t="n">
        <x:v>735968</x:v>
      </x:c>
      <x:c r="P437" s="45" t="n">
        <x:v>26000</x:v>
      </x:c>
      <x:c r="Q437" t="str">
        <x:v>Entregue</x:v>
      </x:c>
      <x:c r="R437" t="str"/>
      <x:c r="S437" t="str">
        <x:v>Nao</x:v>
      </x:c>
      <x:c r="T437" t="str">
        <x:v>Nao</x:v>
      </x:c>
    </x:row>
    <x:row r="438" ht="19" customHeight="1">
      <x:c r="A438" t="str">
        <x:v>ENT-00437</x:v>
      </x:c>
      <x:c r="B438" s="41" t="n">
        <x:v>46244</x:v>
      </x:c>
      <x:c r="C438" s="41" t="n">
        <x:v>46246</x:v>
      </x:c>
      <x:c r="D438" s="41" t="n">
        <x:v>46247</x:v>
      </x:c>
      <x:c r="E438" t="str">
        <x:v>Maxi Centro, Lda.</x:v>
      </x:c>
      <x:c r="F438" t="str">
        <x:v>Kilamba</x:v>
      </x:c>
      <x:c r="G438" t="str">
        <x:v>Félix Domingos</x:v>
      </x:c>
      <x:c r="H438" t="str">
        <x:v>VTR-06</x:v>
      </x:c>
      <x:c r="I438" t="str">
        <x:v>Isuzu NPR</x:v>
      </x:c>
      <x:c r="J438" t="n">
        <x:v>5000</x:v>
      </x:c>
      <x:c r="K438" t="n">
        <x:v>63</x:v>
      </x:c>
      <x:c r="L438" t="n">
        <x:v>63</x:v>
      </x:c>
      <x:c r="M438" t="n">
        <x:v>1333.4</x:v>
      </x:c>
      <x:c r="N438" t="n">
        <x:v>30</x:v>
      </x:c>
      <x:c r="O438" s="45" t="n">
        <x:v>293769</x:v>
      </x:c>
      <x:c r="P438" s="45" t="n">
        <x:v>38000</x:v>
      </x:c>
      <x:c r="Q438" t="str">
        <x:v>Entregue</x:v>
      </x:c>
      <x:c r="R438" t="str">
        <x:v>Chuva/condicao da via</x:v>
      </x:c>
      <x:c r="S438" t="str">
        <x:v>Nao</x:v>
      </x:c>
      <x:c r="T438" t="str">
        <x:v>Nao</x:v>
      </x:c>
    </x:row>
    <x:row r="439" ht="19" customHeight="1">
      <x:c r="A439" t="str">
        <x:v>ENT-00438</x:v>
      </x:c>
      <x:c r="B439" s="41" t="n">
        <x:v>46265</x:v>
      </x:c>
      <x:c r="C439" s="41" t="n">
        <x:v>46267</x:v>
      </x:c>
      <x:c r="D439" s="41" t="n">
        <x:v>46269</x:v>
      </x:c>
      <x:c r="E439" t="str">
        <x:v>N'gola Market, Lda.</x:v>
      </x:c>
      <x:c r="F439" t="str">
        <x:v>Talatona</x:v>
      </x:c>
      <x:c r="G439" t="str">
        <x:v>Lucas Tomás</x:v>
      </x:c>
      <x:c r="H439" t="str">
        <x:v>VTR-12</x:v>
      </x:c>
      <x:c r="I439" t="str">
        <x:v>Hyundai H100</x:v>
      </x:c>
      <x:c r="J439" t="n">
        <x:v>1300</x:v>
      </x:c>
      <x:c r="K439" t="n">
        <x:v>74</x:v>
      </x:c>
      <x:c r="L439" t="n">
        <x:v>0</x:v>
      </x:c>
      <x:c r="M439" t="n">
        <x:v>812.1</x:v>
      </x:c>
      <x:c r="N439" t="n">
        <x:v>31</x:v>
      </x:c>
      <x:c r="O439" s="45" t="n">
        <x:v>646538</x:v>
      </x:c>
      <x:c r="P439" s="45" t="n">
        <x:v>34500</x:v>
      </x:c>
      <x:c r="Q439" t="str">
        <x:v>Falhada</x:v>
      </x:c>
      <x:c r="R439" t="str">
        <x:v>Acesso condicionado</x:v>
      </x:c>
      <x:c r="S439" t="str">
        <x:v>Nao</x:v>
      </x:c>
      <x:c r="T439" t="str">
        <x:v>Nao</x:v>
      </x:c>
    </x:row>
    <x:row r="440" ht="19" customHeight="1">
      <x:c r="A440" t="str">
        <x:v>ENT-00439</x:v>
      </x:c>
      <x:c r="B440" s="41" t="n">
        <x:v>46241</x:v>
      </x:c>
      <x:c r="C440" s="41" t="n">
        <x:v>46243</x:v>
      </x:c>
      <x:c r="D440" s="41" t="n">
        <x:v>46243</x:v>
      </x:c>
      <x:c r="E440" t="str">
        <x:v>Prime Stock, Lda.</x:v>
      </x:c>
      <x:c r="F440" t="str">
        <x:v>Morro Bento</x:v>
      </x:c>
      <x:c r="G440" t="str">
        <x:v>Hélder Miguel</x:v>
      </x:c>
      <x:c r="H440" t="str">
        <x:v>VTR-02</x:v>
      </x:c>
      <x:c r="I440" t="str">
        <x:v>Kia K2700</x:v>
      </x:c>
      <x:c r="J440" t="n">
        <x:v>1500</x:v>
      </x:c>
      <x:c r="K440" t="n">
        <x:v>37</x:v>
      </x:c>
      <x:c r="L440" t="n">
        <x:v>37</x:v>
      </x:c>
      <x:c r="M440" t="n">
        <x:v>297.8</x:v>
      </x:c>
      <x:c r="N440" t="n">
        <x:v>20</x:v>
      </x:c>
      <x:c r="O440" s="45" t="n">
        <x:v>497835</x:v>
      </x:c>
      <x:c r="P440" s="45" t="n">
        <x:v>19500</x:v>
      </x:c>
      <x:c r="Q440" t="str">
        <x:v>Entregue</x:v>
      </x:c>
      <x:c r="R440" t="str"/>
      <x:c r="S440" t="str">
        <x:v>Nao</x:v>
      </x:c>
      <x:c r="T440" t="str">
        <x:v>Nao</x:v>
      </x:c>
    </x:row>
    <x:row r="441" ht="19" customHeight="1">
      <x:c r="A441" t="str">
        <x:v>ENT-00440</x:v>
      </x:c>
      <x:c r="B441" s="41" t="n">
        <x:v>46233</x:v>
      </x:c>
      <x:c r="C441" s="41" t="n">
        <x:v>46235</x:v>
      </x:c>
      <x:c r="D441" s="41" t="n">
        <x:v>46235</x:v>
      </x:c>
      <x:c r="E441" t="str">
        <x:v>Via Certa Serviços, Lda.</x:v>
      </x:c>
      <x:c r="F441" t="str">
        <x:v>Viana</x:v>
      </x:c>
      <x:c r="G441" t="str">
        <x:v>Kito Alberto</x:v>
      </x:c>
      <x:c r="H441" t="str">
        <x:v>VTR-03</x:v>
      </x:c>
      <x:c r="I441" t="str">
        <x:v>Toyota Dyna</x:v>
      </x:c>
      <x:c r="J441" t="n">
        <x:v>3000</x:v>
      </x:c>
      <x:c r="K441" t="n">
        <x:v>66</x:v>
      </x:c>
      <x:c r="L441" t="n">
        <x:v>66</x:v>
      </x:c>
      <x:c r="M441" t="n">
        <x:v>2005</x:v>
      </x:c>
      <x:c r="N441" t="n">
        <x:v>31</x:v>
      </x:c>
      <x:c r="O441" s="45" t="n">
        <x:v>1148004</x:v>
      </x:c>
      <x:c r="P441" s="45" t="n">
        <x:v>49500</x:v>
      </x:c>
      <x:c r="Q441" t="str">
        <x:v>Entregue</x:v>
      </x:c>
      <x:c r="R441" t="str"/>
      <x:c r="S441" t="str">
        <x:v>Nao</x:v>
      </x:c>
      <x:c r="T441" t="str">
        <x:v>Nao</x:v>
      </x:c>
    </x:row>
    <x:row r="442" ht="19" customHeight="1">
      <x:c r="A442" t="str">
        <x:v>ENT-00441</x:v>
      </x:c>
      <x:c r="B442" s="41" t="n">
        <x:v>46211</x:v>
      </x:c>
      <x:c r="C442" s="41" t="n">
        <x:v>46214</x:v>
      </x:c>
      <x:c r="D442" s="41" t="n">
        <x:v>46214</x:v>
      </x:c>
      <x:c r="E442" t="str">
        <x:v>Casa Horizonte, Lda.</x:v>
      </x:c>
      <x:c r="F442" t="str">
        <x:v>Sequele</x:v>
      </x:c>
      <x:c r="G442" t="str">
        <x:v>Lucas Tomás</x:v>
      </x:c>
      <x:c r="H442" t="str">
        <x:v>VTR-03</x:v>
      </x:c>
      <x:c r="I442" t="str">
        <x:v>Toyota Dyna</x:v>
      </x:c>
      <x:c r="J442" t="n">
        <x:v>3000</x:v>
      </x:c>
      <x:c r="K442" t="n">
        <x:v>29</x:v>
      </x:c>
      <x:c r="L442" t="n">
        <x:v>29</x:v>
      </x:c>
      <x:c r="M442" t="n">
        <x:v>667.4</x:v>
      </x:c>
      <x:c r="N442" t="n">
        <x:v>54</x:v>
      </x:c>
      <x:c r="O442" s="45" t="n">
        <x:v>216920</x:v>
      </x:c>
      <x:c r="P442" s="45" t="n">
        <x:v>44000</x:v>
      </x:c>
      <x:c r="Q442" t="str">
        <x:v>Entregue</x:v>
      </x:c>
      <x:c r="R442" t="str"/>
      <x:c r="S442" t="str">
        <x:v>Nao</x:v>
      </x:c>
      <x:c r="T442" t="str">
        <x:v>Nao</x:v>
      </x:c>
    </x:row>
    <x:row r="443" ht="19" customHeight="1">
      <x:c r="A443" t="str">
        <x:v>ENT-00442</x:v>
      </x:c>
      <x:c r="B443" s="41" t="n">
        <x:v>46243</x:v>
      </x:c>
      <x:c r="C443" s="41" t="n">
        <x:v>46244</x:v>
      </x:c>
      <x:c r="D443" s="41" t="n">
        <x:v>46244</x:v>
      </x:c>
      <x:c r="E443" t="str">
        <x:v>Mundo Fresco, Lda.</x:v>
      </x:c>
      <x:c r="F443" t="str">
        <x:v>Morro Bento</x:v>
      </x:c>
      <x:c r="G443" t="str">
        <x:v>Félix Domingos</x:v>
      </x:c>
      <x:c r="H443" t="str">
        <x:v>VTR-03</x:v>
      </x:c>
      <x:c r="I443" t="str">
        <x:v>Toyota Dyna</x:v>
      </x:c>
      <x:c r="J443" t="n">
        <x:v>3000</x:v>
      </x:c>
      <x:c r="K443" t="n">
        <x:v>15</x:v>
      </x:c>
      <x:c r="L443" t="n">
        <x:v>15</x:v>
      </x:c>
      <x:c r="M443" t="n">
        <x:v>474.1</x:v>
      </x:c>
      <x:c r="N443" t="n">
        <x:v>16</x:v>
      </x:c>
      <x:c r="O443" s="45" t="n">
        <x:v>252375</x:v>
      </x:c>
      <x:c r="P443" s="45" t="n">
        <x:v>20500</x:v>
      </x:c>
      <x:c r="Q443" t="str">
        <x:v>Entregue</x:v>
      </x:c>
      <x:c r="R443" t="str"/>
      <x:c r="S443" t="str">
        <x:v>Nao</x:v>
      </x:c>
      <x:c r="T443" t="str">
        <x:v>Nao</x:v>
      </x:c>
    </x:row>
    <x:row r="444" ht="19" customHeight="1">
      <x:c r="A444" t="str">
        <x:v>ENT-00443</x:v>
      </x:c>
      <x:c r="B444" s="41" t="n">
        <x:v>46249</x:v>
      </x:c>
      <x:c r="C444" s="41" t="n">
        <x:v>46251</x:v>
      </x:c>
      <x:c r="D444" s="41" t="n">
        <x:v>46250</x:v>
      </x:c>
      <x:c r="E444" t="str">
        <x:v>Luanda Office Supply, Lda.</x:v>
      </x:c>
      <x:c r="F444" t="str">
        <x:v>Talatona</x:v>
      </x:c>
      <x:c r="G444" t="str">
        <x:v>Gilberto José</x:v>
      </x:c>
      <x:c r="H444" t="str">
        <x:v>VTR-12</x:v>
      </x:c>
      <x:c r="I444" t="str">
        <x:v>Hyundai H100</x:v>
      </x:c>
      <x:c r="J444" t="n">
        <x:v>1300</x:v>
      </x:c>
      <x:c r="K444" t="n">
        <x:v>62</x:v>
      </x:c>
      <x:c r="L444" t="n">
        <x:v>62</x:v>
      </x:c>
      <x:c r="M444" t="n">
        <x:v>1025.5</x:v>
      </x:c>
      <x:c r="N444" t="n">
        <x:v>26</x:v>
      </x:c>
      <x:c r="O444" s="45" t="n">
        <x:v>1600840</x:v>
      </x:c>
      <x:c r="P444" s="45" t="n">
        <x:v>38000</x:v>
      </x:c>
      <x:c r="Q444" t="str">
        <x:v>Entregue</x:v>
      </x:c>
      <x:c r="R444" t="str"/>
      <x:c r="S444" t="str">
        <x:v>Nao</x:v>
      </x:c>
      <x:c r="T444" t="str">
        <x:v>Nao</x:v>
      </x:c>
    </x:row>
    <x:row r="445" ht="19" customHeight="1">
      <x:c r="A445" t="str">
        <x:v>ENT-00444</x:v>
      </x:c>
      <x:c r="B445" s="41" t="n">
        <x:v>46263</x:v>
      </x:c>
      <x:c r="C445" s="41" t="n">
        <x:v>46265</x:v>
      </x:c>
      <x:c r="D445" s="41" t="n">
        <x:v>46267</x:v>
      </x:c>
      <x:c r="E445" t="str">
        <x:v>Via Certa Serviços, Lda.</x:v>
      </x:c>
      <x:c r="F445" t="str">
        <x:v>Camama</x:v>
      </x:c>
      <x:c r="G445" t="str">
        <x:v>Adriano Manuel</x:v>
      </x:c>
      <x:c r="H445" t="str">
        <x:v>VTR-01</x:v>
      </x:c>
      <x:c r="I445" t="str">
        <x:v>Kia K2700</x:v>
      </x:c>
      <x:c r="J445" t="n">
        <x:v>1500</x:v>
      </x:c>
      <x:c r="K445" t="n">
        <x:v>13</x:v>
      </x:c>
      <x:c r="L445" t="n">
        <x:v>13</x:v>
      </x:c>
      <x:c r="M445" t="n">
        <x:v>397.3</x:v>
      </x:c>
      <x:c r="N445" t="n">
        <x:v>20</x:v>
      </x:c>
      <x:c r="O445" s="45" t="n">
        <x:v>168922</x:v>
      </x:c>
      <x:c r="P445" s="45" t="n">
        <x:v>20000</x:v>
      </x:c>
      <x:c r="Q445" t="str">
        <x:v>Entregue</x:v>
      </x:c>
      <x:c r="R445" t="str">
        <x:v>Transito intenso</x:v>
      </x:c>
      <x:c r="S445" t="str">
        <x:v>Nao</x:v>
      </x:c>
      <x:c r="T445" t="str">
        <x:v>Nao</x:v>
      </x:c>
    </x:row>
    <x:row r="446" ht="19" customHeight="1">
      <x:c r="A446" t="str">
        <x:v>ENT-00445</x:v>
      </x:c>
      <x:c r="B446" s="41" t="n">
        <x:v>46244</x:v>
      </x:c>
      <x:c r="C446" s="41" t="n">
        <x:v>46246</x:v>
      </x:c>
      <x:c r="D446" s="41" t="n">
        <x:v>46246</x:v>
      </x:c>
      <x:c r="E446" t="str">
        <x:v>Via Certa Serviços, Lda.</x:v>
      </x:c>
      <x:c r="F446" t="str">
        <x:v>Maianga</x:v>
      </x:c>
      <x:c r="G446" t="str">
        <x:v>Isaías Pedro</x:v>
      </x:c>
      <x:c r="H446" t="str">
        <x:v>VTR-04</x:v>
      </x:c>
      <x:c r="I446" t="str">
        <x:v>Toyota Dyna</x:v>
      </x:c>
      <x:c r="J446" t="n">
        <x:v>3000</x:v>
      </x:c>
      <x:c r="K446" t="n">
        <x:v>46</x:v>
      </x:c>
      <x:c r="L446" t="n">
        <x:v>46</x:v>
      </x:c>
      <x:c r="M446" t="n">
        <x:v>1361.8</x:v>
      </x:c>
      <x:c r="N446" t="n">
        <x:v>22</x:v>
      </x:c>
      <x:c r="O446" s="45" t="n">
        <x:v>551034</x:v>
      </x:c>
      <x:c r="P446" s="45" t="n">
        <x:v>40500</x:v>
      </x:c>
      <x:c r="Q446" t="str">
        <x:v>Entregue</x:v>
      </x:c>
      <x:c r="R446" t="str"/>
      <x:c r="S446" t="str">
        <x:v>Nao</x:v>
      </x:c>
      <x:c r="T446" t="str">
        <x:v>Nao</x:v>
      </x:c>
    </x:row>
    <x:row r="447" ht="19" customHeight="1">
      <x:c r="A447" t="str">
        <x:v>ENT-00446</x:v>
      </x:c>
      <x:c r="B447" s="41" t="n">
        <x:v>46252</x:v>
      </x:c>
      <x:c r="C447" s="41" t="n">
        <x:v>46253</x:v>
      </x:c>
      <x:c r="D447" s="41" t="n">
        <x:v>46256</x:v>
      </x:c>
      <x:c r="E447" t="str">
        <x:v>Savana Retail, Lda.</x:v>
      </x:c>
      <x:c r="F447" t="str">
        <x:v>Nova Vida</x:v>
      </x:c>
      <x:c r="G447" t="str">
        <x:v>Lucas Tomás</x:v>
      </x:c>
      <x:c r="H447" t="str">
        <x:v>VTR-05</x:v>
      </x:c>
      <x:c r="I447" t="str">
        <x:v>Hyundai HD65</x:v>
      </x:c>
      <x:c r="J447" t="n">
        <x:v>3500</x:v>
      </x:c>
      <x:c r="K447" t="n">
        <x:v>53</x:v>
      </x:c>
      <x:c r="L447" t="n">
        <x:v>53</x:v>
      </x:c>
      <x:c r="M447" t="n">
        <x:v>549.9</x:v>
      </x:c>
      <x:c r="N447" t="n">
        <x:v>16</x:v>
      </x:c>
      <x:c r="O447" s="45" t="n">
        <x:v>1373654</x:v>
      </x:c>
      <x:c r="P447" s="45" t="n">
        <x:v>20500</x:v>
      </x:c>
      <x:c r="Q447" t="str">
        <x:v>Entregue</x:v>
      </x:c>
      <x:c r="R447" t="str">
        <x:v>Transito intenso</x:v>
      </x:c>
      <x:c r="S447" t="str">
        <x:v>Nao</x:v>
      </x:c>
      <x:c r="T447" t="str">
        <x:v>Nao</x:v>
      </x:c>
    </x:row>
    <x:row r="448" ht="19" customHeight="1">
      <x:c r="A448" t="str">
        <x:v>ENT-00447</x:v>
      </x:c>
      <x:c r="B448" s="41" t="n">
        <x:v>46216</x:v>
      </x:c>
      <x:c r="C448" s="41" t="n">
        <x:v>46218</x:v>
      </x:c>
      <x:c r="D448" s="41" t="n">
        <x:v>46218</x:v>
      </x:c>
      <x:c r="E448" t="str">
        <x:v>Kwanza Distribuição, Lda.</x:v>
      </x:c>
      <x:c r="F448" t="str">
        <x:v>Viana</x:v>
      </x:c>
      <x:c r="G448" t="str">
        <x:v>Isaías Pedro</x:v>
      </x:c>
      <x:c r="H448" t="str">
        <x:v>VTR-02</x:v>
      </x:c>
      <x:c r="I448" t="str">
        <x:v>Kia K2700</x:v>
      </x:c>
      <x:c r="J448" t="n">
        <x:v>1500</x:v>
      </x:c>
      <x:c r="K448" t="n">
        <x:v>68</x:v>
      </x:c>
      <x:c r="L448" t="n">
        <x:v>68</x:v>
      </x:c>
      <x:c r="M448" t="n">
        <x:v>840.6</x:v>
      </x:c>
      <x:c r="N448" t="n">
        <x:v>22</x:v>
      </x:c>
      <x:c r="O448" s="45" t="n">
        <x:v>1305804</x:v>
      </x:c>
      <x:c r="P448" s="45" t="n">
        <x:v>30000</x:v>
      </x:c>
      <x:c r="Q448" t="str">
        <x:v>Entregue</x:v>
      </x:c>
      <x:c r="R448" t="str"/>
      <x:c r="S448" t="str">
        <x:v>Nao</x:v>
      </x:c>
      <x:c r="T448" t="str">
        <x:v>Nao</x:v>
      </x:c>
    </x:row>
    <x:row r="449" ht="19" customHeight="1">
      <x:c r="A449" t="str">
        <x:v>ENT-00448</x:v>
      </x:c>
      <x:c r="B449" s="41" t="n">
        <x:v>46227</x:v>
      </x:c>
      <x:c r="C449" s="41" t="n">
        <x:v>46229</x:v>
      </x:c>
      <x:c r="D449" s="41" t="n">
        <x:v>46229</x:v>
      </x:c>
      <x:c r="E449" t="str">
        <x:v>Nova Rota Comercial, Lda.</x:v>
      </x:c>
      <x:c r="F449" t="str">
        <x:v>Viana</x:v>
      </x:c>
      <x:c r="G449" t="str">
        <x:v>Félix Domingos</x:v>
      </x:c>
      <x:c r="H449" t="str">
        <x:v>VTR-10</x:v>
      </x:c>
      <x:c r="I449" t="str">
        <x:v>Foton Aumark</x:v>
      </x:c>
      <x:c r="J449" t="n">
        <x:v>4000</x:v>
      </x:c>
      <x:c r="K449" t="n">
        <x:v>26</x:v>
      </x:c>
      <x:c r="L449" t="n">
        <x:v>26</x:v>
      </x:c>
      <x:c r="M449" t="n">
        <x:v>848.1</x:v>
      </x:c>
      <x:c r="N449" t="n">
        <x:v>31</x:v>
      </x:c>
      <x:c r="O449" s="45" t="n">
        <x:v>266292</x:v>
      </x:c>
      <x:c r="P449" s="45" t="n">
        <x:v>38500</x:v>
      </x:c>
      <x:c r="Q449" t="str">
        <x:v>Entregue</x:v>
      </x:c>
      <x:c r="R449" t="str"/>
      <x:c r="S449" t="str">
        <x:v>Nao</x:v>
      </x:c>
      <x:c r="T449" t="str">
        <x:v>Nao</x:v>
      </x:c>
    </x:row>
    <x:row r="450" ht="19" customHeight="1">
      <x:c r="A450" t="str">
        <x:v>ENT-00449</x:v>
      </x:c>
      <x:c r="B450" s="41" t="n">
        <x:v>46235</x:v>
      </x:c>
      <x:c r="C450" s="41" t="n">
        <x:v>46238</x:v>
      </x:c>
      <x:c r="D450" s="41" t="n">
        <x:v>46238</x:v>
      </x:c>
      <x:c r="E450" t="str">
        <x:v>Maxi Centro, Lda.</x:v>
      </x:c>
      <x:c r="F450" t="str">
        <x:v>Cacuaco</x:v>
      </x:c>
      <x:c r="G450" t="str">
        <x:v>Isaías Pedro</x:v>
      </x:c>
      <x:c r="H450" t="str">
        <x:v>VTR-07</x:v>
      </x:c>
      <x:c r="I450" t="str">
        <x:v>Isuzu NPR</x:v>
      </x:c>
      <x:c r="J450" t="n">
        <x:v>5000</x:v>
      </x:c>
      <x:c r="K450" t="n">
        <x:v>14</x:v>
      </x:c>
      <x:c r="L450" t="n">
        <x:v>14</x:v>
      </x:c>
      <x:c r="M450" t="n">
        <x:v>250.6</x:v>
      </x:c>
      <x:c r="N450" t="n">
        <x:v>51</x:v>
      </x:c>
      <x:c r="O450" s="45" t="n">
        <x:v>181496</x:v>
      </x:c>
      <x:c r="P450" s="45" t="n">
        <x:v>32000</x:v>
      </x:c>
      <x:c r="Q450" t="str">
        <x:v>Entregue</x:v>
      </x:c>
      <x:c r="R450" t="str"/>
      <x:c r="S450" t="str">
        <x:v>Nao</x:v>
      </x:c>
      <x:c r="T450" t="str">
        <x:v>Nao</x:v>
      </x:c>
    </x:row>
    <x:row r="451" ht="19" customHeight="1">
      <x:c r="A451" t="str">
        <x:v>ENT-00450</x:v>
      </x:c>
      <x:c r="B451" s="41" t="n">
        <x:v>46257</x:v>
      </x:c>
      <x:c r="C451" s="41" t="n">
        <x:v>46258</x:v>
      </x:c>
      <x:c r="D451" s="41" t="n">
        <x:v>46259</x:v>
      </x:c>
      <x:c r="E451" t="str">
        <x:v>Luanda Office Supply, Lda.</x:v>
      </x:c>
      <x:c r="F451" t="str">
        <x:v>Ingombota</x:v>
      </x:c>
      <x:c r="G451" t="str">
        <x:v>Hélder Miguel</x:v>
      </x:c>
      <x:c r="H451" t="str">
        <x:v>VTR-12</x:v>
      </x:c>
      <x:c r="I451" t="str">
        <x:v>Hyundai H100</x:v>
      </x:c>
      <x:c r="J451" t="n">
        <x:v>1300</x:v>
      </x:c>
      <x:c r="K451" t="n">
        <x:v>68</x:v>
      </x:c>
      <x:c r="L451" t="n">
        <x:v>0</x:v>
      </x:c>
      <x:c r="M451" t="n">
        <x:v>874.8</x:v>
      </x:c>
      <x:c r="N451" t="n">
        <x:v>12</x:v>
      </x:c>
      <x:c r="O451" s="45" t="n">
        <x:v>1624860</x:v>
      </x:c>
      <x:c r="P451" s="45" t="n">
        <x:v>30000</x:v>
      </x:c>
      <x:c r="Q451" t="str">
        <x:v>Falhada</x:v>
      </x:c>
      <x:c r="R451" t="str">
        <x:v>Endereco incompleto</x:v>
      </x:c>
      <x:c r="S451" t="str">
        <x:v>Nao</x:v>
      </x:c>
      <x:c r="T451" t="str">
        <x:v>Nao</x:v>
      </x:c>
    </x:row>
    <x:row r="452" ht="19" customHeight="1">
      <x:c r="A452" t="str">
        <x:v>ENT-00451</x:v>
      </x:c>
      <x:c r="B452" s="41" t="n">
        <x:v>46242</x:v>
      </x:c>
      <x:c r="C452" s="41" t="n">
        <x:v>46243</x:v>
      </x:c>
      <x:c r="D452" s="41" t="n">
        <x:v>46243</x:v>
      </x:c>
      <x:c r="E452" t="str">
        <x:v>Casa Horizonte, Lda.</x:v>
      </x:c>
      <x:c r="F452" t="str">
        <x:v>Nova Vida</x:v>
      </x:c>
      <x:c r="G452" t="str">
        <x:v>Jorge Mário</x:v>
      </x:c>
      <x:c r="H452" t="str">
        <x:v>VTR-12</x:v>
      </x:c>
      <x:c r="I452" t="str">
        <x:v>Hyundai H100</x:v>
      </x:c>
      <x:c r="J452" t="n">
        <x:v>1300</x:v>
      </x:c>
      <x:c r="K452" t="n">
        <x:v>14</x:v>
      </x:c>
      <x:c r="L452" t="n">
        <x:v>14</x:v>
      </x:c>
      <x:c r="M452" t="n">
        <x:v>170.3</x:v>
      </x:c>
      <x:c r="N452" t="n">
        <x:v>17</x:v>
      </x:c>
      <x:c r="O452" s="45" t="n">
        <x:v>135590</x:v>
      </x:c>
      <x:c r="P452" s="45" t="n">
        <x:v>17000</x:v>
      </x:c>
      <x:c r="Q452" t="str">
        <x:v>Entregue</x:v>
      </x:c>
      <x:c r="R452" t="str"/>
      <x:c r="S452" t="str">
        <x:v>Nao</x:v>
      </x:c>
      <x:c r="T452" t="str">
        <x:v>Nao</x:v>
      </x:c>
    </x:row>
    <x:row r="453" ht="19" customHeight="1">
      <x:c r="A453" t="str">
        <x:v>ENT-00452</x:v>
      </x:c>
      <x:c r="B453" s="41" t="n">
        <x:v>46208</x:v>
      </x:c>
      <x:c r="C453" s="41" t="n">
        <x:v>46211</x:v>
      </x:c>
      <x:c r="D453" s="41" t="n">
        <x:v>46211</x:v>
      </x:c>
      <x:c r="E453" t="str">
        <x:v>Nova Rota Comercial, Lda.</x:v>
      </x:c>
      <x:c r="F453" t="str">
        <x:v>Sequele</x:v>
      </x:c>
      <x:c r="G453" t="str">
        <x:v>Isaías Pedro</x:v>
      </x:c>
      <x:c r="H453" t="str">
        <x:v>VTR-07</x:v>
      </x:c>
      <x:c r="I453" t="str">
        <x:v>Isuzu NPR</x:v>
      </x:c>
      <x:c r="J453" t="n">
        <x:v>5000</x:v>
      </x:c>
      <x:c r="K453" t="n">
        <x:v>22</x:v>
      </x:c>
      <x:c r="L453" t="n">
        <x:v>22</x:v>
      </x:c>
      <x:c r="M453" t="n">
        <x:v>213.7</x:v>
      </x:c>
      <x:c r="N453" t="n">
        <x:v>44</x:v>
      </x:c>
      <x:c r="O453" s="45" t="n">
        <x:v>135212</x:v>
      </x:c>
      <x:c r="P453" s="45" t="n">
        <x:v>27000</x:v>
      </x:c>
      <x:c r="Q453" t="str">
        <x:v>Entregue</x:v>
      </x:c>
      <x:c r="R453" t="str"/>
      <x:c r="S453" t="str">
        <x:v>Nao</x:v>
      </x:c>
      <x:c r="T453" t="str">
        <x:v>Nao</x:v>
      </x:c>
    </x:row>
    <x:row r="454" ht="19" customHeight="1">
      <x:c r="A454" t="str">
        <x:v>ENT-00453</x:v>
      </x:c>
      <x:c r="B454" s="41" t="n">
        <x:v>46249</x:v>
      </x:c>
      <x:c r="C454" s="41" t="n">
        <x:v>46252</x:v>
      </x:c>
      <x:c r="D454" s="41" t="n">
        <x:v>46252</x:v>
      </x:c>
      <x:c r="E454" t="str">
        <x:v>Luanda Office Supply, Lda.</x:v>
      </x:c>
      <x:c r="F454" t="str">
        <x:v>Sequele</x:v>
      </x:c>
      <x:c r="G454" t="str">
        <x:v>Carlos Mateus</x:v>
      </x:c>
      <x:c r="H454" t="str">
        <x:v>VTR-02</x:v>
      </x:c>
      <x:c r="I454" t="str">
        <x:v>Kia K2700</x:v>
      </x:c>
      <x:c r="J454" t="n">
        <x:v>1500</x:v>
      </x:c>
      <x:c r="K454" t="n">
        <x:v>84</x:v>
      </x:c>
      <x:c r="L454" t="n">
        <x:v>84</x:v>
      </x:c>
      <x:c r="M454" t="n">
        <x:v>1139.6</x:v>
      </x:c>
      <x:c r="N454" t="n">
        <x:v>44</x:v>
      </x:c>
      <x:c r="O454" s="45" t="n">
        <x:v>609420</x:v>
      </x:c>
      <x:c r="P454" s="45" t="n">
        <x:v>42500</x:v>
      </x:c>
      <x:c r="Q454" t="str">
        <x:v>Entregue</x:v>
      </x:c>
      <x:c r="R454" t="str"/>
      <x:c r="S454" t="str">
        <x:v>Nao</x:v>
      </x:c>
      <x:c r="T454" t="str">
        <x:v>Nao</x:v>
      </x:c>
    </x:row>
    <x:row r="455" ht="19" customHeight="1">
      <x:c r="A455" t="str">
        <x:v>ENT-00454</x:v>
      </x:c>
      <x:c r="B455" s="41" t="n">
        <x:v>46219</x:v>
      </x:c>
      <x:c r="C455" s="41" t="n">
        <x:v>46221</x:v>
      </x:c>
      <x:c r="D455" s="41" t="n">
        <x:v>46221</x:v>
      </x:c>
      <x:c r="E455" t="str">
        <x:v>Savana Retail, Lda.</x:v>
      </x:c>
      <x:c r="F455" t="str">
        <x:v>Benfica</x:v>
      </x:c>
      <x:c r="G455" t="str">
        <x:v>Elísio António</x:v>
      </x:c>
      <x:c r="H455" t="str">
        <x:v>VTR-12</x:v>
      </x:c>
      <x:c r="I455" t="str">
        <x:v>Hyundai H100</x:v>
      </x:c>
      <x:c r="J455" t="n">
        <x:v>1300</x:v>
      </x:c>
      <x:c r="K455" t="n">
        <x:v>14</x:v>
      </x:c>
      <x:c r="L455" t="n">
        <x:v>14</x:v>
      </x:c>
      <x:c r="M455" t="n">
        <x:v>214.6</x:v>
      </x:c>
      <x:c r="N455" t="n">
        <x:v>30</x:v>
      </x:c>
      <x:c r="O455" s="45" t="n">
        <x:v>87164</x:v>
      </x:c>
      <x:c r="P455" s="45" t="n">
        <x:v>24000</x:v>
      </x:c>
      <x:c r="Q455" t="str">
        <x:v>Entregue</x:v>
      </x:c>
      <x:c r="R455" t="str"/>
      <x:c r="S455" t="str">
        <x:v>Nao</x:v>
      </x:c>
      <x:c r="T455" t="str">
        <x:v>Nao</x:v>
      </x:c>
    </x:row>
    <x:row r="456" ht="19" customHeight="1">
      <x:c r="A456" t="str">
        <x:v>ENT-00455</x:v>
      </x:c>
      <x:c r="B456" s="41" t="n">
        <x:v>46242</x:v>
      </x:c>
      <x:c r="C456" s="41" t="n">
        <x:v>46244</x:v>
      </x:c>
      <x:c r="D456" s="41" t="n">
        <x:v>46244</x:v>
      </x:c>
      <x:c r="E456" t="str">
        <x:v>Kwanza Distribuição, Lda.</x:v>
      </x:c>
      <x:c r="F456" t="str">
        <x:v>Benfica</x:v>
      </x:c>
      <x:c r="G456" t="str">
        <x:v>Elísio António</x:v>
      </x:c>
      <x:c r="H456" t="str">
        <x:v>VTR-08</x:v>
      </x:c>
      <x:c r="I456" t="str">
        <x:v>Toyota Hilux</x:v>
      </x:c>
      <x:c r="J456" t="n">
        <x:v>1000</x:v>
      </x:c>
      <x:c r="K456" t="n">
        <x:v>69</x:v>
      </x:c>
      <x:c r="L456" t="n">
        <x:v>67</x:v>
      </x:c>
      <x:c r="M456" t="n">
        <x:v>561.6</x:v>
      </x:c>
      <x:c r="N456" t="n">
        <x:v>35</x:v>
      </x:c>
      <x:c r="O456" s="45" t="n">
        <x:v>1189560</x:v>
      </x:c>
      <x:c r="P456" s="45" t="n">
        <x:v>31000</x:v>
      </x:c>
      <x:c r="Q456" t="str">
        <x:v>Entregue</x:v>
      </x:c>
      <x:c r="R456" t="str"/>
      <x:c r="S456" t="str">
        <x:v>Nao</x:v>
      </x:c>
      <x:c r="T456" t="str">
        <x:v>Nao</x:v>
      </x:c>
    </x:row>
    <x:row r="457" ht="19" customHeight="1">
      <x:c r="A457" t="str">
        <x:v>ENT-00456</x:v>
      </x:c>
      <x:c r="B457" s="41" t="n">
        <x:v>46204</x:v>
      </x:c>
      <x:c r="C457" s="41" t="n">
        <x:v>46206</x:v>
      </x:c>
      <x:c r="D457" s="41" t="n">
        <x:v>46206</x:v>
      </x:c>
      <x:c r="E457" t="str">
        <x:v>Mundo Fresco, Lda.</x:v>
      </x:c>
      <x:c r="F457" t="str">
        <x:v>Kilamba</x:v>
      </x:c>
      <x:c r="G457" t="str">
        <x:v>Kito Alberto</x:v>
      </x:c>
      <x:c r="H457" t="str">
        <x:v>VTR-05</x:v>
      </x:c>
      <x:c r="I457" t="str">
        <x:v>Hyundai HD65</x:v>
      </x:c>
      <x:c r="J457" t="n">
        <x:v>3500</x:v>
      </x:c>
      <x:c r="K457" t="n">
        <x:v>32</x:v>
      </x:c>
      <x:c r="L457" t="n">
        <x:v>32</x:v>
      </x:c>
      <x:c r="M457" t="n">
        <x:v>1036.1</x:v>
      </x:c>
      <x:c r="N457" t="n">
        <x:v>27</x:v>
      </x:c>
      <x:c r="O457" s="45" t="n">
        <x:v>242944</x:v>
      </x:c>
      <x:c r="P457" s="45" t="n">
        <x:v>34000</x:v>
      </x:c>
      <x:c r="Q457" t="str">
        <x:v>Entregue</x:v>
      </x:c>
      <x:c r="R457" t="str"/>
      <x:c r="S457" t="str">
        <x:v>Nao</x:v>
      </x:c>
      <x:c r="T457" t="str">
        <x:v>Nao</x:v>
      </x:c>
    </x:row>
    <x:row r="458" ht="19" customHeight="1">
      <x:c r="A458" t="str">
        <x:v>ENT-00457</x:v>
      </x:c>
      <x:c r="B458" s="41" t="n">
        <x:v>46246</x:v>
      </x:c>
      <x:c r="C458" s="41" t="n">
        <x:v>46248</x:v>
      </x:c>
      <x:c r="D458" s="41" t="n">
        <x:v>46249</x:v>
      </x:c>
      <x:c r="E458" t="str">
        <x:v>Via Certa Serviços, Lda.</x:v>
      </x:c>
      <x:c r="F458" t="str">
        <x:v>Talatona</x:v>
      </x:c>
      <x:c r="G458" t="str">
        <x:v>Dário Joaquim</x:v>
      </x:c>
      <x:c r="H458" t="str">
        <x:v>VTR-04</x:v>
      </x:c>
      <x:c r="I458" t="str">
        <x:v>Toyota Dyna</x:v>
      </x:c>
      <x:c r="J458" t="n">
        <x:v>3000</x:v>
      </x:c>
      <x:c r="K458" t="n">
        <x:v>38</x:v>
      </x:c>
      <x:c r="L458" t="n">
        <x:v>38</x:v>
      </x:c>
      <x:c r="M458" t="n">
        <x:v>1150.7</x:v>
      </x:c>
      <x:c r="N458" t="n">
        <x:v>21</x:v>
      </x:c>
      <x:c r="O458" s="45" t="n">
        <x:v>668990</x:v>
      </x:c>
      <x:c r="P458" s="45" t="n">
        <x:v>36000</x:v>
      </x:c>
      <x:c r="Q458" t="str">
        <x:v>Entregue</x:v>
      </x:c>
      <x:c r="R458" t="str">
        <x:v>Cliente indisponivel</x:v>
      </x:c>
      <x:c r="S458" t="str">
        <x:v>Nao</x:v>
      </x:c>
      <x:c r="T458" t="str">
        <x:v>Nao</x:v>
      </x:c>
    </x:row>
    <x:row r="459" ht="19" customHeight="1">
      <x:c r="A459" t="str">
        <x:v>ENT-00458</x:v>
      </x:c>
      <x:c r="B459" s="41" t="n">
        <x:v>46257</x:v>
      </x:c>
      <x:c r="C459" s="41" t="n">
        <x:v>46259</x:v>
      </x:c>
      <x:c r="D459" s="41" t="n">
        <x:v>46259</x:v>
      </x:c>
      <x:c r="E459" t="str">
        <x:v>Luanda Office Supply, Lda.</x:v>
      </x:c>
      <x:c r="F459" t="str">
        <x:v>Camama</x:v>
      </x:c>
      <x:c r="G459" t="str">
        <x:v>Elísio António</x:v>
      </x:c>
      <x:c r="H459" t="str">
        <x:v>VTR-12</x:v>
      </x:c>
      <x:c r="I459" t="str">
        <x:v>Hyundai H100</x:v>
      </x:c>
      <x:c r="J459" t="n">
        <x:v>1300</x:v>
      </x:c>
      <x:c r="K459" t="n">
        <x:v>11</x:v>
      </x:c>
      <x:c r="L459" t="n">
        <x:v>11</x:v>
      </x:c>
      <x:c r="M459" t="n">
        <x:v>314.7</x:v>
      </x:c>
      <x:c r="N459" t="n">
        <x:v>27</x:v>
      </x:c>
      <x:c r="O459" s="45" t="n">
        <x:v>58179</x:v>
      </x:c>
      <x:c r="P459" s="45" t="n">
        <x:v>22500</x:v>
      </x:c>
      <x:c r="Q459" t="str">
        <x:v>Entregue</x:v>
      </x:c>
      <x:c r="R459" t="str"/>
      <x:c r="S459" t="str">
        <x:v>Nao</x:v>
      </x:c>
      <x:c r="T459" t="str">
        <x:v>Nao</x:v>
      </x:c>
    </x:row>
    <x:row r="460" ht="19" customHeight="1">
      <x:c r="A460" t="str">
        <x:v>ENT-00459</x:v>
      </x:c>
      <x:c r="B460" s="41" t="n">
        <x:v>46249</x:v>
      </x:c>
      <x:c r="C460" s="41" t="n">
        <x:v>46251</x:v>
      </x:c>
      <x:c r="D460" s="41" t="n">
        <x:v>46251</x:v>
      </x:c>
      <x:c r="E460" t="str">
        <x:v>Maxi Centro, Lda.</x:v>
      </x:c>
      <x:c r="F460" t="str">
        <x:v>Cacuaco</x:v>
      </x:c>
      <x:c r="G460" t="str">
        <x:v>Elísio António</x:v>
      </x:c>
      <x:c r="H460" t="str">
        <x:v>VTR-08</x:v>
      </x:c>
      <x:c r="I460" t="str">
        <x:v>Toyota Hilux</x:v>
      </x:c>
      <x:c r="J460" t="n">
        <x:v>1000</x:v>
      </x:c>
      <x:c r="K460" t="n">
        <x:v>86</x:v>
      </x:c>
      <x:c r="L460" t="n">
        <x:v>86</x:v>
      </x:c>
      <x:c r="M460" t="n">
        <x:v>627.2</x:v>
      </x:c>
      <x:c r="N460" t="n">
        <x:v>39</x:v>
      </x:c>
      <x:c r="O460" s="45" t="n">
        <x:v>477730</x:v>
      </x:c>
      <x:c r="P460" s="45" t="n">
        <x:v>33500</x:v>
      </x:c>
      <x:c r="Q460" t="str">
        <x:v>Entregue</x:v>
      </x:c>
      <x:c r="R460" t="str"/>
      <x:c r="S460" t="str">
        <x:v>Nao</x:v>
      </x:c>
      <x:c r="T460" t="str">
        <x:v>Nao</x:v>
      </x:c>
    </x:row>
    <x:row r="461" ht="19" customHeight="1">
      <x:c r="A461" t="str">
        <x:v>ENT-00460</x:v>
      </x:c>
      <x:c r="B461" s="41" t="n">
        <x:v>46217</x:v>
      </x:c>
      <x:c r="C461" s="41" t="n">
        <x:v>46220</x:v>
      </x:c>
      <x:c r="D461" s="41" t="n">
        <x:v>46221</x:v>
      </x:c>
      <x:c r="E461" t="str">
        <x:v>Mundo Fresco, Lda.</x:v>
      </x:c>
      <x:c r="F461" t="str">
        <x:v>Zango</x:v>
      </x:c>
      <x:c r="G461" t="str">
        <x:v>Jorge Mário</x:v>
      </x:c>
      <x:c r="H461" t="str">
        <x:v>VTR-01</x:v>
      </x:c>
      <x:c r="I461" t="str">
        <x:v>Kia K2700</x:v>
      </x:c>
      <x:c r="J461" t="n">
        <x:v>1500</x:v>
      </x:c>
      <x:c r="K461" t="n">
        <x:v>65</x:v>
      </x:c>
      <x:c r="L461" t="n">
        <x:v>65</x:v>
      </x:c>
      <x:c r="M461" t="n">
        <x:v>923.2</x:v>
      </x:c>
      <x:c r="N461" t="n">
        <x:v>44</x:v>
      </x:c>
      <x:c r="O461" s="45" t="n">
        <x:v>1187615</x:v>
      </x:c>
      <x:c r="P461" s="45" t="n">
        <x:v>38500</x:v>
      </x:c>
      <x:c r="Q461" t="str">
        <x:v>Entregue</x:v>
      </x:c>
      <x:c r="R461" t="str">
        <x:v>Avaria da viatura</x:v>
      </x:c>
      <x:c r="S461" t="str">
        <x:v>Nao</x:v>
      </x:c>
      <x:c r="T461" t="str">
        <x:v>Nao</x:v>
      </x:c>
    </x:row>
    <x:row r="462" ht="19" customHeight="1">
      <x:c r="A462" t="str">
        <x:v>ENT-00461</x:v>
      </x:c>
      <x:c r="B462" s="41" t="n">
        <x:v>46261</x:v>
      </x:c>
      <x:c r="C462" s="41" t="n">
        <x:v>46264</x:v>
      </x:c>
      <x:c r="D462" s="41" t="n">
        <x:v>46264</x:v>
      </x:c>
      <x:c r="E462" t="str">
        <x:v>Mundo Fresco, Lda.</x:v>
      </x:c>
      <x:c r="F462" t="str">
        <x:v>Zango</x:v>
      </x:c>
      <x:c r="G462" t="str">
        <x:v>Félix Domingos</x:v>
      </x:c>
      <x:c r="H462" t="str">
        <x:v>VTR-02</x:v>
      </x:c>
      <x:c r="I462" t="str">
        <x:v>Kia K2700</x:v>
      </x:c>
      <x:c r="J462" t="n">
        <x:v>1500</x:v>
      </x:c>
      <x:c r="K462" t="n">
        <x:v>56</x:v>
      </x:c>
      <x:c r="L462" t="n">
        <x:v>56</x:v>
      </x:c>
      <x:c r="M462" t="n">
        <x:v>717.9</x:v>
      </x:c>
      <x:c r="N462" t="n">
        <x:v>51</x:v>
      </x:c>
      <x:c r="O462" s="45" t="n">
        <x:v>726824</x:v>
      </x:c>
      <x:c r="P462" s="45" t="n">
        <x:v>39500</x:v>
      </x:c>
      <x:c r="Q462" t="str">
        <x:v>Entregue</x:v>
      </x:c>
      <x:c r="R462" t="str"/>
      <x:c r="S462" t="str">
        <x:v>Nao</x:v>
      </x:c>
      <x:c r="T462" t="str">
        <x:v>Nao</x:v>
      </x:c>
    </x:row>
    <x:row r="463" ht="19" customHeight="1">
      <x:c r="A463" t="str">
        <x:v>ENT-00462</x:v>
      </x:c>
      <x:c r="B463" s="41" t="n">
        <x:v>46239</x:v>
      </x:c>
      <x:c r="C463" s="41" t="n">
        <x:v>46240</x:v>
      </x:c>
      <x:c r="D463" s="41" t="n">
        <x:v>46240</x:v>
      </x:c>
      <x:c r="E463" t="str">
        <x:v>Sol Nascente Comércio, Lda.</x:v>
      </x:c>
      <x:c r="F463" t="str">
        <x:v>Maianga</x:v>
      </x:c>
      <x:c r="G463" t="str">
        <x:v>Dário Joaquim</x:v>
      </x:c>
      <x:c r="H463" t="str">
        <x:v>VTR-10</x:v>
      </x:c>
      <x:c r="I463" t="str">
        <x:v>Foton Aumark</x:v>
      </x:c>
      <x:c r="J463" t="n">
        <x:v>4000</x:v>
      </x:c>
      <x:c r="K463" t="n">
        <x:v>39</x:v>
      </x:c>
      <x:c r="L463" t="n">
        <x:v>39</x:v>
      </x:c>
      <x:c r="M463" t="n">
        <x:v>451</x:v>
      </x:c>
      <x:c r="N463" t="n">
        <x:v>12</x:v>
      </x:c>
      <x:c r="O463" s="45" t="n">
        <x:v>268242</x:v>
      </x:c>
      <x:c r="P463" s="45" t="n">
        <x:v>19500</x:v>
      </x:c>
      <x:c r="Q463" t="str">
        <x:v>Entregue</x:v>
      </x:c>
      <x:c r="R463" t="str"/>
      <x:c r="S463" t="str">
        <x:v>Nao</x:v>
      </x:c>
      <x:c r="T463" t="str">
        <x:v>Nao</x:v>
      </x:c>
    </x:row>
    <x:row r="464" ht="19" customHeight="1">
      <x:c r="A464" t="str">
        <x:v>ENT-00463</x:v>
      </x:c>
      <x:c r="B464" s="41" t="n">
        <x:v>46264</x:v>
      </x:c>
      <x:c r="C464" s="41" t="n">
        <x:v>46265</x:v>
      </x:c>
      <x:c r="D464" s="41" t="n">
        <x:v>46264</x:v>
      </x:c>
      <x:c r="E464" t="str">
        <x:v>Casa Horizonte, Lda.</x:v>
      </x:c>
      <x:c r="F464" t="str">
        <x:v>Maianga</x:v>
      </x:c>
      <x:c r="G464" t="str">
        <x:v>Jorge Mário</x:v>
      </x:c>
      <x:c r="H464" t="str">
        <x:v>VTR-04</x:v>
      </x:c>
      <x:c r="I464" t="str">
        <x:v>Toyota Dyna</x:v>
      </x:c>
      <x:c r="J464" t="n">
        <x:v>3000</x:v>
      </x:c>
      <x:c r="K464" t="n">
        <x:v>77</x:v>
      </x:c>
      <x:c r="L464" t="n">
        <x:v>77</x:v>
      </x:c>
      <x:c r="M464" t="n">
        <x:v>1603</x:v>
      </x:c>
      <x:c r="N464" t="n">
        <x:v>18</x:v>
      </x:c>
      <x:c r="O464" s="45" t="n">
        <x:v>1014629</x:v>
      </x:c>
      <x:c r="P464" s="45" t="n">
        <x:v>38500</x:v>
      </x:c>
      <x:c r="Q464" t="str">
        <x:v>Entregue</x:v>
      </x:c>
      <x:c r="R464" t="str"/>
      <x:c r="S464" t="str">
        <x:v>Nao</x:v>
      </x:c>
      <x:c r="T464" t="str">
        <x:v>Nao</x:v>
      </x:c>
    </x:row>
    <x:row r="465" ht="19" customHeight="1">
      <x:c r="A465" t="str">
        <x:v>ENT-00464</x:v>
      </x:c>
      <x:c r="B465" s="41" t="n">
        <x:v>46218</x:v>
      </x:c>
      <x:c r="C465" s="41" t="n">
        <x:v>46220</x:v>
      </x:c>
      <x:c r="D465" s="41" t="n">
        <x:v>46223</x:v>
      </x:c>
      <x:c r="E465" t="str">
        <x:v>Nova Rota Comercial, Lda.</x:v>
      </x:c>
      <x:c r="F465" t="str">
        <x:v>Patriota</x:v>
      </x:c>
      <x:c r="G465" t="str">
        <x:v>Lucas Tomás</x:v>
      </x:c>
      <x:c r="H465" t="str">
        <x:v>VTR-03</x:v>
      </x:c>
      <x:c r="I465" t="str">
        <x:v>Toyota Dyna</x:v>
      </x:c>
      <x:c r="J465" t="n">
        <x:v>3000</x:v>
      </x:c>
      <x:c r="K465" t="n">
        <x:v>57</x:v>
      </x:c>
      <x:c r="L465" t="n">
        <x:v>57</x:v>
      </x:c>
      <x:c r="M465" t="n">
        <x:v>1038.2</x:v>
      </x:c>
      <x:c r="N465" t="n">
        <x:v>22</x:v>
      </x:c>
      <x:c r="O465" s="45" t="n">
        <x:v>676704</x:v>
      </x:c>
      <x:c r="P465" s="45" t="n">
        <x:v>37000</x:v>
      </x:c>
      <x:c r="Q465" t="str">
        <x:v>Entregue</x:v>
      </x:c>
      <x:c r="R465" t="str">
        <x:v>Cliente indisponivel</x:v>
      </x:c>
      <x:c r="S465" t="str">
        <x:v>Nao</x:v>
      </x:c>
      <x:c r="T465" t="str">
        <x:v>Nao</x:v>
      </x:c>
    </x:row>
    <x:row r="466" ht="19" customHeight="1">
      <x:c r="A466" t="str">
        <x:v>ENT-00465</x:v>
      </x:c>
      <x:c r="B466" s="41" t="n">
        <x:v>46261</x:v>
      </x:c>
      <x:c r="C466" s="41" t="n">
        <x:v>46263</x:v>
      </x:c>
      <x:c r="D466" s="41" t="n">
        <x:v>46263</x:v>
      </x:c>
      <x:c r="E466" t="str">
        <x:v>Prime Stock, Lda.</x:v>
      </x:c>
      <x:c r="F466" t="str">
        <x:v>Viana</x:v>
      </x:c>
      <x:c r="G466" t="str">
        <x:v>Gilberto José</x:v>
      </x:c>
      <x:c r="H466" t="str">
        <x:v>VTR-11</x:v>
      </x:c>
      <x:c r="I466" t="str">
        <x:v>JAC N56</x:v>
      </x:c>
      <x:c r="J466" t="n">
        <x:v>3500</x:v>
      </x:c>
      <x:c r="K466" t="n">
        <x:v>85</x:v>
      </x:c>
      <x:c r="L466" t="n">
        <x:v>85</x:v>
      </x:c>
      <x:c r="M466" t="n">
        <x:v>2021.5</x:v>
      </x:c>
      <x:c r="N466" t="n">
        <x:v>35</x:v>
      </x:c>
      <x:c r="O466" s="45" t="n">
        <x:v>1601485</x:v>
      </x:c>
      <x:c r="P466" s="45" t="n">
        <x:v>55500</x:v>
      </x:c>
      <x:c r="Q466" t="str">
        <x:v>Entregue</x:v>
      </x:c>
      <x:c r="R466" t="str"/>
      <x:c r="S466" t="str">
        <x:v>Nao</x:v>
      </x:c>
      <x:c r="T466" t="str">
        <x:v>Nao</x:v>
      </x:c>
    </x:row>
    <x:row r="467" ht="19" customHeight="1">
      <x:c r="A467" t="str">
        <x:v>ENT-00466</x:v>
      </x:c>
      <x:c r="B467" s="41" t="n">
        <x:v>46223</x:v>
      </x:c>
      <x:c r="C467" s="41" t="n">
        <x:v>46225</x:v>
      </x:c>
      <x:c r="D467" s="41" t="n">
        <x:v>46225</x:v>
      </x:c>
      <x:c r="E467" t="str">
        <x:v>Atlântico Farma, Lda.</x:v>
      </x:c>
      <x:c r="F467" t="str">
        <x:v>Sequele</x:v>
      </x:c>
      <x:c r="G467" t="str">
        <x:v>Adriano Manuel</x:v>
      </x:c>
      <x:c r="H467" t="str">
        <x:v>VTR-11</x:v>
      </x:c>
      <x:c r="I467" t="str">
        <x:v>JAC N56</x:v>
      </x:c>
      <x:c r="J467" t="n">
        <x:v>3500</x:v>
      </x:c>
      <x:c r="K467" t="n">
        <x:v>38</x:v>
      </x:c>
      <x:c r="L467" t="n">
        <x:v>38</x:v>
      </x:c>
      <x:c r="M467" t="n">
        <x:v>550.5</x:v>
      </x:c>
      <x:c r="N467" t="n">
        <x:v>39</x:v>
      </x:c>
      <x:c r="O467" s="45" t="n">
        <x:v>858724</x:v>
      </x:c>
      <x:c r="P467" s="45" t="n">
        <x:v>33000</x:v>
      </x:c>
      <x:c r="Q467" t="str">
        <x:v>Entregue</x:v>
      </x:c>
      <x:c r="R467" t="str"/>
      <x:c r="S467" t="str">
        <x:v>Nao</x:v>
      </x:c>
      <x:c r="T467" t="str">
        <x:v>Nao</x:v>
      </x:c>
    </x:row>
    <x:row r="468" ht="19" customHeight="1">
      <x:c r="A468" t="str">
        <x:v>ENT-00467</x:v>
      </x:c>
      <x:c r="B468" s="41" t="n">
        <x:v>46205</x:v>
      </x:c>
      <x:c r="C468" s="41" t="n">
        <x:v>46207</x:v>
      </x:c>
      <x:c r="D468" s="41" t="n">
        <x:v>46207</x:v>
      </x:c>
      <x:c r="E468" t="str">
        <x:v>Savana Retail, Lda.</x:v>
      </x:c>
      <x:c r="F468" t="str">
        <x:v>Kikuxi</x:v>
      </x:c>
      <x:c r="G468" t="str">
        <x:v>Jorge Mário</x:v>
      </x:c>
      <x:c r="H468" t="str">
        <x:v>VTR-05</x:v>
      </x:c>
      <x:c r="I468" t="str">
        <x:v>Hyundai HD65</x:v>
      </x:c>
      <x:c r="J468" t="n">
        <x:v>3500</x:v>
      </x:c>
      <x:c r="K468" t="n">
        <x:v>63</x:v>
      </x:c>
      <x:c r="L468" t="n">
        <x:v>63</x:v>
      </x:c>
      <x:c r="M468" t="n">
        <x:v>1872.3</x:v>
      </x:c>
      <x:c r="N468" t="n">
        <x:v>25</x:v>
      </x:c>
      <x:c r="O468" s="45" t="n">
        <x:v>240345</x:v>
      </x:c>
      <x:c r="P468" s="45" t="n">
        <x:v>49500</x:v>
      </x:c>
      <x:c r="Q468" t="str">
        <x:v>Entregue</x:v>
      </x:c>
      <x:c r="R468" t="str"/>
      <x:c r="S468" t="str">
        <x:v>Nao</x:v>
      </x:c>
      <x:c r="T468" t="str">
        <x:v>Nao</x:v>
      </x:c>
    </x:row>
    <x:row r="469" ht="19" customHeight="1">
      <x:c r="A469" t="str">
        <x:v>ENT-00468</x:v>
      </x:c>
      <x:c r="B469" s="41" t="n">
        <x:v>46264</x:v>
      </x:c>
      <x:c r="C469" s="41" t="n">
        <x:v>46265</x:v>
      </x:c>
      <x:c r="D469" s="41" t="n">
        <x:v>46265</x:v>
      </x:c>
      <x:c r="E469" t="str">
        <x:v>Kiala &amp; Filhos, Lda.</x:v>
      </x:c>
      <x:c r="F469" t="str">
        <x:v>Ingombota</x:v>
      </x:c>
      <x:c r="G469" t="str">
        <x:v>Carlos Mateus</x:v>
      </x:c>
      <x:c r="H469" t="str">
        <x:v>VTR-06</x:v>
      </x:c>
      <x:c r="I469" t="str">
        <x:v>Isuzu NPR</x:v>
      </x:c>
      <x:c r="J469" t="n">
        <x:v>5000</x:v>
      </x:c>
      <x:c r="K469" t="n">
        <x:v>76</x:v>
      </x:c>
      <x:c r="L469" t="n">
        <x:v>71</x:v>
      </x:c>
      <x:c r="M469" t="n">
        <x:v>1374.7</x:v>
      </x:c>
      <x:c r="N469" t="n">
        <x:v>8</x:v>
      </x:c>
      <x:c r="O469" s="45" t="n">
        <x:v>1746556</x:v>
      </x:c>
      <x:c r="P469" s="45" t="n">
        <x:v>35000</x:v>
      </x:c>
      <x:c r="Q469" t="str">
        <x:v>Entregue</x:v>
      </x:c>
      <x:c r="R469" t="str"/>
      <x:c r="S469" t="str">
        <x:v>Nao</x:v>
      </x:c>
      <x:c r="T469" t="str">
        <x:v>Nao</x:v>
      </x:c>
    </x:row>
    <x:row r="470" ht="19" customHeight="1">
      <x:c r="A470" t="str">
        <x:v>ENT-00469</x:v>
      </x:c>
      <x:c r="B470" s="41" t="n">
        <x:v>46248</x:v>
      </x:c>
      <x:c r="C470" s="41" t="n">
        <x:v>46250</x:v>
      </x:c>
      <x:c r="D470" s="41" t="n">
        <x:v>46250</x:v>
      </x:c>
      <x:c r="E470" t="str">
        <x:v>Kiala &amp; Filhos, Lda.</x:v>
      </x:c>
      <x:c r="F470" t="str">
        <x:v>Maianga</x:v>
      </x:c>
      <x:c r="G470" t="str">
        <x:v>Isaías Pedro</x:v>
      </x:c>
      <x:c r="H470" t="str">
        <x:v>VTR-10</x:v>
      </x:c>
      <x:c r="I470" t="str">
        <x:v>Foton Aumark</x:v>
      </x:c>
      <x:c r="J470" t="n">
        <x:v>4000</x:v>
      </x:c>
      <x:c r="K470" t="n">
        <x:v>47</x:v>
      </x:c>
      <x:c r="L470" t="n">
        <x:v>47</x:v>
      </x:c>
      <x:c r="M470" t="n">
        <x:v>452.2</x:v>
      </x:c>
      <x:c r="N470" t="n">
        <x:v>20</x:v>
      </x:c>
      <x:c r="O470" s="45" t="n">
        <x:v>898217</x:v>
      </x:c>
      <x:c r="P470" s="45" t="n">
        <x:v>25500</x:v>
      </x:c>
      <x:c r="Q470" t="str">
        <x:v>Entregue</x:v>
      </x:c>
      <x:c r="R470" t="str"/>
      <x:c r="S470" t="str">
        <x:v>Nao</x:v>
      </x:c>
      <x:c r="T470" t="str">
        <x:v>Nao</x:v>
      </x:c>
    </x:row>
    <x:row r="471" ht="19" customHeight="1">
      <x:c r="A471" t="str">
        <x:v>ENT-00470</x:v>
      </x:c>
      <x:c r="B471" s="41" t="n">
        <x:v>46231</x:v>
      </x:c>
      <x:c r="C471" s="41" t="n">
        <x:v>46234</x:v>
      </x:c>
      <x:c r="D471" s="41"/>
      <x:c r="E471" t="str">
        <x:v>Via Certa Serviços, Lda.</x:v>
      </x:c>
      <x:c r="F471" t="str">
        <x:v>Cacuaco</x:v>
      </x:c>
      <x:c r="G471" t="str">
        <x:v>Dário Joaquim</x:v>
      </x:c>
      <x:c r="H471" t="str">
        <x:v>VTR-11</x:v>
      </x:c>
      <x:c r="I471" t="str">
        <x:v>JAC N56</x:v>
      </x:c>
      <x:c r="J471" t="n">
        <x:v>3500</x:v>
      </x:c>
      <x:c r="K471" t="n">
        <x:v>26</x:v>
      </x:c>
      <x:c r="L471" t="n">
        <x:v>0</x:v>
      </x:c>
      <x:c r="M471" t="n">
        <x:v>440</x:v>
      </x:c>
      <x:c r="N471" t="n">
        <x:v>47</x:v>
      </x:c>
      <x:c r="O471" s="45" t="n">
        <x:v>407550</x:v>
      </x:c>
      <x:c r="P471" s="45" t="n">
        <x:v>33000</x:v>
      </x:c>
      <x:c r="Q471" t="str">
        <x:v>Cancelada</x:v>
      </x:c>
      <x:c r="R471" t="str">
        <x:v>Cancelamento do cliente</x:v>
      </x:c>
      <x:c r="S471" t="str">
        <x:v>Nao</x:v>
      </x:c>
      <x:c r="T471" t="str">
        <x:v>Nao</x:v>
      </x:c>
    </x:row>
    <x:row r="472" ht="19" customHeight="1">
      <x:c r="A472" t="str">
        <x:v>ENT-00471</x:v>
      </x:c>
      <x:c r="B472" s="41" t="n">
        <x:v>46231</x:v>
      </x:c>
      <x:c r="C472" s="41" t="n">
        <x:v>46233</x:v>
      </x:c>
      <x:c r="D472" s="41" t="n">
        <x:v>46233</x:v>
      </x:c>
      <x:c r="E472" t="str">
        <x:v>Luanda Office Supply, Lda.</x:v>
      </x:c>
      <x:c r="F472" t="str">
        <x:v>Sequele</x:v>
      </x:c>
      <x:c r="G472" t="str">
        <x:v>Dário Joaquim</x:v>
      </x:c>
      <x:c r="H472" t="str">
        <x:v>VTR-01</x:v>
      </x:c>
      <x:c r="I472" t="str">
        <x:v>Kia K2700</x:v>
      </x:c>
      <x:c r="J472" t="n">
        <x:v>1500</x:v>
      </x:c>
      <x:c r="K472" t="n">
        <x:v>6</x:v>
      </x:c>
      <x:c r="L472" t="n">
        <x:v>6</x:v>
      </x:c>
      <x:c r="M472" t="n">
        <x:v>157.4</x:v>
      </x:c>
      <x:c r="N472" t="n">
        <x:v>37</x:v>
      </x:c>
      <x:c r="O472" s="45" t="n">
        <x:v>127170</x:v>
      </x:c>
      <x:c r="P472" s="45" t="n">
        <x:v>27000</x:v>
      </x:c>
      <x:c r="Q472" t="str">
        <x:v>Entregue</x:v>
      </x:c>
      <x:c r="R472" t="str"/>
      <x:c r="S472" t="str">
        <x:v>Nao</x:v>
      </x:c>
      <x:c r="T472" t="str">
        <x:v>Nao</x:v>
      </x:c>
    </x:row>
    <x:row r="473" ht="19" customHeight="1">
      <x:c r="A473" t="str">
        <x:v>ENT-00472</x:v>
      </x:c>
      <x:c r="B473" s="41" t="n">
        <x:v>46243</x:v>
      </x:c>
      <x:c r="C473" s="41" t="n">
        <x:v>46246</x:v>
      </x:c>
      <x:c r="D473" s="41" t="n">
        <x:v>46245</x:v>
      </x:c>
      <x:c r="E473" t="str">
        <x:v>Nova Rota Comercial, Lda.</x:v>
      </x:c>
      <x:c r="F473" t="str">
        <x:v>Sequele</x:v>
      </x:c>
      <x:c r="G473" t="str">
        <x:v>Elísio António</x:v>
      </x:c>
      <x:c r="H473" t="str">
        <x:v>VTR-05</x:v>
      </x:c>
      <x:c r="I473" t="str">
        <x:v>Hyundai HD65</x:v>
      </x:c>
      <x:c r="J473" t="n">
        <x:v>3500</x:v>
      </x:c>
      <x:c r="K473" t="n">
        <x:v>68</x:v>
      </x:c>
      <x:c r="L473" t="n">
        <x:v>68</x:v>
      </x:c>
      <x:c r="M473" t="n">
        <x:v>715.8</x:v>
      </x:c>
      <x:c r="N473" t="n">
        <x:v>40</x:v>
      </x:c>
      <x:c r="O473" s="45" t="n">
        <x:v>1054816</x:v>
      </x:c>
      <x:c r="P473" s="45" t="n">
        <x:v>35500</x:v>
      </x:c>
      <x:c r="Q473" t="str">
        <x:v>Entregue</x:v>
      </x:c>
      <x:c r="R473" t="str"/>
      <x:c r="S473" t="str">
        <x:v>Nao</x:v>
      </x:c>
      <x:c r="T473" t="str">
        <x:v>Nao</x:v>
      </x:c>
    </x:row>
    <x:row r="474" ht="19" customHeight="1">
      <x:c r="A474" t="str">
        <x:v>ENT-00473</x:v>
      </x:c>
      <x:c r="B474" s="41" t="n">
        <x:v>46232</x:v>
      </x:c>
      <x:c r="C474" s="41" t="n">
        <x:v>46234</x:v>
      </x:c>
      <x:c r="D474" s="41" t="n">
        <x:v>46234</x:v>
      </x:c>
      <x:c r="E474" t="str">
        <x:v>Ponto Logístico, Lda.</x:v>
      </x:c>
      <x:c r="F474" t="str">
        <x:v>Talatona</x:v>
      </x:c>
      <x:c r="G474" t="str">
        <x:v>Carlos Mateus</x:v>
      </x:c>
      <x:c r="H474" t="str">
        <x:v>VTR-11</x:v>
      </x:c>
      <x:c r="I474" t="str">
        <x:v>JAC N56</x:v>
      </x:c>
      <x:c r="J474" t="n">
        <x:v>3500</x:v>
      </x:c>
      <x:c r="K474" t="n">
        <x:v>89</x:v>
      </x:c>
      <x:c r="L474" t="n">
        <x:v>77</x:v>
      </x:c>
      <x:c r="M474" t="n">
        <x:v>1908.6</x:v>
      </x:c>
      <x:c r="N474" t="n">
        <x:v>36</x:v>
      </x:c>
      <x:c r="O474" s="45" t="n">
        <x:v>1282134</x:v>
      </x:c>
      <x:c r="P474" s="45" t="n">
        <x:v>52500</x:v>
      </x:c>
      <x:c r="Q474" t="str">
        <x:v>Entregue</x:v>
      </x:c>
      <x:c r="R474" t="str"/>
      <x:c r="S474" t="str">
        <x:v>Nao</x:v>
      </x:c>
      <x:c r="T474" t="str">
        <x:v>Nao</x:v>
      </x:c>
    </x:row>
    <x:row r="475" ht="19" customHeight="1">
      <x:c r="A475" t="str">
        <x:v>ENT-00474</x:v>
      </x:c>
      <x:c r="B475" s="41" t="n">
        <x:v>46206</x:v>
      </x:c>
      <x:c r="C475" s="41" t="n">
        <x:v>46209</x:v>
      </x:c>
      <x:c r="D475" s="41" t="n">
        <x:v>46209</x:v>
      </x:c>
      <x:c r="E475" t="str">
        <x:v>Luanda Office Supply, Lda.</x:v>
      </x:c>
      <x:c r="F475" t="str">
        <x:v>Cacuaco</x:v>
      </x:c>
      <x:c r="G475" t="str">
        <x:v>Elísio António</x:v>
      </x:c>
      <x:c r="H475" t="str">
        <x:v>VTR-05</x:v>
      </x:c>
      <x:c r="I475" t="str">
        <x:v>Hyundai HD65</x:v>
      </x:c>
      <x:c r="J475" t="n">
        <x:v>3500</x:v>
      </x:c>
      <x:c r="K475" t="n">
        <x:v>8</x:v>
      </x:c>
      <x:c r="L475" t="n">
        <x:v>8</x:v>
      </x:c>
      <x:c r="M475" t="n">
        <x:v>220.7</x:v>
      </x:c>
      <x:c r="N475" t="n">
        <x:v>54</x:v>
      </x:c>
      <x:c r="O475" s="45" t="n">
        <x:v>143960</x:v>
      </x:c>
      <x:c r="P475" s="45" t="n">
        <x:v>34000</x:v>
      </x:c>
      <x:c r="Q475" t="str">
        <x:v>Entregue</x:v>
      </x:c>
      <x:c r="R475" t="str"/>
      <x:c r="S475" t="str">
        <x:v>Nao</x:v>
      </x:c>
      <x:c r="T475" t="str">
        <x:v>Nao</x:v>
      </x:c>
    </x:row>
    <x:row r="476" ht="19" customHeight="1">
      <x:c r="A476" t="str">
        <x:v>ENT-00475</x:v>
      </x:c>
      <x:c r="B476" s="41" t="n">
        <x:v>46247</x:v>
      </x:c>
      <x:c r="C476" s="41" t="n">
        <x:v>46249</x:v>
      </x:c>
      <x:c r="D476" s="41"/>
      <x:c r="E476" t="str">
        <x:v>Kwanza Distribuição, Lda.</x:v>
      </x:c>
      <x:c r="F476" t="str">
        <x:v>Nova Vida</x:v>
      </x:c>
      <x:c r="G476" t="str">
        <x:v>Bernardo Paulo</x:v>
      </x:c>
      <x:c r="H476" t="str">
        <x:v>VTR-10</x:v>
      </x:c>
      <x:c r="I476" t="str">
        <x:v>Foton Aumark</x:v>
      </x:c>
      <x:c r="J476" t="n">
        <x:v>4000</x:v>
      </x:c>
      <x:c r="K476" t="n">
        <x:v>23</x:v>
      </x:c>
      <x:c r="L476" t="n">
        <x:v>0</x:v>
      </x:c>
      <x:c r="M476" t="n">
        <x:v>668.5</x:v>
      </x:c>
      <x:c r="N476" t="n">
        <x:v>23</x:v>
      </x:c>
      <x:c r="O476" s="45" t="n">
        <x:v>493465</x:v>
      </x:c>
      <x:c r="P476" s="45" t="n">
        <x:v>26000</x:v>
      </x:c>
      <x:c r="Q476" t="str">
        <x:v>Cancelada</x:v>
      </x:c>
      <x:c r="R476" t="str">
        <x:v>Cancelamento do cliente</x:v>
      </x:c>
      <x:c r="S476" t="str">
        <x:v>Nao</x:v>
      </x:c>
      <x:c r="T476" t="str">
        <x:v>Nao</x:v>
      </x:c>
    </x:row>
    <x:row r="477" ht="19" customHeight="1">
      <x:c r="A477" t="str">
        <x:v>ENT-00476</x:v>
      </x:c>
      <x:c r="B477" s="41" t="n">
        <x:v>46247</x:v>
      </x:c>
      <x:c r="C477" s="41" t="n">
        <x:v>46249</x:v>
      </x:c>
      <x:c r="D477" s="41" t="n">
        <x:v>46249</x:v>
      </x:c>
      <x:c r="E477" t="str">
        <x:v>Savana Retail, Lda.</x:v>
      </x:c>
      <x:c r="F477" t="str">
        <x:v>Zango</x:v>
      </x:c>
      <x:c r="G477" t="str">
        <x:v>Bernardo Paulo</x:v>
      </x:c>
      <x:c r="H477" t="str">
        <x:v>VTR-07</x:v>
      </x:c>
      <x:c r="I477" t="str">
        <x:v>Isuzu NPR</x:v>
      </x:c>
      <x:c r="J477" t="n">
        <x:v>5000</x:v>
      </x:c>
      <x:c r="K477" t="n">
        <x:v>63</x:v>
      </x:c>
      <x:c r="L477" t="n">
        <x:v>59</x:v>
      </x:c>
      <x:c r="M477" t="n">
        <x:v>1358.7</x:v>
      </x:c>
      <x:c r="N477" t="n">
        <x:v>35</x:v>
      </x:c>
      <x:c r="O477" s="45" t="n">
        <x:v>425565</x:v>
      </x:c>
      <x:c r="P477" s="45" t="n">
        <x:v>49500</x:v>
      </x:c>
      <x:c r="Q477" t="str">
        <x:v>Entregue</x:v>
      </x:c>
      <x:c r="R477" t="str"/>
      <x:c r="S477" t="str">
        <x:v>Nao</x:v>
      </x:c>
      <x:c r="T477" t="str">
        <x:v>Nao</x:v>
      </x:c>
    </x:row>
    <x:row r="478" ht="19" customHeight="1">
      <x:c r="A478" t="str">
        <x:v>ENT-00477</x:v>
      </x:c>
      <x:c r="B478" s="41" t="n">
        <x:v>46242</x:v>
      </x:c>
      <x:c r="C478" s="41" t="n">
        <x:v>46244</x:v>
      </x:c>
      <x:c r="D478" s="41" t="n">
        <x:v>46244</x:v>
      </x:c>
      <x:c r="E478" t="str">
        <x:v>Luanda Office Supply, Lda.</x:v>
      </x:c>
      <x:c r="F478" t="str">
        <x:v>Kikuxi</x:v>
      </x:c>
      <x:c r="G478" t="str">
        <x:v>Lucas Tomás</x:v>
      </x:c>
      <x:c r="H478" t="str">
        <x:v>VTR-10</x:v>
      </x:c>
      <x:c r="I478" t="str">
        <x:v>Foton Aumark</x:v>
      </x:c>
      <x:c r="J478" t="n">
        <x:v>4000</x:v>
      </x:c>
      <x:c r="K478" t="n">
        <x:v>21</x:v>
      </x:c>
      <x:c r="L478" t="n">
        <x:v>21</x:v>
      </x:c>
      <x:c r="M478" t="n">
        <x:v>390.3</x:v>
      </x:c>
      <x:c r="N478" t="n">
        <x:v>25</x:v>
      </x:c>
      <x:c r="O478" s="45" t="n">
        <x:v>90237</x:v>
      </x:c>
      <x:c r="P478" s="45" t="n">
        <x:v>22000</x:v>
      </x:c>
      <x:c r="Q478" t="str">
        <x:v>Entregue</x:v>
      </x:c>
      <x:c r="R478" t="str"/>
      <x:c r="S478" t="str">
        <x:v>Nao</x:v>
      </x:c>
      <x:c r="T478" t="str">
        <x:v>Nao</x:v>
      </x:c>
    </x:row>
    <x:row r="479" ht="19" customHeight="1">
      <x:c r="A479" t="str">
        <x:v>ENT-00478</x:v>
      </x:c>
      <x:c r="B479" s="41" t="n">
        <x:v>46220</x:v>
      </x:c>
      <x:c r="C479" s="41" t="n">
        <x:v>46221</x:v>
      </x:c>
      <x:c r="D479" s="41" t="n">
        <x:v>46223</x:v>
      </x:c>
      <x:c r="E479" t="str">
        <x:v>Maxi Centro, Lda.</x:v>
      </x:c>
      <x:c r="F479" t="str">
        <x:v>Ingombota</x:v>
      </x:c>
      <x:c r="G479" t="str">
        <x:v>Lucas Tomás</x:v>
      </x:c>
      <x:c r="H479" t="str">
        <x:v>VTR-12</x:v>
      </x:c>
      <x:c r="I479" t="str">
        <x:v>Hyundai H100</x:v>
      </x:c>
      <x:c r="J479" t="n">
        <x:v>1300</x:v>
      </x:c>
      <x:c r="K479" t="n">
        <x:v>41</x:v>
      </x:c>
      <x:c r="L479" t="n">
        <x:v>41</x:v>
      </x:c>
      <x:c r="M479" t="n">
        <x:v>921.4</x:v>
      </x:c>
      <x:c r="N479" t="n">
        <x:v>16</x:v>
      </x:c>
      <x:c r="O479" s="45" t="n">
        <x:v>597534</x:v>
      </x:c>
      <x:c r="P479" s="45" t="n">
        <x:v>27500</x:v>
      </x:c>
      <x:c r="Q479" t="str">
        <x:v>Entregue</x:v>
      </x:c>
      <x:c r="R479" t="str">
        <x:v>Transito intenso</x:v>
      </x:c>
      <x:c r="S479" t="str">
        <x:v>Nao</x:v>
      </x:c>
      <x:c r="T479" t="str">
        <x:v>Nao</x:v>
      </x:c>
    </x:row>
    <x:row r="480" ht="19" customHeight="1">
      <x:c r="A480" t="str">
        <x:v>ENT-00479</x:v>
      </x:c>
      <x:c r="B480" s="41" t="n">
        <x:v>46241</x:v>
      </x:c>
      <x:c r="C480" s="41" t="n">
        <x:v>46243</x:v>
      </x:c>
      <x:c r="D480" s="41" t="n">
        <x:v>46243</x:v>
      </x:c>
      <x:c r="E480" t="str">
        <x:v>Ponto Logístico, Lda.</x:v>
      </x:c>
      <x:c r="F480" t="str">
        <x:v>Viana</x:v>
      </x:c>
      <x:c r="G480" t="str">
        <x:v>Félix Domingos</x:v>
      </x:c>
      <x:c r="H480" t="str">
        <x:v>VTR-03</x:v>
      </x:c>
      <x:c r="I480" t="str">
        <x:v>Toyota Dyna</x:v>
      </x:c>
      <x:c r="J480" t="n">
        <x:v>3000</x:v>
      </x:c>
      <x:c r="K480" t="n">
        <x:v>83</x:v>
      </x:c>
      <x:c r="L480" t="n">
        <x:v>71</x:v>
      </x:c>
      <x:c r="M480" t="n">
        <x:v>2512.9</x:v>
      </x:c>
      <x:c r="N480" t="n">
        <x:v>38</x:v>
      </x:c>
      <x:c r="O480" s="45" t="n">
        <x:v>777876</x:v>
      </x:c>
      <x:c r="P480" s="45" t="n">
        <x:v>62000</x:v>
      </x:c>
      <x:c r="Q480" t="str">
        <x:v>Entregue</x:v>
      </x:c>
      <x:c r="R480" t="str"/>
      <x:c r="S480" t="str">
        <x:v>Nao</x:v>
      </x:c>
      <x:c r="T480" t="str">
        <x:v>Nao</x:v>
      </x:c>
    </x:row>
    <x:row r="481" ht="19" customHeight="1">
      <x:c r="A481" t="str">
        <x:v>ENT-00480</x:v>
      </x:c>
      <x:c r="B481" s="41" t="n">
        <x:v>46254</x:v>
      </x:c>
      <x:c r="C481" s="41" t="n">
        <x:v>46257</x:v>
      </x:c>
      <x:c r="D481" s="41" t="n">
        <x:v>46257</x:v>
      </x:c>
      <x:c r="E481" t="str">
        <x:v>Mundo Fresco, Lda.</x:v>
      </x:c>
      <x:c r="F481" t="str">
        <x:v>Sequele</x:v>
      </x:c>
      <x:c r="G481" t="str">
        <x:v>Bernardo Paulo</x:v>
      </x:c>
      <x:c r="H481" t="str">
        <x:v>VTR-10</x:v>
      </x:c>
      <x:c r="I481" t="str">
        <x:v>Foton Aumark</x:v>
      </x:c>
      <x:c r="J481" t="n">
        <x:v>4000</x:v>
      </x:c>
      <x:c r="K481" t="n">
        <x:v>66</x:v>
      </x:c>
      <x:c r="L481" t="n">
        <x:v>66</x:v>
      </x:c>
      <x:c r="M481" t="n">
        <x:v>1202.9</x:v>
      </x:c>
      <x:c r="N481" t="n">
        <x:v>57</x:v>
      </x:c>
      <x:c r="O481" s="45" t="n">
        <x:v>1484340</x:v>
      </x:c>
      <x:c r="P481" s="45" t="n">
        <x:v>52500</x:v>
      </x:c>
      <x:c r="Q481" t="str">
        <x:v>Entregue</x:v>
      </x:c>
      <x:c r="R481" t="str"/>
      <x:c r="S481" t="str">
        <x:v>Nao</x:v>
      </x:c>
      <x:c r="T481" t="str">
        <x:v>Nao</x:v>
      </x:c>
    </x:row>
    <x:row r="482" ht="19" customHeight="1">
      <x:c r="A482" t="str">
        <x:v>ENT-00481</x:v>
      </x:c>
      <x:c r="B482" s="41" t="n">
        <x:v>46264</x:v>
      </x:c>
      <x:c r="C482" s="41" t="n">
        <x:v>46266</x:v>
      </x:c>
      <x:c r="D482" s="41" t="n">
        <x:v>46266</x:v>
      </x:c>
      <x:c r="E482" t="str">
        <x:v>Mercado Sul, Lda.</x:v>
      </x:c>
      <x:c r="F482" t="str">
        <x:v>Kilamba</x:v>
      </x:c>
      <x:c r="G482" t="str">
        <x:v>Gilberto José</x:v>
      </x:c>
      <x:c r="H482" t="str">
        <x:v>VTR-01</x:v>
      </x:c>
      <x:c r="I482" t="str">
        <x:v>Kia K2700</x:v>
      </x:c>
      <x:c r="J482" t="n">
        <x:v>1500</x:v>
      </x:c>
      <x:c r="K482" t="n">
        <x:v>84</x:v>
      </x:c>
      <x:c r="L482" t="n">
        <x:v>84</x:v>
      </x:c>
      <x:c r="M482" t="n">
        <x:v>1420.3</x:v>
      </x:c>
      <x:c r="N482" t="n">
        <x:v>34</x:v>
      </x:c>
      <x:c r="O482" s="45" t="n">
        <x:v>2095548</x:v>
      </x:c>
      <x:c r="P482" s="45" t="n">
        <x:v>43000</x:v>
      </x:c>
      <x:c r="Q482" t="str">
        <x:v>Entregue</x:v>
      </x:c>
      <x:c r="R482" t="str"/>
      <x:c r="S482" t="str">
        <x:v>Nao</x:v>
      </x:c>
      <x:c r="T482" t="str">
        <x:v>Nao</x:v>
      </x:c>
    </x:row>
    <x:row r="483" ht="19" customHeight="1">
      <x:c r="A483" t="str">
        <x:v>ENT-00482</x:v>
      </x:c>
      <x:c r="B483" s="41" t="n">
        <x:v>46251</x:v>
      </x:c>
      <x:c r="C483" s="41" t="n">
        <x:v>46253</x:v>
      </x:c>
      <x:c r="D483" s="41" t="n">
        <x:v>46253</x:v>
      </x:c>
      <x:c r="E483" t="str">
        <x:v>Mercado Sul, Lda.</x:v>
      </x:c>
      <x:c r="F483" t="str">
        <x:v>Viana</x:v>
      </x:c>
      <x:c r="G483" t="str">
        <x:v>Bernardo Paulo</x:v>
      </x:c>
      <x:c r="H483" t="str">
        <x:v>VTR-01</x:v>
      </x:c>
      <x:c r="I483" t="str">
        <x:v>Kia K2700</x:v>
      </x:c>
      <x:c r="J483" t="n">
        <x:v>1500</x:v>
      </x:c>
      <x:c r="K483" t="n">
        <x:v>50</x:v>
      </x:c>
      <x:c r="L483" t="n">
        <x:v>50</x:v>
      </x:c>
      <x:c r="M483" t="n">
        <x:v>834.5</x:v>
      </x:c>
      <x:c r="N483" t="n">
        <x:v>34</x:v>
      </x:c>
      <x:c r="O483" s="45" t="n">
        <x:v>401750</x:v>
      </x:c>
      <x:c r="P483" s="45" t="n">
        <x:v>34000</x:v>
      </x:c>
      <x:c r="Q483" t="str">
        <x:v>Entregue</x:v>
      </x:c>
      <x:c r="R483" t="str"/>
      <x:c r="S483" t="str">
        <x:v>Nao</x:v>
      </x:c>
      <x:c r="T483" t="str">
        <x:v>Nao</x:v>
      </x:c>
    </x:row>
    <x:row r="484" ht="19" customHeight="1">
      <x:c r="A484" t="str">
        <x:v>ENT-00483</x:v>
      </x:c>
      <x:c r="B484" s="41" t="n">
        <x:v>46217</x:v>
      </x:c>
      <x:c r="C484" s="41" t="n">
        <x:v>46220</x:v>
      </x:c>
      <x:c r="D484" s="41" t="n">
        <x:v>46221</x:v>
      </x:c>
      <x:c r="E484" t="str">
        <x:v>Sol Nascente Comércio, Lda.</x:v>
      </x:c>
      <x:c r="F484" t="str">
        <x:v>Kikuxi</x:v>
      </x:c>
      <x:c r="G484" t="str">
        <x:v>Adriano Manuel</x:v>
      </x:c>
      <x:c r="H484" t="str">
        <x:v>VTR-06</x:v>
      </x:c>
      <x:c r="I484" t="str">
        <x:v>Isuzu NPR</x:v>
      </x:c>
      <x:c r="J484" t="n">
        <x:v>5000</x:v>
      </x:c>
      <x:c r="K484" t="n">
        <x:v>64</x:v>
      </x:c>
      <x:c r="L484" t="n">
        <x:v>64</x:v>
      </x:c>
      <x:c r="M484" t="n">
        <x:v>1226.8</x:v>
      </x:c>
      <x:c r="N484" t="n">
        <x:v>44</x:v>
      </x:c>
      <x:c r="O484" s="45" t="n">
        <x:v>1351424</x:v>
      </x:c>
      <x:c r="P484" s="45" t="n">
        <x:v>49000</x:v>
      </x:c>
      <x:c r="Q484" t="str">
        <x:v>Entregue</x:v>
      </x:c>
      <x:c r="R484" t="str">
        <x:v>Chuva/condicao da via</x:v>
      </x:c>
      <x:c r="S484" t="str">
        <x:v>Nao</x:v>
      </x:c>
      <x:c r="T484" t="str">
        <x:v>Nao</x:v>
      </x:c>
    </x:row>
    <x:row r="485" ht="19" customHeight="1">
      <x:c r="A485" t="str">
        <x:v>ENT-00484</x:v>
      </x:c>
      <x:c r="B485" s="41" t="n">
        <x:v>46232</x:v>
      </x:c>
      <x:c r="C485" s="41" t="n">
        <x:v>46235</x:v>
      </x:c>
      <x:c r="D485" s="41" t="n">
        <x:v>46236</x:v>
      </x:c>
      <x:c r="E485" t="str">
        <x:v>Rota Azul, Lda.</x:v>
      </x:c>
      <x:c r="F485" t="str">
        <x:v>Zango</x:v>
      </x:c>
      <x:c r="G485" t="str">
        <x:v>Bernardo Paulo</x:v>
      </x:c>
      <x:c r="H485" t="str">
        <x:v>VTR-02</x:v>
      </x:c>
      <x:c r="I485" t="str">
        <x:v>Kia K2700</x:v>
      </x:c>
      <x:c r="J485" t="n">
        <x:v>1500</x:v>
      </x:c>
      <x:c r="K485" t="n">
        <x:v>34</x:v>
      </x:c>
      <x:c r="L485" t="n">
        <x:v>34</x:v>
      </x:c>
      <x:c r="M485" t="n">
        <x:v>273.8</x:v>
      </x:c>
      <x:c r="N485" t="n">
        <x:v>44</x:v>
      </x:c>
      <x:c r="O485" s="45" t="n">
        <x:v>517854</x:v>
      </x:c>
      <x:c r="P485" s="45" t="n">
        <x:v>30000</x:v>
      </x:c>
      <x:c r="Q485" t="str">
        <x:v>Entregue</x:v>
      </x:c>
      <x:c r="R485" t="str">
        <x:v>Cliente indisponivel</x:v>
      </x:c>
      <x:c r="S485" t="str">
        <x:v>Nao</x:v>
      </x:c>
      <x:c r="T485" t="str">
        <x:v>Nao</x:v>
      </x:c>
    </x:row>
    <x:row r="486" ht="19" customHeight="1">
      <x:c r="A486" t="str">
        <x:v>ENT-00485</x:v>
      </x:c>
      <x:c r="B486" s="41" t="n">
        <x:v>46208</x:v>
      </x:c>
      <x:c r="C486" s="41" t="n">
        <x:v>46211</x:v>
      </x:c>
      <x:c r="D486" s="41" t="n">
        <x:v>46211</x:v>
      </x:c>
      <x:c r="E486" t="str">
        <x:v>Sol Nascente Comércio, Lda.</x:v>
      </x:c>
      <x:c r="F486" t="str">
        <x:v>Sequele</x:v>
      </x:c>
      <x:c r="G486" t="str">
        <x:v>Hélder Miguel</x:v>
      </x:c>
      <x:c r="H486" t="str">
        <x:v>VTR-04</x:v>
      </x:c>
      <x:c r="I486" t="str">
        <x:v>Toyota Dyna</x:v>
      </x:c>
      <x:c r="J486" t="n">
        <x:v>3000</x:v>
      </x:c>
      <x:c r="K486" t="n">
        <x:v>86</x:v>
      </x:c>
      <x:c r="L486" t="n">
        <x:v>86</x:v>
      </x:c>
      <x:c r="M486" t="n">
        <x:v>1834.4</x:v>
      </x:c>
      <x:c r="N486" t="n">
        <x:v>45</x:v>
      </x:c>
      <x:c r="O486" s="45" t="n">
        <x:v>416412</x:v>
      </x:c>
      <x:c r="P486" s="45" t="n">
        <x:v>60000</x:v>
      </x:c>
      <x:c r="Q486" t="str">
        <x:v>Entregue</x:v>
      </x:c>
      <x:c r="R486" t="str"/>
      <x:c r="S486" t="str">
        <x:v>Nao</x:v>
      </x:c>
      <x:c r="T486" t="str">
        <x:v>Nao</x:v>
      </x:c>
    </x:row>
    <x:row r="487" ht="19" customHeight="1">
      <x:c r="A487" t="str">
        <x:v>ENT-00486</x:v>
      </x:c>
      <x:c r="B487" s="41" t="n">
        <x:v>46240</x:v>
      </x:c>
      <x:c r="C487" s="41" t="n">
        <x:v>46241</x:v>
      </x:c>
      <x:c r="D487" s="41" t="n">
        <x:v>46241</x:v>
      </x:c>
      <x:c r="E487" t="str">
        <x:v>Rota Azul, Lda.</x:v>
      </x:c>
      <x:c r="F487" t="str">
        <x:v>Camama</x:v>
      </x:c>
      <x:c r="G487" t="str">
        <x:v>Adriano Manuel</x:v>
      </x:c>
      <x:c r="H487" t="str">
        <x:v>VTR-02</x:v>
      </x:c>
      <x:c r="I487" t="str">
        <x:v>Kia K2700</x:v>
      </x:c>
      <x:c r="J487" t="n">
        <x:v>1500</x:v>
      </x:c>
      <x:c r="K487" t="n">
        <x:v>48</x:v>
      </x:c>
      <x:c r="L487" t="n">
        <x:v>48</x:v>
      </x:c>
      <x:c r="M487" t="n">
        <x:v>839.2</x:v>
      </x:c>
      <x:c r="N487" t="n">
        <x:v>18</x:v>
      </x:c>
      <x:c r="O487" s="45" t="n">
        <x:v>333984</x:v>
      </x:c>
      <x:c r="P487" s="45" t="n">
        <x:v>30000</x:v>
      </x:c>
      <x:c r="Q487" t="str">
        <x:v>Entregue</x:v>
      </x:c>
      <x:c r="R487" t="str"/>
      <x:c r="S487" t="str">
        <x:v>Nao</x:v>
      </x:c>
      <x:c r="T487" t="str">
        <x:v>Nao</x:v>
      </x:c>
    </x:row>
    <x:row r="488" ht="19" customHeight="1">
      <x:c r="A488" t="str">
        <x:v>ENT-00487</x:v>
      </x:c>
      <x:c r="B488" s="41" t="n">
        <x:v>46240</x:v>
      </x:c>
      <x:c r="C488" s="41" t="n">
        <x:v>46243</x:v>
      </x:c>
      <x:c r="D488" s="41" t="n">
        <x:v>46243</x:v>
      </x:c>
      <x:c r="E488" t="str">
        <x:v>Ponto Logístico, Lda.</x:v>
      </x:c>
      <x:c r="F488" t="str">
        <x:v>Zango</x:v>
      </x:c>
      <x:c r="G488" t="str">
        <x:v>Jorge Mário</x:v>
      </x:c>
      <x:c r="H488" t="str">
        <x:v>VTR-04</x:v>
      </x:c>
      <x:c r="I488" t="str">
        <x:v>Toyota Dyna</x:v>
      </x:c>
      <x:c r="J488" t="n">
        <x:v>3000</x:v>
      </x:c>
      <x:c r="K488" t="n">
        <x:v>47</x:v>
      </x:c>
      <x:c r="L488" t="n">
        <x:v>47</x:v>
      </x:c>
      <x:c r="M488" t="n">
        <x:v>1155</x:v>
      </x:c>
      <x:c r="N488" t="n">
        <x:v>44</x:v>
      </x:c>
      <x:c r="O488" s="45" t="n">
        <x:v>685965</x:v>
      </x:c>
      <x:c r="P488" s="45" t="n">
        <x:v>46500</x:v>
      </x:c>
      <x:c r="Q488" t="str">
        <x:v>Entregue</x:v>
      </x:c>
      <x:c r="R488" t="str"/>
      <x:c r="S488" t="str">
        <x:v>Nao</x:v>
      </x:c>
      <x:c r="T488" t="str">
        <x:v>Nao</x:v>
      </x:c>
    </x:row>
    <x:row r="489" ht="19" customHeight="1">
      <x:c r="A489" t="str">
        <x:v>ENT-00488</x:v>
      </x:c>
      <x:c r="B489" s="41" t="n">
        <x:v>46235</x:v>
      </x:c>
      <x:c r="C489" s="41" t="n">
        <x:v>46238</x:v>
      </x:c>
      <x:c r="D489" s="41" t="n">
        <x:v>46238</x:v>
      </x:c>
      <x:c r="E489" t="str">
        <x:v>N'gola Market, Lda.</x:v>
      </x:c>
      <x:c r="F489" t="str">
        <x:v>Cacuaco</x:v>
      </x:c>
      <x:c r="G489" t="str">
        <x:v>Bernardo Paulo</x:v>
      </x:c>
      <x:c r="H489" t="str">
        <x:v>VTR-10</x:v>
      </x:c>
      <x:c r="I489" t="str">
        <x:v>Foton Aumark</x:v>
      </x:c>
      <x:c r="J489" t="n">
        <x:v>4000</x:v>
      </x:c>
      <x:c r="K489" t="n">
        <x:v>69</x:v>
      </x:c>
      <x:c r="L489" t="n">
        <x:v>69</x:v>
      </x:c>
      <x:c r="M489" t="n">
        <x:v>2095.7</x:v>
      </x:c>
      <x:c r="N489" t="n">
        <x:v>47</x:v>
      </x:c>
      <x:c r="O489" s="45" t="n">
        <x:v>1698090</x:v>
      </x:c>
      <x:c r="P489" s="45" t="n">
        <x:v>63500</x:v>
      </x:c>
      <x:c r="Q489" t="str">
        <x:v>Entregue</x:v>
      </x:c>
      <x:c r="R489" t="str"/>
      <x:c r="S489" t="str">
        <x:v>Nao</x:v>
      </x:c>
      <x:c r="T489" t="str">
        <x:v>Nao</x:v>
      </x:c>
    </x:row>
    <x:row r="490" ht="19" customHeight="1">
      <x:c r="A490" t="str">
        <x:v>ENT-00489</x:v>
      </x:c>
      <x:c r="B490" s="41" t="n">
        <x:v>46263</x:v>
      </x:c>
      <x:c r="C490" s="41" t="n">
        <x:v>46264</x:v>
      </x:c>
      <x:c r="D490" s="41" t="n">
        <x:v>46264</x:v>
      </x:c>
      <x:c r="E490" t="str">
        <x:v>Via Certa Serviços, Lda.</x:v>
      </x:c>
      <x:c r="F490" t="str">
        <x:v>Maianga</x:v>
      </x:c>
      <x:c r="G490" t="str">
        <x:v>Bernardo Paulo</x:v>
      </x:c>
      <x:c r="H490" t="str">
        <x:v>VTR-11</x:v>
      </x:c>
      <x:c r="I490" t="str">
        <x:v>JAC N56</x:v>
      </x:c>
      <x:c r="J490" t="n">
        <x:v>3500</x:v>
      </x:c>
      <x:c r="K490" t="n">
        <x:v>61</x:v>
      </x:c>
      <x:c r="L490" t="n">
        <x:v>61</x:v>
      </x:c>
      <x:c r="M490" t="n">
        <x:v>1307.1</x:v>
      </x:c>
      <x:c r="N490" t="n">
        <x:v>12</x:v>
      </x:c>
      <x:c r="O490" s="45" t="n">
        <x:v>325862</x:v>
      </x:c>
      <x:c r="P490" s="45" t="n">
        <x:v>34500</x:v>
      </x:c>
      <x:c r="Q490" t="str">
        <x:v>Entregue</x:v>
      </x:c>
      <x:c r="R490" t="str"/>
      <x:c r="S490" t="str">
        <x:v>Nao</x:v>
      </x:c>
      <x:c r="T490" t="str">
        <x:v>Nao</x:v>
      </x:c>
    </x:row>
    <x:row r="491" ht="19" customHeight="1">
      <x:c r="A491" t="str">
        <x:v>ENT-00490</x:v>
      </x:c>
      <x:c r="B491" s="41" t="n">
        <x:v>46240</x:v>
      </x:c>
      <x:c r="C491" s="41" t="n">
        <x:v>46242</x:v>
      </x:c>
      <x:c r="D491" s="41" t="n">
        <x:v>46244</x:v>
      </x:c>
      <x:c r="E491" t="str">
        <x:v>Prime Stock, Lda.</x:v>
      </x:c>
      <x:c r="F491" t="str">
        <x:v>Benfica</x:v>
      </x:c>
      <x:c r="G491" t="str">
        <x:v>Dário Joaquim</x:v>
      </x:c>
      <x:c r="H491" t="str">
        <x:v>VTR-03</x:v>
      </x:c>
      <x:c r="I491" t="str">
        <x:v>Toyota Dyna</x:v>
      </x:c>
      <x:c r="J491" t="n">
        <x:v>3000</x:v>
      </x:c>
      <x:c r="K491" t="n">
        <x:v>23</x:v>
      </x:c>
      <x:c r="L491" t="n">
        <x:v>23</x:v>
      </x:c>
      <x:c r="M491" t="n">
        <x:v>706.3</x:v>
      </x:c>
      <x:c r="N491" t="n">
        <x:v>37</x:v>
      </x:c>
      <x:c r="O491" s="45" t="n">
        <x:v>577116</x:v>
      </x:c>
      <x:c r="P491" s="45" t="n">
        <x:v>34000</x:v>
      </x:c>
      <x:c r="Q491" t="str">
        <x:v>Entregue</x:v>
      </x:c>
      <x:c r="R491" t="str">
        <x:v>Cliente indisponivel</x:v>
      </x:c>
      <x:c r="S491" t="str">
        <x:v>Nao</x:v>
      </x:c>
      <x:c r="T491" t="str">
        <x:v>Nao</x:v>
      </x:c>
    </x:row>
    <x:row r="492" ht="19" customHeight="1">
      <x:c r="A492" t="str">
        <x:v>ENT-00491</x:v>
      </x:c>
      <x:c r="B492" s="41" t="n">
        <x:v>46241</x:v>
      </x:c>
      <x:c r="C492" s="41" t="n">
        <x:v>46244</x:v>
      </x:c>
      <x:c r="D492" s="41" t="n">
        <x:v>46244</x:v>
      </x:c>
      <x:c r="E492" t="str">
        <x:v>Prime Stock, Lda.</x:v>
      </x:c>
      <x:c r="F492" t="str">
        <x:v>Cacuaco</x:v>
      </x:c>
      <x:c r="G492" t="str">
        <x:v>Bernardo Paulo</x:v>
      </x:c>
      <x:c r="H492" t="str">
        <x:v>VTR-08</x:v>
      </x:c>
      <x:c r="I492" t="str">
        <x:v>Toyota Hilux</x:v>
      </x:c>
      <x:c r="J492" t="n">
        <x:v>1000</x:v>
      </x:c>
      <x:c r="K492" t="n">
        <x:v>68</x:v>
      </x:c>
      <x:c r="L492" t="n">
        <x:v>68</x:v>
      </x:c>
      <x:c r="M492" t="n">
        <x:v>727.4</x:v>
      </x:c>
      <x:c r="N492" t="n">
        <x:v>43</x:v>
      </x:c>
      <x:c r="O492" s="45" t="n">
        <x:v>1071816</x:v>
      </x:c>
      <x:c r="P492" s="45" t="n">
        <x:v>40500</x:v>
      </x:c>
      <x:c r="Q492" t="str">
        <x:v>Entregue</x:v>
      </x:c>
      <x:c r="R492" t="str"/>
      <x:c r="S492" t="str">
        <x:v>Nao</x:v>
      </x:c>
      <x:c r="T492" t="str">
        <x:v>Nao</x:v>
      </x:c>
    </x:row>
    <x:row r="493" ht="19" customHeight="1">
      <x:c r="A493" t="str">
        <x:v>ENT-00492</x:v>
      </x:c>
      <x:c r="B493" s="41" t="n">
        <x:v>46244</x:v>
      </x:c>
      <x:c r="C493" s="41" t="n">
        <x:v>46246</x:v>
      </x:c>
      <x:c r="D493" s="41" t="n">
        <x:v>46247</x:v>
      </x:c>
      <x:c r="E493" t="str">
        <x:v>Mercado Sul, Lda.</x:v>
      </x:c>
      <x:c r="F493" t="str">
        <x:v>Benfica</x:v>
      </x:c>
      <x:c r="G493" t="str">
        <x:v>Bernardo Paulo</x:v>
      </x:c>
      <x:c r="H493" t="str">
        <x:v>VTR-05</x:v>
      </x:c>
      <x:c r="I493" t="str">
        <x:v>Hyundai HD65</x:v>
      </x:c>
      <x:c r="J493" t="n">
        <x:v>3500</x:v>
      </x:c>
      <x:c r="K493" t="n">
        <x:v>23</x:v>
      </x:c>
      <x:c r="L493" t="n">
        <x:v>23</x:v>
      </x:c>
      <x:c r="M493" t="n">
        <x:v>781.4</x:v>
      </x:c>
      <x:c r="N493" t="n">
        <x:v>39</x:v>
      </x:c>
      <x:c r="O493" s="45" t="n">
        <x:v>273378</x:v>
      </x:c>
      <x:c r="P493" s="45" t="n">
        <x:v>40000</x:v>
      </x:c>
      <x:c r="Q493" t="str">
        <x:v>Entregue</x:v>
      </x:c>
      <x:c r="R493" t="str">
        <x:v>Atraso no carregamento</x:v>
      </x:c>
      <x:c r="S493" t="str">
        <x:v>Nao</x:v>
      </x:c>
      <x:c r="T493" t="str">
        <x:v>Nao</x:v>
      </x:c>
    </x:row>
    <x:row r="494" ht="19" customHeight="1">
      <x:c r="A494" t="str">
        <x:v>ENT-00493</x:v>
      </x:c>
      <x:c r="B494" s="41" t="n">
        <x:v>46265</x:v>
      </x:c>
      <x:c r="C494" s="41" t="n">
        <x:v>46267</x:v>
      </x:c>
      <x:c r="D494" s="41" t="n">
        <x:v>46269</x:v>
      </x:c>
      <x:c r="E494" t="str">
        <x:v>Rota Azul, Lda.</x:v>
      </x:c>
      <x:c r="F494" t="str">
        <x:v>Viana</x:v>
      </x:c>
      <x:c r="G494" t="str">
        <x:v>Kito Alberto</x:v>
      </x:c>
      <x:c r="H494" t="str">
        <x:v>VTR-06</x:v>
      </x:c>
      <x:c r="I494" t="str">
        <x:v>Isuzu NPR</x:v>
      </x:c>
      <x:c r="J494" t="n">
        <x:v>5000</x:v>
      </x:c>
      <x:c r="K494" t="n">
        <x:v>23</x:v>
      </x:c>
      <x:c r="L494" t="n">
        <x:v>23</x:v>
      </x:c>
      <x:c r="M494" t="n">
        <x:v>195.8</x:v>
      </x:c>
      <x:c r="N494" t="n">
        <x:v>35</x:v>
      </x:c>
      <x:c r="O494" s="45" t="n">
        <x:v>167141</x:v>
      </x:c>
      <x:c r="P494" s="45" t="n">
        <x:v>27500</x:v>
      </x:c>
      <x:c r="Q494" t="str">
        <x:v>Entregue</x:v>
      </x:c>
      <x:c r="R494" t="str">
        <x:v>Cliente indisponivel</x:v>
      </x:c>
      <x:c r="S494" t="str">
        <x:v>Nao</x:v>
      </x:c>
      <x:c r="T494" t="str">
        <x:v>Nao</x:v>
      </x:c>
    </x:row>
    <x:row r="495" ht="19" customHeight="1">
      <x:c r="A495" t="str">
        <x:v>ENT-00494</x:v>
      </x:c>
      <x:c r="B495" s="41" t="n">
        <x:v>46237</x:v>
      </x:c>
      <x:c r="C495" s="41" t="n">
        <x:v>46239</x:v>
      </x:c>
      <x:c r="D495" s="41" t="n">
        <x:v>46239</x:v>
      </x:c>
      <x:c r="E495" t="str">
        <x:v>Mundo Fresco, Lda.</x:v>
      </x:c>
      <x:c r="F495" t="str">
        <x:v>Zango</x:v>
      </x:c>
      <x:c r="G495" t="str">
        <x:v>Jorge Mário</x:v>
      </x:c>
      <x:c r="H495" t="str">
        <x:v>VTR-07</x:v>
      </x:c>
      <x:c r="I495" t="str">
        <x:v>Isuzu NPR</x:v>
      </x:c>
      <x:c r="J495" t="n">
        <x:v>5000</x:v>
      </x:c>
      <x:c r="K495" t="n">
        <x:v>42</x:v>
      </x:c>
      <x:c r="L495" t="n">
        <x:v>42</x:v>
      </x:c>
      <x:c r="M495" t="n">
        <x:v>1433.5</x:v>
      </x:c>
      <x:c r="N495" t="n">
        <x:v>34</x:v>
      </x:c>
      <x:c r="O495" s="45" t="n">
        <x:v>413406</x:v>
      </x:c>
      <x:c r="P495" s="45" t="n">
        <x:v>44000</x:v>
      </x:c>
      <x:c r="Q495" t="str">
        <x:v>Entregue</x:v>
      </x:c>
      <x:c r="R495" t="str"/>
      <x:c r="S495" t="str">
        <x:v>Nao</x:v>
      </x:c>
      <x:c r="T495" t="str">
        <x:v>Nao</x:v>
      </x:c>
    </x:row>
    <x:row r="496" ht="19" customHeight="1">
      <x:c r="A496" t="str">
        <x:v>ENT-00495</x:v>
      </x:c>
      <x:c r="B496" s="41" t="n">
        <x:v>46226</x:v>
      </x:c>
      <x:c r="C496" s="41" t="n">
        <x:v>46227</x:v>
      </x:c>
      <x:c r="D496" s="41" t="n">
        <x:v>46228</x:v>
      </x:c>
      <x:c r="E496" t="str">
        <x:v>Atlântico Farma, Lda.</x:v>
      </x:c>
      <x:c r="F496" t="str">
        <x:v>Maianga</x:v>
      </x:c>
      <x:c r="G496" t="str">
        <x:v>Lucas Tomás</x:v>
      </x:c>
      <x:c r="H496" t="str">
        <x:v>VTR-01</x:v>
      </x:c>
      <x:c r="I496" t="str">
        <x:v>Kia K2700</x:v>
      </x:c>
      <x:c r="J496" t="n">
        <x:v>1500</x:v>
      </x:c>
      <x:c r="K496" t="n">
        <x:v>30</x:v>
      </x:c>
      <x:c r="L496" t="n">
        <x:v>30</x:v>
      </x:c>
      <x:c r="M496" t="n">
        <x:v>595.1</x:v>
      </x:c>
      <x:c r="N496" t="n">
        <x:v>16</x:v>
      </x:c>
      <x:c r="O496" s="45" t="n">
        <x:v>331920</x:v>
      </x:c>
      <x:c r="P496" s="45" t="n">
        <x:v>26000</x:v>
      </x:c>
      <x:c r="Q496" t="str">
        <x:v>Entregue</x:v>
      </x:c>
      <x:c r="R496" t="str">
        <x:v>Atraso no carregamento</x:v>
      </x:c>
      <x:c r="S496" t="str">
        <x:v>Nao</x:v>
      </x:c>
      <x:c r="T496" t="str">
        <x:v>Nao</x:v>
      </x:c>
    </x:row>
    <x:row r="497" ht="19" customHeight="1">
      <x:c r="A497" t="str">
        <x:v>ENT-00496</x:v>
      </x:c>
      <x:c r="B497" s="41" t="n">
        <x:v>46254</x:v>
      </x:c>
      <x:c r="C497" s="41" t="n">
        <x:v>46256</x:v>
      </x:c>
      <x:c r="D497" s="41" t="n">
        <x:v>46256</x:v>
      </x:c>
      <x:c r="E497" t="str">
        <x:v>Prime Stock, Lda.</x:v>
      </x:c>
      <x:c r="F497" t="str">
        <x:v>Morro Bento</x:v>
      </x:c>
      <x:c r="G497" t="str">
        <x:v>Adriano Manuel</x:v>
      </x:c>
      <x:c r="H497" t="str">
        <x:v>VTR-07</x:v>
      </x:c>
      <x:c r="I497" t="str">
        <x:v>Isuzu NPR</x:v>
      </x:c>
      <x:c r="J497" t="n">
        <x:v>5000</x:v>
      </x:c>
      <x:c r="K497" t="n">
        <x:v>70</x:v>
      </x:c>
      <x:c r="L497" t="n">
        <x:v>70</x:v>
      </x:c>
      <x:c r="M497" t="n">
        <x:v>1421.2</x:v>
      </x:c>
      <x:c r="N497" t="n">
        <x:v>27</x:v>
      </x:c>
      <x:c r="O497" s="45" t="n">
        <x:v>1479030</x:v>
      </x:c>
      <x:c r="P497" s="45" t="n">
        <x:v>40500</x:v>
      </x:c>
      <x:c r="Q497" t="str">
        <x:v>Entregue</x:v>
      </x:c>
      <x:c r="R497" t="str"/>
      <x:c r="S497" t="str">
        <x:v>Nao</x:v>
      </x:c>
      <x:c r="T497" t="str">
        <x:v>Nao</x:v>
      </x:c>
    </x:row>
    <x:row r="498" ht="19" customHeight="1">
      <x:c r="A498" t="str">
        <x:v>ENT-00497</x:v>
      </x:c>
      <x:c r="B498" s="41" t="n">
        <x:v>46251</x:v>
      </x:c>
      <x:c r="C498" s="41" t="n">
        <x:v>46253</x:v>
      </x:c>
      <x:c r="D498" s="41" t="n">
        <x:v>46253</x:v>
      </x:c>
      <x:c r="E498" t="str">
        <x:v>Luanda Office Supply, Lda.</x:v>
      </x:c>
      <x:c r="F498" t="str">
        <x:v>Kilamba</x:v>
      </x:c>
      <x:c r="G498" t="str">
        <x:v>Félix Domingos</x:v>
      </x:c>
      <x:c r="H498" t="str">
        <x:v>VTR-04</x:v>
      </x:c>
      <x:c r="I498" t="str">
        <x:v>Toyota Dyna</x:v>
      </x:c>
      <x:c r="J498" t="n">
        <x:v>3000</x:v>
      </x:c>
      <x:c r="K498" t="n">
        <x:v>84</x:v>
      </x:c>
      <x:c r="L498" t="n">
        <x:v>84</x:v>
      </x:c>
      <x:c r="M498" t="n">
        <x:v>976.9</x:v>
      </x:c>
      <x:c r="N498" t="n">
        <x:v>28</x:v>
      </x:c>
      <x:c r="O498" s="45" t="n">
        <x:v>1686384</x:v>
      </x:c>
      <x:c r="P498" s="45" t="n">
        <x:v>34500</x:v>
      </x:c>
      <x:c r="Q498" t="str">
        <x:v>Entregue</x:v>
      </x:c>
      <x:c r="R498" t="str"/>
      <x:c r="S498" t="str">
        <x:v>Nao</x:v>
      </x:c>
      <x:c r="T498" t="str">
        <x:v>Nao</x:v>
      </x:c>
    </x:row>
    <x:row r="499" ht="19" customHeight="1">
      <x:c r="A499" t="str">
        <x:v>ENT-00498</x:v>
      </x:c>
      <x:c r="B499" s="41" t="n">
        <x:v>46221</x:v>
      </x:c>
      <x:c r="C499" s="41" t="n">
        <x:v>46222</x:v>
      </x:c>
      <x:c r="D499" s="41" t="n">
        <x:v>46222</x:v>
      </x:c>
      <x:c r="E499" t="str">
        <x:v>Via Certa Serviços, Lda.</x:v>
      </x:c>
      <x:c r="F499" t="str">
        <x:v>Maianga</x:v>
      </x:c>
      <x:c r="G499" t="str">
        <x:v>Félix Domingos</x:v>
      </x:c>
      <x:c r="H499" t="str">
        <x:v>VTR-11</x:v>
      </x:c>
      <x:c r="I499" t="str">
        <x:v>JAC N56</x:v>
      </x:c>
      <x:c r="J499" t="n">
        <x:v>3500</x:v>
      </x:c>
      <x:c r="K499" t="n">
        <x:v>78</x:v>
      </x:c>
      <x:c r="L499" t="n">
        <x:v>78</x:v>
      </x:c>
      <x:c r="M499" t="n">
        <x:v>898.8</x:v>
      </x:c>
      <x:c r="N499" t="n">
        <x:v>10</x:v>
      </x:c>
      <x:c r="O499" s="45" t="n">
        <x:v>1821846</x:v>
      </x:c>
      <x:c r="P499" s="45" t="n">
        <x:v>26000</x:v>
      </x:c>
      <x:c r="Q499" t="str">
        <x:v>Entregue</x:v>
      </x:c>
      <x:c r="R499" t="str"/>
      <x:c r="S499" t="str">
        <x:v>Nao</x:v>
      </x:c>
      <x:c r="T499" t="str">
        <x:v>Nao</x:v>
      </x:c>
    </x:row>
    <x:row r="500" ht="19" customHeight="1">
      <x:c r="A500" t="str">
        <x:v>ENT-00499</x:v>
      </x:c>
      <x:c r="B500" s="41" t="n">
        <x:v>46264</x:v>
      </x:c>
      <x:c r="C500" s="41" t="n">
        <x:v>46266</x:v>
      </x:c>
      <x:c r="D500" s="41" t="n">
        <x:v>46269</x:v>
      </x:c>
      <x:c r="E500" t="str">
        <x:v>Nova Rota Comercial, Lda.</x:v>
      </x:c>
      <x:c r="F500" t="str">
        <x:v>Viana</x:v>
      </x:c>
      <x:c r="G500" t="str">
        <x:v>Carlos Mateus</x:v>
      </x:c>
      <x:c r="H500" t="str">
        <x:v>VTR-09</x:v>
      </x:c>
      <x:c r="I500" t="str">
        <x:v>Toyota Hilux</x:v>
      </x:c>
      <x:c r="J500" t="n">
        <x:v>1000</x:v>
      </x:c>
      <x:c r="K500" t="n">
        <x:v>79</x:v>
      </x:c>
      <x:c r="L500" t="n">
        <x:v>79</x:v>
      </x:c>
      <x:c r="M500" t="n">
        <x:v>922.8</x:v>
      </x:c>
      <x:c r="N500" t="n">
        <x:v>31</x:v>
      </x:c>
      <x:c r="O500" s="45" t="n">
        <x:v>1417734</x:v>
      </x:c>
      <x:c r="P500" s="45" t="n">
        <x:v>34000</x:v>
      </x:c>
      <x:c r="Q500" t="str">
        <x:v>Entregue</x:v>
      </x:c>
      <x:c r="R500" t="str">
        <x:v>Avaria da viatura</x:v>
      </x:c>
      <x:c r="S500" t="str">
        <x:v>Nao</x:v>
      </x:c>
      <x:c r="T500" t="str">
        <x:v>Nao</x:v>
      </x:c>
    </x:row>
    <x:row r="501" ht="19" customHeight="1">
      <x:c r="A501" t="str">
        <x:v>ENT-00500</x:v>
      </x:c>
      <x:c r="B501" s="41" t="n">
        <x:v>46234</x:v>
      </x:c>
      <x:c r="C501" s="41" t="n">
        <x:v>46236</x:v>
      </x:c>
      <x:c r="D501" s="41" t="n">
        <x:v>46236</x:v>
      </x:c>
      <x:c r="E501" t="str">
        <x:v>Prime Stock, Lda.</x:v>
      </x:c>
      <x:c r="F501" t="str">
        <x:v>Kilamba</x:v>
      </x:c>
      <x:c r="G501" t="str">
        <x:v>Isaías Pedro</x:v>
      </x:c>
      <x:c r="H501" t="str">
        <x:v>VTR-02</x:v>
      </x:c>
      <x:c r="I501" t="str">
        <x:v>Kia K2700</x:v>
      </x:c>
      <x:c r="J501" t="n">
        <x:v>1500</x:v>
      </x:c>
      <x:c r="K501" t="n">
        <x:v>8</x:v>
      </x:c>
      <x:c r="L501" t="n">
        <x:v>8</x:v>
      </x:c>
      <x:c r="M501" t="n">
        <x:v>163.1</x:v>
      </x:c>
      <x:c r="N501" t="n">
        <x:v>24</x:v>
      </x:c>
      <x:c r="O501" s="45" t="n">
        <x:v>91704</x:v>
      </x:c>
      <x:c r="P501" s="45" t="n">
        <x:v>18000</x:v>
      </x:c>
      <x:c r="Q501" t="str">
        <x:v>Entregue</x:v>
      </x:c>
      <x:c r="R501" t="str"/>
      <x:c r="S501" t="str">
        <x:v>Nao</x:v>
      </x:c>
      <x:c r="T501" t="str">
        <x:v>Nao</x:v>
      </x:c>
    </x:row>
    <x:row r="502" ht="19" customHeight="1">
      <x:c r="A502" t="str">
        <x:v>ENT-00501</x:v>
      </x:c>
      <x:c r="B502" s="41" t="n">
        <x:v>46212</x:v>
      </x:c>
      <x:c r="C502" s="41" t="n">
        <x:v>46214</x:v>
      </x:c>
      <x:c r="D502" s="41" t="n">
        <x:v>46217</x:v>
      </x:c>
      <x:c r="E502" t="str">
        <x:v>Casa Horizonte, Lda.</x:v>
      </x:c>
      <x:c r="F502" t="str">
        <x:v>Viana</x:v>
      </x:c>
      <x:c r="G502" t="str">
        <x:v>Isaías Pedro</x:v>
      </x:c>
      <x:c r="H502" t="str">
        <x:v>VTR-08</x:v>
      </x:c>
      <x:c r="I502" t="str">
        <x:v>Toyota Hilux</x:v>
      </x:c>
      <x:c r="J502" t="n">
        <x:v>1000</x:v>
      </x:c>
      <x:c r="K502" t="n">
        <x:v>35</x:v>
      </x:c>
      <x:c r="L502" t="n">
        <x:v>35</x:v>
      </x:c>
      <x:c r="M502" t="n">
        <x:v>912</x:v>
      </x:c>
      <x:c r="N502" t="n">
        <x:v>35</x:v>
      </x:c>
      <x:c r="O502" s="45" t="n">
        <x:v>470260</x:v>
      </x:c>
      <x:c r="P502" s="45" t="n">
        <x:v>41000</x:v>
      </x:c>
      <x:c r="Q502" t="str">
        <x:v>Entregue</x:v>
      </x:c>
      <x:c r="R502" t="str">
        <x:v>Avaria da viatura</x:v>
      </x:c>
      <x:c r="S502" t="str">
        <x:v>Nao</x:v>
      </x:c>
      <x:c r="T502" t="str">
        <x:v>Nao</x:v>
      </x:c>
    </x:row>
    <x:row r="503" ht="19" customHeight="1">
      <x:c r="A503" t="str">
        <x:v>ENT-00502</x:v>
      </x:c>
      <x:c r="B503" s="41" t="n">
        <x:v>46254</x:v>
      </x:c>
      <x:c r="C503" s="41" t="n">
        <x:v>46255</x:v>
      </x:c>
      <x:c r="D503" s="41" t="n">
        <x:v>46254</x:v>
      </x:c>
      <x:c r="E503" t="str">
        <x:v>Bem-Estar Higiene, Lda.</x:v>
      </x:c>
      <x:c r="F503" t="str">
        <x:v>Morro Bento</x:v>
      </x:c>
      <x:c r="G503" t="str">
        <x:v>Kito Alberto</x:v>
      </x:c>
      <x:c r="H503" t="str">
        <x:v>VTR-11</x:v>
      </x:c>
      <x:c r="I503" t="str">
        <x:v>JAC N56</x:v>
      </x:c>
      <x:c r="J503" t="n">
        <x:v>3500</x:v>
      </x:c>
      <x:c r="K503" t="n">
        <x:v>85</x:v>
      </x:c>
      <x:c r="L503" t="n">
        <x:v>85</x:v>
      </x:c>
      <x:c r="M503" t="n">
        <x:v>655.1</x:v>
      </x:c>
      <x:c r="N503" t="n">
        <x:v>16</x:v>
      </x:c>
      <x:c r="O503" s="45" t="n">
        <x:v>1415590</x:v>
      </x:c>
      <x:c r="P503" s="45" t="n">
        <x:v>25500</x:v>
      </x:c>
      <x:c r="Q503" t="str">
        <x:v>Entregue</x:v>
      </x:c>
      <x:c r="R503" t="str"/>
      <x:c r="S503" t="str">
        <x:v>Nao</x:v>
      </x:c>
      <x:c r="T503" t="str">
        <x:v>Nao</x:v>
      </x:c>
    </x:row>
    <x:row r="504" ht="19" customHeight="1">
      <x:c r="A504" t="str">
        <x:v>ENT-00503</x:v>
      </x:c>
      <x:c r="B504" s="41" t="n">
        <x:v>46256</x:v>
      </x:c>
      <x:c r="C504" s="41" t="n">
        <x:v>46257</x:v>
      </x:c>
      <x:c r="D504" s="41" t="n">
        <x:v>46258</x:v>
      </x:c>
      <x:c r="E504" t="str">
        <x:v>Ponto Logístico, Lda.</x:v>
      </x:c>
      <x:c r="F504" t="str">
        <x:v>Ingombota</x:v>
      </x:c>
      <x:c r="G504" t="str">
        <x:v>Gilberto José</x:v>
      </x:c>
      <x:c r="H504" t="str">
        <x:v>VTR-05</x:v>
      </x:c>
      <x:c r="I504" t="str">
        <x:v>Hyundai HD65</x:v>
      </x:c>
      <x:c r="J504" t="n">
        <x:v>3500</x:v>
      </x:c>
      <x:c r="K504" t="n">
        <x:v>38</x:v>
      </x:c>
      <x:c r="L504" t="n">
        <x:v>0</x:v>
      </x:c>
      <x:c r="M504" t="n">
        <x:v>1132.5</x:v>
      </x:c>
      <x:c r="N504" t="n">
        <x:v>10</x:v>
      </x:c>
      <x:c r="O504" s="45" t="n">
        <x:v>948746</x:v>
      </x:c>
      <x:c r="P504" s="45" t="n">
        <x:v>30500</x:v>
      </x:c>
      <x:c r="Q504" t="str">
        <x:v>Falhada</x:v>
      </x:c>
      <x:c r="R504" t="str">
        <x:v>Avaria da viatura</x:v>
      </x:c>
      <x:c r="S504" t="str">
        <x:v>Nao</x:v>
      </x:c>
      <x:c r="T504" t="str">
        <x:v>Nao</x:v>
      </x:c>
    </x:row>
    <x:row r="505" ht="19" customHeight="1">
      <x:c r="A505" t="str">
        <x:v>ENT-00504</x:v>
      </x:c>
      <x:c r="B505" s="41" t="n">
        <x:v>46261</x:v>
      </x:c>
      <x:c r="C505" s="41" t="n">
        <x:v>46263</x:v>
      </x:c>
      <x:c r="D505" s="41" t="n">
        <x:v>46263</x:v>
      </x:c>
      <x:c r="E505" t="str">
        <x:v>Luanda Office Supply, Lda.</x:v>
      </x:c>
      <x:c r="F505" t="str">
        <x:v>Cacuaco</x:v>
      </x:c>
      <x:c r="G505" t="str">
        <x:v>Félix Domingos</x:v>
      </x:c>
      <x:c r="H505" t="str">
        <x:v>VTR-09</x:v>
      </x:c>
      <x:c r="I505" t="str">
        <x:v>Toyota Hilux</x:v>
      </x:c>
      <x:c r="J505" t="n">
        <x:v>1000</x:v>
      </x:c>
      <x:c r="K505" t="n">
        <x:v>51</x:v>
      </x:c>
      <x:c r="L505" t="n">
        <x:v>51</x:v>
      </x:c>
      <x:c r="M505" t="n">
        <x:v>513.9</x:v>
      </x:c>
      <x:c r="N505" t="n">
        <x:v>37</x:v>
      </x:c>
      <x:c r="O505" s="45" t="n">
        <x:v>1035963</x:v>
      </x:c>
      <x:c r="P505" s="45" t="n">
        <x:v>31000</x:v>
      </x:c>
      <x:c r="Q505" t="str">
        <x:v>Entregue</x:v>
      </x:c>
      <x:c r="R505" t="str"/>
      <x:c r="S505" t="str">
        <x:v>Nao</x:v>
      </x:c>
      <x:c r="T505" t="str">
        <x:v>Nao</x:v>
      </x:c>
    </x:row>
    <x:row r="506" ht="19" customHeight="1">
      <x:c r="A506" t="str">
        <x:v>ENT-00505</x:v>
      </x:c>
      <x:c r="B506" s="41" t="n">
        <x:v>46230</x:v>
      </x:c>
      <x:c r="C506" s="41" t="n">
        <x:v>46232</x:v>
      </x:c>
      <x:c r="D506" s="41" t="n">
        <x:v>46232</x:v>
      </x:c>
      <x:c r="E506" t="str">
        <x:v>Mercado Sul, Lda.</x:v>
      </x:c>
      <x:c r="F506" t="str">
        <x:v>Benfica</x:v>
      </x:c>
      <x:c r="G506" t="str">
        <x:v>Félix Domingos</x:v>
      </x:c>
      <x:c r="H506" t="str">
        <x:v>VTR-11</x:v>
      </x:c>
      <x:c r="I506" t="str">
        <x:v>JAC N56</x:v>
      </x:c>
      <x:c r="J506" t="n">
        <x:v>3500</x:v>
      </x:c>
      <x:c r="K506" t="n">
        <x:v>53</x:v>
      </x:c>
      <x:c r="L506" t="n">
        <x:v>53</x:v>
      </x:c>
      <x:c r="M506" t="n">
        <x:v>1069.7</x:v>
      </x:c>
      <x:c r="N506" t="n">
        <x:v>38</x:v>
      </x:c>
      <x:c r="O506" s="45" t="n">
        <x:v>563602</x:v>
      </x:c>
      <x:c r="P506" s="45" t="n">
        <x:v>38500</x:v>
      </x:c>
      <x:c r="Q506" t="str">
        <x:v>Entregue</x:v>
      </x:c>
      <x:c r="R506" t="str"/>
      <x:c r="S506" t="str">
        <x:v>Nao</x:v>
      </x:c>
      <x:c r="T506" t="str">
        <x:v>Nao</x:v>
      </x:c>
    </x:row>
    <x:row r="507" ht="19" customHeight="1">
      <x:c r="A507" t="str">
        <x:v>ENT-00506</x:v>
      </x:c>
      <x:c r="B507" s="41" t="n">
        <x:v>46265</x:v>
      </x:c>
      <x:c r="C507" s="41" t="n">
        <x:v>46267</x:v>
      </x:c>
      <x:c r="D507" s="41" t="n">
        <x:v>46267</x:v>
      </x:c>
      <x:c r="E507" t="str">
        <x:v>Via Certa Serviços, Lda.</x:v>
      </x:c>
      <x:c r="F507" t="str">
        <x:v>Patriota</x:v>
      </x:c>
      <x:c r="G507" t="str">
        <x:v>Lucas Tomás</x:v>
      </x:c>
      <x:c r="H507" t="str">
        <x:v>VTR-01</x:v>
      </x:c>
      <x:c r="I507" t="str">
        <x:v>Kia K2700</x:v>
      </x:c>
      <x:c r="J507" t="n">
        <x:v>1500</x:v>
      </x:c>
      <x:c r="K507" t="n">
        <x:v>56</x:v>
      </x:c>
      <x:c r="L507" t="n">
        <x:v>56</x:v>
      </x:c>
      <x:c r="M507" t="n">
        <x:v>411</x:v>
      </x:c>
      <x:c r="N507" t="n">
        <x:v>23</x:v>
      </x:c>
      <x:c r="O507" s="45" t="n">
        <x:v>935816</x:v>
      </x:c>
      <x:c r="P507" s="45" t="n">
        <x:v>24000</x:v>
      </x:c>
      <x:c r="Q507" t="str">
        <x:v>Entregue</x:v>
      </x:c>
      <x:c r="R507" t="str"/>
      <x:c r="S507" t="str">
        <x:v>Nao</x:v>
      </x:c>
      <x:c r="T507" t="str">
        <x:v>Nao</x:v>
      </x:c>
    </x:row>
    <x:row r="508" ht="19" customHeight="1">
      <x:c r="A508" t="str">
        <x:v>ENT-00507</x:v>
      </x:c>
      <x:c r="B508" s="41" t="n">
        <x:v>46232</x:v>
      </x:c>
      <x:c r="C508" s="41" t="n">
        <x:v>46234</x:v>
      </x:c>
      <x:c r="D508" s="41" t="n">
        <x:v>46236</x:v>
      </x:c>
      <x:c r="E508" t="str">
        <x:v>Via Certa Serviços, Lda.</x:v>
      </x:c>
      <x:c r="F508" t="str">
        <x:v>Patriota</x:v>
      </x:c>
      <x:c r="G508" t="str">
        <x:v>Gilberto José</x:v>
      </x:c>
      <x:c r="H508" t="str">
        <x:v>VTR-03</x:v>
      </x:c>
      <x:c r="I508" t="str">
        <x:v>Toyota Dyna</x:v>
      </x:c>
      <x:c r="J508" t="n">
        <x:v>3000</x:v>
      </x:c>
      <x:c r="K508" t="n">
        <x:v>46</x:v>
      </x:c>
      <x:c r="L508" t="n">
        <x:v>46</x:v>
      </x:c>
      <x:c r="M508" t="n">
        <x:v>360.6</x:v>
      </x:c>
      <x:c r="N508" t="n">
        <x:v>39</x:v>
      </x:c>
      <x:c r="O508" s="45" t="n">
        <x:v>341872</x:v>
      </x:c>
      <x:c r="P508" s="45" t="n">
        <x:v>29000</x:v>
      </x:c>
      <x:c r="Q508" t="str">
        <x:v>Entregue</x:v>
      </x:c>
      <x:c r="R508" t="str">
        <x:v>Chuva/condicao da via</x:v>
      </x:c>
      <x:c r="S508" t="str">
        <x:v>Nao</x:v>
      </x:c>
      <x:c r="T508" t="str">
        <x:v>Nao</x:v>
      </x:c>
    </x:row>
    <x:row r="509" ht="19" customHeight="1">
      <x:c r="A509" t="str">
        <x:v>ENT-00508</x:v>
      </x:c>
      <x:c r="B509" s="41" t="n">
        <x:v>46210</x:v>
      </x:c>
      <x:c r="C509" s="41" t="n">
        <x:v>46213</x:v>
      </x:c>
      <x:c r="D509" s="41" t="n">
        <x:v>46215</x:v>
      </x:c>
      <x:c r="E509" t="str">
        <x:v>Luanda Office Supply, Lda.</x:v>
      </x:c>
      <x:c r="F509" t="str">
        <x:v>Sequele</x:v>
      </x:c>
      <x:c r="G509" t="str">
        <x:v>Carlos Mateus</x:v>
      </x:c>
      <x:c r="H509" t="str">
        <x:v>VTR-09</x:v>
      </x:c>
      <x:c r="I509" t="str">
        <x:v>Toyota Hilux</x:v>
      </x:c>
      <x:c r="J509" t="n">
        <x:v>1000</x:v>
      </x:c>
      <x:c r="K509" t="n">
        <x:v>11</x:v>
      </x:c>
      <x:c r="L509" t="n">
        <x:v>11</x:v>
      </x:c>
      <x:c r="M509" t="n">
        <x:v>105.7</x:v>
      </x:c>
      <x:c r="N509" t="n">
        <x:v>55</x:v>
      </x:c>
      <x:c r="O509" s="45" t="n">
        <x:v>163570</x:v>
      </x:c>
      <x:c r="P509" s="45" t="n">
        <x:v>31500</x:v>
      </x:c>
      <x:c r="Q509" t="str">
        <x:v>Entregue</x:v>
      </x:c>
      <x:c r="R509" t="str">
        <x:v>Chuva/condicao da via</x:v>
      </x:c>
      <x:c r="S509" t="str">
        <x:v>Nao</x:v>
      </x:c>
      <x:c r="T509" t="str">
        <x:v>Nao</x:v>
      </x:c>
    </x:row>
    <x:row r="510" ht="19" customHeight="1">
      <x:c r="A510" t="str">
        <x:v>ENT-00509</x:v>
      </x:c>
      <x:c r="B510" s="41" t="n">
        <x:v>46211</x:v>
      </x:c>
      <x:c r="C510" s="41" t="n">
        <x:v>46213</x:v>
      </x:c>
      <x:c r="D510" s="41" t="n">
        <x:v>46216</x:v>
      </x:c>
      <x:c r="E510" t="str">
        <x:v>Bem-Estar Higiene, Lda.</x:v>
      </x:c>
      <x:c r="F510" t="str">
        <x:v>Cacuaco</x:v>
      </x:c>
      <x:c r="G510" t="str">
        <x:v>Isaías Pedro</x:v>
      </x:c>
      <x:c r="H510" t="str">
        <x:v>VTR-11</x:v>
      </x:c>
      <x:c r="I510" t="str">
        <x:v>JAC N56</x:v>
      </x:c>
      <x:c r="J510" t="n">
        <x:v>3500</x:v>
      </x:c>
      <x:c r="K510" t="n">
        <x:v>33</x:v>
      </x:c>
      <x:c r="L510" t="n">
        <x:v>0</x:v>
      </x:c>
      <x:c r="M510" t="n">
        <x:v>618.5</x:v>
      </x:c>
      <x:c r="N510" t="n">
        <x:v>30</x:v>
      </x:c>
      <x:c r="O510" s="45" t="n">
        <x:v>835989</x:v>
      </x:c>
      <x:c r="P510" s="45" t="n">
        <x:v>32500</x:v>
      </x:c>
      <x:c r="Q510" t="str">
        <x:v>Falhada</x:v>
      </x:c>
      <x:c r="R510" t="str">
        <x:v>Cliente ausente</x:v>
      </x:c>
      <x:c r="S510" t="str">
        <x:v>Nao</x:v>
      </x:c>
      <x:c r="T510" t="str">
        <x:v>Nao</x:v>
      </x:c>
    </x:row>
    <x:row r="511" ht="19" customHeight="1">
      <x:c r="A511" t="str">
        <x:v>ENT-00510</x:v>
      </x:c>
      <x:c r="B511" s="41" t="n">
        <x:v>46208</x:v>
      </x:c>
      <x:c r="C511" s="41" t="n">
        <x:v>46211</x:v>
      </x:c>
      <x:c r="D511" s="41" t="n">
        <x:v>46211</x:v>
      </x:c>
      <x:c r="E511" t="str">
        <x:v>Cesta Certa, Lda.</x:v>
      </x:c>
      <x:c r="F511" t="str">
        <x:v>Sequele</x:v>
      </x:c>
      <x:c r="G511" t="str">
        <x:v>Elísio António</x:v>
      </x:c>
      <x:c r="H511" t="str">
        <x:v>VTR-09</x:v>
      </x:c>
      <x:c r="I511" t="str">
        <x:v>Toyota Hilux</x:v>
      </x:c>
      <x:c r="J511" t="n">
        <x:v>1000</x:v>
      </x:c>
      <x:c r="K511" t="n">
        <x:v>23</x:v>
      </x:c>
      <x:c r="L511" t="n">
        <x:v>23</x:v>
      </x:c>
      <x:c r="M511" t="n">
        <x:v>712.9</x:v>
      </x:c>
      <x:c r="N511" t="n">
        <x:v>62</x:v>
      </x:c>
      <x:c r="O511" s="45" t="n">
        <x:v>189704</x:v>
      </x:c>
      <x:c r="P511" s="45" t="n">
        <x:v>47000</x:v>
      </x:c>
      <x:c r="Q511" t="str">
        <x:v>Entregue</x:v>
      </x:c>
      <x:c r="R511" t="str"/>
      <x:c r="S511" t="str">
        <x:v>Nao</x:v>
      </x:c>
      <x:c r="T511" t="str">
        <x:v>Nao</x:v>
      </x:c>
    </x:row>
    <x:row r="512" ht="19" customHeight="1">
      <x:c r="A512" t="str">
        <x:v>ENT-00511</x:v>
      </x:c>
      <x:c r="B512" s="41" t="n">
        <x:v>46250</x:v>
      </x:c>
      <x:c r="C512" s="41" t="n">
        <x:v>46251</x:v>
      </x:c>
      <x:c r="D512" s="41" t="n">
        <x:v>46253</x:v>
      </x:c>
      <x:c r="E512" t="str">
        <x:v>Nova Rota Comercial, Lda.</x:v>
      </x:c>
      <x:c r="F512" t="str">
        <x:v>Maianga</x:v>
      </x:c>
      <x:c r="G512" t="str">
        <x:v>Elísio António</x:v>
      </x:c>
      <x:c r="H512" t="str">
        <x:v>VTR-10</x:v>
      </x:c>
      <x:c r="I512" t="str">
        <x:v>Foton Aumark</x:v>
      </x:c>
      <x:c r="J512" t="n">
        <x:v>4000</x:v>
      </x:c>
      <x:c r="K512" t="n">
        <x:v>71</x:v>
      </x:c>
      <x:c r="L512" t="n">
        <x:v>71</x:v>
      </x:c>
      <x:c r="M512" t="n">
        <x:v>1609.7</x:v>
      </x:c>
      <x:c r="N512" t="n">
        <x:v>12</x:v>
      </x:c>
      <x:c r="O512" s="45" t="n">
        <x:v>1656430</x:v>
      </x:c>
      <x:c r="P512" s="45" t="n">
        <x:v>38500</x:v>
      </x:c>
      <x:c r="Q512" t="str">
        <x:v>Entregue</x:v>
      </x:c>
      <x:c r="R512" t="str">
        <x:v>Cliente indisponivel</x:v>
      </x:c>
      <x:c r="S512" t="str">
        <x:v>Nao</x:v>
      </x:c>
      <x:c r="T512" t="str">
        <x:v>Nao</x:v>
      </x:c>
    </x:row>
    <x:row r="513" ht="19" customHeight="1">
      <x:c r="A513" t="str">
        <x:v>ENT-00512</x:v>
      </x:c>
      <x:c r="B513" s="41" t="n">
        <x:v>46216</x:v>
      </x:c>
      <x:c r="C513" s="41" t="n">
        <x:v>46218</x:v>
      </x:c>
      <x:c r="D513" s="41" t="n">
        <x:v>46219</x:v>
      </x:c>
      <x:c r="E513" t="str">
        <x:v>Savana Retail, Lda.</x:v>
      </x:c>
      <x:c r="F513" t="str">
        <x:v>Kilamba</x:v>
      </x:c>
      <x:c r="G513" t="str">
        <x:v>Gilberto José</x:v>
      </x:c>
      <x:c r="H513" t="str">
        <x:v>VTR-01</x:v>
      </x:c>
      <x:c r="I513" t="str">
        <x:v>Kia K2700</x:v>
      </x:c>
      <x:c r="J513" t="n">
        <x:v>1500</x:v>
      </x:c>
      <x:c r="K513" t="n">
        <x:v>30</x:v>
      </x:c>
      <x:c r="L513" t="n">
        <x:v>30</x:v>
      </x:c>
      <x:c r="M513" t="n">
        <x:v>243.4</x:v>
      </x:c>
      <x:c r="N513" t="n">
        <x:v>30</x:v>
      </x:c>
      <x:c r="O513" s="45" t="n">
        <x:v>464340</x:v>
      </x:c>
      <x:c r="P513" s="45" t="n">
        <x:v>21500</x:v>
      </x:c>
      <x:c r="Q513" t="str">
        <x:v>Entregue</x:v>
      </x:c>
      <x:c r="R513" t="str">
        <x:v>Transito intenso</x:v>
      </x:c>
      <x:c r="S513" t="str">
        <x:v>Nao</x:v>
      </x:c>
      <x:c r="T513" t="str">
        <x:v>Sim</x:v>
      </x:c>
    </x:row>
    <x:row r="514" ht="19" customHeight="1">
      <x:c r="A514" t="str">
        <x:v>ENT-00513</x:v>
      </x:c>
      <x:c r="B514" s="41" t="n">
        <x:v>46230</x:v>
      </x:c>
      <x:c r="C514" s="41" t="n">
        <x:v>46231</x:v>
      </x:c>
      <x:c r="D514" s="41" t="n">
        <x:v>46231</x:v>
      </x:c>
      <x:c r="E514" t="str">
        <x:v>Bem-Estar Higiene, Lda.</x:v>
      </x:c>
      <x:c r="F514" t="str">
        <x:v>Nova Vida</x:v>
      </x:c>
      <x:c r="G514" t="str">
        <x:v>Jorge Mário</x:v>
      </x:c>
      <x:c r="H514" t="str">
        <x:v>VTR-04</x:v>
      </x:c>
      <x:c r="I514" t="str">
        <x:v>Toyota Dyna</x:v>
      </x:c>
      <x:c r="J514" t="n">
        <x:v>3000</x:v>
      </x:c>
      <x:c r="K514" t="n">
        <x:v>15</x:v>
      </x:c>
      <x:c r="L514" t="n">
        <x:v>15</x:v>
      </x:c>
      <x:c r="M514" t="n">
        <x:v>496.6</x:v>
      </x:c>
      <x:c r="N514" t="n">
        <x:v>15</x:v>
      </x:c>
      <x:c r="O514" s="45" t="n">
        <x:v>313200</x:v>
      </x:c>
      <x:c r="P514" s="45" t="n">
        <x:v>20500</x:v>
      </x:c>
      <x:c r="Q514" t="str">
        <x:v>Entregue</x:v>
      </x:c>
      <x:c r="R514" t="str"/>
      <x:c r="S514" t="str">
        <x:v>Nao</x:v>
      </x:c>
      <x:c r="T514" t="str">
        <x:v>Nao</x:v>
      </x:c>
    </x:row>
    <x:row r="515" ht="19" customHeight="1">
      <x:c r="A515" t="str">
        <x:v>ENT-00514</x:v>
      </x:c>
      <x:c r="B515" s="41" t="n">
        <x:v>46232</x:v>
      </x:c>
      <x:c r="C515" s="41" t="n">
        <x:v>46235</x:v>
      </x:c>
      <x:c r="D515" s="41" t="n">
        <x:v>46236</x:v>
      </x:c>
      <x:c r="E515" t="str">
        <x:v>Savana Retail, Lda.</x:v>
      </x:c>
      <x:c r="F515" t="str">
        <x:v>Kikuxi</x:v>
      </x:c>
      <x:c r="G515" t="str">
        <x:v>Félix Domingos</x:v>
      </x:c>
      <x:c r="H515" t="str">
        <x:v>VTR-04</x:v>
      </x:c>
      <x:c r="I515" t="str">
        <x:v>Toyota Dyna</x:v>
      </x:c>
      <x:c r="J515" t="n">
        <x:v>3000</x:v>
      </x:c>
      <x:c r="K515" t="n">
        <x:v>8</x:v>
      </x:c>
      <x:c r="L515" t="n">
        <x:v>8</x:v>
      </x:c>
      <x:c r="M515" t="n">
        <x:v>203.5</x:v>
      </x:c>
      <x:c r="N515" t="n">
        <x:v>44</x:v>
      </x:c>
      <x:c r="O515" s="45" t="n">
        <x:v>57992</x:v>
      </x:c>
      <x:c r="P515" s="45" t="n">
        <x:v>31000</x:v>
      </x:c>
      <x:c r="Q515" t="str">
        <x:v>Entregue</x:v>
      </x:c>
      <x:c r="R515" t="str">
        <x:v>Avaria da viatura</x:v>
      </x:c>
      <x:c r="S515" t="str">
        <x:v>Nao</x:v>
      </x:c>
      <x:c r="T515" t="str">
        <x:v>Nao</x:v>
      </x:c>
    </x:row>
    <x:row r="516" ht="19" customHeight="1">
      <x:c r="A516" t="str">
        <x:v>ENT-00515</x:v>
      </x:c>
      <x:c r="B516" s="41" t="n">
        <x:v>46265</x:v>
      </x:c>
      <x:c r="C516" s="41" t="n">
        <x:v>46267</x:v>
      </x:c>
      <x:c r="D516" s="41" t="n">
        <x:v>46267</x:v>
      </x:c>
      <x:c r="E516" t="str">
        <x:v>Rota Azul, Lda.</x:v>
      </x:c>
      <x:c r="F516" t="str">
        <x:v>Sequele</x:v>
      </x:c>
      <x:c r="G516" t="str">
        <x:v>Kito Alberto</x:v>
      </x:c>
      <x:c r="H516" t="str">
        <x:v>VTR-07</x:v>
      </x:c>
      <x:c r="I516" t="str">
        <x:v>Isuzu NPR</x:v>
      </x:c>
      <x:c r="J516" t="n">
        <x:v>5000</x:v>
      </x:c>
      <x:c r="K516" t="n">
        <x:v>84</x:v>
      </x:c>
      <x:c r="L516" t="n">
        <x:v>84</x:v>
      </x:c>
      <x:c r="M516" t="n">
        <x:v>2543.9</x:v>
      </x:c>
      <x:c r="N516" t="n">
        <x:v>37</x:v>
      </x:c>
      <x:c r="O516" s="45" t="n">
        <x:v>575232</x:v>
      </x:c>
      <x:c r="P516" s="45" t="n">
        <x:v>70500</x:v>
      </x:c>
      <x:c r="Q516" t="str">
        <x:v>Entregue</x:v>
      </x:c>
      <x:c r="R516" t="str"/>
      <x:c r="S516" t="str">
        <x:v>Nao</x:v>
      </x:c>
      <x:c r="T516" t="str">
        <x:v>Nao</x:v>
      </x:c>
    </x:row>
    <x:row r="517" ht="19" customHeight="1">
      <x:c r="A517" t="str">
        <x:v>ENT-00516</x:v>
      </x:c>
      <x:c r="B517" s="41" t="n">
        <x:v>46220</x:v>
      </x:c>
      <x:c r="C517" s="41" t="n">
        <x:v>46222</x:v>
      </x:c>
      <x:c r="D517" s="41" t="n">
        <x:v>46222</x:v>
      </x:c>
      <x:c r="E517" t="str">
        <x:v>Maxi Centro, Lda.</x:v>
      </x:c>
      <x:c r="F517" t="str">
        <x:v>Camama</x:v>
      </x:c>
      <x:c r="G517" t="str">
        <x:v>Kito Alberto</x:v>
      </x:c>
      <x:c r="H517" t="str">
        <x:v>VTR-11</x:v>
      </x:c>
      <x:c r="I517" t="str">
        <x:v>JAC N56</x:v>
      </x:c>
      <x:c r="J517" t="n">
        <x:v>3500</x:v>
      </x:c>
      <x:c r="K517" t="n">
        <x:v>81</x:v>
      </x:c>
      <x:c r="L517" t="n">
        <x:v>81</x:v>
      </x:c>
      <x:c r="M517" t="n">
        <x:v>736.9</x:v>
      </x:c>
      <x:c r="N517" t="n">
        <x:v>21</x:v>
      </x:c>
      <x:c r="O517" s="45" t="n">
        <x:v>1776816</x:v>
      </x:c>
      <x:c r="P517" s="45" t="n">
        <x:v>28000</x:v>
      </x:c>
      <x:c r="Q517" t="str">
        <x:v>Entregue</x:v>
      </x:c>
      <x:c r="R517" t="str"/>
      <x:c r="S517" t="str">
        <x:v>Nao</x:v>
      </x:c>
      <x:c r="T517" t="str">
        <x:v>Nao</x:v>
      </x:c>
    </x:row>
    <x:row r="518" ht="19" customHeight="1">
      <x:c r="A518" t="str">
        <x:v>ENT-00517</x:v>
      </x:c>
      <x:c r="B518" s="41" t="n">
        <x:v>46218</x:v>
      </x:c>
      <x:c r="C518" s="41" t="n">
        <x:v>46220</x:v>
      </x:c>
      <x:c r="D518" s="41" t="n">
        <x:v>46220</x:v>
      </x:c>
      <x:c r="E518" t="str">
        <x:v>Maxi Centro, Lda.</x:v>
      </x:c>
      <x:c r="F518" t="str">
        <x:v>Patriota</x:v>
      </x:c>
      <x:c r="G518" t="str">
        <x:v>Gilberto José</x:v>
      </x:c>
      <x:c r="H518" t="str">
        <x:v>VTR-12</x:v>
      </x:c>
      <x:c r="I518" t="str">
        <x:v>Hyundai H100</x:v>
      </x:c>
      <x:c r="J518" t="n">
        <x:v>1300</x:v>
      </x:c>
      <x:c r="K518" t="n">
        <x:v>54</x:v>
      </x:c>
      <x:c r="L518" t="n">
        <x:v>54</x:v>
      </x:c>
      <x:c r="M518" t="n">
        <x:v>436.9</x:v>
      </x:c>
      <x:c r="N518" t="n">
        <x:v>38</x:v>
      </x:c>
      <x:c r="O518" s="45" t="n">
        <x:v>1356912</x:v>
      </x:c>
      <x:c r="P518" s="45" t="n">
        <x:v>29500</x:v>
      </x:c>
      <x:c r="Q518" t="str">
        <x:v>Entregue</x:v>
      </x:c>
      <x:c r="R518" t="str"/>
      <x:c r="S518" t="str">
        <x:v>Nao</x:v>
      </x:c>
      <x:c r="T518" t="str">
        <x:v>Nao</x:v>
      </x:c>
    </x:row>
    <x:row r="519" ht="19" customHeight="1">
      <x:c r="A519" t="str">
        <x:v>ENT-00518</x:v>
      </x:c>
      <x:c r="B519" s="41" t="n">
        <x:v>46250</x:v>
      </x:c>
      <x:c r="C519" s="41" t="n">
        <x:v>46252</x:v>
      </x:c>
      <x:c r="D519" s="41" t="n">
        <x:v>46252</x:v>
      </x:c>
      <x:c r="E519" t="str">
        <x:v>Mercado Sul, Lda.</x:v>
      </x:c>
      <x:c r="F519" t="str">
        <x:v>Talatona</x:v>
      </x:c>
      <x:c r="G519" t="str">
        <x:v>Gilberto José</x:v>
      </x:c>
      <x:c r="H519" t="str">
        <x:v>VTR-07</x:v>
      </x:c>
      <x:c r="I519" t="str">
        <x:v>Isuzu NPR</x:v>
      </x:c>
      <x:c r="J519" t="n">
        <x:v>5000</x:v>
      </x:c>
      <x:c r="K519" t="n">
        <x:v>74</x:v>
      </x:c>
      <x:c r="L519" t="n">
        <x:v>74</x:v>
      </x:c>
      <x:c r="M519" t="n">
        <x:v>1367.5</x:v>
      </x:c>
      <x:c r="N519" t="n">
        <x:v>23</x:v>
      </x:c>
      <x:c r="O519" s="45" t="n">
        <x:v>984940</x:v>
      </x:c>
      <x:c r="P519" s="45" t="n">
        <x:v>41000</x:v>
      </x:c>
      <x:c r="Q519" t="str">
        <x:v>Entregue</x:v>
      </x:c>
      <x:c r="R519" t="str"/>
      <x:c r="S519" t="str">
        <x:v>Nao</x:v>
      </x:c>
      <x:c r="T519" t="str">
        <x:v>Nao</x:v>
      </x:c>
    </x:row>
    <x:row r="520" ht="19" customHeight="1">
      <x:c r="A520" t="str">
        <x:v>ENT-00519</x:v>
      </x:c>
      <x:c r="B520" s="41" t="n">
        <x:v>46253</x:v>
      </x:c>
      <x:c r="C520" s="41" t="n">
        <x:v>46255</x:v>
      </x:c>
      <x:c r="D520" s="41" t="n">
        <x:v>46255</x:v>
      </x:c>
      <x:c r="E520" t="str">
        <x:v>Mundo Fresco, Lda.</x:v>
      </x:c>
      <x:c r="F520" t="str">
        <x:v>Talatona</x:v>
      </x:c>
      <x:c r="G520" t="str">
        <x:v>Gilberto José</x:v>
      </x:c>
      <x:c r="H520" t="str">
        <x:v>VTR-12</x:v>
      </x:c>
      <x:c r="I520" t="str">
        <x:v>Hyundai H100</x:v>
      </x:c>
      <x:c r="J520" t="n">
        <x:v>1300</x:v>
      </x:c>
      <x:c r="K520" t="n">
        <x:v>41</x:v>
      </x:c>
      <x:c r="L520" t="n">
        <x:v>41</x:v>
      </x:c>
      <x:c r="M520" t="n">
        <x:v>780.2</x:v>
      </x:c>
      <x:c r="N520" t="n">
        <x:v>26</x:v>
      </x:c>
      <x:c r="O520" s="45" t="n">
        <x:v>803682</x:v>
      </x:c>
      <x:c r="P520" s="45" t="n">
        <x:v>31500</x:v>
      </x:c>
      <x:c r="Q520" t="str">
        <x:v>Entregue</x:v>
      </x:c>
      <x:c r="R520" t="str"/>
      <x:c r="S520" t="str">
        <x:v>Nao</x:v>
      </x:c>
      <x:c r="T520" t="str">
        <x:v>Nao</x:v>
      </x:c>
    </x:row>
    <x:row r="521" ht="19" customHeight="1">
      <x:c r="A521" t="str">
        <x:v>ENT-00520</x:v>
      </x:c>
      <x:c r="B521" s="41" t="n">
        <x:v>46226</x:v>
      </x:c>
      <x:c r="C521" s="41" t="n">
        <x:v>46229</x:v>
      </x:c>
      <x:c r="D521" s="41" t="n">
        <x:v>46229</x:v>
      </x:c>
      <x:c r="E521" t="str">
        <x:v>Atlântico Farma, Lda.</x:v>
      </x:c>
      <x:c r="F521" t="str">
        <x:v>Sequele</x:v>
      </x:c>
      <x:c r="G521" t="str">
        <x:v>Elísio António</x:v>
      </x:c>
      <x:c r="H521" t="str">
        <x:v>VTR-02</x:v>
      </x:c>
      <x:c r="I521" t="str">
        <x:v>Kia K2700</x:v>
      </x:c>
      <x:c r="J521" t="n">
        <x:v>1500</x:v>
      </x:c>
      <x:c r="K521" t="n">
        <x:v>70</x:v>
      </x:c>
      <x:c r="L521" t="n">
        <x:v>70</x:v>
      </x:c>
      <x:c r="M521" t="n">
        <x:v>1084.5</x:v>
      </x:c>
      <x:c r="N521" t="n">
        <x:v>60</x:v>
      </x:c>
      <x:c r="O521" s="45" t="n">
        <x:v>732690</x:v>
      </x:c>
      <x:c r="P521" s="45" t="n">
        <x:v>50000</x:v>
      </x:c>
      <x:c r="Q521" t="str">
        <x:v>Entregue</x:v>
      </x:c>
      <x:c r="R521" t="str"/>
      <x:c r="S521" t="str">
        <x:v>Nao</x:v>
      </x:c>
      <x:c r="T521" t="str">
        <x:v>Nao</x:v>
      </x:c>
    </x:row>
    <x:row r="522" ht="19" customHeight="1">
      <x:c r="A522" t="str">
        <x:v>ENT-00521</x:v>
      </x:c>
      <x:c r="B522" s="41" t="n">
        <x:v>46243</x:v>
      </x:c>
      <x:c r="C522" s="41" t="n">
        <x:v>46245</x:v>
      </x:c>
      <x:c r="D522" s="41" t="n">
        <x:v>46245</x:v>
      </x:c>
      <x:c r="E522" t="str">
        <x:v>Mundo Fresco, Lda.</x:v>
      </x:c>
      <x:c r="F522" t="str">
        <x:v>Viana</x:v>
      </x:c>
      <x:c r="G522" t="str">
        <x:v>Jorge Mário</x:v>
      </x:c>
      <x:c r="H522" t="str">
        <x:v>VTR-08</x:v>
      </x:c>
      <x:c r="I522" t="str">
        <x:v>Toyota Hilux</x:v>
      </x:c>
      <x:c r="J522" t="n">
        <x:v>1000</x:v>
      </x:c>
      <x:c r="K522" t="n">
        <x:v>48</x:v>
      </x:c>
      <x:c r="L522" t="n">
        <x:v>48</x:v>
      </x:c>
      <x:c r="M522" t="n">
        <x:v>516.3</x:v>
      </x:c>
      <x:c r="N522" t="n">
        <x:v>29</x:v>
      </x:c>
      <x:c r="O522" s="45" t="n">
        <x:v>628128</x:v>
      </x:c>
      <x:c r="P522" s="45" t="n">
        <x:v>27000</x:v>
      </x:c>
      <x:c r="Q522" t="str">
        <x:v>Entregue</x:v>
      </x:c>
      <x:c r="R522" t="str"/>
      <x:c r="S522" t="str">
        <x:v>Nao</x:v>
      </x:c>
      <x:c r="T522" t="str">
        <x:v>Nao</x:v>
      </x:c>
    </x:row>
    <x:row r="523" ht="19" customHeight="1">
      <x:c r="A523" t="str">
        <x:v>ENT-00522</x:v>
      </x:c>
      <x:c r="B523" s="41" t="n">
        <x:v>46225</x:v>
      </x:c>
      <x:c r="C523" s="41" t="n">
        <x:v>46227</x:v>
      </x:c>
      <x:c r="D523" s="41" t="n">
        <x:v>46227</x:v>
      </x:c>
      <x:c r="E523" t="str">
        <x:v>Luanda Office Supply, Lda.</x:v>
      </x:c>
      <x:c r="F523" t="str">
        <x:v>Talatona</x:v>
      </x:c>
      <x:c r="G523" t="str">
        <x:v>Lucas Tomás</x:v>
      </x:c>
      <x:c r="H523" t="str">
        <x:v>VTR-01</x:v>
      </x:c>
      <x:c r="I523" t="str">
        <x:v>Kia K2700</x:v>
      </x:c>
      <x:c r="J523" t="n">
        <x:v>1500</x:v>
      </x:c>
      <x:c r="K523" t="n">
        <x:v>13</x:v>
      </x:c>
      <x:c r="L523" t="n">
        <x:v>13</x:v>
      </x:c>
      <x:c r="M523" t="n">
        <x:v>163.5</x:v>
      </x:c>
      <x:c r="N523" t="n">
        <x:v>28</x:v>
      </x:c>
      <x:c r="O523" s="45" t="n">
        <x:v>165425</x:v>
      </x:c>
      <x:c r="P523" s="45" t="n">
        <x:v>20000</x:v>
      </x:c>
      <x:c r="Q523" t="str">
        <x:v>Entregue</x:v>
      </x:c>
      <x:c r="R523" t="str"/>
      <x:c r="S523" t="str">
        <x:v>Nao</x:v>
      </x:c>
      <x:c r="T523" t="str">
        <x:v>Nao</x:v>
      </x:c>
    </x:row>
    <x:row r="524" ht="19" customHeight="1">
      <x:c r="A524" t="str">
        <x:v>ENT-00523</x:v>
      </x:c>
      <x:c r="B524" s="41" t="n">
        <x:v>46250</x:v>
      </x:c>
      <x:c r="C524" s="41" t="n">
        <x:v>46253</x:v>
      </x:c>
      <x:c r="D524" s="41" t="n">
        <x:v>46253</x:v>
      </x:c>
      <x:c r="E524" t="str">
        <x:v>Savana Retail, Lda.</x:v>
      </x:c>
      <x:c r="F524" t="str">
        <x:v>Kilamba</x:v>
      </x:c>
      <x:c r="G524" t="str">
        <x:v>Adriano Manuel</x:v>
      </x:c>
      <x:c r="H524" t="str">
        <x:v>VTR-03</x:v>
      </x:c>
      <x:c r="I524" t="str">
        <x:v>Toyota Dyna</x:v>
      </x:c>
      <x:c r="J524" t="n">
        <x:v>3000</x:v>
      </x:c>
      <x:c r="K524" t="n">
        <x:v>81</x:v>
      </x:c>
      <x:c r="L524" t="n">
        <x:v>81</x:v>
      </x:c>
      <x:c r="M524" t="n">
        <x:v>878.7</x:v>
      </x:c>
      <x:c r="N524" t="n">
        <x:v>40</x:v>
      </x:c>
      <x:c r="O524" s="45" t="n">
        <x:v>1262952</x:v>
      </x:c>
      <x:c r="P524" s="45" t="n">
        <x:v>40000</x:v>
      </x:c>
      <x:c r="Q524" t="str">
        <x:v>Entregue</x:v>
      </x:c>
      <x:c r="R524" t="str"/>
      <x:c r="S524" t="str">
        <x:v>Nao</x:v>
      </x:c>
      <x:c r="T524" t="str">
        <x:v>Nao</x:v>
      </x:c>
    </x:row>
    <x:row r="525" ht="19" customHeight="1">
      <x:c r="A525" t="str">
        <x:v>ENT-00524</x:v>
      </x:c>
      <x:c r="B525" s="41" t="n">
        <x:v>46236</x:v>
      </x:c>
      <x:c r="C525" s="41" t="n">
        <x:v>46239</x:v>
      </x:c>
      <x:c r="D525" s="41" t="n">
        <x:v>46238</x:v>
      </x:c>
      <x:c r="E525" t="str">
        <x:v>Mundo Fresco, Lda.</x:v>
      </x:c>
      <x:c r="F525" t="str">
        <x:v>Sequele</x:v>
      </x:c>
      <x:c r="G525" t="str">
        <x:v>Carlos Mateus</x:v>
      </x:c>
      <x:c r="H525" t="str">
        <x:v>VTR-03</x:v>
      </x:c>
      <x:c r="I525" t="str">
        <x:v>Toyota Dyna</x:v>
      </x:c>
      <x:c r="J525" t="n">
        <x:v>3000</x:v>
      </x:c>
      <x:c r="K525" t="n">
        <x:v>38</x:v>
      </x:c>
      <x:c r="L525" t="n">
        <x:v>38</x:v>
      </x:c>
      <x:c r="M525" t="n">
        <x:v>286.4</x:v>
      </x:c>
      <x:c r="N525" t="n">
        <x:v>62</x:v>
      </x:c>
      <x:c r="O525" s="45" t="n">
        <x:v>502322</x:v>
      </x:c>
      <x:c r="P525" s="45" t="n">
        <x:v>42500</x:v>
      </x:c>
      <x:c r="Q525" t="str">
        <x:v>Entregue</x:v>
      </x:c>
      <x:c r="R525" t="str"/>
      <x:c r="S525" t="str">
        <x:v>Nao</x:v>
      </x:c>
      <x:c r="T525" t="str">
        <x:v>Nao</x:v>
      </x:c>
    </x:row>
    <x:row r="526" ht="19" customHeight="1">
      <x:c r="A526" t="str">
        <x:v>ENT-00525</x:v>
      </x:c>
      <x:c r="B526" s="41" t="n">
        <x:v>46212</x:v>
      </x:c>
      <x:c r="C526" s="41" t="n">
        <x:v>46214</x:v>
      </x:c>
      <x:c r="D526" s="41" t="n">
        <x:v>46214</x:v>
      </x:c>
      <x:c r="E526" t="str">
        <x:v>Atlântico Farma, Lda.</x:v>
      </x:c>
      <x:c r="F526" t="str">
        <x:v>Kikuxi</x:v>
      </x:c>
      <x:c r="G526" t="str">
        <x:v>Hélder Miguel</x:v>
      </x:c>
      <x:c r="H526" t="str">
        <x:v>VTR-10</x:v>
      </x:c>
      <x:c r="I526" t="str">
        <x:v>Foton Aumark</x:v>
      </x:c>
      <x:c r="J526" t="n">
        <x:v>4000</x:v>
      </x:c>
      <x:c r="K526" t="n">
        <x:v>37</x:v>
      </x:c>
      <x:c r="L526" t="n">
        <x:v>37</x:v>
      </x:c>
      <x:c r="M526" t="n">
        <x:v>382.9</x:v>
      </x:c>
      <x:c r="N526" t="n">
        <x:v>34</x:v>
      </x:c>
      <x:c r="O526" s="45" t="n">
        <x:v>673511</x:v>
      </x:c>
      <x:c r="P526" s="45" t="n">
        <x:v>27000</x:v>
      </x:c>
      <x:c r="Q526" t="str">
        <x:v>Entregue</x:v>
      </x:c>
      <x:c r="R526" t="str"/>
      <x:c r="S526" t="str">
        <x:v>Nao</x:v>
      </x:c>
      <x:c r="T526" t="str">
        <x:v>Nao</x:v>
      </x:c>
    </x:row>
    <x:row r="527" ht="19" customHeight="1">
      <x:c r="A527" t="str">
        <x:v>ENT-00526</x:v>
      </x:c>
      <x:c r="B527" s="41" t="n">
        <x:v>46250</x:v>
      </x:c>
      <x:c r="C527" s="41" t="n">
        <x:v>46253</x:v>
      </x:c>
      <x:c r="D527" s="41"/>
      <x:c r="E527" t="str">
        <x:v>Bem-Estar Higiene, Lda.</x:v>
      </x:c>
      <x:c r="F527" t="str">
        <x:v>Benfica</x:v>
      </x:c>
      <x:c r="G527" t="str">
        <x:v>Kito Alberto</x:v>
      </x:c>
      <x:c r="H527" t="str">
        <x:v>VTR-07</x:v>
      </x:c>
      <x:c r="I527" t="str">
        <x:v>Isuzu NPR</x:v>
      </x:c>
      <x:c r="J527" t="n">
        <x:v>5000</x:v>
      </x:c>
      <x:c r="K527" t="n">
        <x:v>74</x:v>
      </x:c>
      <x:c r="L527" t="n">
        <x:v>0</x:v>
      </x:c>
      <x:c r="M527" t="n">
        <x:v>618.2</x:v>
      </x:c>
      <x:c r="N527" t="n">
        <x:v>45</x:v>
      </x:c>
      <x:c r="O527" s="45" t="n">
        <x:v>1914084</x:v>
      </x:c>
      <x:c r="P527" s="45" t="n">
        <x:v>36500</x:v>
      </x:c>
      <x:c r="Q527" t="str">
        <x:v>Cancelada</x:v>
      </x:c>
      <x:c r="R527" t="str">
        <x:v>Cancelamento do cliente</x:v>
      </x:c>
      <x:c r="S527" t="str">
        <x:v>Nao</x:v>
      </x:c>
      <x:c r="T527" t="str">
        <x:v>Nao</x:v>
      </x:c>
    </x:row>
    <x:row r="528" ht="19" customHeight="1">
      <x:c r="A528" t="str">
        <x:v>ENT-00527</x:v>
      </x:c>
      <x:c r="B528" s="41" t="n">
        <x:v>46244</x:v>
      </x:c>
      <x:c r="C528" s="41" t="n">
        <x:v>46246</x:v>
      </x:c>
      <x:c r="D528" s="41" t="n">
        <x:v>46246</x:v>
      </x:c>
      <x:c r="E528" t="str">
        <x:v>Kiala &amp; Filhos, Lda.</x:v>
      </x:c>
      <x:c r="F528" t="str">
        <x:v>Kilamba</x:v>
      </x:c>
      <x:c r="G528" t="str">
        <x:v>Lucas Tomás</x:v>
      </x:c>
      <x:c r="H528" t="str">
        <x:v>VTR-05</x:v>
      </x:c>
      <x:c r="I528" t="str">
        <x:v>Hyundai HD65</x:v>
      </x:c>
      <x:c r="J528" t="n">
        <x:v>3500</x:v>
      </x:c>
      <x:c r="K528" t="n">
        <x:v>25</x:v>
      </x:c>
      <x:c r="L528" t="n">
        <x:v>25</x:v>
      </x:c>
      <x:c r="M528" t="n">
        <x:v>197.4</x:v>
      </x:c>
      <x:c r="N528" t="n">
        <x:v>28</x:v>
      </x:c>
      <x:c r="O528" s="45" t="n">
        <x:v>593650</x:v>
      </x:c>
      <x:c r="P528" s="45" t="n">
        <x:v>24000</x:v>
      </x:c>
      <x:c r="Q528" t="str">
        <x:v>Entregue</x:v>
      </x:c>
      <x:c r="R528" t="str"/>
      <x:c r="S528" t="str">
        <x:v>Nao</x:v>
      </x:c>
      <x:c r="T528" t="str">
        <x:v>Nao</x:v>
      </x:c>
    </x:row>
    <x:row r="529" ht="19" customHeight="1">
      <x:c r="A529" t="str">
        <x:v>ENT-00528</x:v>
      </x:c>
      <x:c r="B529" s="41" t="n">
        <x:v>46222</x:v>
      </x:c>
      <x:c r="C529" s="41" t="n">
        <x:v>46224</x:v>
      </x:c>
      <x:c r="D529" s="41" t="n">
        <x:v>46224</x:v>
      </x:c>
      <x:c r="E529" t="str">
        <x:v>Savana Retail, Lda.</x:v>
      </x:c>
      <x:c r="F529" t="str">
        <x:v>Talatona</x:v>
      </x:c>
      <x:c r="G529" t="str">
        <x:v>Lucas Tomás</x:v>
      </x:c>
      <x:c r="H529" t="str">
        <x:v>VTR-09</x:v>
      </x:c>
      <x:c r="I529" t="str">
        <x:v>Toyota Hilux</x:v>
      </x:c>
      <x:c r="J529" t="n">
        <x:v>1000</x:v>
      </x:c>
      <x:c r="K529" t="n">
        <x:v>80</x:v>
      </x:c>
      <x:c r="L529" t="n">
        <x:v>80</x:v>
      </x:c>
      <x:c r="M529" t="n">
        <x:v>523.5</x:v>
      </x:c>
      <x:c r="N529" t="n">
        <x:v>27</x:v>
      </x:c>
      <x:c r="O529" s="45" t="n">
        <x:v>1276800</x:v>
      </x:c>
      <x:c r="P529" s="45" t="n">
        <x:v>30000</x:v>
      </x:c>
      <x:c r="Q529" t="str">
        <x:v>Entregue</x:v>
      </x:c>
      <x:c r="R529" t="str"/>
      <x:c r="S529" t="str">
        <x:v>Nao</x:v>
      </x:c>
      <x:c r="T529" t="str">
        <x:v>Nao</x:v>
      </x:c>
    </x:row>
    <x:row r="530" ht="19" customHeight="1">
      <x:c r="A530" t="str">
        <x:v>ENT-00529</x:v>
      </x:c>
      <x:c r="B530" s="41" t="n">
        <x:v>46220</x:v>
      </x:c>
      <x:c r="C530" s="41" t="n">
        <x:v>46222</x:v>
      </x:c>
      <x:c r="D530" s="41" t="n">
        <x:v>46222</x:v>
      </x:c>
      <x:c r="E530" t="str">
        <x:v>Kwanza Distribuição, Lda.</x:v>
      </x:c>
      <x:c r="F530" t="str">
        <x:v>Morro Bento</x:v>
      </x:c>
      <x:c r="G530" t="str">
        <x:v>Dário Joaquim</x:v>
      </x:c>
      <x:c r="H530" t="str">
        <x:v>VTR-03</x:v>
      </x:c>
      <x:c r="I530" t="str">
        <x:v>Toyota Dyna</x:v>
      </x:c>
      <x:c r="J530" t="n">
        <x:v>3000</x:v>
      </x:c>
      <x:c r="K530" t="n">
        <x:v>46</x:v>
      </x:c>
      <x:c r="L530" t="n">
        <x:v>46</x:v>
      </x:c>
      <x:c r="M530" t="n">
        <x:v>1453</x:v>
      </x:c>
      <x:c r="N530" t="n">
        <x:v>26</x:v>
      </x:c>
      <x:c r="O530" s="45" t="n">
        <x:v>1143100</x:v>
      </x:c>
      <x:c r="P530" s="45" t="n">
        <x:v>42000</x:v>
      </x:c>
      <x:c r="Q530" t="str">
        <x:v>Entregue</x:v>
      </x:c>
      <x:c r="R530" t="str"/>
      <x:c r="S530" t="str">
        <x:v>Nao</x:v>
      </x:c>
      <x:c r="T530" t="str">
        <x:v>Nao</x:v>
      </x:c>
    </x:row>
    <x:row r="531" ht="19" customHeight="1">
      <x:c r="A531" t="str">
        <x:v>ENT-00530</x:v>
      </x:c>
      <x:c r="B531" s="41" t="n">
        <x:v>46208</x:v>
      </x:c>
      <x:c r="C531" s="41" t="n">
        <x:v>46210</x:v>
      </x:c>
      <x:c r="D531" s="41" t="n">
        <x:v>46212</x:v>
      </x:c>
      <x:c r="E531" t="str">
        <x:v>Bem-Estar Higiene, Lda.</x:v>
      </x:c>
      <x:c r="F531" t="str">
        <x:v>Kikuxi</x:v>
      </x:c>
      <x:c r="G531" t="str">
        <x:v>Jorge Mário</x:v>
      </x:c>
      <x:c r="H531" t="str">
        <x:v>VTR-03</x:v>
      </x:c>
      <x:c r="I531" t="str">
        <x:v>Toyota Dyna</x:v>
      </x:c>
      <x:c r="J531" t="n">
        <x:v>3000</x:v>
      </x:c>
      <x:c r="K531" t="n">
        <x:v>71</x:v>
      </x:c>
      <x:c r="L531" t="n">
        <x:v>71</x:v>
      </x:c>
      <x:c r="M531" t="n">
        <x:v>1547</x:v>
      </x:c>
      <x:c r="N531" t="n">
        <x:v>29</x:v>
      </x:c>
      <x:c r="O531" s="45" t="n">
        <x:v>1038233</x:v>
      </x:c>
      <x:c r="P531" s="45" t="n">
        <x:v>49000</x:v>
      </x:c>
      <x:c r="Q531" t="str">
        <x:v>Entregue</x:v>
      </x:c>
      <x:c r="R531" t="str">
        <x:v>Chuva/condicao da via</x:v>
      </x:c>
      <x:c r="S531" t="str">
        <x:v>Nao</x:v>
      </x:c>
      <x:c r="T531" t="str">
        <x:v>Nao</x:v>
      </x:c>
    </x:row>
    <x:row r="532" ht="19" customHeight="1">
      <x:c r="A532" t="str">
        <x:v>ENT-00531</x:v>
      </x:c>
      <x:c r="B532" s="41" t="n">
        <x:v>46211</x:v>
      </x:c>
      <x:c r="C532" s="41" t="n">
        <x:v>46214</x:v>
      </x:c>
      <x:c r="D532" s="41"/>
      <x:c r="E532" t="str">
        <x:v>Sol Nascente Comércio, Lda.</x:v>
      </x:c>
      <x:c r="F532" t="str">
        <x:v>Zango</x:v>
      </x:c>
      <x:c r="G532" t="str">
        <x:v>Elísio António</x:v>
      </x:c>
      <x:c r="H532" t="str">
        <x:v>VTR-01</x:v>
      </x:c>
      <x:c r="I532" t="str">
        <x:v>Kia K2700</x:v>
      </x:c>
      <x:c r="J532" t="n">
        <x:v>1500</x:v>
      </x:c>
      <x:c r="K532" t="n">
        <x:v>26</x:v>
      </x:c>
      <x:c r="L532" t="n">
        <x:v>0</x:v>
      </x:c>
      <x:c r="M532" t="n">
        <x:v>676</x:v>
      </x:c>
      <x:c r="N532" t="n">
        <x:v>42</x:v>
      </x:c>
      <x:c r="O532" s="45" t="n">
        <x:v>228592</x:v>
      </x:c>
      <x:c r="P532" s="45" t="n">
        <x:v>36500</x:v>
      </x:c>
      <x:c r="Q532" t="str">
        <x:v>Cancelada</x:v>
      </x:c>
      <x:c r="R532" t="str">
        <x:v>Cancelamento do cliente</x:v>
      </x:c>
      <x:c r="S532" t="str">
        <x:v>Nao</x:v>
      </x:c>
      <x:c r="T532" t="str">
        <x:v>Nao</x:v>
      </x:c>
    </x:row>
    <x:row r="533" ht="19" customHeight="1">
      <x:c r="A533" t="str">
        <x:v>ENT-00532</x:v>
      </x:c>
      <x:c r="B533" s="41" t="n">
        <x:v>46247</x:v>
      </x:c>
      <x:c r="C533" s="41" t="n">
        <x:v>46248</x:v>
      </x:c>
      <x:c r="D533" s="41" t="n">
        <x:v>46251</x:v>
      </x:c>
      <x:c r="E533" t="str">
        <x:v>N'gola Market, Lda.</x:v>
      </x:c>
      <x:c r="F533" t="str">
        <x:v>Ingombota</x:v>
      </x:c>
      <x:c r="G533" t="str">
        <x:v>Elísio António</x:v>
      </x:c>
      <x:c r="H533" t="str">
        <x:v>VTR-01</x:v>
      </x:c>
      <x:c r="I533" t="str">
        <x:v>Kia K2700</x:v>
      </x:c>
      <x:c r="J533" t="n">
        <x:v>1500</x:v>
      </x:c>
      <x:c r="K533" t="n">
        <x:v>10</x:v>
      </x:c>
      <x:c r="L533" t="n">
        <x:v>10</x:v>
      </x:c>
      <x:c r="M533" t="n">
        <x:v>150.7</x:v>
      </x:c>
      <x:c r="N533" t="n">
        <x:v>16</x:v>
      </x:c>
      <x:c r="O533" s="45" t="n">
        <x:v>133190</x:v>
      </x:c>
      <x:c r="P533" s="45" t="n">
        <x:v>16500</x:v>
      </x:c>
      <x:c r="Q533" t="str">
        <x:v>Entregue</x:v>
      </x:c>
      <x:c r="R533" t="str">
        <x:v>Avaria da viatura</x:v>
      </x:c>
      <x:c r="S533" t="str">
        <x:v>Nao</x:v>
      </x:c>
      <x:c r="T533" t="str">
        <x:v>Nao</x:v>
      </x:c>
    </x:row>
    <x:row r="534" ht="19" customHeight="1">
      <x:c r="A534" t="str">
        <x:v>ENT-00533</x:v>
      </x:c>
      <x:c r="B534" s="41" t="n">
        <x:v>46215</x:v>
      </x:c>
      <x:c r="C534" s="41" t="n">
        <x:v>46218</x:v>
      </x:c>
      <x:c r="D534" s="41" t="n">
        <x:v>46218</x:v>
      </x:c>
      <x:c r="E534" t="str">
        <x:v>Savana Retail, Lda.</x:v>
      </x:c>
      <x:c r="F534" t="str">
        <x:v>Sequele</x:v>
      </x:c>
      <x:c r="G534" t="str">
        <x:v>Carlos Mateus</x:v>
      </x:c>
      <x:c r="H534" t="str">
        <x:v>VTR-11</x:v>
      </x:c>
      <x:c r="I534" t="str">
        <x:v>JAC N56</x:v>
      </x:c>
      <x:c r="J534" t="n">
        <x:v>3500</x:v>
      </x:c>
      <x:c r="K534" t="n">
        <x:v>12</x:v>
      </x:c>
      <x:c r="L534" t="n">
        <x:v>12</x:v>
      </x:c>
      <x:c r="M534" t="n">
        <x:v>144.6</x:v>
      </x:c>
      <x:c r="N534" t="n">
        <x:v>51</x:v>
      </x:c>
      <x:c r="O534" s="45" t="n">
        <x:v>211404</x:v>
      </x:c>
      <x:c r="P534" s="45" t="n">
        <x:v>30500</x:v>
      </x:c>
      <x:c r="Q534" t="str">
        <x:v>Entregue</x:v>
      </x:c>
      <x:c r="R534" t="str"/>
      <x:c r="S534" t="str">
        <x:v>Nao</x:v>
      </x:c>
      <x:c r="T534" t="str">
        <x:v>Sim</x:v>
      </x:c>
    </x:row>
    <x:row r="535" ht="19" customHeight="1">
      <x:c r="A535" t="str">
        <x:v>ENT-00534</x:v>
      </x:c>
      <x:c r="B535" s="41" t="n">
        <x:v>46261</x:v>
      </x:c>
      <x:c r="C535" s="41" t="n">
        <x:v>46262</x:v>
      </x:c>
      <x:c r="D535" s="41" t="n">
        <x:v>46262</x:v>
      </x:c>
      <x:c r="E535" t="str">
        <x:v>Nova Rota Comercial, Lda.</x:v>
      </x:c>
      <x:c r="F535" t="str">
        <x:v>Ingombota</x:v>
      </x:c>
      <x:c r="G535" t="str">
        <x:v>Elísio António</x:v>
      </x:c>
      <x:c r="H535" t="str">
        <x:v>VTR-12</x:v>
      </x:c>
      <x:c r="I535" t="str">
        <x:v>Hyundai H100</x:v>
      </x:c>
      <x:c r="J535" t="n">
        <x:v>1300</x:v>
      </x:c>
      <x:c r="K535" t="n">
        <x:v>35</x:v>
      </x:c>
      <x:c r="L535" t="n">
        <x:v>35</x:v>
      </x:c>
      <x:c r="M535" t="n">
        <x:v>678.6</x:v>
      </x:c>
      <x:c r="N535" t="n">
        <x:v>18</x:v>
      </x:c>
      <x:c r="O535" s="45" t="n">
        <x:v>834925</x:v>
      </x:c>
      <x:c r="P535" s="45" t="n">
        <x:v>24500</x:v>
      </x:c>
      <x:c r="Q535" t="str">
        <x:v>Entregue</x:v>
      </x:c>
      <x:c r="R535" t="str"/>
      <x:c r="S535" t="str">
        <x:v>Nao</x:v>
      </x:c>
      <x:c r="T535" t="str">
        <x:v>Nao</x:v>
      </x:c>
    </x:row>
    <x:row r="536" ht="19" customHeight="1">
      <x:c r="A536" t="str">
        <x:v>ENT-00535</x:v>
      </x:c>
      <x:c r="B536" s="41" t="n">
        <x:v>46233</x:v>
      </x:c>
      <x:c r="C536" s="41" t="n">
        <x:v>46235</x:v>
      </x:c>
      <x:c r="D536" s="41" t="n">
        <x:v>46236</x:v>
      </x:c>
      <x:c r="E536" t="str">
        <x:v>Sol Nascente Comércio, Lda.</x:v>
      </x:c>
      <x:c r="F536" t="str">
        <x:v>Kikuxi</x:v>
      </x:c>
      <x:c r="G536" t="str">
        <x:v>Bernardo Paulo</x:v>
      </x:c>
      <x:c r="H536" t="str">
        <x:v>VTR-07</x:v>
      </x:c>
      <x:c r="I536" t="str">
        <x:v>Isuzu NPR</x:v>
      </x:c>
      <x:c r="J536" t="n">
        <x:v>5000</x:v>
      </x:c>
      <x:c r="K536" t="n">
        <x:v>81</x:v>
      </x:c>
      <x:c r="L536" t="n">
        <x:v>81</x:v>
      </x:c>
      <x:c r="M536" t="n">
        <x:v>1803.5</x:v>
      </x:c>
      <x:c r="N536" t="n">
        <x:v>34</x:v>
      </x:c>
      <x:c r="O536" s="45" t="n">
        <x:v>421605</x:v>
      </x:c>
      <x:c r="P536" s="45" t="n">
        <x:v>50500</x:v>
      </x:c>
      <x:c r="Q536" t="str">
        <x:v>Entregue</x:v>
      </x:c>
      <x:c r="R536" t="str">
        <x:v>Chuva/condicao da via</x:v>
      </x:c>
      <x:c r="S536" t="str">
        <x:v>Nao</x:v>
      </x:c>
      <x:c r="T536" t="str">
        <x:v>Nao</x:v>
      </x:c>
    </x:row>
    <x:row r="537" ht="19" customHeight="1">
      <x:c r="A537" t="str">
        <x:v>ENT-00536</x:v>
      </x:c>
      <x:c r="B537" s="41" t="n">
        <x:v>46263</x:v>
      </x:c>
      <x:c r="C537" s="41" t="n">
        <x:v>46264</x:v>
      </x:c>
      <x:c r="D537" s="41" t="n">
        <x:v>46264</x:v>
      </x:c>
      <x:c r="E537" t="str">
        <x:v>Atlântico Farma, Lda.</x:v>
      </x:c>
      <x:c r="F537" t="str">
        <x:v>Maianga</x:v>
      </x:c>
      <x:c r="G537" t="str">
        <x:v>Lucas Tomás</x:v>
      </x:c>
      <x:c r="H537" t="str">
        <x:v>VTR-09</x:v>
      </x:c>
      <x:c r="I537" t="str">
        <x:v>Toyota Hilux</x:v>
      </x:c>
      <x:c r="J537" t="n">
        <x:v>1000</x:v>
      </x:c>
      <x:c r="K537" t="n">
        <x:v>49</x:v>
      </x:c>
      <x:c r="L537" t="n">
        <x:v>49</x:v>
      </x:c>
      <x:c r="M537" t="n">
        <x:v>771.6</x:v>
      </x:c>
      <x:c r="N537" t="n">
        <x:v>17</x:v>
      </x:c>
      <x:c r="O537" s="45" t="n">
        <x:v>1196090</x:v>
      </x:c>
      <x:c r="P537" s="45" t="n">
        <x:v>29500</x:v>
      </x:c>
      <x:c r="Q537" t="str">
        <x:v>Entregue</x:v>
      </x:c>
      <x:c r="R537" t="str"/>
      <x:c r="S537" t="str">
        <x:v>Nao</x:v>
      </x:c>
      <x:c r="T537" t="str">
        <x:v>Nao</x:v>
      </x:c>
    </x:row>
    <x:row r="538" ht="19" customHeight="1">
      <x:c r="A538" t="str">
        <x:v>ENT-00537</x:v>
      </x:c>
      <x:c r="B538" s="41" t="n">
        <x:v>46257</x:v>
      </x:c>
      <x:c r="C538" s="41" t="n">
        <x:v>46258</x:v>
      </x:c>
      <x:c r="D538" s="41" t="n">
        <x:v>46259</x:v>
      </x:c>
      <x:c r="E538" t="str">
        <x:v>Sol Nascente Comércio, Lda.</x:v>
      </x:c>
      <x:c r="F538" t="str">
        <x:v>Camama</x:v>
      </x:c>
      <x:c r="G538" t="str">
        <x:v>Elísio António</x:v>
      </x:c>
      <x:c r="H538" t="str">
        <x:v>VTR-01</x:v>
      </x:c>
      <x:c r="I538" t="str">
        <x:v>Kia K2700</x:v>
      </x:c>
      <x:c r="J538" t="n">
        <x:v>1500</x:v>
      </x:c>
      <x:c r="K538" t="n">
        <x:v>75</x:v>
      </x:c>
      <x:c r="L538" t="n">
        <x:v>75</x:v>
      </x:c>
      <x:c r="M538" t="n">
        <x:v>914</x:v>
      </x:c>
      <x:c r="N538" t="n">
        <x:v>19</x:v>
      </x:c>
      <x:c r="O538" s="45" t="n">
        <x:v>1096875</x:v>
      </x:c>
      <x:c r="P538" s="45" t="n">
        <x:v>27500</x:v>
      </x:c>
      <x:c r="Q538" t="str">
        <x:v>Entregue</x:v>
      </x:c>
      <x:c r="R538" t="str">
        <x:v>Cliente indisponivel</x:v>
      </x:c>
      <x:c r="S538" t="str">
        <x:v>Nao</x:v>
      </x:c>
      <x:c r="T538" t="str">
        <x:v>Nao</x:v>
      </x:c>
    </x:row>
    <x:row r="539" ht="19" customHeight="1">
      <x:c r="A539" t="str">
        <x:v>ENT-00538</x:v>
      </x:c>
      <x:c r="B539" s="41" t="n">
        <x:v>46228</x:v>
      </x:c>
      <x:c r="C539" s="41" t="n">
        <x:v>46229</x:v>
      </x:c>
      <x:c r="D539" s="41" t="n">
        <x:v>46229</x:v>
      </x:c>
      <x:c r="E539" t="str">
        <x:v>Maxi Centro, Lda.</x:v>
      </x:c>
      <x:c r="F539" t="str">
        <x:v>Ingombota</x:v>
      </x:c>
      <x:c r="G539" t="str">
        <x:v>Elísio António</x:v>
      </x:c>
      <x:c r="H539" t="str">
        <x:v>VTR-02</x:v>
      </x:c>
      <x:c r="I539" t="str">
        <x:v>Kia K2700</x:v>
      </x:c>
      <x:c r="J539" t="n">
        <x:v>1500</x:v>
      </x:c>
      <x:c r="K539" t="n">
        <x:v>59</x:v>
      </x:c>
      <x:c r="L539" t="n">
        <x:v>59</x:v>
      </x:c>
      <x:c r="M539" t="n">
        <x:v>984.6</x:v>
      </x:c>
      <x:c r="N539" t="n">
        <x:v>16</x:v>
      </x:c>
      <x:c r="O539" s="45" t="n">
        <x:v>1025184</x:v>
      </x:c>
      <x:c r="P539" s="45" t="n">
        <x:v>32000</x:v>
      </x:c>
      <x:c r="Q539" t="str">
        <x:v>Entregue</x:v>
      </x:c>
      <x:c r="R539" t="str"/>
      <x:c r="S539" t="str">
        <x:v>Sim</x:v>
      </x:c>
      <x:c r="T539" t="str">
        <x:v>Nao</x:v>
      </x:c>
    </x:row>
    <x:row r="540" ht="19" customHeight="1">
      <x:c r="A540" t="str">
        <x:v>ENT-00539</x:v>
      </x:c>
      <x:c r="B540" s="41" t="n">
        <x:v>46230</x:v>
      </x:c>
      <x:c r="C540" s="41" t="n">
        <x:v>46232</x:v>
      </x:c>
      <x:c r="D540" s="41" t="n">
        <x:v>46232</x:v>
      </x:c>
      <x:c r="E540" t="str">
        <x:v>Mercado Sul, Lda.</x:v>
      </x:c>
      <x:c r="F540" t="str">
        <x:v>Benfica</x:v>
      </x:c>
      <x:c r="G540" t="str">
        <x:v>Hélder Miguel</x:v>
      </x:c>
      <x:c r="H540" t="str">
        <x:v>VTR-06</x:v>
      </x:c>
      <x:c r="I540" t="str">
        <x:v>Isuzu NPR</x:v>
      </x:c>
      <x:c r="J540" t="n">
        <x:v>5000</x:v>
      </x:c>
      <x:c r="K540" t="n">
        <x:v>52</x:v>
      </x:c>
      <x:c r="L540" t="n">
        <x:v>52</x:v>
      </x:c>
      <x:c r="M540" t="n">
        <x:v>1406</x:v>
      </x:c>
      <x:c r="N540" t="n">
        <x:v>39</x:v>
      </x:c>
      <x:c r="O540" s="45" t="n">
        <x:v>297180</x:v>
      </x:c>
      <x:c r="P540" s="45" t="n">
        <x:v>46000</x:v>
      </x:c>
      <x:c r="Q540" t="str">
        <x:v>Entregue</x:v>
      </x:c>
      <x:c r="R540" t="str"/>
      <x:c r="S540" t="str">
        <x:v>Nao</x:v>
      </x:c>
      <x:c r="T540" t="str">
        <x:v>Nao</x:v>
      </x:c>
    </x:row>
    <x:row r="541" ht="19" customHeight="1">
      <x:c r="A541" t="str">
        <x:v>ENT-00540</x:v>
      </x:c>
      <x:c r="B541" s="41" t="n">
        <x:v>46216</x:v>
      </x:c>
      <x:c r="C541" s="41" t="n">
        <x:v>46218</x:v>
      </x:c>
      <x:c r="D541" s="41" t="n">
        <x:v>46218</x:v>
      </x:c>
      <x:c r="E541" t="str">
        <x:v>Casa Horizonte, Lda.</x:v>
      </x:c>
      <x:c r="F541" t="str">
        <x:v>Camama</x:v>
      </x:c>
      <x:c r="G541" t="str">
        <x:v>Adriano Manuel</x:v>
      </x:c>
      <x:c r="H541" t="str">
        <x:v>VTR-02</x:v>
      </x:c>
      <x:c r="I541" t="str">
        <x:v>Kia K2700</x:v>
      </x:c>
      <x:c r="J541" t="n">
        <x:v>1500</x:v>
      </x:c>
      <x:c r="K541" t="n">
        <x:v>16</x:v>
      </x:c>
      <x:c r="L541" t="n">
        <x:v>16</x:v>
      </x:c>
      <x:c r="M541" t="n">
        <x:v>150.9</x:v>
      </x:c>
      <x:c r="N541" t="n">
        <x:v>34</x:v>
      </x:c>
      <x:c r="O541" s="45" t="n">
        <x:v>349856</x:v>
      </x:c>
      <x:c r="P541" s="45" t="n">
        <x:v>23000</x:v>
      </x:c>
      <x:c r="Q541" t="str">
        <x:v>Entregue</x:v>
      </x:c>
      <x:c r="R541" t="str"/>
      <x:c r="S541" t="str">
        <x:v>Nao</x:v>
      </x:c>
      <x:c r="T541" t="str">
        <x:v>Nao</x:v>
      </x:c>
    </x:row>
    <x:row r="542" ht="19" customHeight="1">
      <x:c r="A542" t="str">
        <x:v>ENT-00541</x:v>
      </x:c>
      <x:c r="B542" s="41" t="n">
        <x:v>46246</x:v>
      </x:c>
      <x:c r="C542" s="41" t="n">
        <x:v>46248</x:v>
      </x:c>
      <x:c r="D542" s="41" t="n">
        <x:v>46248</x:v>
      </x:c>
      <x:c r="E542" t="str">
        <x:v>Ponto Logístico, Lda.</x:v>
      </x:c>
      <x:c r="F542" t="str">
        <x:v>Cacuaco</x:v>
      </x:c>
      <x:c r="G542" t="str">
        <x:v>Elísio António</x:v>
      </x:c>
      <x:c r="H542" t="str">
        <x:v>VTR-06</x:v>
      </x:c>
      <x:c r="I542" t="str">
        <x:v>Isuzu NPR</x:v>
      </x:c>
      <x:c r="J542" t="n">
        <x:v>5000</x:v>
      </x:c>
      <x:c r="K542" t="n">
        <x:v>63</x:v>
      </x:c>
      <x:c r="L542" t="n">
        <x:v>63</x:v>
      </x:c>
      <x:c r="M542" t="n">
        <x:v>460.5</x:v>
      </x:c>
      <x:c r="N542" t="n">
        <x:v>34</x:v>
      </x:c>
      <x:c r="O542" s="45" t="n">
        <x:v>582561</x:v>
      </x:c>
      <x:c r="P542" s="45" t="n">
        <x:v>29500</x:v>
      </x:c>
      <x:c r="Q542" t="str">
        <x:v>Entregue</x:v>
      </x:c>
      <x:c r="R542" t="str"/>
      <x:c r="S542" t="str">
        <x:v>Nao</x:v>
      </x:c>
      <x:c r="T542" t="str">
        <x:v>Nao</x:v>
      </x:c>
    </x:row>
    <x:row r="543" ht="19" customHeight="1">
      <x:c r="A543" t="str">
        <x:v>ENT-00542</x:v>
      </x:c>
      <x:c r="B543" s="41" t="n">
        <x:v>46209</x:v>
      </x:c>
      <x:c r="C543" s="41" t="n">
        <x:v>46211</x:v>
      </x:c>
      <x:c r="D543" s="41" t="n">
        <x:v>46213</x:v>
      </x:c>
      <x:c r="E543" t="str">
        <x:v>Via Certa Serviços, Lda.</x:v>
      </x:c>
      <x:c r="F543" t="str">
        <x:v>Morro Bento</x:v>
      </x:c>
      <x:c r="G543" t="str">
        <x:v>Isaías Pedro</x:v>
      </x:c>
      <x:c r="H543" t="str">
        <x:v>VTR-05</x:v>
      </x:c>
      <x:c r="I543" t="str">
        <x:v>Hyundai HD65</x:v>
      </x:c>
      <x:c r="J543" t="n">
        <x:v>3500</x:v>
      </x:c>
      <x:c r="K543" t="n">
        <x:v>25</x:v>
      </x:c>
      <x:c r="L543" t="n">
        <x:v>25</x:v>
      </x:c>
      <x:c r="M543" t="n">
        <x:v>220</x:v>
      </x:c>
      <x:c r="N543" t="n">
        <x:v>25</x:v>
      </x:c>
      <x:c r="O543" s="45" t="n">
        <x:v>329700</x:v>
      </x:c>
      <x:c r="P543" s="45" t="n">
        <x:v>22500</x:v>
      </x:c>
      <x:c r="Q543" t="str">
        <x:v>Entregue</x:v>
      </x:c>
      <x:c r="R543" t="str">
        <x:v>Chuva/condicao da via</x:v>
      </x:c>
      <x:c r="S543" t="str">
        <x:v>Nao</x:v>
      </x:c>
      <x:c r="T543" t="str">
        <x:v>Nao</x:v>
      </x:c>
    </x:row>
    <x:row r="544" ht="19" customHeight="1">
      <x:c r="A544" t="str">
        <x:v>ENT-00543</x:v>
      </x:c>
      <x:c r="B544" s="41" t="n">
        <x:v>46254</x:v>
      </x:c>
      <x:c r="C544" s="41" t="n">
        <x:v>46256</x:v>
      </x:c>
      <x:c r="D544" s="41" t="n">
        <x:v>46256</x:v>
      </x:c>
      <x:c r="E544" t="str">
        <x:v>Kwanza Distribuição, Lda.</x:v>
      </x:c>
      <x:c r="F544" t="str">
        <x:v>Kikuxi</x:v>
      </x:c>
      <x:c r="G544" t="str">
        <x:v>Bernardo Paulo</x:v>
      </x:c>
      <x:c r="H544" t="str">
        <x:v>VTR-04</x:v>
      </x:c>
      <x:c r="I544" t="str">
        <x:v>Toyota Dyna</x:v>
      </x:c>
      <x:c r="J544" t="n">
        <x:v>3000</x:v>
      </x:c>
      <x:c r="K544" t="n">
        <x:v>32</x:v>
      </x:c>
      <x:c r="L544" t="n">
        <x:v>32</x:v>
      </x:c>
      <x:c r="M544" t="n">
        <x:v>325.4</x:v>
      </x:c>
      <x:c r="N544" t="n">
        <x:v>33</x:v>
      </x:c>
      <x:c r="O544" s="45" t="n">
        <x:v>679296</x:v>
      </x:c>
      <x:c r="P544" s="45" t="n">
        <x:v>24500</x:v>
      </x:c>
      <x:c r="Q544" t="str">
        <x:v>Entregue</x:v>
      </x:c>
      <x:c r="R544" t="str"/>
      <x:c r="S544" t="str">
        <x:v>Nao</x:v>
      </x:c>
      <x:c r="T544" t="str">
        <x:v>Nao</x:v>
      </x:c>
    </x:row>
    <x:row r="545" ht="19" customHeight="1">
      <x:c r="A545" t="str">
        <x:v>ENT-00544</x:v>
      </x:c>
      <x:c r="B545" s="41" t="n">
        <x:v>46264</x:v>
      </x:c>
      <x:c r="C545" s="41" t="n">
        <x:v>46267</x:v>
      </x:c>
      <x:c r="D545" s="41" t="n">
        <x:v>46268</x:v>
      </x:c>
      <x:c r="E545" t="str">
        <x:v>Prime Stock, Lda.</x:v>
      </x:c>
      <x:c r="F545" t="str">
        <x:v>Cacuaco</x:v>
      </x:c>
      <x:c r="G545" t="str">
        <x:v>Carlos Mateus</x:v>
      </x:c>
      <x:c r="H545" t="str">
        <x:v>VTR-12</x:v>
      </x:c>
      <x:c r="I545" t="str">
        <x:v>Hyundai H100</x:v>
      </x:c>
      <x:c r="J545" t="n">
        <x:v>1300</x:v>
      </x:c>
      <x:c r="K545" t="n">
        <x:v>9</x:v>
      </x:c>
      <x:c r="L545" t="n">
        <x:v>9</x:v>
      </x:c>
      <x:c r="M545" t="n">
        <x:v>117.5</x:v>
      </x:c>
      <x:c r="N545" t="n">
        <x:v>43</x:v>
      </x:c>
      <x:c r="O545" s="45" t="n">
        <x:v>200961</x:v>
      </x:c>
      <x:c r="P545" s="45" t="n">
        <x:v>28500</x:v>
      </x:c>
      <x:c r="Q545" t="str">
        <x:v>Entregue</x:v>
      </x:c>
      <x:c r="R545" t="str">
        <x:v>Chuva/condicao da via</x:v>
      </x:c>
      <x:c r="S545" t="str">
        <x:v>Nao</x:v>
      </x:c>
      <x:c r="T545" t="str">
        <x:v>Nao</x:v>
      </x:c>
    </x:row>
    <x:row r="546" ht="19" customHeight="1">
      <x:c r="A546" t="str">
        <x:v>ENT-00545</x:v>
      </x:c>
      <x:c r="B546" s="41" t="n">
        <x:v>46265</x:v>
      </x:c>
      <x:c r="C546" s="41" t="n">
        <x:v>46266</x:v>
      </x:c>
      <x:c r="D546" s="41" t="n">
        <x:v>46266</x:v>
      </x:c>
      <x:c r="E546" t="str">
        <x:v>Mundo Fresco, Lda.</x:v>
      </x:c>
      <x:c r="F546" t="str">
        <x:v>Maianga</x:v>
      </x:c>
      <x:c r="G546" t="str">
        <x:v>Adriano Manuel</x:v>
      </x:c>
      <x:c r="H546" t="str">
        <x:v>VTR-08</x:v>
      </x:c>
      <x:c r="I546" t="str">
        <x:v>Toyota Hilux</x:v>
      </x:c>
      <x:c r="J546" t="n">
        <x:v>1000</x:v>
      </x:c>
      <x:c r="K546" t="n">
        <x:v>43</x:v>
      </x:c>
      <x:c r="L546" t="n">
        <x:v>43</x:v>
      </x:c>
      <x:c r="M546" t="n">
        <x:v>490.4</x:v>
      </x:c>
      <x:c r="N546" t="n">
        <x:v>19</x:v>
      </x:c>
      <x:c r="O546" s="45" t="n">
        <x:v>800875</x:v>
      </x:c>
      <x:c r="P546" s="45" t="n">
        <x:v>24000</x:v>
      </x:c>
      <x:c r="Q546" t="str">
        <x:v>Entregue</x:v>
      </x:c>
      <x:c r="R546" t="str"/>
      <x:c r="S546" t="str">
        <x:v>Nao</x:v>
      </x:c>
      <x:c r="T546" t="str">
        <x:v>Nao</x:v>
      </x:c>
    </x:row>
    <x:row r="547" ht="19" customHeight="1">
      <x:c r="A547" t="str">
        <x:v>ENT-00546</x:v>
      </x:c>
      <x:c r="B547" s="41" t="n">
        <x:v>46246</x:v>
      </x:c>
      <x:c r="C547" s="41" t="n">
        <x:v>46249</x:v>
      </x:c>
      <x:c r="D547" s="41" t="n">
        <x:v>46249</x:v>
      </x:c>
      <x:c r="E547" t="str">
        <x:v>Mercado Sul, Lda.</x:v>
      </x:c>
      <x:c r="F547" t="str">
        <x:v>Cacuaco</x:v>
      </x:c>
      <x:c r="G547" t="str">
        <x:v>Adriano Manuel</x:v>
      </x:c>
      <x:c r="H547" t="str">
        <x:v>VTR-06</x:v>
      </x:c>
      <x:c r="I547" t="str">
        <x:v>Isuzu NPR</x:v>
      </x:c>
      <x:c r="J547" t="n">
        <x:v>5000</x:v>
      </x:c>
      <x:c r="K547" t="n">
        <x:v>73</x:v>
      </x:c>
      <x:c r="L547" t="n">
        <x:v>73</x:v>
      </x:c>
      <x:c r="M547" t="n">
        <x:v>1173.6</x:v>
      </x:c>
      <x:c r="N547" t="n">
        <x:v>52</x:v>
      </x:c>
      <x:c r="O547" s="45" t="n">
        <x:v>1256111</x:v>
      </x:c>
      <x:c r="P547" s="45" t="n">
        <x:v>50500</x:v>
      </x:c>
      <x:c r="Q547" t="str">
        <x:v>Entregue</x:v>
      </x:c>
      <x:c r="R547" t="str"/>
      <x:c r="S547" t="str">
        <x:v>Nao</x:v>
      </x:c>
      <x:c r="T547" t="str">
        <x:v>Nao</x:v>
      </x:c>
    </x:row>
    <x:row r="548" ht="19" customHeight="1">
      <x:c r="A548" t="str">
        <x:v>ENT-00547</x:v>
      </x:c>
      <x:c r="B548" s="41" t="n">
        <x:v>46234</x:v>
      </x:c>
      <x:c r="C548" s="41" t="n">
        <x:v>46236</x:v>
      </x:c>
      <x:c r="D548" s="41" t="n">
        <x:v>46236</x:v>
      </x:c>
      <x:c r="E548" t="str">
        <x:v>Kwanza Distribuição, Lda.</x:v>
      </x:c>
      <x:c r="F548" t="str">
        <x:v>Kilamba</x:v>
      </x:c>
      <x:c r="G548" t="str">
        <x:v>Adriano Manuel</x:v>
      </x:c>
      <x:c r="H548" t="str">
        <x:v>VTR-05</x:v>
      </x:c>
      <x:c r="I548" t="str">
        <x:v>Hyundai HD65</x:v>
      </x:c>
      <x:c r="J548" t="n">
        <x:v>3500</x:v>
      </x:c>
      <x:c r="K548" t="n">
        <x:v>42</x:v>
      </x:c>
      <x:c r="L548" t="n">
        <x:v>42</x:v>
      </x:c>
      <x:c r="M548" t="n">
        <x:v>915.2</x:v>
      </x:c>
      <x:c r="N548" t="n">
        <x:v>33</x:v>
      </x:c>
      <x:c r="O548" s="45" t="n">
        <x:v>363552</x:v>
      </x:c>
      <x:c r="P548" s="45" t="n">
        <x:v>34500</x:v>
      </x:c>
      <x:c r="Q548" t="str">
        <x:v>Entregue</x:v>
      </x:c>
      <x:c r="R548" t="str"/>
      <x:c r="S548" t="str">
        <x:v>Nao</x:v>
      </x:c>
      <x:c r="T548" t="str">
        <x:v>Nao</x:v>
      </x:c>
    </x:row>
    <x:row r="549" ht="19" customHeight="1">
      <x:c r="A549" t="str">
        <x:v>ENT-00548</x:v>
      </x:c>
      <x:c r="B549" s="41" t="n">
        <x:v>46244</x:v>
      </x:c>
      <x:c r="C549" s="41" t="n">
        <x:v>46245</x:v>
      </x:c>
      <x:c r="D549" s="41" t="n">
        <x:v>46245</x:v>
      </x:c>
      <x:c r="E549" t="str">
        <x:v>Casa Horizonte, Lda.</x:v>
      </x:c>
      <x:c r="F549" t="str">
        <x:v>Maianga</x:v>
      </x:c>
      <x:c r="G549" t="str">
        <x:v>Félix Domingos</x:v>
      </x:c>
      <x:c r="H549" t="str">
        <x:v>VTR-06</x:v>
      </x:c>
      <x:c r="I549" t="str">
        <x:v>Isuzu NPR</x:v>
      </x:c>
      <x:c r="J549" t="n">
        <x:v>5000</x:v>
      </x:c>
      <x:c r="K549" t="n">
        <x:v>38</x:v>
      </x:c>
      <x:c r="L549" t="n">
        <x:v>38</x:v>
      </x:c>
      <x:c r="M549" t="n">
        <x:v>970.4</x:v>
      </x:c>
      <x:c r="N549" t="n">
        <x:v>18</x:v>
      </x:c>
      <x:c r="O549" s="45" t="n">
        <x:v>387106</x:v>
      </x:c>
      <x:c r="P549" s="45" t="n">
        <x:v>30000</x:v>
      </x:c>
      <x:c r="Q549" t="str">
        <x:v>Entregue</x:v>
      </x:c>
      <x:c r="R549" t="str"/>
      <x:c r="S549" t="str">
        <x:v>Nao</x:v>
      </x:c>
      <x:c r="T549" t="str">
        <x:v>Nao</x:v>
      </x:c>
    </x:row>
    <x:row r="550" ht="19" customHeight="1">
      <x:c r="A550" t="str">
        <x:v>ENT-00549</x:v>
      </x:c>
      <x:c r="B550" s="41" t="n">
        <x:v>46244</x:v>
      </x:c>
      <x:c r="C550" s="41" t="n">
        <x:v>46246</x:v>
      </x:c>
      <x:c r="D550" s="41" t="n">
        <x:v>46246</x:v>
      </x:c>
      <x:c r="E550" t="str">
        <x:v>Savana Retail, Lda.</x:v>
      </x:c>
      <x:c r="F550" t="str">
        <x:v>Maianga</x:v>
      </x:c>
      <x:c r="G550" t="str">
        <x:v>Dário Joaquim</x:v>
      </x:c>
      <x:c r="H550" t="str">
        <x:v>VTR-04</x:v>
      </x:c>
      <x:c r="I550" t="str">
        <x:v>Toyota Dyna</x:v>
      </x:c>
      <x:c r="J550" t="n">
        <x:v>3000</x:v>
      </x:c>
      <x:c r="K550" t="n">
        <x:v>28</x:v>
      </x:c>
      <x:c r="L550" t="n">
        <x:v>28</x:v>
      </x:c>
      <x:c r="M550" t="n">
        <x:v>540.7</x:v>
      </x:c>
      <x:c r="N550" t="n">
        <x:v>21</x:v>
      </x:c>
      <x:c r="O550" s="45" t="n">
        <x:v>611044</x:v>
      </x:c>
      <x:c r="P550" s="45" t="n">
        <x:v>23000</x:v>
      </x:c>
      <x:c r="Q550" t="str">
        <x:v>Entregue</x:v>
      </x:c>
      <x:c r="R550" t="str"/>
      <x:c r="S550" t="str">
        <x:v>Sim</x:v>
      </x:c>
      <x:c r="T550" t="str">
        <x:v>Nao</x:v>
      </x:c>
    </x:row>
    <x:row r="551" ht="19" customHeight="1">
      <x:c r="A551" t="str">
        <x:v>ENT-00550</x:v>
      </x:c>
      <x:c r="B551" s="41" t="n">
        <x:v>46227</x:v>
      </x:c>
      <x:c r="C551" s="41" t="n">
        <x:v>46229</x:v>
      </x:c>
      <x:c r="D551" s="41" t="n">
        <x:v>46229</x:v>
      </x:c>
      <x:c r="E551" t="str">
        <x:v>Mundo Fresco, Lda.</x:v>
      </x:c>
      <x:c r="F551" t="str">
        <x:v>Camama</x:v>
      </x:c>
      <x:c r="G551" t="str">
        <x:v>Félix Domingos</x:v>
      </x:c>
      <x:c r="H551" t="str">
        <x:v>VTR-12</x:v>
      </x:c>
      <x:c r="I551" t="str">
        <x:v>Hyundai H100</x:v>
      </x:c>
      <x:c r="J551" t="n">
        <x:v>1300</x:v>
      </x:c>
      <x:c r="K551" t="n">
        <x:v>76</x:v>
      </x:c>
      <x:c r="L551" t="n">
        <x:v>76</x:v>
      </x:c>
      <x:c r="M551" t="n">
        <x:v>1189.1</x:v>
      </x:c>
      <x:c r="N551" t="n">
        <x:v>29</x:v>
      </x:c>
      <x:c r="O551" s="45" t="n">
        <x:v>1922116</x:v>
      </x:c>
      <x:c r="P551" s="45" t="n">
        <x:v>43500</x:v>
      </x:c>
      <x:c r="Q551" t="str">
        <x:v>Entregue</x:v>
      </x:c>
      <x:c r="R551" t="str"/>
      <x:c r="S551" t="str">
        <x:v>Nao</x:v>
      </x:c>
      <x:c r="T551" t="str">
        <x:v>Nao</x:v>
      </x:c>
    </x:row>
    <x:row r="552" ht="19" customHeight="1">
      <x:c r="A552" t="str">
        <x:v>ENT-00551</x:v>
      </x:c>
      <x:c r="B552" s="41" t="n">
        <x:v>46242</x:v>
      </x:c>
      <x:c r="C552" s="41" t="n">
        <x:v>46245</x:v>
      </x:c>
      <x:c r="D552" s="41" t="n">
        <x:v>46245</x:v>
      </x:c>
      <x:c r="E552" t="str">
        <x:v>Via Certa Serviços, Lda.</x:v>
      </x:c>
      <x:c r="F552" t="str">
        <x:v>Benfica</x:v>
      </x:c>
      <x:c r="G552" t="str">
        <x:v>Dário Joaquim</x:v>
      </x:c>
      <x:c r="H552" t="str">
        <x:v>VTR-01</x:v>
      </x:c>
      <x:c r="I552" t="str">
        <x:v>Kia K2700</x:v>
      </x:c>
      <x:c r="J552" t="n">
        <x:v>1500</x:v>
      </x:c>
      <x:c r="K552" t="n">
        <x:v>39</x:v>
      </x:c>
      <x:c r="L552" t="n">
        <x:v>34</x:v>
      </x:c>
      <x:c r="M552" t="n">
        <x:v>719.8</x:v>
      </x:c>
      <x:c r="N552" t="n">
        <x:v>47</x:v>
      </x:c>
      <x:c r="O552" s="45" t="n">
        <x:v>777270</x:v>
      </x:c>
      <x:c r="P552" s="45" t="n">
        <x:v>39500</x:v>
      </x:c>
      <x:c r="Q552" t="str">
        <x:v>Entregue</x:v>
      </x:c>
      <x:c r="R552" t="str"/>
      <x:c r="S552" t="str">
        <x:v>Nao</x:v>
      </x:c>
      <x:c r="T552" t="str">
        <x:v>Nao</x:v>
      </x:c>
    </x:row>
    <x:row r="553" ht="19" customHeight="1">
      <x:c r="A553" t="str">
        <x:v>ENT-00552</x:v>
      </x:c>
      <x:c r="B553" s="41" t="n">
        <x:v>46210</x:v>
      </x:c>
      <x:c r="C553" s="41" t="n">
        <x:v>46212</x:v>
      </x:c>
      <x:c r="D553" s="41" t="n">
        <x:v>46213</x:v>
      </x:c>
      <x:c r="E553" t="str">
        <x:v>Maxi Centro, Lda.</x:v>
      </x:c>
      <x:c r="F553" t="str">
        <x:v>Benfica</x:v>
      </x:c>
      <x:c r="G553" t="str">
        <x:v>Bernardo Paulo</x:v>
      </x:c>
      <x:c r="H553" t="str">
        <x:v>VTR-09</x:v>
      </x:c>
      <x:c r="I553" t="str">
        <x:v>Toyota Hilux</x:v>
      </x:c>
      <x:c r="J553" t="n">
        <x:v>1000</x:v>
      </x:c>
      <x:c r="K553" t="n">
        <x:v>88</x:v>
      </x:c>
      <x:c r="L553" t="n">
        <x:v>88</x:v>
      </x:c>
      <x:c r="M553" t="n">
        <x:v>874.8</x:v>
      </x:c>
      <x:c r="N553" t="n">
        <x:v>35</x:v>
      </x:c>
      <x:c r="O553" s="45" t="n">
        <x:v>1567896</x:v>
      </x:c>
      <x:c r="P553" s="45" t="n">
        <x:v>38500</x:v>
      </x:c>
      <x:c r="Q553" t="str">
        <x:v>Entregue</x:v>
      </x:c>
      <x:c r="R553" t="str">
        <x:v>Transito intenso</x:v>
      </x:c>
      <x:c r="S553" t="str">
        <x:v>Nao</x:v>
      </x:c>
      <x:c r="T553" t="str">
        <x:v>Nao</x:v>
      </x:c>
    </x:row>
    <x:row r="554" ht="19" customHeight="1">
      <x:c r="A554" t="str">
        <x:v>ENT-00553</x:v>
      </x:c>
      <x:c r="B554" s="41" t="n">
        <x:v>46205</x:v>
      </x:c>
      <x:c r="C554" s="41" t="n">
        <x:v>46208</x:v>
      </x:c>
      <x:c r="D554" s="41" t="n">
        <x:v>46208</x:v>
      </x:c>
      <x:c r="E554" t="str">
        <x:v>Mercado Sul, Lda.</x:v>
      </x:c>
      <x:c r="F554" t="str">
        <x:v>Cacuaco</x:v>
      </x:c>
      <x:c r="G554" t="str">
        <x:v>Hélder Miguel</x:v>
      </x:c>
      <x:c r="H554" t="str">
        <x:v>VTR-07</x:v>
      </x:c>
      <x:c r="I554" t="str">
        <x:v>Isuzu NPR</x:v>
      </x:c>
      <x:c r="J554" t="n">
        <x:v>5000</x:v>
      </x:c>
      <x:c r="K554" t="n">
        <x:v>12</x:v>
      </x:c>
      <x:c r="L554" t="n">
        <x:v>12</x:v>
      </x:c>
      <x:c r="M554" t="n">
        <x:v>151</x:v>
      </x:c>
      <x:c r="N554" t="n">
        <x:v>41</x:v>
      </x:c>
      <x:c r="O554" s="45" t="n">
        <x:v>260628</x:v>
      </x:c>
      <x:c r="P554" s="45" t="n">
        <x:v>27000</x:v>
      </x:c>
      <x:c r="Q554" t="str">
        <x:v>Entregue</x:v>
      </x:c>
      <x:c r="R554" t="str"/>
      <x:c r="S554" t="str">
        <x:v>Nao</x:v>
      </x:c>
      <x:c r="T554" t="str">
        <x:v>Nao</x:v>
      </x:c>
    </x:row>
    <x:row r="555" ht="19" customHeight="1">
      <x:c r="A555" t="str">
        <x:v>ENT-00554</x:v>
      </x:c>
      <x:c r="B555" s="41" t="n">
        <x:v>46262</x:v>
      </x:c>
      <x:c r="C555" s="41" t="n">
        <x:v>46265</x:v>
      </x:c>
      <x:c r="D555" s="41" t="n">
        <x:v>46264</x:v>
      </x:c>
      <x:c r="E555" t="str">
        <x:v>Rota Azul, Lda.</x:v>
      </x:c>
      <x:c r="F555" t="str">
        <x:v>Sequele</x:v>
      </x:c>
      <x:c r="G555" t="str">
        <x:v>Jorge Mário</x:v>
      </x:c>
      <x:c r="H555" t="str">
        <x:v>VTR-07</x:v>
      </x:c>
      <x:c r="I555" t="str">
        <x:v>Isuzu NPR</x:v>
      </x:c>
      <x:c r="J555" t="n">
        <x:v>5000</x:v>
      </x:c>
      <x:c r="K555" t="n">
        <x:v>88</x:v>
      </x:c>
      <x:c r="L555" t="n">
        <x:v>88</x:v>
      </x:c>
      <x:c r="M555" t="n">
        <x:v>2287.2</x:v>
      </x:c>
      <x:c r="N555" t="n">
        <x:v>60</x:v>
      </x:c>
      <x:c r="O555" s="45" t="n">
        <x:v>1022208</x:v>
      </x:c>
      <x:c r="P555" s="45" t="n">
        <x:v>70500</x:v>
      </x:c>
      <x:c r="Q555" t="str">
        <x:v>Entregue</x:v>
      </x:c>
      <x:c r="R555" t="str"/>
      <x:c r="S555" t="str">
        <x:v>Nao</x:v>
      </x:c>
      <x:c r="T555" t="str">
        <x:v>Nao</x:v>
      </x:c>
    </x:row>
    <x:row r="556" ht="19" customHeight="1">
      <x:c r="A556" t="str">
        <x:v>ENT-00555</x:v>
      </x:c>
      <x:c r="B556" s="41" t="n">
        <x:v>46259</x:v>
      </x:c>
      <x:c r="C556" s="41" t="n">
        <x:v>46261</x:v>
      </x:c>
      <x:c r="D556" s="41" t="n">
        <x:v>46260</x:v>
      </x:c>
      <x:c r="E556" t="str">
        <x:v>Casa Horizonte, Lda.</x:v>
      </x:c>
      <x:c r="F556" t="str">
        <x:v>Camama</x:v>
      </x:c>
      <x:c r="G556" t="str">
        <x:v>Dário Joaquim</x:v>
      </x:c>
      <x:c r="H556" t="str">
        <x:v>VTR-07</x:v>
      </x:c>
      <x:c r="I556" t="str">
        <x:v>Isuzu NPR</x:v>
      </x:c>
      <x:c r="J556" t="n">
        <x:v>5000</x:v>
      </x:c>
      <x:c r="K556" t="n">
        <x:v>42</x:v>
      </x:c>
      <x:c r="L556" t="n">
        <x:v>42</x:v>
      </x:c>
      <x:c r="M556" t="n">
        <x:v>1380.7</x:v>
      </x:c>
      <x:c r="N556" t="n">
        <x:v>25</x:v>
      </x:c>
      <x:c r="O556" s="45" t="n">
        <x:v>293916</x:v>
      </x:c>
      <x:c r="P556" s="45" t="n">
        <x:v>39500</x:v>
      </x:c>
      <x:c r="Q556" t="str">
        <x:v>Entregue</x:v>
      </x:c>
      <x:c r="R556" t="str"/>
      <x:c r="S556" t="str">
        <x:v>Nao</x:v>
      </x:c>
      <x:c r="T556" t="str">
        <x:v>Nao</x:v>
      </x:c>
    </x:row>
    <x:row r="557" ht="19" customHeight="1">
      <x:c r="A557" t="str">
        <x:v>ENT-00556</x:v>
      </x:c>
      <x:c r="B557" s="41" t="n">
        <x:v>46204</x:v>
      </x:c>
      <x:c r="C557" s="41" t="n">
        <x:v>46205</x:v>
      </x:c>
      <x:c r="D557" s="41" t="n">
        <x:v>46206</x:v>
      </x:c>
      <x:c r="E557" t="str">
        <x:v>Atlântico Farma, Lda.</x:v>
      </x:c>
      <x:c r="F557" t="str">
        <x:v>Morro Bento</x:v>
      </x:c>
      <x:c r="G557" t="str">
        <x:v>Bernardo Paulo</x:v>
      </x:c>
      <x:c r="H557" t="str">
        <x:v>VTR-08</x:v>
      </x:c>
      <x:c r="I557" t="str">
        <x:v>Toyota Hilux</x:v>
      </x:c>
      <x:c r="J557" t="n">
        <x:v>1000</x:v>
      </x:c>
      <x:c r="K557" t="n">
        <x:v>9</x:v>
      </x:c>
      <x:c r="L557" t="n">
        <x:v>0</x:v>
      </x:c>
      <x:c r="M557" t="n">
        <x:v>180.5</x:v>
      </x:c>
      <x:c r="N557" t="n">
        <x:v>17</x:v>
      </x:c>
      <x:c r="O557" s="45" t="n">
        <x:v>208494</x:v>
      </x:c>
      <x:c r="P557" s="45" t="n">
        <x:v>18000</x:v>
      </x:c>
      <x:c r="Q557" t="str">
        <x:v>Falhada</x:v>
      </x:c>
      <x:c r="R557" t="str">
        <x:v>Endereco incompleto</x:v>
      </x:c>
      <x:c r="S557" t="str">
        <x:v>Nao</x:v>
      </x:c>
      <x:c r="T557" t="str">
        <x:v>Nao</x:v>
      </x:c>
    </x:row>
    <x:row r="558" ht="19" customHeight="1">
      <x:c r="A558" t="str">
        <x:v>ENT-00557</x:v>
      </x:c>
      <x:c r="B558" s="41" t="n">
        <x:v>46260</x:v>
      </x:c>
      <x:c r="C558" s="41" t="n">
        <x:v>46262</x:v>
      </x:c>
      <x:c r="D558" s="41" t="n">
        <x:v>46262</x:v>
      </x:c>
      <x:c r="E558" t="str">
        <x:v>Atlântico Farma, Lda.</x:v>
      </x:c>
      <x:c r="F558" t="str">
        <x:v>Kilamba</x:v>
      </x:c>
      <x:c r="G558" t="str">
        <x:v>Carlos Mateus</x:v>
      </x:c>
      <x:c r="H558" t="str">
        <x:v>VTR-04</x:v>
      </x:c>
      <x:c r="I558" t="str">
        <x:v>Toyota Dyna</x:v>
      </x:c>
      <x:c r="J558" t="n">
        <x:v>3000</x:v>
      </x:c>
      <x:c r="K558" t="n">
        <x:v>64</x:v>
      </x:c>
      <x:c r="L558" t="n">
        <x:v>64</x:v>
      </x:c>
      <x:c r="M558" t="n">
        <x:v>1223.5</x:v>
      </x:c>
      <x:c r="N558" t="n">
        <x:v>37</x:v>
      </x:c>
      <x:c r="O558" s="45" t="n">
        <x:v>793664</x:v>
      </x:c>
      <x:c r="P558" s="45" t="n">
        <x:v>47000</x:v>
      </x:c>
      <x:c r="Q558" t="str">
        <x:v>Entregue</x:v>
      </x:c>
      <x:c r="R558" t="str"/>
      <x:c r="S558" t="str">
        <x:v>Nao</x:v>
      </x:c>
      <x:c r="T558" t="str">
        <x:v>Nao</x:v>
      </x:c>
    </x:row>
    <x:row r="559" ht="19" customHeight="1">
      <x:c r="A559" t="str">
        <x:v>ENT-00558</x:v>
      </x:c>
      <x:c r="B559" s="41" t="n">
        <x:v>46264</x:v>
      </x:c>
      <x:c r="C559" s="41" t="n">
        <x:v>46267</x:v>
      </x:c>
      <x:c r="D559" s="41" t="n">
        <x:v>46267</x:v>
      </x:c>
      <x:c r="E559" t="str">
        <x:v>Cesta Certa, Lda.</x:v>
      </x:c>
      <x:c r="F559" t="str">
        <x:v>Sequele</x:v>
      </x:c>
      <x:c r="G559" t="str">
        <x:v>Elísio António</x:v>
      </x:c>
      <x:c r="H559" t="str">
        <x:v>VTR-03</x:v>
      </x:c>
      <x:c r="I559" t="str">
        <x:v>Toyota Dyna</x:v>
      </x:c>
      <x:c r="J559" t="n">
        <x:v>3000</x:v>
      </x:c>
      <x:c r="K559" t="n">
        <x:v>82</x:v>
      </x:c>
      <x:c r="L559" t="n">
        <x:v>82</x:v>
      </x:c>
      <x:c r="M559" t="n">
        <x:v>781</x:v>
      </x:c>
      <x:c r="N559" t="n">
        <x:v>59</x:v>
      </x:c>
      <x:c r="O559" s="45" t="n">
        <x:v>1835980</x:v>
      </x:c>
      <x:c r="P559" s="45" t="n">
        <x:v>43500</x:v>
      </x:c>
      <x:c r="Q559" t="str">
        <x:v>Entregue</x:v>
      </x:c>
      <x:c r="R559" t="str"/>
      <x:c r="S559" t="str">
        <x:v>Nao</x:v>
      </x:c>
      <x:c r="T559" t="str">
        <x:v>Nao</x:v>
      </x:c>
    </x:row>
    <x:row r="560" ht="19" customHeight="1">
      <x:c r="A560" t="str">
        <x:v>ENT-00559</x:v>
      </x:c>
      <x:c r="B560" s="41" t="n">
        <x:v>46224</x:v>
      </x:c>
      <x:c r="C560" s="41" t="n">
        <x:v>46226</x:v>
      </x:c>
      <x:c r="D560" s="41"/>
      <x:c r="E560" t="str">
        <x:v>Savana Retail, Lda.</x:v>
      </x:c>
      <x:c r="F560" t="str">
        <x:v>Sequele</x:v>
      </x:c>
      <x:c r="G560" t="str">
        <x:v>Elísio António</x:v>
      </x:c>
      <x:c r="H560" t="str">
        <x:v>VTR-05</x:v>
      </x:c>
      <x:c r="I560" t="str">
        <x:v>Hyundai HD65</x:v>
      </x:c>
      <x:c r="J560" t="n">
        <x:v>3500</x:v>
      </x:c>
      <x:c r="K560" t="n">
        <x:v>21</x:v>
      </x:c>
      <x:c r="L560" t="n">
        <x:v>0</x:v>
      </x:c>
      <x:c r="M560" t="n">
        <x:v>232.7</x:v>
      </x:c>
      <x:c r="N560" t="n">
        <x:v>37</x:v>
      </x:c>
      <x:c r="O560" s="45" t="n">
        <x:v>464856</x:v>
      </x:c>
      <x:c r="P560" s="45" t="n">
        <x:v>27500</x:v>
      </x:c>
      <x:c r="Q560" t="str">
        <x:v>Cancelada</x:v>
      </x:c>
      <x:c r="R560" t="str">
        <x:v>Cancelamento do cliente</x:v>
      </x:c>
      <x:c r="S560" t="str">
        <x:v>Nao</x:v>
      </x:c>
      <x:c r="T560" t="str">
        <x:v>Nao</x:v>
      </x:c>
    </x:row>
    <x:row r="561" ht="19" customHeight="1">
      <x:c r="A561" t="str">
        <x:v>ENT-00560</x:v>
      </x:c>
      <x:c r="B561" s="41" t="n">
        <x:v>46251</x:v>
      </x:c>
      <x:c r="C561" s="41" t="n">
        <x:v>46253</x:v>
      </x:c>
      <x:c r="D561" s="41" t="n">
        <x:v>46253</x:v>
      </x:c>
      <x:c r="E561" t="str">
        <x:v>Mundo Fresco, Lda.</x:v>
      </x:c>
      <x:c r="F561" t="str">
        <x:v>Viana</x:v>
      </x:c>
      <x:c r="G561" t="str">
        <x:v>Gilberto José</x:v>
      </x:c>
      <x:c r="H561" t="str">
        <x:v>VTR-07</x:v>
      </x:c>
      <x:c r="I561" t="str">
        <x:v>Isuzu NPR</x:v>
      </x:c>
      <x:c r="J561" t="n">
        <x:v>5000</x:v>
      </x:c>
      <x:c r="K561" t="n">
        <x:v>41</x:v>
      </x:c>
      <x:c r="L561" t="n">
        <x:v>41</x:v>
      </x:c>
      <x:c r="M561" t="n">
        <x:v>631.9</x:v>
      </x:c>
      <x:c r="N561" t="n">
        <x:v>26</x:v>
      </x:c>
      <x:c r="O561" s="45" t="n">
        <x:v>589990</x:v>
      </x:c>
      <x:c r="P561" s="45" t="n">
        <x:v>28500</x:v>
      </x:c>
      <x:c r="Q561" t="str">
        <x:v>Entregue</x:v>
      </x:c>
      <x:c r="R561" t="str"/>
      <x:c r="S561" t="str">
        <x:v>Nao</x:v>
      </x:c>
      <x:c r="T561" t="str">
        <x:v>Nao</x:v>
      </x:c>
    </x:row>
    <x:row r="562" ht="19" customHeight="1">
      <x:c r="A562" t="str">
        <x:v>ENT-00561</x:v>
      </x:c>
      <x:c r="B562" s="41" t="n">
        <x:v>46264</x:v>
      </x:c>
      <x:c r="C562" s="41" t="n">
        <x:v>46267</x:v>
      </x:c>
      <x:c r="D562" s="41" t="n">
        <x:v>46267</x:v>
      </x:c>
      <x:c r="E562" t="str">
        <x:v>Prime Stock, Lda.</x:v>
      </x:c>
      <x:c r="F562" t="str">
        <x:v>Kikuxi</x:v>
      </x:c>
      <x:c r="G562" t="str">
        <x:v>Hélder Miguel</x:v>
      </x:c>
      <x:c r="H562" t="str">
        <x:v>VTR-02</x:v>
      </x:c>
      <x:c r="I562" t="str">
        <x:v>Kia K2700</x:v>
      </x:c>
      <x:c r="J562" t="n">
        <x:v>1500</x:v>
      </x:c>
      <x:c r="K562" t="n">
        <x:v>69</x:v>
      </x:c>
      <x:c r="L562" t="n">
        <x:v>69</x:v>
      </x:c>
      <x:c r="M562" t="n">
        <x:v>855.3</x:v>
      </x:c>
      <x:c r="N562" t="n">
        <x:v>44</x:v>
      </x:c>
      <x:c r="O562" s="45" t="n">
        <x:v>1681461</x:v>
      </x:c>
      <x:c r="P562" s="45" t="n">
        <x:v>38000</x:v>
      </x:c>
      <x:c r="Q562" t="str">
        <x:v>Entregue</x:v>
      </x:c>
      <x:c r="R562" t="str"/>
      <x:c r="S562" t="str">
        <x:v>Nao</x:v>
      </x:c>
      <x:c r="T562" t="str">
        <x:v>Nao</x:v>
      </x:c>
    </x:row>
    <x:row r="563" ht="19" customHeight="1">
      <x:c r="A563" t="str">
        <x:v>ENT-00562</x:v>
      </x:c>
      <x:c r="B563" s="41" t="n">
        <x:v>46261</x:v>
      </x:c>
      <x:c r="C563" s="41" t="n">
        <x:v>46263</x:v>
      </x:c>
      <x:c r="D563" s="41" t="n">
        <x:v>46263</x:v>
      </x:c>
      <x:c r="E563" t="str">
        <x:v>Bem-Estar Higiene, Lda.</x:v>
      </x:c>
      <x:c r="F563" t="str">
        <x:v>Morro Bento</x:v>
      </x:c>
      <x:c r="G563" t="str">
        <x:v>Gilberto José</x:v>
      </x:c>
      <x:c r="H563" t="str">
        <x:v>VTR-09</x:v>
      </x:c>
      <x:c r="I563" t="str">
        <x:v>Toyota Hilux</x:v>
      </x:c>
      <x:c r="J563" t="n">
        <x:v>1000</x:v>
      </x:c>
      <x:c r="K563" t="n">
        <x:v>70</x:v>
      </x:c>
      <x:c r="L563" t="n">
        <x:v>70</x:v>
      </x:c>
      <x:c r="M563" t="n">
        <x:v>600.6</x:v>
      </x:c>
      <x:c r="N563" t="n">
        <x:v>28</x:v>
      </x:c>
      <x:c r="O563" s="45" t="n">
        <x:v>562590</x:v>
      </x:c>
      <x:c r="P563" s="45" t="n">
        <x:v>26500</x:v>
      </x:c>
      <x:c r="Q563" t="str">
        <x:v>Entregue</x:v>
      </x:c>
      <x:c r="R563" t="str"/>
      <x:c r="S563" t="str">
        <x:v>Nao</x:v>
      </x:c>
      <x:c r="T563" t="str">
        <x:v>Nao</x:v>
      </x:c>
    </x:row>
    <x:row r="564" ht="19" customHeight="1">
      <x:c r="A564" t="str">
        <x:v>ENT-00563</x:v>
      </x:c>
      <x:c r="B564" s="41" t="n">
        <x:v>46249</x:v>
      </x:c>
      <x:c r="C564" s="41" t="n">
        <x:v>46251</x:v>
      </x:c>
      <x:c r="D564" s="41" t="n">
        <x:v>46254</x:v>
      </x:c>
      <x:c r="E564" t="str">
        <x:v>Nova Rota Comercial, Lda.</x:v>
      </x:c>
      <x:c r="F564" t="str">
        <x:v>Morro Bento</x:v>
      </x:c>
      <x:c r="G564" t="str">
        <x:v>Lucas Tomás</x:v>
      </x:c>
      <x:c r="H564" t="str">
        <x:v>VTR-12</x:v>
      </x:c>
      <x:c r="I564" t="str">
        <x:v>Hyundai H100</x:v>
      </x:c>
      <x:c r="J564" t="n">
        <x:v>1300</x:v>
      </x:c>
      <x:c r="K564" t="n">
        <x:v>69</x:v>
      </x:c>
      <x:c r="L564" t="n">
        <x:v>0</x:v>
      </x:c>
      <x:c r="M564" t="n">
        <x:v>808.1</x:v>
      </x:c>
      <x:c r="N564" t="n">
        <x:v>21</x:v>
      </x:c>
      <x:c r="O564" s="45" t="n">
        <x:v>347622</x:v>
      </x:c>
      <x:c r="P564" s="45" t="n">
        <x:v>33500</x:v>
      </x:c>
      <x:c r="Q564" t="str">
        <x:v>Falhada</x:v>
      </x:c>
      <x:c r="R564" t="str">
        <x:v>Avaria da viatura</x:v>
      </x:c>
      <x:c r="S564" t="str">
        <x:v>Nao</x:v>
      </x:c>
      <x:c r="T564" t="str">
        <x:v>Nao</x:v>
      </x:c>
    </x:row>
    <x:row r="565" ht="19" customHeight="1">
      <x:c r="A565" t="str">
        <x:v>ENT-00564</x:v>
      </x:c>
      <x:c r="B565" s="41" t="n">
        <x:v>46234</x:v>
      </x:c>
      <x:c r="C565" s="41" t="n">
        <x:v>46236</x:v>
      </x:c>
      <x:c r="D565" s="41" t="n">
        <x:v>46236</x:v>
      </x:c>
      <x:c r="E565" t="str">
        <x:v>Luanda Office Supply, Lda.</x:v>
      </x:c>
      <x:c r="F565" t="str">
        <x:v>Camama</x:v>
      </x:c>
      <x:c r="G565" t="str">
        <x:v>Isaías Pedro</x:v>
      </x:c>
      <x:c r="H565" t="str">
        <x:v>VTR-03</x:v>
      </x:c>
      <x:c r="I565" t="str">
        <x:v>Toyota Dyna</x:v>
      </x:c>
      <x:c r="J565" t="n">
        <x:v>3000</x:v>
      </x:c>
      <x:c r="K565" t="n">
        <x:v>43</x:v>
      </x:c>
      <x:c r="L565" t="n">
        <x:v>43</x:v>
      </x:c>
      <x:c r="M565" t="n">
        <x:v>494.7</x:v>
      </x:c>
      <x:c r="N565" t="n">
        <x:v>32</x:v>
      </x:c>
      <x:c r="O565" s="45" t="n">
        <x:v>677895</x:v>
      </x:c>
      <x:c r="P565" s="45" t="n">
        <x:v>28500</x:v>
      </x:c>
      <x:c r="Q565" t="str">
        <x:v>Entregue</x:v>
      </x:c>
      <x:c r="R565" t="str"/>
      <x:c r="S565" t="str">
        <x:v>Nao</x:v>
      </x:c>
      <x:c r="T565" t="str">
        <x:v>Nao</x:v>
      </x:c>
    </x:row>
    <x:row r="566" ht="19" customHeight="1">
      <x:c r="A566" t="str">
        <x:v>ENT-00565</x:v>
      </x:c>
      <x:c r="B566" s="41" t="n">
        <x:v>46258</x:v>
      </x:c>
      <x:c r="C566" s="41" t="n">
        <x:v>46260</x:v>
      </x:c>
      <x:c r="D566" s="41" t="n">
        <x:v>46260</x:v>
      </x:c>
      <x:c r="E566" t="str">
        <x:v>Bem-Estar Higiene, Lda.</x:v>
      </x:c>
      <x:c r="F566" t="str">
        <x:v>Zango</x:v>
      </x:c>
      <x:c r="G566" t="str">
        <x:v>Hélder Miguel</x:v>
      </x:c>
      <x:c r="H566" t="str">
        <x:v>VTR-02</x:v>
      </x:c>
      <x:c r="I566" t="str">
        <x:v>Kia K2700</x:v>
      </x:c>
      <x:c r="J566" t="n">
        <x:v>1500</x:v>
      </x:c>
      <x:c r="K566" t="n">
        <x:v>62</x:v>
      </x:c>
      <x:c r="L566" t="n">
        <x:v>62</x:v>
      </x:c>
      <x:c r="M566" t="n">
        <x:v>925.8</x:v>
      </x:c>
      <x:c r="N566" t="n">
        <x:v>34</x:v>
      </x:c>
      <x:c r="O566" s="45" t="n">
        <x:v>1237768</x:v>
      </x:c>
      <x:c r="P566" s="45" t="n">
        <x:v>40500</x:v>
      </x:c>
      <x:c r="Q566" t="str">
        <x:v>Entregue</x:v>
      </x:c>
      <x:c r="R566" t="str"/>
      <x:c r="S566" t="str">
        <x:v>Nao</x:v>
      </x:c>
      <x:c r="T566" t="str">
        <x:v>Nao</x:v>
      </x:c>
    </x:row>
    <x:row r="567" ht="19" customHeight="1">
      <x:c r="A567" t="str">
        <x:v>ENT-00566</x:v>
      </x:c>
      <x:c r="B567" s="41" t="n">
        <x:v>46216</x:v>
      </x:c>
      <x:c r="C567" s="41" t="n">
        <x:v>46218</x:v>
      </x:c>
      <x:c r="D567" s="41" t="n">
        <x:v>46219</x:v>
      </x:c>
      <x:c r="E567" t="str">
        <x:v>Ponto Logístico, Lda.</x:v>
      </x:c>
      <x:c r="F567" t="str">
        <x:v>Camama</x:v>
      </x:c>
      <x:c r="G567" t="str">
        <x:v>Hélder Miguel</x:v>
      </x:c>
      <x:c r="H567" t="str">
        <x:v>VTR-03</x:v>
      </x:c>
      <x:c r="I567" t="str">
        <x:v>Toyota Dyna</x:v>
      </x:c>
      <x:c r="J567" t="n">
        <x:v>3000</x:v>
      </x:c>
      <x:c r="K567" t="n">
        <x:v>15</x:v>
      </x:c>
      <x:c r="L567" t="n">
        <x:v>15</x:v>
      </x:c>
      <x:c r="M567" t="n">
        <x:v>108.3</x:v>
      </x:c>
      <x:c r="N567" t="n">
        <x:v>20</x:v>
      </x:c>
      <x:c r="O567" s="45" t="n">
        <x:v>219060</x:v>
      </x:c>
      <x:c r="P567" s="45" t="n">
        <x:v>18000</x:v>
      </x:c>
      <x:c r="Q567" t="str">
        <x:v>Entregue</x:v>
      </x:c>
      <x:c r="R567" t="str">
        <x:v>Atraso no carregamento</x:v>
      </x:c>
      <x:c r="S567" t="str">
        <x:v>Nao</x:v>
      </x:c>
      <x:c r="T567" t="str">
        <x:v>Nao</x:v>
      </x:c>
    </x:row>
    <x:row r="568" ht="19" customHeight="1">
      <x:c r="A568" t="str">
        <x:v>ENT-00567</x:v>
      </x:c>
      <x:c r="B568" s="41" t="n">
        <x:v>46217</x:v>
      </x:c>
      <x:c r="C568" s="41" t="n">
        <x:v>46218</x:v>
      </x:c>
      <x:c r="D568" s="41" t="n">
        <x:v>46219</x:v>
      </x:c>
      <x:c r="E568" t="str">
        <x:v>Prime Stock, Lda.</x:v>
      </x:c>
      <x:c r="F568" t="str">
        <x:v>Maianga</x:v>
      </x:c>
      <x:c r="G568" t="str">
        <x:v>Kito Alberto</x:v>
      </x:c>
      <x:c r="H568" t="str">
        <x:v>VTR-12</x:v>
      </x:c>
      <x:c r="I568" t="str">
        <x:v>Hyundai H100</x:v>
      </x:c>
      <x:c r="J568" t="n">
        <x:v>1300</x:v>
      </x:c>
      <x:c r="K568" t="n">
        <x:v>45</x:v>
      </x:c>
      <x:c r="L568" t="n">
        <x:v>45</x:v>
      </x:c>
      <x:c r="M568" t="n">
        <x:v>1114.5</x:v>
      </x:c>
      <x:c r="N568" t="n">
        <x:v>11</x:v>
      </x:c>
      <x:c r="O568" s="45" t="n">
        <x:v>315675</x:v>
      </x:c>
      <x:c r="P568" s="45" t="n">
        <x:v>32500</x:v>
      </x:c>
      <x:c r="Q568" t="str">
        <x:v>Entregue</x:v>
      </x:c>
      <x:c r="R568" t="str">
        <x:v>Avaria da viatura</x:v>
      </x:c>
      <x:c r="S568" t="str">
        <x:v>Nao</x:v>
      </x:c>
      <x:c r="T568" t="str">
        <x:v>Nao</x:v>
      </x:c>
    </x:row>
    <x:row r="569" ht="19" customHeight="1">
      <x:c r="A569" t="str">
        <x:v>ENT-00568</x:v>
      </x:c>
      <x:c r="B569" s="41" t="n">
        <x:v>46211</x:v>
      </x:c>
      <x:c r="C569" s="41" t="n">
        <x:v>46212</x:v>
      </x:c>
      <x:c r="D569" s="41" t="n">
        <x:v>46212</x:v>
      </x:c>
      <x:c r="E569" t="str">
        <x:v>Mundo Fresco, Lda.</x:v>
      </x:c>
      <x:c r="F569" t="str">
        <x:v>Maianga</x:v>
      </x:c>
      <x:c r="G569" t="str">
        <x:v>Elísio António</x:v>
      </x:c>
      <x:c r="H569" t="str">
        <x:v>VTR-03</x:v>
      </x:c>
      <x:c r="I569" t="str">
        <x:v>Toyota Dyna</x:v>
      </x:c>
      <x:c r="J569" t="n">
        <x:v>3000</x:v>
      </x:c>
      <x:c r="K569" t="n">
        <x:v>81</x:v>
      </x:c>
      <x:c r="L569" t="n">
        <x:v>81</x:v>
      </x:c>
      <x:c r="M569" t="n">
        <x:v>919.1</x:v>
      </x:c>
      <x:c r="N569" t="n">
        <x:v>15</x:v>
      </x:c>
      <x:c r="O569" s="45" t="n">
        <x:v>1803951</x:v>
      </x:c>
      <x:c r="P569" s="45" t="n">
        <x:v>29000</x:v>
      </x:c>
      <x:c r="Q569" t="str">
        <x:v>Entregue</x:v>
      </x:c>
      <x:c r="R569" t="str"/>
      <x:c r="S569" t="str">
        <x:v>Nao</x:v>
      </x:c>
      <x:c r="T569" t="str">
        <x:v>Nao</x:v>
      </x:c>
    </x:row>
    <x:row r="570" ht="19" customHeight="1">
      <x:c r="A570" t="str">
        <x:v>ENT-00569</x:v>
      </x:c>
      <x:c r="B570" s="41" t="n">
        <x:v>46240</x:v>
      </x:c>
      <x:c r="C570" s="41" t="n">
        <x:v>46242</x:v>
      </x:c>
      <x:c r="D570" s="41" t="n">
        <x:v>46244</x:v>
      </x:c>
      <x:c r="E570" t="str">
        <x:v>Casa Horizonte, Lda.</x:v>
      </x:c>
      <x:c r="F570" t="str">
        <x:v>Morro Bento</x:v>
      </x:c>
      <x:c r="G570" t="str">
        <x:v>Elísio António</x:v>
      </x:c>
      <x:c r="H570" t="str">
        <x:v>VTR-08</x:v>
      </x:c>
      <x:c r="I570" t="str">
        <x:v>Toyota Hilux</x:v>
      </x:c>
      <x:c r="J570" t="n">
        <x:v>1000</x:v>
      </x:c>
      <x:c r="K570" t="n">
        <x:v>60</x:v>
      </x:c>
      <x:c r="L570" t="n">
        <x:v>60</x:v>
      </x:c>
      <x:c r="M570" t="n">
        <x:v>660.5</x:v>
      </x:c>
      <x:c r="N570" t="n">
        <x:v>21</x:v>
      </x:c>
      <x:c r="O570" s="45" t="n">
        <x:v>1353300</x:v>
      </x:c>
      <x:c r="P570" s="45" t="n">
        <x:v>27500</x:v>
      </x:c>
      <x:c r="Q570" t="str">
        <x:v>Entregue</x:v>
      </x:c>
      <x:c r="R570" t="str">
        <x:v>Chuva/condicao da via</x:v>
      </x:c>
      <x:c r="S570" t="str">
        <x:v>Nao</x:v>
      </x:c>
      <x:c r="T570" t="str">
        <x:v>Nao</x:v>
      </x:c>
    </x:row>
    <x:row r="571" ht="19" customHeight="1">
      <x:c r="A571" t="str">
        <x:v>ENT-00570</x:v>
      </x:c>
      <x:c r="B571" s="41" t="n">
        <x:v>46217</x:v>
      </x:c>
      <x:c r="C571" s="41" t="n">
        <x:v>46218</x:v>
      </x:c>
      <x:c r="D571" s="41" t="n">
        <x:v>46218</x:v>
      </x:c>
      <x:c r="E571" t="str">
        <x:v>Atlântico Farma, Lda.</x:v>
      </x:c>
      <x:c r="F571" t="str">
        <x:v>Viana</x:v>
      </x:c>
      <x:c r="G571" t="str">
        <x:v>Carlos Mateus</x:v>
      </x:c>
      <x:c r="H571" t="str">
        <x:v>VTR-01</x:v>
      </x:c>
      <x:c r="I571" t="str">
        <x:v>Kia K2700</x:v>
      </x:c>
      <x:c r="J571" t="n">
        <x:v>1500</x:v>
      </x:c>
      <x:c r="K571" t="n">
        <x:v>54</x:v>
      </x:c>
      <x:c r="L571" t="n">
        <x:v>54</x:v>
      </x:c>
      <x:c r="M571" t="n">
        <x:v>690.3</x:v>
      </x:c>
      <x:c r="N571" t="n">
        <x:v>18</x:v>
      </x:c>
      <x:c r="O571" s="45" t="n">
        <x:v>829440</x:v>
      </x:c>
      <x:c r="P571" s="45" t="n">
        <x:v>29000</x:v>
      </x:c>
      <x:c r="Q571" t="str">
        <x:v>Entregue</x:v>
      </x:c>
      <x:c r="R571" t="str"/>
      <x:c r="S571" t="str">
        <x:v>Nao</x:v>
      </x:c>
      <x:c r="T571" t="str">
        <x:v>Nao</x:v>
      </x:c>
    </x:row>
    <x:row r="572" ht="19" customHeight="1">
      <x:c r="A572" t="str">
        <x:v>ENT-00571</x:v>
      </x:c>
      <x:c r="B572" s="41" t="n">
        <x:v>46225</x:v>
      </x:c>
      <x:c r="C572" s="41" t="n">
        <x:v>46227</x:v>
      </x:c>
      <x:c r="D572" s="41" t="n">
        <x:v>46227</x:v>
      </x:c>
      <x:c r="E572" t="str">
        <x:v>Atlântico Farma, Lda.</x:v>
      </x:c>
      <x:c r="F572" t="str">
        <x:v>Cacuaco</x:v>
      </x:c>
      <x:c r="G572" t="str">
        <x:v>Adriano Manuel</x:v>
      </x:c>
      <x:c r="H572" t="str">
        <x:v>VTR-03</x:v>
      </x:c>
      <x:c r="I572" t="str">
        <x:v>Toyota Dyna</x:v>
      </x:c>
      <x:c r="J572" t="n">
        <x:v>3000</x:v>
      </x:c>
      <x:c r="K572" t="n">
        <x:v>78</x:v>
      </x:c>
      <x:c r="L572" t="n">
        <x:v>78</x:v>
      </x:c>
      <x:c r="M572" t="n">
        <x:v>1272.2</x:v>
      </x:c>
      <x:c r="N572" t="n">
        <x:v>29</x:v>
      </x:c>
      <x:c r="O572" s="45" t="n">
        <x:v>1711788</x:v>
      </x:c>
      <x:c r="P572" s="45" t="n">
        <x:v>37500</x:v>
      </x:c>
      <x:c r="Q572" t="str">
        <x:v>Entregue</x:v>
      </x:c>
      <x:c r="R572" t="str"/>
      <x:c r="S572" t="str">
        <x:v>Nao</x:v>
      </x:c>
      <x:c r="T572" t="str">
        <x:v>Nao</x:v>
      </x:c>
    </x:row>
    <x:row r="573" ht="19" customHeight="1">
      <x:c r="A573" t="str">
        <x:v>ENT-00572</x:v>
      </x:c>
      <x:c r="B573" s="41" t="n">
        <x:v>46251</x:v>
      </x:c>
      <x:c r="C573" s="41" t="n">
        <x:v>46253</x:v>
      </x:c>
      <x:c r="D573" s="41" t="n">
        <x:v>46253</x:v>
      </x:c>
      <x:c r="E573" t="str">
        <x:v>Mercado Sul, Lda.</x:v>
      </x:c>
      <x:c r="F573" t="str">
        <x:v>Viana</x:v>
      </x:c>
      <x:c r="G573" t="str">
        <x:v>Félix Domingos</x:v>
      </x:c>
      <x:c r="H573" t="str">
        <x:v>VTR-09</x:v>
      </x:c>
      <x:c r="I573" t="str">
        <x:v>Toyota Hilux</x:v>
      </x:c>
      <x:c r="J573" t="n">
        <x:v>1000</x:v>
      </x:c>
      <x:c r="K573" t="n">
        <x:v>18</x:v>
      </x:c>
      <x:c r="L573" t="n">
        <x:v>18</x:v>
      </x:c>
      <x:c r="M573" t="n">
        <x:v>395.8</x:v>
      </x:c>
      <x:c r="N573" t="n">
        <x:v>20</x:v>
      </x:c>
      <x:c r="O573" s="45" t="n">
        <x:v>399042</x:v>
      </x:c>
      <x:c r="P573" s="45" t="n">
        <x:v>20500</x:v>
      </x:c>
      <x:c r="Q573" t="str">
        <x:v>Entregue</x:v>
      </x:c>
      <x:c r="R573" t="str"/>
      <x:c r="S573" t="str">
        <x:v>Nao</x:v>
      </x:c>
      <x:c r="T573" t="str">
        <x:v>Nao</x:v>
      </x:c>
    </x:row>
    <x:row r="574" ht="19" customHeight="1">
      <x:c r="A574" t="str">
        <x:v>ENT-00573</x:v>
      </x:c>
      <x:c r="B574" s="41" t="n">
        <x:v>46250</x:v>
      </x:c>
      <x:c r="C574" s="41" t="n">
        <x:v>46252</x:v>
      </x:c>
      <x:c r="D574" s="41" t="n">
        <x:v>46252</x:v>
      </x:c>
      <x:c r="E574" t="str">
        <x:v>Mercado Sul, Lda.</x:v>
      </x:c>
      <x:c r="F574" t="str">
        <x:v>Benfica</x:v>
      </x:c>
      <x:c r="G574" t="str">
        <x:v>Kito Alberto</x:v>
      </x:c>
      <x:c r="H574" t="str">
        <x:v>VTR-06</x:v>
      </x:c>
      <x:c r="I574" t="str">
        <x:v>Isuzu NPR</x:v>
      </x:c>
      <x:c r="J574" t="n">
        <x:v>5000</x:v>
      </x:c>
      <x:c r="K574" t="n">
        <x:v>83</x:v>
      </x:c>
      <x:c r="L574" t="n">
        <x:v>83</x:v>
      </x:c>
      <x:c r="M574" t="n">
        <x:v>1803.7</x:v>
      </x:c>
      <x:c r="N574" t="n">
        <x:v>38</x:v>
      </x:c>
      <x:c r="O574" s="45" t="n">
        <x:v>394499</x:v>
      </x:c>
      <x:c r="P574" s="45" t="n">
        <x:v>56000</x:v>
      </x:c>
      <x:c r="Q574" t="str">
        <x:v>Entregue</x:v>
      </x:c>
      <x:c r="R574" t="str"/>
      <x:c r="S574" t="str">
        <x:v>Nao</x:v>
      </x:c>
      <x:c r="T574" t="str">
        <x:v>Nao</x:v>
      </x:c>
    </x:row>
    <x:row r="575" ht="19" customHeight="1">
      <x:c r="A575" t="str">
        <x:v>ENT-00574</x:v>
      </x:c>
      <x:c r="B575" s="41" t="n">
        <x:v>46258</x:v>
      </x:c>
      <x:c r="C575" s="41" t="n">
        <x:v>46260</x:v>
      </x:c>
      <x:c r="D575" s="41" t="n">
        <x:v>46260</x:v>
      </x:c>
      <x:c r="E575" t="str">
        <x:v>N'gola Market, Lda.</x:v>
      </x:c>
      <x:c r="F575" t="str">
        <x:v>Viana</x:v>
      </x:c>
      <x:c r="G575" t="str">
        <x:v>Bernardo Paulo</x:v>
      </x:c>
      <x:c r="H575" t="str">
        <x:v>VTR-05</x:v>
      </x:c>
      <x:c r="I575" t="str">
        <x:v>Hyundai HD65</x:v>
      </x:c>
      <x:c r="J575" t="n">
        <x:v>3500</x:v>
      </x:c>
      <x:c r="K575" t="n">
        <x:v>68</x:v>
      </x:c>
      <x:c r="L575" t="n">
        <x:v>68</x:v>
      </x:c>
      <x:c r="M575" t="n">
        <x:v>1843.9</x:v>
      </x:c>
      <x:c r="N575" t="n">
        <x:v>23</x:v>
      </x:c>
      <x:c r="O575" s="45" t="n">
        <x:v>661368</x:v>
      </x:c>
      <x:c r="P575" s="45" t="n">
        <x:v>43500</x:v>
      </x:c>
      <x:c r="Q575" t="str">
        <x:v>Entregue</x:v>
      </x:c>
      <x:c r="R575" t="str"/>
      <x:c r="S575" t="str">
        <x:v>Nao</x:v>
      </x:c>
      <x:c r="T575" t="str">
        <x:v>Nao</x:v>
      </x:c>
    </x:row>
    <x:row r="576" ht="19" customHeight="1">
      <x:c r="A576" t="str">
        <x:v>ENT-00575</x:v>
      </x:c>
      <x:c r="B576" s="41" t="n">
        <x:v>46237</x:v>
      </x:c>
      <x:c r="C576" s="41" t="n">
        <x:v>46239</x:v>
      </x:c>
      <x:c r="D576" s="41" t="n">
        <x:v>46239</x:v>
      </x:c>
      <x:c r="E576" t="str">
        <x:v>Prime Stock, Lda.</x:v>
      </x:c>
      <x:c r="F576" t="str">
        <x:v>Viana</x:v>
      </x:c>
      <x:c r="G576" t="str">
        <x:v>Lucas Tomás</x:v>
      </x:c>
      <x:c r="H576" t="str">
        <x:v>VTR-08</x:v>
      </x:c>
      <x:c r="I576" t="str">
        <x:v>Toyota Hilux</x:v>
      </x:c>
      <x:c r="J576" t="n">
        <x:v>1000</x:v>
      </x:c>
      <x:c r="K576" t="n">
        <x:v>68</x:v>
      </x:c>
      <x:c r="L576" t="n">
        <x:v>68</x:v>
      </x:c>
      <x:c r="M576" t="n">
        <x:v>862.8</x:v>
      </x:c>
      <x:c r="N576" t="n">
        <x:v>38</x:v>
      </x:c>
      <x:c r="O576" s="45" t="n">
        <x:v>252756</x:v>
      </x:c>
      <x:c r="P576" s="45" t="n">
        <x:v>34500</x:v>
      </x:c>
      <x:c r="Q576" t="str">
        <x:v>Entregue</x:v>
      </x:c>
      <x:c r="R576" t="str"/>
      <x:c r="S576" t="str">
        <x:v>Nao</x:v>
      </x:c>
      <x:c r="T576" t="str">
        <x:v>Nao</x:v>
      </x:c>
    </x:row>
    <x:row r="577" ht="19" customHeight="1">
      <x:c r="A577" t="str">
        <x:v>ENT-00576</x:v>
      </x:c>
      <x:c r="B577" s="41" t="n">
        <x:v>46236</x:v>
      </x:c>
      <x:c r="C577" s="41" t="n">
        <x:v>46237</x:v>
      </x:c>
      <x:c r="D577" s="41" t="n">
        <x:v>46238</x:v>
      </x:c>
      <x:c r="E577" t="str">
        <x:v>Atlântico Farma, Lda.</x:v>
      </x:c>
      <x:c r="F577" t="str">
        <x:v>Ingombota</x:v>
      </x:c>
      <x:c r="G577" t="str">
        <x:v>Lucas Tomás</x:v>
      </x:c>
      <x:c r="H577" t="str">
        <x:v>VTR-03</x:v>
      </x:c>
      <x:c r="I577" t="str">
        <x:v>Toyota Dyna</x:v>
      </x:c>
      <x:c r="J577" t="n">
        <x:v>3000</x:v>
      </x:c>
      <x:c r="K577" t="n">
        <x:v>74</x:v>
      </x:c>
      <x:c r="L577" t="n">
        <x:v>74</x:v>
      </x:c>
      <x:c r="M577" t="n">
        <x:v>2144.7</x:v>
      </x:c>
      <x:c r="N577" t="n">
        <x:v>11</x:v>
      </x:c>
      <x:c r="O577" s="45" t="n">
        <x:v>1268064</x:v>
      </x:c>
      <x:c r="P577" s="45" t="n">
        <x:v>53500</x:v>
      </x:c>
      <x:c r="Q577" t="str">
        <x:v>Entregue</x:v>
      </x:c>
      <x:c r="R577" t="str">
        <x:v>Chuva/condicao da via</x:v>
      </x:c>
      <x:c r="S577" t="str">
        <x:v>Nao</x:v>
      </x:c>
      <x:c r="T577" t="str">
        <x:v>Nao</x:v>
      </x:c>
    </x:row>
    <x:row r="578" ht="19" customHeight="1">
      <x:c r="A578" t="str">
        <x:v>ENT-00577</x:v>
      </x:c>
      <x:c r="B578" s="41" t="n">
        <x:v>46245</x:v>
      </x:c>
      <x:c r="C578" s="41" t="n">
        <x:v>46246</x:v>
      </x:c>
      <x:c r="D578" s="41" t="n">
        <x:v>46246</x:v>
      </x:c>
      <x:c r="E578" t="str">
        <x:v>Cesta Certa, Lda.</x:v>
      </x:c>
      <x:c r="F578" t="str">
        <x:v>Ingombota</x:v>
      </x:c>
      <x:c r="G578" t="str">
        <x:v>Carlos Mateus</x:v>
      </x:c>
      <x:c r="H578" t="str">
        <x:v>VTR-09</x:v>
      </x:c>
      <x:c r="I578" t="str">
        <x:v>Toyota Hilux</x:v>
      </x:c>
      <x:c r="J578" t="n">
        <x:v>1000</x:v>
      </x:c>
      <x:c r="K578" t="n">
        <x:v>47</x:v>
      </x:c>
      <x:c r="L578" t="n">
        <x:v>47</x:v>
      </x:c>
      <x:c r="M578" t="n">
        <x:v>489.4</x:v>
      </x:c>
      <x:c r="N578" t="n">
        <x:v>11</x:v>
      </x:c>
      <x:c r="O578" s="45" t="n">
        <x:v>806473</x:v>
      </x:c>
      <x:c r="P578" s="45" t="n">
        <x:v>21000</x:v>
      </x:c>
      <x:c r="Q578" t="str">
        <x:v>Entregue</x:v>
      </x:c>
      <x:c r="R578" t="str"/>
      <x:c r="S578" t="str">
        <x:v>Nao</x:v>
      </x:c>
      <x:c r="T578" t="str">
        <x:v>Nao</x:v>
      </x:c>
    </x:row>
    <x:row r="579" ht="19" customHeight="1">
      <x:c r="A579" t="str">
        <x:v>ENT-00578</x:v>
      </x:c>
      <x:c r="B579" s="41" t="n">
        <x:v>46211</x:v>
      </x:c>
      <x:c r="C579" s="41" t="n">
        <x:v>46213</x:v>
      </x:c>
      <x:c r="D579" s="41" t="n">
        <x:v>46213</x:v>
      </x:c>
      <x:c r="E579" t="str">
        <x:v>Via Certa Serviços, Lda.</x:v>
      </x:c>
      <x:c r="F579" t="str">
        <x:v>Camama</x:v>
      </x:c>
      <x:c r="G579" t="str">
        <x:v>Elísio António</x:v>
      </x:c>
      <x:c r="H579" t="str">
        <x:v>VTR-03</x:v>
      </x:c>
      <x:c r="I579" t="str">
        <x:v>Toyota Dyna</x:v>
      </x:c>
      <x:c r="J579" t="n">
        <x:v>3000</x:v>
      </x:c>
      <x:c r="K579" t="n">
        <x:v>90</x:v>
      </x:c>
      <x:c r="L579" t="n">
        <x:v>90</x:v>
      </x:c>
      <x:c r="M579" t="n">
        <x:v>1040.6</x:v>
      </x:c>
      <x:c r="N579" t="n">
        <x:v>31</x:v>
      </x:c>
      <x:c r="O579" s="45" t="n">
        <x:v>2278980</x:v>
      </x:c>
      <x:c r="P579" s="45" t="n">
        <x:v>41000</x:v>
      </x:c>
      <x:c r="Q579" t="str">
        <x:v>Entregue</x:v>
      </x:c>
      <x:c r="R579" t="str"/>
      <x:c r="S579" t="str">
        <x:v>Nao</x:v>
      </x:c>
      <x:c r="T579" t="str">
        <x:v>Nao</x:v>
      </x:c>
    </x:row>
    <x:row r="580" ht="19" customHeight="1">
      <x:c r="A580" t="str">
        <x:v>ENT-00579</x:v>
      </x:c>
      <x:c r="B580" s="41" t="n">
        <x:v>46263</x:v>
      </x:c>
      <x:c r="C580" s="41" t="n">
        <x:v>46265</x:v>
      </x:c>
      <x:c r="D580" s="41" t="n">
        <x:v>46265</x:v>
      </x:c>
      <x:c r="E580" t="str">
        <x:v>Ponto Logístico, Lda.</x:v>
      </x:c>
      <x:c r="F580" t="str">
        <x:v>Kilamba</x:v>
      </x:c>
      <x:c r="G580" t="str">
        <x:v>Jorge Mário</x:v>
      </x:c>
      <x:c r="H580" t="str">
        <x:v>VTR-04</x:v>
      </x:c>
      <x:c r="I580" t="str">
        <x:v>Toyota Dyna</x:v>
      </x:c>
      <x:c r="J580" t="n">
        <x:v>3000</x:v>
      </x:c>
      <x:c r="K580" t="n">
        <x:v>28</x:v>
      </x:c>
      <x:c r="L580" t="n">
        <x:v>28</x:v>
      </x:c>
      <x:c r="M580" t="n">
        <x:v>501</x:v>
      </x:c>
      <x:c r="N580" t="n">
        <x:v>26</x:v>
      </x:c>
      <x:c r="O580" s="45" t="n">
        <x:v>496860</x:v>
      </x:c>
      <x:c r="P580" s="45" t="n">
        <x:v>24000</x:v>
      </x:c>
      <x:c r="Q580" t="str">
        <x:v>Entregue</x:v>
      </x:c>
      <x:c r="R580" t="str"/>
      <x:c r="S580" t="str">
        <x:v>Nao</x:v>
      </x:c>
      <x:c r="T580" t="str">
        <x:v>Nao</x:v>
      </x:c>
    </x:row>
    <x:row r="581" ht="19" customHeight="1">
      <x:c r="A581" t="str">
        <x:v>ENT-00580</x:v>
      </x:c>
      <x:c r="B581" s="41" t="n">
        <x:v>46248</x:v>
      </x:c>
      <x:c r="C581" s="41" t="n">
        <x:v>46251</x:v>
      </x:c>
      <x:c r="D581" s="41" t="n">
        <x:v>46251</x:v>
      </x:c>
      <x:c r="E581" t="str">
        <x:v>Kwanza Distribuição, Lda.</x:v>
      </x:c>
      <x:c r="F581" t="str">
        <x:v>Sequele</x:v>
      </x:c>
      <x:c r="G581" t="str">
        <x:v>Félix Domingos</x:v>
      </x:c>
      <x:c r="H581" t="str">
        <x:v>VTR-04</x:v>
      </x:c>
      <x:c r="I581" t="str">
        <x:v>Toyota Dyna</x:v>
      </x:c>
      <x:c r="J581" t="n">
        <x:v>3000</x:v>
      </x:c>
      <x:c r="K581" t="n">
        <x:v>5</x:v>
      </x:c>
      <x:c r="L581" t="n">
        <x:v>5</x:v>
      </x:c>
      <x:c r="M581" t="n">
        <x:v>166.3</x:v>
      </x:c>
      <x:c r="N581" t="n">
        <x:v>57</x:v>
      </x:c>
      <x:c r="O581" s="45" t="n">
        <x:v>38975</x:v>
      </x:c>
      <x:c r="P581" s="45" t="n">
        <x:v>33000</x:v>
      </x:c>
      <x:c r="Q581" t="str">
        <x:v>Entregue</x:v>
      </x:c>
      <x:c r="R581" t="str"/>
      <x:c r="S581" t="str">
        <x:v>Nao</x:v>
      </x:c>
      <x:c r="T581" t="str">
        <x:v>Nao</x:v>
      </x:c>
    </x:row>
    <x:row r="582" ht="19" customHeight="1">
      <x:c r="A582" t="str">
        <x:v>ENT-00581</x:v>
      </x:c>
      <x:c r="B582" s="41" t="n">
        <x:v>46232</x:v>
      </x:c>
      <x:c r="C582" s="41" t="n">
        <x:v>46235</x:v>
      </x:c>
      <x:c r="D582" s="41" t="n">
        <x:v>46235</x:v>
      </x:c>
      <x:c r="E582" t="str">
        <x:v>Savana Retail, Lda.</x:v>
      </x:c>
      <x:c r="F582" t="str">
        <x:v>Sequele</x:v>
      </x:c>
      <x:c r="G582" t="str">
        <x:v>Dário Joaquim</x:v>
      </x:c>
      <x:c r="H582" t="str">
        <x:v>VTR-07</x:v>
      </x:c>
      <x:c r="I582" t="str">
        <x:v>Isuzu NPR</x:v>
      </x:c>
      <x:c r="J582" t="n">
        <x:v>5000</x:v>
      </x:c>
      <x:c r="K582" t="n">
        <x:v>67</x:v>
      </x:c>
      <x:c r="L582" t="n">
        <x:v>67</x:v>
      </x:c>
      <x:c r="M582" t="n">
        <x:v>823.8</x:v>
      </x:c>
      <x:c r="N582" t="n">
        <x:v>62</x:v>
      </x:c>
      <x:c r="O582" s="45" t="n">
        <x:v>482869</x:v>
      </x:c>
      <x:c r="P582" s="45" t="n">
        <x:v>43000</x:v>
      </x:c>
      <x:c r="Q582" t="str">
        <x:v>Entregue</x:v>
      </x:c>
      <x:c r="R582" t="str"/>
      <x:c r="S582" t="str">
        <x:v>Nao</x:v>
      </x:c>
      <x:c r="T582" t="str">
        <x:v>Nao</x:v>
      </x:c>
    </x:row>
    <x:row r="583" ht="19" customHeight="1">
      <x:c r="A583" t="str">
        <x:v>ENT-00582</x:v>
      </x:c>
      <x:c r="B583" s="41" t="n">
        <x:v>46247</x:v>
      </x:c>
      <x:c r="C583" s="41" t="n">
        <x:v>46248</x:v>
      </x:c>
      <x:c r="D583" s="41" t="n">
        <x:v>46248</x:v>
      </x:c>
      <x:c r="E583" t="str">
        <x:v>Bem-Estar Higiene, Lda.</x:v>
      </x:c>
      <x:c r="F583" t="str">
        <x:v>Maianga</x:v>
      </x:c>
      <x:c r="G583" t="str">
        <x:v>Hélder Miguel</x:v>
      </x:c>
      <x:c r="H583" t="str">
        <x:v>VTR-06</x:v>
      </x:c>
      <x:c r="I583" t="str">
        <x:v>Isuzu NPR</x:v>
      </x:c>
      <x:c r="J583" t="n">
        <x:v>5000</x:v>
      </x:c>
      <x:c r="K583" t="n">
        <x:v>61</x:v>
      </x:c>
      <x:c r="L583" t="n">
        <x:v>61</x:v>
      </x:c>
      <x:c r="M583" t="n">
        <x:v>745.8</x:v>
      </x:c>
      <x:c r="N583" t="n">
        <x:v>18</x:v>
      </x:c>
      <x:c r="O583" s="45" t="n">
        <x:v>965691</x:v>
      </x:c>
      <x:c r="P583" s="45" t="n">
        <x:v>28000</x:v>
      </x:c>
      <x:c r="Q583" t="str">
        <x:v>Entregue</x:v>
      </x:c>
      <x:c r="R583" t="str"/>
      <x:c r="S583" t="str">
        <x:v>Nao</x:v>
      </x:c>
      <x:c r="T583" t="str">
        <x:v>Nao</x:v>
      </x:c>
    </x:row>
    <x:row r="584" ht="19" customHeight="1">
      <x:c r="A584" t="str">
        <x:v>ENT-00583</x:v>
      </x:c>
      <x:c r="B584" s="41" t="n">
        <x:v>46220</x:v>
      </x:c>
      <x:c r="C584" s="41" t="n">
        <x:v>46222</x:v>
      </x:c>
      <x:c r="D584" s="41" t="n">
        <x:v>46222</x:v>
      </x:c>
      <x:c r="E584" t="str">
        <x:v>Mercado Sul, Lda.</x:v>
      </x:c>
      <x:c r="F584" t="str">
        <x:v>Kilamba</x:v>
      </x:c>
      <x:c r="G584" t="str">
        <x:v>Carlos Mateus</x:v>
      </x:c>
      <x:c r="H584" t="str">
        <x:v>VTR-03</x:v>
      </x:c>
      <x:c r="I584" t="str">
        <x:v>Toyota Dyna</x:v>
      </x:c>
      <x:c r="J584" t="n">
        <x:v>3000</x:v>
      </x:c>
      <x:c r="K584" t="n">
        <x:v>50</x:v>
      </x:c>
      <x:c r="L584" t="n">
        <x:v>50</x:v>
      </x:c>
      <x:c r="M584" t="n">
        <x:v>1604.4</x:v>
      </x:c>
      <x:c r="N584" t="n">
        <x:v>32</x:v>
      </x:c>
      <x:c r="O584" s="45" t="n">
        <x:v>1031950</x:v>
      </x:c>
      <x:c r="P584" s="45" t="n">
        <x:v>50500</x:v>
      </x:c>
      <x:c r="Q584" t="str">
        <x:v>Entregue</x:v>
      </x:c>
      <x:c r="R584" t="str"/>
      <x:c r="S584" t="str">
        <x:v>Nao</x:v>
      </x:c>
      <x:c r="T584" t="str">
        <x:v>Nao</x:v>
      </x:c>
    </x:row>
    <x:row r="585" ht="19" customHeight="1">
      <x:c r="A585" t="str">
        <x:v>ENT-00584</x:v>
      </x:c>
      <x:c r="B585" s="41" t="n">
        <x:v>46254</x:v>
      </x:c>
      <x:c r="C585" s="41" t="n">
        <x:v>46256</x:v>
      </x:c>
      <x:c r="D585" s="41" t="n">
        <x:v>46256</x:v>
      </x:c>
      <x:c r="E585" t="str">
        <x:v>Nova Rota Comercial, Lda.</x:v>
      </x:c>
      <x:c r="F585" t="str">
        <x:v>Camama</x:v>
      </x:c>
      <x:c r="G585" t="str">
        <x:v>Elísio António</x:v>
      </x:c>
      <x:c r="H585" t="str">
        <x:v>VTR-09</x:v>
      </x:c>
      <x:c r="I585" t="str">
        <x:v>Toyota Hilux</x:v>
      </x:c>
      <x:c r="J585" t="n">
        <x:v>1000</x:v>
      </x:c>
      <x:c r="K585" t="n">
        <x:v>29</x:v>
      </x:c>
      <x:c r="L585" t="n">
        <x:v>29</x:v>
      </x:c>
      <x:c r="M585" t="n">
        <x:v>592.8</x:v>
      </x:c>
      <x:c r="N585" t="n">
        <x:v>33</x:v>
      </x:c>
      <x:c r="O585" s="45" t="n">
        <x:v>303311</x:v>
      </x:c>
      <x:c r="P585" s="45" t="n">
        <x:v>28000</x:v>
      </x:c>
      <x:c r="Q585" t="str">
        <x:v>Entregue</x:v>
      </x:c>
      <x:c r="R585" t="str"/>
      <x:c r="S585" t="str">
        <x:v>Nao</x:v>
      </x:c>
      <x:c r="T585" t="str">
        <x:v>Nao</x:v>
      </x:c>
    </x:row>
    <x:row r="586" ht="19" customHeight="1">
      <x:c r="A586" t="str">
        <x:v>ENT-00585</x:v>
      </x:c>
      <x:c r="B586" s="41" t="n">
        <x:v>46228</x:v>
      </x:c>
      <x:c r="C586" s="41" t="n">
        <x:v>46229</x:v>
      </x:c>
      <x:c r="D586" s="41" t="n">
        <x:v>46229</x:v>
      </x:c>
      <x:c r="E586" t="str">
        <x:v>Bem-Estar Higiene, Lda.</x:v>
      </x:c>
      <x:c r="F586" t="str">
        <x:v>Nova Vida</x:v>
      </x:c>
      <x:c r="G586" t="str">
        <x:v>Bernardo Paulo</x:v>
      </x:c>
      <x:c r="H586" t="str">
        <x:v>VTR-11</x:v>
      </x:c>
      <x:c r="I586" t="str">
        <x:v>JAC N56</x:v>
      </x:c>
      <x:c r="J586" t="n">
        <x:v>3500</x:v>
      </x:c>
      <x:c r="K586" t="n">
        <x:v>85</x:v>
      </x:c>
      <x:c r="L586" t="n">
        <x:v>85</x:v>
      </x:c>
      <x:c r="M586" t="n">
        <x:v>2272.5</x:v>
      </x:c>
      <x:c r="N586" t="n">
        <x:v>17</x:v>
      </x:c>
      <x:c r="O586" s="45" t="n">
        <x:v>541280</x:v>
      </x:c>
      <x:c r="P586" s="45" t="n">
        <x:v>48000</x:v>
      </x:c>
      <x:c r="Q586" t="str">
        <x:v>Entregue</x:v>
      </x:c>
      <x:c r="R586" t="str"/>
      <x:c r="S586" t="str">
        <x:v>Nao</x:v>
      </x:c>
      <x:c r="T586" t="str">
        <x:v>Nao</x:v>
      </x:c>
    </x:row>
    <x:row r="587" ht="19" customHeight="1">
      <x:c r="A587" t="str">
        <x:v>ENT-00586</x:v>
      </x:c>
      <x:c r="B587" s="41" t="n">
        <x:v>46247</x:v>
      </x:c>
      <x:c r="C587" s="41" t="n">
        <x:v>46250</x:v>
      </x:c>
      <x:c r="D587" s="41" t="n">
        <x:v>46249</x:v>
      </x:c>
      <x:c r="E587" t="str">
        <x:v>Sol Nascente Comércio, Lda.</x:v>
      </x:c>
      <x:c r="F587" t="str">
        <x:v>Zango</x:v>
      </x:c>
      <x:c r="G587" t="str">
        <x:v>Jorge Mário</x:v>
      </x:c>
      <x:c r="H587" t="str">
        <x:v>VTR-05</x:v>
      </x:c>
      <x:c r="I587" t="str">
        <x:v>Hyundai HD65</x:v>
      </x:c>
      <x:c r="J587" t="n">
        <x:v>3500</x:v>
      </x:c>
      <x:c r="K587" t="n">
        <x:v>79</x:v>
      </x:c>
      <x:c r="L587" t="n">
        <x:v>79</x:v>
      </x:c>
      <x:c r="M587" t="n">
        <x:v>1606.3</x:v>
      </x:c>
      <x:c r="N587" t="n">
        <x:v>54</x:v>
      </x:c>
      <x:c r="O587" s="45" t="n">
        <x:v>1999806</x:v>
      </x:c>
      <x:c r="P587" s="45" t="n">
        <x:v>52000</x:v>
      </x:c>
      <x:c r="Q587" t="str">
        <x:v>Entregue</x:v>
      </x:c>
      <x:c r="R587" t="str"/>
      <x:c r="S587" t="str">
        <x:v>Nao</x:v>
      </x:c>
      <x:c r="T587" t="str">
        <x:v>Nao</x:v>
      </x:c>
    </x:row>
    <x:row r="588" ht="19" customHeight="1">
      <x:c r="A588" t="str">
        <x:v>ENT-00587</x:v>
      </x:c>
      <x:c r="B588" s="41" t="n">
        <x:v>46204</x:v>
      </x:c>
      <x:c r="C588" s="41" t="n">
        <x:v>46207</x:v>
      </x:c>
      <x:c r="D588" s="41" t="n">
        <x:v>46207</x:v>
      </x:c>
      <x:c r="E588" t="str">
        <x:v>N'gola Market, Lda.</x:v>
      </x:c>
      <x:c r="F588" t="str">
        <x:v>Kikuxi</x:v>
      </x:c>
      <x:c r="G588" t="str">
        <x:v>Jorge Mário</x:v>
      </x:c>
      <x:c r="H588" t="str">
        <x:v>VTR-06</x:v>
      </x:c>
      <x:c r="I588" t="str">
        <x:v>Isuzu NPR</x:v>
      </x:c>
      <x:c r="J588" t="n">
        <x:v>5000</x:v>
      </x:c>
      <x:c r="K588" t="n">
        <x:v>70</x:v>
      </x:c>
      <x:c r="L588" t="n">
        <x:v>70</x:v>
      </x:c>
      <x:c r="M588" t="n">
        <x:v>506.2</x:v>
      </x:c>
      <x:c r="N588" t="n">
        <x:v>43</x:v>
      </x:c>
      <x:c r="O588" s="45" t="n">
        <x:v>1005200</x:v>
      </x:c>
      <x:c r="P588" s="45" t="n">
        <x:v>32500</x:v>
      </x:c>
      <x:c r="Q588" t="str">
        <x:v>Entregue</x:v>
      </x:c>
      <x:c r="R588" t="str"/>
      <x:c r="S588" t="str">
        <x:v>Nao</x:v>
      </x:c>
      <x:c r="T588" t="str">
        <x:v>Nao</x:v>
      </x:c>
    </x:row>
    <x:row r="589" ht="19" customHeight="1">
      <x:c r="A589" t="str">
        <x:v>ENT-00588</x:v>
      </x:c>
      <x:c r="B589" s="41" t="n">
        <x:v>46237</x:v>
      </x:c>
      <x:c r="C589" s="41" t="n">
        <x:v>46238</x:v>
      </x:c>
      <x:c r="D589" s="41" t="n">
        <x:v>46238</x:v>
      </x:c>
      <x:c r="E589" t="str">
        <x:v>Savana Retail, Lda.</x:v>
      </x:c>
      <x:c r="F589" t="str">
        <x:v>Ingombota</x:v>
      </x:c>
      <x:c r="G589" t="str">
        <x:v>Jorge Mário</x:v>
      </x:c>
      <x:c r="H589" t="str">
        <x:v>VTR-09</x:v>
      </x:c>
      <x:c r="I589" t="str">
        <x:v>Toyota Hilux</x:v>
      </x:c>
      <x:c r="J589" t="n">
        <x:v>1000</x:v>
      </x:c>
      <x:c r="K589" t="n">
        <x:v>89</x:v>
      </x:c>
      <x:c r="L589" t="n">
        <x:v>89</x:v>
      </x:c>
      <x:c r="M589" t="n">
        <x:v>689.8</x:v>
      </x:c>
      <x:c r="N589" t="n">
        <x:v>18</x:v>
      </x:c>
      <x:c r="O589" s="45" t="n">
        <x:v>479176</x:v>
      </x:c>
      <x:c r="P589" s="45" t="n">
        <x:v>28000</x:v>
      </x:c>
      <x:c r="Q589" t="str">
        <x:v>Entregue</x:v>
      </x:c>
      <x:c r="R589" t="str"/>
      <x:c r="S589" t="str">
        <x:v>Nao</x:v>
      </x:c>
      <x:c r="T589" t="str">
        <x:v>Nao</x:v>
      </x:c>
    </x:row>
    <x:row r="590" ht="19" customHeight="1">
      <x:c r="A590" t="str">
        <x:v>ENT-00589</x:v>
      </x:c>
      <x:c r="B590" s="41" t="n">
        <x:v>46265</x:v>
      </x:c>
      <x:c r="C590" s="41" t="n">
        <x:v>46268</x:v>
      </x:c>
      <x:c r="D590" s="41" t="n">
        <x:v>46268</x:v>
      </x:c>
      <x:c r="E590" t="str">
        <x:v>Nova Rota Comercial, Lda.</x:v>
      </x:c>
      <x:c r="F590" t="str">
        <x:v>Cacuaco</x:v>
      </x:c>
      <x:c r="G590" t="str">
        <x:v>Lucas Tomás</x:v>
      </x:c>
      <x:c r="H590" t="str">
        <x:v>VTR-09</x:v>
      </x:c>
      <x:c r="I590" t="str">
        <x:v>Toyota Hilux</x:v>
      </x:c>
      <x:c r="J590" t="n">
        <x:v>1000</x:v>
      </x:c>
      <x:c r="K590" t="n">
        <x:v>80</x:v>
      </x:c>
      <x:c r="L590" t="n">
        <x:v>80</x:v>
      </x:c>
      <x:c r="M590" t="n">
        <x:v>479.7</x:v>
      </x:c>
      <x:c r="N590" t="n">
        <x:v>53</x:v>
      </x:c>
      <x:c r="O590" s="45" t="n">
        <x:v>530560</x:v>
      </x:c>
      <x:c r="P590" s="45" t="n">
        <x:v>42000</x:v>
      </x:c>
      <x:c r="Q590" t="str">
        <x:v>Entregue</x:v>
      </x:c>
      <x:c r="R590" t="str"/>
      <x:c r="S590" t="str">
        <x:v>Nao</x:v>
      </x:c>
      <x:c r="T590" t="str">
        <x:v>Nao</x:v>
      </x:c>
    </x:row>
    <x:row r="591" ht="19" customHeight="1">
      <x:c r="A591" t="str">
        <x:v>ENT-00590</x:v>
      </x:c>
      <x:c r="B591" s="41" t="n">
        <x:v>46247</x:v>
      </x:c>
      <x:c r="C591" s="41" t="n">
        <x:v>46250</x:v>
      </x:c>
      <x:c r="D591" s="41" t="n">
        <x:v>46250</x:v>
      </x:c>
      <x:c r="E591" t="str">
        <x:v>Casa Horizonte, Lda.</x:v>
      </x:c>
      <x:c r="F591" t="str">
        <x:v>Benfica</x:v>
      </x:c>
      <x:c r="G591" t="str">
        <x:v>Hélder Miguel</x:v>
      </x:c>
      <x:c r="H591" t="str">
        <x:v>VTR-12</x:v>
      </x:c>
      <x:c r="I591" t="str">
        <x:v>Hyundai H100</x:v>
      </x:c>
      <x:c r="J591" t="n">
        <x:v>1300</x:v>
      </x:c>
      <x:c r="K591" t="n">
        <x:v>18</x:v>
      </x:c>
      <x:c r="L591" t="n">
        <x:v>18</x:v>
      </x:c>
      <x:c r="M591" t="n">
        <x:v>595.8</x:v>
      </x:c>
      <x:c r="N591" t="n">
        <x:v>41</x:v>
      </x:c>
      <x:c r="O591" s="45" t="n">
        <x:v>268452</x:v>
      </x:c>
      <x:c r="P591" s="45" t="n">
        <x:v>32000</x:v>
      </x:c>
      <x:c r="Q591" t="str">
        <x:v>Entregue</x:v>
      </x:c>
      <x:c r="R591" t="str"/>
      <x:c r="S591" t="str">
        <x:v>Nao</x:v>
      </x:c>
      <x:c r="T591" t="str">
        <x:v>Nao</x:v>
      </x:c>
    </x:row>
    <x:row r="592" ht="19" customHeight="1">
      <x:c r="A592" t="str">
        <x:v>ENT-00591</x:v>
      </x:c>
      <x:c r="B592" s="41" t="n">
        <x:v>46252</x:v>
      </x:c>
      <x:c r="C592" s="41" t="n">
        <x:v>46254</x:v>
      </x:c>
      <x:c r="D592" s="41" t="n">
        <x:v>46254</x:v>
      </x:c>
      <x:c r="E592" t="str">
        <x:v>Sol Nascente Comércio, Lda.</x:v>
      </x:c>
      <x:c r="F592" t="str">
        <x:v>Nova Vida</x:v>
      </x:c>
      <x:c r="G592" t="str">
        <x:v>Hélder Miguel</x:v>
      </x:c>
      <x:c r="H592" t="str">
        <x:v>VTR-12</x:v>
      </x:c>
      <x:c r="I592" t="str">
        <x:v>Hyundai H100</x:v>
      </x:c>
      <x:c r="J592" t="n">
        <x:v>1300</x:v>
      </x:c>
      <x:c r="K592" t="n">
        <x:v>22</x:v>
      </x:c>
      <x:c r="L592" t="n">
        <x:v>22</x:v>
      </x:c>
      <x:c r="M592" t="n">
        <x:v>621</x:v>
      </x:c>
      <x:c r="N592" t="n">
        <x:v>21</x:v>
      </x:c>
      <x:c r="O592" s="45" t="n">
        <x:v>538736</x:v>
      </x:c>
      <x:c r="P592" s="45" t="n">
        <x:v>27000</x:v>
      </x:c>
      <x:c r="Q592" t="str">
        <x:v>Entregue</x:v>
      </x:c>
      <x:c r="R592" t="str"/>
      <x:c r="S592" t="str">
        <x:v>Nao</x:v>
      </x:c>
      <x:c r="T592" t="str">
        <x:v>Nao</x:v>
      </x:c>
    </x:row>
    <x:row r="593" ht="19" customHeight="1">
      <x:c r="A593" t="str">
        <x:v>ENT-00592</x:v>
      </x:c>
      <x:c r="B593" s="41" t="n">
        <x:v>46263</x:v>
      </x:c>
      <x:c r="C593" s="41" t="n">
        <x:v>46265</x:v>
      </x:c>
      <x:c r="D593" s="41" t="n">
        <x:v>46265</x:v>
      </x:c>
      <x:c r="E593" t="str">
        <x:v>Ponto Logístico, Lda.</x:v>
      </x:c>
      <x:c r="F593" t="str">
        <x:v>Camama</x:v>
      </x:c>
      <x:c r="G593" t="str">
        <x:v>Carlos Mateus</x:v>
      </x:c>
      <x:c r="H593" t="str">
        <x:v>VTR-02</x:v>
      </x:c>
      <x:c r="I593" t="str">
        <x:v>Kia K2700</x:v>
      </x:c>
      <x:c r="J593" t="n">
        <x:v>1500</x:v>
      </x:c>
      <x:c r="K593" t="n">
        <x:v>43</x:v>
      </x:c>
      <x:c r="L593" t="n">
        <x:v>43</x:v>
      </x:c>
      <x:c r="M593" t="n">
        <x:v>992.1</x:v>
      </x:c>
      <x:c r="N593" t="n">
        <x:v>21</x:v>
      </x:c>
      <x:c r="O593" s="45" t="n">
        <x:v>188598</x:v>
      </x:c>
      <x:c r="P593" s="45" t="n">
        <x:v>31000</x:v>
      </x:c>
      <x:c r="Q593" t="str">
        <x:v>Entregue</x:v>
      </x:c>
      <x:c r="R593" t="str"/>
      <x:c r="S593" t="str">
        <x:v>Nao</x:v>
      </x:c>
      <x:c r="T593" t="str">
        <x:v>Nao</x:v>
      </x:c>
    </x:row>
    <x:row r="594" ht="19" customHeight="1">
      <x:c r="A594" t="str">
        <x:v>ENT-00593</x:v>
      </x:c>
      <x:c r="B594" s="41" t="n">
        <x:v>46226</x:v>
      </x:c>
      <x:c r="C594" s="41" t="n">
        <x:v>46228</x:v>
      </x:c>
      <x:c r="D594" s="41" t="n">
        <x:v>46230</x:v>
      </x:c>
      <x:c r="E594" t="str">
        <x:v>Rota Azul, Lda.</x:v>
      </x:c>
      <x:c r="F594" t="str">
        <x:v>Talatona</x:v>
      </x:c>
      <x:c r="G594" t="str">
        <x:v>Adriano Manuel</x:v>
      </x:c>
      <x:c r="H594" t="str">
        <x:v>VTR-03</x:v>
      </x:c>
      <x:c r="I594" t="str">
        <x:v>Toyota Dyna</x:v>
      </x:c>
      <x:c r="J594" t="n">
        <x:v>3000</x:v>
      </x:c>
      <x:c r="K594" t="n">
        <x:v>39</x:v>
      </x:c>
      <x:c r="L594" t="n">
        <x:v>39</x:v>
      </x:c>
      <x:c r="M594" t="n">
        <x:v>670.2</x:v>
      </x:c>
      <x:c r="N594" t="n">
        <x:v>38</x:v>
      </x:c>
      <x:c r="O594" s="45" t="n">
        <x:v>624000</x:v>
      </x:c>
      <x:c r="P594" s="45" t="n">
        <x:v>38500</x:v>
      </x:c>
      <x:c r="Q594" t="str">
        <x:v>Entregue</x:v>
      </x:c>
      <x:c r="R594" t="str">
        <x:v>Chuva/condicao da via</x:v>
      </x:c>
      <x:c r="S594" t="str">
        <x:v>Nao</x:v>
      </x:c>
      <x:c r="T594" t="str">
        <x:v>Nao</x:v>
      </x:c>
    </x:row>
    <x:row r="595" ht="19" customHeight="1">
      <x:c r="A595" t="str">
        <x:v>ENT-00594</x:v>
      </x:c>
      <x:c r="B595" s="41" t="n">
        <x:v>46216</x:v>
      </x:c>
      <x:c r="C595" s="41" t="n">
        <x:v>46218</x:v>
      </x:c>
      <x:c r="D595" s="41" t="n">
        <x:v>46218</x:v>
      </x:c>
      <x:c r="E595" t="str">
        <x:v>Mundo Fresco, Lda.</x:v>
      </x:c>
      <x:c r="F595" t="str">
        <x:v>Kilamba</x:v>
      </x:c>
      <x:c r="G595" t="str">
        <x:v>Lucas Tomás</x:v>
      </x:c>
      <x:c r="H595" t="str">
        <x:v>VTR-10</x:v>
      </x:c>
      <x:c r="I595" t="str">
        <x:v>Foton Aumark</x:v>
      </x:c>
      <x:c r="J595" t="n">
        <x:v>4000</x:v>
      </x:c>
      <x:c r="K595" t="n">
        <x:v>52</x:v>
      </x:c>
      <x:c r="L595" t="n">
        <x:v>52</x:v>
      </x:c>
      <x:c r="M595" t="n">
        <x:v>1235.1</x:v>
      </x:c>
      <x:c r="N595" t="n">
        <x:v>33</x:v>
      </x:c>
      <x:c r="O595" s="45" t="n">
        <x:v>452764</x:v>
      </x:c>
      <x:c r="P595" s="45" t="n">
        <x:v>39000</x:v>
      </x:c>
      <x:c r="Q595" t="str">
        <x:v>Entregue</x:v>
      </x:c>
      <x:c r="R595" t="str"/>
      <x:c r="S595" t="str">
        <x:v>Nao</x:v>
      </x:c>
      <x:c r="T595" t="str">
        <x:v>Nao</x:v>
      </x:c>
    </x:row>
    <x:row r="596" ht="19" customHeight="1">
      <x:c r="A596" t="str">
        <x:v>ENT-00595</x:v>
      </x:c>
      <x:c r="B596" s="41" t="n">
        <x:v>46238</x:v>
      </x:c>
      <x:c r="C596" s="41" t="n">
        <x:v>46240</x:v>
      </x:c>
      <x:c r="D596" s="41" t="n">
        <x:v>46240</x:v>
      </x:c>
      <x:c r="E596" t="str">
        <x:v>Cesta Certa, Lda.</x:v>
      </x:c>
      <x:c r="F596" t="str">
        <x:v>Kilamba</x:v>
      </x:c>
      <x:c r="G596" t="str">
        <x:v>Dário Joaquim</x:v>
      </x:c>
      <x:c r="H596" t="str">
        <x:v>VTR-04</x:v>
      </x:c>
      <x:c r="I596" t="str">
        <x:v>Toyota Dyna</x:v>
      </x:c>
      <x:c r="J596" t="n">
        <x:v>3000</x:v>
      </x:c>
      <x:c r="K596" t="n">
        <x:v>23</x:v>
      </x:c>
      <x:c r="L596" t="n">
        <x:v>23</x:v>
      </x:c>
      <x:c r="M596" t="n">
        <x:v>403.2</x:v>
      </x:c>
      <x:c r="N596" t="n">
        <x:v>34</x:v>
      </x:c>
      <x:c r="O596" s="45" t="n">
        <x:v>230713</x:v>
      </x:c>
      <x:c r="P596" s="45" t="n">
        <x:v>31500</x:v>
      </x:c>
      <x:c r="Q596" t="str">
        <x:v>Entregue</x:v>
      </x:c>
      <x:c r="R596" t="str"/>
      <x:c r="S596" t="str">
        <x:v>Nao</x:v>
      </x:c>
      <x:c r="T596" t="str">
        <x:v>Nao</x:v>
      </x:c>
    </x:row>
    <x:row r="597" ht="19" customHeight="1">
      <x:c r="A597" t="str">
        <x:v>ENT-00596</x:v>
      </x:c>
      <x:c r="B597" s="41" t="n">
        <x:v>46237</x:v>
      </x:c>
      <x:c r="C597" s="41" t="n">
        <x:v>46239</x:v>
      </x:c>
      <x:c r="D597" s="41" t="n">
        <x:v>46239</x:v>
      </x:c>
      <x:c r="E597" t="str">
        <x:v>Prime Stock, Lda.</x:v>
      </x:c>
      <x:c r="F597" t="str">
        <x:v>Cacuaco</x:v>
      </x:c>
      <x:c r="G597" t="str">
        <x:v>Lucas Tomás</x:v>
      </x:c>
      <x:c r="H597" t="str">
        <x:v>VTR-07</x:v>
      </x:c>
      <x:c r="I597" t="str">
        <x:v>Isuzu NPR</x:v>
      </x:c>
      <x:c r="J597" t="n">
        <x:v>5000</x:v>
      </x:c>
      <x:c r="K597" t="n">
        <x:v>84</x:v>
      </x:c>
      <x:c r="L597" t="n">
        <x:v>84</x:v>
      </x:c>
      <x:c r="M597" t="n">
        <x:v>2583.6</x:v>
      </x:c>
      <x:c r="N597" t="n">
        <x:v>28</x:v>
      </x:c>
      <x:c r="O597" s="45" t="n">
        <x:v>469392</x:v>
      </x:c>
      <x:c r="P597" s="45" t="n">
        <x:v>57000</x:v>
      </x:c>
      <x:c r="Q597" t="str">
        <x:v>Entregue</x:v>
      </x:c>
      <x:c r="R597" t="str"/>
      <x:c r="S597" t="str">
        <x:v>Nao</x:v>
      </x:c>
      <x:c r="T597" t="str">
        <x:v>Nao</x:v>
      </x:c>
    </x:row>
    <x:row r="598" ht="19" customHeight="1">
      <x:c r="A598" t="str">
        <x:v>ENT-00597</x:v>
      </x:c>
      <x:c r="B598" s="41" t="n">
        <x:v>46205</x:v>
      </x:c>
      <x:c r="C598" s="41" t="n">
        <x:v>46207</x:v>
      </x:c>
      <x:c r="D598" s="41" t="n">
        <x:v>46207</x:v>
      </x:c>
      <x:c r="E598" t="str">
        <x:v>Casa Horizonte, Lda.</x:v>
      </x:c>
      <x:c r="F598" t="str">
        <x:v>Cacuaco</x:v>
      </x:c>
      <x:c r="G598" t="str">
        <x:v>Adriano Manuel</x:v>
      </x:c>
      <x:c r="H598" t="str">
        <x:v>VTR-06</x:v>
      </x:c>
      <x:c r="I598" t="str">
        <x:v>Isuzu NPR</x:v>
      </x:c>
      <x:c r="J598" t="n">
        <x:v>5000</x:v>
      </x:c>
      <x:c r="K598" t="n">
        <x:v>85</x:v>
      </x:c>
      <x:c r="L598" t="n">
        <x:v>79</x:v>
      </x:c>
      <x:c r="M598" t="n">
        <x:v>783.7</x:v>
      </x:c>
      <x:c r="N598" t="n">
        <x:v>29</x:v>
      </x:c>
      <x:c r="O598" s="45" t="n">
        <x:v>1731280</x:v>
      </x:c>
      <x:c r="P598" s="45" t="n">
        <x:v>30500</x:v>
      </x:c>
      <x:c r="Q598" t="str">
        <x:v>Entregue</x:v>
      </x:c>
      <x:c r="R598" t="str"/>
      <x:c r="S598" t="str">
        <x:v>Nao</x:v>
      </x:c>
      <x:c r="T598" t="str">
        <x:v>Nao</x:v>
      </x:c>
    </x:row>
    <x:row r="599" ht="19" customHeight="1">
      <x:c r="A599" t="str">
        <x:v>ENT-00598</x:v>
      </x:c>
      <x:c r="B599" s="41" t="n">
        <x:v>46250</x:v>
      </x:c>
      <x:c r="C599" s="41" t="n">
        <x:v>46252</x:v>
      </x:c>
      <x:c r="D599" s="41" t="n">
        <x:v>46253</x:v>
      </x:c>
      <x:c r="E599" t="str">
        <x:v>Atlântico Farma, Lda.</x:v>
      </x:c>
      <x:c r="F599" t="str">
        <x:v>Camama</x:v>
      </x:c>
      <x:c r="G599" t="str">
        <x:v>Jorge Mário</x:v>
      </x:c>
      <x:c r="H599" t="str">
        <x:v>VTR-09</x:v>
      </x:c>
      <x:c r="I599" t="str">
        <x:v>Toyota Hilux</x:v>
      </x:c>
      <x:c r="J599" t="n">
        <x:v>1000</x:v>
      </x:c>
      <x:c r="K599" t="n">
        <x:v>59</x:v>
      </x:c>
      <x:c r="L599" t="n">
        <x:v>59</x:v>
      </x:c>
      <x:c r="M599" t="n">
        <x:v>945.1</x:v>
      </x:c>
      <x:c r="N599" t="n">
        <x:v>24</x:v>
      </x:c>
      <x:c r="O599" s="45" t="n">
        <x:v>777030</x:v>
      </x:c>
      <x:c r="P599" s="45" t="n">
        <x:v>35000</x:v>
      </x:c>
      <x:c r="Q599" t="str">
        <x:v>Entregue</x:v>
      </x:c>
      <x:c r="R599" t="str">
        <x:v>Cliente indisponivel</x:v>
      </x:c>
      <x:c r="S599" t="str">
        <x:v>Nao</x:v>
      </x:c>
      <x:c r="T599" t="str">
        <x:v>Nao</x:v>
      </x:c>
    </x:row>
    <x:row r="600" ht="19" customHeight="1">
      <x:c r="A600" t="str">
        <x:v>ENT-00599</x:v>
      </x:c>
      <x:c r="B600" s="41" t="n">
        <x:v>46229</x:v>
      </x:c>
      <x:c r="C600" s="41" t="n">
        <x:v>46231</x:v>
      </x:c>
      <x:c r="D600" s="41" t="n">
        <x:v>46231</x:v>
      </x:c>
      <x:c r="E600" t="str">
        <x:v>Prime Stock, Lda.</x:v>
      </x:c>
      <x:c r="F600" t="str">
        <x:v>Nova Vida</x:v>
      </x:c>
      <x:c r="G600" t="str">
        <x:v>Lucas Tomás</x:v>
      </x:c>
      <x:c r="H600" t="str">
        <x:v>VTR-07</x:v>
      </x:c>
      <x:c r="I600" t="str">
        <x:v>Isuzu NPR</x:v>
      </x:c>
      <x:c r="J600" t="n">
        <x:v>5000</x:v>
      </x:c>
      <x:c r="K600" t="n">
        <x:v>36</x:v>
      </x:c>
      <x:c r="L600" t="n">
        <x:v>33</x:v>
      </x:c>
      <x:c r="M600" t="n">
        <x:v>747.6</x:v>
      </x:c>
      <x:c r="N600" t="n">
        <x:v>28</x:v>
      </x:c>
      <x:c r="O600" s="45" t="n">
        <x:v>583668</x:v>
      </x:c>
      <x:c r="P600" s="45" t="n">
        <x:v>28000</x:v>
      </x:c>
      <x:c r="Q600" t="str">
        <x:v>Entregue</x:v>
      </x:c>
      <x:c r="R600" t="str"/>
      <x:c r="S600" t="str">
        <x:v>Nao</x:v>
      </x:c>
      <x:c r="T600" t="str">
        <x:v>Nao</x:v>
      </x:c>
    </x:row>
    <x:row r="601" ht="19" customHeight="1">
      <x:c r="A601" t="str">
        <x:v>ENT-00600</x:v>
      </x:c>
      <x:c r="B601" s="41" t="n">
        <x:v>46235</x:v>
      </x:c>
      <x:c r="C601" s="41" t="n">
        <x:v>46236</x:v>
      </x:c>
      <x:c r="D601" s="41" t="n">
        <x:v>46236</x:v>
      </x:c>
      <x:c r="E601" t="str">
        <x:v>Cesta Certa, Lda.</x:v>
      </x:c>
      <x:c r="F601" t="str">
        <x:v>Morro Bento</x:v>
      </x:c>
      <x:c r="G601" t="str">
        <x:v>Kito Alberto</x:v>
      </x:c>
      <x:c r="H601" t="str">
        <x:v>VTR-03</x:v>
      </x:c>
      <x:c r="I601" t="str">
        <x:v>Toyota Dyna</x:v>
      </x:c>
      <x:c r="J601" t="n">
        <x:v>3000</x:v>
      </x:c>
      <x:c r="K601" t="n">
        <x:v>43</x:v>
      </x:c>
      <x:c r="L601" t="n">
        <x:v>43</x:v>
      </x:c>
      <x:c r="M601" t="n">
        <x:v>1199.4</x:v>
      </x:c>
      <x:c r="N601" t="n">
        <x:v>16</x:v>
      </x:c>
      <x:c r="O601" s="45" t="n">
        <x:v>544853</x:v>
      </x:c>
      <x:c r="P601" s="45" t="n">
        <x:v>37000</x:v>
      </x:c>
      <x:c r="Q601" t="str">
        <x:v>Entregue</x:v>
      </x:c>
      <x:c r="R601" t="str"/>
      <x:c r="S601" t="str">
        <x:v>Nao</x:v>
      </x:c>
      <x:c r="T601" t="str">
        <x:v>Nao</x:v>
      </x:c>
    </x:row>
    <x:row r="602" ht="19" customHeight="1">
      <x:c r="A602" t="str">
        <x:v>ENT-00601</x:v>
      </x:c>
      <x:c r="B602" s="41" t="n">
        <x:v>46207</x:v>
      </x:c>
      <x:c r="C602" s="41" t="n">
        <x:v>46208</x:v>
      </x:c>
      <x:c r="D602" s="41" t="n">
        <x:v>46208</x:v>
      </x:c>
      <x:c r="E602" t="str">
        <x:v>Cesta Certa, Lda.</x:v>
      </x:c>
      <x:c r="F602" t="str">
        <x:v>Ingombota</x:v>
      </x:c>
      <x:c r="G602" t="str">
        <x:v>Dário Joaquim</x:v>
      </x:c>
      <x:c r="H602" t="str">
        <x:v>VTR-04</x:v>
      </x:c>
      <x:c r="I602" t="str">
        <x:v>Toyota Dyna</x:v>
      </x:c>
      <x:c r="J602" t="n">
        <x:v>3000</x:v>
      </x:c>
      <x:c r="K602" t="n">
        <x:v>59</x:v>
      </x:c>
      <x:c r="L602" t="n">
        <x:v>59</x:v>
      </x:c>
      <x:c r="M602" t="n">
        <x:v>474.1</x:v>
      </x:c>
      <x:c r="N602" t="n">
        <x:v>14</x:v>
      </x:c>
      <x:c r="O602" s="45" t="n">
        <x:v>1173451</x:v>
      </x:c>
      <x:c r="P602" s="45" t="n">
        <x:v>21500</x:v>
      </x:c>
      <x:c r="Q602" t="str">
        <x:v>Entregue</x:v>
      </x:c>
      <x:c r="R602" t="str"/>
      <x:c r="S602" t="str">
        <x:v>Nao</x:v>
      </x:c>
      <x:c r="T602" t="str">
        <x:v>Nao</x:v>
      </x:c>
    </x:row>
    <x:row r="603" ht="19" customHeight="1">
      <x:c r="A603" t="str">
        <x:v>ENT-00602</x:v>
      </x:c>
      <x:c r="B603" s="41" t="n">
        <x:v>46214</x:v>
      </x:c>
      <x:c r="C603" s="41" t="n">
        <x:v>46216</x:v>
      </x:c>
      <x:c r="D603" s="41" t="n">
        <x:v>46218</x:v>
      </x:c>
      <x:c r="E603" t="str">
        <x:v>Atlântico Farma, Lda.</x:v>
      </x:c>
      <x:c r="F603" t="str">
        <x:v>Patriota</x:v>
      </x:c>
      <x:c r="G603" t="str">
        <x:v>Félix Domingos</x:v>
      </x:c>
      <x:c r="H603" t="str">
        <x:v>VTR-10</x:v>
      </x:c>
      <x:c r="I603" t="str">
        <x:v>Foton Aumark</x:v>
      </x:c>
      <x:c r="J603" t="n">
        <x:v>4000</x:v>
      </x:c>
      <x:c r="K603" t="n">
        <x:v>41</x:v>
      </x:c>
      <x:c r="L603" t="n">
        <x:v>0</x:v>
      </x:c>
      <x:c r="M603" t="n">
        <x:v>473.4</x:v>
      </x:c>
      <x:c r="N603" t="n">
        <x:v>35</x:v>
      </x:c>
      <x:c r="O603" s="45" t="n">
        <x:v>403522</x:v>
      </x:c>
      <x:c r="P603" s="45" t="n">
        <x:v>31000</x:v>
      </x:c>
      <x:c r="Q603" t="str">
        <x:v>Falhada</x:v>
      </x:c>
      <x:c r="R603" t="str">
        <x:v>Endereco incompleto</x:v>
      </x:c>
      <x:c r="S603" t="str">
        <x:v>Nao</x:v>
      </x:c>
      <x:c r="T603" t="str">
        <x:v>Nao</x:v>
      </x:c>
    </x:row>
    <x:row r="604" ht="19" customHeight="1">
      <x:c r="A604" t="str">
        <x:v>ENT-00603</x:v>
      </x:c>
      <x:c r="B604" s="41" t="n">
        <x:v>46208</x:v>
      </x:c>
      <x:c r="C604" s="41" t="n">
        <x:v>46210</x:v>
      </x:c>
      <x:c r="D604" s="41" t="n">
        <x:v>46211</x:v>
      </x:c>
      <x:c r="E604" t="str">
        <x:v>Prime Stock, Lda.</x:v>
      </x:c>
      <x:c r="F604" t="str">
        <x:v>Talatona</x:v>
      </x:c>
      <x:c r="G604" t="str">
        <x:v>Félix Domingos</x:v>
      </x:c>
      <x:c r="H604" t="str">
        <x:v>VTR-06</x:v>
      </x:c>
      <x:c r="I604" t="str">
        <x:v>Isuzu NPR</x:v>
      </x:c>
      <x:c r="J604" t="n">
        <x:v>5000</x:v>
      </x:c>
      <x:c r="K604" t="n">
        <x:v>82</x:v>
      </x:c>
      <x:c r="L604" t="n">
        <x:v>82</x:v>
      </x:c>
      <x:c r="M604" t="n">
        <x:v>1751</x:v>
      </x:c>
      <x:c r="N604" t="n">
        <x:v>31</x:v>
      </x:c>
      <x:c r="O604" s="45" t="n">
        <x:v>1713554</x:v>
      </x:c>
      <x:c r="P604" s="45" t="n">
        <x:v>50500</x:v>
      </x:c>
      <x:c r="Q604" t="str">
        <x:v>Entregue</x:v>
      </x:c>
      <x:c r="R604" t="str">
        <x:v>Atraso no carregamento</x:v>
      </x:c>
      <x:c r="S604" t="str">
        <x:v>Nao</x:v>
      </x:c>
      <x:c r="T604" t="str">
        <x:v>Nao</x:v>
      </x:c>
    </x:row>
    <x:row r="605" ht="19" customHeight="1">
      <x:c r="A605" t="str">
        <x:v>ENT-00604</x:v>
      </x:c>
      <x:c r="B605" s="41" t="n">
        <x:v>46210</x:v>
      </x:c>
      <x:c r="C605" s="41" t="n">
        <x:v>46212</x:v>
      </x:c>
      <x:c r="D605" s="41" t="n">
        <x:v>46212</x:v>
      </x:c>
      <x:c r="E605" t="str">
        <x:v>Bem-Estar Higiene, Lda.</x:v>
      </x:c>
      <x:c r="F605" t="str">
        <x:v>Patriota</x:v>
      </x:c>
      <x:c r="G605" t="str">
        <x:v>Gilberto José</x:v>
      </x:c>
      <x:c r="H605" t="str">
        <x:v>VTR-06</x:v>
      </x:c>
      <x:c r="I605" t="str">
        <x:v>Isuzu NPR</x:v>
      </x:c>
      <x:c r="J605" t="n">
        <x:v>5000</x:v>
      </x:c>
      <x:c r="K605" t="n">
        <x:v>19</x:v>
      </x:c>
      <x:c r="L605" t="n">
        <x:v>19</x:v>
      </x:c>
      <x:c r="M605" t="n">
        <x:v>315.6</x:v>
      </x:c>
      <x:c r="N605" t="n">
        <x:v>32</x:v>
      </x:c>
      <x:c r="O605" s="45" t="n">
        <x:v>78926</x:v>
      </x:c>
      <x:c r="P605" s="45" t="n">
        <x:v>25500</x:v>
      </x:c>
      <x:c r="Q605" t="str">
        <x:v>Entregue</x:v>
      </x:c>
      <x:c r="R605" t="str"/>
      <x:c r="S605" t="str">
        <x:v>Nao</x:v>
      </x:c>
      <x:c r="T605" t="str">
        <x:v>Nao</x:v>
      </x:c>
    </x:row>
    <x:row r="606" ht="19" customHeight="1">
      <x:c r="A606" t="str">
        <x:v>ENT-00605</x:v>
      </x:c>
      <x:c r="B606" s="41" t="n">
        <x:v>46260</x:v>
      </x:c>
      <x:c r="C606" s="41" t="n">
        <x:v>46262</x:v>
      </x:c>
      <x:c r="D606" s="41" t="n">
        <x:v>46262</x:v>
      </x:c>
      <x:c r="E606" t="str">
        <x:v>Cesta Certa, Lda.</x:v>
      </x:c>
      <x:c r="F606" t="str">
        <x:v>Talatona</x:v>
      </x:c>
      <x:c r="G606" t="str">
        <x:v>Gilberto José</x:v>
      </x:c>
      <x:c r="H606" t="str">
        <x:v>VTR-06</x:v>
      </x:c>
      <x:c r="I606" t="str">
        <x:v>Isuzu NPR</x:v>
      </x:c>
      <x:c r="J606" t="n">
        <x:v>5000</x:v>
      </x:c>
      <x:c r="K606" t="n">
        <x:v>75</x:v>
      </x:c>
      <x:c r="L606" t="n">
        <x:v>75</x:v>
      </x:c>
      <x:c r="M606" t="n">
        <x:v>2147.4</x:v>
      </x:c>
      <x:c r="N606" t="n">
        <x:v>24</x:v>
      </x:c>
      <x:c r="O606" s="45" t="n">
        <x:v>1838475</x:v>
      </x:c>
      <x:c r="P606" s="45" t="n">
        <x:v>50000</x:v>
      </x:c>
      <x:c r="Q606" t="str">
        <x:v>Entregue</x:v>
      </x:c>
      <x:c r="R606" t="str"/>
      <x:c r="S606" t="str">
        <x:v>Nao</x:v>
      </x:c>
      <x:c r="T606" t="str">
        <x:v>Nao</x:v>
      </x:c>
    </x:row>
    <x:row r="607" ht="19" customHeight="1">
      <x:c r="A607" t="str">
        <x:v>ENT-00606</x:v>
      </x:c>
      <x:c r="B607" s="41" t="n">
        <x:v>46260</x:v>
      </x:c>
      <x:c r="C607" s="41" t="n">
        <x:v>46262</x:v>
      </x:c>
      <x:c r="D607" s="41" t="n">
        <x:v>46262</x:v>
      </x:c>
      <x:c r="E607" t="str">
        <x:v>Sol Nascente Comércio, Lda.</x:v>
      </x:c>
      <x:c r="F607" t="str">
        <x:v>Viana</x:v>
      </x:c>
      <x:c r="G607" t="str">
        <x:v>Gilberto José</x:v>
      </x:c>
      <x:c r="H607" t="str">
        <x:v>VTR-03</x:v>
      </x:c>
      <x:c r="I607" t="str">
        <x:v>Toyota Dyna</x:v>
      </x:c>
      <x:c r="J607" t="n">
        <x:v>3000</x:v>
      </x:c>
      <x:c r="K607" t="n">
        <x:v>74</x:v>
      </x:c>
      <x:c r="L607" t="n">
        <x:v>74</x:v>
      </x:c>
      <x:c r="M607" t="n">
        <x:v>2282</x:v>
      </x:c>
      <x:c r="N607" t="n">
        <x:v>28</x:v>
      </x:c>
      <x:c r="O607" s="45" t="n">
        <x:v>504606</x:v>
      </x:c>
      <x:c r="P607" s="45" t="n">
        <x:v>62500</x:v>
      </x:c>
      <x:c r="Q607" t="str">
        <x:v>Entregue</x:v>
      </x:c>
      <x:c r="R607" t="str"/>
      <x:c r="S607" t="str">
        <x:v>Nao</x:v>
      </x:c>
      <x:c r="T607" t="str">
        <x:v>Sim</x:v>
      </x:c>
    </x:row>
    <x:row r="608" ht="19" customHeight="1">
      <x:c r="A608" t="str">
        <x:v>ENT-00607</x:v>
      </x:c>
      <x:c r="B608" s="41" t="n">
        <x:v>46246</x:v>
      </x:c>
      <x:c r="C608" s="41" t="n">
        <x:v>46248</x:v>
      </x:c>
      <x:c r="D608" s="41" t="n">
        <x:v>46248</x:v>
      </x:c>
      <x:c r="E608" t="str">
        <x:v>Ponto Logístico, Lda.</x:v>
      </x:c>
      <x:c r="F608" t="str">
        <x:v>Viana</x:v>
      </x:c>
      <x:c r="G608" t="str">
        <x:v>Félix Domingos</x:v>
      </x:c>
      <x:c r="H608" t="str">
        <x:v>VTR-07</x:v>
      </x:c>
      <x:c r="I608" t="str">
        <x:v>Isuzu NPR</x:v>
      </x:c>
      <x:c r="J608" t="n">
        <x:v>5000</x:v>
      </x:c>
      <x:c r="K608" t="n">
        <x:v>34</x:v>
      </x:c>
      <x:c r="L608" t="n">
        <x:v>34</x:v>
      </x:c>
      <x:c r="M608" t="n">
        <x:v>1053.5</x:v>
      </x:c>
      <x:c r="N608" t="n">
        <x:v>31</x:v>
      </x:c>
      <x:c r="O608" s="45" t="n">
        <x:v>545190</x:v>
      </x:c>
      <x:c r="P608" s="45" t="n">
        <x:v>41000</x:v>
      </x:c>
      <x:c r="Q608" t="str">
        <x:v>Entregue</x:v>
      </x:c>
      <x:c r="R608" t="str"/>
      <x:c r="S608" t="str">
        <x:v>Nao</x:v>
      </x:c>
      <x:c r="T608" t="str">
        <x:v>Nao</x:v>
      </x:c>
    </x:row>
    <x:row r="609" ht="19" customHeight="1">
      <x:c r="A609" t="str">
        <x:v>ENT-00608</x:v>
      </x:c>
      <x:c r="B609" s="41" t="n">
        <x:v>46246</x:v>
      </x:c>
      <x:c r="C609" s="41" t="n">
        <x:v>46248</x:v>
      </x:c>
      <x:c r="D609" s="41" t="n">
        <x:v>46248</x:v>
      </x:c>
      <x:c r="E609" t="str">
        <x:v>Ponto Logístico, Lda.</x:v>
      </x:c>
      <x:c r="F609" t="str">
        <x:v>Cacuaco</x:v>
      </x:c>
      <x:c r="G609" t="str">
        <x:v>Isaías Pedro</x:v>
      </x:c>
      <x:c r="H609" t="str">
        <x:v>VTR-10</x:v>
      </x:c>
      <x:c r="I609" t="str">
        <x:v>Foton Aumark</x:v>
      </x:c>
      <x:c r="J609" t="n">
        <x:v>4000</x:v>
      </x:c>
      <x:c r="K609" t="n">
        <x:v>85</x:v>
      </x:c>
      <x:c r="L609" t="n">
        <x:v>85</x:v>
      </x:c>
      <x:c r="M609" t="n">
        <x:v>2320.2</x:v>
      </x:c>
      <x:c r="N609" t="n">
        <x:v>35</x:v>
      </x:c>
      <x:c r="O609" s="45" t="n">
        <x:v>1674755</x:v>
      </x:c>
      <x:c r="P609" s="45" t="n">
        <x:v>67000</x:v>
      </x:c>
      <x:c r="Q609" t="str">
        <x:v>Entregue</x:v>
      </x:c>
      <x:c r="R609" t="str"/>
      <x:c r="S609" t="str">
        <x:v>Nao</x:v>
      </x:c>
      <x:c r="T609" t="str">
        <x:v>Nao</x:v>
      </x:c>
    </x:row>
    <x:row r="610" ht="19" customHeight="1">
      <x:c r="A610" t="str">
        <x:v>ENT-00609</x:v>
      </x:c>
      <x:c r="B610" s="41" t="n">
        <x:v>46233</x:v>
      </x:c>
      <x:c r="C610" s="41" t="n">
        <x:v>46235</x:v>
      </x:c>
      <x:c r="D610" s="41" t="n">
        <x:v>46238</x:v>
      </x:c>
      <x:c r="E610" t="str">
        <x:v>Luanda Office Supply, Lda.</x:v>
      </x:c>
      <x:c r="F610" t="str">
        <x:v>Kilamba</x:v>
      </x:c>
      <x:c r="G610" t="str">
        <x:v>Dário Joaquim</x:v>
      </x:c>
      <x:c r="H610" t="str">
        <x:v>VTR-04</x:v>
      </x:c>
      <x:c r="I610" t="str">
        <x:v>Toyota Dyna</x:v>
      </x:c>
      <x:c r="J610" t="n">
        <x:v>3000</x:v>
      </x:c>
      <x:c r="K610" t="n">
        <x:v>47</x:v>
      </x:c>
      <x:c r="L610" t="n">
        <x:v>47</x:v>
      </x:c>
      <x:c r="M610" t="n">
        <x:v>417.8</x:v>
      </x:c>
      <x:c r="N610" t="n">
        <x:v>38</x:v>
      </x:c>
      <x:c r="O610" s="45" t="n">
        <x:v>893094</x:v>
      </x:c>
      <x:c r="P610" s="45" t="n">
        <x:v>32500</x:v>
      </x:c>
      <x:c r="Q610" t="str">
        <x:v>Entregue</x:v>
      </x:c>
      <x:c r="R610" t="str">
        <x:v>Cliente indisponivel</x:v>
      </x:c>
      <x:c r="S610" t="str">
        <x:v>Nao</x:v>
      </x:c>
      <x:c r="T610" t="str">
        <x:v>Nao</x:v>
      </x:c>
    </x:row>
    <x:row r="611" ht="19" customHeight="1">
      <x:c r="A611" t="str">
        <x:v>ENT-00610</x:v>
      </x:c>
      <x:c r="B611" s="41" t="n">
        <x:v>46242</x:v>
      </x:c>
      <x:c r="C611" s="41" t="n">
        <x:v>46244</x:v>
      </x:c>
      <x:c r="D611" s="41" t="n">
        <x:v>46245</x:v>
      </x:c>
      <x:c r="E611" t="str">
        <x:v>Bem-Estar Higiene, Lda.</x:v>
      </x:c>
      <x:c r="F611" t="str">
        <x:v>Viana</x:v>
      </x:c>
      <x:c r="G611" t="str">
        <x:v>Kito Alberto</x:v>
      </x:c>
      <x:c r="H611" t="str">
        <x:v>VTR-12</x:v>
      </x:c>
      <x:c r="I611" t="str">
        <x:v>Hyundai H100</x:v>
      </x:c>
      <x:c r="J611" t="n">
        <x:v>1300</x:v>
      </x:c>
      <x:c r="K611" t="n">
        <x:v>43</x:v>
      </x:c>
      <x:c r="L611" t="n">
        <x:v>43</x:v>
      </x:c>
      <x:c r="M611" t="n">
        <x:v>702.1</x:v>
      </x:c>
      <x:c r="N611" t="n">
        <x:v>38</x:v>
      </x:c>
      <x:c r="O611" s="45" t="n">
        <x:v>288100</x:v>
      </x:c>
      <x:c r="P611" s="45" t="n">
        <x:v>32500</x:v>
      </x:c>
      <x:c r="Q611" t="str">
        <x:v>Entregue</x:v>
      </x:c>
      <x:c r="R611" t="str">
        <x:v>Chuva/condicao da via</x:v>
      </x:c>
      <x:c r="S611" t="str">
        <x:v>Nao</x:v>
      </x:c>
      <x:c r="T611" t="str">
        <x:v>Nao</x:v>
      </x:c>
    </x:row>
    <x:row r="612" ht="19" customHeight="1">
      <x:c r="A612" t="str">
        <x:v>ENT-00611</x:v>
      </x:c>
      <x:c r="B612" s="41" t="n">
        <x:v>46251</x:v>
      </x:c>
      <x:c r="C612" s="41" t="n">
        <x:v>46254</x:v>
      </x:c>
      <x:c r="D612" s="41" t="n">
        <x:v>46253</x:v>
      </x:c>
      <x:c r="E612" t="str">
        <x:v>Kwanza Distribuição, Lda.</x:v>
      </x:c>
      <x:c r="F612" t="str">
        <x:v>Sequele</x:v>
      </x:c>
      <x:c r="G612" t="str">
        <x:v>Kito Alberto</x:v>
      </x:c>
      <x:c r="H612" t="str">
        <x:v>VTR-10</x:v>
      </x:c>
      <x:c r="I612" t="str">
        <x:v>Foton Aumark</x:v>
      </x:c>
      <x:c r="J612" t="n">
        <x:v>4000</x:v>
      </x:c>
      <x:c r="K612" t="n">
        <x:v>81</x:v>
      </x:c>
      <x:c r="L612" t="n">
        <x:v>81</x:v>
      </x:c>
      <x:c r="M612" t="n">
        <x:v>1940.1</x:v>
      </x:c>
      <x:c r="N612" t="n">
        <x:v>48</x:v>
      </x:c>
      <x:c r="O612" s="45" t="n">
        <x:v>1610928</x:v>
      </x:c>
      <x:c r="P612" s="45" t="n">
        <x:v>63000</x:v>
      </x:c>
      <x:c r="Q612" t="str">
        <x:v>Entregue</x:v>
      </x:c>
      <x:c r="R612" t="str"/>
      <x:c r="S612" t="str">
        <x:v>Nao</x:v>
      </x:c>
      <x:c r="T612" t="str">
        <x:v>Nao</x:v>
      </x:c>
    </x:row>
    <x:row r="613" ht="19" customHeight="1">
      <x:c r="A613" t="str">
        <x:v>ENT-00612</x:v>
      </x:c>
      <x:c r="B613" s="41" t="n">
        <x:v>46264</x:v>
      </x:c>
      <x:c r="C613" s="41" t="n">
        <x:v>46266</x:v>
      </x:c>
      <x:c r="D613" s="41" t="n">
        <x:v>46266</x:v>
      </x:c>
      <x:c r="E613" t="str">
        <x:v>Rota Azul, Lda.</x:v>
      </x:c>
      <x:c r="F613" t="str">
        <x:v>Nova Vida</x:v>
      </x:c>
      <x:c r="G613" t="str">
        <x:v>Gilberto José</x:v>
      </x:c>
      <x:c r="H613" t="str">
        <x:v>VTR-10</x:v>
      </x:c>
      <x:c r="I613" t="str">
        <x:v>Foton Aumark</x:v>
      </x:c>
      <x:c r="J613" t="n">
        <x:v>4000</x:v>
      </x:c>
      <x:c r="K613" t="n">
        <x:v>31</x:v>
      </x:c>
      <x:c r="L613" t="n">
        <x:v>31</x:v>
      </x:c>
      <x:c r="M613" t="n">
        <x:v>540.4</x:v>
      </x:c>
      <x:c r="N613" t="n">
        <x:v>21</x:v>
      </x:c>
      <x:c r="O613" s="45" t="n">
        <x:v>481182</x:v>
      </x:c>
      <x:c r="P613" s="45" t="n">
        <x:v>24500</x:v>
      </x:c>
      <x:c r="Q613" t="str">
        <x:v>Entregue</x:v>
      </x:c>
      <x:c r="R613" t="str"/>
      <x:c r="S613" t="str">
        <x:v>Nao</x:v>
      </x:c>
      <x:c r="T613" t="str">
        <x:v>Nao</x:v>
      </x:c>
    </x:row>
    <x:row r="614" ht="19" customHeight="1">
      <x:c r="A614" t="str">
        <x:v>ENT-00613</x:v>
      </x:c>
      <x:c r="B614" s="41" t="n">
        <x:v>46244</x:v>
      </x:c>
      <x:c r="C614" s="41" t="n">
        <x:v>46245</x:v>
      </x:c>
      <x:c r="D614" s="41" t="n">
        <x:v>46248</x:v>
      </x:c>
      <x:c r="E614" t="str">
        <x:v>Prime Stock, Lda.</x:v>
      </x:c>
      <x:c r="F614" t="str">
        <x:v>Maianga</x:v>
      </x:c>
      <x:c r="G614" t="str">
        <x:v>Carlos Mateus</x:v>
      </x:c>
      <x:c r="H614" t="str">
        <x:v>VTR-06</x:v>
      </x:c>
      <x:c r="I614" t="str">
        <x:v>Isuzu NPR</x:v>
      </x:c>
      <x:c r="J614" t="n">
        <x:v>5000</x:v>
      </x:c>
      <x:c r="K614" t="n">
        <x:v>20</x:v>
      </x:c>
      <x:c r="L614" t="n">
        <x:v>0</x:v>
      </x:c>
      <x:c r="M614" t="n">
        <x:v>354.8</x:v>
      </x:c>
      <x:c r="N614" t="n">
        <x:v>14</x:v>
      </x:c>
      <x:c r="O614" s="45" t="n">
        <x:v>331380</x:v>
      </x:c>
      <x:c r="P614" s="45" t="n">
        <x:v>20000</x:v>
      </x:c>
      <x:c r="Q614" t="str">
        <x:v>Falhada</x:v>
      </x:c>
      <x:c r="R614" t="str">
        <x:v>Cliente ausente</x:v>
      </x:c>
      <x:c r="S614" t="str">
        <x:v>Nao</x:v>
      </x:c>
      <x:c r="T614" t="str">
        <x:v>Nao</x:v>
      </x:c>
    </x:row>
    <x:row r="615" ht="19" customHeight="1">
      <x:c r="A615" t="str">
        <x:v>ENT-00614</x:v>
      </x:c>
      <x:c r="B615" s="41" t="n">
        <x:v>46204</x:v>
      </x:c>
      <x:c r="C615" s="41" t="n">
        <x:v>46206</x:v>
      </x:c>
      <x:c r="D615" s="41" t="n">
        <x:v>46206</x:v>
      </x:c>
      <x:c r="E615" t="str">
        <x:v>Mundo Fresco, Lda.</x:v>
      </x:c>
      <x:c r="F615" t="str">
        <x:v>Viana</x:v>
      </x:c>
      <x:c r="G615" t="str">
        <x:v>Carlos Mateus</x:v>
      </x:c>
      <x:c r="H615" t="str">
        <x:v>VTR-01</x:v>
      </x:c>
      <x:c r="I615" t="str">
        <x:v>Kia K2700</x:v>
      </x:c>
      <x:c r="J615" t="n">
        <x:v>1500</x:v>
      </x:c>
      <x:c r="K615" t="n">
        <x:v>32</x:v>
      </x:c>
      <x:c r="L615" t="n">
        <x:v>32</x:v>
      </x:c>
      <x:c r="M615" t="n">
        <x:v>703.6</x:v>
      </x:c>
      <x:c r="N615" t="n">
        <x:v>31</x:v>
      </x:c>
      <x:c r="O615" s="45" t="n">
        <x:v>660032</x:v>
      </x:c>
      <x:c r="P615" s="45" t="n">
        <x:v>34500</x:v>
      </x:c>
      <x:c r="Q615" t="str">
        <x:v>Entregue</x:v>
      </x:c>
      <x:c r="R615" t="str"/>
      <x:c r="S615" t="str">
        <x:v>Nao</x:v>
      </x:c>
      <x:c r="T615" t="str">
        <x:v>Nao</x:v>
      </x:c>
    </x:row>
    <x:row r="616" ht="19" customHeight="1">
      <x:c r="A616" t="str">
        <x:v>ENT-00615</x:v>
      </x:c>
      <x:c r="B616" s="41" t="n">
        <x:v>46233</x:v>
      </x:c>
      <x:c r="C616" s="41" t="n">
        <x:v>46234</x:v>
      </x:c>
      <x:c r="D616" s="41" t="n">
        <x:v>46234</x:v>
      </x:c>
      <x:c r="E616" t="str">
        <x:v>Savana Retail, Lda.</x:v>
      </x:c>
      <x:c r="F616" t="str">
        <x:v>Morro Bento</x:v>
      </x:c>
      <x:c r="G616" t="str">
        <x:v>Kito Alberto</x:v>
      </x:c>
      <x:c r="H616" t="str">
        <x:v>VTR-01</x:v>
      </x:c>
      <x:c r="I616" t="str">
        <x:v>Kia K2700</x:v>
      </x:c>
      <x:c r="J616" t="n">
        <x:v>1500</x:v>
      </x:c>
      <x:c r="K616" t="n">
        <x:v>41</x:v>
      </x:c>
      <x:c r="L616" t="n">
        <x:v>41</x:v>
      </x:c>
      <x:c r="M616" t="n">
        <x:v>857</x:v>
      </x:c>
      <x:c r="N616" t="n">
        <x:v>14</x:v>
      </x:c>
      <x:c r="O616" s="45" t="n">
        <x:v>844395</x:v>
      </x:c>
      <x:c r="P616" s="45" t="n">
        <x:v>24500</x:v>
      </x:c>
      <x:c r="Q616" t="str">
        <x:v>Entregue</x:v>
      </x:c>
      <x:c r="R616" t="str"/>
      <x:c r="S616" t="str">
        <x:v>Nao</x:v>
      </x:c>
      <x:c r="T616" t="str">
        <x:v>Nao</x:v>
      </x:c>
    </x:row>
    <x:row r="617" ht="19" customHeight="1">
      <x:c r="A617" t="str">
        <x:v>ENT-00616</x:v>
      </x:c>
      <x:c r="B617" s="41" t="n">
        <x:v>46261</x:v>
      </x:c>
      <x:c r="C617" s="41" t="n">
        <x:v>46263</x:v>
      </x:c>
      <x:c r="D617" s="41" t="n">
        <x:v>46263</x:v>
      </x:c>
      <x:c r="E617" t="str">
        <x:v>Maxi Centro, Lda.</x:v>
      </x:c>
      <x:c r="F617" t="str">
        <x:v>Kikuxi</x:v>
      </x:c>
      <x:c r="G617" t="str">
        <x:v>Adriano Manuel</x:v>
      </x:c>
      <x:c r="H617" t="str">
        <x:v>VTR-12</x:v>
      </x:c>
      <x:c r="I617" t="str">
        <x:v>Hyundai H100</x:v>
      </x:c>
      <x:c r="J617" t="n">
        <x:v>1300</x:v>
      </x:c>
      <x:c r="K617" t="n">
        <x:v>6</x:v>
      </x:c>
      <x:c r="L617" t="n">
        <x:v>6</x:v>
      </x:c>
      <x:c r="M617" t="n">
        <x:v>117.8</x:v>
      </x:c>
      <x:c r="N617" t="n">
        <x:v>27</x:v>
      </x:c>
      <x:c r="O617" s="45" t="n">
        <x:v>93192</x:v>
      </x:c>
      <x:c r="P617" s="45" t="n">
        <x:v>19500</x:v>
      </x:c>
      <x:c r="Q617" t="str">
        <x:v>Entregue</x:v>
      </x:c>
      <x:c r="R617" t="str"/>
      <x:c r="S617" t="str">
        <x:v>Nao</x:v>
      </x:c>
      <x:c r="T617" t="str">
        <x:v>Nao</x:v>
      </x:c>
    </x:row>
    <x:row r="618" ht="19" customHeight="1">
      <x:c r="A618" t="str">
        <x:v>ENT-00617</x:v>
      </x:c>
      <x:c r="B618" s="41" t="n">
        <x:v>46239</x:v>
      </x:c>
      <x:c r="C618" s="41" t="n">
        <x:v>46241</x:v>
      </x:c>
      <x:c r="D618" s="41" t="n">
        <x:v>46241</x:v>
      </x:c>
      <x:c r="E618" t="str">
        <x:v>Atlântico Farma, Lda.</x:v>
      </x:c>
      <x:c r="F618" t="str">
        <x:v>Morro Bento</x:v>
      </x:c>
      <x:c r="G618" t="str">
        <x:v>Carlos Mateus</x:v>
      </x:c>
      <x:c r="H618" t="str">
        <x:v>VTR-10</x:v>
      </x:c>
      <x:c r="I618" t="str">
        <x:v>Foton Aumark</x:v>
      </x:c>
      <x:c r="J618" t="n">
        <x:v>4000</x:v>
      </x:c>
      <x:c r="K618" t="n">
        <x:v>86</x:v>
      </x:c>
      <x:c r="L618" t="n">
        <x:v>86</x:v>
      </x:c>
      <x:c r="M618" t="n">
        <x:v>1763.5</x:v>
      </x:c>
      <x:c r="N618" t="n">
        <x:v>25</x:v>
      </x:c>
      <x:c r="O618" s="45" t="n">
        <x:v>1162462</x:v>
      </x:c>
      <x:c r="P618" s="45" t="n">
        <x:v>53500</x:v>
      </x:c>
      <x:c r="Q618" t="str">
        <x:v>Entregue</x:v>
      </x:c>
      <x:c r="R618" t="str"/>
      <x:c r="S618" t="str">
        <x:v>Nao</x:v>
      </x:c>
      <x:c r="T618" t="str">
        <x:v>Nao</x:v>
      </x:c>
    </x:row>
    <x:row r="619" ht="19" customHeight="1">
      <x:c r="A619" t="str">
        <x:v>ENT-00618</x:v>
      </x:c>
      <x:c r="B619" s="41" t="n">
        <x:v>46247</x:v>
      </x:c>
      <x:c r="C619" s="41" t="n">
        <x:v>46249</x:v>
      </x:c>
      <x:c r="D619" s="41" t="n">
        <x:v>46249</x:v>
      </x:c>
      <x:c r="E619" t="str">
        <x:v>Maxi Centro, Lda.</x:v>
      </x:c>
      <x:c r="F619" t="str">
        <x:v>Nova Vida</x:v>
      </x:c>
      <x:c r="G619" t="str">
        <x:v>Elísio António</x:v>
      </x:c>
      <x:c r="H619" t="str">
        <x:v>VTR-10</x:v>
      </x:c>
      <x:c r="I619" t="str">
        <x:v>Foton Aumark</x:v>
      </x:c>
      <x:c r="J619" t="n">
        <x:v>4000</x:v>
      </x:c>
      <x:c r="K619" t="n">
        <x:v>44</x:v>
      </x:c>
      <x:c r="L619" t="n">
        <x:v>44</x:v>
      </x:c>
      <x:c r="M619" t="n">
        <x:v>922.2</x:v>
      </x:c>
      <x:c r="N619" t="n">
        <x:v>25</x:v>
      </x:c>
      <x:c r="O619" s="45" t="n">
        <x:v>1141492</x:v>
      </x:c>
      <x:c r="P619" s="45" t="n">
        <x:v>32500</x:v>
      </x:c>
      <x:c r="Q619" t="str">
        <x:v>Entregue</x:v>
      </x:c>
      <x:c r="R619" t="str"/>
      <x:c r="S619" t="str">
        <x:v>Nao</x:v>
      </x:c>
      <x:c r="T619" t="str">
        <x:v>Nao</x:v>
      </x:c>
    </x:row>
    <x:row r="620" ht="19" customHeight="1">
      <x:c r="A620" t="str">
        <x:v>ENT-00619</x:v>
      </x:c>
      <x:c r="B620" s="41" t="n">
        <x:v>46243</x:v>
      </x:c>
      <x:c r="C620" s="41" t="n">
        <x:v>46245</x:v>
      </x:c>
      <x:c r="D620" s="41" t="n">
        <x:v>46245</x:v>
      </x:c>
      <x:c r="E620" t="str">
        <x:v>Ponto Logístico, Lda.</x:v>
      </x:c>
      <x:c r="F620" t="str">
        <x:v>Talatona</x:v>
      </x:c>
      <x:c r="G620" t="str">
        <x:v>Kito Alberto</x:v>
      </x:c>
      <x:c r="H620" t="str">
        <x:v>VTR-11</x:v>
      </x:c>
      <x:c r="I620" t="str">
        <x:v>JAC N56</x:v>
      </x:c>
      <x:c r="J620" t="n">
        <x:v>3500</x:v>
      </x:c>
      <x:c r="K620" t="n">
        <x:v>32</x:v>
      </x:c>
      <x:c r="L620" t="n">
        <x:v>32</x:v>
      </x:c>
      <x:c r="M620" t="n">
        <x:v>873.2</x:v>
      </x:c>
      <x:c r="N620" t="n">
        <x:v>26</x:v>
      </x:c>
      <x:c r="O620" s="45" t="n">
        <x:v>262688</x:v>
      </x:c>
      <x:c r="P620" s="45" t="n">
        <x:v>36500</x:v>
      </x:c>
      <x:c r="Q620" t="str">
        <x:v>Entregue</x:v>
      </x:c>
      <x:c r="R620" t="str"/>
      <x:c r="S620" t="str">
        <x:v>Nao</x:v>
      </x:c>
      <x:c r="T620" t="str">
        <x:v>Nao</x:v>
      </x:c>
    </x:row>
    <x:row r="621" ht="19" customHeight="1">
      <x:c r="A621" t="str">
        <x:v>ENT-00620</x:v>
      </x:c>
      <x:c r="B621" s="41" t="n">
        <x:v>46260</x:v>
      </x:c>
      <x:c r="C621" s="41" t="n">
        <x:v>46262</x:v>
      </x:c>
      <x:c r="D621" s="41" t="n">
        <x:v>46262</x:v>
      </x:c>
      <x:c r="E621" t="str">
        <x:v>N'gola Market, Lda.</x:v>
      </x:c>
      <x:c r="F621" t="str">
        <x:v>Kilamba</x:v>
      </x:c>
      <x:c r="G621" t="str">
        <x:v>Jorge Mário</x:v>
      </x:c>
      <x:c r="H621" t="str">
        <x:v>VTR-11</x:v>
      </x:c>
      <x:c r="I621" t="str">
        <x:v>JAC N56</x:v>
      </x:c>
      <x:c r="J621" t="n">
        <x:v>3500</x:v>
      </x:c>
      <x:c r="K621" t="n">
        <x:v>19</x:v>
      </x:c>
      <x:c r="L621" t="n">
        <x:v>19</x:v>
      </x:c>
      <x:c r="M621" t="n">
        <x:v>614.1</x:v>
      </x:c>
      <x:c r="N621" t="n">
        <x:v>25</x:v>
      </x:c>
      <x:c r="O621" s="45" t="n">
        <x:v>338827</x:v>
      </x:c>
      <x:c r="P621" s="45" t="n">
        <x:v>30500</x:v>
      </x:c>
      <x:c r="Q621" t="str">
        <x:v>Entregue</x:v>
      </x:c>
      <x:c r="R621" t="str"/>
      <x:c r="S621" t="str">
        <x:v>Nao</x:v>
      </x:c>
      <x:c r="T621" t="str">
        <x:v>Nao</x:v>
      </x:c>
    </x:row>
    <x:row r="622" ht="19" customHeight="1">
      <x:c r="A622" t="str">
        <x:v>ENT-00621</x:v>
      </x:c>
      <x:c r="B622" s="41" t="n">
        <x:v>46228</x:v>
      </x:c>
      <x:c r="C622" s="41" t="n">
        <x:v>46230</x:v>
      </x:c>
      <x:c r="D622" s="41" t="n">
        <x:v>46229</x:v>
      </x:c>
      <x:c r="E622" t="str">
        <x:v>Atlântico Farma, Lda.</x:v>
      </x:c>
      <x:c r="F622" t="str">
        <x:v>Nova Vida</x:v>
      </x:c>
      <x:c r="G622" t="str">
        <x:v>Lucas Tomás</x:v>
      </x:c>
      <x:c r="H622" t="str">
        <x:v>VTR-07</x:v>
      </x:c>
      <x:c r="I622" t="str">
        <x:v>Isuzu NPR</x:v>
      </x:c>
      <x:c r="J622" t="n">
        <x:v>5000</x:v>
      </x:c>
      <x:c r="K622" t="n">
        <x:v>27</x:v>
      </x:c>
      <x:c r="L622" t="n">
        <x:v>27</x:v>
      </x:c>
      <x:c r="M622" t="n">
        <x:v>211</x:v>
      </x:c>
      <x:c r="N622" t="n">
        <x:v>25</x:v>
      </x:c>
      <x:c r="O622" s="45" t="n">
        <x:v>276264</x:v>
      </x:c>
      <x:c r="P622" s="45" t="n">
        <x:v>19500</x:v>
      </x:c>
      <x:c r="Q622" t="str">
        <x:v>Entregue</x:v>
      </x:c>
      <x:c r="R622" t="str"/>
      <x:c r="S622" t="str">
        <x:v>Nao</x:v>
      </x:c>
      <x:c r="T622" t="str">
        <x:v>Nao</x:v>
      </x:c>
    </x:row>
    <x:row r="623" ht="19" customHeight="1">
      <x:c r="A623" t="str">
        <x:v>ENT-00622</x:v>
      </x:c>
      <x:c r="B623" s="41" t="n">
        <x:v>46219</x:v>
      </x:c>
      <x:c r="C623" s="41" t="n">
        <x:v>46221</x:v>
      </x:c>
      <x:c r="D623" s="41" t="n">
        <x:v>46221</x:v>
      </x:c>
      <x:c r="E623" t="str">
        <x:v>Via Certa Serviços, Lda.</x:v>
      </x:c>
      <x:c r="F623" t="str">
        <x:v>Nova Vida</x:v>
      </x:c>
      <x:c r="G623" t="str">
        <x:v>Lucas Tomás</x:v>
      </x:c>
      <x:c r="H623" t="str">
        <x:v>VTR-08</x:v>
      </x:c>
      <x:c r="I623" t="str">
        <x:v>Toyota Hilux</x:v>
      </x:c>
      <x:c r="J623" t="n">
        <x:v>1000</x:v>
      </x:c>
      <x:c r="K623" t="n">
        <x:v>82</x:v>
      </x:c>
      <x:c r="L623" t="n">
        <x:v>82</x:v>
      </x:c>
      <x:c r="M623" t="n">
        <x:v>704</x:v>
      </x:c>
      <x:c r="N623" t="n">
        <x:v>23</x:v>
      </x:c>
      <x:c r="O623" s="45" t="n">
        <x:v>1735448</x:v>
      </x:c>
      <x:c r="P623" s="45" t="n">
        <x:v>31000</x:v>
      </x:c>
      <x:c r="Q623" t="str">
        <x:v>Entregue</x:v>
      </x:c>
      <x:c r="R623" t="str"/>
      <x:c r="S623" t="str">
        <x:v>Nao</x:v>
      </x:c>
      <x:c r="T623" t="str">
        <x:v>Nao</x:v>
      </x:c>
    </x:row>
    <x:row r="624" ht="19" customHeight="1">
      <x:c r="A624" t="str">
        <x:v>ENT-00623</x:v>
      </x:c>
      <x:c r="B624" s="41" t="n">
        <x:v>46215</x:v>
      </x:c>
      <x:c r="C624" s="41" t="n">
        <x:v>46217</x:v>
      </x:c>
      <x:c r="D624" s="41" t="n">
        <x:v>46217</x:v>
      </x:c>
      <x:c r="E624" t="str">
        <x:v>Kiala &amp; Filhos, Lda.</x:v>
      </x:c>
      <x:c r="F624" t="str">
        <x:v>Cacuaco</x:v>
      </x:c>
      <x:c r="G624" t="str">
        <x:v>Hélder Miguel</x:v>
      </x:c>
      <x:c r="H624" t="str">
        <x:v>VTR-02</x:v>
      </x:c>
      <x:c r="I624" t="str">
        <x:v>Kia K2700</x:v>
      </x:c>
      <x:c r="J624" t="n">
        <x:v>1500</x:v>
      </x:c>
      <x:c r="K624" t="n">
        <x:v>60</x:v>
      </x:c>
      <x:c r="L624" t="n">
        <x:v>60</x:v>
      </x:c>
      <x:c r="M624" t="n">
        <x:v>1201.7</x:v>
      </x:c>
      <x:c r="N624" t="n">
        <x:v>37</x:v>
      </x:c>
      <x:c r="O624" s="45" t="n">
        <x:v>937200</x:v>
      </x:c>
      <x:c r="P624" s="45" t="n">
        <x:v>47000</x:v>
      </x:c>
      <x:c r="Q624" t="str">
        <x:v>Entregue</x:v>
      </x:c>
      <x:c r="R624" t="str"/>
      <x:c r="S624" t="str">
        <x:v>Nao</x:v>
      </x:c>
      <x:c r="T624" t="str">
        <x:v>Nao</x:v>
      </x:c>
    </x:row>
    <x:row r="625" ht="19" customHeight="1">
      <x:c r="A625" t="str">
        <x:v>ENT-00624</x:v>
      </x:c>
      <x:c r="B625" s="41" t="n">
        <x:v>46211</x:v>
      </x:c>
      <x:c r="C625" s="41" t="n">
        <x:v>46213</x:v>
      </x:c>
      <x:c r="D625" s="41" t="n">
        <x:v>46216</x:v>
      </x:c>
      <x:c r="E625" t="str">
        <x:v>Sol Nascente Comércio, Lda.</x:v>
      </x:c>
      <x:c r="F625" t="str">
        <x:v>Nova Vida</x:v>
      </x:c>
      <x:c r="G625" t="str">
        <x:v>Bernardo Paulo</x:v>
      </x:c>
      <x:c r="H625" t="str">
        <x:v>VTR-09</x:v>
      </x:c>
      <x:c r="I625" t="str">
        <x:v>Toyota Hilux</x:v>
      </x:c>
      <x:c r="J625" t="n">
        <x:v>1000</x:v>
      </x:c>
      <x:c r="K625" t="n">
        <x:v>19</x:v>
      </x:c>
      <x:c r="L625" t="n">
        <x:v>0</x:v>
      </x:c>
      <x:c r="M625" t="n">
        <x:v>635.9</x:v>
      </x:c>
      <x:c r="N625" t="n">
        <x:v>25</x:v>
      </x:c>
      <x:c r="O625" s="45" t="n">
        <x:v>302632</x:v>
      </x:c>
      <x:c r="P625" s="45" t="n">
        <x:v>31000</x:v>
      </x:c>
      <x:c r="Q625" t="str">
        <x:v>Falhada</x:v>
      </x:c>
      <x:c r="R625" t="str">
        <x:v>Acesso condicionado</x:v>
      </x:c>
      <x:c r="S625" t="str">
        <x:v>Nao</x:v>
      </x:c>
      <x:c r="T625" t="str">
        <x:v>Nao</x:v>
      </x:c>
    </x:row>
    <x:row r="626" ht="19" customHeight="1">
      <x:c r="A626" t="str">
        <x:v>ENT-00625</x:v>
      </x:c>
      <x:c r="B626" s="41" t="n">
        <x:v>46217</x:v>
      </x:c>
      <x:c r="C626" s="41" t="n">
        <x:v>46220</x:v>
      </x:c>
      <x:c r="D626" s="41" t="n">
        <x:v>46220</x:v>
      </x:c>
      <x:c r="E626" t="str">
        <x:v>Nova Rota Comercial, Lda.</x:v>
      </x:c>
      <x:c r="F626" t="str">
        <x:v>Cacuaco</x:v>
      </x:c>
      <x:c r="G626" t="str">
        <x:v>Carlos Mateus</x:v>
      </x:c>
      <x:c r="H626" t="str">
        <x:v>VTR-09</x:v>
      </x:c>
      <x:c r="I626" t="str">
        <x:v>Toyota Hilux</x:v>
      </x:c>
      <x:c r="J626" t="n">
        <x:v>1000</x:v>
      </x:c>
      <x:c r="K626" t="n">
        <x:v>45</x:v>
      </x:c>
      <x:c r="L626" t="n">
        <x:v>43</x:v>
      </x:c>
      <x:c r="M626" t="n">
        <x:v>790.5</x:v>
      </x:c>
      <x:c r="N626" t="n">
        <x:v>40</x:v>
      </x:c>
      <x:c r="O626" s="45" t="n">
        <x:v>243405</x:v>
      </x:c>
      <x:c r="P626" s="45" t="n">
        <x:v>40500</x:v>
      </x:c>
      <x:c r="Q626" t="str">
        <x:v>Entregue</x:v>
      </x:c>
      <x:c r="R626" t="str"/>
      <x:c r="S626" t="str">
        <x:v>Nao</x:v>
      </x:c>
      <x:c r="T626" t="str">
        <x:v>Nao</x:v>
      </x:c>
    </x:row>
    <x:row r="627" ht="19" customHeight="1">
      <x:c r="A627" t="str">
        <x:v>ENT-00626</x:v>
      </x:c>
      <x:c r="B627" s="41" t="n">
        <x:v>46248</x:v>
      </x:c>
      <x:c r="C627" s="41" t="n">
        <x:v>46250</x:v>
      </x:c>
      <x:c r="D627" s="41" t="n">
        <x:v>46250</x:v>
      </x:c>
      <x:c r="E627" t="str">
        <x:v>Bem-Estar Higiene, Lda.</x:v>
      </x:c>
      <x:c r="F627" t="str">
        <x:v>Camama</x:v>
      </x:c>
      <x:c r="G627" t="str">
        <x:v>Kito Alberto</x:v>
      </x:c>
      <x:c r="H627" t="str">
        <x:v>VTR-08</x:v>
      </x:c>
      <x:c r="I627" t="str">
        <x:v>Toyota Hilux</x:v>
      </x:c>
      <x:c r="J627" t="n">
        <x:v>1000</x:v>
      </x:c>
      <x:c r="K627" t="n">
        <x:v>52</x:v>
      </x:c>
      <x:c r="L627" t="n">
        <x:v>52</x:v>
      </x:c>
      <x:c r="M627" t="n">
        <x:v>536.3</x:v>
      </x:c>
      <x:c r="N627" t="n">
        <x:v>22</x:v>
      </x:c>
      <x:c r="O627" s="45" t="n">
        <x:v>1162252</x:v>
      </x:c>
      <x:c r="P627" s="45" t="n">
        <x:v>27500</x:v>
      </x:c>
      <x:c r="Q627" t="str">
        <x:v>Entregue</x:v>
      </x:c>
      <x:c r="R627" t="str"/>
      <x:c r="S627" t="str">
        <x:v>Nao</x:v>
      </x:c>
      <x:c r="T627" t="str">
        <x:v>Nao</x:v>
      </x:c>
    </x:row>
    <x:row r="628" ht="19" customHeight="1">
      <x:c r="A628" t="str">
        <x:v>ENT-00627</x:v>
      </x:c>
      <x:c r="B628" s="41" t="n">
        <x:v>46207</x:v>
      </x:c>
      <x:c r="C628" s="41" t="n">
        <x:v>46209</x:v>
      </x:c>
      <x:c r="D628" s="41" t="n">
        <x:v>46209</x:v>
      </x:c>
      <x:c r="E628" t="str">
        <x:v>Kwanza Distribuição, Lda.</x:v>
      </x:c>
      <x:c r="F628" t="str">
        <x:v>Kilamba</x:v>
      </x:c>
      <x:c r="G628" t="str">
        <x:v>Bernardo Paulo</x:v>
      </x:c>
      <x:c r="H628" t="str">
        <x:v>VTR-08</x:v>
      </x:c>
      <x:c r="I628" t="str">
        <x:v>Toyota Hilux</x:v>
      </x:c>
      <x:c r="J628" t="n">
        <x:v>1000</x:v>
      </x:c>
      <x:c r="K628" t="n">
        <x:v>72</x:v>
      </x:c>
      <x:c r="L628" t="n">
        <x:v>72</x:v>
      </x:c>
      <x:c r="M628" t="n">
        <x:v>721.6</x:v>
      </x:c>
      <x:c r="N628" t="n">
        <x:v>36</x:v>
      </x:c>
      <x:c r="O628" s="45" t="n">
        <x:v>871560</x:v>
      </x:c>
      <x:c r="P628" s="45" t="n">
        <x:v>33500</x:v>
      </x:c>
      <x:c r="Q628" t="str">
        <x:v>Entregue</x:v>
      </x:c>
      <x:c r="R628" t="str"/>
      <x:c r="S628" t="str">
        <x:v>Nao</x:v>
      </x:c>
      <x:c r="T628" t="str">
        <x:v>Nao</x:v>
      </x:c>
    </x:row>
    <x:row r="629" ht="19" customHeight="1">
      <x:c r="A629" t="str">
        <x:v>ENT-00628</x:v>
      </x:c>
      <x:c r="B629" s="41" t="n">
        <x:v>46228</x:v>
      </x:c>
      <x:c r="C629" s="41" t="n">
        <x:v>46230</x:v>
      </x:c>
      <x:c r="D629" s="41" t="n">
        <x:v>46231</x:v>
      </x:c>
      <x:c r="E629" t="str">
        <x:v>Prime Stock, Lda.</x:v>
      </x:c>
      <x:c r="F629" t="str">
        <x:v>Zango</x:v>
      </x:c>
      <x:c r="G629" t="str">
        <x:v>Félix Domingos</x:v>
      </x:c>
      <x:c r="H629" t="str">
        <x:v>VTR-11</x:v>
      </x:c>
      <x:c r="I629" t="str">
        <x:v>JAC N56</x:v>
      </x:c>
      <x:c r="J629" t="n">
        <x:v>3500</x:v>
      </x:c>
      <x:c r="K629" t="n">
        <x:v>51</x:v>
      </x:c>
      <x:c r="L629" t="n">
        <x:v>46</x:v>
      </x:c>
      <x:c r="M629" t="n">
        <x:v>1427.6</x:v>
      </x:c>
      <x:c r="N629" t="n">
        <x:v>38</x:v>
      </x:c>
      <x:c r="O629" s="45" t="n">
        <x:v>474963</x:v>
      </x:c>
      <x:c r="P629" s="45" t="n">
        <x:v>44000</x:v>
      </x:c>
      <x:c r="Q629" t="str">
        <x:v>Entregue</x:v>
      </x:c>
      <x:c r="R629" t="str">
        <x:v>Chuva/condicao da via</x:v>
      </x:c>
      <x:c r="S629" t="str">
        <x:v>Nao</x:v>
      </x:c>
      <x:c r="T629" t="str">
        <x:v>Nao</x:v>
      </x:c>
    </x:row>
    <x:row r="630" ht="19" customHeight="1">
      <x:c r="A630" t="str">
        <x:v>ENT-00629</x:v>
      </x:c>
      <x:c r="B630" s="41" t="n">
        <x:v>46214</x:v>
      </x:c>
      <x:c r="C630" s="41" t="n">
        <x:v>46217</x:v>
      </x:c>
      <x:c r="D630" s="41" t="n">
        <x:v>46220</x:v>
      </x:c>
      <x:c r="E630" t="str">
        <x:v>Kiala &amp; Filhos, Lda.</x:v>
      </x:c>
      <x:c r="F630" t="str">
        <x:v>Sequele</x:v>
      </x:c>
      <x:c r="G630" t="str">
        <x:v>Kito Alberto</x:v>
      </x:c>
      <x:c r="H630" t="str">
        <x:v>VTR-07</x:v>
      </x:c>
      <x:c r="I630" t="str">
        <x:v>Isuzu NPR</x:v>
      </x:c>
      <x:c r="J630" t="n">
        <x:v>5000</x:v>
      </x:c>
      <x:c r="K630" t="n">
        <x:v>87</x:v>
      </x:c>
      <x:c r="L630" t="n">
        <x:v>0</x:v>
      </x:c>
      <x:c r="M630" t="n">
        <x:v>2122.4</x:v>
      </x:c>
      <x:c r="N630" t="n">
        <x:v>54</x:v>
      </x:c>
      <x:c r="O630" s="45" t="n">
        <x:v>2094090</x:v>
      </x:c>
      <x:c r="P630" s="45" t="n">
        <x:v>72000</x:v>
      </x:c>
      <x:c r="Q630" t="str">
        <x:v>Falhada</x:v>
      </x:c>
      <x:c r="R630" t="str">
        <x:v>Cliente ausente</x:v>
      </x:c>
      <x:c r="S630" t="str">
        <x:v>Nao</x:v>
      </x:c>
      <x:c r="T630" t="str">
        <x:v>Nao</x:v>
      </x:c>
    </x:row>
    <x:row r="631" ht="19" customHeight="1">
      <x:c r="A631" t="str">
        <x:v>ENT-00630</x:v>
      </x:c>
      <x:c r="B631" s="41" t="n">
        <x:v>46254</x:v>
      </x:c>
      <x:c r="C631" s="41" t="n">
        <x:v>46257</x:v>
      </x:c>
      <x:c r="D631" s="41" t="n">
        <x:v>46257</x:v>
      </x:c>
      <x:c r="E631" t="str">
        <x:v>Maxi Centro, Lda.</x:v>
      </x:c>
      <x:c r="F631" t="str">
        <x:v>Sequele</x:v>
      </x:c>
      <x:c r="G631" t="str">
        <x:v>Carlos Mateus</x:v>
      </x:c>
      <x:c r="H631" t="str">
        <x:v>VTR-12</x:v>
      </x:c>
      <x:c r="I631" t="str">
        <x:v>Hyundai H100</x:v>
      </x:c>
      <x:c r="J631" t="n">
        <x:v>1300</x:v>
      </x:c>
      <x:c r="K631" t="n">
        <x:v>88</x:v>
      </x:c>
      <x:c r="L631" t="n">
        <x:v>88</x:v>
      </x:c>
      <x:c r="M631" t="n">
        <x:v>1221.1</x:v>
      </x:c>
      <x:c r="N631" t="n">
        <x:v>60</x:v>
      </x:c>
      <x:c r="O631" s="45" t="n">
        <x:v>731456</x:v>
      </x:c>
      <x:c r="P631" s="45" t="n">
        <x:v>48000</x:v>
      </x:c>
      <x:c r="Q631" t="str">
        <x:v>Entregue</x:v>
      </x:c>
      <x:c r="R631" t="str"/>
      <x:c r="S631" t="str">
        <x:v>Nao</x:v>
      </x:c>
      <x:c r="T631" t="str">
        <x:v>Nao</x:v>
      </x:c>
    </x:row>
    <x:row r="632" ht="19" customHeight="1">
      <x:c r="A632" t="str">
        <x:v>ENT-00631</x:v>
      </x:c>
      <x:c r="B632" s="41" t="n">
        <x:v>46228</x:v>
      </x:c>
      <x:c r="C632" s="41" t="n">
        <x:v>46229</x:v>
      </x:c>
      <x:c r="D632" s="41" t="n">
        <x:v>46229</x:v>
      </x:c>
      <x:c r="E632" t="str">
        <x:v>Sol Nascente Comércio, Lda.</x:v>
      </x:c>
      <x:c r="F632" t="str">
        <x:v>Maianga</x:v>
      </x:c>
      <x:c r="G632" t="str">
        <x:v>Jorge Mário</x:v>
      </x:c>
      <x:c r="H632" t="str">
        <x:v>VTR-01</x:v>
      </x:c>
      <x:c r="I632" t="str">
        <x:v>Kia K2700</x:v>
      </x:c>
      <x:c r="J632" t="n">
        <x:v>1500</x:v>
      </x:c>
      <x:c r="K632" t="n">
        <x:v>38</x:v>
      </x:c>
      <x:c r="L632" t="n">
        <x:v>38</x:v>
      </x:c>
      <x:c r="M632" t="n">
        <x:v>693.2</x:v>
      </x:c>
      <x:c r="N632" t="n">
        <x:v>11</x:v>
      </x:c>
      <x:c r="O632" s="45" t="n">
        <x:v>603288</x:v>
      </x:c>
      <x:c r="P632" s="45" t="n">
        <x:v>25500</x:v>
      </x:c>
      <x:c r="Q632" t="str">
        <x:v>Entregue</x:v>
      </x:c>
      <x:c r="R632" t="str"/>
      <x:c r="S632" t="str">
        <x:v>Nao</x:v>
      </x:c>
      <x:c r="T632" t="str">
        <x:v>Nao</x:v>
      </x:c>
    </x:row>
    <x:row r="633" ht="19" customHeight="1">
      <x:c r="A633" t="str">
        <x:v>ENT-00632</x:v>
      </x:c>
      <x:c r="B633" s="41" t="n">
        <x:v>46205</x:v>
      </x:c>
      <x:c r="C633" s="41" t="n">
        <x:v>46207</x:v>
      </x:c>
      <x:c r="D633" s="41" t="n">
        <x:v>46207</x:v>
      </x:c>
      <x:c r="E633" t="str">
        <x:v>Atlântico Farma, Lda.</x:v>
      </x:c>
      <x:c r="F633" t="str">
        <x:v>Zango</x:v>
      </x:c>
      <x:c r="G633" t="str">
        <x:v>Félix Domingos</x:v>
      </x:c>
      <x:c r="H633" t="str">
        <x:v>VTR-07</x:v>
      </x:c>
      <x:c r="I633" t="str">
        <x:v>Isuzu NPR</x:v>
      </x:c>
      <x:c r="J633" t="n">
        <x:v>5000</x:v>
      </x:c>
      <x:c r="K633" t="n">
        <x:v>70</x:v>
      </x:c>
      <x:c r="L633" t="n">
        <x:v>70</x:v>
      </x:c>
      <x:c r="M633" t="n">
        <x:v>2039.4</x:v>
      </x:c>
      <x:c r="N633" t="n">
        <x:v>39</x:v>
      </x:c>
      <x:c r="O633" s="45" t="n">
        <x:v>407610</x:v>
      </x:c>
      <x:c r="P633" s="45" t="n">
        <x:v>65500</x:v>
      </x:c>
      <x:c r="Q633" t="str">
        <x:v>Entregue</x:v>
      </x:c>
      <x:c r="R633" t="str"/>
      <x:c r="S633" t="str">
        <x:v>Nao</x:v>
      </x:c>
      <x:c r="T633" t="str">
        <x:v>Nao</x:v>
      </x:c>
    </x:row>
    <x:row r="634" ht="19" customHeight="1">
      <x:c r="A634" t="str">
        <x:v>ENT-00633</x:v>
      </x:c>
      <x:c r="B634" s="41" t="n">
        <x:v>46231</x:v>
      </x:c>
      <x:c r="C634" s="41" t="n">
        <x:v>46234</x:v>
      </x:c>
      <x:c r="D634" s="41" t="n">
        <x:v>46234</x:v>
      </x:c>
      <x:c r="E634" t="str">
        <x:v>Casa Horizonte, Lda.</x:v>
      </x:c>
      <x:c r="F634" t="str">
        <x:v>Sequele</x:v>
      </x:c>
      <x:c r="G634" t="str">
        <x:v>Bernardo Paulo</x:v>
      </x:c>
      <x:c r="H634" t="str">
        <x:v>VTR-12</x:v>
      </x:c>
      <x:c r="I634" t="str">
        <x:v>Hyundai H100</x:v>
      </x:c>
      <x:c r="J634" t="n">
        <x:v>1300</x:v>
      </x:c>
      <x:c r="K634" t="n">
        <x:v>16</x:v>
      </x:c>
      <x:c r="L634" t="n">
        <x:v>16</x:v>
      </x:c>
      <x:c r="M634" t="n">
        <x:v>136.3</x:v>
      </x:c>
      <x:c r="N634" t="n">
        <x:v>56</x:v>
      </x:c>
      <x:c r="O634" s="45" t="n">
        <x:v>63040</x:v>
      </x:c>
      <x:c r="P634" s="45" t="n">
        <x:v>36500</x:v>
      </x:c>
      <x:c r="Q634" t="str">
        <x:v>Entregue</x:v>
      </x:c>
      <x:c r="R634" t="str"/>
      <x:c r="S634" t="str">
        <x:v>Nao</x:v>
      </x:c>
      <x:c r="T634" t="str">
        <x:v>Nao</x:v>
      </x:c>
    </x:row>
    <x:row r="635" ht="19" customHeight="1">
      <x:c r="A635" t="str">
        <x:v>ENT-00634</x:v>
      </x:c>
      <x:c r="B635" s="41" t="n">
        <x:v>46223</x:v>
      </x:c>
      <x:c r="C635" s="41" t="n">
        <x:v>46224</x:v>
      </x:c>
      <x:c r="D635" s="41" t="n">
        <x:v>46225</x:v>
      </x:c>
      <x:c r="E635" t="str">
        <x:v>Nova Rota Comercial, Lda.</x:v>
      </x:c>
      <x:c r="F635" t="str">
        <x:v>Maianga</x:v>
      </x:c>
      <x:c r="G635" t="str">
        <x:v>Gilberto José</x:v>
      </x:c>
      <x:c r="H635" t="str">
        <x:v>VTR-10</x:v>
      </x:c>
      <x:c r="I635" t="str">
        <x:v>Foton Aumark</x:v>
      </x:c>
      <x:c r="J635" t="n">
        <x:v>4000</x:v>
      </x:c>
      <x:c r="K635" t="n">
        <x:v>9</x:v>
      </x:c>
      <x:c r="L635" t="n">
        <x:v>9</x:v>
      </x:c>
      <x:c r="M635" t="n">
        <x:v>114.9</x:v>
      </x:c>
      <x:c r="N635" t="n">
        <x:v>11</x:v>
      </x:c>
      <x:c r="O635" s="45" t="n">
        <x:v>141309</x:v>
      </x:c>
      <x:c r="P635" s="45" t="n">
        <x:v>14000</x:v>
      </x:c>
      <x:c r="Q635" t="str">
        <x:v>Entregue</x:v>
      </x:c>
      <x:c r="R635" t="str">
        <x:v>Transito intenso</x:v>
      </x:c>
      <x:c r="S635" t="str">
        <x:v>Nao</x:v>
      </x:c>
      <x:c r="T635" t="str">
        <x:v>Nao</x:v>
      </x:c>
    </x:row>
    <x:row r="636" ht="19" customHeight="1">
      <x:c r="A636" t="str">
        <x:v>ENT-00635</x:v>
      </x:c>
      <x:c r="B636" s="41" t="n">
        <x:v>46218</x:v>
      </x:c>
      <x:c r="C636" s="41" t="n">
        <x:v>46219</x:v>
      </x:c>
      <x:c r="D636" s="41" t="n">
        <x:v>46222</x:v>
      </x:c>
      <x:c r="E636" t="str">
        <x:v>Rota Azul, Lda.</x:v>
      </x:c>
      <x:c r="F636" t="str">
        <x:v>Ingombota</x:v>
      </x:c>
      <x:c r="G636" t="str">
        <x:v>Bernardo Paulo</x:v>
      </x:c>
      <x:c r="H636" t="str">
        <x:v>VTR-05</x:v>
      </x:c>
      <x:c r="I636" t="str">
        <x:v>Hyundai HD65</x:v>
      </x:c>
      <x:c r="J636" t="n">
        <x:v>3500</x:v>
      </x:c>
      <x:c r="K636" t="n">
        <x:v>61</x:v>
      </x:c>
      <x:c r="L636" t="n">
        <x:v>61</x:v>
      </x:c>
      <x:c r="M636" t="n">
        <x:v>1305.5</x:v>
      </x:c>
      <x:c r="N636" t="n">
        <x:v>8</x:v>
      </x:c>
      <x:c r="O636" s="45" t="n">
        <x:v>992592</x:v>
      </x:c>
      <x:c r="P636" s="45" t="n">
        <x:v>35500</x:v>
      </x:c>
      <x:c r="Q636" t="str">
        <x:v>Entregue</x:v>
      </x:c>
      <x:c r="R636" t="str">
        <x:v>Cliente indisponivel</x:v>
      </x:c>
      <x:c r="S636" t="str">
        <x:v>Nao</x:v>
      </x:c>
      <x:c r="T636" t="str">
        <x:v>Nao</x:v>
      </x:c>
    </x:row>
    <x:row r="637" ht="19" customHeight="1">
      <x:c r="A637" t="str">
        <x:v>ENT-00636</x:v>
      </x:c>
      <x:c r="B637" s="41" t="n">
        <x:v>46231</x:v>
      </x:c>
      <x:c r="C637" s="41" t="n">
        <x:v>46233</x:v>
      </x:c>
      <x:c r="D637" s="41" t="n">
        <x:v>46233</x:v>
      </x:c>
      <x:c r="E637" t="str">
        <x:v>Sol Nascente Comércio, Lda.</x:v>
      </x:c>
      <x:c r="F637" t="str">
        <x:v>Kikuxi</x:v>
      </x:c>
      <x:c r="G637" t="str">
        <x:v>Adriano Manuel</x:v>
      </x:c>
      <x:c r="H637" t="str">
        <x:v>VTR-05</x:v>
      </x:c>
      <x:c r="I637" t="str">
        <x:v>Hyundai HD65</x:v>
      </x:c>
      <x:c r="J637" t="n">
        <x:v>3500</x:v>
      </x:c>
      <x:c r="K637" t="n">
        <x:v>81</x:v>
      </x:c>
      <x:c r="L637" t="n">
        <x:v>81</x:v>
      </x:c>
      <x:c r="M637" t="n">
        <x:v>2307.6</x:v>
      </x:c>
      <x:c r="N637" t="n">
        <x:v>25</x:v>
      </x:c>
      <x:c r="O637" s="45" t="n">
        <x:v>1235412</x:v>
      </x:c>
      <x:c r="P637" s="45" t="n">
        <x:v>51500</x:v>
      </x:c>
      <x:c r="Q637" t="str">
        <x:v>Entregue</x:v>
      </x:c>
      <x:c r="R637" t="str"/>
      <x:c r="S637" t="str">
        <x:v>Nao</x:v>
      </x:c>
      <x:c r="T637" t="str">
        <x:v>Nao</x:v>
      </x:c>
    </x:row>
    <x:row r="638" ht="19" customHeight="1">
      <x:c r="A638" t="str">
        <x:v>ENT-00637</x:v>
      </x:c>
      <x:c r="B638" s="41" t="n">
        <x:v>46259</x:v>
      </x:c>
      <x:c r="C638" s="41" t="n">
        <x:v>46261</x:v>
      </x:c>
      <x:c r="D638" s="41" t="n">
        <x:v>46260</x:v>
      </x:c>
      <x:c r="E638" t="str">
        <x:v>Luanda Office Supply, Lda.</x:v>
      </x:c>
      <x:c r="F638" t="str">
        <x:v>Camama</x:v>
      </x:c>
      <x:c r="G638" t="str">
        <x:v>Jorge Mário</x:v>
      </x:c>
      <x:c r="H638" t="str">
        <x:v>VTR-10</x:v>
      </x:c>
      <x:c r="I638" t="str">
        <x:v>Foton Aumark</x:v>
      </x:c>
      <x:c r="J638" t="n">
        <x:v>4000</x:v>
      </x:c>
      <x:c r="K638" t="n">
        <x:v>8</x:v>
      </x:c>
      <x:c r="L638" t="n">
        <x:v>8</x:v>
      </x:c>
      <x:c r="M638" t="n">
        <x:v>220.8</x:v>
      </x:c>
      <x:c r="N638" t="n">
        <x:v>25</x:v>
      </x:c>
      <x:c r="O638" s="45" t="n">
        <x:v>157224</x:v>
      </x:c>
      <x:c r="P638" s="45" t="n">
        <x:v>22000</x:v>
      </x:c>
      <x:c r="Q638" t="str">
        <x:v>Entregue</x:v>
      </x:c>
      <x:c r="R638" t="str"/>
      <x:c r="S638" t="str">
        <x:v>Nao</x:v>
      </x:c>
      <x:c r="T638" t="str">
        <x:v>Nao</x:v>
      </x:c>
    </x:row>
    <x:row r="639" ht="19" customHeight="1">
      <x:c r="A639" t="str">
        <x:v>ENT-00638</x:v>
      </x:c>
      <x:c r="B639" s="41" t="n">
        <x:v>46245</x:v>
      </x:c>
      <x:c r="C639" s="41" t="n">
        <x:v>46248</x:v>
      </x:c>
      <x:c r="D639" s="41" t="n">
        <x:v>46248</x:v>
      </x:c>
      <x:c r="E639" t="str">
        <x:v>Sol Nascente Comércio, Lda.</x:v>
      </x:c>
      <x:c r="F639" t="str">
        <x:v>Cacuaco</x:v>
      </x:c>
      <x:c r="G639" t="str">
        <x:v>Hélder Miguel</x:v>
      </x:c>
      <x:c r="H639" t="str">
        <x:v>VTR-01</x:v>
      </x:c>
      <x:c r="I639" t="str">
        <x:v>Kia K2700</x:v>
      </x:c>
      <x:c r="J639" t="n">
        <x:v>1500</x:v>
      </x:c>
      <x:c r="K639" t="n">
        <x:v>63</x:v>
      </x:c>
      <x:c r="L639" t="n">
        <x:v>63</x:v>
      </x:c>
      <x:c r="M639" t="n">
        <x:v>1431.2</x:v>
      </x:c>
      <x:c r="N639" t="n">
        <x:v>48</x:v>
      </x:c>
      <x:c r="O639" s="45" t="n">
        <x:v>1170981</x:v>
      </x:c>
      <x:c r="P639" s="45" t="n">
        <x:v>51000</x:v>
      </x:c>
      <x:c r="Q639" t="str">
        <x:v>Entregue</x:v>
      </x:c>
      <x:c r="R639" t="str"/>
      <x:c r="S639" t="str">
        <x:v>Nao</x:v>
      </x:c>
      <x:c r="T639" t="str">
        <x:v>Nao</x:v>
      </x:c>
    </x:row>
    <x:row r="640" ht="19" customHeight="1">
      <x:c r="A640" t="str">
        <x:v>ENT-00639</x:v>
      </x:c>
      <x:c r="B640" s="41" t="n">
        <x:v>46221</x:v>
      </x:c>
      <x:c r="C640" s="41" t="n">
        <x:v>46222</x:v>
      </x:c>
      <x:c r="D640" s="41" t="n">
        <x:v>46222</x:v>
      </x:c>
      <x:c r="E640" t="str">
        <x:v>Bem-Estar Higiene, Lda.</x:v>
      </x:c>
      <x:c r="F640" t="str">
        <x:v>Morro Bento</x:v>
      </x:c>
      <x:c r="G640" t="str">
        <x:v>Gilberto José</x:v>
      </x:c>
      <x:c r="H640" t="str">
        <x:v>VTR-01</x:v>
      </x:c>
      <x:c r="I640" t="str">
        <x:v>Kia K2700</x:v>
      </x:c>
      <x:c r="J640" t="n">
        <x:v>1500</x:v>
      </x:c>
      <x:c r="K640" t="n">
        <x:v>88</x:v>
      </x:c>
      <x:c r="L640" t="n">
        <x:v>88</x:v>
      </x:c>
      <x:c r="M640" t="n">
        <x:v>952.2</x:v>
      </x:c>
      <x:c r="N640" t="n">
        <x:v>14</x:v>
      </x:c>
      <x:c r="O640" s="45" t="n">
        <x:v>578600</x:v>
      </x:c>
      <x:c r="P640" s="45" t="n">
        <x:v>32000</x:v>
      </x:c>
      <x:c r="Q640" t="str">
        <x:v>Entregue</x:v>
      </x:c>
      <x:c r="R640" t="str"/>
      <x:c r="S640" t="str">
        <x:v>Nao</x:v>
      </x:c>
      <x:c r="T640" t="str">
        <x:v>Nao</x:v>
      </x:c>
    </x:row>
    <x:row r="641" ht="19" customHeight="1">
      <x:c r="A641" t="str">
        <x:v>ENT-00640</x:v>
      </x:c>
      <x:c r="B641" s="41" t="n">
        <x:v>46250</x:v>
      </x:c>
      <x:c r="C641" s="41" t="n">
        <x:v>46252</x:v>
      </x:c>
      <x:c r="D641" s="41" t="n">
        <x:v>46254</x:v>
      </x:c>
      <x:c r="E641" t="str">
        <x:v>Luanda Office Supply, Lda.</x:v>
      </x:c>
      <x:c r="F641" t="str">
        <x:v>Patriota</x:v>
      </x:c>
      <x:c r="G641" t="str">
        <x:v>Jorge Mário</x:v>
      </x:c>
      <x:c r="H641" t="str">
        <x:v>VTR-08</x:v>
      </x:c>
      <x:c r="I641" t="str">
        <x:v>Toyota Hilux</x:v>
      </x:c>
      <x:c r="J641" t="n">
        <x:v>1000</x:v>
      </x:c>
      <x:c r="K641" t="n">
        <x:v>75</x:v>
      </x:c>
      <x:c r="L641" t="n">
        <x:v>75</x:v>
      </x:c>
      <x:c r="M641" t="n">
        <x:v>747.2</x:v>
      </x:c>
      <x:c r="N641" t="n">
        <x:v>30</x:v>
      </x:c>
      <x:c r="O641" s="45" t="n">
        <x:v>1161825</x:v>
      </x:c>
      <x:c r="P641" s="45" t="n">
        <x:v>30000</x:v>
      </x:c>
      <x:c r="Q641" t="str">
        <x:v>Entregue</x:v>
      </x:c>
      <x:c r="R641" t="str">
        <x:v>Avaria da viatura</x:v>
      </x:c>
      <x:c r="S641" t="str">
        <x:v>Nao</x:v>
      </x:c>
      <x:c r="T641" t="str">
        <x:v>Nao</x:v>
      </x:c>
    </x:row>
    <x:row r="642" ht="19" customHeight="1">
      <x:c r="A642" t="str">
        <x:v>ENT-00641</x:v>
      </x:c>
      <x:c r="B642" s="41" t="n">
        <x:v>46231</x:v>
      </x:c>
      <x:c r="C642" s="41" t="n">
        <x:v>46233</x:v>
      </x:c>
      <x:c r="D642" s="41" t="n">
        <x:v>46233</x:v>
      </x:c>
      <x:c r="E642" t="str">
        <x:v>Mundo Fresco, Lda.</x:v>
      </x:c>
      <x:c r="F642" t="str">
        <x:v>Patriota</x:v>
      </x:c>
      <x:c r="G642" t="str">
        <x:v>Carlos Mateus</x:v>
      </x:c>
      <x:c r="H642" t="str">
        <x:v>VTR-11</x:v>
      </x:c>
      <x:c r="I642" t="str">
        <x:v>JAC N56</x:v>
      </x:c>
      <x:c r="J642" t="n">
        <x:v>3500</x:v>
      </x:c>
      <x:c r="K642" t="n">
        <x:v>79</x:v>
      </x:c>
      <x:c r="L642" t="n">
        <x:v>79</x:v>
      </x:c>
      <x:c r="M642" t="n">
        <x:v>1218.6</x:v>
      </x:c>
      <x:c r="N642" t="n">
        <x:v>25</x:v>
      </x:c>
      <x:c r="O642" s="45" t="n">
        <x:v>1110345</x:v>
      </x:c>
      <x:c r="P642" s="45" t="n">
        <x:v>36500</x:v>
      </x:c>
      <x:c r="Q642" t="str">
        <x:v>Entregue</x:v>
      </x:c>
      <x:c r="R642" t="str"/>
      <x:c r="S642" t="str">
        <x:v>Nao</x:v>
      </x:c>
      <x:c r="T642" t="str">
        <x:v>Nao</x:v>
      </x:c>
    </x:row>
    <x:row r="643" ht="19" customHeight="1">
      <x:c r="A643" t="str">
        <x:v>ENT-00642</x:v>
      </x:c>
      <x:c r="B643" s="41" t="n">
        <x:v>46244</x:v>
      </x:c>
      <x:c r="C643" s="41" t="n">
        <x:v>46246</x:v>
      </x:c>
      <x:c r="D643" s="41" t="n">
        <x:v>46246</x:v>
      </x:c>
      <x:c r="E643" t="str">
        <x:v>Maxi Centro, Lda.</x:v>
      </x:c>
      <x:c r="F643" t="str">
        <x:v>Morro Bento</x:v>
      </x:c>
      <x:c r="G643" t="str">
        <x:v>Carlos Mateus</x:v>
      </x:c>
      <x:c r="H643" t="str">
        <x:v>VTR-08</x:v>
      </x:c>
      <x:c r="I643" t="str">
        <x:v>Toyota Hilux</x:v>
      </x:c>
      <x:c r="J643" t="n">
        <x:v>1000</x:v>
      </x:c>
      <x:c r="K643" t="n">
        <x:v>89</x:v>
      </x:c>
      <x:c r="L643" t="n">
        <x:v>89</x:v>
      </x:c>
      <x:c r="M643" t="n">
        <x:v>957.4</x:v>
      </x:c>
      <x:c r="N643" t="n">
        <x:v>24</x:v>
      </x:c>
      <x:c r="O643" s="45" t="n">
        <x:v>1741374</x:v>
      </x:c>
      <x:c r="P643" s="45" t="n">
        <x:v>36500</x:v>
      </x:c>
      <x:c r="Q643" t="str">
        <x:v>Entregue</x:v>
      </x:c>
      <x:c r="R643" t="str"/>
      <x:c r="S643" t="str">
        <x:v>Nao</x:v>
      </x:c>
      <x:c r="T643" t="str">
        <x:v>Nao</x:v>
      </x:c>
    </x:row>
    <x:row r="644" ht="19" customHeight="1">
      <x:c r="A644" t="str">
        <x:v>ENT-00643</x:v>
      </x:c>
      <x:c r="B644" s="41" t="n">
        <x:v>46243</x:v>
      </x:c>
      <x:c r="C644" s="41" t="n">
        <x:v>46245</x:v>
      </x:c>
      <x:c r="D644" s="41" t="n">
        <x:v>46245</x:v>
      </x:c>
      <x:c r="E644" t="str">
        <x:v>Mundo Fresco, Lda.</x:v>
      </x:c>
      <x:c r="F644" t="str">
        <x:v>Patriota</x:v>
      </x:c>
      <x:c r="G644" t="str">
        <x:v>Jorge Mário</x:v>
      </x:c>
      <x:c r="H644" t="str">
        <x:v>VTR-06</x:v>
      </x:c>
      <x:c r="I644" t="str">
        <x:v>Isuzu NPR</x:v>
      </x:c>
      <x:c r="J644" t="n">
        <x:v>5000</x:v>
      </x:c>
      <x:c r="K644" t="n">
        <x:v>53</x:v>
      </x:c>
      <x:c r="L644" t="n">
        <x:v>50</x:v>
      </x:c>
      <x:c r="M644" t="n">
        <x:v>839.4</x:v>
      </x:c>
      <x:c r="N644" t="n">
        <x:v>36</x:v>
      </x:c>
      <x:c r="O644" s="45" t="n">
        <x:v>292984</x:v>
      </x:c>
      <x:c r="P644" s="45" t="n">
        <x:v>41000</x:v>
      </x:c>
      <x:c r="Q644" t="str">
        <x:v>Entregue</x:v>
      </x:c>
      <x:c r="R644" t="str"/>
      <x:c r="S644" t="str">
        <x:v>Nao</x:v>
      </x:c>
      <x:c r="T644" t="str">
        <x:v>Nao</x:v>
      </x:c>
    </x:row>
    <x:row r="645" ht="19" customHeight="1">
      <x:c r="A645" t="str">
        <x:v>ENT-00644</x:v>
      </x:c>
      <x:c r="B645" s="41" t="n">
        <x:v>46234</x:v>
      </x:c>
      <x:c r="C645" s="41" t="n">
        <x:v>46236</x:v>
      </x:c>
      <x:c r="D645" s="41" t="n">
        <x:v>46239</x:v>
      </x:c>
      <x:c r="E645" t="str">
        <x:v>Ponto Logístico, Lda.</x:v>
      </x:c>
      <x:c r="F645" t="str">
        <x:v>Nova Vida</x:v>
      </x:c>
      <x:c r="G645" t="str">
        <x:v>Carlos Mateus</x:v>
      </x:c>
      <x:c r="H645" t="str">
        <x:v>VTR-06</x:v>
      </x:c>
      <x:c r="I645" t="str">
        <x:v>Isuzu NPR</x:v>
      </x:c>
      <x:c r="J645" t="n">
        <x:v>5000</x:v>
      </x:c>
      <x:c r="K645" t="n">
        <x:v>30</x:v>
      </x:c>
      <x:c r="L645" t="n">
        <x:v>0</x:v>
      </x:c>
      <x:c r="M645" t="n">
        <x:v>806</x:v>
      </x:c>
      <x:c r="N645" t="n">
        <x:v>25</x:v>
      </x:c>
      <x:c r="O645" s="45" t="n">
        <x:v>398460</x:v>
      </x:c>
      <x:c r="P645" s="45" t="n">
        <x:v>31000</x:v>
      </x:c>
      <x:c r="Q645" t="str">
        <x:v>Falhada</x:v>
      </x:c>
      <x:c r="R645" t="str">
        <x:v>Cliente ausente</x:v>
      </x:c>
      <x:c r="S645" t="str">
        <x:v>Nao</x:v>
      </x:c>
      <x:c r="T645" t="str">
        <x:v>Nao</x:v>
      </x:c>
    </x:row>
    <x:row r="646" ht="19" customHeight="1">
      <x:c r="A646" t="str">
        <x:v>ENT-00645</x:v>
      </x:c>
      <x:c r="B646" s="41" t="n">
        <x:v>46263</x:v>
      </x:c>
      <x:c r="C646" s="41" t="n">
        <x:v>46266</x:v>
      </x:c>
      <x:c r="D646" s="41" t="n">
        <x:v>46266</x:v>
      </x:c>
      <x:c r="E646" t="str">
        <x:v>Casa Horizonte, Lda.</x:v>
      </x:c>
      <x:c r="F646" t="str">
        <x:v>Zango</x:v>
      </x:c>
      <x:c r="G646" t="str">
        <x:v>Kito Alberto</x:v>
      </x:c>
      <x:c r="H646" t="str">
        <x:v>VTR-10</x:v>
      </x:c>
      <x:c r="I646" t="str">
        <x:v>Foton Aumark</x:v>
      </x:c>
      <x:c r="J646" t="n">
        <x:v>4000</x:v>
      </x:c>
      <x:c r="K646" t="n">
        <x:v>26</x:v>
      </x:c>
      <x:c r="L646" t="n">
        <x:v>26</x:v>
      </x:c>
      <x:c r="M646" t="n">
        <x:v>907.3</x:v>
      </x:c>
      <x:c r="N646" t="n">
        <x:v>51</x:v>
      </x:c>
      <x:c r="O646" s="45" t="n">
        <x:v>451308</x:v>
      </x:c>
      <x:c r="P646" s="45" t="n">
        <x:v>47000</x:v>
      </x:c>
      <x:c r="Q646" t="str">
        <x:v>Entregue</x:v>
      </x:c>
      <x:c r="R646" t="str"/>
      <x:c r="S646" t="str">
        <x:v>Nao</x:v>
      </x:c>
      <x:c r="T646" t="str">
        <x:v>Nao</x:v>
      </x:c>
    </x:row>
    <x:row r="647" ht="19" customHeight="1">
      <x:c r="A647" t="str">
        <x:v>ENT-00646</x:v>
      </x:c>
      <x:c r="B647" s="41" t="n">
        <x:v>46223</x:v>
      </x:c>
      <x:c r="C647" s="41" t="n">
        <x:v>46225</x:v>
      </x:c>
      <x:c r="D647" s="41" t="n">
        <x:v>46225</x:v>
      </x:c>
      <x:c r="E647" t="str">
        <x:v>Mercado Sul, Lda.</x:v>
      </x:c>
      <x:c r="F647" t="str">
        <x:v>Talatona</x:v>
      </x:c>
      <x:c r="G647" t="str">
        <x:v>Kito Alberto</x:v>
      </x:c>
      <x:c r="H647" t="str">
        <x:v>VTR-05</x:v>
      </x:c>
      <x:c r="I647" t="str">
        <x:v>Hyundai HD65</x:v>
      </x:c>
      <x:c r="J647" t="n">
        <x:v>3500</x:v>
      </x:c>
      <x:c r="K647" t="n">
        <x:v>76</x:v>
      </x:c>
      <x:c r="L647" t="n">
        <x:v>76</x:v>
      </x:c>
      <x:c r="M647" t="n">
        <x:v>1183.6</x:v>
      </x:c>
      <x:c r="N647" t="n">
        <x:v>23</x:v>
      </x:c>
      <x:c r="O647" s="45" t="n">
        <x:v>521512</x:v>
      </x:c>
      <x:c r="P647" s="45" t="n">
        <x:v>36000</x:v>
      </x:c>
      <x:c r="Q647" t="str">
        <x:v>Entregue</x:v>
      </x:c>
      <x:c r="R647" t="str"/>
      <x:c r="S647" t="str">
        <x:v>Nao</x:v>
      </x:c>
      <x:c r="T647" t="str">
        <x:v>Nao</x:v>
      </x:c>
    </x:row>
    <x:row r="648" ht="19" customHeight="1">
      <x:c r="A648" t="str">
        <x:v>ENT-00647</x:v>
      </x:c>
      <x:c r="B648" s="41" t="n">
        <x:v>46224</x:v>
      </x:c>
      <x:c r="C648" s="41" t="n">
        <x:v>46226</x:v>
      </x:c>
      <x:c r="D648" s="41" t="n">
        <x:v>46225</x:v>
      </x:c>
      <x:c r="E648" t="str">
        <x:v>Maxi Centro, Lda.</x:v>
      </x:c>
      <x:c r="F648" t="str">
        <x:v>Talatona</x:v>
      </x:c>
      <x:c r="G648" t="str">
        <x:v>Jorge Mário</x:v>
      </x:c>
      <x:c r="H648" t="str">
        <x:v>VTR-03</x:v>
      </x:c>
      <x:c r="I648" t="str">
        <x:v>Toyota Dyna</x:v>
      </x:c>
      <x:c r="J648" t="n">
        <x:v>3000</x:v>
      </x:c>
      <x:c r="K648" t="n">
        <x:v>21</x:v>
      </x:c>
      <x:c r="L648" t="n">
        <x:v>21</x:v>
      </x:c>
      <x:c r="M648" t="n">
        <x:v>515.1</x:v>
      </x:c>
      <x:c r="N648" t="n">
        <x:v>21</x:v>
      </x:c>
      <x:c r="O648" s="45" t="n">
        <x:v>447741</x:v>
      </x:c>
      <x:c r="P648" s="45" t="n">
        <x:v>23000</x:v>
      </x:c>
      <x:c r="Q648" t="str">
        <x:v>Entregue</x:v>
      </x:c>
      <x:c r="R648" t="str"/>
      <x:c r="S648" t="str">
        <x:v>Nao</x:v>
      </x:c>
      <x:c r="T648" t="str">
        <x:v>Nao</x:v>
      </x:c>
    </x:row>
    <x:row r="649" ht="19" customHeight="1">
      <x:c r="A649" t="str">
        <x:v>ENT-00648</x:v>
      </x:c>
      <x:c r="B649" s="41" t="n">
        <x:v>46221</x:v>
      </x:c>
      <x:c r="C649" s="41" t="n">
        <x:v>46222</x:v>
      </x:c>
      <x:c r="D649" s="41" t="n">
        <x:v>46224</x:v>
      </x:c>
      <x:c r="E649" t="str">
        <x:v>Kiala &amp; Filhos, Lda.</x:v>
      </x:c>
      <x:c r="F649" t="str">
        <x:v>Ingombota</x:v>
      </x:c>
      <x:c r="G649" t="str">
        <x:v>Isaías Pedro</x:v>
      </x:c>
      <x:c r="H649" t="str">
        <x:v>VTR-03</x:v>
      </x:c>
      <x:c r="I649" t="str">
        <x:v>Toyota Dyna</x:v>
      </x:c>
      <x:c r="J649" t="n">
        <x:v>3000</x:v>
      </x:c>
      <x:c r="K649" t="n">
        <x:v>50</x:v>
      </x:c>
      <x:c r="L649" t="n">
        <x:v>50</x:v>
      </x:c>
      <x:c r="M649" t="n">
        <x:v>1705.4</x:v>
      </x:c>
      <x:c r="N649" t="n">
        <x:v>16</x:v>
      </x:c>
      <x:c r="O649" s="45" t="n">
        <x:v>966950</x:v>
      </x:c>
      <x:c r="P649" s="45" t="n">
        <x:v>40000</x:v>
      </x:c>
      <x:c r="Q649" t="str">
        <x:v>Entregue</x:v>
      </x:c>
      <x:c r="R649" t="str">
        <x:v>Chuva/condicao da via</x:v>
      </x:c>
      <x:c r="S649" t="str">
        <x:v>Nao</x:v>
      </x:c>
      <x:c r="T649" t="str">
        <x:v>Nao</x:v>
      </x:c>
    </x:row>
    <x:row r="650" ht="19" customHeight="1">
      <x:c r="A650" t="str">
        <x:v>ENT-00649</x:v>
      </x:c>
      <x:c r="B650" s="41" t="n">
        <x:v>46240</x:v>
      </x:c>
      <x:c r="C650" s="41" t="n">
        <x:v>46243</x:v>
      </x:c>
      <x:c r="D650" s="41" t="n">
        <x:v>46244</x:v>
      </x:c>
      <x:c r="E650" t="str">
        <x:v>Maxi Centro, Lda.</x:v>
      </x:c>
      <x:c r="F650" t="str">
        <x:v>Zango</x:v>
      </x:c>
      <x:c r="G650" t="str">
        <x:v>Hélder Miguel</x:v>
      </x:c>
      <x:c r="H650" t="str">
        <x:v>VTR-02</x:v>
      </x:c>
      <x:c r="I650" t="str">
        <x:v>Kia K2700</x:v>
      </x:c>
      <x:c r="J650" t="n">
        <x:v>1500</x:v>
      </x:c>
      <x:c r="K650" t="n">
        <x:v>83</x:v>
      </x:c>
      <x:c r="L650" t="n">
        <x:v>83</x:v>
      </x:c>
      <x:c r="M650" t="n">
        <x:v>768.3</x:v>
      </x:c>
      <x:c r="N650" t="n">
        <x:v>53</x:v>
      </x:c>
      <x:c r="O650" s="45" t="n">
        <x:v>1766572</x:v>
      </x:c>
      <x:c r="P650" s="45" t="n">
        <x:v>46500</x:v>
      </x:c>
      <x:c r="Q650" t="str">
        <x:v>Entregue</x:v>
      </x:c>
      <x:c r="R650" t="str">
        <x:v>Chuva/condicao da via</x:v>
      </x:c>
      <x:c r="S650" t="str">
        <x:v>Nao</x:v>
      </x:c>
      <x:c r="T650" t="str">
        <x:v>Nao</x:v>
      </x:c>
    </x:row>
    <x:row r="651" ht="19" customHeight="1">
      <x:c r="A651" t="str">
        <x:v>ENT-00650</x:v>
      </x:c>
      <x:c r="B651" s="41" t="n">
        <x:v>46232</x:v>
      </x:c>
      <x:c r="C651" s="41" t="n">
        <x:v>46233</x:v>
      </x:c>
      <x:c r="D651" s="41" t="n">
        <x:v>46233</x:v>
      </x:c>
      <x:c r="E651" t="str">
        <x:v>Sol Nascente Comércio, Lda.</x:v>
      </x:c>
      <x:c r="F651" t="str">
        <x:v>Camama</x:v>
      </x:c>
      <x:c r="G651" t="str">
        <x:v>Hélder Miguel</x:v>
      </x:c>
      <x:c r="H651" t="str">
        <x:v>VTR-09</x:v>
      </x:c>
      <x:c r="I651" t="str">
        <x:v>Toyota Hilux</x:v>
      </x:c>
      <x:c r="J651" t="n">
        <x:v>1000</x:v>
      </x:c>
      <x:c r="K651" t="n">
        <x:v>22</x:v>
      </x:c>
      <x:c r="L651" t="n">
        <x:v>22</x:v>
      </x:c>
      <x:c r="M651" t="n">
        <x:v>417.5</x:v>
      </x:c>
      <x:c r="N651" t="n">
        <x:v>18</x:v>
      </x:c>
      <x:c r="O651" s="45" t="n">
        <x:v>141834</x:v>
      </x:c>
      <x:c r="P651" s="45" t="n">
        <x:v>19500</x:v>
      </x:c>
      <x:c r="Q651" t="str">
        <x:v>Entregue</x:v>
      </x:c>
      <x:c r="R651" t="str"/>
      <x:c r="S651" t="str">
        <x:v>Nao</x:v>
      </x:c>
      <x:c r="T651" t="str">
        <x:v>Nao</x:v>
      </x:c>
    </x:row>
    <x:row r="652" ht="19" customHeight="1">
      <x:c r="A652" t="str">
        <x:v>ENT-00651</x:v>
      </x:c>
      <x:c r="B652" s="41" t="n">
        <x:v>46229</x:v>
      </x:c>
      <x:c r="C652" s="41" t="n">
        <x:v>46231</x:v>
      </x:c>
      <x:c r="D652" s="41" t="n">
        <x:v>46232</x:v>
      </x:c>
      <x:c r="E652" t="str">
        <x:v>Rota Azul, Lda.</x:v>
      </x:c>
      <x:c r="F652" t="str">
        <x:v>Benfica</x:v>
      </x:c>
      <x:c r="G652" t="str">
        <x:v>Hélder Miguel</x:v>
      </x:c>
      <x:c r="H652" t="str">
        <x:v>VTR-04</x:v>
      </x:c>
      <x:c r="I652" t="str">
        <x:v>Toyota Dyna</x:v>
      </x:c>
      <x:c r="J652" t="n">
        <x:v>3000</x:v>
      </x:c>
      <x:c r="K652" t="n">
        <x:v>81</x:v>
      </x:c>
      <x:c r="L652" t="n">
        <x:v>81</x:v>
      </x:c>
      <x:c r="M652" t="n">
        <x:v>923.4</x:v>
      </x:c>
      <x:c r="N652" t="n">
        <x:v>27</x:v>
      </x:c>
      <x:c r="O652" s="45" t="n">
        <x:v>920727</x:v>
      </x:c>
      <x:c r="P652" s="45" t="n">
        <x:v>33500</x:v>
      </x:c>
      <x:c r="Q652" t="str">
        <x:v>Entregue</x:v>
      </x:c>
      <x:c r="R652" t="str">
        <x:v>Avaria da viatura</x:v>
      </x:c>
      <x:c r="S652" t="str">
        <x:v>Nao</x:v>
      </x:c>
      <x:c r="T652" t="str">
        <x:v>Nao</x:v>
      </x:c>
    </x:row>
    <x:row r="653" ht="19" customHeight="1">
      <x:c r="A653" t="str">
        <x:v>ENT-00652</x:v>
      </x:c>
      <x:c r="B653" s="41" t="n">
        <x:v>46245</x:v>
      </x:c>
      <x:c r="C653" s="41" t="n">
        <x:v>46248</x:v>
      </x:c>
      <x:c r="D653" s="41" t="n">
        <x:v>46249</x:v>
      </x:c>
      <x:c r="E653" t="str">
        <x:v>Bem-Estar Higiene, Lda.</x:v>
      </x:c>
      <x:c r="F653" t="str">
        <x:v>Cacuaco</x:v>
      </x:c>
      <x:c r="G653" t="str">
        <x:v>Adriano Manuel</x:v>
      </x:c>
      <x:c r="H653" t="str">
        <x:v>VTR-07</x:v>
      </x:c>
      <x:c r="I653" t="str">
        <x:v>Isuzu NPR</x:v>
      </x:c>
      <x:c r="J653" t="n">
        <x:v>5000</x:v>
      </x:c>
      <x:c r="K653" t="n">
        <x:v>85</x:v>
      </x:c>
      <x:c r="L653" t="n">
        <x:v>85</x:v>
      </x:c>
      <x:c r="M653" t="n">
        <x:v>1770.4</x:v>
      </x:c>
      <x:c r="N653" t="n">
        <x:v>41</x:v>
      </x:c>
      <x:c r="O653" s="45" t="n">
        <x:v>1613045</x:v>
      </x:c>
      <x:c r="P653" s="45" t="n">
        <x:v>50500</x:v>
      </x:c>
      <x:c r="Q653" t="str">
        <x:v>Entregue</x:v>
      </x:c>
      <x:c r="R653" t="str">
        <x:v>Atraso no carregamento</x:v>
      </x:c>
      <x:c r="S653" t="str">
        <x:v>Nao</x:v>
      </x:c>
      <x:c r="T653" t="str">
        <x:v>Nao</x:v>
      </x:c>
    </x:row>
    <x:row r="654" ht="19" customHeight="1">
      <x:c r="A654" t="str">
        <x:v>ENT-00653</x:v>
      </x:c>
      <x:c r="B654" s="41" t="n">
        <x:v>46217</x:v>
      </x:c>
      <x:c r="C654" s="41" t="n">
        <x:v>46218</x:v>
      </x:c>
      <x:c r="D654" s="41" t="n">
        <x:v>46218</x:v>
      </x:c>
      <x:c r="E654" t="str">
        <x:v>Cesta Certa, Lda.</x:v>
      </x:c>
      <x:c r="F654" t="str">
        <x:v>Ingombota</x:v>
      </x:c>
      <x:c r="G654" t="str">
        <x:v>Bernardo Paulo</x:v>
      </x:c>
      <x:c r="H654" t="str">
        <x:v>VTR-04</x:v>
      </x:c>
      <x:c r="I654" t="str">
        <x:v>Toyota Dyna</x:v>
      </x:c>
      <x:c r="J654" t="n">
        <x:v>3000</x:v>
      </x:c>
      <x:c r="K654" t="n">
        <x:v>53</x:v>
      </x:c>
      <x:c r="L654" t="n">
        <x:v>53</x:v>
      </x:c>
      <x:c r="M654" t="n">
        <x:v>1189.5</x:v>
      </x:c>
      <x:c r="N654" t="n">
        <x:v>15</x:v>
      </x:c>
      <x:c r="O654" s="45" t="n">
        <x:v>697374</x:v>
      </x:c>
      <x:c r="P654" s="45" t="n">
        <x:v>33500</x:v>
      </x:c>
      <x:c r="Q654" t="str">
        <x:v>Entregue</x:v>
      </x:c>
      <x:c r="R654" t="str"/>
      <x:c r="S654" t="str">
        <x:v>Nao</x:v>
      </x:c>
      <x:c r="T654" t="str">
        <x:v>Nao</x:v>
      </x:c>
    </x:row>
    <x:row r="655" ht="19" customHeight="1">
      <x:c r="A655" t="str">
        <x:v>ENT-00654</x:v>
      </x:c>
      <x:c r="B655" s="41" t="n">
        <x:v>46248</x:v>
      </x:c>
      <x:c r="C655" s="41" t="n">
        <x:v>46250</x:v>
      </x:c>
      <x:c r="D655" s="41"/>
      <x:c r="E655" t="str">
        <x:v>Savana Retail, Lda.</x:v>
      </x:c>
      <x:c r="F655" t="str">
        <x:v>Camama</x:v>
      </x:c>
      <x:c r="G655" t="str">
        <x:v>Isaías Pedro</x:v>
      </x:c>
      <x:c r="H655" t="str">
        <x:v>VTR-10</x:v>
      </x:c>
      <x:c r="I655" t="str">
        <x:v>Foton Aumark</x:v>
      </x:c>
      <x:c r="J655" t="n">
        <x:v>4000</x:v>
      </x:c>
      <x:c r="K655" t="n">
        <x:v>26</x:v>
      </x:c>
      <x:c r="L655" t="n">
        <x:v>0</x:v>
      </x:c>
      <x:c r="M655" t="n">
        <x:v>375.5</x:v>
      </x:c>
      <x:c r="N655" t="n">
        <x:v>22</x:v>
      </x:c>
      <x:c r="O655" s="45" t="n">
        <x:v>613340</x:v>
      </x:c>
      <x:c r="P655" s="45" t="n">
        <x:v>24000</x:v>
      </x:c>
      <x:c r="Q655" t="str">
        <x:v>Cancelada</x:v>
      </x:c>
      <x:c r="R655" t="str">
        <x:v>Cancelamento do cliente</x:v>
      </x:c>
      <x:c r="S655" t="str">
        <x:v>Nao</x:v>
      </x:c>
      <x:c r="T655" t="str">
        <x:v>Nao</x:v>
      </x:c>
    </x:row>
    <x:row r="656" ht="19" customHeight="1">
      <x:c r="A656" t="str">
        <x:v>ENT-00655</x:v>
      </x:c>
      <x:c r="B656" s="41" t="n">
        <x:v>46221</x:v>
      </x:c>
      <x:c r="C656" s="41" t="n">
        <x:v>46224</x:v>
      </x:c>
      <x:c r="D656" s="41" t="n">
        <x:v>46224</x:v>
      </x:c>
      <x:c r="E656" t="str">
        <x:v>Kiala &amp; Filhos, Lda.</x:v>
      </x:c>
      <x:c r="F656" t="str">
        <x:v>Benfica</x:v>
      </x:c>
      <x:c r="G656" t="str">
        <x:v>Adriano Manuel</x:v>
      </x:c>
      <x:c r="H656" t="str">
        <x:v>VTR-08</x:v>
      </x:c>
      <x:c r="I656" t="str">
        <x:v>Toyota Hilux</x:v>
      </x:c>
      <x:c r="J656" t="n">
        <x:v>1000</x:v>
      </x:c>
      <x:c r="K656" t="n">
        <x:v>38</x:v>
      </x:c>
      <x:c r="L656" t="n">
        <x:v>38</x:v>
      </x:c>
      <x:c r="M656" t="n">
        <x:v>498.7</x:v>
      </x:c>
      <x:c r="N656" t="n">
        <x:v>46</x:v>
      </x:c>
      <x:c r="O656" s="45" t="n">
        <x:v>940272</x:v>
      </x:c>
      <x:c r="P656" s="45" t="n">
        <x:v>39500</x:v>
      </x:c>
      <x:c r="Q656" t="str">
        <x:v>Entregue</x:v>
      </x:c>
      <x:c r="R656" t="str"/>
      <x:c r="S656" t="str">
        <x:v>Nao</x:v>
      </x:c>
      <x:c r="T656" t="str">
        <x:v>Nao</x:v>
      </x:c>
    </x:row>
    <x:row r="657" ht="19" customHeight="1">
      <x:c r="A657" t="str">
        <x:v>ENT-00656</x:v>
      </x:c>
      <x:c r="B657" s="41" t="n">
        <x:v>46234</x:v>
      </x:c>
      <x:c r="C657" s="41" t="n">
        <x:v>46236</x:v>
      </x:c>
      <x:c r="D657" s="41" t="n">
        <x:v>46236</x:v>
      </x:c>
      <x:c r="E657" t="str">
        <x:v>Kiala &amp; Filhos, Lda.</x:v>
      </x:c>
      <x:c r="F657" t="str">
        <x:v>Benfica</x:v>
      </x:c>
      <x:c r="G657" t="str">
        <x:v>Elísio António</x:v>
      </x:c>
      <x:c r="H657" t="str">
        <x:v>VTR-10</x:v>
      </x:c>
      <x:c r="I657" t="str">
        <x:v>Foton Aumark</x:v>
      </x:c>
      <x:c r="J657" t="n">
        <x:v>4000</x:v>
      </x:c>
      <x:c r="K657" t="n">
        <x:v>49</x:v>
      </x:c>
      <x:c r="L657" t="n">
        <x:v>49</x:v>
      </x:c>
      <x:c r="M657" t="n">
        <x:v>481.5</x:v>
      </x:c>
      <x:c r="N657" t="n">
        <x:v>33</x:v>
      </x:c>
      <x:c r="O657" s="45" t="n">
        <x:v>879207</x:v>
      </x:c>
      <x:c r="P657" s="45" t="n">
        <x:v>31000</x:v>
      </x:c>
      <x:c r="Q657" t="str">
        <x:v>Entregue</x:v>
      </x:c>
      <x:c r="R657" t="str"/>
      <x:c r="S657" t="str">
        <x:v>Nao</x:v>
      </x:c>
      <x:c r="T657" t="str">
        <x:v>Nao</x:v>
      </x:c>
    </x:row>
    <x:row r="658" ht="19" customHeight="1">
      <x:c r="A658" t="str">
        <x:v>ENT-00657</x:v>
      </x:c>
      <x:c r="B658" s="41" t="n">
        <x:v>46264</x:v>
      </x:c>
      <x:c r="C658" s="41" t="n">
        <x:v>46266</x:v>
      </x:c>
      <x:c r="D658" s="41" t="n">
        <x:v>46268</x:v>
      </x:c>
      <x:c r="E658" t="str">
        <x:v>Rota Azul, Lda.</x:v>
      </x:c>
      <x:c r="F658" t="str">
        <x:v>Nova Vida</x:v>
      </x:c>
      <x:c r="G658" t="str">
        <x:v>Gilberto José</x:v>
      </x:c>
      <x:c r="H658" t="str">
        <x:v>VTR-11</x:v>
      </x:c>
      <x:c r="I658" t="str">
        <x:v>JAC N56</x:v>
      </x:c>
      <x:c r="J658" t="n">
        <x:v>3500</x:v>
      </x:c>
      <x:c r="K658" t="n">
        <x:v>10</x:v>
      </x:c>
      <x:c r="L658" t="n">
        <x:v>10</x:v>
      </x:c>
      <x:c r="M658" t="n">
        <x:v>82</x:v>
      </x:c>
      <x:c r="N658" t="n">
        <x:v>25</x:v>
      </x:c>
      <x:c r="O658" s="45" t="n">
        <x:v>196700</x:v>
      </x:c>
      <x:c r="P658" s="45" t="n">
        <x:v>21000</x:v>
      </x:c>
      <x:c r="Q658" t="str">
        <x:v>Entregue</x:v>
      </x:c>
      <x:c r="R658" t="str">
        <x:v>Cliente indisponivel</x:v>
      </x:c>
      <x:c r="S658" t="str">
        <x:v>Nao</x:v>
      </x:c>
      <x:c r="T658" t="str">
        <x:v>Nao</x:v>
      </x:c>
    </x:row>
    <x:row r="659" ht="19" customHeight="1">
      <x:c r="A659" t="str">
        <x:v>ENT-00658</x:v>
      </x:c>
      <x:c r="B659" s="41" t="n">
        <x:v>46232</x:v>
      </x:c>
      <x:c r="C659" s="41" t="n">
        <x:v>46234</x:v>
      </x:c>
      <x:c r="D659" s="41" t="n">
        <x:v>46234</x:v>
      </x:c>
      <x:c r="E659" t="str">
        <x:v>Luanda Office Supply, Lda.</x:v>
      </x:c>
      <x:c r="F659" t="str">
        <x:v>Maianga</x:v>
      </x:c>
      <x:c r="G659" t="str">
        <x:v>Elísio António</x:v>
      </x:c>
      <x:c r="H659" t="str">
        <x:v>VTR-08</x:v>
      </x:c>
      <x:c r="I659" t="str">
        <x:v>Toyota Hilux</x:v>
      </x:c>
      <x:c r="J659" t="n">
        <x:v>1000</x:v>
      </x:c>
      <x:c r="K659" t="n">
        <x:v>20</x:v>
      </x:c>
      <x:c r="L659" t="n">
        <x:v>20</x:v>
      </x:c>
      <x:c r="M659" t="n">
        <x:v>526.9</x:v>
      </x:c>
      <x:c r="N659" t="n">
        <x:v>22</x:v>
      </x:c>
      <x:c r="O659" s="45" t="n">
        <x:v>354840</x:v>
      </x:c>
      <x:c r="P659" s="45" t="n">
        <x:v>25000</x:v>
      </x:c>
      <x:c r="Q659" t="str">
        <x:v>Entregue</x:v>
      </x:c>
      <x:c r="R659" t="str"/>
      <x:c r="S659" t="str">
        <x:v>Nao</x:v>
      </x:c>
      <x:c r="T659" t="str">
        <x:v>Nao</x:v>
      </x:c>
    </x:row>
    <x:row r="660" ht="19" customHeight="1">
      <x:c r="A660" t="str">
        <x:v>ENT-00659</x:v>
      </x:c>
      <x:c r="B660" s="41" t="n">
        <x:v>46218</x:v>
      </x:c>
      <x:c r="C660" s="41" t="n">
        <x:v>46220</x:v>
      </x:c>
      <x:c r="D660" s="41" t="n">
        <x:v>46220</x:v>
      </x:c>
      <x:c r="E660" t="str">
        <x:v>Sol Nascente Comércio, Lda.</x:v>
      </x:c>
      <x:c r="F660" t="str">
        <x:v>Kikuxi</x:v>
      </x:c>
      <x:c r="G660" t="str">
        <x:v>Gilberto José</x:v>
      </x:c>
      <x:c r="H660" t="str">
        <x:v>VTR-08</x:v>
      </x:c>
      <x:c r="I660" t="str">
        <x:v>Toyota Hilux</x:v>
      </x:c>
      <x:c r="J660" t="n">
        <x:v>1000</x:v>
      </x:c>
      <x:c r="K660" t="n">
        <x:v>71</x:v>
      </x:c>
      <x:c r="L660" t="n">
        <x:v>71</x:v>
      </x:c>
      <x:c r="M660" t="n">
        <x:v>976.3</x:v>
      </x:c>
      <x:c r="N660" t="n">
        <x:v>37</x:v>
      </x:c>
      <x:c r="O660" s="45" t="n">
        <x:v>314530</x:v>
      </x:c>
      <x:c r="P660" s="45" t="n">
        <x:v>35500</x:v>
      </x:c>
      <x:c r="Q660" t="str">
        <x:v>Entregue</x:v>
      </x:c>
      <x:c r="R660" t="str"/>
      <x:c r="S660" t="str">
        <x:v>Nao</x:v>
      </x:c>
      <x:c r="T660" t="str">
        <x:v>Nao</x:v>
      </x:c>
    </x:row>
    <x:row r="661" ht="19" customHeight="1">
      <x:c r="A661" t="str">
        <x:v>ENT-00660</x:v>
      </x:c>
      <x:c r="B661" s="41" t="n">
        <x:v>46237</x:v>
      </x:c>
      <x:c r="C661" s="41" t="n">
        <x:v>46239</x:v>
      </x:c>
      <x:c r="D661" s="41"/>
      <x:c r="E661" t="str">
        <x:v>Savana Retail, Lda.</x:v>
      </x:c>
      <x:c r="F661" t="str">
        <x:v>Talatona</x:v>
      </x:c>
      <x:c r="G661" t="str">
        <x:v>Kito Alberto</x:v>
      </x:c>
      <x:c r="H661" t="str">
        <x:v>VTR-11</x:v>
      </x:c>
      <x:c r="I661" t="str">
        <x:v>JAC N56</x:v>
      </x:c>
      <x:c r="J661" t="n">
        <x:v>3500</x:v>
      </x:c>
      <x:c r="K661" t="n">
        <x:v>10</x:v>
      </x:c>
      <x:c r="L661" t="n">
        <x:v>0</x:v>
      </x:c>
      <x:c r="M661" t="n">
        <x:v>97.5</x:v>
      </x:c>
      <x:c r="N661" t="n">
        <x:v>33</x:v>
      </x:c>
      <x:c r="O661" s="45" t="n">
        <x:v>177590</x:v>
      </x:c>
      <x:c r="P661" s="45" t="n">
        <x:v>24000</x:v>
      </x:c>
      <x:c r="Q661" t="str">
        <x:v>Cancelada</x:v>
      </x:c>
      <x:c r="R661" t="str">
        <x:v>Cancelamento do cliente</x:v>
      </x:c>
      <x:c r="S661" t="str">
        <x:v>Nao</x:v>
      </x:c>
      <x:c r="T661" t="str">
        <x:v>Nao</x:v>
      </x:c>
    </x:row>
    <x:row r="662" ht="19" customHeight="1">
      <x:c r="A662" t="str">
        <x:v>ENT-00661</x:v>
      </x:c>
      <x:c r="B662" s="41" t="n">
        <x:v>46211</x:v>
      </x:c>
      <x:c r="C662" s="41" t="n">
        <x:v>46212</x:v>
      </x:c>
      <x:c r="D662" s="41" t="n">
        <x:v>46212</x:v>
      </x:c>
      <x:c r="E662" t="str">
        <x:v>Cesta Certa, Lda.</x:v>
      </x:c>
      <x:c r="F662" t="str">
        <x:v>Ingombota</x:v>
      </x:c>
      <x:c r="G662" t="str">
        <x:v>Adriano Manuel</x:v>
      </x:c>
      <x:c r="H662" t="str">
        <x:v>VTR-01</x:v>
      </x:c>
      <x:c r="I662" t="str">
        <x:v>Kia K2700</x:v>
      </x:c>
      <x:c r="J662" t="n">
        <x:v>1500</x:v>
      </x:c>
      <x:c r="K662" t="n">
        <x:v>71</x:v>
      </x:c>
      <x:c r="L662" t="n">
        <x:v>71</x:v>
      </x:c>
      <x:c r="M662" t="n">
        <x:v>1071.5</x:v>
      </x:c>
      <x:c r="N662" t="n">
        <x:v>12</x:v>
      </x:c>
      <x:c r="O662" s="45" t="n">
        <x:v>1406013</x:v>
      </x:c>
      <x:c r="P662" s="45" t="n">
        <x:v>33500</x:v>
      </x:c>
      <x:c r="Q662" t="str">
        <x:v>Entregue</x:v>
      </x:c>
      <x:c r="R662" t="str"/>
      <x:c r="S662" t="str">
        <x:v>Nao</x:v>
      </x:c>
      <x:c r="T662" t="str">
        <x:v>Nao</x:v>
      </x:c>
    </x:row>
    <x:row r="663" ht="19" customHeight="1">
      <x:c r="A663" t="str">
        <x:v>ENT-00662</x:v>
      </x:c>
      <x:c r="B663" s="41" t="n">
        <x:v>46241</x:v>
      </x:c>
      <x:c r="C663" s="41" t="n">
        <x:v>46242</x:v>
      </x:c>
      <x:c r="D663" s="41" t="n">
        <x:v>46243</x:v>
      </x:c>
      <x:c r="E663" t="str">
        <x:v>Casa Horizonte, Lda.</x:v>
      </x:c>
      <x:c r="F663" t="str">
        <x:v>Morro Bento</x:v>
      </x:c>
      <x:c r="G663" t="str">
        <x:v>Adriano Manuel</x:v>
      </x:c>
      <x:c r="H663" t="str">
        <x:v>VTR-04</x:v>
      </x:c>
      <x:c r="I663" t="str">
        <x:v>Toyota Dyna</x:v>
      </x:c>
      <x:c r="J663" t="n">
        <x:v>3000</x:v>
      </x:c>
      <x:c r="K663" t="n">
        <x:v>83</x:v>
      </x:c>
      <x:c r="L663" t="n">
        <x:v>83</x:v>
      </x:c>
      <x:c r="M663" t="n">
        <x:v>621.6</x:v>
      </x:c>
      <x:c r="N663" t="n">
        <x:v>15</x:v>
      </x:c>
      <x:c r="O663" s="45" t="n">
        <x:v>1991751</x:v>
      </x:c>
      <x:c r="P663" s="45" t="n">
        <x:v>22000</x:v>
      </x:c>
      <x:c r="Q663" t="str">
        <x:v>Entregue</x:v>
      </x:c>
      <x:c r="R663" t="str">
        <x:v>Atraso no carregamento</x:v>
      </x:c>
      <x:c r="S663" t="str">
        <x:v>Nao</x:v>
      </x:c>
      <x:c r="T663" t="str">
        <x:v>Nao</x:v>
      </x:c>
    </x:row>
    <x:row r="664" ht="19" customHeight="1">
      <x:c r="A664" t="str">
        <x:v>ENT-00663</x:v>
      </x:c>
      <x:c r="B664" s="41" t="n">
        <x:v>46260</x:v>
      </x:c>
      <x:c r="C664" s="41" t="n">
        <x:v>46263</x:v>
      </x:c>
      <x:c r="D664" s="41" t="n">
        <x:v>46264</x:v>
      </x:c>
      <x:c r="E664" t="str">
        <x:v>Nova Rota Comercial, Lda.</x:v>
      </x:c>
      <x:c r="F664" t="str">
        <x:v>Kilamba</x:v>
      </x:c>
      <x:c r="G664" t="str">
        <x:v>Hélder Miguel</x:v>
      </x:c>
      <x:c r="H664" t="str">
        <x:v>VTR-02</x:v>
      </x:c>
      <x:c r="I664" t="str">
        <x:v>Kia K2700</x:v>
      </x:c>
      <x:c r="J664" t="n">
        <x:v>1500</x:v>
      </x:c>
      <x:c r="K664" t="n">
        <x:v>63</x:v>
      </x:c>
      <x:c r="L664" t="n">
        <x:v>63</x:v>
      </x:c>
      <x:c r="M664" t="n">
        <x:v>867.9</x:v>
      </x:c>
      <x:c r="N664" t="n">
        <x:v>40</x:v>
      </x:c>
      <x:c r="O664" s="45" t="n">
        <x:v>690669</x:v>
      </x:c>
      <x:c r="P664" s="45" t="n">
        <x:v>36500</x:v>
      </x:c>
      <x:c r="Q664" t="str">
        <x:v>Entregue</x:v>
      </x:c>
      <x:c r="R664" t="str">
        <x:v>Atraso no carregamento</x:v>
      </x:c>
      <x:c r="S664" t="str">
        <x:v>Nao</x:v>
      </x:c>
      <x:c r="T664" t="str">
        <x:v>Nao</x:v>
      </x:c>
    </x:row>
    <x:row r="665" ht="19" customHeight="1">
      <x:c r="A665" t="str">
        <x:v>ENT-00664</x:v>
      </x:c>
      <x:c r="B665" s="41" t="n">
        <x:v>46250</x:v>
      </x:c>
      <x:c r="C665" s="41" t="n">
        <x:v>46251</x:v>
      </x:c>
      <x:c r="D665" s="41" t="n">
        <x:v>46251</x:v>
      </x:c>
      <x:c r="E665" t="str">
        <x:v>Bem-Estar Higiene, Lda.</x:v>
      </x:c>
      <x:c r="F665" t="str">
        <x:v>Maianga</x:v>
      </x:c>
      <x:c r="G665" t="str">
        <x:v>Jorge Mário</x:v>
      </x:c>
      <x:c r="H665" t="str">
        <x:v>VTR-05</x:v>
      </x:c>
      <x:c r="I665" t="str">
        <x:v>Hyundai HD65</x:v>
      </x:c>
      <x:c r="J665" t="n">
        <x:v>3500</x:v>
      </x:c>
      <x:c r="K665" t="n">
        <x:v>47</x:v>
      </x:c>
      <x:c r="L665" t="n">
        <x:v>47</x:v>
      </x:c>
      <x:c r="M665" t="n">
        <x:v>398.9</x:v>
      </x:c>
      <x:c r="N665" t="n">
        <x:v>17</x:v>
      </x:c>
      <x:c r="O665" s="45" t="n">
        <x:v>309448</x:v>
      </x:c>
      <x:c r="P665" s="45" t="n">
        <x:v>21500</x:v>
      </x:c>
      <x:c r="Q665" t="str">
        <x:v>Entregue</x:v>
      </x:c>
      <x:c r="R665" t="str"/>
      <x:c r="S665" t="str">
        <x:v>Nao</x:v>
      </x:c>
      <x:c r="T665" t="str">
        <x:v>Nao</x:v>
      </x:c>
    </x:row>
    <x:row r="666" ht="19" customHeight="1">
      <x:c r="A666" t="str">
        <x:v>ENT-00665</x:v>
      </x:c>
      <x:c r="B666" s="41" t="n">
        <x:v>46250</x:v>
      </x:c>
      <x:c r="C666" s="41" t="n">
        <x:v>46253</x:v>
      </x:c>
      <x:c r="D666" s="41" t="n">
        <x:v>46253</x:v>
      </x:c>
      <x:c r="E666" t="str">
        <x:v>Savana Retail, Lda.</x:v>
      </x:c>
      <x:c r="F666" t="str">
        <x:v>Zango</x:v>
      </x:c>
      <x:c r="G666" t="str">
        <x:v>Bernardo Paulo</x:v>
      </x:c>
      <x:c r="H666" t="str">
        <x:v>VTR-09</x:v>
      </x:c>
      <x:c r="I666" t="str">
        <x:v>Toyota Hilux</x:v>
      </x:c>
      <x:c r="J666" t="n">
        <x:v>1000</x:v>
      </x:c>
      <x:c r="K666" t="n">
        <x:v>5</x:v>
      </x:c>
      <x:c r="L666" t="n">
        <x:v>5</x:v>
      </x:c>
      <x:c r="M666" t="n">
        <x:v>58.5</x:v>
      </x:c>
      <x:c r="N666" t="n">
        <x:v>62</x:v>
      </x:c>
      <x:c r="O666" s="45" t="n">
        <x:v>98495</x:v>
      </x:c>
      <x:c r="P666" s="45" t="n">
        <x:v>37500</x:v>
      </x:c>
      <x:c r="Q666" t="str">
        <x:v>Entregue</x:v>
      </x:c>
      <x:c r="R666" t="str"/>
      <x:c r="S666" t="str">
        <x:v>Nao</x:v>
      </x:c>
      <x:c r="T666" t="str">
        <x:v>Nao</x:v>
      </x:c>
    </x:row>
    <x:row r="667" ht="19" customHeight="1">
      <x:c r="A667" t="str">
        <x:v>ENT-00666</x:v>
      </x:c>
      <x:c r="B667" s="41" t="n">
        <x:v>46241</x:v>
      </x:c>
      <x:c r="C667" s="41" t="n">
        <x:v>46243</x:v>
      </x:c>
      <x:c r="D667" s="41" t="n">
        <x:v>46246</x:v>
      </x:c>
      <x:c r="E667" t="str">
        <x:v>Sol Nascente Comércio, Lda.</x:v>
      </x:c>
      <x:c r="F667" t="str">
        <x:v>Sequele</x:v>
      </x:c>
      <x:c r="G667" t="str">
        <x:v>Carlos Mateus</x:v>
      </x:c>
      <x:c r="H667" t="str">
        <x:v>VTR-11</x:v>
      </x:c>
      <x:c r="I667" t="str">
        <x:v>JAC N56</x:v>
      </x:c>
      <x:c r="J667" t="n">
        <x:v>3500</x:v>
      </x:c>
      <x:c r="K667" t="n">
        <x:v>44</x:v>
      </x:c>
      <x:c r="L667" t="n">
        <x:v>44</x:v>
      </x:c>
      <x:c r="M667" t="n">
        <x:v>595.3</x:v>
      </x:c>
      <x:c r="N667" t="n">
        <x:v>39</x:v>
      </x:c>
      <x:c r="O667" s="45" t="n">
        <x:v>924132</x:v>
      </x:c>
      <x:c r="P667" s="45" t="n">
        <x:v>36500</x:v>
      </x:c>
      <x:c r="Q667" t="str">
        <x:v>Entregue</x:v>
      </x:c>
      <x:c r="R667" t="str">
        <x:v>Atraso no carregamento</x:v>
      </x:c>
      <x:c r="S667" t="str">
        <x:v>Nao</x:v>
      </x:c>
      <x:c r="T667" t="str">
        <x:v>Nao</x:v>
      </x:c>
    </x:row>
    <x:row r="668" ht="19" customHeight="1">
      <x:c r="A668" t="str">
        <x:v>ENT-00667</x:v>
      </x:c>
      <x:c r="B668" s="41" t="n">
        <x:v>46237</x:v>
      </x:c>
      <x:c r="C668" s="41" t="n">
        <x:v>46238</x:v>
      </x:c>
      <x:c r="D668" s="41" t="n">
        <x:v>46240</x:v>
      </x:c>
      <x:c r="E668" t="str">
        <x:v>Via Certa Serviços, Lda.</x:v>
      </x:c>
      <x:c r="F668" t="str">
        <x:v>Ingombota</x:v>
      </x:c>
      <x:c r="G668" t="str">
        <x:v>Elísio António</x:v>
      </x:c>
      <x:c r="H668" t="str">
        <x:v>VTR-04</x:v>
      </x:c>
      <x:c r="I668" t="str">
        <x:v>Toyota Dyna</x:v>
      </x:c>
      <x:c r="J668" t="n">
        <x:v>3000</x:v>
      </x:c>
      <x:c r="K668" t="n">
        <x:v>58</x:v>
      </x:c>
      <x:c r="L668" t="n">
        <x:v>58</x:v>
      </x:c>
      <x:c r="M668" t="n">
        <x:v>1243.9</x:v>
      </x:c>
      <x:c r="N668" t="n">
        <x:v>18</x:v>
      </x:c>
      <x:c r="O668" s="45" t="n">
        <x:v>1475868</x:v>
      </x:c>
      <x:c r="P668" s="45" t="n">
        <x:v>34000</x:v>
      </x:c>
      <x:c r="Q668" t="str">
        <x:v>Entregue</x:v>
      </x:c>
      <x:c r="R668" t="str">
        <x:v>Cliente indisponivel</x:v>
      </x:c>
      <x:c r="S668" t="str">
        <x:v>Nao</x:v>
      </x:c>
      <x:c r="T668" t="str">
        <x:v>Nao</x:v>
      </x:c>
    </x:row>
    <x:row r="669" ht="19" customHeight="1">
      <x:c r="A669" t="str">
        <x:v>ENT-00668</x:v>
      </x:c>
      <x:c r="B669" s="41" t="n">
        <x:v>46234</x:v>
      </x:c>
      <x:c r="C669" s="41" t="n">
        <x:v>46235</x:v>
      </x:c>
      <x:c r="D669" s="41" t="n">
        <x:v>46235</x:v>
      </x:c>
      <x:c r="E669" t="str">
        <x:v>N'gola Market, Lda.</x:v>
      </x:c>
      <x:c r="F669" t="str">
        <x:v>Viana</x:v>
      </x:c>
      <x:c r="G669" t="str">
        <x:v>Adriano Manuel</x:v>
      </x:c>
      <x:c r="H669" t="str">
        <x:v>VTR-05</x:v>
      </x:c>
      <x:c r="I669" t="str">
        <x:v>Hyundai HD65</x:v>
      </x:c>
      <x:c r="J669" t="n">
        <x:v>3500</x:v>
      </x:c>
      <x:c r="K669" t="n">
        <x:v>84</x:v>
      </x:c>
      <x:c r="L669" t="n">
        <x:v>84</x:v>
      </x:c>
      <x:c r="M669" t="n">
        <x:v>1963.4</x:v>
      </x:c>
      <x:c r="N669" t="n">
        <x:v>18</x:v>
      </x:c>
      <x:c r="O669" s="45" t="n">
        <x:v>2150568</x:v>
      </x:c>
      <x:c r="P669" s="45" t="n">
        <x:v>47000</x:v>
      </x:c>
      <x:c r="Q669" t="str">
        <x:v>Entregue</x:v>
      </x:c>
      <x:c r="R669" t="str"/>
      <x:c r="S669" t="str">
        <x:v>Nao</x:v>
      </x:c>
      <x:c r="T669" t="str">
        <x:v>Nao</x:v>
      </x:c>
    </x:row>
    <x:row r="670" ht="19" customHeight="1">
      <x:c r="A670" t="str">
        <x:v>ENT-00669</x:v>
      </x:c>
      <x:c r="B670" s="41" t="n">
        <x:v>46263</x:v>
      </x:c>
      <x:c r="C670" s="41" t="n">
        <x:v>46264</x:v>
      </x:c>
      <x:c r="D670" s="41" t="n">
        <x:v>46264</x:v>
      </x:c>
      <x:c r="E670" t="str">
        <x:v>Ponto Logístico, Lda.</x:v>
      </x:c>
      <x:c r="F670" t="str">
        <x:v>Maianga</x:v>
      </x:c>
      <x:c r="G670" t="str">
        <x:v>Hélder Miguel</x:v>
      </x:c>
      <x:c r="H670" t="str">
        <x:v>VTR-02</x:v>
      </x:c>
      <x:c r="I670" t="str">
        <x:v>Kia K2700</x:v>
      </x:c>
      <x:c r="J670" t="n">
        <x:v>1500</x:v>
      </x:c>
      <x:c r="K670" t="n">
        <x:v>27</x:v>
      </x:c>
      <x:c r="L670" t="n">
        <x:v>27</x:v>
      </x:c>
      <x:c r="M670" t="n">
        <x:v>924.9</x:v>
      </x:c>
      <x:c r="N670" t="n">
        <x:v>18</x:v>
      </x:c>
      <x:c r="O670" s="45" t="n">
        <x:v>660960</x:v>
      </x:c>
      <x:c r="P670" s="45" t="n">
        <x:v>31500</x:v>
      </x:c>
      <x:c r="Q670" t="str">
        <x:v>Entregue</x:v>
      </x:c>
      <x:c r="R670" t="str"/>
      <x:c r="S670" t="str">
        <x:v>Nao</x:v>
      </x:c>
      <x:c r="T670" t="str">
        <x:v>Nao</x:v>
      </x:c>
    </x:row>
    <x:row r="671" ht="19" customHeight="1">
      <x:c r="A671" t="str">
        <x:v>ENT-00670</x:v>
      </x:c>
      <x:c r="B671" s="41" t="n">
        <x:v>46212</x:v>
      </x:c>
      <x:c r="C671" s="41" t="n">
        <x:v>46214</x:v>
      </x:c>
      <x:c r="D671" s="41" t="n">
        <x:v>46214</x:v>
      </x:c>
      <x:c r="E671" t="str">
        <x:v>Luanda Office Supply, Lda.</x:v>
      </x:c>
      <x:c r="F671" t="str">
        <x:v>Kikuxi</x:v>
      </x:c>
      <x:c r="G671" t="str">
        <x:v>Gilberto José</x:v>
      </x:c>
      <x:c r="H671" t="str">
        <x:v>VTR-09</x:v>
      </x:c>
      <x:c r="I671" t="str">
        <x:v>Toyota Hilux</x:v>
      </x:c>
      <x:c r="J671" t="n">
        <x:v>1000</x:v>
      </x:c>
      <x:c r="K671" t="n">
        <x:v>6</x:v>
      </x:c>
      <x:c r="L671" t="n">
        <x:v>6</x:v>
      </x:c>
      <x:c r="M671" t="n">
        <x:v>60.8</x:v>
      </x:c>
      <x:c r="N671" t="n">
        <x:v>33</x:v>
      </x:c>
      <x:c r="O671" s="45" t="n">
        <x:v>128652</x:v>
      </x:c>
      <x:c r="P671" s="45" t="n">
        <x:v>21000</x:v>
      </x:c>
      <x:c r="Q671" t="str">
        <x:v>Entregue</x:v>
      </x:c>
      <x:c r="R671" t="str"/>
      <x:c r="S671" t="str">
        <x:v>Nao</x:v>
      </x:c>
      <x:c r="T671" t="str">
        <x:v>Nao</x:v>
      </x:c>
    </x:row>
    <x:row r="672" ht="19" customHeight="1">
      <x:c r="A672" t="str">
        <x:v>ENT-00671</x:v>
      </x:c>
      <x:c r="B672" s="41" t="n">
        <x:v>46260</x:v>
      </x:c>
      <x:c r="C672" s="41" t="n">
        <x:v>46263</x:v>
      </x:c>
      <x:c r="D672" s="41" t="n">
        <x:v>46263</x:v>
      </x:c>
      <x:c r="E672" t="str">
        <x:v>Kwanza Distribuição, Lda.</x:v>
      </x:c>
      <x:c r="F672" t="str">
        <x:v>Zango</x:v>
      </x:c>
      <x:c r="G672" t="str">
        <x:v>Kito Alberto</x:v>
      </x:c>
      <x:c r="H672" t="str">
        <x:v>VTR-09</x:v>
      </x:c>
      <x:c r="I672" t="str">
        <x:v>Toyota Hilux</x:v>
      </x:c>
      <x:c r="J672" t="n">
        <x:v>1000</x:v>
      </x:c>
      <x:c r="K672" t="n">
        <x:v>46</x:v>
      </x:c>
      <x:c r="L672" t="n">
        <x:v>46</x:v>
      </x:c>
      <x:c r="M672" t="n">
        <x:v>542.3</x:v>
      </x:c>
      <x:c r="N672" t="n">
        <x:v>48</x:v>
      </x:c>
      <x:c r="O672" s="45" t="n">
        <x:v>822940</x:v>
      </x:c>
      <x:c r="P672" s="45" t="n">
        <x:v>38500</x:v>
      </x:c>
      <x:c r="Q672" t="str">
        <x:v>Entregue</x:v>
      </x:c>
      <x:c r="R672" t="str"/>
      <x:c r="S672" t="str">
        <x:v>Nao</x:v>
      </x:c>
      <x:c r="T672" t="str">
        <x:v>Nao</x:v>
      </x:c>
    </x:row>
    <x:row r="673" ht="19" customHeight="1">
      <x:c r="A673" t="str">
        <x:v>ENT-00672</x:v>
      </x:c>
      <x:c r="B673" s="41" t="n">
        <x:v>46231</x:v>
      </x:c>
      <x:c r="C673" s="41" t="n">
        <x:v>46233</x:v>
      </x:c>
      <x:c r="D673" s="41" t="n">
        <x:v>46233</x:v>
      </x:c>
      <x:c r="E673" t="str">
        <x:v>Nova Rota Comercial, Lda.</x:v>
      </x:c>
      <x:c r="F673" t="str">
        <x:v>Morro Bento</x:v>
      </x:c>
      <x:c r="G673" t="str">
        <x:v>Elísio António</x:v>
      </x:c>
      <x:c r="H673" t="str">
        <x:v>VTR-06</x:v>
      </x:c>
      <x:c r="I673" t="str">
        <x:v>Isuzu NPR</x:v>
      </x:c>
      <x:c r="J673" t="n">
        <x:v>5000</x:v>
      </x:c>
      <x:c r="K673" t="n">
        <x:v>72</x:v>
      </x:c>
      <x:c r="L673" t="n">
        <x:v>72</x:v>
      </x:c>
      <x:c r="M673" t="n">
        <x:v>1377.1</x:v>
      </x:c>
      <x:c r="N673" t="n">
        <x:v>27</x:v>
      </x:c>
      <x:c r="O673" s="45" t="n">
        <x:v>518904</x:v>
      </x:c>
      <x:c r="P673" s="45" t="n">
        <x:v>38500</x:v>
      </x:c>
      <x:c r="Q673" t="str">
        <x:v>Entregue</x:v>
      </x:c>
      <x:c r="R673" t="str"/>
      <x:c r="S673" t="str">
        <x:v>Nao</x:v>
      </x:c>
      <x:c r="T673" t="str">
        <x:v>Nao</x:v>
      </x:c>
    </x:row>
    <x:row r="674" ht="19" customHeight="1">
      <x:c r="A674" t="str">
        <x:v>ENT-00673</x:v>
      </x:c>
      <x:c r="B674" s="41" t="n">
        <x:v>46245</x:v>
      </x:c>
      <x:c r="C674" s="41" t="n">
        <x:v>46246</x:v>
      </x:c>
      <x:c r="D674" s="41" t="n">
        <x:v>46247</x:v>
      </x:c>
      <x:c r="E674" t="str">
        <x:v>Nova Rota Comercial, Lda.</x:v>
      </x:c>
      <x:c r="F674" t="str">
        <x:v>Maianga</x:v>
      </x:c>
      <x:c r="G674" t="str">
        <x:v>Hélder Miguel</x:v>
      </x:c>
      <x:c r="H674" t="str">
        <x:v>VTR-11</x:v>
      </x:c>
      <x:c r="I674" t="str">
        <x:v>JAC N56</x:v>
      </x:c>
      <x:c r="J674" t="n">
        <x:v>3500</x:v>
      </x:c>
      <x:c r="K674" t="n">
        <x:v>66</x:v>
      </x:c>
      <x:c r="L674" t="n">
        <x:v>66</x:v>
      </x:c>
      <x:c r="M674" t="n">
        <x:v>1356.6</x:v>
      </x:c>
      <x:c r="N674" t="n">
        <x:v>17</x:v>
      </x:c>
      <x:c r="O674" s="45" t="n">
        <x:v>632742</x:v>
      </x:c>
      <x:c r="P674" s="45" t="n">
        <x:v>38000</x:v>
      </x:c>
      <x:c r="Q674" t="str">
        <x:v>Entregue</x:v>
      </x:c>
      <x:c r="R674" t="str">
        <x:v>Avaria da viatura</x:v>
      </x:c>
      <x:c r="S674" t="str">
        <x:v>Nao</x:v>
      </x:c>
      <x:c r="T674" t="str">
        <x:v>Nao</x:v>
      </x:c>
    </x:row>
    <x:row r="675" ht="19" customHeight="1">
      <x:c r="A675" t="str">
        <x:v>ENT-00674</x:v>
      </x:c>
      <x:c r="B675" s="41" t="n">
        <x:v>46257</x:v>
      </x:c>
      <x:c r="C675" s="41" t="n">
        <x:v>46259</x:v>
      </x:c>
      <x:c r="D675" s="41" t="n">
        <x:v>46259</x:v>
      </x:c>
      <x:c r="E675" t="str">
        <x:v>Kiala &amp; Filhos, Lda.</x:v>
      </x:c>
      <x:c r="F675" t="str">
        <x:v>Talatona</x:v>
      </x:c>
      <x:c r="G675" t="str">
        <x:v>Elísio António</x:v>
      </x:c>
      <x:c r="H675" t="str">
        <x:v>VTR-10</x:v>
      </x:c>
      <x:c r="I675" t="str">
        <x:v>Foton Aumark</x:v>
      </x:c>
      <x:c r="J675" t="n">
        <x:v>4000</x:v>
      </x:c>
      <x:c r="K675" t="n">
        <x:v>13</x:v>
      </x:c>
      <x:c r="L675" t="n">
        <x:v>13</x:v>
      </x:c>
      <x:c r="M675" t="n">
        <x:v>440.4</x:v>
      </x:c>
      <x:c r="N675" t="n">
        <x:v>34</x:v>
      </x:c>
      <x:c r="O675" s="45" t="n">
        <x:v>120939</x:v>
      </x:c>
      <x:c r="P675" s="45" t="n">
        <x:v>28500</x:v>
      </x:c>
      <x:c r="Q675" t="str">
        <x:v>Entregue</x:v>
      </x:c>
      <x:c r="R675" t="str"/>
      <x:c r="S675" t="str">
        <x:v>Nao</x:v>
      </x:c>
      <x:c r="T675" t="str">
        <x:v>Nao</x:v>
      </x:c>
    </x:row>
    <x:row r="676" ht="19" customHeight="1">
      <x:c r="A676" t="str">
        <x:v>ENT-00675</x:v>
      </x:c>
      <x:c r="B676" s="41" t="n">
        <x:v>46231</x:v>
      </x:c>
      <x:c r="C676" s="41" t="n">
        <x:v>46233</x:v>
      </x:c>
      <x:c r="D676" s="41" t="n">
        <x:v>46233</x:v>
      </x:c>
      <x:c r="E676" t="str">
        <x:v>Kwanza Distribuição, Lda.</x:v>
      </x:c>
      <x:c r="F676" t="str">
        <x:v>Patriota</x:v>
      </x:c>
      <x:c r="G676" t="str">
        <x:v>Isaías Pedro</x:v>
      </x:c>
      <x:c r="H676" t="str">
        <x:v>VTR-08</x:v>
      </x:c>
      <x:c r="I676" t="str">
        <x:v>Toyota Hilux</x:v>
      </x:c>
      <x:c r="J676" t="n">
        <x:v>1000</x:v>
      </x:c>
      <x:c r="K676" t="n">
        <x:v>18</x:v>
      </x:c>
      <x:c r="L676" t="n">
        <x:v>18</x:v>
      </x:c>
      <x:c r="M676" t="n">
        <x:v>171.5</x:v>
      </x:c>
      <x:c r="N676" t="n">
        <x:v>30</x:v>
      </x:c>
      <x:c r="O676" s="45" t="n">
        <x:v>127206</x:v>
      </x:c>
      <x:c r="P676" s="45" t="n">
        <x:v>20500</x:v>
      </x:c>
      <x:c r="Q676" t="str">
        <x:v>Entregue</x:v>
      </x:c>
      <x:c r="R676" t="str"/>
      <x:c r="S676" t="str">
        <x:v>Nao</x:v>
      </x:c>
      <x:c r="T676" t="str">
        <x:v>Nao</x:v>
      </x:c>
    </x:row>
    <x:row r="677" ht="19" customHeight="1">
      <x:c r="A677" t="str">
        <x:v>ENT-00676</x:v>
      </x:c>
      <x:c r="B677" s="41" t="n">
        <x:v>46240</x:v>
      </x:c>
      <x:c r="C677" s="41" t="n">
        <x:v>46243</x:v>
      </x:c>
      <x:c r="D677" s="41" t="n">
        <x:v>46243</x:v>
      </x:c>
      <x:c r="E677" t="str">
        <x:v>Kiala &amp; Filhos, Lda.</x:v>
      </x:c>
      <x:c r="F677" t="str">
        <x:v>Kikuxi</x:v>
      </x:c>
      <x:c r="G677" t="str">
        <x:v>Isaías Pedro</x:v>
      </x:c>
      <x:c r="H677" t="str">
        <x:v>VTR-07</x:v>
      </x:c>
      <x:c r="I677" t="str">
        <x:v>Isuzu NPR</x:v>
      </x:c>
      <x:c r="J677" t="n">
        <x:v>5000</x:v>
      </x:c>
      <x:c r="K677" t="n">
        <x:v>69</x:v>
      </x:c>
      <x:c r="L677" t="n">
        <x:v>69</x:v>
      </x:c>
      <x:c r="M677" t="n">
        <x:v>2321.1</x:v>
      </x:c>
      <x:c r="N677" t="n">
        <x:v>40</x:v>
      </x:c>
      <x:c r="O677" s="45" t="n">
        <x:v>1478463</x:v>
      </x:c>
      <x:c r="P677" s="45" t="n">
        <x:v>62000</x:v>
      </x:c>
      <x:c r="Q677" t="str">
        <x:v>Entregue</x:v>
      </x:c>
      <x:c r="R677" t="str"/>
      <x:c r="S677" t="str">
        <x:v>Nao</x:v>
      </x:c>
      <x:c r="T677" t="str">
        <x:v>Nao</x:v>
      </x:c>
    </x:row>
    <x:row r="678" ht="19" customHeight="1">
      <x:c r="A678" t="str">
        <x:v>ENT-00677</x:v>
      </x:c>
      <x:c r="B678" s="41" t="n">
        <x:v>46243</x:v>
      </x:c>
      <x:c r="C678" s="41" t="n">
        <x:v>46245</x:v>
      </x:c>
      <x:c r="D678" s="41" t="n">
        <x:v>46245</x:v>
      </x:c>
      <x:c r="E678" t="str">
        <x:v>Prime Stock, Lda.</x:v>
      </x:c>
      <x:c r="F678" t="str">
        <x:v>Nova Vida</x:v>
      </x:c>
      <x:c r="G678" t="str">
        <x:v>Bernardo Paulo</x:v>
      </x:c>
      <x:c r="H678" t="str">
        <x:v>VTR-12</x:v>
      </x:c>
      <x:c r="I678" t="str">
        <x:v>Hyundai H100</x:v>
      </x:c>
      <x:c r="J678" t="n">
        <x:v>1300</x:v>
      </x:c>
      <x:c r="K678" t="n">
        <x:v>11</x:v>
      </x:c>
      <x:c r="L678" t="n">
        <x:v>11</x:v>
      </x:c>
      <x:c r="M678" t="n">
        <x:v>246.8</x:v>
      </x:c>
      <x:c r="N678" t="n">
        <x:v>27</x:v>
      </x:c>
      <x:c r="O678" s="45" t="n">
        <x:v>192126</x:v>
      </x:c>
      <x:c r="P678" s="45" t="n">
        <x:v>22500</x:v>
      </x:c>
      <x:c r="Q678" t="str">
        <x:v>Entregue</x:v>
      </x:c>
      <x:c r="R678" t="str"/>
      <x:c r="S678" t="str">
        <x:v>Nao</x:v>
      </x:c>
      <x:c r="T678" t="str">
        <x:v>Nao</x:v>
      </x:c>
    </x:row>
    <x:row r="679" ht="19" customHeight="1">
      <x:c r="A679" t="str">
        <x:v>ENT-00678</x:v>
      </x:c>
      <x:c r="B679" s="41" t="n">
        <x:v>46238</x:v>
      </x:c>
      <x:c r="C679" s="41" t="n">
        <x:v>46241</x:v>
      </x:c>
      <x:c r="D679" s="41" t="n">
        <x:v>46241</x:v>
      </x:c>
      <x:c r="E679" t="str">
        <x:v>Ponto Logístico, Lda.</x:v>
      </x:c>
      <x:c r="F679" t="str">
        <x:v>Zango</x:v>
      </x:c>
      <x:c r="G679" t="str">
        <x:v>Jorge Mário</x:v>
      </x:c>
      <x:c r="H679" t="str">
        <x:v>VTR-08</x:v>
      </x:c>
      <x:c r="I679" t="str">
        <x:v>Toyota Hilux</x:v>
      </x:c>
      <x:c r="J679" t="n">
        <x:v>1000</x:v>
      </x:c>
      <x:c r="K679" t="n">
        <x:v>90</x:v>
      </x:c>
      <x:c r="L679" t="n">
        <x:v>90</x:v>
      </x:c>
      <x:c r="M679" t="n">
        <x:v>604.5</x:v>
      </x:c>
      <x:c r="N679" t="n">
        <x:v>53</x:v>
      </x:c>
      <x:c r="O679" s="45" t="n">
        <x:v>2082960</x:v>
      </x:c>
      <x:c r="P679" s="45" t="n">
        <x:v>42500</x:v>
      </x:c>
      <x:c r="Q679" t="str">
        <x:v>Entregue</x:v>
      </x:c>
      <x:c r="R679" t="str"/>
      <x:c r="S679" t="str">
        <x:v>Nao</x:v>
      </x:c>
      <x:c r="T679" t="str">
        <x:v>Nao</x:v>
      </x:c>
    </x:row>
    <x:row r="680" ht="19" customHeight="1">
      <x:c r="A680" t="str">
        <x:v>ENT-00679</x:v>
      </x:c>
      <x:c r="B680" s="41" t="n">
        <x:v>46242</x:v>
      </x:c>
      <x:c r="C680" s="41" t="n">
        <x:v>46244</x:v>
      </x:c>
      <x:c r="D680" s="41" t="n">
        <x:v>46244</x:v>
      </x:c>
      <x:c r="E680" t="str">
        <x:v>Mundo Fresco, Lda.</x:v>
      </x:c>
      <x:c r="F680" t="str">
        <x:v>Viana</x:v>
      </x:c>
      <x:c r="G680" t="str">
        <x:v>Kito Alberto</x:v>
      </x:c>
      <x:c r="H680" t="str">
        <x:v>VTR-09</x:v>
      </x:c>
      <x:c r="I680" t="str">
        <x:v>Toyota Hilux</x:v>
      </x:c>
      <x:c r="J680" t="n">
        <x:v>1000</x:v>
      </x:c>
      <x:c r="K680" t="n">
        <x:v>86</x:v>
      </x:c>
      <x:c r="L680" t="n">
        <x:v>86</x:v>
      </x:c>
      <x:c r="M680" t="n">
        <x:v>846.1</x:v>
      </x:c>
      <x:c r="N680" t="n">
        <x:v>27</x:v>
      </x:c>
      <x:c r="O680" s="45" t="n">
        <x:v>1812450</x:v>
      </x:c>
      <x:c r="P680" s="45" t="n">
        <x:v>31500</x:v>
      </x:c>
      <x:c r="Q680" t="str">
        <x:v>Entregue</x:v>
      </x:c>
      <x:c r="R680" t="str"/>
      <x:c r="S680" t="str">
        <x:v>Nao</x:v>
      </x:c>
      <x:c r="T680" t="str">
        <x:v>Nao</x:v>
      </x:c>
    </x:row>
    <x:row r="681" ht="19" customHeight="1">
      <x:c r="A681" t="str">
        <x:v>ENT-00680</x:v>
      </x:c>
      <x:c r="B681" s="41" t="n">
        <x:v>46226</x:v>
      </x:c>
      <x:c r="C681" s="41" t="n">
        <x:v>46228</x:v>
      </x:c>
      <x:c r="D681" s="41" t="n">
        <x:v>46228</x:v>
      </x:c>
      <x:c r="E681" t="str">
        <x:v>Kiala &amp; Filhos, Lda.</x:v>
      </x:c>
      <x:c r="F681" t="str">
        <x:v>Talatona</x:v>
      </x:c>
      <x:c r="G681" t="str">
        <x:v>Jorge Mário</x:v>
      </x:c>
      <x:c r="H681" t="str">
        <x:v>VTR-04</x:v>
      </x:c>
      <x:c r="I681" t="str">
        <x:v>Toyota Dyna</x:v>
      </x:c>
      <x:c r="J681" t="n">
        <x:v>3000</x:v>
      </x:c>
      <x:c r="K681" t="n">
        <x:v>37</x:v>
      </x:c>
      <x:c r="L681" t="n">
        <x:v>37</x:v>
      </x:c>
      <x:c r="M681" t="n">
        <x:v>723.1</x:v>
      </x:c>
      <x:c r="N681" t="n">
        <x:v>38</x:v>
      </x:c>
      <x:c r="O681" s="45" t="n">
        <x:v>435638</x:v>
      </x:c>
      <x:c r="P681" s="45" t="n">
        <x:v>35000</x:v>
      </x:c>
      <x:c r="Q681" t="str">
        <x:v>Entregue</x:v>
      </x:c>
      <x:c r="R681" t="str"/>
      <x:c r="S681" t="str">
        <x:v>Nao</x:v>
      </x:c>
      <x:c r="T681" t="str">
        <x:v>Nao</x:v>
      </x:c>
    </x:row>
    <x:row r="682" ht="19" customHeight="1">
      <x:c r="A682" t="str">
        <x:v>ENT-00681</x:v>
      </x:c>
      <x:c r="B682" s="41" t="n">
        <x:v>46231</x:v>
      </x:c>
      <x:c r="C682" s="41" t="n">
        <x:v>46234</x:v>
      </x:c>
      <x:c r="D682" s="41" t="n">
        <x:v>46234</x:v>
      </x:c>
      <x:c r="E682" t="str">
        <x:v>Luanda Office Supply, Lda.</x:v>
      </x:c>
      <x:c r="F682" t="str">
        <x:v>Sequele</x:v>
      </x:c>
      <x:c r="G682" t="str">
        <x:v>Dário Joaquim</x:v>
      </x:c>
      <x:c r="H682" t="str">
        <x:v>VTR-09</x:v>
      </x:c>
      <x:c r="I682" t="str">
        <x:v>Toyota Hilux</x:v>
      </x:c>
      <x:c r="J682" t="n">
        <x:v>1000</x:v>
      </x:c>
      <x:c r="K682" t="n">
        <x:v>73</x:v>
      </x:c>
      <x:c r="L682" t="n">
        <x:v>73</x:v>
      </x:c>
      <x:c r="M682" t="n">
        <x:v>489.1</x:v>
      </x:c>
      <x:c r="N682" t="n">
        <x:v>51</x:v>
      </x:c>
      <x:c r="O682" s="45" t="n">
        <x:v>849793</x:v>
      </x:c>
      <x:c r="P682" s="45" t="n">
        <x:v>35500</x:v>
      </x:c>
      <x:c r="Q682" t="str">
        <x:v>Entregue</x:v>
      </x:c>
      <x:c r="R682" t="str"/>
      <x:c r="S682" t="str">
        <x:v>Sim</x:v>
      </x:c>
      <x:c r="T682" t="str">
        <x:v>Nao</x:v>
      </x:c>
    </x:row>
    <x:row r="683" ht="19" customHeight="1">
      <x:c r="A683" t="str">
        <x:v>ENT-00682</x:v>
      </x:c>
      <x:c r="B683" s="41" t="n">
        <x:v>46245</x:v>
      </x:c>
      <x:c r="C683" s="41" t="n">
        <x:v>46248</x:v>
      </x:c>
      <x:c r="D683" s="41" t="n">
        <x:v>46249</x:v>
      </x:c>
      <x:c r="E683" t="str">
        <x:v>Mercado Sul, Lda.</x:v>
      </x:c>
      <x:c r="F683" t="str">
        <x:v>Cacuaco</x:v>
      </x:c>
      <x:c r="G683" t="str">
        <x:v>Isaías Pedro</x:v>
      </x:c>
      <x:c r="H683" t="str">
        <x:v>VTR-10</x:v>
      </x:c>
      <x:c r="I683" t="str">
        <x:v>Foton Aumark</x:v>
      </x:c>
      <x:c r="J683" t="n">
        <x:v>4000</x:v>
      </x:c>
      <x:c r="K683" t="n">
        <x:v>74</x:v>
      </x:c>
      <x:c r="L683" t="n">
        <x:v>0</x:v>
      </x:c>
      <x:c r="M683" t="n">
        <x:v>2223</x:v>
      </x:c>
      <x:c r="N683" t="n">
        <x:v>55</x:v>
      </x:c>
      <x:c r="O683" s="45" t="n">
        <x:v>1401412</x:v>
      </x:c>
      <x:c r="P683" s="45" t="n">
        <x:v>68000</x:v>
      </x:c>
      <x:c r="Q683" t="str">
        <x:v>Falhada</x:v>
      </x:c>
      <x:c r="R683" t="str">
        <x:v>Endereco incompleto</x:v>
      </x:c>
      <x:c r="S683" t="str">
        <x:v>Nao</x:v>
      </x:c>
      <x:c r="T683" t="str">
        <x:v>Nao</x:v>
      </x:c>
    </x:row>
    <x:row r="684" ht="19" customHeight="1">
      <x:c r="A684" t="str">
        <x:v>ENT-00683</x:v>
      </x:c>
      <x:c r="B684" s="41" t="n">
        <x:v>46250</x:v>
      </x:c>
      <x:c r="C684" s="41" t="n">
        <x:v>46252</x:v>
      </x:c>
      <x:c r="D684" s="41" t="n">
        <x:v>46252</x:v>
      </x:c>
      <x:c r="E684" t="str">
        <x:v>Maxi Centro, Lda.</x:v>
      </x:c>
      <x:c r="F684" t="str">
        <x:v>Benfica</x:v>
      </x:c>
      <x:c r="G684" t="str">
        <x:v>Bernardo Paulo</x:v>
      </x:c>
      <x:c r="H684" t="str">
        <x:v>VTR-10</x:v>
      </x:c>
      <x:c r="I684" t="str">
        <x:v>Foton Aumark</x:v>
      </x:c>
      <x:c r="J684" t="n">
        <x:v>4000</x:v>
      </x:c>
      <x:c r="K684" t="n">
        <x:v>77</x:v>
      </x:c>
      <x:c r="L684" t="n">
        <x:v>77</x:v>
      </x:c>
      <x:c r="M684" t="n">
        <x:v>1693.4</x:v>
      </x:c>
      <x:c r="N684" t="n">
        <x:v>32</x:v>
      </x:c>
      <x:c r="O684" s="45" t="n">
        <x:v>445291</x:v>
      </x:c>
      <x:c r="P684" s="45" t="n">
        <x:v>44500</x:v>
      </x:c>
      <x:c r="Q684" t="str">
        <x:v>Entregue</x:v>
      </x:c>
      <x:c r="R684" t="str"/>
      <x:c r="S684" t="str">
        <x:v>Nao</x:v>
      </x:c>
      <x:c r="T684" t="str">
        <x:v>Nao</x:v>
      </x:c>
    </x:row>
    <x:row r="685" ht="19" customHeight="1">
      <x:c r="A685" t="str">
        <x:v>ENT-00684</x:v>
      </x:c>
      <x:c r="B685" s="41" t="n">
        <x:v>46259</x:v>
      </x:c>
      <x:c r="C685" s="41" t="n">
        <x:v>46262</x:v>
      </x:c>
      <x:c r="D685" s="41"/>
      <x:c r="E685" t="str">
        <x:v>Mundo Fresco, Lda.</x:v>
      </x:c>
      <x:c r="F685" t="str">
        <x:v>Kikuxi</x:v>
      </x:c>
      <x:c r="G685" t="str">
        <x:v>Bernardo Paulo</x:v>
      </x:c>
      <x:c r="H685" t="str">
        <x:v>VTR-07</x:v>
      </x:c>
      <x:c r="I685" t="str">
        <x:v>Isuzu NPR</x:v>
      </x:c>
      <x:c r="J685" t="n">
        <x:v>5000</x:v>
      </x:c>
      <x:c r="K685" t="n">
        <x:v>80</x:v>
      </x:c>
      <x:c r="L685" t="n">
        <x:v>0</x:v>
      </x:c>
      <x:c r="M685" t="n">
        <x:v>1051.4</x:v>
      </x:c>
      <x:c r="N685" t="n">
        <x:v>43</x:v>
      </x:c>
      <x:c r="O685" s="45" t="n">
        <x:v>1908640</x:v>
      </x:c>
      <x:c r="P685" s="45" t="n">
        <x:v>40000</x:v>
      </x:c>
      <x:c r="Q685" t="str">
        <x:v>Cancelada</x:v>
      </x:c>
      <x:c r="R685" t="str">
        <x:v>Cancelamento do cliente</x:v>
      </x:c>
      <x:c r="S685" t="str">
        <x:v>Nao</x:v>
      </x:c>
      <x:c r="T685" t="str">
        <x:v>Nao</x:v>
      </x:c>
    </x:row>
    <x:row r="686" ht="19" customHeight="1">
      <x:c r="A686" t="str">
        <x:v>ENT-00685</x:v>
      </x:c>
      <x:c r="B686" s="41" t="n">
        <x:v>46238</x:v>
      </x:c>
      <x:c r="C686" s="41" t="n">
        <x:v>46240</x:v>
      </x:c>
      <x:c r="D686" s="41" t="n">
        <x:v>46240</x:v>
      </x:c>
      <x:c r="E686" t="str">
        <x:v>Savana Retail, Lda.</x:v>
      </x:c>
      <x:c r="F686" t="str">
        <x:v>Viana</x:v>
      </x:c>
      <x:c r="G686" t="str">
        <x:v>Lucas Tomás</x:v>
      </x:c>
      <x:c r="H686" t="str">
        <x:v>VTR-05</x:v>
      </x:c>
      <x:c r="I686" t="str">
        <x:v>Hyundai HD65</x:v>
      </x:c>
      <x:c r="J686" t="n">
        <x:v>3500</x:v>
      </x:c>
      <x:c r="K686" t="n">
        <x:v>34</x:v>
      </x:c>
      <x:c r="L686" t="n">
        <x:v>34</x:v>
      </x:c>
      <x:c r="M686" t="n">
        <x:v>300.6</x:v>
      </x:c>
      <x:c r="N686" t="n">
        <x:v>35</x:v>
      </x:c>
      <x:c r="O686" s="45" t="n">
        <x:v>123658</x:v>
      </x:c>
      <x:c r="P686" s="45" t="n">
        <x:v>24500</x:v>
      </x:c>
      <x:c r="Q686" t="str">
        <x:v>Entregue</x:v>
      </x:c>
      <x:c r="R686" t="str"/>
      <x:c r="S686" t="str">
        <x:v>Nao</x:v>
      </x:c>
      <x:c r="T686" t="str">
        <x:v>Nao</x:v>
      </x:c>
    </x:row>
    <x:row r="687" ht="19" customHeight="1">
      <x:c r="A687" t="str">
        <x:v>ENT-00686</x:v>
      </x:c>
      <x:c r="B687" s="41" t="n">
        <x:v>46219</x:v>
      </x:c>
      <x:c r="C687" s="41" t="n">
        <x:v>46220</x:v>
      </x:c>
      <x:c r="D687" s="41" t="n">
        <x:v>46220</x:v>
      </x:c>
      <x:c r="E687" t="str">
        <x:v>Mercado Sul, Lda.</x:v>
      </x:c>
      <x:c r="F687" t="str">
        <x:v>Morro Bento</x:v>
      </x:c>
      <x:c r="G687" t="str">
        <x:v>Gilberto José</x:v>
      </x:c>
      <x:c r="H687" t="str">
        <x:v>VTR-04</x:v>
      </x:c>
      <x:c r="I687" t="str">
        <x:v>Toyota Dyna</x:v>
      </x:c>
      <x:c r="J687" t="n">
        <x:v>3000</x:v>
      </x:c>
      <x:c r="K687" t="n">
        <x:v>56</x:v>
      </x:c>
      <x:c r="L687" t="n">
        <x:v>56</x:v>
      </x:c>
      <x:c r="M687" t="n">
        <x:v>1833.5</x:v>
      </x:c>
      <x:c r="N687" t="n">
        <x:v>14</x:v>
      </x:c>
      <x:c r="O687" s="45" t="n">
        <x:v>535080</x:v>
      </x:c>
      <x:c r="P687" s="45" t="n">
        <x:v>44000</x:v>
      </x:c>
      <x:c r="Q687" t="str">
        <x:v>Entregue</x:v>
      </x:c>
      <x:c r="R687" t="str"/>
      <x:c r="S687" t="str">
        <x:v>Nao</x:v>
      </x:c>
      <x:c r="T687" t="str">
        <x:v>Nao</x:v>
      </x:c>
    </x:row>
    <x:row r="688" ht="19" customHeight="1">
      <x:c r="A688" t="str">
        <x:v>ENT-00687</x:v>
      </x:c>
      <x:c r="B688" s="41" t="n">
        <x:v>46262</x:v>
      </x:c>
      <x:c r="C688" s="41" t="n">
        <x:v>46265</x:v>
      </x:c>
      <x:c r="D688" s="41" t="n">
        <x:v>46267</x:v>
      </x:c>
      <x:c r="E688" t="str">
        <x:v>Rota Azul, Lda.</x:v>
      </x:c>
      <x:c r="F688" t="str">
        <x:v>Sequele</x:v>
      </x:c>
      <x:c r="G688" t="str">
        <x:v>Isaías Pedro</x:v>
      </x:c>
      <x:c r="H688" t="str">
        <x:v>VTR-12</x:v>
      </x:c>
      <x:c r="I688" t="str">
        <x:v>Hyundai H100</x:v>
      </x:c>
      <x:c r="J688" t="n">
        <x:v>1300</x:v>
      </x:c>
      <x:c r="K688" t="n">
        <x:v>90</x:v>
      </x:c>
      <x:c r="L688" t="n">
        <x:v>89</x:v>
      </x:c>
      <x:c r="M688" t="n">
        <x:v>940</x:v>
      </x:c>
      <x:c r="N688" t="n">
        <x:v>59</x:v>
      </x:c>
      <x:c r="O688" s="45" t="n">
        <x:v>682560</x:v>
      </x:c>
      <x:c r="P688" s="45" t="n">
        <x:v>47000</x:v>
      </x:c>
      <x:c r="Q688" t="str">
        <x:v>Entregue</x:v>
      </x:c>
      <x:c r="R688" t="str">
        <x:v>Transito intenso</x:v>
      </x:c>
      <x:c r="S688" t="str">
        <x:v>Nao</x:v>
      </x:c>
      <x:c r="T688" t="str">
        <x:v>Nao</x:v>
      </x:c>
    </x:row>
    <x:row r="689" ht="19" customHeight="1">
      <x:c r="A689" t="str">
        <x:v>ENT-00688</x:v>
      </x:c>
      <x:c r="B689" s="41" t="n">
        <x:v>46233</x:v>
      </x:c>
      <x:c r="C689" s="41" t="n">
        <x:v>46235</x:v>
      </x:c>
      <x:c r="D689" s="41" t="n">
        <x:v>46235</x:v>
      </x:c>
      <x:c r="E689" t="str">
        <x:v>Prime Stock, Lda.</x:v>
      </x:c>
      <x:c r="F689" t="str">
        <x:v>Talatona</x:v>
      </x:c>
      <x:c r="G689" t="str">
        <x:v>Elísio António</x:v>
      </x:c>
      <x:c r="H689" t="str">
        <x:v>VTR-12</x:v>
      </x:c>
      <x:c r="I689" t="str">
        <x:v>Hyundai H100</x:v>
      </x:c>
      <x:c r="J689" t="n">
        <x:v>1300</x:v>
      </x:c>
      <x:c r="K689" t="n">
        <x:v>83</x:v>
      </x:c>
      <x:c r="L689" t="n">
        <x:v>83</x:v>
      </x:c>
      <x:c r="M689" t="n">
        <x:v>875.5</x:v>
      </x:c>
      <x:c r="N689" t="n">
        <x:v>24</x:v>
      </x:c>
      <x:c r="O689" s="45" t="n">
        <x:v>950433</x:v>
      </x:c>
      <x:c r="P689" s="45" t="n">
        <x:v>32500</x:v>
      </x:c>
      <x:c r="Q689" t="str">
        <x:v>Entregue</x:v>
      </x:c>
      <x:c r="R689" t="str"/>
      <x:c r="S689" t="str">
        <x:v>Nao</x:v>
      </x:c>
      <x:c r="T689" t="str">
        <x:v>Nao</x:v>
      </x:c>
    </x:row>
    <x:row r="690" ht="19" customHeight="1">
      <x:c r="A690" t="str">
        <x:v>ENT-00689</x:v>
      </x:c>
      <x:c r="B690" s="41" t="n">
        <x:v>46207</x:v>
      </x:c>
      <x:c r="C690" s="41" t="n">
        <x:v>46210</x:v>
      </x:c>
      <x:c r="D690" s="41" t="n">
        <x:v>46210</x:v>
      </x:c>
      <x:c r="E690" t="str">
        <x:v>Sol Nascente Comércio, Lda.</x:v>
      </x:c>
      <x:c r="F690" t="str">
        <x:v>Sequele</x:v>
      </x:c>
      <x:c r="G690" t="str">
        <x:v>Isaías Pedro</x:v>
      </x:c>
      <x:c r="H690" t="str">
        <x:v>VTR-11</x:v>
      </x:c>
      <x:c r="I690" t="str">
        <x:v>JAC N56</x:v>
      </x:c>
      <x:c r="J690" t="n">
        <x:v>3500</x:v>
      </x:c>
      <x:c r="K690" t="n">
        <x:v>79</x:v>
      </x:c>
      <x:c r="L690" t="n">
        <x:v>79</x:v>
      </x:c>
      <x:c r="M690" t="n">
        <x:v>1980.6</x:v>
      </x:c>
      <x:c r="N690" t="n">
        <x:v>43</x:v>
      </x:c>
      <x:c r="O690" s="45" t="n">
        <x:v>848776</x:v>
      </x:c>
      <x:c r="P690" s="45" t="n">
        <x:v>64000</x:v>
      </x:c>
      <x:c r="Q690" t="str">
        <x:v>Entregue</x:v>
      </x:c>
      <x:c r="R690" t="str"/>
      <x:c r="S690" t="str">
        <x:v>Nao</x:v>
      </x:c>
      <x:c r="T690" t="str">
        <x:v>Nao</x:v>
      </x:c>
    </x:row>
    <x:row r="691" ht="19" customHeight="1">
      <x:c r="A691" t="str">
        <x:v>ENT-00690</x:v>
      </x:c>
      <x:c r="B691" s="41" t="n">
        <x:v>46258</x:v>
      </x:c>
      <x:c r="C691" s="41" t="n">
        <x:v>46260</x:v>
      </x:c>
      <x:c r="D691" s="41" t="n">
        <x:v>46260</x:v>
      </x:c>
      <x:c r="E691" t="str">
        <x:v>Cesta Certa, Lda.</x:v>
      </x:c>
      <x:c r="F691" t="str">
        <x:v>Viana</x:v>
      </x:c>
      <x:c r="G691" t="str">
        <x:v>Elísio António</x:v>
      </x:c>
      <x:c r="H691" t="str">
        <x:v>VTR-03</x:v>
      </x:c>
      <x:c r="I691" t="str">
        <x:v>Toyota Dyna</x:v>
      </x:c>
      <x:c r="J691" t="n">
        <x:v>3000</x:v>
      </x:c>
      <x:c r="K691" t="n">
        <x:v>73</x:v>
      </x:c>
      <x:c r="L691" t="n">
        <x:v>73</x:v>
      </x:c>
      <x:c r="M691" t="n">
        <x:v>998.7</x:v>
      </x:c>
      <x:c r="N691" t="n">
        <x:v>30</x:v>
      </x:c>
      <x:c r="O691" s="45" t="n">
        <x:v>744600</x:v>
      </x:c>
      <x:c r="P691" s="45" t="n">
        <x:v>40000</x:v>
      </x:c>
      <x:c r="Q691" t="str">
        <x:v>Entregue</x:v>
      </x:c>
      <x:c r="R691" t="str"/>
      <x:c r="S691" t="str">
        <x:v>Nao</x:v>
      </x:c>
      <x:c r="T691" t="str">
        <x:v>Nao</x:v>
      </x:c>
    </x:row>
    <x:row r="692" ht="19" customHeight="1">
      <x:c r="A692" t="str">
        <x:v>ENT-00691</x:v>
      </x:c>
      <x:c r="B692" s="41" t="n">
        <x:v>46240</x:v>
      </x:c>
      <x:c r="C692" s="41" t="n">
        <x:v>46241</x:v>
      </x:c>
      <x:c r="D692" s="41" t="n">
        <x:v>46241</x:v>
      </x:c>
      <x:c r="E692" t="str">
        <x:v>Ponto Logístico, Lda.</x:v>
      </x:c>
      <x:c r="F692" t="str">
        <x:v>Ingombota</x:v>
      </x:c>
      <x:c r="G692" t="str">
        <x:v>Kito Alberto</x:v>
      </x:c>
      <x:c r="H692" t="str">
        <x:v>VTR-04</x:v>
      </x:c>
      <x:c r="I692" t="str">
        <x:v>Toyota Dyna</x:v>
      </x:c>
      <x:c r="J692" t="n">
        <x:v>3000</x:v>
      </x:c>
      <x:c r="K692" t="n">
        <x:v>35</x:v>
      </x:c>
      <x:c r="L692" t="n">
        <x:v>35</x:v>
      </x:c>
      <x:c r="M692" t="n">
        <x:v>798.4</x:v>
      </x:c>
      <x:c r="N692" t="n">
        <x:v>17</x:v>
      </x:c>
      <x:c r="O692" s="45" t="n">
        <x:v>393820</x:v>
      </x:c>
      <x:c r="P692" s="45" t="n">
        <x:v>30500</x:v>
      </x:c>
      <x:c r="Q692" t="str">
        <x:v>Entregue</x:v>
      </x:c>
      <x:c r="R692" t="str"/>
      <x:c r="S692" t="str">
        <x:v>Nao</x:v>
      </x:c>
      <x:c r="T692" t="str">
        <x:v>Nao</x:v>
      </x:c>
    </x:row>
    <x:row r="693" ht="19" customHeight="1">
      <x:c r="A693" t="str">
        <x:v>ENT-00692</x:v>
      </x:c>
      <x:c r="B693" s="41" t="n">
        <x:v>46240</x:v>
      </x:c>
      <x:c r="C693" s="41" t="n">
        <x:v>46241</x:v>
      </x:c>
      <x:c r="D693" s="41" t="n">
        <x:v>46241</x:v>
      </x:c>
      <x:c r="E693" t="str">
        <x:v>Rota Azul, Lda.</x:v>
      </x:c>
      <x:c r="F693" t="str">
        <x:v>Ingombota</x:v>
      </x:c>
      <x:c r="G693" t="str">
        <x:v>Hélder Miguel</x:v>
      </x:c>
      <x:c r="H693" t="str">
        <x:v>VTR-07</x:v>
      </x:c>
      <x:c r="I693" t="str">
        <x:v>Isuzu NPR</x:v>
      </x:c>
      <x:c r="J693" t="n">
        <x:v>5000</x:v>
      </x:c>
      <x:c r="K693" t="n">
        <x:v>42</x:v>
      </x:c>
      <x:c r="L693" t="n">
        <x:v>42</x:v>
      </x:c>
      <x:c r="M693" t="n">
        <x:v>579.1</x:v>
      </x:c>
      <x:c r="N693" t="n">
        <x:v>10</x:v>
      </x:c>
      <x:c r="O693" s="45" t="n">
        <x:v>846804</x:v>
      </x:c>
      <x:c r="P693" s="45" t="n">
        <x:v>21000</x:v>
      </x:c>
      <x:c r="Q693" t="str">
        <x:v>Entregue</x:v>
      </x:c>
      <x:c r="R693" t="str"/>
      <x:c r="S693" t="str">
        <x:v>Nao</x:v>
      </x:c>
      <x:c r="T693" t="str">
        <x:v>Nao</x:v>
      </x:c>
    </x:row>
    <x:row r="694" ht="19" customHeight="1">
      <x:c r="A694" t="str">
        <x:v>ENT-00693</x:v>
      </x:c>
      <x:c r="B694" s="41" t="n">
        <x:v>46228</x:v>
      </x:c>
      <x:c r="C694" s="41" t="n">
        <x:v>46230</x:v>
      </x:c>
      <x:c r="D694" s="41" t="n">
        <x:v>46230</x:v>
      </x:c>
      <x:c r="E694" t="str">
        <x:v>Casa Horizonte, Lda.</x:v>
      </x:c>
      <x:c r="F694" t="str">
        <x:v>Benfica</x:v>
      </x:c>
      <x:c r="G694" t="str">
        <x:v>Kito Alberto</x:v>
      </x:c>
      <x:c r="H694" t="str">
        <x:v>VTR-06</x:v>
      </x:c>
      <x:c r="I694" t="str">
        <x:v>Isuzu NPR</x:v>
      </x:c>
      <x:c r="J694" t="n">
        <x:v>5000</x:v>
      </x:c>
      <x:c r="K694" t="n">
        <x:v>81</x:v>
      </x:c>
      <x:c r="L694" t="n">
        <x:v>81</x:v>
      </x:c>
      <x:c r="M694" t="n">
        <x:v>2578.2</x:v>
      </x:c>
      <x:c r="N694" t="n">
        <x:v>26</x:v>
      </x:c>
      <x:c r="O694" s="45" t="n">
        <x:v>753300</x:v>
      </x:c>
      <x:c r="P694" s="45" t="n">
        <x:v>62000</x:v>
      </x:c>
      <x:c r="Q694" t="str">
        <x:v>Entregue</x:v>
      </x:c>
      <x:c r="R694" t="str"/>
      <x:c r="S694" t="str">
        <x:v>Nao</x:v>
      </x:c>
      <x:c r="T694" t="str">
        <x:v>Nao</x:v>
      </x:c>
    </x:row>
    <x:row r="695" ht="19" customHeight="1">
      <x:c r="A695" t="str">
        <x:v>ENT-00694</x:v>
      </x:c>
      <x:c r="B695" s="41" t="n">
        <x:v>46254</x:v>
      </x:c>
      <x:c r="C695" s="41" t="n">
        <x:v>46256</x:v>
      </x:c>
      <x:c r="D695" s="41" t="n">
        <x:v>46256</x:v>
      </x:c>
      <x:c r="E695" t="str">
        <x:v>Prime Stock, Lda.</x:v>
      </x:c>
      <x:c r="F695" t="str">
        <x:v>Maianga</x:v>
      </x:c>
      <x:c r="G695" t="str">
        <x:v>Kito Alberto</x:v>
      </x:c>
      <x:c r="H695" t="str">
        <x:v>VTR-01</x:v>
      </x:c>
      <x:c r="I695" t="str">
        <x:v>Kia K2700</x:v>
      </x:c>
      <x:c r="J695" t="n">
        <x:v>1500</x:v>
      </x:c>
      <x:c r="K695" t="n">
        <x:v>48</x:v>
      </x:c>
      <x:c r="L695" t="n">
        <x:v>48</x:v>
      </x:c>
      <x:c r="M695" t="n">
        <x:v>723.2</x:v>
      </x:c>
      <x:c r="N695" t="n">
        <x:v>21</x:v>
      </x:c>
      <x:c r="O695" s="45" t="n">
        <x:v>919776</x:v>
      </x:c>
      <x:c r="P695" s="45" t="n">
        <x:v>27000</x:v>
      </x:c>
      <x:c r="Q695" t="str">
        <x:v>Entregue</x:v>
      </x:c>
      <x:c r="R695" t="str"/>
      <x:c r="S695" t="str">
        <x:v>Nao</x:v>
      </x:c>
      <x:c r="T695" t="str">
        <x:v>Nao</x:v>
      </x:c>
    </x:row>
    <x:row r="696" ht="19" customHeight="1">
      <x:c r="A696" t="str">
        <x:v>ENT-00695</x:v>
      </x:c>
      <x:c r="B696" s="41" t="n">
        <x:v>46231</x:v>
      </x:c>
      <x:c r="C696" s="41" t="n">
        <x:v>46232</x:v>
      </x:c>
      <x:c r="D696" s="41" t="n">
        <x:v>46232</x:v>
      </x:c>
      <x:c r="E696" t="str">
        <x:v>Prime Stock, Lda.</x:v>
      </x:c>
      <x:c r="F696" t="str">
        <x:v>Morro Bento</x:v>
      </x:c>
      <x:c r="G696" t="str">
        <x:v>Lucas Tomás</x:v>
      </x:c>
      <x:c r="H696" t="str">
        <x:v>VTR-01</x:v>
      </x:c>
      <x:c r="I696" t="str">
        <x:v>Kia K2700</x:v>
      </x:c>
      <x:c r="J696" t="n">
        <x:v>1500</x:v>
      </x:c>
      <x:c r="K696" t="n">
        <x:v>89</x:v>
      </x:c>
      <x:c r="L696" t="n">
        <x:v>89</x:v>
      </x:c>
      <x:c r="M696" t="n">
        <x:v>1424.9</x:v>
      </x:c>
      <x:c r="N696" t="n">
        <x:v>16</x:v>
      </x:c>
      <x:c r="O696" s="45" t="n">
        <x:v>1814354</x:v>
      </x:c>
      <x:c r="P696" s="45" t="n">
        <x:v>34500</x:v>
      </x:c>
      <x:c r="Q696" t="str">
        <x:v>Entregue</x:v>
      </x:c>
      <x:c r="R696" t="str"/>
      <x:c r="S696" t="str">
        <x:v>Nao</x:v>
      </x:c>
      <x:c r="T696" t="str">
        <x:v>Nao</x:v>
      </x:c>
    </x:row>
    <x:row r="697" ht="19" customHeight="1">
      <x:c r="A697" t="str">
        <x:v>ENT-00696</x:v>
      </x:c>
      <x:c r="B697" s="41" t="n">
        <x:v>46237</x:v>
      </x:c>
      <x:c r="C697" s="41" t="n">
        <x:v>46239</x:v>
      </x:c>
      <x:c r="D697" s="41" t="n">
        <x:v>46239</x:v>
      </x:c>
      <x:c r="E697" t="str">
        <x:v>Savana Retail, Lda.</x:v>
      </x:c>
      <x:c r="F697" t="str">
        <x:v>Patriota</x:v>
      </x:c>
      <x:c r="G697" t="str">
        <x:v>Gilberto José</x:v>
      </x:c>
      <x:c r="H697" t="str">
        <x:v>VTR-10</x:v>
      </x:c>
      <x:c r="I697" t="str">
        <x:v>Foton Aumark</x:v>
      </x:c>
      <x:c r="J697" t="n">
        <x:v>4000</x:v>
      </x:c>
      <x:c r="K697" t="n">
        <x:v>67</x:v>
      </x:c>
      <x:c r="L697" t="n">
        <x:v>67</x:v>
      </x:c>
      <x:c r="M697" t="n">
        <x:v>1783.2</x:v>
      </x:c>
      <x:c r="N697" t="n">
        <x:v>25</x:v>
      </x:c>
      <x:c r="O697" s="45" t="n">
        <x:v>1481705</x:v>
      </x:c>
      <x:c r="P697" s="45" t="n">
        <x:v>48500</x:v>
      </x:c>
      <x:c r="Q697" t="str">
        <x:v>Entregue</x:v>
      </x:c>
      <x:c r="R697" t="str"/>
      <x:c r="S697" t="str">
        <x:v>Nao</x:v>
      </x:c>
      <x:c r="T697" t="str">
        <x:v>Nao</x:v>
      </x:c>
    </x:row>
    <x:row r="698" ht="19" customHeight="1">
      <x:c r="A698" t="str">
        <x:v>ENT-00697</x:v>
      </x:c>
      <x:c r="B698" s="41" t="n">
        <x:v>46236</x:v>
      </x:c>
      <x:c r="C698" s="41" t="n">
        <x:v>46238</x:v>
      </x:c>
      <x:c r="D698" s="41" t="n">
        <x:v>46238</x:v>
      </x:c>
      <x:c r="E698" t="str">
        <x:v>Mundo Fresco, Lda.</x:v>
      </x:c>
      <x:c r="F698" t="str">
        <x:v>Benfica</x:v>
      </x:c>
      <x:c r="G698" t="str">
        <x:v>Bernardo Paulo</x:v>
      </x:c>
      <x:c r="H698" t="str">
        <x:v>VTR-07</x:v>
      </x:c>
      <x:c r="I698" t="str">
        <x:v>Isuzu NPR</x:v>
      </x:c>
      <x:c r="J698" t="n">
        <x:v>5000</x:v>
      </x:c>
      <x:c r="K698" t="n">
        <x:v>11</x:v>
      </x:c>
      <x:c r="L698" t="n">
        <x:v>11</x:v>
      </x:c>
      <x:c r="M698" t="n">
        <x:v>96</x:v>
      </x:c>
      <x:c r="N698" t="n">
        <x:v>34</x:v>
      </x:c>
      <x:c r="O698" s="45" t="n">
        <x:v>142120</x:v>
      </x:c>
      <x:c r="P698" s="45" t="n">
        <x:v>20500</x:v>
      </x:c>
      <x:c r="Q698" t="str">
        <x:v>Entregue</x:v>
      </x:c>
      <x:c r="R698" t="str"/>
      <x:c r="S698" t="str">
        <x:v>Nao</x:v>
      </x:c>
      <x:c r="T698" t="str">
        <x:v>Nao</x:v>
      </x:c>
    </x:row>
    <x:row r="699" ht="19" customHeight="1">
      <x:c r="A699" t="str">
        <x:v>ENT-00698</x:v>
      </x:c>
      <x:c r="B699" s="41" t="n">
        <x:v>46228</x:v>
      </x:c>
      <x:c r="C699" s="41" t="n">
        <x:v>46231</x:v>
      </x:c>
      <x:c r="D699" s="41" t="n">
        <x:v>46231</x:v>
      </x:c>
      <x:c r="E699" t="str">
        <x:v>Atlântico Farma, Lda.</x:v>
      </x:c>
      <x:c r="F699" t="str">
        <x:v>Zango</x:v>
      </x:c>
      <x:c r="G699" t="str">
        <x:v>Isaías Pedro</x:v>
      </x:c>
      <x:c r="H699" t="str">
        <x:v>VTR-01</x:v>
      </x:c>
      <x:c r="I699" t="str">
        <x:v>Kia K2700</x:v>
      </x:c>
      <x:c r="J699" t="n">
        <x:v>1500</x:v>
      </x:c>
      <x:c r="K699" t="n">
        <x:v>69</x:v>
      </x:c>
      <x:c r="L699" t="n">
        <x:v>69</x:v>
      </x:c>
      <x:c r="M699" t="n">
        <x:v>929.1</x:v>
      </x:c>
      <x:c r="N699" t="n">
        <x:v>45</x:v>
      </x:c>
      <x:c r="O699" s="45" t="n">
        <x:v>854082</x:v>
      </x:c>
      <x:c r="P699" s="45" t="n">
        <x:v>38500</x:v>
      </x:c>
      <x:c r="Q699" t="str">
        <x:v>Entregue</x:v>
      </x:c>
      <x:c r="R699" t="str"/>
      <x:c r="S699" t="str">
        <x:v>Nao</x:v>
      </x:c>
      <x:c r="T699" t="str">
        <x:v>Nao</x:v>
      </x:c>
    </x:row>
    <x:row r="700" ht="19" customHeight="1">
      <x:c r="A700" t="str">
        <x:v>ENT-00699</x:v>
      </x:c>
      <x:c r="B700" s="41" t="n">
        <x:v>46253</x:v>
      </x:c>
      <x:c r="C700" s="41" t="n">
        <x:v>46255</x:v>
      </x:c>
      <x:c r="D700" s="41" t="n">
        <x:v>46255</x:v>
      </x:c>
      <x:c r="E700" t="str">
        <x:v>Maxi Centro, Lda.</x:v>
      </x:c>
      <x:c r="F700" t="str">
        <x:v>Camama</x:v>
      </x:c>
      <x:c r="G700" t="str">
        <x:v>Isaías Pedro</x:v>
      </x:c>
      <x:c r="H700" t="str">
        <x:v>VTR-01</x:v>
      </x:c>
      <x:c r="I700" t="str">
        <x:v>Kia K2700</x:v>
      </x:c>
      <x:c r="J700" t="n">
        <x:v>1500</x:v>
      </x:c>
      <x:c r="K700" t="n">
        <x:v>34</x:v>
      </x:c>
      <x:c r="L700" t="n">
        <x:v>34</x:v>
      </x:c>
      <x:c r="M700" t="n">
        <x:v>734.1</x:v>
      </x:c>
      <x:c r="N700" t="n">
        <x:v>30</x:v>
      </x:c>
      <x:c r="O700" s="45" t="n">
        <x:v>263500</x:v>
      </x:c>
      <x:c r="P700" s="45" t="n">
        <x:v>29000</x:v>
      </x:c>
      <x:c r="Q700" t="str">
        <x:v>Entregue</x:v>
      </x:c>
      <x:c r="R700" t="str"/>
      <x:c r="S700" t="str">
        <x:v>Nao</x:v>
      </x:c>
      <x:c r="T700" t="str">
        <x:v>Nao</x:v>
      </x:c>
    </x:row>
    <x:row r="701" ht="19" customHeight="1">
      <x:c r="A701" t="str">
        <x:v>ENT-00700</x:v>
      </x:c>
      <x:c r="B701" s="41" t="n">
        <x:v>46233</x:v>
      </x:c>
      <x:c r="C701" s="41" t="n">
        <x:v>46235</x:v>
      </x:c>
      <x:c r="D701" s="41" t="n">
        <x:v>46235</x:v>
      </x:c>
      <x:c r="E701" t="str">
        <x:v>Prime Stock, Lda.</x:v>
      </x:c>
      <x:c r="F701" t="str">
        <x:v>Patriota</x:v>
      </x:c>
      <x:c r="G701" t="str">
        <x:v>Carlos Mateus</x:v>
      </x:c>
      <x:c r="H701" t="str">
        <x:v>VTR-07</x:v>
      </x:c>
      <x:c r="I701" t="str">
        <x:v>Isuzu NPR</x:v>
      </x:c>
      <x:c r="J701" t="n">
        <x:v>5000</x:v>
      </x:c>
      <x:c r="K701" t="n">
        <x:v>58</x:v>
      </x:c>
      <x:c r="L701" t="n">
        <x:v>58</x:v>
      </x:c>
      <x:c r="M701" t="n">
        <x:v>1348.7</x:v>
      </x:c>
      <x:c r="N701" t="n">
        <x:v>23</x:v>
      </x:c>
      <x:c r="O701" s="45" t="n">
        <x:v>739152</x:v>
      </x:c>
      <x:c r="P701" s="45" t="n">
        <x:v>39500</x:v>
      </x:c>
      <x:c r="Q701" t="str">
        <x:v>Entregue</x:v>
      </x:c>
      <x:c r="R701" t="str"/>
      <x:c r="S701" t="str">
        <x:v>Nao</x:v>
      </x:c>
      <x:c r="T701" t="str">
        <x:v>Nao</x:v>
      </x:c>
    </x:row>
    <x:row r="702" ht="19" customHeight="1">
      <x:c r="A702" t="str">
        <x:v>ENT-00701</x:v>
      </x:c>
      <x:c r="B702" s="41" t="n">
        <x:v>46216</x:v>
      </x:c>
      <x:c r="C702" s="41" t="n">
        <x:v>46217</x:v>
      </x:c>
      <x:c r="D702" s="41" t="n">
        <x:v>46217</x:v>
      </x:c>
      <x:c r="E702" t="str">
        <x:v>Maxi Centro, Lda.</x:v>
      </x:c>
      <x:c r="F702" t="str">
        <x:v>Nova Vida</x:v>
      </x:c>
      <x:c r="G702" t="str">
        <x:v>Hélder Miguel</x:v>
      </x:c>
      <x:c r="H702" t="str">
        <x:v>VTR-07</x:v>
      </x:c>
      <x:c r="I702" t="str">
        <x:v>Isuzu NPR</x:v>
      </x:c>
      <x:c r="J702" t="n">
        <x:v>5000</x:v>
      </x:c>
      <x:c r="K702" t="n">
        <x:v>62</x:v>
      </x:c>
      <x:c r="L702" t="n">
        <x:v>62</x:v>
      </x:c>
      <x:c r="M702" t="n">
        <x:v>2158.2</x:v>
      </x:c>
      <x:c r="N702" t="n">
        <x:v>15</x:v>
      </x:c>
      <x:c r="O702" s="45" t="n">
        <x:v>697314</x:v>
      </x:c>
      <x:c r="P702" s="45" t="n">
        <x:v>56500</x:v>
      </x:c>
      <x:c r="Q702" t="str">
        <x:v>Entregue</x:v>
      </x:c>
      <x:c r="R702" t="str"/>
      <x:c r="S702" t="str">
        <x:v>Nao</x:v>
      </x:c>
      <x:c r="T702" t="str">
        <x:v>Nao</x:v>
      </x:c>
    </x:row>
    <x:row r="703" ht="19" customHeight="1">
      <x:c r="A703" t="str">
        <x:v>ENT-00702</x:v>
      </x:c>
      <x:c r="B703" s="41" t="n">
        <x:v>46204</x:v>
      </x:c>
      <x:c r="C703" s="41" t="n">
        <x:v>46206</x:v>
      </x:c>
      <x:c r="D703" s="41"/>
      <x:c r="E703" t="str">
        <x:v>Maxi Centro, Lda.</x:v>
      </x:c>
      <x:c r="F703" t="str">
        <x:v>Talatona</x:v>
      </x:c>
      <x:c r="G703" t="str">
        <x:v>Dário Joaquim</x:v>
      </x:c>
      <x:c r="H703" t="str">
        <x:v>VTR-08</x:v>
      </x:c>
      <x:c r="I703" t="str">
        <x:v>Toyota Hilux</x:v>
      </x:c>
      <x:c r="J703" t="n">
        <x:v>1000</x:v>
      </x:c>
      <x:c r="K703" t="n">
        <x:v>65</x:v>
      </x:c>
      <x:c r="L703" t="n">
        <x:v>0</x:v>
      </x:c>
      <x:c r="M703" t="n">
        <x:v>911.7</x:v>
      </x:c>
      <x:c r="N703" t="n">
        <x:v>38</x:v>
      </x:c>
      <x:c r="O703" s="45" t="n">
        <x:v>1676935</x:v>
      </x:c>
      <x:c r="P703" s="45" t="n">
        <x:v>43500</x:v>
      </x:c>
      <x:c r="Q703" t="str">
        <x:v>Cancelada</x:v>
      </x:c>
      <x:c r="R703" t="str">
        <x:v>Cancelamento do cliente</x:v>
      </x:c>
      <x:c r="S703" t="str">
        <x:v>Nao</x:v>
      </x:c>
      <x:c r="T703" t="str">
        <x:v>Nao</x:v>
      </x:c>
    </x:row>
    <x:row r="704" ht="19" customHeight="1">
      <x:c r="A704" t="str">
        <x:v>ENT-00703</x:v>
      </x:c>
      <x:c r="B704" s="41" t="n">
        <x:v>46254</x:v>
      </x:c>
      <x:c r="C704" s="41" t="n">
        <x:v>46256</x:v>
      </x:c>
      <x:c r="D704" s="41" t="n">
        <x:v>46257</x:v>
      </x:c>
      <x:c r="E704" t="str">
        <x:v>Mundo Fresco, Lda.</x:v>
      </x:c>
      <x:c r="F704" t="str">
        <x:v>Kilamba</x:v>
      </x:c>
      <x:c r="G704" t="str">
        <x:v>Gilberto José</x:v>
      </x:c>
      <x:c r="H704" t="str">
        <x:v>VTR-04</x:v>
      </x:c>
      <x:c r="I704" t="str">
        <x:v>Toyota Dyna</x:v>
      </x:c>
      <x:c r="J704" t="n">
        <x:v>3000</x:v>
      </x:c>
      <x:c r="K704" t="n">
        <x:v>43</x:v>
      </x:c>
      <x:c r="L704" t="n">
        <x:v>43</x:v>
      </x:c>
      <x:c r="M704" t="n">
        <x:v>447.2</x:v>
      </x:c>
      <x:c r="N704" t="n">
        <x:v>29</x:v>
      </x:c>
      <x:c r="O704" s="45" t="n">
        <x:v>675143</x:v>
      </x:c>
      <x:c r="P704" s="45" t="n">
        <x:v>30000</x:v>
      </x:c>
      <x:c r="Q704" t="str">
        <x:v>Entregue</x:v>
      </x:c>
      <x:c r="R704" t="str">
        <x:v>Cliente indisponivel</x:v>
      </x:c>
      <x:c r="S704" t="str">
        <x:v>Nao</x:v>
      </x:c>
      <x:c r="T704" t="str">
        <x:v>Nao</x:v>
      </x:c>
    </x:row>
    <x:row r="705" ht="19" customHeight="1">
      <x:c r="A705" t="str">
        <x:v>ENT-00704</x:v>
      </x:c>
      <x:c r="B705" s="41" t="n">
        <x:v>46251</x:v>
      </x:c>
      <x:c r="C705" s="41" t="n">
        <x:v>46253</x:v>
      </x:c>
      <x:c r="D705" s="41" t="n">
        <x:v>46253</x:v>
      </x:c>
      <x:c r="E705" t="str">
        <x:v>Kwanza Distribuição, Lda.</x:v>
      </x:c>
      <x:c r="F705" t="str">
        <x:v>Kilamba</x:v>
      </x:c>
      <x:c r="G705" t="str">
        <x:v>Bernardo Paulo</x:v>
      </x:c>
      <x:c r="H705" t="str">
        <x:v>VTR-06</x:v>
      </x:c>
      <x:c r="I705" t="str">
        <x:v>Isuzu NPR</x:v>
      </x:c>
      <x:c r="J705" t="n">
        <x:v>5000</x:v>
      </x:c>
      <x:c r="K705" t="n">
        <x:v>32</x:v>
      </x:c>
      <x:c r="L705" t="n">
        <x:v>32</x:v>
      </x:c>
      <x:c r="M705" t="n">
        <x:v>1075.5</x:v>
      </x:c>
      <x:c r="N705" t="n">
        <x:v>31</x:v>
      </x:c>
      <x:c r="O705" s="45" t="n">
        <x:v>613184</x:v>
      </x:c>
      <x:c r="P705" s="45" t="n">
        <x:v>37500</x:v>
      </x:c>
      <x:c r="Q705" t="str">
        <x:v>Entregue</x:v>
      </x:c>
      <x:c r="R705" t="str"/>
      <x:c r="S705" t="str">
        <x:v>Nao</x:v>
      </x:c>
      <x:c r="T705" t="str">
        <x:v>Nao</x:v>
      </x:c>
    </x:row>
    <x:row r="706" ht="19" customHeight="1">
      <x:c r="A706" t="str">
        <x:v>ENT-00705</x:v>
      </x:c>
      <x:c r="B706" s="41" t="n">
        <x:v>46235</x:v>
      </x:c>
      <x:c r="C706" s="41" t="n">
        <x:v>46237</x:v>
      </x:c>
      <x:c r="D706" s="41" t="n">
        <x:v>46238</x:v>
      </x:c>
      <x:c r="E706" t="str">
        <x:v>Rota Azul, Lda.</x:v>
      </x:c>
      <x:c r="F706" t="str">
        <x:v>Patriota</x:v>
      </x:c>
      <x:c r="G706" t="str">
        <x:v>Carlos Mateus</x:v>
      </x:c>
      <x:c r="H706" t="str">
        <x:v>VTR-04</x:v>
      </x:c>
      <x:c r="I706" t="str">
        <x:v>Toyota Dyna</x:v>
      </x:c>
      <x:c r="J706" t="n">
        <x:v>3000</x:v>
      </x:c>
      <x:c r="K706" t="n">
        <x:v>86</x:v>
      </x:c>
      <x:c r="L706" t="n">
        <x:v>86</x:v>
      </x:c>
      <x:c r="M706" t="n">
        <x:v>2391.3</x:v>
      </x:c>
      <x:c r="N706" t="n">
        <x:v>26</x:v>
      </x:c>
      <x:c r="O706" s="45" t="n">
        <x:v>1570274</x:v>
      </x:c>
      <x:c r="P706" s="45" t="n">
        <x:v>54000</x:v>
      </x:c>
      <x:c r="Q706" t="str">
        <x:v>Entregue</x:v>
      </x:c>
      <x:c r="R706" t="str">
        <x:v>Chuva/condicao da via</x:v>
      </x:c>
      <x:c r="S706" t="str">
        <x:v>Nao</x:v>
      </x:c>
      <x:c r="T706" t="str">
        <x:v>Nao</x:v>
      </x:c>
    </x:row>
    <x:row r="707" ht="19" customHeight="1">
      <x:c r="A707" t="str">
        <x:v>ENT-00706</x:v>
      </x:c>
      <x:c r="B707" s="41" t="n">
        <x:v>46217</x:v>
      </x:c>
      <x:c r="C707" s="41" t="n">
        <x:v>46219</x:v>
      </x:c>
      <x:c r="D707" s="41" t="n">
        <x:v>46219</x:v>
      </x:c>
      <x:c r="E707" t="str">
        <x:v>Atlântico Farma, Lda.</x:v>
      </x:c>
      <x:c r="F707" t="str">
        <x:v>Patriota</x:v>
      </x:c>
      <x:c r="G707" t="str">
        <x:v>Adriano Manuel</x:v>
      </x:c>
      <x:c r="H707" t="str">
        <x:v>VTR-03</x:v>
      </x:c>
      <x:c r="I707" t="str">
        <x:v>Toyota Dyna</x:v>
      </x:c>
      <x:c r="J707" t="n">
        <x:v>3000</x:v>
      </x:c>
      <x:c r="K707" t="n">
        <x:v>55</x:v>
      </x:c>
      <x:c r="L707" t="n">
        <x:v>55</x:v>
      </x:c>
      <x:c r="M707" t="n">
        <x:v>1889.8</x:v>
      </x:c>
      <x:c r="N707" t="n">
        <x:v>24</x:v>
      </x:c>
      <x:c r="O707" s="45" t="n">
        <x:v>656480</x:v>
      </x:c>
      <x:c r="P707" s="45" t="n">
        <x:v>45000</x:v>
      </x:c>
      <x:c r="Q707" t="str">
        <x:v>Entregue</x:v>
      </x:c>
      <x:c r="R707" t="str"/>
      <x:c r="S707" t="str">
        <x:v>Nao</x:v>
      </x:c>
      <x:c r="T707" t="str">
        <x:v>Nao</x:v>
      </x:c>
    </x:row>
    <x:row r="708" ht="19" customHeight="1">
      <x:c r="A708" t="str">
        <x:v>ENT-00707</x:v>
      </x:c>
      <x:c r="B708" s="41" t="n">
        <x:v>46256</x:v>
      </x:c>
      <x:c r="C708" s="41" t="n">
        <x:v>46259</x:v>
      </x:c>
      <x:c r="D708" s="41" t="n">
        <x:v>46259</x:v>
      </x:c>
      <x:c r="E708" t="str">
        <x:v>N'gola Market, Lda.</x:v>
      </x:c>
      <x:c r="F708" t="str">
        <x:v>Zango</x:v>
      </x:c>
      <x:c r="G708" t="str">
        <x:v>Isaías Pedro</x:v>
      </x:c>
      <x:c r="H708" t="str">
        <x:v>VTR-10</x:v>
      </x:c>
      <x:c r="I708" t="str">
        <x:v>Foton Aumark</x:v>
      </x:c>
      <x:c r="J708" t="n">
        <x:v>4000</x:v>
      </x:c>
      <x:c r="K708" t="n">
        <x:v>25</x:v>
      </x:c>
      <x:c r="L708" t="n">
        <x:v>25</x:v>
      </x:c>
      <x:c r="M708" t="n">
        <x:v>468</x:v>
      </x:c>
      <x:c r="N708" t="n">
        <x:v>43</x:v>
      </x:c>
      <x:c r="O708" s="45" t="n">
        <x:v>435200</x:v>
      </x:c>
      <x:c r="P708" s="45" t="n">
        <x:v>34500</x:v>
      </x:c>
      <x:c r="Q708" t="str">
        <x:v>Entregue</x:v>
      </x:c>
      <x:c r="R708" t="str"/>
      <x:c r="S708" t="str">
        <x:v>Nao</x:v>
      </x:c>
      <x:c r="T708" t="str">
        <x:v>Nao</x:v>
      </x:c>
    </x:row>
    <x:row r="709" ht="19" customHeight="1">
      <x:c r="A709" t="str">
        <x:v>ENT-00708</x:v>
      </x:c>
      <x:c r="B709" s="41" t="n">
        <x:v>46256</x:v>
      </x:c>
      <x:c r="C709" s="41" t="n">
        <x:v>46257</x:v>
      </x:c>
      <x:c r="D709" s="41" t="n">
        <x:v>46257</x:v>
      </x:c>
      <x:c r="E709" t="str">
        <x:v>Mercado Sul, Lda.</x:v>
      </x:c>
      <x:c r="F709" t="str">
        <x:v>Morro Bento</x:v>
      </x:c>
      <x:c r="G709" t="str">
        <x:v>Gilberto José</x:v>
      </x:c>
      <x:c r="H709" t="str">
        <x:v>VTR-06</x:v>
      </x:c>
      <x:c r="I709" t="str">
        <x:v>Isuzu NPR</x:v>
      </x:c>
      <x:c r="J709" t="n">
        <x:v>5000</x:v>
      </x:c>
      <x:c r="K709" t="n">
        <x:v>75</x:v>
      </x:c>
      <x:c r="L709" t="n">
        <x:v>75</x:v>
      </x:c>
      <x:c r="M709" t="n">
        <x:v>1070.8</x:v>
      </x:c>
      <x:c r="N709" t="n">
        <x:v>18</x:v>
      </x:c>
      <x:c r="O709" s="45" t="n">
        <x:v>802725</x:v>
      </x:c>
      <x:c r="P709" s="45" t="n">
        <x:v>36500</x:v>
      </x:c>
      <x:c r="Q709" t="str">
        <x:v>Entregue</x:v>
      </x:c>
      <x:c r="R709" t="str"/>
      <x:c r="S709" t="str">
        <x:v>Nao</x:v>
      </x:c>
      <x:c r="T709" t="str">
        <x:v>Nao</x:v>
      </x:c>
    </x:row>
    <x:row r="710" ht="19" customHeight="1">
      <x:c r="A710" t="str">
        <x:v>ENT-00709</x:v>
      </x:c>
      <x:c r="B710" s="41" t="n">
        <x:v>46261</x:v>
      </x:c>
      <x:c r="C710" s="41" t="n">
        <x:v>46262</x:v>
      </x:c>
      <x:c r="D710" s="41" t="n">
        <x:v>46262</x:v>
      </x:c>
      <x:c r="E710" t="str">
        <x:v>Rota Azul, Lda.</x:v>
      </x:c>
      <x:c r="F710" t="str">
        <x:v>Morro Bento</x:v>
      </x:c>
      <x:c r="G710" t="str">
        <x:v>Elísio António</x:v>
      </x:c>
      <x:c r="H710" t="str">
        <x:v>VTR-02</x:v>
      </x:c>
      <x:c r="I710" t="str">
        <x:v>Kia K2700</x:v>
      </x:c>
      <x:c r="J710" t="n">
        <x:v>1500</x:v>
      </x:c>
      <x:c r="K710" t="n">
        <x:v>34</x:v>
      </x:c>
      <x:c r="L710" t="n">
        <x:v>34</x:v>
      </x:c>
      <x:c r="M710" t="n">
        <x:v>887.9</x:v>
      </x:c>
      <x:c r="N710" t="n">
        <x:v>16</x:v>
      </x:c>
      <x:c r="O710" s="45" t="n">
        <x:v>199750</x:v>
      </x:c>
      <x:c r="P710" s="45" t="n">
        <x:v>26500</x:v>
      </x:c>
      <x:c r="Q710" t="str">
        <x:v>Entregue</x:v>
      </x:c>
      <x:c r="R710" t="str"/>
      <x:c r="S710" t="str">
        <x:v>Nao</x:v>
      </x:c>
      <x:c r="T710" t="str">
        <x:v>Nao</x:v>
      </x:c>
    </x:row>
    <x:row r="711" ht="19" customHeight="1">
      <x:c r="A711" t="str">
        <x:v>ENT-00710</x:v>
      </x:c>
      <x:c r="B711" s="41" t="n">
        <x:v>46258</x:v>
      </x:c>
      <x:c r="C711" s="41" t="n">
        <x:v>46261</x:v>
      </x:c>
      <x:c r="D711" s="41" t="n">
        <x:v>46261</x:v>
      </x:c>
      <x:c r="E711" t="str">
        <x:v>Cesta Certa, Lda.</x:v>
      </x:c>
      <x:c r="F711" t="str">
        <x:v>Kilamba</x:v>
      </x:c>
      <x:c r="G711" t="str">
        <x:v>Hélder Miguel</x:v>
      </x:c>
      <x:c r="H711" t="str">
        <x:v>VTR-02</x:v>
      </x:c>
      <x:c r="I711" t="str">
        <x:v>Kia K2700</x:v>
      </x:c>
      <x:c r="J711" t="n">
        <x:v>1500</x:v>
      </x:c>
      <x:c r="K711" t="n">
        <x:v>82</x:v>
      </x:c>
      <x:c r="L711" t="n">
        <x:v>82</x:v>
      </x:c>
      <x:c r="M711" t="n">
        <x:v>1130.8</x:v>
      </x:c>
      <x:c r="N711" t="n">
        <x:v>40</x:v>
      </x:c>
      <x:c r="O711" s="45" t="n">
        <x:v>2033190</x:v>
      </x:c>
      <x:c r="P711" s="45" t="n">
        <x:v>40500</x:v>
      </x:c>
      <x:c r="Q711" t="str">
        <x:v>Entregue</x:v>
      </x:c>
      <x:c r="R711" t="str"/>
      <x:c r="S711" t="str">
        <x:v>Nao</x:v>
      </x:c>
      <x:c r="T711" t="str">
        <x:v>Nao</x:v>
      </x:c>
    </x:row>
    <x:row r="712" ht="19" customHeight="1">
      <x:c r="A712" t="str">
        <x:v>ENT-00711</x:v>
      </x:c>
      <x:c r="B712" s="41" t="n">
        <x:v>46250</x:v>
      </x:c>
      <x:c r="C712" s="41" t="n">
        <x:v>46252</x:v>
      </x:c>
      <x:c r="D712" s="41" t="n">
        <x:v>46252</x:v>
      </x:c>
      <x:c r="E712" t="str">
        <x:v>Kwanza Distribuição, Lda.</x:v>
      </x:c>
      <x:c r="F712" t="str">
        <x:v>Talatona</x:v>
      </x:c>
      <x:c r="G712" t="str">
        <x:v>Elísio António</x:v>
      </x:c>
      <x:c r="H712" t="str">
        <x:v>VTR-05</x:v>
      </x:c>
      <x:c r="I712" t="str">
        <x:v>Hyundai HD65</x:v>
      </x:c>
      <x:c r="J712" t="n">
        <x:v>3500</x:v>
      </x:c>
      <x:c r="K712" t="n">
        <x:v>44</x:v>
      </x:c>
      <x:c r="L712" t="n">
        <x:v>44</x:v>
      </x:c>
      <x:c r="M712" t="n">
        <x:v>1196.2</x:v>
      </x:c>
      <x:c r="N712" t="n">
        <x:v>27</x:v>
      </x:c>
      <x:c r="O712" s="45" t="n">
        <x:v>769252</x:v>
      </x:c>
      <x:c r="P712" s="45" t="n">
        <x:v>38000</x:v>
      </x:c>
      <x:c r="Q712" t="str">
        <x:v>Entregue</x:v>
      </x:c>
      <x:c r="R712" t="str"/>
      <x:c r="S712" t="str">
        <x:v>Nao</x:v>
      </x:c>
      <x:c r="T712" t="str">
        <x:v>Nao</x:v>
      </x:c>
    </x:row>
    <x:row r="713" ht="19" customHeight="1">
      <x:c r="A713" t="str">
        <x:v>ENT-00712</x:v>
      </x:c>
      <x:c r="B713" s="41" t="n">
        <x:v>46233</x:v>
      </x:c>
      <x:c r="C713" s="41" t="n">
        <x:v>46235</x:v>
      </x:c>
      <x:c r="D713" s="41" t="n">
        <x:v>46235</x:v>
      </x:c>
      <x:c r="E713" t="str">
        <x:v>Kiala &amp; Filhos, Lda.</x:v>
      </x:c>
      <x:c r="F713" t="str">
        <x:v>Patriota</x:v>
      </x:c>
      <x:c r="G713" t="str">
        <x:v>Carlos Mateus</x:v>
      </x:c>
      <x:c r="H713" t="str">
        <x:v>VTR-09</x:v>
      </x:c>
      <x:c r="I713" t="str">
        <x:v>Toyota Hilux</x:v>
      </x:c>
      <x:c r="J713" t="n">
        <x:v>1000</x:v>
      </x:c>
      <x:c r="K713" t="n">
        <x:v>35</x:v>
      </x:c>
      <x:c r="L713" t="n">
        <x:v>35</x:v>
      </x:c>
      <x:c r="M713" t="n">
        <x:v>563.9</x:v>
      </x:c>
      <x:c r="N713" t="n">
        <x:v>24</x:v>
      </x:c>
      <x:c r="O713" s="45" t="n">
        <x:v>161245</x:v>
      </x:c>
      <x:c r="P713" s="45" t="n">
        <x:v>30000</x:v>
      </x:c>
      <x:c r="Q713" t="str">
        <x:v>Entregue</x:v>
      </x:c>
      <x:c r="R713" t="str"/>
      <x:c r="S713" t="str">
        <x:v>Nao</x:v>
      </x:c>
      <x:c r="T713" t="str">
        <x:v>Nao</x:v>
      </x:c>
    </x:row>
    <x:row r="714" ht="19" customHeight="1">
      <x:c r="A714" t="str">
        <x:v>ENT-00713</x:v>
      </x:c>
      <x:c r="B714" s="41" t="n">
        <x:v>46245</x:v>
      </x:c>
      <x:c r="C714" s="41" t="n">
        <x:v>46247</x:v>
      </x:c>
      <x:c r="D714" s="41" t="n">
        <x:v>46249</x:v>
      </x:c>
      <x:c r="E714" t="str">
        <x:v>Sol Nascente Comércio, Lda.</x:v>
      </x:c>
      <x:c r="F714" t="str">
        <x:v>Camama</x:v>
      </x:c>
      <x:c r="G714" t="str">
        <x:v>Félix Domingos</x:v>
      </x:c>
      <x:c r="H714" t="str">
        <x:v>VTR-11</x:v>
      </x:c>
      <x:c r="I714" t="str">
        <x:v>JAC N56</x:v>
      </x:c>
      <x:c r="J714" t="n">
        <x:v>3500</x:v>
      </x:c>
      <x:c r="K714" t="n">
        <x:v>68</x:v>
      </x:c>
      <x:c r="L714" t="n">
        <x:v>68</x:v>
      </x:c>
      <x:c r="M714" t="n">
        <x:v>2213.4</x:v>
      </x:c>
      <x:c r="N714" t="n">
        <x:v>34</x:v>
      </x:c>
      <x:c r="O714" s="45" t="n">
        <x:v>1545776</x:v>
      </x:c>
      <x:c r="P714" s="45" t="n">
        <x:v>58500</x:v>
      </x:c>
      <x:c r="Q714" t="str">
        <x:v>Entregue</x:v>
      </x:c>
      <x:c r="R714" t="str">
        <x:v>Chuva/condicao da via</x:v>
      </x:c>
      <x:c r="S714" t="str">
        <x:v>Nao</x:v>
      </x:c>
      <x:c r="T714" t="str">
        <x:v>Nao</x:v>
      </x:c>
    </x:row>
    <x:row r="715" ht="19" customHeight="1">
      <x:c r="A715" t="str">
        <x:v>ENT-00714</x:v>
      </x:c>
      <x:c r="B715" s="41" t="n">
        <x:v>46241</x:v>
      </x:c>
      <x:c r="C715" s="41" t="n">
        <x:v>46243</x:v>
      </x:c>
      <x:c r="D715" s="41" t="n">
        <x:v>46243</x:v>
      </x:c>
      <x:c r="E715" t="str">
        <x:v>Ponto Logístico, Lda.</x:v>
      </x:c>
      <x:c r="F715" t="str">
        <x:v>Nova Vida</x:v>
      </x:c>
      <x:c r="G715" t="str">
        <x:v>Dário Joaquim</x:v>
      </x:c>
      <x:c r="H715" t="str">
        <x:v>VTR-04</x:v>
      </x:c>
      <x:c r="I715" t="str">
        <x:v>Toyota Dyna</x:v>
      </x:c>
      <x:c r="J715" t="n">
        <x:v>3000</x:v>
      </x:c>
      <x:c r="K715" t="n">
        <x:v>84</x:v>
      </x:c>
      <x:c r="L715" t="n">
        <x:v>84</x:v>
      </x:c>
      <x:c r="M715" t="n">
        <x:v>1953.1</x:v>
      </x:c>
      <x:c r="N715" t="n">
        <x:v>23</x:v>
      </x:c>
      <x:c r="O715" s="45" t="n">
        <x:v>1295952</x:v>
      </x:c>
      <x:c r="P715" s="45" t="n">
        <x:v>48500</x:v>
      </x:c>
      <x:c r="Q715" t="str">
        <x:v>Entregue</x:v>
      </x:c>
      <x:c r="R715" t="str"/>
      <x:c r="S715" t="str">
        <x:v>Nao</x:v>
      </x:c>
      <x:c r="T715" t="str">
        <x:v>Nao</x:v>
      </x:c>
    </x:row>
    <x:row r="716" ht="19" customHeight="1">
      <x:c r="A716" t="str">
        <x:v>ENT-00715</x:v>
      </x:c>
      <x:c r="B716" s="41" t="n">
        <x:v>46221</x:v>
      </x:c>
      <x:c r="C716" s="41" t="n">
        <x:v>46222</x:v>
      </x:c>
      <x:c r="D716" s="41" t="n">
        <x:v>46221</x:v>
      </x:c>
      <x:c r="E716" t="str">
        <x:v>Savana Retail, Lda.</x:v>
      </x:c>
      <x:c r="F716" t="str">
        <x:v>Maianga</x:v>
      </x:c>
      <x:c r="G716" t="str">
        <x:v>Isaías Pedro</x:v>
      </x:c>
      <x:c r="H716" t="str">
        <x:v>VTR-04</x:v>
      </x:c>
      <x:c r="I716" t="str">
        <x:v>Toyota Dyna</x:v>
      </x:c>
      <x:c r="J716" t="n">
        <x:v>3000</x:v>
      </x:c>
      <x:c r="K716" t="n">
        <x:v>73</x:v>
      </x:c>
      <x:c r="L716" t="n">
        <x:v>73</x:v>
      </x:c>
      <x:c r="M716" t="n">
        <x:v>573.6</x:v>
      </x:c>
      <x:c r="N716" t="n">
        <x:v>10</x:v>
      </x:c>
      <x:c r="O716" s="45" t="n">
        <x:v>1575924</x:v>
      </x:c>
      <x:c r="P716" s="45" t="n">
        <x:v>20500</x:v>
      </x:c>
      <x:c r="Q716" t="str">
        <x:v>Entregue</x:v>
      </x:c>
      <x:c r="R716" t="str"/>
      <x:c r="S716" t="str">
        <x:v>Sim</x:v>
      </x:c>
      <x:c r="T716" t="str">
        <x:v>Nao</x:v>
      </x:c>
    </x:row>
    <x:row r="717" ht="19" customHeight="1">
      <x:c r="A717" t="str">
        <x:v>ENT-00716</x:v>
      </x:c>
      <x:c r="B717" s="41" t="n">
        <x:v>46242</x:v>
      </x:c>
      <x:c r="C717" s="41" t="n">
        <x:v>46244</x:v>
      </x:c>
      <x:c r="D717" s="41" t="n">
        <x:v>46246</x:v>
      </x:c>
      <x:c r="E717" t="str">
        <x:v>Luanda Office Supply, Lda.</x:v>
      </x:c>
      <x:c r="F717" t="str">
        <x:v>Kilamba</x:v>
      </x:c>
      <x:c r="G717" t="str">
        <x:v>Gilberto José</x:v>
      </x:c>
      <x:c r="H717" t="str">
        <x:v>VTR-03</x:v>
      </x:c>
      <x:c r="I717" t="str">
        <x:v>Toyota Dyna</x:v>
      </x:c>
      <x:c r="J717" t="n">
        <x:v>3000</x:v>
      </x:c>
      <x:c r="K717" t="n">
        <x:v>67</x:v>
      </x:c>
      <x:c r="L717" t="n">
        <x:v>67</x:v>
      </x:c>
      <x:c r="M717" t="n">
        <x:v>1546.3</x:v>
      </x:c>
      <x:c r="N717" t="n">
        <x:v>36</x:v>
      </x:c>
      <x:c r="O717" s="45" t="n">
        <x:v>965068</x:v>
      </x:c>
      <x:c r="P717" s="45" t="n">
        <x:v>47500</x:v>
      </x:c>
      <x:c r="Q717" t="str">
        <x:v>Entregue</x:v>
      </x:c>
      <x:c r="R717" t="str">
        <x:v>Atraso no carregamento</x:v>
      </x:c>
      <x:c r="S717" t="str">
        <x:v>Nao</x:v>
      </x:c>
      <x:c r="T717" t="str">
        <x:v>Nao</x:v>
      </x:c>
    </x:row>
    <x:row r="718" ht="19" customHeight="1">
      <x:c r="A718" t="str">
        <x:v>ENT-00717</x:v>
      </x:c>
      <x:c r="B718" s="41" t="n">
        <x:v>46264</x:v>
      </x:c>
      <x:c r="C718" s="41" t="n">
        <x:v>46267</x:v>
      </x:c>
      <x:c r="D718" s="41" t="n">
        <x:v>46267</x:v>
      </x:c>
      <x:c r="E718" t="str">
        <x:v>Savana Retail, Lda.</x:v>
      </x:c>
      <x:c r="F718" t="str">
        <x:v>Cacuaco</x:v>
      </x:c>
      <x:c r="G718" t="str">
        <x:v>Carlos Mateus</x:v>
      </x:c>
      <x:c r="H718" t="str">
        <x:v>VTR-08</x:v>
      </x:c>
      <x:c r="I718" t="str">
        <x:v>Toyota Hilux</x:v>
      </x:c>
      <x:c r="J718" t="n">
        <x:v>1000</x:v>
      </x:c>
      <x:c r="K718" t="n">
        <x:v>59</x:v>
      </x:c>
      <x:c r="L718" t="n">
        <x:v>59</x:v>
      </x:c>
      <x:c r="M718" t="n">
        <x:v>782.4</x:v>
      </x:c>
      <x:c r="N718" t="n">
        <x:v>49</x:v>
      </x:c>
      <x:c r="O718" s="45" t="n">
        <x:v>1058342</x:v>
      </x:c>
      <x:c r="P718" s="45" t="n">
        <x:v>46000</x:v>
      </x:c>
      <x:c r="Q718" t="str">
        <x:v>Entregue</x:v>
      </x:c>
      <x:c r="R718" t="str"/>
      <x:c r="S718" t="str">
        <x:v>Nao</x:v>
      </x:c>
      <x:c r="T718" t="str">
        <x:v>Nao</x:v>
      </x:c>
    </x:row>
    <x:row r="719" ht="19" customHeight="1">
      <x:c r="A719" t="str">
        <x:v>ENT-00718</x:v>
      </x:c>
      <x:c r="B719" s="41" t="n">
        <x:v>46208</x:v>
      </x:c>
      <x:c r="C719" s="41" t="n">
        <x:v>46211</x:v>
      </x:c>
      <x:c r="D719" s="41" t="n">
        <x:v>46210</x:v>
      </x:c>
      <x:c r="E719" t="str">
        <x:v>Luanda Office Supply, Lda.</x:v>
      </x:c>
      <x:c r="F719" t="str">
        <x:v>Zango</x:v>
      </x:c>
      <x:c r="G719" t="str">
        <x:v>Isaías Pedro</x:v>
      </x:c>
      <x:c r="H719" t="str">
        <x:v>VTR-06</x:v>
      </x:c>
      <x:c r="I719" t="str">
        <x:v>Isuzu NPR</x:v>
      </x:c>
      <x:c r="J719" t="n">
        <x:v>5000</x:v>
      </x:c>
      <x:c r="K719" t="n">
        <x:v>39</x:v>
      </x:c>
      <x:c r="L719" t="n">
        <x:v>39</x:v>
      </x:c>
      <x:c r="M719" t="n">
        <x:v>284.2</x:v>
      </x:c>
      <x:c r="N719" t="n">
        <x:v>40</x:v>
      </x:c>
      <x:c r="O719" s="45" t="n">
        <x:v>503607</x:v>
      </x:c>
      <x:c r="P719" s="45" t="n">
        <x:v>30500</x:v>
      </x:c>
      <x:c r="Q719" t="str">
        <x:v>Entregue</x:v>
      </x:c>
      <x:c r="R719" t="str"/>
      <x:c r="S719" t="str">
        <x:v>Nao</x:v>
      </x:c>
      <x:c r="T719" t="str">
        <x:v>Nao</x:v>
      </x:c>
    </x:row>
    <x:row r="720" ht="19" customHeight="1">
      <x:c r="A720" t="str">
        <x:v>ENT-00719</x:v>
      </x:c>
      <x:c r="B720" s="41" t="n">
        <x:v>46229</x:v>
      </x:c>
      <x:c r="C720" s="41" t="n">
        <x:v>46230</x:v>
      </x:c>
      <x:c r="D720" s="41" t="n">
        <x:v>46230</x:v>
      </x:c>
      <x:c r="E720" t="str">
        <x:v>Savana Retail, Lda.</x:v>
      </x:c>
      <x:c r="F720" t="str">
        <x:v>Morro Bento</x:v>
      </x:c>
      <x:c r="G720" t="str">
        <x:v>Hélder Miguel</x:v>
      </x:c>
      <x:c r="H720" t="str">
        <x:v>VTR-10</x:v>
      </x:c>
      <x:c r="I720" t="str">
        <x:v>Foton Aumark</x:v>
      </x:c>
      <x:c r="J720" t="n">
        <x:v>4000</x:v>
      </x:c>
      <x:c r="K720" t="n">
        <x:v>31</x:v>
      </x:c>
      <x:c r="L720" t="n">
        <x:v>31</x:v>
      </x:c>
      <x:c r="M720" t="n">
        <x:v>286.3</x:v>
      </x:c>
      <x:c r="N720" t="n">
        <x:v>14</x:v>
      </x:c>
      <x:c r="O720" s="45" t="n">
        <x:v>245055</x:v>
      </x:c>
      <x:c r="P720" s="45" t="n">
        <x:v>18500</x:v>
      </x:c>
      <x:c r="Q720" t="str">
        <x:v>Entregue</x:v>
      </x:c>
      <x:c r="R720" t="str"/>
      <x:c r="S720" t="str">
        <x:v>Nao</x:v>
      </x:c>
      <x:c r="T720" t="str">
        <x:v>Nao</x:v>
      </x:c>
    </x:row>
    <x:row r="721" ht="19" customHeight="1">
      <x:c r="A721" t="str">
        <x:v>ENT-00720</x:v>
      </x:c>
      <x:c r="B721" s="41" t="n">
        <x:v>46221</x:v>
      </x:c>
      <x:c r="C721" s="41" t="n">
        <x:v>46223</x:v>
      </x:c>
      <x:c r="D721" s="41" t="n">
        <x:v>46223</x:v>
      </x:c>
      <x:c r="E721" t="str">
        <x:v>Kiala &amp; Filhos, Lda.</x:v>
      </x:c>
      <x:c r="F721" t="str">
        <x:v>Patriota</x:v>
      </x:c>
      <x:c r="G721" t="str">
        <x:v>Bernardo Paulo</x:v>
      </x:c>
      <x:c r="H721" t="str">
        <x:v>VTR-04</x:v>
      </x:c>
      <x:c r="I721" t="str">
        <x:v>Toyota Dyna</x:v>
      </x:c>
      <x:c r="J721" t="n">
        <x:v>3000</x:v>
      </x:c>
      <x:c r="K721" t="n">
        <x:v>73</x:v>
      </x:c>
      <x:c r="L721" t="n">
        <x:v>73</x:v>
      </x:c>
      <x:c r="M721" t="n">
        <x:v>1233.2</x:v>
      </x:c>
      <x:c r="N721" t="n">
        <x:v>29</x:v>
      </x:c>
      <x:c r="O721" s="45" t="n">
        <x:v>1828431</x:v>
      </x:c>
      <x:c r="P721" s="45" t="n">
        <x:v>37000</x:v>
      </x:c>
      <x:c r="Q721" t="str">
        <x:v>Entregue</x:v>
      </x:c>
      <x:c r="R721" t="str"/>
      <x:c r="S721" t="str">
        <x:v>Nao</x:v>
      </x:c>
      <x:c r="T721" t="str">
        <x:v>Nao</x:v>
      </x:c>
    </x:row>
    <x:row r="722" ht="19" customHeight="1">
      <x:c r="A722" t="str">
        <x:v>ENT-00721</x:v>
      </x:c>
      <x:c r="B722" s="41" t="n">
        <x:v>46222</x:v>
      </x:c>
      <x:c r="C722" s="41" t="n">
        <x:v>46224</x:v>
      </x:c>
      <x:c r="D722" s="41"/>
      <x:c r="E722" t="str">
        <x:v>Atlântico Farma, Lda.</x:v>
      </x:c>
      <x:c r="F722" t="str">
        <x:v>Viana</x:v>
      </x:c>
      <x:c r="G722" t="str">
        <x:v>Gilberto José</x:v>
      </x:c>
      <x:c r="H722" t="str">
        <x:v>VTR-06</x:v>
      </x:c>
      <x:c r="I722" t="str">
        <x:v>Isuzu NPR</x:v>
      </x:c>
      <x:c r="J722" t="n">
        <x:v>5000</x:v>
      </x:c>
      <x:c r="K722" t="n">
        <x:v>35</x:v>
      </x:c>
      <x:c r="L722" t="n">
        <x:v>0</x:v>
      </x:c>
      <x:c r="M722" t="n">
        <x:v>662.8</x:v>
      </x:c>
      <x:c r="N722" t="n">
        <x:v>36</x:v>
      </x:c>
      <x:c r="O722" s="45" t="n">
        <x:v>159075</x:v>
      </x:c>
      <x:c r="P722" s="45" t="n">
        <x:v>36500</x:v>
      </x:c>
      <x:c r="Q722" t="str">
        <x:v>Cancelada</x:v>
      </x:c>
      <x:c r="R722" t="str">
        <x:v>Cancelamento do cliente</x:v>
      </x:c>
      <x:c r="S722" t="str">
        <x:v>Nao</x:v>
      </x:c>
      <x:c r="T722" t="str">
        <x:v>Nao</x:v>
      </x:c>
    </x:row>
    <x:row r="723" ht="19" customHeight="1">
      <x:c r="A723" t="str">
        <x:v>ENT-00722</x:v>
      </x:c>
      <x:c r="B723" s="41" t="n">
        <x:v>46207</x:v>
      </x:c>
      <x:c r="C723" s="41" t="n">
        <x:v>46209</x:v>
      </x:c>
      <x:c r="D723" s="41" t="n">
        <x:v>46209</x:v>
      </x:c>
      <x:c r="E723" t="str">
        <x:v>Prime Stock, Lda.</x:v>
      </x:c>
      <x:c r="F723" t="str">
        <x:v>Kilamba</x:v>
      </x:c>
      <x:c r="G723" t="str">
        <x:v>Lucas Tomás</x:v>
      </x:c>
      <x:c r="H723" t="str">
        <x:v>VTR-07</x:v>
      </x:c>
      <x:c r="I723" t="str">
        <x:v>Isuzu NPR</x:v>
      </x:c>
      <x:c r="J723" t="n">
        <x:v>5000</x:v>
      </x:c>
      <x:c r="K723" t="n">
        <x:v>21</x:v>
      </x:c>
      <x:c r="L723" t="n">
        <x:v>21</x:v>
      </x:c>
      <x:c r="M723" t="n">
        <x:v>285.3</x:v>
      </x:c>
      <x:c r="N723" t="n">
        <x:v>26</x:v>
      </x:c>
      <x:c r="O723" s="45" t="n">
        <x:v>117936</x:v>
      </x:c>
      <x:c r="P723" s="45" t="n">
        <x:v>21500</x:v>
      </x:c>
      <x:c r="Q723" t="str">
        <x:v>Entregue</x:v>
      </x:c>
      <x:c r="R723" t="str"/>
      <x:c r="S723" t="str">
        <x:v>Nao</x:v>
      </x:c>
      <x:c r="T723" t="str">
        <x:v>Nao</x:v>
      </x:c>
    </x:row>
    <x:row r="724" ht="19" customHeight="1">
      <x:c r="A724" t="str">
        <x:v>ENT-00723</x:v>
      </x:c>
      <x:c r="B724" s="41" t="n">
        <x:v>46217</x:v>
      </x:c>
      <x:c r="C724" s="41" t="n">
        <x:v>46219</x:v>
      </x:c>
      <x:c r="D724" s="41" t="n">
        <x:v>46221</x:v>
      </x:c>
      <x:c r="E724" t="str">
        <x:v>Atlântico Farma, Lda.</x:v>
      </x:c>
      <x:c r="F724" t="str">
        <x:v>Kikuxi</x:v>
      </x:c>
      <x:c r="G724" t="str">
        <x:v>Isaías Pedro</x:v>
      </x:c>
      <x:c r="H724" t="str">
        <x:v>VTR-06</x:v>
      </x:c>
      <x:c r="I724" t="str">
        <x:v>Isuzu NPR</x:v>
      </x:c>
      <x:c r="J724" t="n">
        <x:v>5000</x:v>
      </x:c>
      <x:c r="K724" t="n">
        <x:v>57</x:v>
      </x:c>
      <x:c r="L724" t="n">
        <x:v>0</x:v>
      </x:c>
      <x:c r="M724" t="n">
        <x:v>562.5</x:v>
      </x:c>
      <x:c r="N724" t="n">
        <x:v>32</x:v>
      </x:c>
      <x:c r="O724" s="45" t="n">
        <x:v>758385</x:v>
      </x:c>
      <x:c r="P724" s="45" t="n">
        <x:v>27500</x:v>
      </x:c>
      <x:c r="Q724" t="str">
        <x:v>Falhada</x:v>
      </x:c>
      <x:c r="R724" t="str">
        <x:v>Cliente ausente</x:v>
      </x:c>
      <x:c r="S724" t="str">
        <x:v>Nao</x:v>
      </x:c>
      <x:c r="T724" t="str">
        <x:v>Nao</x:v>
      </x:c>
    </x:row>
    <x:row r="725" ht="19" customHeight="1">
      <x:c r="A725" t="str">
        <x:v>ENT-00724</x:v>
      </x:c>
      <x:c r="B725" s="41" t="n">
        <x:v>46213</x:v>
      </x:c>
      <x:c r="C725" s="41" t="n">
        <x:v>46216</x:v>
      </x:c>
      <x:c r="D725" s="41" t="n">
        <x:v>46216</x:v>
      </x:c>
      <x:c r="E725" t="str">
        <x:v>Via Certa Serviços, Lda.</x:v>
      </x:c>
      <x:c r="F725" t="str">
        <x:v>Zango</x:v>
      </x:c>
      <x:c r="G725" t="str">
        <x:v>Carlos Mateus</x:v>
      </x:c>
      <x:c r="H725" t="str">
        <x:v>VTR-06</x:v>
      </x:c>
      <x:c r="I725" t="str">
        <x:v>Isuzu NPR</x:v>
      </x:c>
      <x:c r="J725" t="n">
        <x:v>5000</x:v>
      </x:c>
      <x:c r="K725" t="n">
        <x:v>77</x:v>
      </x:c>
      <x:c r="L725" t="n">
        <x:v>77</x:v>
      </x:c>
      <x:c r="M725" t="n">
        <x:v>717.5</x:v>
      </x:c>
      <x:c r="N725" t="n">
        <x:v>46</x:v>
      </x:c>
      <x:c r="O725" s="45" t="n">
        <x:v>661738</x:v>
      </x:c>
      <x:c r="P725" s="45" t="n">
        <x:v>40500</x:v>
      </x:c>
      <x:c r="Q725" t="str">
        <x:v>Entregue</x:v>
      </x:c>
      <x:c r="R725" t="str"/>
      <x:c r="S725" t="str">
        <x:v>Nao</x:v>
      </x:c>
      <x:c r="T725" t="str">
        <x:v>Nao</x:v>
      </x:c>
    </x:row>
    <x:row r="726" ht="19" customHeight="1">
      <x:c r="A726" t="str">
        <x:v>ENT-00725</x:v>
      </x:c>
      <x:c r="B726" s="41" t="n">
        <x:v>46209</x:v>
      </x:c>
      <x:c r="C726" s="41" t="n">
        <x:v>46211</x:v>
      </x:c>
      <x:c r="D726" s="41" t="n">
        <x:v>46211</x:v>
      </x:c>
      <x:c r="E726" t="str">
        <x:v>Mercado Sul, Lda.</x:v>
      </x:c>
      <x:c r="F726" t="str">
        <x:v>Benfica</x:v>
      </x:c>
      <x:c r="G726" t="str">
        <x:v>Jorge Mário</x:v>
      </x:c>
      <x:c r="H726" t="str">
        <x:v>VTR-04</x:v>
      </x:c>
      <x:c r="I726" t="str">
        <x:v>Toyota Dyna</x:v>
      </x:c>
      <x:c r="J726" t="n">
        <x:v>3000</x:v>
      </x:c>
      <x:c r="K726" t="n">
        <x:v>83</x:v>
      </x:c>
      <x:c r="L726" t="n">
        <x:v>83</x:v>
      </x:c>
      <x:c r="M726" t="n">
        <x:v>1187</x:v>
      </x:c>
      <x:c r="N726" t="n">
        <x:v>27</x:v>
      </x:c>
      <x:c r="O726" s="45" t="n">
        <x:v>2041302</x:v>
      </x:c>
      <x:c r="P726" s="45" t="n">
        <x:v>35500</x:v>
      </x:c>
      <x:c r="Q726" t="str">
        <x:v>Entregue</x:v>
      </x:c>
      <x:c r="R726" t="str"/>
      <x:c r="S726" t="str">
        <x:v>Nao</x:v>
      </x:c>
      <x:c r="T726" t="str">
        <x:v>Nao</x:v>
      </x:c>
    </x:row>
    <x:row r="727" ht="19" customHeight="1">
      <x:c r="A727" t="str">
        <x:v>ENT-00726</x:v>
      </x:c>
      <x:c r="B727" s="41" t="n">
        <x:v>46216</x:v>
      </x:c>
      <x:c r="C727" s="41" t="n">
        <x:v>46217</x:v>
      </x:c>
      <x:c r="D727" s="41" t="n">
        <x:v>46217</x:v>
      </x:c>
      <x:c r="E727" t="str">
        <x:v>Luanda Office Supply, Lda.</x:v>
      </x:c>
      <x:c r="F727" t="str">
        <x:v>Ingombota</x:v>
      </x:c>
      <x:c r="G727" t="str">
        <x:v>Jorge Mário</x:v>
      </x:c>
      <x:c r="H727" t="str">
        <x:v>VTR-06</x:v>
      </x:c>
      <x:c r="I727" t="str">
        <x:v>Isuzu NPR</x:v>
      </x:c>
      <x:c r="J727" t="n">
        <x:v>5000</x:v>
      </x:c>
      <x:c r="K727" t="n">
        <x:v>62</x:v>
      </x:c>
      <x:c r="L727" t="n">
        <x:v>62</x:v>
      </x:c>
      <x:c r="M727" t="n">
        <x:v>763.1</x:v>
      </x:c>
      <x:c r="N727" t="n">
        <x:v>16</x:v>
      </x:c>
      <x:c r="O727" s="45" t="n">
        <x:v>545166</x:v>
      </x:c>
      <x:c r="P727" s="45" t="n">
        <x:v>25500</x:v>
      </x:c>
      <x:c r="Q727" t="str">
        <x:v>Entregue</x:v>
      </x:c>
      <x:c r="R727" t="str"/>
      <x:c r="S727" t="str">
        <x:v>Nao</x:v>
      </x:c>
      <x:c r="T727" t="str">
        <x:v>Nao</x:v>
      </x:c>
    </x:row>
    <x:row r="728" ht="19" customHeight="1">
      <x:c r="A728" t="str">
        <x:v>ENT-00727</x:v>
      </x:c>
      <x:c r="B728" s="41" t="n">
        <x:v>46207</x:v>
      </x:c>
      <x:c r="C728" s="41" t="n">
        <x:v>46208</x:v>
      </x:c>
      <x:c r="D728" s="41" t="n">
        <x:v>46208</x:v>
      </x:c>
      <x:c r="E728" t="str">
        <x:v>Kwanza Distribuição, Lda.</x:v>
      </x:c>
      <x:c r="F728" t="str">
        <x:v>Maianga</x:v>
      </x:c>
      <x:c r="G728" t="str">
        <x:v>Gilberto José</x:v>
      </x:c>
      <x:c r="H728" t="str">
        <x:v>VTR-05</x:v>
      </x:c>
      <x:c r="I728" t="str">
        <x:v>Hyundai HD65</x:v>
      </x:c>
      <x:c r="J728" t="n">
        <x:v>3500</x:v>
      </x:c>
      <x:c r="K728" t="n">
        <x:v>6</x:v>
      </x:c>
      <x:c r="L728" t="n">
        <x:v>6</x:v>
      </x:c>
      <x:c r="M728" t="n">
        <x:v>118.2</x:v>
      </x:c>
      <x:c r="N728" t="n">
        <x:v>13</x:v>
      </x:c>
      <x:c r="O728" s="45" t="n">
        <x:v>89202</x:v>
      </x:c>
      <x:c r="P728" s="45" t="n">
        <x:v>15500</x:v>
      </x:c>
      <x:c r="Q728" t="str">
        <x:v>Entregue</x:v>
      </x:c>
      <x:c r="R728" t="str"/>
      <x:c r="S728" t="str">
        <x:v>Nao</x:v>
      </x:c>
      <x:c r="T728" t="str">
        <x:v>Nao</x:v>
      </x:c>
    </x:row>
    <x:row r="729" ht="19" customHeight="1">
      <x:c r="A729" t="str">
        <x:v>ENT-00728</x:v>
      </x:c>
      <x:c r="B729" s="41" t="n">
        <x:v>46235</x:v>
      </x:c>
      <x:c r="C729" s="41" t="n">
        <x:v>46236</x:v>
      </x:c>
      <x:c r="D729" s="41" t="n">
        <x:v>46236</x:v>
      </x:c>
      <x:c r="E729" t="str">
        <x:v>Mercado Sul, Lda.</x:v>
      </x:c>
      <x:c r="F729" t="str">
        <x:v>Maianga</x:v>
      </x:c>
      <x:c r="G729" t="str">
        <x:v>Carlos Mateus</x:v>
      </x:c>
      <x:c r="H729" t="str">
        <x:v>VTR-10</x:v>
      </x:c>
      <x:c r="I729" t="str">
        <x:v>Foton Aumark</x:v>
      </x:c>
      <x:c r="J729" t="n">
        <x:v>4000</x:v>
      </x:c>
      <x:c r="K729" t="n">
        <x:v>30</x:v>
      </x:c>
      <x:c r="L729" t="n">
        <x:v>30</x:v>
      </x:c>
      <x:c r="M729" t="n">
        <x:v>682.4</x:v>
      </x:c>
      <x:c r="N729" t="n">
        <x:v>19</x:v>
      </x:c>
      <x:c r="O729" s="45" t="n">
        <x:v>280740</x:v>
      </x:c>
      <x:c r="P729" s="45" t="n">
        <x:v>24000</x:v>
      </x:c>
      <x:c r="Q729" t="str">
        <x:v>Entregue</x:v>
      </x:c>
      <x:c r="R729" t="str"/>
      <x:c r="S729" t="str">
        <x:v>Nao</x:v>
      </x:c>
      <x:c r="T729" t="str">
        <x:v>Nao</x:v>
      </x:c>
    </x:row>
    <x:row r="730" ht="19" customHeight="1">
      <x:c r="A730" t="str">
        <x:v>ENT-00729</x:v>
      </x:c>
      <x:c r="B730" s="41" t="n">
        <x:v>46245</x:v>
      </x:c>
      <x:c r="C730" s="41" t="n">
        <x:v>46247</x:v>
      </x:c>
      <x:c r="D730" s="41" t="n">
        <x:v>46246</x:v>
      </x:c>
      <x:c r="E730" t="str">
        <x:v>Luanda Office Supply, Lda.</x:v>
      </x:c>
      <x:c r="F730" t="str">
        <x:v>Kilamba</x:v>
      </x:c>
      <x:c r="G730" t="str">
        <x:v>Jorge Mário</x:v>
      </x:c>
      <x:c r="H730" t="str">
        <x:v>VTR-11</x:v>
      </x:c>
      <x:c r="I730" t="str">
        <x:v>JAC N56</x:v>
      </x:c>
      <x:c r="J730" t="n">
        <x:v>3500</x:v>
      </x:c>
      <x:c r="K730" t="n">
        <x:v>46</x:v>
      </x:c>
      <x:c r="L730" t="n">
        <x:v>46</x:v>
      </x:c>
      <x:c r="M730" t="n">
        <x:v>530</x:v>
      </x:c>
      <x:c r="N730" t="n">
        <x:v>37</x:v>
      </x:c>
      <x:c r="O730" s="45" t="n">
        <x:v>238740</x:v>
      </x:c>
      <x:c r="P730" s="45" t="n">
        <x:v>31500</x:v>
      </x:c>
      <x:c r="Q730" t="str">
        <x:v>Entregue</x:v>
      </x:c>
      <x:c r="R730" t="str"/>
      <x:c r="S730" t="str">
        <x:v>Nao</x:v>
      </x:c>
      <x:c r="T730" t="str">
        <x:v>Nao</x:v>
      </x:c>
    </x:row>
    <x:row r="731" ht="19" customHeight="1">
      <x:c r="A731" t="str">
        <x:v>ENT-00730</x:v>
      </x:c>
      <x:c r="B731" s="41" t="n">
        <x:v>46234</x:v>
      </x:c>
      <x:c r="C731" s="41" t="n">
        <x:v>46235</x:v>
      </x:c>
      <x:c r="D731" s="41" t="n">
        <x:v>46235</x:v>
      </x:c>
      <x:c r="E731" t="str">
        <x:v>Cesta Certa, Lda.</x:v>
      </x:c>
      <x:c r="F731" t="str">
        <x:v>Maianga</x:v>
      </x:c>
      <x:c r="G731" t="str">
        <x:v>Kito Alberto</x:v>
      </x:c>
      <x:c r="H731" t="str">
        <x:v>VTR-09</x:v>
      </x:c>
      <x:c r="I731" t="str">
        <x:v>Toyota Hilux</x:v>
      </x:c>
      <x:c r="J731" t="n">
        <x:v>1000</x:v>
      </x:c>
      <x:c r="K731" t="n">
        <x:v>55</x:v>
      </x:c>
      <x:c r="L731" t="n">
        <x:v>51</x:v>
      </x:c>
      <x:c r="M731" t="n">
        <x:v>769.1</x:v>
      </x:c>
      <x:c r="N731" t="n">
        <x:v>15</x:v>
      </x:c>
      <x:c r="O731" s="45" t="n">
        <x:v>412170</x:v>
      </x:c>
      <x:c r="P731" s="45" t="n">
        <x:v>23500</x:v>
      </x:c>
      <x:c r="Q731" t="str">
        <x:v>Entregue</x:v>
      </x:c>
      <x:c r="R731" t="str"/>
      <x:c r="S731" t="str">
        <x:v>Nao</x:v>
      </x:c>
      <x:c r="T731" t="str">
        <x:v>Nao</x:v>
      </x:c>
    </x:row>
    <x:row r="732" ht="19" customHeight="1">
      <x:c r="A732" t="str">
        <x:v>ENT-00731</x:v>
      </x:c>
      <x:c r="B732" s="41" t="n">
        <x:v>46248</x:v>
      </x:c>
      <x:c r="C732" s="41" t="n">
        <x:v>46249</x:v>
      </x:c>
      <x:c r="D732" s="41" t="n">
        <x:v>46249</x:v>
      </x:c>
      <x:c r="E732" t="str">
        <x:v>Atlântico Farma, Lda.</x:v>
      </x:c>
      <x:c r="F732" t="str">
        <x:v>Morro Bento</x:v>
      </x:c>
      <x:c r="G732" t="str">
        <x:v>Kito Alberto</x:v>
      </x:c>
      <x:c r="H732" t="str">
        <x:v>VTR-06</x:v>
      </x:c>
      <x:c r="I732" t="str">
        <x:v>Isuzu NPR</x:v>
      </x:c>
      <x:c r="J732" t="n">
        <x:v>5000</x:v>
      </x:c>
      <x:c r="K732" t="n">
        <x:v>43</x:v>
      </x:c>
      <x:c r="L732" t="n">
        <x:v>43</x:v>
      </x:c>
      <x:c r="M732" t="n">
        <x:v>1273.3</x:v>
      </x:c>
      <x:c r="N732" t="n">
        <x:v>17</x:v>
      </x:c>
      <x:c r="O732" s="45" t="n">
        <x:v>780536</x:v>
      </x:c>
      <x:c r="P732" s="45" t="n">
        <x:v>38500</x:v>
      </x:c>
      <x:c r="Q732" t="str">
        <x:v>Entregue</x:v>
      </x:c>
      <x:c r="R732" t="str"/>
      <x:c r="S732" t="str">
        <x:v>Nao</x:v>
      </x:c>
      <x:c r="T732" t="str">
        <x:v>Nao</x:v>
      </x:c>
    </x:row>
    <x:row r="733" ht="19" customHeight="1">
      <x:c r="A733" t="str">
        <x:v>ENT-00732</x:v>
      </x:c>
      <x:c r="B733" s="41" t="n">
        <x:v>46222</x:v>
      </x:c>
      <x:c r="C733" s="41" t="n">
        <x:v>46224</x:v>
      </x:c>
      <x:c r="D733" s="41" t="n">
        <x:v>46225</x:v>
      </x:c>
      <x:c r="E733" t="str">
        <x:v>Rota Azul, Lda.</x:v>
      </x:c>
      <x:c r="F733" t="str">
        <x:v>Viana</x:v>
      </x:c>
      <x:c r="G733" t="str">
        <x:v>Kito Alberto</x:v>
      </x:c>
      <x:c r="H733" t="str">
        <x:v>VTR-03</x:v>
      </x:c>
      <x:c r="I733" t="str">
        <x:v>Toyota Dyna</x:v>
      </x:c>
      <x:c r="J733" t="n">
        <x:v>3000</x:v>
      </x:c>
      <x:c r="K733" t="n">
        <x:v>70</x:v>
      </x:c>
      <x:c r="L733" t="n">
        <x:v>70</x:v>
      </x:c>
      <x:c r="M733" t="n">
        <x:v>1592.1</x:v>
      </x:c>
      <x:c r="N733" t="n">
        <x:v>25</x:v>
      </x:c>
      <x:c r="O733" s="45" t="n">
        <x:v>1543290</x:v>
      </x:c>
      <x:c r="P733" s="45" t="n">
        <x:v>45000</x:v>
      </x:c>
      <x:c r="Q733" t="str">
        <x:v>Entregue</x:v>
      </x:c>
      <x:c r="R733" t="str">
        <x:v>Avaria da viatura</x:v>
      </x:c>
      <x:c r="S733" t="str">
        <x:v>Nao</x:v>
      </x:c>
      <x:c r="T733" t="str">
        <x:v>Nao</x:v>
      </x:c>
    </x:row>
    <x:row r="734" ht="19" customHeight="1">
      <x:c r="A734" t="str">
        <x:v>ENT-00733</x:v>
      </x:c>
      <x:c r="B734" s="41" t="n">
        <x:v>46223</x:v>
      </x:c>
      <x:c r="C734" s="41" t="n">
        <x:v>46225</x:v>
      </x:c>
      <x:c r="D734" s="41" t="n">
        <x:v>46225</x:v>
      </x:c>
      <x:c r="E734" t="str">
        <x:v>Savana Retail, Lda.</x:v>
      </x:c>
      <x:c r="F734" t="str">
        <x:v>Kilamba</x:v>
      </x:c>
      <x:c r="G734" t="str">
        <x:v>Lucas Tomás</x:v>
      </x:c>
      <x:c r="H734" t="str">
        <x:v>VTR-01</x:v>
      </x:c>
      <x:c r="I734" t="str">
        <x:v>Kia K2700</x:v>
      </x:c>
      <x:c r="J734" t="n">
        <x:v>1500</x:v>
      </x:c>
      <x:c r="K734" t="n">
        <x:v>83</x:v>
      </x:c>
      <x:c r="L734" t="n">
        <x:v>83</x:v>
      </x:c>
      <x:c r="M734" t="n">
        <x:v>762.3</x:v>
      </x:c>
      <x:c r="N734" t="n">
        <x:v>25</x:v>
      </x:c>
      <x:c r="O734" s="45" t="n">
        <x:v>341960</x:v>
      </x:c>
      <x:c r="P734" s="45" t="n">
        <x:v>33500</x:v>
      </x:c>
      <x:c r="Q734" t="str">
        <x:v>Entregue</x:v>
      </x:c>
      <x:c r="R734" t="str"/>
      <x:c r="S734" t="str">
        <x:v>Nao</x:v>
      </x:c>
      <x:c r="T734" t="str">
        <x:v>Nao</x:v>
      </x:c>
    </x:row>
    <x:row r="735" ht="19" customHeight="1">
      <x:c r="A735" t="str">
        <x:v>ENT-00734</x:v>
      </x:c>
      <x:c r="B735" s="41" t="n">
        <x:v>46214</x:v>
      </x:c>
      <x:c r="C735" s="41" t="n">
        <x:v>46217</x:v>
      </x:c>
      <x:c r="D735" s="41" t="n">
        <x:v>46217</x:v>
      </x:c>
      <x:c r="E735" t="str">
        <x:v>Luanda Office Supply, Lda.</x:v>
      </x:c>
      <x:c r="F735" t="str">
        <x:v>Cacuaco</x:v>
      </x:c>
      <x:c r="G735" t="str">
        <x:v>Elísio António</x:v>
      </x:c>
      <x:c r="H735" t="str">
        <x:v>VTR-03</x:v>
      </x:c>
      <x:c r="I735" t="str">
        <x:v>Toyota Dyna</x:v>
      </x:c>
      <x:c r="J735" t="n">
        <x:v>3000</x:v>
      </x:c>
      <x:c r="K735" t="n">
        <x:v>82</x:v>
      </x:c>
      <x:c r="L735" t="n">
        <x:v>82</x:v>
      </x:c>
      <x:c r="M735" t="n">
        <x:v>2246.1</x:v>
      </x:c>
      <x:c r="N735" t="n">
        <x:v>54</x:v>
      </x:c>
      <x:c r="O735" s="45" t="n">
        <x:v>1118726</x:v>
      </x:c>
      <x:c r="P735" s="45" t="n">
        <x:v>76500</x:v>
      </x:c>
      <x:c r="Q735" t="str">
        <x:v>Entregue</x:v>
      </x:c>
      <x:c r="R735" t="str"/>
      <x:c r="S735" t="str">
        <x:v>Nao</x:v>
      </x:c>
      <x:c r="T735" t="str">
        <x:v>Nao</x:v>
      </x:c>
    </x:row>
    <x:row r="736" ht="19" customHeight="1">
      <x:c r="A736" t="str">
        <x:v>ENT-00735</x:v>
      </x:c>
      <x:c r="B736" s="41" t="n">
        <x:v>46260</x:v>
      </x:c>
      <x:c r="C736" s="41" t="n">
        <x:v>46262</x:v>
      </x:c>
      <x:c r="D736" s="41" t="n">
        <x:v>46264</x:v>
      </x:c>
      <x:c r="E736" t="str">
        <x:v>Cesta Certa, Lda.</x:v>
      </x:c>
      <x:c r="F736" t="str">
        <x:v>Patriota</x:v>
      </x:c>
      <x:c r="G736" t="str">
        <x:v>Elísio António</x:v>
      </x:c>
      <x:c r="H736" t="str">
        <x:v>VTR-06</x:v>
      </x:c>
      <x:c r="I736" t="str">
        <x:v>Isuzu NPR</x:v>
      </x:c>
      <x:c r="J736" t="n">
        <x:v>5000</x:v>
      </x:c>
      <x:c r="K736" t="n">
        <x:v>76</x:v>
      </x:c>
      <x:c r="L736" t="n">
        <x:v>76</x:v>
      </x:c>
      <x:c r="M736" t="n">
        <x:v>2468.4</x:v>
      </x:c>
      <x:c r="N736" t="n">
        <x:v>27</x:v>
      </x:c>
      <x:c r="O736" s="45" t="n">
        <x:v>662264</x:v>
      </x:c>
      <x:c r="P736" s="45" t="n">
        <x:v>54500</x:v>
      </x:c>
      <x:c r="Q736" t="str">
        <x:v>Entregue</x:v>
      </x:c>
      <x:c r="R736" t="str">
        <x:v>Transito intenso</x:v>
      </x:c>
      <x:c r="S736" t="str">
        <x:v>Nao</x:v>
      </x:c>
      <x:c r="T736" t="str">
        <x:v>Nao</x:v>
      </x:c>
    </x:row>
    <x:row r="737" ht="19" customHeight="1">
      <x:c r="A737" t="str">
        <x:v>ENT-00736</x:v>
      </x:c>
      <x:c r="B737" s="41" t="n">
        <x:v>46256</x:v>
      </x:c>
      <x:c r="C737" s="41" t="n">
        <x:v>46258</x:v>
      </x:c>
      <x:c r="D737" s="41" t="n">
        <x:v>46258</x:v>
      </x:c>
      <x:c r="E737" t="str">
        <x:v>N'gola Market, Lda.</x:v>
      </x:c>
      <x:c r="F737" t="str">
        <x:v>Kilamba</x:v>
      </x:c>
      <x:c r="G737" t="str">
        <x:v>Elísio António</x:v>
      </x:c>
      <x:c r="H737" t="str">
        <x:v>VTR-02</x:v>
      </x:c>
      <x:c r="I737" t="str">
        <x:v>Kia K2700</x:v>
      </x:c>
      <x:c r="J737" t="n">
        <x:v>1500</x:v>
      </x:c>
      <x:c r="K737" t="n">
        <x:v>27</x:v>
      </x:c>
      <x:c r="L737" t="n">
        <x:v>25</x:v>
      </x:c>
      <x:c r="M737" t="n">
        <x:v>334.6</x:v>
      </x:c>
      <x:c r="N737" t="n">
        <x:v>27</x:v>
      </x:c>
      <x:c r="O737" s="45" t="n">
        <x:v>473499</x:v>
      </x:c>
      <x:c r="P737" s="45" t="n">
        <x:v>23000</x:v>
      </x:c>
      <x:c r="Q737" t="str">
        <x:v>Entregue</x:v>
      </x:c>
      <x:c r="R737" t="str"/>
      <x:c r="S737" t="str">
        <x:v>Sim</x:v>
      </x:c>
      <x:c r="T737" t="str">
        <x:v>Sim</x:v>
      </x:c>
    </x:row>
    <x:row r="738" ht="19" customHeight="1">
      <x:c r="A738" t="str">
        <x:v>ENT-00737</x:v>
      </x:c>
      <x:c r="B738" s="41" t="n">
        <x:v>46204</x:v>
      </x:c>
      <x:c r="C738" s="41" t="n">
        <x:v>46207</x:v>
      </x:c>
      <x:c r="D738" s="41" t="n">
        <x:v>46207</x:v>
      </x:c>
      <x:c r="E738" t="str">
        <x:v>Cesta Certa, Lda.</x:v>
      </x:c>
      <x:c r="F738" t="str">
        <x:v>Sequele</x:v>
      </x:c>
      <x:c r="G738" t="str">
        <x:v>Isaías Pedro</x:v>
      </x:c>
      <x:c r="H738" t="str">
        <x:v>VTR-06</x:v>
      </x:c>
      <x:c r="I738" t="str">
        <x:v>Isuzu NPR</x:v>
      </x:c>
      <x:c r="J738" t="n">
        <x:v>5000</x:v>
      </x:c>
      <x:c r="K738" t="n">
        <x:v>52</x:v>
      </x:c>
      <x:c r="L738" t="n">
        <x:v>52</x:v>
      </x:c>
      <x:c r="M738" t="n">
        <x:v>1644.1</x:v>
      </x:c>
      <x:c r="N738" t="n">
        <x:v>56</x:v>
      </x:c>
      <x:c r="O738" s="45" t="n">
        <x:v>1228292</x:v>
      </x:c>
      <x:c r="P738" s="45" t="n">
        <x:v>60500</x:v>
      </x:c>
      <x:c r="Q738" t="str">
        <x:v>Entregue</x:v>
      </x:c>
      <x:c r="R738" t="str"/>
      <x:c r="S738" t="str">
        <x:v>Nao</x:v>
      </x:c>
      <x:c r="T738" t="str">
        <x:v>Nao</x:v>
      </x:c>
    </x:row>
    <x:row r="739" ht="19" customHeight="1">
      <x:c r="A739" t="str">
        <x:v>ENT-00738</x:v>
      </x:c>
      <x:c r="B739" s="41" t="n">
        <x:v>46237</x:v>
      </x:c>
      <x:c r="C739" s="41" t="n">
        <x:v>46240</x:v>
      </x:c>
      <x:c r="D739" s="41" t="n">
        <x:v>46240</x:v>
      </x:c>
      <x:c r="E739" t="str">
        <x:v>Mercado Sul, Lda.</x:v>
      </x:c>
      <x:c r="F739" t="str">
        <x:v>Zango</x:v>
      </x:c>
      <x:c r="G739" t="str">
        <x:v>Isaías Pedro</x:v>
      </x:c>
      <x:c r="H739" t="str">
        <x:v>VTR-08</x:v>
      </x:c>
      <x:c r="I739" t="str">
        <x:v>Toyota Hilux</x:v>
      </x:c>
      <x:c r="J739" t="n">
        <x:v>1000</x:v>
      </x:c>
      <x:c r="K739" t="n">
        <x:v>5</x:v>
      </x:c>
      <x:c r="L739" t="n">
        <x:v>5</x:v>
      </x:c>
      <x:c r="M739" t="n">
        <x:v>117.9</x:v>
      </x:c>
      <x:c r="N739" t="n">
        <x:v>43</x:v>
      </x:c>
      <x:c r="O739" s="45" t="n">
        <x:v>91600</x:v>
      </x:c>
      <x:c r="P739" s="45" t="n">
        <x:v>28000</x:v>
      </x:c>
      <x:c r="Q739" t="str">
        <x:v>Entregue</x:v>
      </x:c>
      <x:c r="R739" t="str"/>
      <x:c r="S739" t="str">
        <x:v>Nao</x:v>
      </x:c>
      <x:c r="T739" t="str">
        <x:v>Nao</x:v>
      </x:c>
    </x:row>
    <x:row r="740" ht="19" customHeight="1">
      <x:c r="A740" t="str">
        <x:v>ENT-00739</x:v>
      </x:c>
      <x:c r="B740" s="41" t="n">
        <x:v>46212</x:v>
      </x:c>
      <x:c r="C740" s="41" t="n">
        <x:v>46214</x:v>
      </x:c>
      <x:c r="D740" s="41" t="n">
        <x:v>46215</x:v>
      </x:c>
      <x:c r="E740" t="str">
        <x:v>N'gola Market, Lda.</x:v>
      </x:c>
      <x:c r="F740" t="str">
        <x:v>Patriota</x:v>
      </x:c>
      <x:c r="G740" t="str">
        <x:v>Kito Alberto</x:v>
      </x:c>
      <x:c r="H740" t="str">
        <x:v>VTR-05</x:v>
      </x:c>
      <x:c r="I740" t="str">
        <x:v>Hyundai HD65</x:v>
      </x:c>
      <x:c r="J740" t="n">
        <x:v>3500</x:v>
      </x:c>
      <x:c r="K740" t="n">
        <x:v>62</x:v>
      </x:c>
      <x:c r="L740" t="n">
        <x:v>62</x:v>
      </x:c>
      <x:c r="M740" t="n">
        <x:v>1922.4</x:v>
      </x:c>
      <x:c r="N740" t="n">
        <x:v>32</x:v>
      </x:c>
      <x:c r="O740" s="45" t="n">
        <x:v>1199204</x:v>
      </x:c>
      <x:c r="P740" s="45" t="n">
        <x:v>49500</x:v>
      </x:c>
      <x:c r="Q740" t="str">
        <x:v>Entregue</x:v>
      </x:c>
      <x:c r="R740" t="str">
        <x:v>Cliente indisponivel</x:v>
      </x:c>
      <x:c r="S740" t="str">
        <x:v>Nao</x:v>
      </x:c>
      <x:c r="T740" t="str">
        <x:v>Nao</x:v>
      </x:c>
    </x:row>
    <x:row r="741" ht="19" customHeight="1">
      <x:c r="A741" t="str">
        <x:v>ENT-00740</x:v>
      </x:c>
      <x:c r="B741" s="41" t="n">
        <x:v>46214</x:v>
      </x:c>
      <x:c r="C741" s="41" t="n">
        <x:v>46217</x:v>
      </x:c>
      <x:c r="D741" s="41" t="n">
        <x:v>46217</x:v>
      </x:c>
      <x:c r="E741" t="str">
        <x:v>Bem-Estar Higiene, Lda.</x:v>
      </x:c>
      <x:c r="F741" t="str">
        <x:v>Kikuxi</x:v>
      </x:c>
      <x:c r="G741" t="str">
        <x:v>Adriano Manuel</x:v>
      </x:c>
      <x:c r="H741" t="str">
        <x:v>VTR-11</x:v>
      </x:c>
      <x:c r="I741" t="str">
        <x:v>JAC N56</x:v>
      </x:c>
      <x:c r="J741" t="n">
        <x:v>3500</x:v>
      </x:c>
      <x:c r="K741" t="n">
        <x:v>28</x:v>
      </x:c>
      <x:c r="L741" t="n">
        <x:v>28</x:v>
      </x:c>
      <x:c r="M741" t="n">
        <x:v>261.1</x:v>
      </x:c>
      <x:c r="N741" t="n">
        <x:v>43</x:v>
      </x:c>
      <x:c r="O741" s="45" t="n">
        <x:v>160972</x:v>
      </x:c>
      <x:c r="P741" s="45" t="n">
        <x:v>32500</x:v>
      </x:c>
      <x:c r="Q741" t="str">
        <x:v>Entregue</x:v>
      </x:c>
      <x:c r="R741" t="str"/>
      <x:c r="S741" t="str">
        <x:v>Nao</x:v>
      </x:c>
      <x:c r="T741" t="str">
        <x:v>Nao</x:v>
      </x:c>
    </x:row>
    <x:row r="742" ht="19" customHeight="1">
      <x:c r="A742" t="str">
        <x:v>ENT-00741</x:v>
      </x:c>
      <x:c r="B742" s="41" t="n">
        <x:v>46256</x:v>
      </x:c>
      <x:c r="C742" s="41" t="n">
        <x:v>46258</x:v>
      </x:c>
      <x:c r="D742" s="41" t="n">
        <x:v>46258</x:v>
      </x:c>
      <x:c r="E742" t="str">
        <x:v>Prime Stock, Lda.</x:v>
      </x:c>
      <x:c r="F742" t="str">
        <x:v>Viana</x:v>
      </x:c>
      <x:c r="G742" t="str">
        <x:v>Carlos Mateus</x:v>
      </x:c>
      <x:c r="H742" t="str">
        <x:v>VTR-04</x:v>
      </x:c>
      <x:c r="I742" t="str">
        <x:v>Toyota Dyna</x:v>
      </x:c>
      <x:c r="J742" t="n">
        <x:v>3000</x:v>
      </x:c>
      <x:c r="K742" t="n">
        <x:v>38</x:v>
      </x:c>
      <x:c r="L742" t="n">
        <x:v>36</x:v>
      </x:c>
      <x:c r="M742" t="n">
        <x:v>1038.4</x:v>
      </x:c>
      <x:c r="N742" t="n">
        <x:v>21</x:v>
      </x:c>
      <x:c r="O742" s="45" t="n">
        <x:v>360316</x:v>
      </x:c>
      <x:c r="P742" s="45" t="n">
        <x:v>33500</x:v>
      </x:c>
      <x:c r="Q742" t="str">
        <x:v>Entregue</x:v>
      </x:c>
      <x:c r="R742" t="str"/>
      <x:c r="S742" t="str">
        <x:v>Nao</x:v>
      </x:c>
      <x:c r="T742" t="str">
        <x:v>Nao</x:v>
      </x:c>
    </x:row>
    <x:row r="743" ht="19" customHeight="1">
      <x:c r="A743" t="str">
        <x:v>ENT-00742</x:v>
      </x:c>
      <x:c r="B743" s="41" t="n">
        <x:v>46229</x:v>
      </x:c>
      <x:c r="C743" s="41" t="n">
        <x:v>46232</x:v>
      </x:c>
      <x:c r="D743" s="41" t="n">
        <x:v>46232</x:v>
      </x:c>
      <x:c r="E743" t="str">
        <x:v>Savana Retail, Lda.</x:v>
      </x:c>
      <x:c r="F743" t="str">
        <x:v>Zango</x:v>
      </x:c>
      <x:c r="G743" t="str">
        <x:v>Dário Joaquim</x:v>
      </x:c>
      <x:c r="H743" t="str">
        <x:v>VTR-03</x:v>
      </x:c>
      <x:c r="I743" t="str">
        <x:v>Toyota Dyna</x:v>
      </x:c>
      <x:c r="J743" t="n">
        <x:v>3000</x:v>
      </x:c>
      <x:c r="K743" t="n">
        <x:v>48</x:v>
      </x:c>
      <x:c r="L743" t="n">
        <x:v>48</x:v>
      </x:c>
      <x:c r="M743" t="n">
        <x:v>1595.9</x:v>
      </x:c>
      <x:c r="N743" t="n">
        <x:v>51</x:v>
      </x:c>
      <x:c r="O743" s="45" t="n">
        <x:v>997248</x:v>
      </x:c>
      <x:c r="P743" s="45" t="n">
        <x:v>52000</x:v>
      </x:c>
      <x:c r="Q743" t="str">
        <x:v>Entregue</x:v>
      </x:c>
      <x:c r="R743" t="str"/>
      <x:c r="S743" t="str">
        <x:v>Nao</x:v>
      </x:c>
      <x:c r="T743" t="str">
        <x:v>Nao</x:v>
      </x:c>
    </x:row>
    <x:row r="744" ht="19" customHeight="1">
      <x:c r="A744" t="str">
        <x:v>ENT-00743</x:v>
      </x:c>
      <x:c r="B744" s="41" t="n">
        <x:v>46261</x:v>
      </x:c>
      <x:c r="C744" s="41" t="n">
        <x:v>46263</x:v>
      </x:c>
      <x:c r="D744" s="41" t="n">
        <x:v>46263</x:v>
      </x:c>
      <x:c r="E744" t="str">
        <x:v>Rota Azul, Lda.</x:v>
      </x:c>
      <x:c r="F744" t="str">
        <x:v>Kilamba</x:v>
      </x:c>
      <x:c r="G744" t="str">
        <x:v>Bernardo Paulo</x:v>
      </x:c>
      <x:c r="H744" t="str">
        <x:v>VTR-10</x:v>
      </x:c>
      <x:c r="I744" t="str">
        <x:v>Foton Aumark</x:v>
      </x:c>
      <x:c r="J744" t="n">
        <x:v>4000</x:v>
      </x:c>
      <x:c r="K744" t="n">
        <x:v>71</x:v>
      </x:c>
      <x:c r="L744" t="n">
        <x:v>71</x:v>
      </x:c>
      <x:c r="M744" t="n">
        <x:v>981.8</x:v>
      </x:c>
      <x:c r="N744" t="n">
        <x:v>35</x:v>
      </x:c>
      <x:c r="O744" s="45" t="n">
        <x:v>1514217</x:v>
      </x:c>
      <x:c r="P744" s="45" t="n">
        <x:v>36500</x:v>
      </x:c>
      <x:c r="Q744" t="str">
        <x:v>Entregue</x:v>
      </x:c>
      <x:c r="R744" t="str"/>
      <x:c r="S744" t="str">
        <x:v>Nao</x:v>
      </x:c>
      <x:c r="T744" t="str">
        <x:v>Nao</x:v>
      </x:c>
    </x:row>
    <x:row r="745" ht="19" customHeight="1">
      <x:c r="A745" t="str">
        <x:v>ENT-00744</x:v>
      </x:c>
      <x:c r="B745" s="41" t="n">
        <x:v>46223</x:v>
      </x:c>
      <x:c r="C745" s="41" t="n">
        <x:v>46225</x:v>
      </x:c>
      <x:c r="D745" s="41"/>
      <x:c r="E745" t="str">
        <x:v>Sol Nascente Comércio, Lda.</x:v>
      </x:c>
      <x:c r="F745" t="str">
        <x:v>Kikuxi</x:v>
      </x:c>
      <x:c r="G745" t="str">
        <x:v>Elísio António</x:v>
      </x:c>
      <x:c r="H745" t="str">
        <x:v>VTR-08</x:v>
      </x:c>
      <x:c r="I745" t="str">
        <x:v>Toyota Hilux</x:v>
      </x:c>
      <x:c r="J745" t="n">
        <x:v>1000</x:v>
      </x:c>
      <x:c r="K745" t="n">
        <x:v>24</x:v>
      </x:c>
      <x:c r="L745" t="n">
        <x:v>0</x:v>
      </x:c>
      <x:c r="M745" t="n">
        <x:v>609.6</x:v>
      </x:c>
      <x:c r="N745" t="n">
        <x:v>36</x:v>
      </x:c>
      <x:c r="O745" s="45" t="n">
        <x:v>450048</x:v>
      </x:c>
      <x:c r="P745" s="45" t="n">
        <x:v>37000</x:v>
      </x:c>
      <x:c r="Q745" t="str">
        <x:v>Cancelada</x:v>
      </x:c>
      <x:c r="R745" t="str">
        <x:v>Cancelamento do cliente</x:v>
      </x:c>
      <x:c r="S745" t="str">
        <x:v>Nao</x:v>
      </x:c>
      <x:c r="T745" t="str">
        <x:v>Nao</x:v>
      </x:c>
    </x:row>
    <x:row r="746" ht="19" customHeight="1">
      <x:c r="A746" t="str">
        <x:v>ENT-00745</x:v>
      </x:c>
      <x:c r="B746" s="41" t="n">
        <x:v>46237</x:v>
      </x:c>
      <x:c r="C746" s="41" t="n">
        <x:v>46239</x:v>
      </x:c>
      <x:c r="D746" s="41" t="n">
        <x:v>46240</x:v>
      </x:c>
      <x:c r="E746" t="str">
        <x:v>Via Certa Serviços, Lda.</x:v>
      </x:c>
      <x:c r="F746" t="str">
        <x:v>Camama</x:v>
      </x:c>
      <x:c r="G746" t="str">
        <x:v>Adriano Manuel</x:v>
      </x:c>
      <x:c r="H746" t="str">
        <x:v>VTR-04</x:v>
      </x:c>
      <x:c r="I746" t="str">
        <x:v>Toyota Dyna</x:v>
      </x:c>
      <x:c r="J746" t="n">
        <x:v>3000</x:v>
      </x:c>
      <x:c r="K746" t="n">
        <x:v>21</x:v>
      </x:c>
      <x:c r="L746" t="n">
        <x:v>21</x:v>
      </x:c>
      <x:c r="M746" t="n">
        <x:v>211.5</x:v>
      </x:c>
      <x:c r="N746" t="n">
        <x:v>21</x:v>
      </x:c>
      <x:c r="O746" s="45" t="n">
        <x:v>76776</x:v>
      </x:c>
      <x:c r="P746" s="45" t="n">
        <x:v>21500</x:v>
      </x:c>
      <x:c r="Q746" t="str">
        <x:v>Entregue</x:v>
      </x:c>
      <x:c r="R746" t="str">
        <x:v>Avaria da viatura</x:v>
      </x:c>
      <x:c r="S746" t="str">
        <x:v>Nao</x:v>
      </x:c>
      <x:c r="T746" t="str">
        <x:v>Nao</x:v>
      </x:c>
    </x:row>
    <x:row r="747" ht="19" customHeight="1">
      <x:c r="A747" t="str">
        <x:v>ENT-00746</x:v>
      </x:c>
      <x:c r="B747" s="41" t="n">
        <x:v>46217</x:v>
      </x:c>
      <x:c r="C747" s="41" t="n">
        <x:v>46220</x:v>
      </x:c>
      <x:c r="D747" s="41" t="n">
        <x:v>46220</x:v>
      </x:c>
      <x:c r="E747" t="str">
        <x:v>Casa Horizonte, Lda.</x:v>
      </x:c>
      <x:c r="F747" t="str">
        <x:v>Zango</x:v>
      </x:c>
      <x:c r="G747" t="str">
        <x:v>Dário Joaquim</x:v>
      </x:c>
      <x:c r="H747" t="str">
        <x:v>VTR-01</x:v>
      </x:c>
      <x:c r="I747" t="str">
        <x:v>Kia K2700</x:v>
      </x:c>
      <x:c r="J747" t="n">
        <x:v>1500</x:v>
      </x:c>
      <x:c r="K747" t="n">
        <x:v>63</x:v>
      </x:c>
      <x:c r="L747" t="n">
        <x:v>63</x:v>
      </x:c>
      <x:c r="M747" t="n">
        <x:v>1038.7</x:v>
      </x:c>
      <x:c r="N747" t="n">
        <x:v>59</x:v>
      </x:c>
      <x:c r="O747" s="45" t="n">
        <x:v>440055</x:v>
      </x:c>
      <x:c r="P747" s="45" t="n">
        <x:v>46500</x:v>
      </x:c>
      <x:c r="Q747" t="str">
        <x:v>Entregue</x:v>
      </x:c>
      <x:c r="R747" t="str"/>
      <x:c r="S747" t="str">
        <x:v>Nao</x:v>
      </x:c>
      <x:c r="T747" t="str">
        <x:v>Nao</x:v>
      </x:c>
    </x:row>
    <x:row r="748" ht="19" customHeight="1">
      <x:c r="A748" t="str">
        <x:v>ENT-00747</x:v>
      </x:c>
      <x:c r="B748" s="41" t="n">
        <x:v>46242</x:v>
      </x:c>
      <x:c r="C748" s="41" t="n">
        <x:v>46243</x:v>
      </x:c>
      <x:c r="D748" s="41" t="n">
        <x:v>46243</x:v>
      </x:c>
      <x:c r="E748" t="str">
        <x:v>Casa Horizonte, Lda.</x:v>
      </x:c>
      <x:c r="F748" t="str">
        <x:v>Maianga</x:v>
      </x:c>
      <x:c r="G748" t="str">
        <x:v>Kito Alberto</x:v>
      </x:c>
      <x:c r="H748" t="str">
        <x:v>VTR-07</x:v>
      </x:c>
      <x:c r="I748" t="str">
        <x:v>Isuzu NPR</x:v>
      </x:c>
      <x:c r="J748" t="n">
        <x:v>5000</x:v>
      </x:c>
      <x:c r="K748" t="n">
        <x:v>77</x:v>
      </x:c>
      <x:c r="L748" t="n">
        <x:v>77</x:v>
      </x:c>
      <x:c r="M748" t="n">
        <x:v>2478.1</x:v>
      </x:c>
      <x:c r="N748" t="n">
        <x:v>19</x:v>
      </x:c>
      <x:c r="O748" s="45" t="n">
        <x:v>1614844</x:v>
      </x:c>
      <x:c r="P748" s="45" t="n">
        <x:v>59500</x:v>
      </x:c>
      <x:c r="Q748" t="str">
        <x:v>Entregue</x:v>
      </x:c>
      <x:c r="R748" t="str"/>
      <x:c r="S748" t="str">
        <x:v>Nao</x:v>
      </x:c>
      <x:c r="T748" t="str">
        <x:v>Nao</x:v>
      </x:c>
    </x:row>
    <x:row r="749" ht="19" customHeight="1">
      <x:c r="A749" t="str">
        <x:v>ENT-00748</x:v>
      </x:c>
      <x:c r="B749" s="41" t="n">
        <x:v>46250</x:v>
      </x:c>
      <x:c r="C749" s="41" t="n">
        <x:v>46252</x:v>
      </x:c>
      <x:c r="D749" s="41" t="n">
        <x:v>46252</x:v>
      </x:c>
      <x:c r="E749" t="str">
        <x:v>Prime Stock, Lda.</x:v>
      </x:c>
      <x:c r="F749" t="str">
        <x:v>Viana</x:v>
      </x:c>
      <x:c r="G749" t="str">
        <x:v>Lucas Tomás</x:v>
      </x:c>
      <x:c r="H749" t="str">
        <x:v>VTR-07</x:v>
      </x:c>
      <x:c r="I749" t="str">
        <x:v>Isuzu NPR</x:v>
      </x:c>
      <x:c r="J749" t="n">
        <x:v>5000</x:v>
      </x:c>
      <x:c r="K749" t="n">
        <x:v>9</x:v>
      </x:c>
      <x:c r="L749" t="n">
        <x:v>9</x:v>
      </x:c>
      <x:c r="M749" t="n">
        <x:v>282</x:v>
      </x:c>
      <x:c r="N749" t="n">
        <x:v>23</x:v>
      </x:c>
      <x:c r="O749" s="45" t="n">
        <x:v>184365</x:v>
      </x:c>
      <x:c r="P749" s="45" t="n">
        <x:v>23000</x:v>
      </x:c>
      <x:c r="Q749" t="str">
        <x:v>Entregue</x:v>
      </x:c>
      <x:c r="R749" t="str"/>
      <x:c r="S749" t="str">
        <x:v>Nao</x:v>
      </x:c>
      <x:c r="T749" t="str">
        <x:v>Nao</x:v>
      </x:c>
    </x:row>
    <x:row r="750" ht="19" customHeight="1">
      <x:c r="A750" t="str">
        <x:v>ENT-00749</x:v>
      </x:c>
      <x:c r="B750" s="41" t="n">
        <x:v>46232</x:v>
      </x:c>
      <x:c r="C750" s="41" t="n">
        <x:v>46234</x:v>
      </x:c>
      <x:c r="D750" s="41" t="n">
        <x:v>46234</x:v>
      </x:c>
      <x:c r="E750" t="str">
        <x:v>Kiala &amp; Filhos, Lda.</x:v>
      </x:c>
      <x:c r="F750" t="str">
        <x:v>Patriota</x:v>
      </x:c>
      <x:c r="G750" t="str">
        <x:v>Kito Alberto</x:v>
      </x:c>
      <x:c r="H750" t="str">
        <x:v>VTR-06</x:v>
      </x:c>
      <x:c r="I750" t="str">
        <x:v>Isuzu NPR</x:v>
      </x:c>
      <x:c r="J750" t="n">
        <x:v>5000</x:v>
      </x:c>
      <x:c r="K750" t="n">
        <x:v>63</x:v>
      </x:c>
      <x:c r="L750" t="n">
        <x:v>63</x:v>
      </x:c>
      <x:c r="M750" t="n">
        <x:v>1331.6</x:v>
      </x:c>
      <x:c r="N750" t="n">
        <x:v>36</x:v>
      </x:c>
      <x:c r="O750" s="45" t="n">
        <x:v>867132</x:v>
      </x:c>
      <x:c r="P750" s="45" t="n">
        <x:v>46000</x:v>
      </x:c>
      <x:c r="Q750" t="str">
        <x:v>Entregue</x:v>
      </x:c>
      <x:c r="R750" t="str"/>
      <x:c r="S750" t="str">
        <x:v>Nao</x:v>
      </x:c>
      <x:c r="T750" t="str">
        <x:v>Nao</x:v>
      </x:c>
    </x:row>
    <x:row r="751" ht="19" customHeight="1">
      <x:c r="A751" t="str">
        <x:v>ENT-00750</x:v>
      </x:c>
      <x:c r="B751" s="41" t="n">
        <x:v>46257</x:v>
      </x:c>
      <x:c r="C751" s="41" t="n">
        <x:v>46258</x:v>
      </x:c>
      <x:c r="D751" s="41" t="n">
        <x:v>46258</x:v>
      </x:c>
      <x:c r="E751" t="str">
        <x:v>Luanda Office Supply, Lda.</x:v>
      </x:c>
      <x:c r="F751" t="str">
        <x:v>Nova Vida</x:v>
      </x:c>
      <x:c r="G751" t="str">
        <x:v>Hélder Miguel</x:v>
      </x:c>
      <x:c r="H751" t="str">
        <x:v>VTR-05</x:v>
      </x:c>
      <x:c r="I751" t="str">
        <x:v>Hyundai HD65</x:v>
      </x:c>
      <x:c r="J751" t="n">
        <x:v>3500</x:v>
      </x:c>
      <x:c r="K751" t="n">
        <x:v>49</x:v>
      </x:c>
      <x:c r="L751" t="n">
        <x:v>49</x:v>
      </x:c>
      <x:c r="M751" t="n">
        <x:v>435</x:v>
      </x:c>
      <x:c r="N751" t="n">
        <x:v>15</x:v>
      </x:c>
      <x:c r="O751" s="45" t="n">
        <x:v>524202</x:v>
      </x:c>
      <x:c r="P751" s="45" t="n">
        <x:v>20000</x:v>
      </x:c>
      <x:c r="Q751" t="str">
        <x:v>Entregue</x:v>
      </x:c>
      <x:c r="R751" t="str"/>
      <x:c r="S751" t="str">
        <x:v>Nao</x:v>
      </x:c>
      <x:c r="T751" t="str">
        <x:v>Nao</x:v>
      </x:c>
    </x:row>
    <x:row r="752" ht="19" customHeight="1">
      <x:c r="A752" t="str">
        <x:v>ENT-00751</x:v>
      </x:c>
      <x:c r="B752" s="41" t="n">
        <x:v>46261</x:v>
      </x:c>
      <x:c r="C752" s="41" t="n">
        <x:v>46264</x:v>
      </x:c>
      <x:c r="D752" s="41" t="n">
        <x:v>46264</x:v>
      </x:c>
      <x:c r="E752" t="str">
        <x:v>Luanda Office Supply, Lda.</x:v>
      </x:c>
      <x:c r="F752" t="str">
        <x:v>Kikuxi</x:v>
      </x:c>
      <x:c r="G752" t="str">
        <x:v>Isaías Pedro</x:v>
      </x:c>
      <x:c r="H752" t="str">
        <x:v>VTR-02</x:v>
      </x:c>
      <x:c r="I752" t="str">
        <x:v>Kia K2700</x:v>
      </x:c>
      <x:c r="J752" t="n">
        <x:v>1500</x:v>
      </x:c>
      <x:c r="K752" t="n">
        <x:v>20</x:v>
      </x:c>
      <x:c r="L752" t="n">
        <x:v>20</x:v>
      </x:c>
      <x:c r="M752" t="n">
        <x:v>391.3</x:v>
      </x:c>
      <x:c r="N752" t="n">
        <x:v>42</x:v>
      </x:c>
      <x:c r="O752" s="45" t="n">
        <x:v>386040</x:v>
      </x:c>
      <x:c r="P752" s="45" t="n">
        <x:v>29000</x:v>
      </x:c>
      <x:c r="Q752" t="str">
        <x:v>Entregue</x:v>
      </x:c>
      <x:c r="R752" t="str"/>
      <x:c r="S752" t="str">
        <x:v>Nao</x:v>
      </x:c>
      <x:c r="T752" t="str">
        <x:v>Nao</x:v>
      </x:c>
    </x:row>
    <x:row r="753" ht="19" customHeight="1">
      <x:c r="A753" t="str">
        <x:v>ENT-00752</x:v>
      </x:c>
      <x:c r="B753" s="41" t="n">
        <x:v>46218</x:v>
      </x:c>
      <x:c r="C753" s="41" t="n">
        <x:v>46220</x:v>
      </x:c>
      <x:c r="D753" s="41" t="n">
        <x:v>46220</x:v>
      </x:c>
      <x:c r="E753" t="str">
        <x:v>Bem-Estar Higiene, Lda.</x:v>
      </x:c>
      <x:c r="F753" t="str">
        <x:v>Talatona</x:v>
      </x:c>
      <x:c r="G753" t="str">
        <x:v>Lucas Tomás</x:v>
      </x:c>
      <x:c r="H753" t="str">
        <x:v>VTR-09</x:v>
      </x:c>
      <x:c r="I753" t="str">
        <x:v>Toyota Hilux</x:v>
      </x:c>
      <x:c r="J753" t="n">
        <x:v>1000</x:v>
      </x:c>
      <x:c r="K753" t="n">
        <x:v>65</x:v>
      </x:c>
      <x:c r="L753" t="n">
        <x:v>65</x:v>
      </x:c>
      <x:c r="M753" t="n">
        <x:v>523.9</x:v>
      </x:c>
      <x:c r="N753" t="n">
        <x:v>21</x:v>
      </x:c>
      <x:c r="O753" s="45" t="n">
        <x:v>966030</x:v>
      </x:c>
      <x:c r="P753" s="45" t="n">
        <x:v>24500</x:v>
      </x:c>
      <x:c r="Q753" t="str">
        <x:v>Entregue</x:v>
      </x:c>
      <x:c r="R753" t="str"/>
      <x:c r="S753" t="str">
        <x:v>Nao</x:v>
      </x:c>
      <x:c r="T753" t="str">
        <x:v>Nao</x:v>
      </x:c>
    </x:row>
    <x:row r="754" ht="19" customHeight="1">
      <x:c r="A754" t="str">
        <x:v>ENT-00753</x:v>
      </x:c>
      <x:c r="B754" s="41" t="n">
        <x:v>46241</x:v>
      </x:c>
      <x:c r="C754" s="41" t="n">
        <x:v>46243</x:v>
      </x:c>
      <x:c r="D754" s="41" t="n">
        <x:v>46243</x:v>
      </x:c>
      <x:c r="E754" t="str">
        <x:v>Kiala &amp; Filhos, Lda.</x:v>
      </x:c>
      <x:c r="F754" t="str">
        <x:v>Kikuxi</x:v>
      </x:c>
      <x:c r="G754" t="str">
        <x:v>Hélder Miguel</x:v>
      </x:c>
      <x:c r="H754" t="str">
        <x:v>VTR-04</x:v>
      </x:c>
      <x:c r="I754" t="str">
        <x:v>Toyota Dyna</x:v>
      </x:c>
      <x:c r="J754" t="n">
        <x:v>3000</x:v>
      </x:c>
      <x:c r="K754" t="n">
        <x:v>57</x:v>
      </x:c>
      <x:c r="L754" t="n">
        <x:v>57</x:v>
      </x:c>
      <x:c r="M754" t="n">
        <x:v>1194.8</x:v>
      </x:c>
      <x:c r="N754" t="n">
        <x:v>31</x:v>
      </x:c>
      <x:c r="O754" s="45" t="n">
        <x:v>1002744</x:v>
      </x:c>
      <x:c r="P754" s="45" t="n">
        <x:v>42500</x:v>
      </x:c>
      <x:c r="Q754" t="str">
        <x:v>Entregue</x:v>
      </x:c>
      <x:c r="R754" t="str"/>
      <x:c r="S754" t="str">
        <x:v>Nao</x:v>
      </x:c>
      <x:c r="T754" t="str">
        <x:v>Nao</x:v>
      </x:c>
    </x:row>
    <x:row r="755" ht="19" customHeight="1">
      <x:c r="A755" t="str">
        <x:v>ENT-00754</x:v>
      </x:c>
      <x:c r="B755" s="41" t="n">
        <x:v>46236</x:v>
      </x:c>
      <x:c r="C755" s="41" t="n">
        <x:v>46237</x:v>
      </x:c>
      <x:c r="D755" s="41" t="n">
        <x:v>46237</x:v>
      </x:c>
      <x:c r="E755" t="str">
        <x:v>Kiala &amp; Filhos, Lda.</x:v>
      </x:c>
      <x:c r="F755" t="str">
        <x:v>Maianga</x:v>
      </x:c>
      <x:c r="G755" t="str">
        <x:v>Elísio António</x:v>
      </x:c>
      <x:c r="H755" t="str">
        <x:v>VTR-10</x:v>
      </x:c>
      <x:c r="I755" t="str">
        <x:v>Foton Aumark</x:v>
      </x:c>
      <x:c r="J755" t="n">
        <x:v>4000</x:v>
      </x:c>
      <x:c r="K755" t="n">
        <x:v>19</x:v>
      </x:c>
      <x:c r="L755" t="n">
        <x:v>19</x:v>
      </x:c>
      <x:c r="M755" t="n">
        <x:v>316.9</x:v>
      </x:c>
      <x:c r="N755" t="n">
        <x:v>18</x:v>
      </x:c>
      <x:c r="O755" s="45" t="n">
        <x:v>323342</x:v>
      </x:c>
      <x:c r="P755" s="45" t="n">
        <x:v>18500</x:v>
      </x:c>
      <x:c r="Q755" t="str">
        <x:v>Entregue</x:v>
      </x:c>
      <x:c r="R755" t="str"/>
      <x:c r="S755" t="str">
        <x:v>Nao</x:v>
      </x:c>
      <x:c r="T755" t="str">
        <x:v>Nao</x:v>
      </x:c>
    </x:row>
    <x:row r="756" ht="19" customHeight="1">
      <x:c r="A756" t="str">
        <x:v>ENT-00755</x:v>
      </x:c>
      <x:c r="B756" s="41" t="n">
        <x:v>46246</x:v>
      </x:c>
      <x:c r="C756" s="41" t="n">
        <x:v>46248</x:v>
      </x:c>
      <x:c r="D756" s="41" t="n">
        <x:v>46248</x:v>
      </x:c>
      <x:c r="E756" t="str">
        <x:v>Atlântico Farma, Lda.</x:v>
      </x:c>
      <x:c r="F756" t="str">
        <x:v>Patriota</x:v>
      </x:c>
      <x:c r="G756" t="str">
        <x:v>Dário Joaquim</x:v>
      </x:c>
      <x:c r="H756" t="str">
        <x:v>VTR-12</x:v>
      </x:c>
      <x:c r="I756" t="str">
        <x:v>Hyundai H100</x:v>
      </x:c>
      <x:c r="J756" t="n">
        <x:v>1300</x:v>
      </x:c>
      <x:c r="K756" t="n">
        <x:v>79</x:v>
      </x:c>
      <x:c r="L756" t="n">
        <x:v>79</x:v>
      </x:c>
      <x:c r="M756" t="n">
        <x:v>997.4</x:v>
      </x:c>
      <x:c r="N756" t="n">
        <x:v>33</x:v>
      </x:c>
      <x:c r="O756" s="45" t="n">
        <x:v>1924440</x:v>
      </x:c>
      <x:c r="P756" s="45" t="n">
        <x:v>39000</x:v>
      </x:c>
      <x:c r="Q756" t="str">
        <x:v>Entregue</x:v>
      </x:c>
      <x:c r="R756" t="str"/>
      <x:c r="S756" t="str">
        <x:v>Nao</x:v>
      </x:c>
      <x:c r="T756" t="str">
        <x:v>Nao</x:v>
      </x:c>
    </x:row>
    <x:row r="757" ht="19" customHeight="1">
      <x:c r="A757" t="str">
        <x:v>ENT-00756</x:v>
      </x:c>
      <x:c r="B757" s="41" t="n">
        <x:v>46247</x:v>
      </x:c>
      <x:c r="C757" s="41" t="n">
        <x:v>46248</x:v>
      </x:c>
      <x:c r="D757" s="41"/>
      <x:c r="E757" t="str">
        <x:v>Mercado Sul, Lda.</x:v>
      </x:c>
      <x:c r="F757" t="str">
        <x:v>Ingombota</x:v>
      </x:c>
      <x:c r="G757" t="str">
        <x:v>Dário Joaquim</x:v>
      </x:c>
      <x:c r="H757" t="str">
        <x:v>VTR-08</x:v>
      </x:c>
      <x:c r="I757" t="str">
        <x:v>Toyota Hilux</x:v>
      </x:c>
      <x:c r="J757" t="n">
        <x:v>1000</x:v>
      </x:c>
      <x:c r="K757" t="n">
        <x:v>36</x:v>
      </x:c>
      <x:c r="L757" t="n">
        <x:v>0</x:v>
      </x:c>
      <x:c r="M757" t="n">
        <x:v>340.6</x:v>
      </x:c>
      <x:c r="N757" t="n">
        <x:v>17</x:v>
      </x:c>
      <x:c r="O757" s="45" t="n">
        <x:v>313200</x:v>
      </x:c>
      <x:c r="P757" s="45" t="n">
        <x:v>20000</x:v>
      </x:c>
      <x:c r="Q757" t="str">
        <x:v>Cancelada</x:v>
      </x:c>
      <x:c r="R757" t="str">
        <x:v>Cancelamento do cliente</x:v>
      </x:c>
      <x:c r="S757" t="str">
        <x:v>Nao</x:v>
      </x:c>
      <x:c r="T757" t="str">
        <x:v>Nao</x:v>
      </x:c>
    </x:row>
    <x:row r="758" ht="19" customHeight="1">
      <x:c r="A758" t="str">
        <x:v>ENT-00757</x:v>
      </x:c>
      <x:c r="B758" s="41" t="n">
        <x:v>46253</x:v>
      </x:c>
      <x:c r="C758" s="41" t="n">
        <x:v>46255</x:v>
      </x:c>
      <x:c r="D758" s="41" t="n">
        <x:v>46256</x:v>
      </x:c>
      <x:c r="E758" t="str">
        <x:v>Kiala &amp; Filhos, Lda.</x:v>
      </x:c>
      <x:c r="F758" t="str">
        <x:v>Sequele</x:v>
      </x:c>
      <x:c r="G758" t="str">
        <x:v>Adriano Manuel</x:v>
      </x:c>
      <x:c r="H758" t="str">
        <x:v>VTR-10</x:v>
      </x:c>
      <x:c r="I758" t="str">
        <x:v>Foton Aumark</x:v>
      </x:c>
      <x:c r="J758" t="n">
        <x:v>4000</x:v>
      </x:c>
      <x:c r="K758" t="n">
        <x:v>44</x:v>
      </x:c>
      <x:c r="L758" t="n">
        <x:v>44</x:v>
      </x:c>
      <x:c r="M758" t="n">
        <x:v>1377</x:v>
      </x:c>
      <x:c r="N758" t="n">
        <x:v>35</x:v>
      </x:c>
      <x:c r="O758" s="45" t="n">
        <x:v>1115312</x:v>
      </x:c>
      <x:c r="P758" s="45" t="n">
        <x:v>40500</x:v>
      </x:c>
      <x:c r="Q758" t="str">
        <x:v>Entregue</x:v>
      </x:c>
      <x:c r="R758" t="str">
        <x:v>Transito intenso</x:v>
      </x:c>
      <x:c r="S758" t="str">
        <x:v>Nao</x:v>
      </x:c>
      <x:c r="T758" t="str">
        <x:v>Nao</x:v>
      </x:c>
    </x:row>
    <x:row r="759" ht="19" customHeight="1">
      <x:c r="A759" t="str">
        <x:v>ENT-00758</x:v>
      </x:c>
      <x:c r="B759" s="41" t="n">
        <x:v>46205</x:v>
      </x:c>
      <x:c r="C759" s="41" t="n">
        <x:v>46207</x:v>
      </x:c>
      <x:c r="D759" s="41" t="n">
        <x:v>46207</x:v>
      </x:c>
      <x:c r="E759" t="str">
        <x:v>Atlântico Farma, Lda.</x:v>
      </x:c>
      <x:c r="F759" t="str">
        <x:v>Nova Vida</x:v>
      </x:c>
      <x:c r="G759" t="str">
        <x:v>Félix Domingos</x:v>
      </x:c>
      <x:c r="H759" t="str">
        <x:v>VTR-11</x:v>
      </x:c>
      <x:c r="I759" t="str">
        <x:v>JAC N56</x:v>
      </x:c>
      <x:c r="J759" t="n">
        <x:v>3500</x:v>
      </x:c>
      <x:c r="K759" t="n">
        <x:v>6</x:v>
      </x:c>
      <x:c r="L759" t="n">
        <x:v>6</x:v>
      </x:c>
      <x:c r="M759" t="n">
        <x:v>154.7</x:v>
      </x:c>
      <x:c r="N759" t="n">
        <x:v>24</x:v>
      </x:c>
      <x:c r="O759" s="45" t="n">
        <x:v>83268</x:v>
      </x:c>
      <x:c r="P759" s="45" t="n">
        <x:v>20000</x:v>
      </x:c>
      <x:c r="Q759" t="str">
        <x:v>Entregue</x:v>
      </x:c>
      <x:c r="R759" t="str"/>
      <x:c r="S759" t="str">
        <x:v>Nao</x:v>
      </x:c>
      <x:c r="T759" t="str">
        <x:v>Nao</x:v>
      </x:c>
    </x:row>
    <x:row r="760" ht="19" customHeight="1">
      <x:c r="A760" t="str">
        <x:v>ENT-00759</x:v>
      </x:c>
      <x:c r="B760" s="41" t="n">
        <x:v>46220</x:v>
      </x:c>
      <x:c r="C760" s="41" t="n">
        <x:v>46222</x:v>
      </x:c>
      <x:c r="D760" s="41" t="n">
        <x:v>46222</x:v>
      </x:c>
      <x:c r="E760" t="str">
        <x:v>Kiala &amp; Filhos, Lda.</x:v>
      </x:c>
      <x:c r="F760" t="str">
        <x:v>Kilamba</x:v>
      </x:c>
      <x:c r="G760" t="str">
        <x:v>Carlos Mateus</x:v>
      </x:c>
      <x:c r="H760" t="str">
        <x:v>VTR-02</x:v>
      </x:c>
      <x:c r="I760" t="str">
        <x:v>Kia K2700</x:v>
      </x:c>
      <x:c r="J760" t="n">
        <x:v>1500</x:v>
      </x:c>
      <x:c r="K760" t="n">
        <x:v>70</x:v>
      </x:c>
      <x:c r="L760" t="n">
        <x:v>70</x:v>
      </x:c>
      <x:c r="M760" t="n">
        <x:v>532.3</x:v>
      </x:c>
      <x:c r="N760" t="n">
        <x:v>30</x:v>
      </x:c>
      <x:c r="O760" s="45" t="n">
        <x:v>1214430</x:v>
      </x:c>
      <x:c r="P760" s="45" t="n">
        <x:v>29000</x:v>
      </x:c>
      <x:c r="Q760" t="str">
        <x:v>Entregue</x:v>
      </x:c>
      <x:c r="R760" t="str"/>
      <x:c r="S760" t="str">
        <x:v>Nao</x:v>
      </x:c>
      <x:c r="T760" t="str">
        <x:v>Nao</x:v>
      </x:c>
    </x:row>
    <x:row r="761" ht="19" customHeight="1">
      <x:c r="A761" t="str">
        <x:v>ENT-00760</x:v>
      </x:c>
      <x:c r="B761" s="41" t="n">
        <x:v>46242</x:v>
      </x:c>
      <x:c r="C761" s="41" t="n">
        <x:v>46243</x:v>
      </x:c>
      <x:c r="D761" s="41" t="n">
        <x:v>46244</x:v>
      </x:c>
      <x:c r="E761" t="str">
        <x:v>Kiala &amp; Filhos, Lda.</x:v>
      </x:c>
      <x:c r="F761" t="str">
        <x:v>Ingombota</x:v>
      </x:c>
      <x:c r="G761" t="str">
        <x:v>Bernardo Paulo</x:v>
      </x:c>
      <x:c r="H761" t="str">
        <x:v>VTR-03</x:v>
      </x:c>
      <x:c r="I761" t="str">
        <x:v>Toyota Dyna</x:v>
      </x:c>
      <x:c r="J761" t="n">
        <x:v>3000</x:v>
      </x:c>
      <x:c r="K761" t="n">
        <x:v>54</x:v>
      </x:c>
      <x:c r="L761" t="n">
        <x:v>0</x:v>
      </x:c>
      <x:c r="M761" t="n">
        <x:v>1669.1</x:v>
      </x:c>
      <x:c r="N761" t="n">
        <x:v>14</x:v>
      </x:c>
      <x:c r="O761" s="45" t="n">
        <x:v>453114</x:v>
      </x:c>
      <x:c r="P761" s="45" t="n">
        <x:v>38500</x:v>
      </x:c>
      <x:c r="Q761" t="str">
        <x:v>Falhada</x:v>
      </x:c>
      <x:c r="R761" t="str">
        <x:v>Avaria da viatura</x:v>
      </x:c>
      <x:c r="S761" t="str">
        <x:v>Nao</x:v>
      </x:c>
      <x:c r="T761" t="str">
        <x:v>Nao</x:v>
      </x:c>
    </x:row>
    <x:row r="762" ht="19" customHeight="1">
      <x:c r="A762" t="str">
        <x:v>ENT-00761</x:v>
      </x:c>
      <x:c r="B762" s="41" t="n">
        <x:v>46243</x:v>
      </x:c>
      <x:c r="C762" s="41" t="n">
        <x:v>46244</x:v>
      </x:c>
      <x:c r="D762" s="41" t="n">
        <x:v>46244</x:v>
      </x:c>
      <x:c r="E762" t="str">
        <x:v>Casa Horizonte, Lda.</x:v>
      </x:c>
      <x:c r="F762" t="str">
        <x:v>Ingombota</x:v>
      </x:c>
      <x:c r="G762" t="str">
        <x:v>Dário Joaquim</x:v>
      </x:c>
      <x:c r="H762" t="str">
        <x:v>VTR-02</x:v>
      </x:c>
      <x:c r="I762" t="str">
        <x:v>Kia K2700</x:v>
      </x:c>
      <x:c r="J762" t="n">
        <x:v>1500</x:v>
      </x:c>
      <x:c r="K762" t="n">
        <x:v>70</x:v>
      </x:c>
      <x:c r="L762" t="n">
        <x:v>70</x:v>
      </x:c>
      <x:c r="M762" t="n">
        <x:v>1128.4</x:v>
      </x:c>
      <x:c r="N762" t="n">
        <x:v>9</x:v>
      </x:c>
      <x:c r="O762" s="45" t="n">
        <x:v>1744680</x:v>
      </x:c>
      <x:c r="P762" s="45" t="n">
        <x:v>27000</x:v>
      </x:c>
      <x:c r="Q762" t="str">
        <x:v>Entregue</x:v>
      </x:c>
      <x:c r="R762" t="str"/>
      <x:c r="S762" t="str">
        <x:v>Nao</x:v>
      </x:c>
      <x:c r="T762" t="str">
        <x:v>Nao</x:v>
      </x:c>
    </x:row>
    <x:row r="763" ht="19" customHeight="1">
      <x:c r="A763" t="str">
        <x:v>ENT-00762</x:v>
      </x:c>
      <x:c r="B763" s="41" t="n">
        <x:v>46208</x:v>
      </x:c>
      <x:c r="C763" s="41" t="n">
        <x:v>46210</x:v>
      </x:c>
      <x:c r="D763" s="41" t="n">
        <x:v>46211</x:v>
      </x:c>
      <x:c r="E763" t="str">
        <x:v>Rota Azul, Lda.</x:v>
      </x:c>
      <x:c r="F763" t="str">
        <x:v>Talatona</x:v>
      </x:c>
      <x:c r="G763" t="str">
        <x:v>Isaías Pedro</x:v>
      </x:c>
      <x:c r="H763" t="str">
        <x:v>VTR-09</x:v>
      </x:c>
      <x:c r="I763" t="str">
        <x:v>Toyota Hilux</x:v>
      </x:c>
      <x:c r="J763" t="n">
        <x:v>1000</x:v>
      </x:c>
      <x:c r="K763" t="n">
        <x:v>73</x:v>
      </x:c>
      <x:c r="L763" t="n">
        <x:v>73</x:v>
      </x:c>
      <x:c r="M763" t="n">
        <x:v>576.4</x:v>
      </x:c>
      <x:c r="N763" t="n">
        <x:v>37</x:v>
      </x:c>
      <x:c r="O763" s="45" t="n">
        <x:v>285576</x:v>
      </x:c>
      <x:c r="P763" s="45" t="n">
        <x:v>31500</x:v>
      </x:c>
      <x:c r="Q763" t="str">
        <x:v>Entregue</x:v>
      </x:c>
      <x:c r="R763" t="str">
        <x:v>Avaria da viatura</x:v>
      </x:c>
      <x:c r="S763" t="str">
        <x:v>Nao</x:v>
      </x:c>
      <x:c r="T763" t="str">
        <x:v>Nao</x:v>
      </x:c>
    </x:row>
    <x:row r="764" ht="19" customHeight="1">
      <x:c r="A764" t="str">
        <x:v>ENT-00763</x:v>
      </x:c>
      <x:c r="B764" s="41" t="n">
        <x:v>46216</x:v>
      </x:c>
      <x:c r="C764" s="41" t="n">
        <x:v>46219</x:v>
      </x:c>
      <x:c r="D764" s="41"/>
      <x:c r="E764" t="str">
        <x:v>Via Certa Serviços, Lda.</x:v>
      </x:c>
      <x:c r="F764" t="str">
        <x:v>Benfica</x:v>
      </x:c>
      <x:c r="G764" t="str">
        <x:v>Félix Domingos</x:v>
      </x:c>
      <x:c r="H764" t="str">
        <x:v>VTR-06</x:v>
      </x:c>
      <x:c r="I764" t="str">
        <x:v>Isuzu NPR</x:v>
      </x:c>
      <x:c r="J764" t="n">
        <x:v>5000</x:v>
      </x:c>
      <x:c r="K764" t="n">
        <x:v>43</x:v>
      </x:c>
      <x:c r="L764" t="n">
        <x:v>0</x:v>
      </x:c>
      <x:c r="M764" t="n">
        <x:v>1231.6</x:v>
      </x:c>
      <x:c r="N764" t="n">
        <x:v>43</x:v>
      </x:c>
      <x:c r="O764" s="45" t="n">
        <x:v>1014026</x:v>
      </x:c>
      <x:c r="P764" s="45" t="n">
        <x:v>43500</x:v>
      </x:c>
      <x:c r="Q764" t="str">
        <x:v>Cancelada</x:v>
      </x:c>
      <x:c r="R764" t="str">
        <x:v>Cancelamento do cliente</x:v>
      </x:c>
      <x:c r="S764" t="str">
        <x:v>Nao</x:v>
      </x:c>
      <x:c r="T764" t="str">
        <x:v>Nao</x:v>
      </x:c>
    </x:row>
    <x:row r="765" ht="19" customHeight="1">
      <x:c r="A765" t="str">
        <x:v>ENT-00764</x:v>
      </x:c>
      <x:c r="B765" s="41" t="n">
        <x:v>46227</x:v>
      </x:c>
      <x:c r="C765" s="41" t="n">
        <x:v>46229</x:v>
      </x:c>
      <x:c r="D765" s="41" t="n">
        <x:v>46228</x:v>
      </x:c>
      <x:c r="E765" t="str">
        <x:v>Via Certa Serviços, Lda.</x:v>
      </x:c>
      <x:c r="F765" t="str">
        <x:v>Zango</x:v>
      </x:c>
      <x:c r="G765" t="str">
        <x:v>Bernardo Paulo</x:v>
      </x:c>
      <x:c r="H765" t="str">
        <x:v>VTR-05</x:v>
      </x:c>
      <x:c r="I765" t="str">
        <x:v>Hyundai HD65</x:v>
      </x:c>
      <x:c r="J765" t="n">
        <x:v>3500</x:v>
      </x:c>
      <x:c r="K765" t="n">
        <x:v>49</x:v>
      </x:c>
      <x:c r="L765" t="n">
        <x:v>49</x:v>
      </x:c>
      <x:c r="M765" t="n">
        <x:v>994.8</x:v>
      </x:c>
      <x:c r="N765" t="n">
        <x:v>35</x:v>
      </x:c>
      <x:c r="O765" s="45" t="n">
        <x:v>466431</x:v>
      </x:c>
      <x:c r="P765" s="45" t="n">
        <x:v>42000</x:v>
      </x:c>
      <x:c r="Q765" t="str">
        <x:v>Entregue</x:v>
      </x:c>
      <x:c r="R765" t="str"/>
      <x:c r="S765" t="str">
        <x:v>Nao</x:v>
      </x:c>
      <x:c r="T765" t="str">
        <x:v>Nao</x:v>
      </x:c>
    </x:row>
    <x:row r="766" ht="19" customHeight="1">
      <x:c r="A766" t="str">
        <x:v>ENT-00765</x:v>
      </x:c>
      <x:c r="B766" s="41" t="n">
        <x:v>46263</x:v>
      </x:c>
      <x:c r="C766" s="41" t="n">
        <x:v>46264</x:v>
      </x:c>
      <x:c r="D766" s="41" t="n">
        <x:v>46264</x:v>
      </x:c>
      <x:c r="E766" t="str">
        <x:v>Savana Retail, Lda.</x:v>
      </x:c>
      <x:c r="F766" t="str">
        <x:v>Ingombota</x:v>
      </x:c>
      <x:c r="G766" t="str">
        <x:v>Jorge Mário</x:v>
      </x:c>
      <x:c r="H766" t="str">
        <x:v>VTR-11</x:v>
      </x:c>
      <x:c r="I766" t="str">
        <x:v>JAC N56</x:v>
      </x:c>
      <x:c r="J766" t="n">
        <x:v>3500</x:v>
      </x:c>
      <x:c r="K766" t="n">
        <x:v>21</x:v>
      </x:c>
      <x:c r="L766" t="n">
        <x:v>21</x:v>
      </x:c>
      <x:c r="M766" t="n">
        <x:v>231.5</x:v>
      </x:c>
      <x:c r="N766" t="n">
        <x:v>11</x:v>
      </x:c>
      <x:c r="O766" s="45" t="n">
        <x:v>421134</x:v>
      </x:c>
      <x:c r="P766" s="45" t="n">
        <x:v>17000</x:v>
      </x:c>
      <x:c r="Q766" t="str">
        <x:v>Entregue</x:v>
      </x:c>
      <x:c r="R766" t="str"/>
      <x:c r="S766" t="str">
        <x:v>Nao</x:v>
      </x:c>
      <x:c r="T766" t="str">
        <x:v>Nao</x:v>
      </x:c>
    </x:row>
    <x:row r="767" ht="19" customHeight="1">
      <x:c r="A767" t="str">
        <x:v>ENT-00766</x:v>
      </x:c>
      <x:c r="B767" s="41" t="n">
        <x:v>46234</x:v>
      </x:c>
      <x:c r="C767" s="41" t="n">
        <x:v>46236</x:v>
      </x:c>
      <x:c r="D767" s="41" t="n">
        <x:v>46236</x:v>
      </x:c>
      <x:c r="E767" t="str">
        <x:v>Rota Azul, Lda.</x:v>
      </x:c>
      <x:c r="F767" t="str">
        <x:v>Patriota</x:v>
      </x:c>
      <x:c r="G767" t="str">
        <x:v>Bernardo Paulo</x:v>
      </x:c>
      <x:c r="H767" t="str">
        <x:v>VTR-03</x:v>
      </x:c>
      <x:c r="I767" t="str">
        <x:v>Toyota Dyna</x:v>
      </x:c>
      <x:c r="J767" t="n">
        <x:v>3000</x:v>
      </x:c>
      <x:c r="K767" t="n">
        <x:v>7</x:v>
      </x:c>
      <x:c r="L767" t="n">
        <x:v>7</x:v>
      </x:c>
      <x:c r="M767" t="n">
        <x:v>110.3</x:v>
      </x:c>
      <x:c r="N767" t="n">
        <x:v>24</x:v>
      </x:c>
      <x:c r="O767" s="45" t="n">
        <x:v>78750</x:v>
      </x:c>
      <x:c r="P767" s="45" t="n">
        <x:v>18000</x:v>
      </x:c>
      <x:c r="Q767" t="str">
        <x:v>Entregue</x:v>
      </x:c>
      <x:c r="R767" t="str"/>
      <x:c r="S767" t="str">
        <x:v>Nao</x:v>
      </x:c>
      <x:c r="T767" t="str">
        <x:v>Nao</x:v>
      </x:c>
    </x:row>
    <x:row r="768" ht="19" customHeight="1">
      <x:c r="A768" t="str">
        <x:v>ENT-00767</x:v>
      </x:c>
      <x:c r="B768" s="41" t="n">
        <x:v>46210</x:v>
      </x:c>
      <x:c r="C768" s="41" t="n">
        <x:v>46212</x:v>
      </x:c>
      <x:c r="D768" s="41" t="n">
        <x:v>46213</x:v>
      </x:c>
      <x:c r="E768" t="str">
        <x:v>Casa Horizonte, Lda.</x:v>
      </x:c>
      <x:c r="F768" t="str">
        <x:v>Morro Bento</x:v>
      </x:c>
      <x:c r="G768" t="str">
        <x:v>Bernardo Paulo</x:v>
      </x:c>
      <x:c r="H768" t="str">
        <x:v>VTR-09</x:v>
      </x:c>
      <x:c r="I768" t="str">
        <x:v>Toyota Hilux</x:v>
      </x:c>
      <x:c r="J768" t="n">
        <x:v>1000</x:v>
      </x:c>
      <x:c r="K768" t="n">
        <x:v>27</x:v>
      </x:c>
      <x:c r="L768" t="n">
        <x:v>27</x:v>
      </x:c>
      <x:c r="M768" t="n">
        <x:v>506.7</x:v>
      </x:c>
      <x:c r="N768" t="n">
        <x:v>24</x:v>
      </x:c>
      <x:c r="O768" s="45" t="n">
        <x:v>343062</x:v>
      </x:c>
      <x:c r="P768" s="45" t="n">
        <x:v>27500</x:v>
      </x:c>
      <x:c r="Q768" t="str">
        <x:v>Entregue</x:v>
      </x:c>
      <x:c r="R768" t="str">
        <x:v>Atraso no carregamento</x:v>
      </x:c>
      <x:c r="S768" t="str">
        <x:v>Nao</x:v>
      </x:c>
      <x:c r="T768" t="str">
        <x:v>Nao</x:v>
      </x:c>
    </x:row>
    <x:row r="769" ht="19" customHeight="1">
      <x:c r="A769" t="str">
        <x:v>ENT-00768</x:v>
      </x:c>
      <x:c r="B769" s="41" t="n">
        <x:v>46238</x:v>
      </x:c>
      <x:c r="C769" s="41" t="n">
        <x:v>46241</x:v>
      </x:c>
      <x:c r="D769" s="41" t="n">
        <x:v>46243</x:v>
      </x:c>
      <x:c r="E769" t="str">
        <x:v>Ponto Logístico, Lda.</x:v>
      </x:c>
      <x:c r="F769" t="str">
        <x:v>Sequele</x:v>
      </x:c>
      <x:c r="G769" t="str">
        <x:v>Dário Joaquim</x:v>
      </x:c>
      <x:c r="H769" t="str">
        <x:v>VTR-01</x:v>
      </x:c>
      <x:c r="I769" t="str">
        <x:v>Kia K2700</x:v>
      </x:c>
      <x:c r="J769" t="n">
        <x:v>1500</x:v>
      </x:c>
      <x:c r="K769" t="n">
        <x:v>17</x:v>
      </x:c>
      <x:c r="L769" t="n">
        <x:v>17</x:v>
      </x:c>
      <x:c r="M769" t="n">
        <x:v>333.6</x:v>
      </x:c>
      <x:c r="N769" t="n">
        <x:v>55</x:v>
      </x:c>
      <x:c r="O769" s="45" t="n">
        <x:v>73916</x:v>
      </x:c>
      <x:c r="P769" s="45" t="n">
        <x:v>39000</x:v>
      </x:c>
      <x:c r="Q769" t="str">
        <x:v>Entregue</x:v>
      </x:c>
      <x:c r="R769" t="str">
        <x:v>Atraso no carregamento</x:v>
      </x:c>
      <x:c r="S769" t="str">
        <x:v>Nao</x:v>
      </x:c>
      <x:c r="T769" t="str">
        <x:v>Nao</x:v>
      </x:c>
    </x:row>
    <x:row r="770" ht="19" customHeight="1">
      <x:c r="A770" t="str">
        <x:v>ENT-00769</x:v>
      </x:c>
      <x:c r="B770" s="41" t="n">
        <x:v>46244</x:v>
      </x:c>
      <x:c r="C770" s="41" t="n">
        <x:v>46246</x:v>
      </x:c>
      <x:c r="D770" s="41" t="n">
        <x:v>46246</x:v>
      </x:c>
      <x:c r="E770" t="str">
        <x:v>Ponto Logístico, Lda.</x:v>
      </x:c>
      <x:c r="F770" t="str">
        <x:v>Patriota</x:v>
      </x:c>
      <x:c r="G770" t="str">
        <x:v>Isaías Pedro</x:v>
      </x:c>
      <x:c r="H770" t="str">
        <x:v>VTR-09</x:v>
      </x:c>
      <x:c r="I770" t="str">
        <x:v>Toyota Hilux</x:v>
      </x:c>
      <x:c r="J770" t="n">
        <x:v>1000</x:v>
      </x:c>
      <x:c r="K770" t="n">
        <x:v>49</x:v>
      </x:c>
      <x:c r="L770" t="n">
        <x:v>49</x:v>
      </x:c>
      <x:c r="M770" t="n">
        <x:v>677.9</x:v>
      </x:c>
      <x:c r="N770" t="n">
        <x:v>37</x:v>
      </x:c>
      <x:c r="O770" s="45" t="n">
        <x:v>1108625</x:v>
      </x:c>
      <x:c r="P770" s="45" t="n">
        <x:v>36500</x:v>
      </x:c>
      <x:c r="Q770" t="str">
        <x:v>Entregue</x:v>
      </x:c>
      <x:c r="R770" t="str"/>
      <x:c r="S770" t="str">
        <x:v>Nao</x:v>
      </x:c>
      <x:c r="T770" t="str">
        <x:v>Nao</x:v>
      </x:c>
    </x:row>
    <x:row r="771" ht="19" customHeight="1">
      <x:c r="A771" t="str">
        <x:v>ENT-00770</x:v>
      </x:c>
      <x:c r="B771" s="41" t="n">
        <x:v>46262</x:v>
      </x:c>
      <x:c r="C771" s="41" t="n">
        <x:v>46265</x:v>
      </x:c>
      <x:c r="D771" s="41" t="n">
        <x:v>46265</x:v>
      </x:c>
      <x:c r="E771" t="str">
        <x:v>Mercado Sul, Lda.</x:v>
      </x:c>
      <x:c r="F771" t="str">
        <x:v>Zango</x:v>
      </x:c>
      <x:c r="G771" t="str">
        <x:v>Dário Joaquim</x:v>
      </x:c>
      <x:c r="H771" t="str">
        <x:v>VTR-03</x:v>
      </x:c>
      <x:c r="I771" t="str">
        <x:v>Toyota Dyna</x:v>
      </x:c>
      <x:c r="J771" t="n">
        <x:v>3000</x:v>
      </x:c>
      <x:c r="K771" t="n">
        <x:v>19</x:v>
      </x:c>
      <x:c r="L771" t="n">
        <x:v>19</x:v>
      </x:c>
      <x:c r="M771" t="n">
        <x:v>605.7</x:v>
      </x:c>
      <x:c r="N771" t="n">
        <x:v>60</x:v>
      </x:c>
      <x:c r="O771" s="45" t="n">
        <x:v>171684</x:v>
      </x:c>
      <x:c r="P771" s="45" t="n">
        <x:v>40500</x:v>
      </x:c>
      <x:c r="Q771" t="str">
        <x:v>Entregue</x:v>
      </x:c>
      <x:c r="R771" t="str"/>
      <x:c r="S771" t="str">
        <x:v>Nao</x:v>
      </x:c>
      <x:c r="T771" t="str">
        <x:v>Nao</x:v>
      </x:c>
    </x:row>
    <x:row r="772" ht="19" customHeight="1">
      <x:c r="A772" t="str">
        <x:v>ENT-00771</x:v>
      </x:c>
      <x:c r="B772" s="41" t="n">
        <x:v>46243</x:v>
      </x:c>
      <x:c r="C772" s="41" t="n">
        <x:v>46244</x:v>
      </x:c>
      <x:c r="D772" s="41" t="n">
        <x:v>46245</x:v>
      </x:c>
      <x:c r="E772" t="str">
        <x:v>Kiala &amp; Filhos, Lda.</x:v>
      </x:c>
      <x:c r="F772" t="str">
        <x:v>Camama</x:v>
      </x:c>
      <x:c r="G772" t="str">
        <x:v>Bernardo Paulo</x:v>
      </x:c>
      <x:c r="H772" t="str">
        <x:v>VTR-12</x:v>
      </x:c>
      <x:c r="I772" t="str">
        <x:v>Hyundai H100</x:v>
      </x:c>
      <x:c r="J772" t="n">
        <x:v>1300</x:v>
      </x:c>
      <x:c r="K772" t="n">
        <x:v>24</x:v>
      </x:c>
      <x:c r="L772" t="n">
        <x:v>24</x:v>
      </x:c>
      <x:c r="M772" t="n">
        <x:v>825.8</x:v>
      </x:c>
      <x:c r="N772" t="n">
        <x:v>19</x:v>
      </x:c>
      <x:c r="O772" s="45" t="n">
        <x:v>153264</x:v>
      </x:c>
      <x:c r="P772" s="45" t="n">
        <x:v>31500</x:v>
      </x:c>
      <x:c r="Q772" t="str">
        <x:v>Entregue</x:v>
      </x:c>
      <x:c r="R772" t="str">
        <x:v>Atraso no carregamento</x:v>
      </x:c>
      <x:c r="S772" t="str">
        <x:v>Nao</x:v>
      </x:c>
      <x:c r="T772" t="str">
        <x:v>Nao</x:v>
      </x:c>
    </x:row>
    <x:row r="773" ht="19" customHeight="1">
      <x:c r="A773" t="str">
        <x:v>ENT-00772</x:v>
      </x:c>
      <x:c r="B773" s="41" t="n">
        <x:v>46228</x:v>
      </x:c>
      <x:c r="C773" s="41" t="n">
        <x:v>46230</x:v>
      </x:c>
      <x:c r="D773" s="41" t="n">
        <x:v>46230</x:v>
      </x:c>
      <x:c r="E773" t="str">
        <x:v>Mercado Sul, Lda.</x:v>
      </x:c>
      <x:c r="F773" t="str">
        <x:v>Patriota</x:v>
      </x:c>
      <x:c r="G773" t="str">
        <x:v>Hélder Miguel</x:v>
      </x:c>
      <x:c r="H773" t="str">
        <x:v>VTR-06</x:v>
      </x:c>
      <x:c r="I773" t="str">
        <x:v>Isuzu NPR</x:v>
      </x:c>
      <x:c r="J773" t="n">
        <x:v>5000</x:v>
      </x:c>
      <x:c r="K773" t="n">
        <x:v>45</x:v>
      </x:c>
      <x:c r="L773" t="n">
        <x:v>45</x:v>
      </x:c>
      <x:c r="M773" t="n">
        <x:v>1360.6</x:v>
      </x:c>
      <x:c r="N773" t="n">
        <x:v>33</x:v>
      </x:c>
      <x:c r="O773" s="45" t="n">
        <x:v>596295</x:v>
      </x:c>
      <x:c r="P773" s="45" t="n">
        <x:v>46500</x:v>
      </x:c>
      <x:c r="Q773" t="str">
        <x:v>Entregue</x:v>
      </x:c>
      <x:c r="R773" t="str"/>
      <x:c r="S773" t="str">
        <x:v>Nao</x:v>
      </x:c>
      <x:c r="T773" t="str">
        <x:v>Nao</x:v>
      </x:c>
    </x:row>
    <x:row r="774" ht="19" customHeight="1">
      <x:c r="A774" t="str">
        <x:v>ENT-00773</x:v>
      </x:c>
      <x:c r="B774" s="41" t="n">
        <x:v>46261</x:v>
      </x:c>
      <x:c r="C774" s="41" t="n">
        <x:v>46263</x:v>
      </x:c>
      <x:c r="D774" s="41" t="n">
        <x:v>46266</x:v>
      </x:c>
      <x:c r="E774" t="str">
        <x:v>Prime Stock, Lda.</x:v>
      </x:c>
      <x:c r="F774" t="str">
        <x:v>Patriota</x:v>
      </x:c>
      <x:c r="G774" t="str">
        <x:v>Félix Domingos</x:v>
      </x:c>
      <x:c r="H774" t="str">
        <x:v>VTR-05</x:v>
      </x:c>
      <x:c r="I774" t="str">
        <x:v>Hyundai HD65</x:v>
      </x:c>
      <x:c r="J774" t="n">
        <x:v>3500</x:v>
      </x:c>
      <x:c r="K774" t="n">
        <x:v>75</x:v>
      </x:c>
      <x:c r="L774" t="n">
        <x:v>75</x:v>
      </x:c>
      <x:c r="M774" t="n">
        <x:v>1282.7</x:v>
      </x:c>
      <x:c r="N774" t="n">
        <x:v>23</x:v>
      </x:c>
      <x:c r="O774" s="45" t="n">
        <x:v>1435575</x:v>
      </x:c>
      <x:c r="P774" s="45" t="n">
        <x:v>37000</x:v>
      </x:c>
      <x:c r="Q774" t="str">
        <x:v>Entregue</x:v>
      </x:c>
      <x:c r="R774" t="str">
        <x:v>Chuva/condicao da via</x:v>
      </x:c>
      <x:c r="S774" t="str">
        <x:v>Nao</x:v>
      </x:c>
      <x:c r="T774" t="str">
        <x:v>Nao</x:v>
      </x:c>
    </x:row>
    <x:row r="775" ht="19" customHeight="1">
      <x:c r="A775" t="str">
        <x:v>ENT-00774</x:v>
      </x:c>
      <x:c r="B775" s="41" t="n">
        <x:v>46265</x:v>
      </x:c>
      <x:c r="C775" s="41" t="n">
        <x:v>46267</x:v>
      </x:c>
      <x:c r="D775" s="41" t="n">
        <x:v>46267</x:v>
      </x:c>
      <x:c r="E775" t="str">
        <x:v>Nova Rota Comercial, Lda.</x:v>
      </x:c>
      <x:c r="F775" t="str">
        <x:v>Camama</x:v>
      </x:c>
      <x:c r="G775" t="str">
        <x:v>Carlos Mateus</x:v>
      </x:c>
      <x:c r="H775" t="str">
        <x:v>VTR-10</x:v>
      </x:c>
      <x:c r="I775" t="str">
        <x:v>Foton Aumark</x:v>
      </x:c>
      <x:c r="J775" t="n">
        <x:v>4000</x:v>
      </x:c>
      <x:c r="K775" t="n">
        <x:v>19</x:v>
      </x:c>
      <x:c r="L775" t="n">
        <x:v>19</x:v>
      </x:c>
      <x:c r="M775" t="n">
        <x:v>645.3</x:v>
      </x:c>
      <x:c r="N775" t="n">
        <x:v>22</x:v>
      </x:c>
      <x:c r="O775" s="45" t="n">
        <x:v>331379</x:v>
      </x:c>
      <x:c r="P775" s="45" t="n">
        <x:v>28000</x:v>
      </x:c>
      <x:c r="Q775" t="str">
        <x:v>Entregue</x:v>
      </x:c>
      <x:c r="R775" t="str"/>
      <x:c r="S775" t="str">
        <x:v>Nao</x:v>
      </x:c>
      <x:c r="T775" t="str">
        <x:v>Nao</x:v>
      </x:c>
    </x:row>
    <x:row r="776" ht="19" customHeight="1">
      <x:c r="A776" t="str">
        <x:v>ENT-00775</x:v>
      </x:c>
      <x:c r="B776" s="41" t="n">
        <x:v>46252</x:v>
      </x:c>
      <x:c r="C776" s="41" t="n">
        <x:v>46254</x:v>
      </x:c>
      <x:c r="D776" s="41" t="n">
        <x:v>46254</x:v>
      </x:c>
      <x:c r="E776" t="str">
        <x:v>Mercado Sul, Lda.</x:v>
      </x:c>
      <x:c r="F776" t="str">
        <x:v>Cacuaco</x:v>
      </x:c>
      <x:c r="G776" t="str">
        <x:v>Carlos Mateus</x:v>
      </x:c>
      <x:c r="H776" t="str">
        <x:v>VTR-12</x:v>
      </x:c>
      <x:c r="I776" t="str">
        <x:v>Hyundai H100</x:v>
      </x:c>
      <x:c r="J776" t="n">
        <x:v>1300</x:v>
      </x:c>
      <x:c r="K776" t="n">
        <x:v>51</x:v>
      </x:c>
      <x:c r="L776" t="n">
        <x:v>51</x:v>
      </x:c>
      <x:c r="M776" t="n">
        <x:v>728.2</x:v>
      </x:c>
      <x:c r="N776" t="n">
        <x:v>34</x:v>
      </x:c>
      <x:c r="O776" s="45" t="n">
        <x:v>1137504</x:v>
      </x:c>
      <x:c r="P776" s="45" t="n">
        <x:v>31500</x:v>
      </x:c>
      <x:c r="Q776" t="str">
        <x:v>Entregue</x:v>
      </x:c>
      <x:c r="R776" t="str"/>
      <x:c r="S776" t="str">
        <x:v>Nao</x:v>
      </x:c>
      <x:c r="T776" t="str">
        <x:v>Nao</x:v>
      </x:c>
    </x:row>
    <x:row r="777" ht="19" customHeight="1">
      <x:c r="A777" t="str">
        <x:v>ENT-00776</x:v>
      </x:c>
      <x:c r="B777" s="41" t="n">
        <x:v>46231</x:v>
      </x:c>
      <x:c r="C777" s="41" t="n">
        <x:v>46233</x:v>
      </x:c>
      <x:c r="D777" s="41" t="n">
        <x:v>46233</x:v>
      </x:c>
      <x:c r="E777" t="str">
        <x:v>Mercado Sul, Lda.</x:v>
      </x:c>
      <x:c r="F777" t="str">
        <x:v>Kilamba</x:v>
      </x:c>
      <x:c r="G777" t="str">
        <x:v>Lucas Tomás</x:v>
      </x:c>
      <x:c r="H777" t="str">
        <x:v>VTR-04</x:v>
      </x:c>
      <x:c r="I777" t="str">
        <x:v>Toyota Dyna</x:v>
      </x:c>
      <x:c r="J777" t="n">
        <x:v>3000</x:v>
      </x:c>
      <x:c r="K777" t="n">
        <x:v>18</x:v>
      </x:c>
      <x:c r="L777" t="n">
        <x:v>18</x:v>
      </x:c>
      <x:c r="M777" t="n">
        <x:v>338.2</x:v>
      </x:c>
      <x:c r="N777" t="n">
        <x:v>23</x:v>
      </x:c>
      <x:c r="O777" s="45" t="n">
        <x:v>163944</x:v>
      </x:c>
      <x:c r="P777" s="45" t="n">
        <x:v>20000</x:v>
      </x:c>
      <x:c r="Q777" t="str">
        <x:v>Entregue</x:v>
      </x:c>
      <x:c r="R777" t="str"/>
      <x:c r="S777" t="str">
        <x:v>Nao</x:v>
      </x:c>
      <x:c r="T777" t="str">
        <x:v>Nao</x:v>
      </x:c>
    </x:row>
    <x:row r="778" ht="19" customHeight="1">
      <x:c r="A778" t="str">
        <x:v>ENT-00777</x:v>
      </x:c>
      <x:c r="B778" s="41" t="n">
        <x:v>46232</x:v>
      </x:c>
      <x:c r="C778" s="41" t="n">
        <x:v>46233</x:v>
      </x:c>
      <x:c r="D778" s="41" t="n">
        <x:v>46234</x:v>
      </x:c>
      <x:c r="E778" t="str">
        <x:v>Casa Horizonte, Lda.</x:v>
      </x:c>
      <x:c r="F778" t="str">
        <x:v>Ingombota</x:v>
      </x:c>
      <x:c r="G778" t="str">
        <x:v>Lucas Tomás</x:v>
      </x:c>
      <x:c r="H778" t="str">
        <x:v>VTR-02</x:v>
      </x:c>
      <x:c r="I778" t="str">
        <x:v>Kia K2700</x:v>
      </x:c>
      <x:c r="J778" t="n">
        <x:v>1500</x:v>
      </x:c>
      <x:c r="K778" t="n">
        <x:v>31</x:v>
      </x:c>
      <x:c r="L778" t="n">
        <x:v>31</x:v>
      </x:c>
      <x:c r="M778" t="n">
        <x:v>929.3</x:v>
      </x:c>
      <x:c r="N778" t="n">
        <x:v>12</x:v>
      </x:c>
      <x:c r="O778" s="45" t="n">
        <x:v>411835</x:v>
      </x:c>
      <x:c r="P778" s="45" t="n">
        <x:v>27500</x:v>
      </x:c>
      <x:c r="Q778" t="str">
        <x:v>Entregue</x:v>
      </x:c>
      <x:c r="R778" t="str">
        <x:v>Transito intenso</x:v>
      </x:c>
      <x:c r="S778" t="str">
        <x:v>Nao</x:v>
      </x:c>
      <x:c r="T778" t="str">
        <x:v>Nao</x:v>
      </x:c>
    </x:row>
    <x:row r="779" ht="19" customHeight="1">
      <x:c r="A779" t="str">
        <x:v>ENT-00778</x:v>
      </x:c>
      <x:c r="B779" s="41" t="n">
        <x:v>46239</x:v>
      </x:c>
      <x:c r="C779" s="41" t="n">
        <x:v>46240</x:v>
      </x:c>
      <x:c r="D779" s="41" t="n">
        <x:v>46243</x:v>
      </x:c>
      <x:c r="E779" t="str">
        <x:v>Maxi Centro, Lda.</x:v>
      </x:c>
      <x:c r="F779" t="str">
        <x:v>Maianga</x:v>
      </x:c>
      <x:c r="G779" t="str">
        <x:v>Gilberto José</x:v>
      </x:c>
      <x:c r="H779" t="str">
        <x:v>VTR-11</x:v>
      </x:c>
      <x:c r="I779" t="str">
        <x:v>JAC N56</x:v>
      </x:c>
      <x:c r="J779" t="n">
        <x:v>3500</x:v>
      </x:c>
      <x:c r="K779" t="n">
        <x:v>21</x:v>
      </x:c>
      <x:c r="L779" t="n">
        <x:v>21</x:v>
      </x:c>
      <x:c r="M779" t="n">
        <x:v>298.7</x:v>
      </x:c>
      <x:c r="N779" t="n">
        <x:v>15</x:v>
      </x:c>
      <x:c r="O779" s="45" t="n">
        <x:v>362208</x:v>
      </x:c>
      <x:c r="P779" s="45" t="n">
        <x:v>19000</x:v>
      </x:c>
      <x:c r="Q779" t="str">
        <x:v>Entregue</x:v>
      </x:c>
      <x:c r="R779" t="str">
        <x:v>Transito intenso</x:v>
      </x:c>
      <x:c r="S779" t="str">
        <x:v>Nao</x:v>
      </x:c>
      <x:c r="T779" t="str">
        <x:v>Nao</x:v>
      </x:c>
    </x:row>
    <x:row r="780" ht="19" customHeight="1">
      <x:c r="A780" t="str">
        <x:v>ENT-00779</x:v>
      </x:c>
      <x:c r="B780" s="41" t="n">
        <x:v>46240</x:v>
      </x:c>
      <x:c r="C780" s="41" t="n">
        <x:v>46242</x:v>
      </x:c>
      <x:c r="D780" s="41" t="n">
        <x:v>46242</x:v>
      </x:c>
      <x:c r="E780" t="str">
        <x:v>Atlântico Farma, Lda.</x:v>
      </x:c>
      <x:c r="F780" t="str">
        <x:v>Talatona</x:v>
      </x:c>
      <x:c r="G780" t="str">
        <x:v>Hélder Miguel</x:v>
      </x:c>
      <x:c r="H780" t="str">
        <x:v>VTR-02</x:v>
      </x:c>
      <x:c r="I780" t="str">
        <x:v>Kia K2700</x:v>
      </x:c>
      <x:c r="J780" t="n">
        <x:v>1500</x:v>
      </x:c>
      <x:c r="K780" t="n">
        <x:v>44</x:v>
      </x:c>
      <x:c r="L780" t="n">
        <x:v>44</x:v>
      </x:c>
      <x:c r="M780" t="n">
        <x:v>372.8</x:v>
      </x:c>
      <x:c r="N780" t="n">
        <x:v>26</x:v>
      </x:c>
      <x:c r="O780" s="45" t="n">
        <x:v>644468</x:v>
      </x:c>
      <x:c r="P780" s="45" t="n">
        <x:v>22500</x:v>
      </x:c>
      <x:c r="Q780" t="str">
        <x:v>Entregue</x:v>
      </x:c>
      <x:c r="R780" t="str"/>
      <x:c r="S780" t="str">
        <x:v>Nao</x:v>
      </x:c>
      <x:c r="T780" t="str">
        <x:v>Nao</x:v>
      </x:c>
    </x:row>
    <x:row r="781" ht="19" customHeight="1">
      <x:c r="A781" t="str">
        <x:v>ENT-00780</x:v>
      </x:c>
      <x:c r="B781" s="41" t="n">
        <x:v>46207</x:v>
      </x:c>
      <x:c r="C781" s="41" t="n">
        <x:v>46210</x:v>
      </x:c>
      <x:c r="D781" s="41"/>
      <x:c r="E781" t="str">
        <x:v>Mercado Sul, Lda.</x:v>
      </x:c>
      <x:c r="F781" t="str">
        <x:v>Benfica</x:v>
      </x:c>
      <x:c r="G781" t="str">
        <x:v>Adriano Manuel</x:v>
      </x:c>
      <x:c r="H781" t="str">
        <x:v>VTR-09</x:v>
      </x:c>
      <x:c r="I781" t="str">
        <x:v>Toyota Hilux</x:v>
      </x:c>
      <x:c r="J781" t="n">
        <x:v>1000</x:v>
      </x:c>
      <x:c r="K781" t="n">
        <x:v>63</x:v>
      </x:c>
      <x:c r="L781" t="n">
        <x:v>0</x:v>
      </x:c>
      <x:c r="M781" t="n">
        <x:v>929.5</x:v>
      </x:c>
      <x:c r="N781" t="n">
        <x:v>43</x:v>
      </x:c>
      <x:c r="O781" s="45" t="n">
        <x:v>1247778</x:v>
      </x:c>
      <x:c r="P781" s="45" t="n">
        <x:v>38000</x:v>
      </x:c>
      <x:c r="Q781" t="str">
        <x:v>Cancelada</x:v>
      </x:c>
      <x:c r="R781" t="str">
        <x:v>Cancelamento do cliente</x:v>
      </x:c>
      <x:c r="S781" t="str">
        <x:v>Nao</x:v>
      </x:c>
      <x:c r="T781" t="str">
        <x:v>Nao</x:v>
      </x:c>
    </x:row>
    <x:row r="782" ht="19" customHeight="1">
      <x:c r="A782" t="str">
        <x:v>ENT-00781</x:v>
      </x:c>
      <x:c r="B782" s="41" t="n">
        <x:v>46244</x:v>
      </x:c>
      <x:c r="C782" s="41" t="n">
        <x:v>46246</x:v>
      </x:c>
      <x:c r="D782" s="41" t="n">
        <x:v>46248</x:v>
      </x:c>
      <x:c r="E782" t="str">
        <x:v>Sol Nascente Comércio, Lda.</x:v>
      </x:c>
      <x:c r="F782" t="str">
        <x:v>Kilamba</x:v>
      </x:c>
      <x:c r="G782" t="str">
        <x:v>Félix Domingos</x:v>
      </x:c>
      <x:c r="H782" t="str">
        <x:v>VTR-10</x:v>
      </x:c>
      <x:c r="I782" t="str">
        <x:v>Foton Aumark</x:v>
      </x:c>
      <x:c r="J782" t="n">
        <x:v>4000</x:v>
      </x:c>
      <x:c r="K782" t="n">
        <x:v>58</x:v>
      </x:c>
      <x:c r="L782" t="n">
        <x:v>58</x:v>
      </x:c>
      <x:c r="M782" t="n">
        <x:v>1888.3</x:v>
      </x:c>
      <x:c r="N782" t="n">
        <x:v>25</x:v>
      </x:c>
      <x:c r="O782" s="45" t="n">
        <x:v>447180</x:v>
      </x:c>
      <x:c r="P782" s="45" t="n">
        <x:v>49000</x:v>
      </x:c>
      <x:c r="Q782" t="str">
        <x:v>Entregue</x:v>
      </x:c>
      <x:c r="R782" t="str">
        <x:v>Avaria da viatura</x:v>
      </x:c>
      <x:c r="S782" t="str">
        <x:v>Nao</x:v>
      </x:c>
      <x:c r="T782" t="str">
        <x:v>Nao</x:v>
      </x:c>
    </x:row>
    <x:row r="783" ht="19" customHeight="1">
      <x:c r="A783" t="str">
        <x:v>ENT-00782</x:v>
      </x:c>
      <x:c r="B783" s="41" t="n">
        <x:v>46224</x:v>
      </x:c>
      <x:c r="C783" s="41" t="n">
        <x:v>46225</x:v>
      </x:c>
      <x:c r="D783" s="41" t="n">
        <x:v>46226</x:v>
      </x:c>
      <x:c r="E783" t="str">
        <x:v>N'gola Market, Lda.</x:v>
      </x:c>
      <x:c r="F783" t="str">
        <x:v>Maianga</x:v>
      </x:c>
      <x:c r="G783" t="str">
        <x:v>Félix Domingos</x:v>
      </x:c>
      <x:c r="H783" t="str">
        <x:v>VTR-03</x:v>
      </x:c>
      <x:c r="I783" t="str">
        <x:v>Toyota Dyna</x:v>
      </x:c>
      <x:c r="J783" t="n">
        <x:v>3000</x:v>
      </x:c>
      <x:c r="K783" t="n">
        <x:v>11</x:v>
      </x:c>
      <x:c r="L783" t="n">
        <x:v>11</x:v>
      </x:c>
      <x:c r="M783" t="n">
        <x:v>375.9</x:v>
      </x:c>
      <x:c r="N783" t="n">
        <x:v>19</x:v>
      </x:c>
      <x:c r="O783" s="45" t="n">
        <x:v>54835</x:v>
      </x:c>
      <x:c r="P783" s="45" t="n">
        <x:v>20500</x:v>
      </x:c>
      <x:c r="Q783" t="str">
        <x:v>Entregue</x:v>
      </x:c>
      <x:c r="R783" t="str">
        <x:v>Chuva/condicao da via</x:v>
      </x:c>
      <x:c r="S783" t="str">
        <x:v>Nao</x:v>
      </x:c>
      <x:c r="T783" t="str">
        <x:v>Nao</x:v>
      </x:c>
    </x:row>
    <x:row r="784" ht="19" customHeight="1">
      <x:c r="A784" t="str">
        <x:v>ENT-00783</x:v>
      </x:c>
      <x:c r="B784" s="41" t="n">
        <x:v>46248</x:v>
      </x:c>
      <x:c r="C784" s="41" t="n">
        <x:v>46250</x:v>
      </x:c>
      <x:c r="D784" s="41" t="n">
        <x:v>46250</x:v>
      </x:c>
      <x:c r="E784" t="str">
        <x:v>Mercado Sul, Lda.</x:v>
      </x:c>
      <x:c r="F784" t="str">
        <x:v>Viana</x:v>
      </x:c>
      <x:c r="G784" t="str">
        <x:v>Bernardo Paulo</x:v>
      </x:c>
      <x:c r="H784" t="str">
        <x:v>VTR-03</x:v>
      </x:c>
      <x:c r="I784" t="str">
        <x:v>Toyota Dyna</x:v>
      </x:c>
      <x:c r="J784" t="n">
        <x:v>3000</x:v>
      </x:c>
      <x:c r="K784" t="n">
        <x:v>59</x:v>
      </x:c>
      <x:c r="L784" t="n">
        <x:v>59</x:v>
      </x:c>
      <x:c r="M784" t="n">
        <x:v>1538.4</x:v>
      </x:c>
      <x:c r="N784" t="n">
        <x:v>24</x:v>
      </x:c>
      <x:c r="O784" s="45" t="n">
        <x:v>237357</x:v>
      </x:c>
      <x:c r="P784" s="45" t="n">
        <x:v>48500</x:v>
      </x:c>
      <x:c r="Q784" t="str">
        <x:v>Entregue</x:v>
      </x:c>
      <x:c r="R784" t="str"/>
      <x:c r="S784" t="str">
        <x:v>Nao</x:v>
      </x:c>
      <x:c r="T784" t="str">
        <x:v>Nao</x:v>
      </x:c>
    </x:row>
    <x:row r="785" ht="19" customHeight="1">
      <x:c r="A785" t="str">
        <x:v>ENT-00784</x:v>
      </x:c>
      <x:c r="B785" s="41" t="n">
        <x:v>46260</x:v>
      </x:c>
      <x:c r="C785" s="41" t="n">
        <x:v>46261</x:v>
      </x:c>
      <x:c r="D785" s="41" t="n">
        <x:v>46261</x:v>
      </x:c>
      <x:c r="E785" t="str">
        <x:v>Nova Rota Comercial, Lda.</x:v>
      </x:c>
      <x:c r="F785" t="str">
        <x:v>Maianga</x:v>
      </x:c>
      <x:c r="G785" t="str">
        <x:v>Hélder Miguel</x:v>
      </x:c>
      <x:c r="H785" t="str">
        <x:v>VTR-10</x:v>
      </x:c>
      <x:c r="I785" t="str">
        <x:v>Foton Aumark</x:v>
      </x:c>
      <x:c r="J785" t="n">
        <x:v>4000</x:v>
      </x:c>
      <x:c r="K785" t="n">
        <x:v>20</x:v>
      </x:c>
      <x:c r="L785" t="n">
        <x:v>20</x:v>
      </x:c>
      <x:c r="M785" t="n">
        <x:v>228.5</x:v>
      </x:c>
      <x:c r="N785" t="n">
        <x:v>12</x:v>
      </x:c>
      <x:c r="O785" s="45" t="n">
        <x:v>143700</x:v>
      </x:c>
      <x:c r="P785" s="45" t="n">
        <x:v>15500</x:v>
      </x:c>
      <x:c r="Q785" t="str">
        <x:v>Entregue</x:v>
      </x:c>
      <x:c r="R785" t="str"/>
      <x:c r="S785" t="str">
        <x:v>Nao</x:v>
      </x:c>
      <x:c r="T785" t="str">
        <x:v>Nao</x:v>
      </x:c>
    </x:row>
    <x:row r="786" ht="19" customHeight="1">
      <x:c r="A786" t="str">
        <x:v>ENT-00785</x:v>
      </x:c>
      <x:c r="B786" s="41" t="n">
        <x:v>46232</x:v>
      </x:c>
      <x:c r="C786" s="41" t="n">
        <x:v>46233</x:v>
      </x:c>
      <x:c r="D786" s="41" t="n">
        <x:v>46233</x:v>
      </x:c>
      <x:c r="E786" t="str">
        <x:v>Sol Nascente Comércio, Lda.</x:v>
      </x:c>
      <x:c r="F786" t="str">
        <x:v>Morro Bento</x:v>
      </x:c>
      <x:c r="G786" t="str">
        <x:v>Carlos Mateus</x:v>
      </x:c>
      <x:c r="H786" t="str">
        <x:v>VTR-12</x:v>
      </x:c>
      <x:c r="I786" t="str">
        <x:v>Hyundai H100</x:v>
      </x:c>
      <x:c r="J786" t="n">
        <x:v>1300</x:v>
      </x:c>
      <x:c r="K786" t="n">
        <x:v>33</x:v>
      </x:c>
      <x:c r="L786" t="n">
        <x:v>33</x:v>
      </x:c>
      <x:c r="M786" t="n">
        <x:v>790.7</x:v>
      </x:c>
      <x:c r="N786" t="n">
        <x:v>18</x:v>
      </x:c>
      <x:c r="O786" s="45" t="n">
        <x:v>196020</x:v>
      </x:c>
      <x:c r="P786" s="45" t="n">
        <x:v>26000</x:v>
      </x:c>
      <x:c r="Q786" t="str">
        <x:v>Entregue</x:v>
      </x:c>
      <x:c r="R786" t="str"/>
      <x:c r="S786" t="str">
        <x:v>Sim</x:v>
      </x:c>
      <x:c r="T786" t="str">
        <x:v>Nao</x:v>
      </x:c>
    </x:row>
    <x:row r="787" ht="19" customHeight="1">
      <x:c r="A787" t="str">
        <x:v>ENT-00786</x:v>
      </x:c>
      <x:c r="B787" s="41" t="n">
        <x:v>46245</x:v>
      </x:c>
      <x:c r="C787" s="41" t="n">
        <x:v>46247</x:v>
      </x:c>
      <x:c r="D787" s="41" t="n">
        <x:v>46247</x:v>
      </x:c>
      <x:c r="E787" t="str">
        <x:v>Cesta Certa, Lda.</x:v>
      </x:c>
      <x:c r="F787" t="str">
        <x:v>Talatona</x:v>
      </x:c>
      <x:c r="G787" t="str">
        <x:v>Carlos Mateus</x:v>
      </x:c>
      <x:c r="H787" t="str">
        <x:v>VTR-10</x:v>
      </x:c>
      <x:c r="I787" t="str">
        <x:v>Foton Aumark</x:v>
      </x:c>
      <x:c r="J787" t="n">
        <x:v>4000</x:v>
      </x:c>
      <x:c r="K787" t="n">
        <x:v>5</x:v>
      </x:c>
      <x:c r="L787" t="n">
        <x:v>5</x:v>
      </x:c>
      <x:c r="M787" t="n">
        <x:v>139.3</x:v>
      </x:c>
      <x:c r="N787" t="n">
        <x:v>24</x:v>
      </x:c>
      <x:c r="O787" s="45" t="n">
        <x:v>76595</x:v>
      </x:c>
      <x:c r="P787" s="45" t="n">
        <x:v>20500</x:v>
      </x:c>
      <x:c r="Q787" t="str">
        <x:v>Entregue</x:v>
      </x:c>
      <x:c r="R787" t="str"/>
      <x:c r="S787" t="str">
        <x:v>Nao</x:v>
      </x:c>
      <x:c r="T787" t="str">
        <x:v>Nao</x:v>
      </x:c>
    </x:row>
    <x:row r="788" ht="19" customHeight="1">
      <x:c r="A788" t="str">
        <x:v>ENT-00787</x:v>
      </x:c>
      <x:c r="B788" s="41" t="n">
        <x:v>46209</x:v>
      </x:c>
      <x:c r="C788" s="41" t="n">
        <x:v>46212</x:v>
      </x:c>
      <x:c r="D788" s="41" t="n">
        <x:v>46212</x:v>
      </x:c>
      <x:c r="E788" t="str">
        <x:v>Rota Azul, Lda.</x:v>
      </x:c>
      <x:c r="F788" t="str">
        <x:v>Cacuaco</x:v>
      </x:c>
      <x:c r="G788" t="str">
        <x:v>Bernardo Paulo</x:v>
      </x:c>
      <x:c r="H788" t="str">
        <x:v>VTR-04</x:v>
      </x:c>
      <x:c r="I788" t="str">
        <x:v>Toyota Dyna</x:v>
      </x:c>
      <x:c r="J788" t="n">
        <x:v>3000</x:v>
      </x:c>
      <x:c r="K788" t="n">
        <x:v>71</x:v>
      </x:c>
      <x:c r="L788" t="n">
        <x:v>71</x:v>
      </x:c>
      <x:c r="M788" t="n">
        <x:v>799.3</x:v>
      </x:c>
      <x:c r="N788" t="n">
        <x:v>43</x:v>
      </x:c>
      <x:c r="O788" s="45" t="n">
        <x:v>989101</x:v>
      </x:c>
      <x:c r="P788" s="45" t="n">
        <x:v>41500</x:v>
      </x:c>
      <x:c r="Q788" t="str">
        <x:v>Entregue</x:v>
      </x:c>
      <x:c r="R788" t="str"/>
      <x:c r="S788" t="str">
        <x:v>Nao</x:v>
      </x:c>
      <x:c r="T788" t="str">
        <x:v>Nao</x:v>
      </x:c>
    </x:row>
    <x:row r="789" ht="19" customHeight="1">
      <x:c r="A789" t="str">
        <x:v>ENT-00788</x:v>
      </x:c>
      <x:c r="B789" s="41" t="n">
        <x:v>46260</x:v>
      </x:c>
      <x:c r="C789" s="41" t="n">
        <x:v>46262</x:v>
      </x:c>
      <x:c r="D789" s="41" t="n">
        <x:v>46262</x:v>
      </x:c>
      <x:c r="E789" t="str">
        <x:v>Ponto Logístico, Lda.</x:v>
      </x:c>
      <x:c r="F789" t="str">
        <x:v>Talatona</x:v>
      </x:c>
      <x:c r="G789" t="str">
        <x:v>Kito Alberto</x:v>
      </x:c>
      <x:c r="H789" t="str">
        <x:v>VTR-12</x:v>
      </x:c>
      <x:c r="I789" t="str">
        <x:v>Hyundai H100</x:v>
      </x:c>
      <x:c r="J789" t="n">
        <x:v>1300</x:v>
      </x:c>
      <x:c r="K789" t="n">
        <x:v>14</x:v>
      </x:c>
      <x:c r="L789" t="n">
        <x:v>14</x:v>
      </x:c>
      <x:c r="M789" t="n">
        <x:v>304.6</x:v>
      </x:c>
      <x:c r="N789" t="n">
        <x:v>35</x:v>
      </x:c>
      <x:c r="O789" s="45" t="n">
        <x:v>193270</x:v>
      </x:c>
      <x:c r="P789" s="45" t="n">
        <x:v>29500</x:v>
      </x:c>
      <x:c r="Q789" t="str">
        <x:v>Entregue</x:v>
      </x:c>
      <x:c r="R789" t="str"/>
      <x:c r="S789" t="str">
        <x:v>Nao</x:v>
      </x:c>
      <x:c r="T789" t="str">
        <x:v>Nao</x:v>
      </x:c>
    </x:row>
    <x:row r="790" ht="19" customHeight="1">
      <x:c r="A790" t="str">
        <x:v>ENT-00789</x:v>
      </x:c>
      <x:c r="B790" s="41" t="n">
        <x:v>46223</x:v>
      </x:c>
      <x:c r="C790" s="41" t="n">
        <x:v>46226</x:v>
      </x:c>
      <x:c r="D790" s="41" t="n">
        <x:v>46229</x:v>
      </x:c>
      <x:c r="E790" t="str">
        <x:v>Kiala &amp; Filhos, Lda.</x:v>
      </x:c>
      <x:c r="F790" t="str">
        <x:v>Sequele</x:v>
      </x:c>
      <x:c r="G790" t="str">
        <x:v>Kito Alberto</x:v>
      </x:c>
      <x:c r="H790" t="str">
        <x:v>VTR-07</x:v>
      </x:c>
      <x:c r="I790" t="str">
        <x:v>Isuzu NPR</x:v>
      </x:c>
      <x:c r="J790" t="n">
        <x:v>5000</x:v>
      </x:c>
      <x:c r="K790" t="n">
        <x:v>85</x:v>
      </x:c>
      <x:c r="L790" t="n">
        <x:v>0</x:v>
      </x:c>
      <x:c r="M790" t="n">
        <x:v>1383</x:v>
      </x:c>
      <x:c r="N790" t="n">
        <x:v>52</x:v>
      </x:c>
      <x:c r="O790" s="45" t="n">
        <x:v>1357025</x:v>
      </x:c>
      <x:c r="P790" s="45" t="n">
        <x:v>57000</x:v>
      </x:c>
      <x:c r="Q790" t="str">
        <x:v>Falhada</x:v>
      </x:c>
      <x:c r="R790" t="str">
        <x:v>Endereco incompleto</x:v>
      </x:c>
      <x:c r="S790" t="str">
        <x:v>Nao</x:v>
      </x:c>
      <x:c r="T790" t="str">
        <x:v>Nao</x:v>
      </x:c>
    </x:row>
    <x:row r="791" ht="19" customHeight="1">
      <x:c r="A791" t="str">
        <x:v>ENT-00790</x:v>
      </x:c>
      <x:c r="B791" s="41" t="n">
        <x:v>46233</x:v>
      </x:c>
      <x:c r="C791" s="41" t="n">
        <x:v>46235</x:v>
      </x:c>
      <x:c r="D791" s="41" t="n">
        <x:v>46238</x:v>
      </x:c>
      <x:c r="E791" t="str">
        <x:v>Ponto Logístico, Lda.</x:v>
      </x:c>
      <x:c r="F791" t="str">
        <x:v>Morro Bento</x:v>
      </x:c>
      <x:c r="G791" t="str">
        <x:v>Bernardo Paulo</x:v>
      </x:c>
      <x:c r="H791" t="str">
        <x:v>VTR-08</x:v>
      </x:c>
      <x:c r="I791" t="str">
        <x:v>Toyota Hilux</x:v>
      </x:c>
      <x:c r="J791" t="n">
        <x:v>1000</x:v>
      </x:c>
      <x:c r="K791" t="n">
        <x:v>87</x:v>
      </x:c>
      <x:c r="L791" t="n">
        <x:v>87</x:v>
      </x:c>
      <x:c r="M791" t="n">
        <x:v>819</x:v>
      </x:c>
      <x:c r="N791" t="n">
        <x:v>23</x:v>
      </x:c>
      <x:c r="O791" s="45" t="n">
        <x:v>2185179</x:v>
      </x:c>
      <x:c r="P791" s="45" t="n">
        <x:v>34000</x:v>
      </x:c>
      <x:c r="Q791" t="str">
        <x:v>Entregue</x:v>
      </x:c>
      <x:c r="R791" t="str">
        <x:v>Chuva/condicao da via</x:v>
      </x:c>
      <x:c r="S791" t="str">
        <x:v>Nao</x:v>
      </x:c>
      <x:c r="T791" t="str">
        <x:v>Nao</x:v>
      </x:c>
    </x:row>
    <x:row r="792" ht="19" customHeight="1">
      <x:c r="A792" t="str">
        <x:v>ENT-00791</x:v>
      </x:c>
      <x:c r="B792" s="41" t="n">
        <x:v>46220</x:v>
      </x:c>
      <x:c r="C792" s="41" t="n">
        <x:v>46222</x:v>
      </x:c>
      <x:c r="D792" s="41" t="n">
        <x:v>46222</x:v>
      </x:c>
      <x:c r="E792" t="str">
        <x:v>Savana Retail, Lda.</x:v>
      </x:c>
      <x:c r="F792" t="str">
        <x:v>Viana</x:v>
      </x:c>
      <x:c r="G792" t="str">
        <x:v>Isaías Pedro</x:v>
      </x:c>
      <x:c r="H792" t="str">
        <x:v>VTR-09</x:v>
      </x:c>
      <x:c r="I792" t="str">
        <x:v>Toyota Hilux</x:v>
      </x:c>
      <x:c r="J792" t="n">
        <x:v>1000</x:v>
      </x:c>
      <x:c r="K792" t="n">
        <x:v>82</x:v>
      </x:c>
      <x:c r="L792" t="n">
        <x:v>82</x:v>
      </x:c>
      <x:c r="M792" t="n">
        <x:v>584</x:v>
      </x:c>
      <x:c r="N792" t="n">
        <x:v>35</x:v>
      </x:c>
      <x:c r="O792" s="45" t="n">
        <x:v>1339634</x:v>
      </x:c>
      <x:c r="P792" s="45" t="n">
        <x:v>31000</x:v>
      </x:c>
      <x:c r="Q792" t="str">
        <x:v>Entregue</x:v>
      </x:c>
      <x:c r="R792" t="str"/>
      <x:c r="S792" t="str">
        <x:v>Nao</x:v>
      </x:c>
      <x:c r="T792" t="str">
        <x:v>Nao</x:v>
      </x:c>
    </x:row>
    <x:row r="793" ht="19" customHeight="1">
      <x:c r="A793" t="str">
        <x:v>ENT-00792</x:v>
      </x:c>
      <x:c r="B793" s="41" t="n">
        <x:v>46247</x:v>
      </x:c>
      <x:c r="C793" s="41" t="n">
        <x:v>46249</x:v>
      </x:c>
      <x:c r="D793" s="41" t="n">
        <x:v>46249</x:v>
      </x:c>
      <x:c r="E793" t="str">
        <x:v>Mundo Fresco, Lda.</x:v>
      </x:c>
      <x:c r="F793" t="str">
        <x:v>Benfica</x:v>
      </x:c>
      <x:c r="G793" t="str">
        <x:v>Kito Alberto</x:v>
      </x:c>
      <x:c r="H793" t="str">
        <x:v>VTR-04</x:v>
      </x:c>
      <x:c r="I793" t="str">
        <x:v>Toyota Dyna</x:v>
      </x:c>
      <x:c r="J793" t="n">
        <x:v>3000</x:v>
      </x:c>
      <x:c r="K793" t="n">
        <x:v>78</x:v>
      </x:c>
      <x:c r="L793" t="n">
        <x:v>78</x:v>
      </x:c>
      <x:c r="M793" t="n">
        <x:v>2612.4</x:v>
      </x:c>
      <x:c r="N793" t="n">
        <x:v>35</x:v>
      </x:c>
      <x:c r="O793" s="45" t="n">
        <x:v>1472718</x:v>
      </x:c>
      <x:c r="P793" s="45" t="n">
        <x:v>74000</x:v>
      </x:c>
      <x:c r="Q793" t="str">
        <x:v>Entregue</x:v>
      </x:c>
      <x:c r="R793" t="str"/>
      <x:c r="S793" t="str">
        <x:v>Nao</x:v>
      </x:c>
      <x:c r="T793" t="str">
        <x:v>Nao</x:v>
      </x:c>
    </x:row>
    <x:row r="794" ht="19" customHeight="1">
      <x:c r="A794" t="str">
        <x:v>ENT-00793</x:v>
      </x:c>
      <x:c r="B794" s="41" t="n">
        <x:v>46244</x:v>
      </x:c>
      <x:c r="C794" s="41" t="n">
        <x:v>46246</x:v>
      </x:c>
      <x:c r="D794" s="41" t="n">
        <x:v>46246</x:v>
      </x:c>
      <x:c r="E794" t="str">
        <x:v>Casa Horizonte, Lda.</x:v>
      </x:c>
      <x:c r="F794" t="str">
        <x:v>Camama</x:v>
      </x:c>
      <x:c r="G794" t="str">
        <x:v>Gilberto José</x:v>
      </x:c>
      <x:c r="H794" t="str">
        <x:v>VTR-07</x:v>
      </x:c>
      <x:c r="I794" t="str">
        <x:v>Isuzu NPR</x:v>
      </x:c>
      <x:c r="J794" t="n">
        <x:v>5000</x:v>
      </x:c>
      <x:c r="K794" t="n">
        <x:v>11</x:v>
      </x:c>
      <x:c r="L794" t="n">
        <x:v>11</x:v>
      </x:c>
      <x:c r="M794" t="n">
        <x:v>215.6</x:v>
      </x:c>
      <x:c r="N794" t="n">
        <x:v>21</x:v>
      </x:c>
      <x:c r="O794" s="45" t="n">
        <x:v>233915</x:v>
      </x:c>
      <x:c r="P794" s="45" t="n">
        <x:v>21000</x:v>
      </x:c>
      <x:c r="Q794" t="str">
        <x:v>Entregue</x:v>
      </x:c>
      <x:c r="R794" t="str"/>
      <x:c r="S794" t="str">
        <x:v>Nao</x:v>
      </x:c>
      <x:c r="T794" t="str">
        <x:v>Nao</x:v>
      </x:c>
    </x:row>
    <x:row r="795" ht="19" customHeight="1">
      <x:c r="A795" t="str">
        <x:v>ENT-00794</x:v>
      </x:c>
      <x:c r="B795" s="41" t="n">
        <x:v>46227</x:v>
      </x:c>
      <x:c r="C795" s="41" t="n">
        <x:v>46229</x:v>
      </x:c>
      <x:c r="D795" s="41" t="n">
        <x:v>46229</x:v>
      </x:c>
      <x:c r="E795" t="str">
        <x:v>Prime Stock, Lda.</x:v>
      </x:c>
      <x:c r="F795" t="str">
        <x:v>Kikuxi</x:v>
      </x:c>
      <x:c r="G795" t="str">
        <x:v>Bernardo Paulo</x:v>
      </x:c>
      <x:c r="H795" t="str">
        <x:v>VTR-03</x:v>
      </x:c>
      <x:c r="I795" t="str">
        <x:v>Toyota Dyna</x:v>
      </x:c>
      <x:c r="J795" t="n">
        <x:v>3000</x:v>
      </x:c>
      <x:c r="K795" t="n">
        <x:v>48</x:v>
      </x:c>
      <x:c r="L795" t="n">
        <x:v>48</x:v>
      </x:c>
      <x:c r="M795" t="n">
        <x:v>1658</x:v>
      </x:c>
      <x:c r="N795" t="n">
        <x:v>31</x:v>
      </x:c>
      <x:c r="O795" s="45" t="n">
        <x:v>731088</x:v>
      </x:c>
      <x:c r="P795" s="45" t="n">
        <x:v>49000</x:v>
      </x:c>
      <x:c r="Q795" t="str">
        <x:v>Entregue</x:v>
      </x:c>
      <x:c r="R795" t="str"/>
      <x:c r="S795" t="str">
        <x:v>Nao</x:v>
      </x:c>
      <x:c r="T795" t="str">
        <x:v>Nao</x:v>
      </x:c>
    </x:row>
    <x:row r="796" ht="19" customHeight="1">
      <x:c r="A796" t="str">
        <x:v>ENT-00795</x:v>
      </x:c>
      <x:c r="B796" s="41" t="n">
        <x:v>46260</x:v>
      </x:c>
      <x:c r="C796" s="41" t="n">
        <x:v>46261</x:v>
      </x:c>
      <x:c r="D796" s="41" t="n">
        <x:v>46261</x:v>
      </x:c>
      <x:c r="E796" t="str">
        <x:v>Via Certa Serviços, Lda.</x:v>
      </x:c>
      <x:c r="F796" t="str">
        <x:v>Ingombota</x:v>
      </x:c>
      <x:c r="G796" t="str">
        <x:v>Elísio António</x:v>
      </x:c>
      <x:c r="H796" t="str">
        <x:v>VTR-07</x:v>
      </x:c>
      <x:c r="I796" t="str">
        <x:v>Isuzu NPR</x:v>
      </x:c>
      <x:c r="J796" t="n">
        <x:v>5000</x:v>
      </x:c>
      <x:c r="K796" t="n">
        <x:v>7</x:v>
      </x:c>
      <x:c r="L796" t="n">
        <x:v>7</x:v>
      </x:c>
      <x:c r="M796" t="n">
        <x:v>202.4</x:v>
      </x:c>
      <x:c r="N796" t="n">
        <x:v>8</x:v>
      </x:c>
      <x:c r="O796" s="45" t="n">
        <x:v>146104</x:v>
      </x:c>
      <x:c r="P796" s="45" t="n">
        <x:v>14000</x:v>
      </x:c>
      <x:c r="Q796" t="str">
        <x:v>Entregue</x:v>
      </x:c>
      <x:c r="R796" t="str"/>
      <x:c r="S796" t="str">
        <x:v>Nao</x:v>
      </x:c>
      <x:c r="T796" t="str">
        <x:v>Nao</x:v>
      </x:c>
    </x:row>
    <x:row r="797" ht="19" customHeight="1">
      <x:c r="A797" t="str">
        <x:v>ENT-00796</x:v>
      </x:c>
      <x:c r="B797" s="41" t="n">
        <x:v>46236</x:v>
      </x:c>
      <x:c r="C797" s="41" t="n">
        <x:v>46238</x:v>
      </x:c>
      <x:c r="D797" s="41" t="n">
        <x:v>46238</x:v>
      </x:c>
      <x:c r="E797" t="str">
        <x:v>Kwanza Distribuição, Lda.</x:v>
      </x:c>
      <x:c r="F797" t="str">
        <x:v>Viana</x:v>
      </x:c>
      <x:c r="G797" t="str">
        <x:v>Lucas Tomás</x:v>
      </x:c>
      <x:c r="H797" t="str">
        <x:v>VTR-07</x:v>
      </x:c>
      <x:c r="I797" t="str">
        <x:v>Isuzu NPR</x:v>
      </x:c>
      <x:c r="J797" t="n">
        <x:v>5000</x:v>
      </x:c>
      <x:c r="K797" t="n">
        <x:v>32</x:v>
      </x:c>
      <x:c r="L797" t="n">
        <x:v>32</x:v>
      </x:c>
      <x:c r="M797" t="n">
        <x:v>919.3</x:v>
      </x:c>
      <x:c r="N797" t="n">
        <x:v>24</x:v>
      </x:c>
      <x:c r="O797" s="45" t="n">
        <x:v>346848</x:v>
      </x:c>
      <x:c r="P797" s="45" t="n">
        <x:v>36500</x:v>
      </x:c>
      <x:c r="Q797" t="str">
        <x:v>Entregue</x:v>
      </x:c>
      <x:c r="R797" t="str"/>
      <x:c r="S797" t="str">
        <x:v>Nao</x:v>
      </x:c>
      <x:c r="T797" t="str">
        <x:v>Nao</x:v>
      </x:c>
    </x:row>
    <x:row r="798" ht="19" customHeight="1">
      <x:c r="A798" t="str">
        <x:v>ENT-00797</x:v>
      </x:c>
      <x:c r="B798" s="41" t="n">
        <x:v>46234</x:v>
      </x:c>
      <x:c r="C798" s="41" t="n">
        <x:v>46236</x:v>
      </x:c>
      <x:c r="D798" s="41" t="n">
        <x:v>46236</x:v>
      </x:c>
      <x:c r="E798" t="str">
        <x:v>Cesta Certa, Lda.</x:v>
      </x:c>
      <x:c r="F798" t="str">
        <x:v>Morro Bento</x:v>
      </x:c>
      <x:c r="G798" t="str">
        <x:v>Dário Joaquim</x:v>
      </x:c>
      <x:c r="H798" t="str">
        <x:v>VTR-05</x:v>
      </x:c>
      <x:c r="I798" t="str">
        <x:v>Hyundai HD65</x:v>
      </x:c>
      <x:c r="J798" t="n">
        <x:v>3500</x:v>
      </x:c>
      <x:c r="K798" t="n">
        <x:v>75</x:v>
      </x:c>
      <x:c r="L798" t="n">
        <x:v>75</x:v>
      </x:c>
      <x:c r="M798" t="n">
        <x:v>1803.4</x:v>
      </x:c>
      <x:c r="N798" t="n">
        <x:v>28</x:v>
      </x:c>
      <x:c r="O798" s="45" t="n">
        <x:v>1264200</x:v>
      </x:c>
      <x:c r="P798" s="45" t="n">
        <x:v>51000</x:v>
      </x:c>
      <x:c r="Q798" t="str">
        <x:v>Entregue</x:v>
      </x:c>
      <x:c r="R798" t="str"/>
      <x:c r="S798" t="str">
        <x:v>Nao</x:v>
      </x:c>
      <x:c r="T798" t="str">
        <x:v>Nao</x:v>
      </x:c>
    </x:row>
    <x:row r="799" ht="19" customHeight="1">
      <x:c r="A799" t="str">
        <x:v>ENT-00798</x:v>
      </x:c>
      <x:c r="B799" s="41" t="n">
        <x:v>46224</x:v>
      </x:c>
      <x:c r="C799" s="41" t="n">
        <x:v>46225</x:v>
      </x:c>
      <x:c r="D799" s="41" t="n">
        <x:v>46225</x:v>
      </x:c>
      <x:c r="E799" t="str">
        <x:v>Mundo Fresco, Lda.</x:v>
      </x:c>
      <x:c r="F799" t="str">
        <x:v>Ingombota</x:v>
      </x:c>
      <x:c r="G799" t="str">
        <x:v>Carlos Mateus</x:v>
      </x:c>
      <x:c r="H799" t="str">
        <x:v>VTR-08</x:v>
      </x:c>
      <x:c r="I799" t="str">
        <x:v>Toyota Hilux</x:v>
      </x:c>
      <x:c r="J799" t="n">
        <x:v>1000</x:v>
      </x:c>
      <x:c r="K799" t="n">
        <x:v>52</x:v>
      </x:c>
      <x:c r="L799" t="n">
        <x:v>52</x:v>
      </x:c>
      <x:c r="M799" t="n">
        <x:v>699.4</x:v>
      </x:c>
      <x:c r="N799" t="n">
        <x:v>8</x:v>
      </x:c>
      <x:c r="O799" s="45" t="n">
        <x:v>976404</x:v>
      </x:c>
      <x:c r="P799" s="45" t="n">
        <x:v>21500</x:v>
      </x:c>
      <x:c r="Q799" t="str">
        <x:v>Entregue</x:v>
      </x:c>
      <x:c r="R799" t="str"/>
      <x:c r="S799" t="str">
        <x:v>Nao</x:v>
      </x:c>
      <x:c r="T799" t="str">
        <x:v>Nao</x:v>
      </x:c>
    </x:row>
    <x:row r="800" ht="19" customHeight="1">
      <x:c r="A800" t="str">
        <x:v>ENT-00799</x:v>
      </x:c>
      <x:c r="B800" s="41" t="n">
        <x:v>46208</x:v>
      </x:c>
      <x:c r="C800" s="41" t="n">
        <x:v>46210</x:v>
      </x:c>
      <x:c r="D800" s="41" t="n">
        <x:v>46210</x:v>
      </x:c>
      <x:c r="E800" t="str">
        <x:v>Maxi Centro, Lda.</x:v>
      </x:c>
      <x:c r="F800" t="str">
        <x:v>Benfica</x:v>
      </x:c>
      <x:c r="G800" t="str">
        <x:v>Dário Joaquim</x:v>
      </x:c>
      <x:c r="H800" t="str">
        <x:v>VTR-12</x:v>
      </x:c>
      <x:c r="I800" t="str">
        <x:v>Hyundai H100</x:v>
      </x:c>
      <x:c r="J800" t="n">
        <x:v>1300</x:v>
      </x:c>
      <x:c r="K800" t="n">
        <x:v>30</x:v>
      </x:c>
      <x:c r="L800" t="n">
        <x:v>30</x:v>
      </x:c>
      <x:c r="M800" t="n">
        <x:v>358.5</x:v>
      </x:c>
      <x:c r="N800" t="n">
        <x:v>32</x:v>
      </x:c>
      <x:c r="O800" s="45" t="n">
        <x:v>192510</x:v>
      </x:c>
      <x:c r="P800" s="45" t="n">
        <x:v>24500</x:v>
      </x:c>
      <x:c r="Q800" t="str">
        <x:v>Entregue</x:v>
      </x:c>
      <x:c r="R800" t="str"/>
      <x:c r="S800" t="str">
        <x:v>Nao</x:v>
      </x:c>
      <x:c r="T800" t="str">
        <x:v>Nao</x:v>
      </x:c>
    </x:row>
    <x:row r="801" ht="19" customHeight="1">
      <x:c r="A801" t="str">
        <x:v>ENT-00800</x:v>
      </x:c>
      <x:c r="B801" s="41" t="n">
        <x:v>46251</x:v>
      </x:c>
      <x:c r="C801" s="41" t="n">
        <x:v>46253</x:v>
      </x:c>
      <x:c r="D801" s="41" t="n">
        <x:v>46253</x:v>
      </x:c>
      <x:c r="E801" t="str">
        <x:v>Maxi Centro, Lda.</x:v>
      </x:c>
      <x:c r="F801" t="str">
        <x:v>Nova Vida</x:v>
      </x:c>
      <x:c r="G801" t="str">
        <x:v>Carlos Mateus</x:v>
      </x:c>
      <x:c r="H801" t="str">
        <x:v>VTR-12</x:v>
      </x:c>
      <x:c r="I801" t="str">
        <x:v>Hyundai H100</x:v>
      </x:c>
      <x:c r="J801" t="n">
        <x:v>1300</x:v>
      </x:c>
      <x:c r="K801" t="n">
        <x:v>80</x:v>
      </x:c>
      <x:c r="L801" t="n">
        <x:v>80</x:v>
      </x:c>
      <x:c r="M801" t="n">
        <x:v>769.3</x:v>
      </x:c>
      <x:c r="N801" t="n">
        <x:v>25</x:v>
      </x:c>
      <x:c r="O801" s="45" t="n">
        <x:v>690480</x:v>
      </x:c>
      <x:c r="P801" s="45" t="n">
        <x:v>33000</x:v>
      </x:c>
      <x:c r="Q801" t="str">
        <x:v>Entregue</x:v>
      </x:c>
      <x:c r="R801" t="str"/>
      <x:c r="S801" t="str">
        <x:v>Nao</x:v>
      </x:c>
      <x:c r="T801" t="str">
        <x:v>Nao</x:v>
      </x:c>
    </x:row>
    <x:row r="802" ht="19" customHeight="1">
      <x:c r="A802" t="str">
        <x:v>ENT-00801</x:v>
      </x:c>
      <x:c r="B802" s="41" t="n">
        <x:v>46233</x:v>
      </x:c>
      <x:c r="C802" s="41" t="n">
        <x:v>46234</x:v>
      </x:c>
      <x:c r="D802" s="41" t="n">
        <x:v>46234</x:v>
      </x:c>
      <x:c r="E802" t="str">
        <x:v>Mundo Fresco, Lda.</x:v>
      </x:c>
      <x:c r="F802" t="str">
        <x:v>Ingombota</x:v>
      </x:c>
      <x:c r="G802" t="str">
        <x:v>Carlos Mateus</x:v>
      </x:c>
      <x:c r="H802" t="str">
        <x:v>VTR-04</x:v>
      </x:c>
      <x:c r="I802" t="str">
        <x:v>Toyota Dyna</x:v>
      </x:c>
      <x:c r="J802" t="n">
        <x:v>3000</x:v>
      </x:c>
      <x:c r="K802" t="n">
        <x:v>39</x:v>
      </x:c>
      <x:c r="L802" t="n">
        <x:v>39</x:v>
      </x:c>
      <x:c r="M802" t="n">
        <x:v>346.1</x:v>
      </x:c>
      <x:c r="N802" t="n">
        <x:v>9</x:v>
      </x:c>
      <x:c r="O802" s="45" t="n">
        <x:v>853554</x:v>
      </x:c>
      <x:c r="P802" s="45" t="n">
        <x:v>15500</x:v>
      </x:c>
      <x:c r="Q802" t="str">
        <x:v>Entregue</x:v>
      </x:c>
      <x:c r="R802" t="str"/>
      <x:c r="S802" t="str">
        <x:v>Nao</x:v>
      </x:c>
      <x:c r="T802" t="str">
        <x:v>Nao</x:v>
      </x:c>
    </x:row>
    <x:row r="803" ht="19" customHeight="1">
      <x:c r="A803" t="str">
        <x:v>ENT-00802</x:v>
      </x:c>
      <x:c r="B803" s="41" t="n">
        <x:v>46253</x:v>
      </x:c>
      <x:c r="C803" s="41" t="n">
        <x:v>46255</x:v>
      </x:c>
      <x:c r="D803" s="41" t="n">
        <x:v>46255</x:v>
      </x:c>
      <x:c r="E803" t="str">
        <x:v>Mercado Sul, Lda.</x:v>
      </x:c>
      <x:c r="F803" t="str">
        <x:v>Talatona</x:v>
      </x:c>
      <x:c r="G803" t="str">
        <x:v>Jorge Mário</x:v>
      </x:c>
      <x:c r="H803" t="str">
        <x:v>VTR-02</x:v>
      </x:c>
      <x:c r="I803" t="str">
        <x:v>Kia K2700</x:v>
      </x:c>
      <x:c r="J803" t="n">
        <x:v>1500</x:v>
      </x:c>
      <x:c r="K803" t="n">
        <x:v>9</x:v>
      </x:c>
      <x:c r="L803" t="n">
        <x:v>9</x:v>
      </x:c>
      <x:c r="M803" t="n">
        <x:v>186.6</x:v>
      </x:c>
      <x:c r="N803" t="n">
        <x:v>30</x:v>
      </x:c>
      <x:c r="O803" s="45" t="n">
        <x:v>166356</x:v>
      </x:c>
      <x:c r="P803" s="45" t="n">
        <x:v>22500</x:v>
      </x:c>
      <x:c r="Q803" t="str">
        <x:v>Entregue</x:v>
      </x:c>
      <x:c r="R803" t="str"/>
      <x:c r="S803" t="str">
        <x:v>Nao</x:v>
      </x:c>
      <x:c r="T803" t="str">
        <x:v>Nao</x:v>
      </x:c>
    </x:row>
    <x:row r="804" ht="19" customHeight="1">
      <x:c r="A804" t="str">
        <x:v>ENT-00803</x:v>
      </x:c>
      <x:c r="B804" s="41" t="n">
        <x:v>46211</x:v>
      </x:c>
      <x:c r="C804" s="41" t="n">
        <x:v>46213</x:v>
      </x:c>
      <x:c r="D804" s="41" t="n">
        <x:v>46213</x:v>
      </x:c>
      <x:c r="E804" t="str">
        <x:v>Maxi Centro, Lda.</x:v>
      </x:c>
      <x:c r="F804" t="str">
        <x:v>Morro Bento</x:v>
      </x:c>
      <x:c r="G804" t="str">
        <x:v>Bernardo Paulo</x:v>
      </x:c>
      <x:c r="H804" t="str">
        <x:v>VTR-12</x:v>
      </x:c>
      <x:c r="I804" t="str">
        <x:v>Hyundai H100</x:v>
      </x:c>
      <x:c r="J804" t="n">
        <x:v>1300</x:v>
      </x:c>
      <x:c r="K804" t="n">
        <x:v>34</x:v>
      </x:c>
      <x:c r="L804" t="n">
        <x:v>34</x:v>
      </x:c>
      <x:c r="M804" t="n">
        <x:v>620.5</x:v>
      </x:c>
      <x:c r="N804" t="n">
        <x:v>25</x:v>
      </x:c>
      <x:c r="O804" s="45" t="n">
        <x:v>337314</x:v>
      </x:c>
      <x:c r="P804" s="45" t="n">
        <x:v>25000</x:v>
      </x:c>
      <x:c r="Q804" t="str">
        <x:v>Entregue</x:v>
      </x:c>
      <x:c r="R804" t="str"/>
      <x:c r="S804" t="str">
        <x:v>Nao</x:v>
      </x:c>
      <x:c r="T804" t="str">
        <x:v>Nao</x:v>
      </x:c>
    </x:row>
    <x:row r="805" ht="19" customHeight="1">
      <x:c r="A805" t="str">
        <x:v>ENT-00804</x:v>
      </x:c>
      <x:c r="B805" s="41" t="n">
        <x:v>46248</x:v>
      </x:c>
      <x:c r="C805" s="41" t="n">
        <x:v>46250</x:v>
      </x:c>
      <x:c r="D805" s="41" t="n">
        <x:v>46250</x:v>
      </x:c>
      <x:c r="E805" t="str">
        <x:v>Via Certa Serviços, Lda.</x:v>
      </x:c>
      <x:c r="F805" t="str">
        <x:v>Camama</x:v>
      </x:c>
      <x:c r="G805" t="str">
        <x:v>Jorge Mário</x:v>
      </x:c>
      <x:c r="H805" t="str">
        <x:v>VTR-03</x:v>
      </x:c>
      <x:c r="I805" t="str">
        <x:v>Toyota Dyna</x:v>
      </x:c>
      <x:c r="J805" t="n">
        <x:v>3000</x:v>
      </x:c>
      <x:c r="K805" t="n">
        <x:v>37</x:v>
      </x:c>
      <x:c r="L805" t="n">
        <x:v>37</x:v>
      </x:c>
      <x:c r="M805" t="n">
        <x:v>1116</x:v>
      </x:c>
      <x:c r="N805" t="n">
        <x:v>30</x:v>
      </x:c>
      <x:c r="O805" s="45" t="n">
        <x:v>193658</x:v>
      </x:c>
      <x:c r="P805" s="45" t="n">
        <x:v>42000</x:v>
      </x:c>
      <x:c r="Q805" t="str">
        <x:v>Entregue</x:v>
      </x:c>
      <x:c r="R805" t="str"/>
      <x:c r="S805" t="str">
        <x:v>Nao</x:v>
      </x:c>
      <x:c r="T805" t="str">
        <x:v>Nao</x:v>
      </x:c>
    </x:row>
    <x:row r="806" ht="19" customHeight="1">
      <x:c r="A806" t="str">
        <x:v>ENT-00805</x:v>
      </x:c>
      <x:c r="B806" s="41" t="n">
        <x:v>46252</x:v>
      </x:c>
      <x:c r="C806" s="41" t="n">
        <x:v>46253</x:v>
      </x:c>
      <x:c r="D806" s="41" t="n">
        <x:v>46253</x:v>
      </x:c>
      <x:c r="E806" t="str">
        <x:v>Bem-Estar Higiene, Lda.</x:v>
      </x:c>
      <x:c r="F806" t="str">
        <x:v>Maianga</x:v>
      </x:c>
      <x:c r="G806" t="str">
        <x:v>Carlos Mateus</x:v>
      </x:c>
      <x:c r="H806" t="str">
        <x:v>VTR-09</x:v>
      </x:c>
      <x:c r="I806" t="str">
        <x:v>Toyota Hilux</x:v>
      </x:c>
      <x:c r="J806" t="n">
        <x:v>1000</x:v>
      </x:c>
      <x:c r="K806" t="n">
        <x:v>83</x:v>
      </x:c>
      <x:c r="L806" t="n">
        <x:v>83</x:v>
      </x:c>
      <x:c r="M806" t="n">
        <x:v>595.6</x:v>
      </x:c>
      <x:c r="N806" t="n">
        <x:v>11</x:v>
      </x:c>
      <x:c r="O806" s="45" t="n">
        <x:v>1384274</x:v>
      </x:c>
      <x:c r="P806" s="45" t="n">
        <x:v>20000</x:v>
      </x:c>
      <x:c r="Q806" t="str">
        <x:v>Entregue</x:v>
      </x:c>
      <x:c r="R806" t="str"/>
      <x:c r="S806" t="str">
        <x:v>Nao</x:v>
      </x:c>
      <x:c r="T806" t="str">
        <x:v>Nao</x:v>
      </x:c>
    </x:row>
    <x:row r="807" ht="19" customHeight="1">
      <x:c r="A807" t="str">
        <x:v>ENT-00806</x:v>
      </x:c>
      <x:c r="B807" s="41" t="n">
        <x:v>46218</x:v>
      </x:c>
      <x:c r="C807" s="41" t="n">
        <x:v>46220</x:v>
      </x:c>
      <x:c r="D807" s="41" t="n">
        <x:v>46220</x:v>
      </x:c>
      <x:c r="E807" t="str">
        <x:v>Sol Nascente Comércio, Lda.</x:v>
      </x:c>
      <x:c r="F807" t="str">
        <x:v>Kikuxi</x:v>
      </x:c>
      <x:c r="G807" t="str">
        <x:v>Adriano Manuel</x:v>
      </x:c>
      <x:c r="H807" t="str">
        <x:v>VTR-01</x:v>
      </x:c>
      <x:c r="I807" t="str">
        <x:v>Kia K2700</x:v>
      </x:c>
      <x:c r="J807" t="n">
        <x:v>1500</x:v>
      </x:c>
      <x:c r="K807" t="n">
        <x:v>65</x:v>
      </x:c>
      <x:c r="L807" t="n">
        <x:v>65</x:v>
      </x:c>
      <x:c r="M807" t="n">
        <x:v>1036.1</x:v>
      </x:c>
      <x:c r="N807" t="n">
        <x:v>35</x:v>
      </x:c>
      <x:c r="O807" s="45" t="n">
        <x:v>1235455</x:v>
      </x:c>
      <x:c r="P807" s="45" t="n">
        <x:v>36000</x:v>
      </x:c>
      <x:c r="Q807" t="str">
        <x:v>Entregue</x:v>
      </x:c>
      <x:c r="R807" t="str"/>
      <x:c r="S807" t="str">
        <x:v>Nao</x:v>
      </x:c>
      <x:c r="T807" t="str">
        <x:v>Nao</x:v>
      </x:c>
    </x:row>
    <x:row r="808" ht="19" customHeight="1">
      <x:c r="A808" t="str">
        <x:v>ENT-00807</x:v>
      </x:c>
      <x:c r="B808" s="41" t="n">
        <x:v>46263</x:v>
      </x:c>
      <x:c r="C808" s="41" t="n">
        <x:v>46265</x:v>
      </x:c>
      <x:c r="D808" s="41" t="n">
        <x:v>46267</x:v>
      </x:c>
      <x:c r="E808" t="str">
        <x:v>Atlântico Farma, Lda.</x:v>
      </x:c>
      <x:c r="F808" t="str">
        <x:v>Cacuaco</x:v>
      </x:c>
      <x:c r="G808" t="str">
        <x:v>Adriano Manuel</x:v>
      </x:c>
      <x:c r="H808" t="str">
        <x:v>VTR-12</x:v>
      </x:c>
      <x:c r="I808" t="str">
        <x:v>Hyundai H100</x:v>
      </x:c>
      <x:c r="J808" t="n">
        <x:v>1300</x:v>
      </x:c>
      <x:c r="K808" t="n">
        <x:v>67</x:v>
      </x:c>
      <x:c r="L808" t="n">
        <x:v>67</x:v>
      </x:c>
      <x:c r="M808" t="n">
        <x:v>696.8</x:v>
      </x:c>
      <x:c r="N808" t="n">
        <x:v>37</x:v>
      </x:c>
      <x:c r="O808" s="45" t="n">
        <x:v>1650679</x:v>
      </x:c>
      <x:c r="P808" s="45" t="n">
        <x:v>32000</x:v>
      </x:c>
      <x:c r="Q808" t="str">
        <x:v>Entregue</x:v>
      </x:c>
      <x:c r="R808" t="str">
        <x:v>Atraso no carregamento</x:v>
      </x:c>
      <x:c r="S808" t="str">
        <x:v>Nao</x:v>
      </x:c>
      <x:c r="T808" t="str">
        <x:v>Nao</x:v>
      </x:c>
    </x:row>
    <x:row r="809" ht="19" customHeight="1">
      <x:c r="A809" t="str">
        <x:v>ENT-00808</x:v>
      </x:c>
      <x:c r="B809" s="41" t="n">
        <x:v>46218</x:v>
      </x:c>
      <x:c r="C809" s="41" t="n">
        <x:v>46220</x:v>
      </x:c>
      <x:c r="D809" s="41" t="n">
        <x:v>46220</x:v>
      </x:c>
      <x:c r="E809" t="str">
        <x:v>Mundo Fresco, Lda.</x:v>
      </x:c>
      <x:c r="F809" t="str">
        <x:v>Talatona</x:v>
      </x:c>
      <x:c r="G809" t="str">
        <x:v>Carlos Mateus</x:v>
      </x:c>
      <x:c r="H809" t="str">
        <x:v>VTR-01</x:v>
      </x:c>
      <x:c r="I809" t="str">
        <x:v>Kia K2700</x:v>
      </x:c>
      <x:c r="J809" t="n">
        <x:v>1500</x:v>
      </x:c>
      <x:c r="K809" t="n">
        <x:v>28</x:v>
      </x:c>
      <x:c r="L809" t="n">
        <x:v>28</x:v>
      </x:c>
      <x:c r="M809" t="n">
        <x:v>807.5</x:v>
      </x:c>
      <x:c r="N809" t="n">
        <x:v>37</x:v>
      </x:c>
      <x:c r="O809" s="45" t="n">
        <x:v>407960</x:v>
      </x:c>
      <x:c r="P809" s="45" t="n">
        <x:v>40500</x:v>
      </x:c>
      <x:c r="Q809" t="str">
        <x:v>Entregue</x:v>
      </x:c>
      <x:c r="R809" t="str"/>
      <x:c r="S809" t="str">
        <x:v>Nao</x:v>
      </x:c>
      <x:c r="T809" t="str">
        <x:v>Nao</x:v>
      </x:c>
    </x:row>
    <x:row r="810" ht="19" customHeight="1">
      <x:c r="A810" t="str">
        <x:v>ENT-00809</x:v>
      </x:c>
      <x:c r="B810" s="41" t="n">
        <x:v>46238</x:v>
      </x:c>
      <x:c r="C810" s="41" t="n">
        <x:v>46239</x:v>
      </x:c>
      <x:c r="D810" s="41" t="n">
        <x:v>46239</x:v>
      </x:c>
      <x:c r="E810" t="str">
        <x:v>Prime Stock, Lda.</x:v>
      </x:c>
      <x:c r="F810" t="str">
        <x:v>Ingombota</x:v>
      </x:c>
      <x:c r="G810" t="str">
        <x:v>Elísio António</x:v>
      </x:c>
      <x:c r="H810" t="str">
        <x:v>VTR-01</x:v>
      </x:c>
      <x:c r="I810" t="str">
        <x:v>Kia K2700</x:v>
      </x:c>
      <x:c r="J810" t="n">
        <x:v>1500</x:v>
      </x:c>
      <x:c r="K810" t="n">
        <x:v>77</x:v>
      </x:c>
      <x:c r="L810" t="n">
        <x:v>77</x:v>
      </x:c>
      <x:c r="M810" t="n">
        <x:v>629.7</x:v>
      </x:c>
      <x:c r="N810" t="n">
        <x:v>16</x:v>
      </x:c>
      <x:c r="O810" s="45" t="n">
        <x:v>1869175</x:v>
      </x:c>
      <x:c r="P810" s="45" t="n">
        <x:v>25500</x:v>
      </x:c>
      <x:c r="Q810" t="str">
        <x:v>Entregue</x:v>
      </x:c>
      <x:c r="R810" t="str"/>
      <x:c r="S810" t="str">
        <x:v>Nao</x:v>
      </x:c>
      <x:c r="T810" t="str">
        <x:v>Nao</x:v>
      </x:c>
    </x:row>
    <x:row r="811" ht="19" customHeight="1">
      <x:c r="A811" t="str">
        <x:v>ENT-00810</x:v>
      </x:c>
      <x:c r="B811" s="41" t="n">
        <x:v>46241</x:v>
      </x:c>
      <x:c r="C811" s="41" t="n">
        <x:v>46244</x:v>
      </x:c>
      <x:c r="D811" s="41" t="n">
        <x:v>46244</x:v>
      </x:c>
      <x:c r="E811" t="str">
        <x:v>N'gola Market, Lda.</x:v>
      </x:c>
      <x:c r="F811" t="str">
        <x:v>Zango</x:v>
      </x:c>
      <x:c r="G811" t="str">
        <x:v>Carlos Mateus</x:v>
      </x:c>
      <x:c r="H811" t="str">
        <x:v>VTR-01</x:v>
      </x:c>
      <x:c r="I811" t="str">
        <x:v>Kia K2700</x:v>
      </x:c>
      <x:c r="J811" t="n">
        <x:v>1500</x:v>
      </x:c>
      <x:c r="K811" t="n">
        <x:v>9</x:v>
      </x:c>
      <x:c r="L811" t="n">
        <x:v>9</x:v>
      </x:c>
      <x:c r="M811" t="n">
        <x:v>70.7</x:v>
      </x:c>
      <x:c r="N811" t="n">
        <x:v>49</x:v>
      </x:c>
      <x:c r="O811" s="45" t="n">
        <x:v>53073</x:v>
      </x:c>
      <x:c r="P811" s="45" t="n">
        <x:v>30000</x:v>
      </x:c>
      <x:c r="Q811" t="str">
        <x:v>Entregue</x:v>
      </x:c>
      <x:c r="R811" t="str"/>
      <x:c r="S811" t="str">
        <x:v>Nao</x:v>
      </x:c>
      <x:c r="T811" t="str">
        <x:v>Nao</x:v>
      </x:c>
    </x:row>
    <x:row r="812" ht="19" customHeight="1">
      <x:c r="A812" t="str">
        <x:v>ENT-00811</x:v>
      </x:c>
      <x:c r="B812" s="41" t="n">
        <x:v>46223</x:v>
      </x:c>
      <x:c r="C812" s="41" t="n">
        <x:v>46226</x:v>
      </x:c>
      <x:c r="D812" s="41" t="n">
        <x:v>46226</x:v>
      </x:c>
      <x:c r="E812" t="str">
        <x:v>Kiala &amp; Filhos, Lda.</x:v>
      </x:c>
      <x:c r="F812" t="str">
        <x:v>Cacuaco</x:v>
      </x:c>
      <x:c r="G812" t="str">
        <x:v>Bernardo Paulo</x:v>
      </x:c>
      <x:c r="H812" t="str">
        <x:v>VTR-07</x:v>
      </x:c>
      <x:c r="I812" t="str">
        <x:v>Isuzu NPR</x:v>
      </x:c>
      <x:c r="J812" t="n">
        <x:v>5000</x:v>
      </x:c>
      <x:c r="K812" t="n">
        <x:v>85</x:v>
      </x:c>
      <x:c r="L812" t="n">
        <x:v>85</x:v>
      </x:c>
      <x:c r="M812" t="n">
        <x:v>1431.1</x:v>
      </x:c>
      <x:c r="N812" t="n">
        <x:v>49</x:v>
      </x:c>
      <x:c r="O812" s="45" t="n">
        <x:v>2099160</x:v>
      </x:c>
      <x:c r="P812" s="45" t="n">
        <x:v>53000</x:v>
      </x:c>
      <x:c r="Q812" t="str">
        <x:v>Entregue</x:v>
      </x:c>
      <x:c r="R812" t="str"/>
      <x:c r="S812" t="str">
        <x:v>Sim</x:v>
      </x:c>
      <x:c r="T812" t="str">
        <x:v>Nao</x:v>
      </x:c>
    </x:row>
    <x:row r="813" ht="19" customHeight="1">
      <x:c r="A813" t="str">
        <x:v>ENT-00812</x:v>
      </x:c>
      <x:c r="B813" s="41" t="n">
        <x:v>46205</x:v>
      </x:c>
      <x:c r="C813" s="41" t="n">
        <x:v>46207</x:v>
      </x:c>
      <x:c r="D813" s="41" t="n">
        <x:v>46207</x:v>
      </x:c>
      <x:c r="E813" t="str">
        <x:v>Casa Horizonte, Lda.</x:v>
      </x:c>
      <x:c r="F813" t="str">
        <x:v>Patriota</x:v>
      </x:c>
      <x:c r="G813" t="str">
        <x:v>Carlos Mateus</x:v>
      </x:c>
      <x:c r="H813" t="str">
        <x:v>VTR-12</x:v>
      </x:c>
      <x:c r="I813" t="str">
        <x:v>Hyundai H100</x:v>
      </x:c>
      <x:c r="J813" t="n">
        <x:v>1300</x:v>
      </x:c>
      <x:c r="K813" t="n">
        <x:v>46</x:v>
      </x:c>
      <x:c r="L813" t="n">
        <x:v>46</x:v>
      </x:c>
      <x:c r="M813" t="n">
        <x:v>400.9</x:v>
      </x:c>
      <x:c r="N813" t="n">
        <x:v>27</x:v>
      </x:c>
      <x:c r="O813" s="45" t="n">
        <x:v>311880</x:v>
      </x:c>
      <x:c r="P813" s="45" t="n">
        <x:v>27500</x:v>
      </x:c>
      <x:c r="Q813" t="str">
        <x:v>Entregue</x:v>
      </x:c>
      <x:c r="R813" t="str"/>
      <x:c r="S813" t="str">
        <x:v>Nao</x:v>
      </x:c>
      <x:c r="T813" t="str">
        <x:v>Nao</x:v>
      </x:c>
    </x:row>
    <x:row r="814" ht="19" customHeight="1">
      <x:c r="A814" t="str">
        <x:v>ENT-00813</x:v>
      </x:c>
      <x:c r="B814" s="41" t="n">
        <x:v>46250</x:v>
      </x:c>
      <x:c r="C814" s="41" t="n">
        <x:v>46251</x:v>
      </x:c>
      <x:c r="D814" s="41" t="n">
        <x:v>46251</x:v>
      </x:c>
      <x:c r="E814" t="str">
        <x:v>Rota Azul, Lda.</x:v>
      </x:c>
      <x:c r="F814" t="str">
        <x:v>Nova Vida</x:v>
      </x:c>
      <x:c r="G814" t="str">
        <x:v>Félix Domingos</x:v>
      </x:c>
      <x:c r="H814" t="str">
        <x:v>VTR-02</x:v>
      </x:c>
      <x:c r="I814" t="str">
        <x:v>Kia K2700</x:v>
      </x:c>
      <x:c r="J814" t="n">
        <x:v>1500</x:v>
      </x:c>
      <x:c r="K814" t="n">
        <x:v>81</x:v>
      </x:c>
      <x:c r="L814" t="n">
        <x:v>81</x:v>
      </x:c>
      <x:c r="M814" t="n">
        <x:v>826.9</x:v>
      </x:c>
      <x:c r="N814" t="n">
        <x:v>15</x:v>
      </x:c>
      <x:c r="O814" s="45" t="n">
        <x:v>2050758</x:v>
      </x:c>
      <x:c r="P814" s="45" t="n">
        <x:v>24500</x:v>
      </x:c>
      <x:c r="Q814" t="str">
        <x:v>Entregue</x:v>
      </x:c>
      <x:c r="R814" t="str"/>
      <x:c r="S814" t="str">
        <x:v>Nao</x:v>
      </x:c>
      <x:c r="T814" t="str">
        <x:v>Nao</x:v>
      </x:c>
    </x:row>
    <x:row r="815" ht="19" customHeight="1">
      <x:c r="A815" t="str">
        <x:v>ENT-00814</x:v>
      </x:c>
      <x:c r="B815" s="41" t="n">
        <x:v>46254</x:v>
      </x:c>
      <x:c r="C815" s="41" t="n">
        <x:v>46257</x:v>
      </x:c>
      <x:c r="D815" s="41" t="n">
        <x:v>46257</x:v>
      </x:c>
      <x:c r="E815" t="str">
        <x:v>Mercado Sul, Lda.</x:v>
      </x:c>
      <x:c r="F815" t="str">
        <x:v>Sequele</x:v>
      </x:c>
      <x:c r="G815" t="str">
        <x:v>Gilberto José</x:v>
      </x:c>
      <x:c r="H815" t="str">
        <x:v>VTR-09</x:v>
      </x:c>
      <x:c r="I815" t="str">
        <x:v>Toyota Hilux</x:v>
      </x:c>
      <x:c r="J815" t="n">
        <x:v>1000</x:v>
      </x:c>
      <x:c r="K815" t="n">
        <x:v>66</x:v>
      </x:c>
      <x:c r="L815" t="n">
        <x:v>66</x:v>
      </x:c>
      <x:c r="M815" t="n">
        <x:v>650.6</x:v>
      </x:c>
      <x:c r="N815" t="n">
        <x:v>52</x:v>
      </x:c>
      <x:c r="O815" s="45" t="n">
        <x:v>1551000</x:v>
      </x:c>
      <x:c r="P815" s="45" t="n">
        <x:v>44500</x:v>
      </x:c>
      <x:c r="Q815" t="str">
        <x:v>Entregue</x:v>
      </x:c>
      <x:c r="R815" t="str"/>
      <x:c r="S815" t="str">
        <x:v>Nao</x:v>
      </x:c>
      <x:c r="T815" t="str">
        <x:v>Nao</x:v>
      </x:c>
    </x:row>
    <x:row r="816" ht="19" customHeight="1">
      <x:c r="A816" t="str">
        <x:v>ENT-00815</x:v>
      </x:c>
      <x:c r="B816" s="41" t="n">
        <x:v>46208</x:v>
      </x:c>
      <x:c r="C816" s="41" t="n">
        <x:v>46210</x:v>
      </x:c>
      <x:c r="D816" s="41" t="n">
        <x:v>46210</x:v>
      </x:c>
      <x:c r="E816" t="str">
        <x:v>Mundo Fresco, Lda.</x:v>
      </x:c>
      <x:c r="F816" t="str">
        <x:v>Benfica</x:v>
      </x:c>
      <x:c r="G816" t="str">
        <x:v>Carlos Mateus</x:v>
      </x:c>
      <x:c r="H816" t="str">
        <x:v>VTR-06</x:v>
      </x:c>
      <x:c r="I816" t="str">
        <x:v>Isuzu NPR</x:v>
      </x:c>
      <x:c r="J816" t="n">
        <x:v>5000</x:v>
      </x:c>
      <x:c r="K816" t="n">
        <x:v>90</x:v>
      </x:c>
      <x:c r="L816" t="n">
        <x:v>90</x:v>
      </x:c>
      <x:c r="M816" t="n">
        <x:v>2301.6</x:v>
      </x:c>
      <x:c r="N816" t="n">
        <x:v>27</x:v>
      </x:c>
      <x:c r="O816" s="45" t="n">
        <x:v>1546560</x:v>
      </x:c>
      <x:c r="P816" s="45" t="n">
        <x:v>52500</x:v>
      </x:c>
      <x:c r="Q816" t="str">
        <x:v>Entregue</x:v>
      </x:c>
      <x:c r="R816" t="str"/>
      <x:c r="S816" t="str">
        <x:v>Nao</x:v>
      </x:c>
      <x:c r="T816" t="str">
        <x:v>Nao</x:v>
      </x:c>
    </x:row>
    <x:row r="817" ht="19" customHeight="1">
      <x:c r="A817" t="str">
        <x:v>ENT-00816</x:v>
      </x:c>
      <x:c r="B817" s="41" t="n">
        <x:v>46247</x:v>
      </x:c>
      <x:c r="C817" s="41" t="n">
        <x:v>46250</x:v>
      </x:c>
      <x:c r="D817" s="41" t="n">
        <x:v>46250</x:v>
      </x:c>
      <x:c r="E817" t="str">
        <x:v>Kwanza Distribuição, Lda.</x:v>
      </x:c>
      <x:c r="F817" t="str">
        <x:v>Sequele</x:v>
      </x:c>
      <x:c r="G817" t="str">
        <x:v>Kito Alberto</x:v>
      </x:c>
      <x:c r="H817" t="str">
        <x:v>VTR-06</x:v>
      </x:c>
      <x:c r="I817" t="str">
        <x:v>Isuzu NPR</x:v>
      </x:c>
      <x:c r="J817" t="n">
        <x:v>5000</x:v>
      </x:c>
      <x:c r="K817" t="n">
        <x:v>23</x:v>
      </x:c>
      <x:c r="L817" t="n">
        <x:v>23</x:v>
      </x:c>
      <x:c r="M817" t="n">
        <x:v>403.7</x:v>
      </x:c>
      <x:c r="N817" t="n">
        <x:v>54</x:v>
      </x:c>
      <x:c r="O817" s="45" t="n">
        <x:v>157895</x:v>
      </x:c>
      <x:c r="P817" s="45" t="n">
        <x:v>36500</x:v>
      </x:c>
      <x:c r="Q817" t="str">
        <x:v>Entregue</x:v>
      </x:c>
      <x:c r="R817" t="str"/>
      <x:c r="S817" t="str">
        <x:v>Nao</x:v>
      </x:c>
      <x:c r="T817" t="str">
        <x:v>Nao</x:v>
      </x:c>
    </x:row>
    <x:row r="818" ht="19" customHeight="1">
      <x:c r="A818" t="str">
        <x:v>ENT-00817</x:v>
      </x:c>
      <x:c r="B818" s="41" t="n">
        <x:v>46211</x:v>
      </x:c>
      <x:c r="C818" s="41" t="n">
        <x:v>46212</x:v>
      </x:c>
      <x:c r="D818" s="41" t="n">
        <x:v>46212</x:v>
      </x:c>
      <x:c r="E818" t="str">
        <x:v>N'gola Market, Lda.</x:v>
      </x:c>
      <x:c r="F818" t="str">
        <x:v>Nova Vida</x:v>
      </x:c>
      <x:c r="G818" t="str">
        <x:v>Kito Alberto</x:v>
      </x:c>
      <x:c r="H818" t="str">
        <x:v>VTR-03</x:v>
      </x:c>
      <x:c r="I818" t="str">
        <x:v>Toyota Dyna</x:v>
      </x:c>
      <x:c r="J818" t="n">
        <x:v>3000</x:v>
      </x:c>
      <x:c r="K818" t="n">
        <x:v>29</x:v>
      </x:c>
      <x:c r="L818" t="n">
        <x:v>29</x:v>
      </x:c>
      <x:c r="M818" t="n">
        <x:v>968</x:v>
      </x:c>
      <x:c r="N818" t="n">
        <x:v>15</x:v>
      </x:c>
      <x:c r="O818" s="45" t="n">
        <x:v>562861</x:v>
      </x:c>
      <x:c r="P818" s="45" t="n">
        <x:v>31500</x:v>
      </x:c>
      <x:c r="Q818" t="str">
        <x:v>Entregue</x:v>
      </x:c>
      <x:c r="R818" t="str"/>
      <x:c r="S818" t="str">
        <x:v>Nao</x:v>
      </x:c>
      <x:c r="T818" t="str">
        <x:v>Nao</x:v>
      </x:c>
    </x:row>
    <x:row r="819" ht="19" customHeight="1">
      <x:c r="A819" t="str">
        <x:v>ENT-00818</x:v>
      </x:c>
      <x:c r="B819" s="41" t="n">
        <x:v>46245</x:v>
      </x:c>
      <x:c r="C819" s="41" t="n">
        <x:v>46248</x:v>
      </x:c>
      <x:c r="D819" s="41" t="n">
        <x:v>46248</x:v>
      </x:c>
      <x:c r="E819" t="str">
        <x:v>Casa Horizonte, Lda.</x:v>
      </x:c>
      <x:c r="F819" t="str">
        <x:v>Cacuaco</x:v>
      </x:c>
      <x:c r="G819" t="str">
        <x:v>Jorge Mário</x:v>
      </x:c>
      <x:c r="H819" t="str">
        <x:v>VTR-06</x:v>
      </x:c>
      <x:c r="I819" t="str">
        <x:v>Isuzu NPR</x:v>
      </x:c>
      <x:c r="J819" t="n">
        <x:v>5000</x:v>
      </x:c>
      <x:c r="K819" t="n">
        <x:v>83</x:v>
      </x:c>
      <x:c r="L819" t="n">
        <x:v>83</x:v>
      </x:c>
      <x:c r="M819" t="n">
        <x:v>2578.4</x:v>
      </x:c>
      <x:c r="N819" t="n">
        <x:v>44</x:v>
      </x:c>
      <x:c r="O819" s="45" t="n">
        <x:v>840956</x:v>
      </x:c>
      <x:c r="P819" s="45" t="n">
        <x:v>72500</x:v>
      </x:c>
      <x:c r="Q819" t="str">
        <x:v>Entregue</x:v>
      </x:c>
      <x:c r="R819" t="str"/>
      <x:c r="S819" t="str">
        <x:v>Nao</x:v>
      </x:c>
      <x:c r="T819" t="str">
        <x:v>Nao</x:v>
      </x:c>
    </x:row>
    <x:row r="820" ht="19" customHeight="1">
      <x:c r="A820" t="str">
        <x:v>ENT-00819</x:v>
      </x:c>
      <x:c r="B820" s="41" t="n">
        <x:v>46229</x:v>
      </x:c>
      <x:c r="C820" s="41" t="n">
        <x:v>46231</x:v>
      </x:c>
      <x:c r="D820" s="41" t="n">
        <x:v>46231</x:v>
      </x:c>
      <x:c r="E820" t="str">
        <x:v>Cesta Certa, Lda.</x:v>
      </x:c>
      <x:c r="F820" t="str">
        <x:v>Talatona</x:v>
      </x:c>
      <x:c r="G820" t="str">
        <x:v>Dário Joaquim</x:v>
      </x:c>
      <x:c r="H820" t="str">
        <x:v>VTR-07</x:v>
      </x:c>
      <x:c r="I820" t="str">
        <x:v>Isuzu NPR</x:v>
      </x:c>
      <x:c r="J820" t="n">
        <x:v>5000</x:v>
      </x:c>
      <x:c r="K820" t="n">
        <x:v>40</x:v>
      </x:c>
      <x:c r="L820" t="n">
        <x:v>40</x:v>
      </x:c>
      <x:c r="M820" t="n">
        <x:v>477.9</x:v>
      </x:c>
      <x:c r="N820" t="n">
        <x:v>29</x:v>
      </x:c>
      <x:c r="O820" s="45" t="n">
        <x:v>820880</x:v>
      </x:c>
      <x:c r="P820" s="45" t="n">
        <x:v>29000</x:v>
      </x:c>
      <x:c r="Q820" t="str">
        <x:v>Entregue</x:v>
      </x:c>
      <x:c r="R820" t="str"/>
      <x:c r="S820" t="str">
        <x:v>Nao</x:v>
      </x:c>
      <x:c r="T820" t="str">
        <x:v>Nao</x:v>
      </x:c>
    </x:row>
    <x:row r="821" ht="19" customHeight="1">
      <x:c r="A821" t="str">
        <x:v>ENT-00820</x:v>
      </x:c>
      <x:c r="B821" s="41" t="n">
        <x:v>46249</x:v>
      </x:c>
      <x:c r="C821" s="41" t="n">
        <x:v>46251</x:v>
      </x:c>
      <x:c r="D821" s="41" t="n">
        <x:v>46251</x:v>
      </x:c>
      <x:c r="E821" t="str">
        <x:v>Rota Azul, Lda.</x:v>
      </x:c>
      <x:c r="F821" t="str">
        <x:v>Patriota</x:v>
      </x:c>
      <x:c r="G821" t="str">
        <x:v>Hélder Miguel</x:v>
      </x:c>
      <x:c r="H821" t="str">
        <x:v>VTR-07</x:v>
      </x:c>
      <x:c r="I821" t="str">
        <x:v>Isuzu NPR</x:v>
      </x:c>
      <x:c r="J821" t="n">
        <x:v>5000</x:v>
      </x:c>
      <x:c r="K821" t="n">
        <x:v>87</x:v>
      </x:c>
      <x:c r="L821" t="n">
        <x:v>87</x:v>
      </x:c>
      <x:c r="M821" t="n">
        <x:v>1704.4</x:v>
      </x:c>
      <x:c r="N821" t="n">
        <x:v>23</x:v>
      </x:c>
      <x:c r="O821" s="45" t="n">
        <x:v>835026</x:v>
      </x:c>
      <x:c r="P821" s="45" t="n">
        <x:v>46500</x:v>
      </x:c>
      <x:c r="Q821" t="str">
        <x:v>Entregue</x:v>
      </x:c>
      <x:c r="R821" t="str"/>
      <x:c r="S821" t="str">
        <x:v>Nao</x:v>
      </x:c>
      <x:c r="T821" t="str">
        <x:v>Nao</x:v>
      </x:c>
    </x:row>
    <x:row r="822" ht="19" customHeight="1">
      <x:c r="A822" t="str">
        <x:v>ENT-00821</x:v>
      </x:c>
      <x:c r="B822" s="41" t="n">
        <x:v>46233</x:v>
      </x:c>
      <x:c r="C822" s="41" t="n">
        <x:v>46235</x:v>
      </x:c>
      <x:c r="D822" s="41" t="n">
        <x:v>46235</x:v>
      </x:c>
      <x:c r="E822" t="str">
        <x:v>Mundo Fresco, Lda.</x:v>
      </x:c>
      <x:c r="F822" t="str">
        <x:v>Talatona</x:v>
      </x:c>
      <x:c r="G822" t="str">
        <x:v>Kito Alberto</x:v>
      </x:c>
      <x:c r="H822" t="str">
        <x:v>VTR-03</x:v>
      </x:c>
      <x:c r="I822" t="str">
        <x:v>Toyota Dyna</x:v>
      </x:c>
      <x:c r="J822" t="n">
        <x:v>3000</x:v>
      </x:c>
      <x:c r="K822" t="n">
        <x:v>28</x:v>
      </x:c>
      <x:c r="L822" t="n">
        <x:v>28</x:v>
      </x:c>
      <x:c r="M822" t="n">
        <x:v>353.2</x:v>
      </x:c>
      <x:c r="N822" t="n">
        <x:v>33</x:v>
      </x:c>
      <x:c r="O822" s="45" t="n">
        <x:v>425488</x:v>
      </x:c>
      <x:c r="P822" s="45" t="n">
        <x:v>27000</x:v>
      </x:c>
      <x:c r="Q822" t="str">
        <x:v>Entregue</x:v>
      </x:c>
      <x:c r="R822" t="str"/>
      <x:c r="S822" t="str">
        <x:v>Nao</x:v>
      </x:c>
      <x:c r="T822" t="str">
        <x:v>Nao</x:v>
      </x:c>
    </x:row>
    <x:row r="823" ht="19" customHeight="1">
      <x:c r="A823" t="str">
        <x:v>ENT-00822</x:v>
      </x:c>
      <x:c r="B823" s="41" t="n">
        <x:v>46228</x:v>
      </x:c>
      <x:c r="C823" s="41" t="n">
        <x:v>46231</x:v>
      </x:c>
      <x:c r="D823" s="41" t="n">
        <x:v>46231</x:v>
      </x:c>
      <x:c r="E823" t="str">
        <x:v>Mercado Sul, Lda.</x:v>
      </x:c>
      <x:c r="F823" t="str">
        <x:v>Benfica</x:v>
      </x:c>
      <x:c r="G823" t="str">
        <x:v>Lucas Tomás</x:v>
      </x:c>
      <x:c r="H823" t="str">
        <x:v>VTR-11</x:v>
      </x:c>
      <x:c r="I823" t="str">
        <x:v>JAC N56</x:v>
      </x:c>
      <x:c r="J823" t="n">
        <x:v>3500</x:v>
      </x:c>
      <x:c r="K823" t="n">
        <x:v>31</x:v>
      </x:c>
      <x:c r="L823" t="n">
        <x:v>31</x:v>
      </x:c>
      <x:c r="M823" t="n">
        <x:v>1037.7</x:v>
      </x:c>
      <x:c r="N823" t="n">
        <x:v>43</x:v>
      </x:c>
      <x:c r="O823" s="45" t="n">
        <x:v>652674</x:v>
      </x:c>
      <x:c r="P823" s="45" t="n">
        <x:v>40500</x:v>
      </x:c>
      <x:c r="Q823" t="str">
        <x:v>Entregue</x:v>
      </x:c>
      <x:c r="R823" t="str"/>
      <x:c r="S823" t="str">
        <x:v>Nao</x:v>
      </x:c>
      <x:c r="T823" t="str">
        <x:v>Nao</x:v>
      </x:c>
    </x:row>
    <x:row r="824" ht="19" customHeight="1">
      <x:c r="A824" t="str">
        <x:v>ENT-00823</x:v>
      </x:c>
      <x:c r="B824" s="41" t="n">
        <x:v>46260</x:v>
      </x:c>
      <x:c r="C824" s="41" t="n">
        <x:v>46262</x:v>
      </x:c>
      <x:c r="D824" s="41" t="n">
        <x:v>46263</x:v>
      </x:c>
      <x:c r="E824" t="str">
        <x:v>Prime Stock, Lda.</x:v>
      </x:c>
      <x:c r="F824" t="str">
        <x:v>Talatona</x:v>
      </x:c>
      <x:c r="G824" t="str">
        <x:v>Elísio António</x:v>
      </x:c>
      <x:c r="H824" t="str">
        <x:v>VTR-08</x:v>
      </x:c>
      <x:c r="I824" t="str">
        <x:v>Toyota Hilux</x:v>
      </x:c>
      <x:c r="J824" t="n">
        <x:v>1000</x:v>
      </x:c>
      <x:c r="K824" t="n">
        <x:v>84</x:v>
      </x:c>
      <x:c r="L824" t="n">
        <x:v>84</x:v>
      </x:c>
      <x:c r="M824" t="n">
        <x:v>903.5</x:v>
      </x:c>
      <x:c r="N824" t="n">
        <x:v>38</x:v>
      </x:c>
      <x:c r="O824" s="45" t="n">
        <x:v>1657656</x:v>
      </x:c>
      <x:c r="P824" s="45" t="n">
        <x:v>34500</x:v>
      </x:c>
      <x:c r="Q824" t="str">
        <x:v>Entregue</x:v>
      </x:c>
      <x:c r="R824" t="str">
        <x:v>Chuva/condicao da via</x:v>
      </x:c>
      <x:c r="S824" t="str">
        <x:v>Nao</x:v>
      </x:c>
      <x:c r="T824" t="str">
        <x:v>Nao</x:v>
      </x:c>
    </x:row>
    <x:row r="825" ht="19" customHeight="1">
      <x:c r="A825" t="str">
        <x:v>ENT-00824</x:v>
      </x:c>
      <x:c r="B825" s="41" t="n">
        <x:v>46247</x:v>
      </x:c>
      <x:c r="C825" s="41" t="n">
        <x:v>46249</x:v>
      </x:c>
      <x:c r="D825" s="41" t="n">
        <x:v>46250</x:v>
      </x:c>
      <x:c r="E825" t="str">
        <x:v>N'gola Market, Lda.</x:v>
      </x:c>
      <x:c r="F825" t="str">
        <x:v>Benfica</x:v>
      </x:c>
      <x:c r="G825" t="str">
        <x:v>Lucas Tomás</x:v>
      </x:c>
      <x:c r="H825" t="str">
        <x:v>VTR-08</x:v>
      </x:c>
      <x:c r="I825" t="str">
        <x:v>Toyota Hilux</x:v>
      </x:c>
      <x:c r="J825" t="n">
        <x:v>1000</x:v>
      </x:c>
      <x:c r="K825" t="n">
        <x:v>29</x:v>
      </x:c>
      <x:c r="L825" t="n">
        <x:v>29</x:v>
      </x:c>
      <x:c r="M825" t="n">
        <x:v>427.6</x:v>
      </x:c>
      <x:c r="N825" t="n">
        <x:v>39</x:v>
      </x:c>
      <x:c r="O825" s="45" t="n">
        <x:v>694550</x:v>
      </x:c>
      <x:c r="P825" s="45" t="n">
        <x:v>32000</x:v>
      </x:c>
      <x:c r="Q825" t="str">
        <x:v>Entregue</x:v>
      </x:c>
      <x:c r="R825" t="str">
        <x:v>Atraso no carregamento</x:v>
      </x:c>
      <x:c r="S825" t="str">
        <x:v>Nao</x:v>
      </x:c>
      <x:c r="T825" t="str">
        <x:v>Nao</x:v>
      </x:c>
    </x:row>
    <x:row r="826" ht="19" customHeight="1">
      <x:c r="A826" t="str">
        <x:v>ENT-00825</x:v>
      </x:c>
      <x:c r="B826" s="41" t="n">
        <x:v>46260</x:v>
      </x:c>
      <x:c r="C826" s="41" t="n">
        <x:v>46263</x:v>
      </x:c>
      <x:c r="D826" s="41" t="n">
        <x:v>46263</x:v>
      </x:c>
      <x:c r="E826" t="str">
        <x:v>Cesta Certa, Lda.</x:v>
      </x:c>
      <x:c r="F826" t="str">
        <x:v>Kilamba</x:v>
      </x:c>
      <x:c r="G826" t="str">
        <x:v>Dário Joaquim</x:v>
      </x:c>
      <x:c r="H826" t="str">
        <x:v>VTR-09</x:v>
      </x:c>
      <x:c r="I826" t="str">
        <x:v>Toyota Hilux</x:v>
      </x:c>
      <x:c r="J826" t="n">
        <x:v>1000</x:v>
      </x:c>
      <x:c r="K826" t="n">
        <x:v>19</x:v>
      </x:c>
      <x:c r="L826" t="n">
        <x:v>19</x:v>
      </x:c>
      <x:c r="M826" t="n">
        <x:v>570.1</x:v>
      </x:c>
      <x:c r="N826" t="n">
        <x:v>40</x:v>
      </x:c>
      <x:c r="O826" s="45" t="n">
        <x:v>180063</x:v>
      </x:c>
      <x:c r="P826" s="45" t="n">
        <x:v>36000</x:v>
      </x:c>
      <x:c r="Q826" t="str">
        <x:v>Entregue</x:v>
      </x:c>
      <x:c r="R826" t="str"/>
      <x:c r="S826" t="str">
        <x:v>Nao</x:v>
      </x:c>
      <x:c r="T826" t="str">
        <x:v>Nao</x:v>
      </x:c>
    </x:row>
    <x:row r="827" ht="19" customHeight="1">
      <x:c r="A827" t="str">
        <x:v>ENT-00826</x:v>
      </x:c>
      <x:c r="B827" s="41" t="n">
        <x:v>46227</x:v>
      </x:c>
      <x:c r="C827" s="41" t="n">
        <x:v>46229</x:v>
      </x:c>
      <x:c r="D827" s="41" t="n">
        <x:v>46229</x:v>
      </x:c>
      <x:c r="E827" t="str">
        <x:v>Via Certa Serviços, Lda.</x:v>
      </x:c>
      <x:c r="F827" t="str">
        <x:v>Nova Vida</x:v>
      </x:c>
      <x:c r="G827" t="str">
        <x:v>Dário Joaquim</x:v>
      </x:c>
      <x:c r="H827" t="str">
        <x:v>VTR-08</x:v>
      </x:c>
      <x:c r="I827" t="str">
        <x:v>Toyota Hilux</x:v>
      </x:c>
      <x:c r="J827" t="n">
        <x:v>1000</x:v>
      </x:c>
      <x:c r="K827" t="n">
        <x:v>44</x:v>
      </x:c>
      <x:c r="L827" t="n">
        <x:v>44</x:v>
      </x:c>
      <x:c r="M827" t="n">
        <x:v>577.6</x:v>
      </x:c>
      <x:c r="N827" t="n">
        <x:v>20</x:v>
      </x:c>
      <x:c r="O827" s="45" t="n">
        <x:v>295548</x:v>
      </x:c>
      <x:c r="P827" s="45" t="n">
        <x:v>23500</x:v>
      </x:c>
      <x:c r="Q827" t="str">
        <x:v>Entregue</x:v>
      </x:c>
      <x:c r="R827" t="str"/>
      <x:c r="S827" t="str">
        <x:v>Nao</x:v>
      </x:c>
      <x:c r="T827" t="str">
        <x:v>Nao</x:v>
      </x:c>
    </x:row>
    <x:row r="828" ht="19" customHeight="1">
      <x:c r="A828" t="str">
        <x:v>ENT-00827</x:v>
      </x:c>
      <x:c r="B828" s="41" t="n">
        <x:v>46226</x:v>
      </x:c>
      <x:c r="C828" s="41" t="n">
        <x:v>46227</x:v>
      </x:c>
      <x:c r="D828" s="41" t="n">
        <x:v>46227</x:v>
      </x:c>
      <x:c r="E828" t="str">
        <x:v>Cesta Certa, Lda.</x:v>
      </x:c>
      <x:c r="F828" t="str">
        <x:v>Ingombota</x:v>
      </x:c>
      <x:c r="G828" t="str">
        <x:v>Adriano Manuel</x:v>
      </x:c>
      <x:c r="H828" t="str">
        <x:v>VTR-01</x:v>
      </x:c>
      <x:c r="I828" t="str">
        <x:v>Kia K2700</x:v>
      </x:c>
      <x:c r="J828" t="n">
        <x:v>1500</x:v>
      </x:c>
      <x:c r="K828" t="n">
        <x:v>57</x:v>
      </x:c>
      <x:c r="L828" t="n">
        <x:v>57</x:v>
      </x:c>
      <x:c r="M828" t="n">
        <x:v>422.5</x:v>
      </x:c>
      <x:c r="N828" t="n">
        <x:v>10</x:v>
      </x:c>
      <x:c r="O828" s="45" t="n">
        <x:v>499548</x:v>
      </x:c>
      <x:c r="P828" s="45" t="n">
        <x:v>17000</x:v>
      </x:c>
      <x:c r="Q828" t="str">
        <x:v>Entregue</x:v>
      </x:c>
      <x:c r="R828" t="str"/>
      <x:c r="S828" t="str">
        <x:v>Nao</x:v>
      </x:c>
      <x:c r="T828" t="str">
        <x:v>Nao</x:v>
      </x:c>
    </x:row>
    <x:row r="829" ht="19" customHeight="1">
      <x:c r="A829" t="str">
        <x:v>ENT-00828</x:v>
      </x:c>
      <x:c r="B829" s="41" t="n">
        <x:v>46210</x:v>
      </x:c>
      <x:c r="C829" s="41" t="n">
        <x:v>46213</x:v>
      </x:c>
      <x:c r="D829" s="41" t="n">
        <x:v>46213</x:v>
      </x:c>
      <x:c r="E829" t="str">
        <x:v>Mundo Fresco, Lda.</x:v>
      </x:c>
      <x:c r="F829" t="str">
        <x:v>Zango</x:v>
      </x:c>
      <x:c r="G829" t="str">
        <x:v>Félix Domingos</x:v>
      </x:c>
      <x:c r="H829" t="str">
        <x:v>VTR-07</x:v>
      </x:c>
      <x:c r="I829" t="str">
        <x:v>Isuzu NPR</x:v>
      </x:c>
      <x:c r="J829" t="n">
        <x:v>5000</x:v>
      </x:c>
      <x:c r="K829" t="n">
        <x:v>58</x:v>
      </x:c>
      <x:c r="L829" t="n">
        <x:v>58</x:v>
      </x:c>
      <x:c r="M829" t="n">
        <x:v>1017.7</x:v>
      </x:c>
      <x:c r="N829" t="n">
        <x:v>62</x:v>
      </x:c>
      <x:c r="O829" s="45" t="n">
        <x:v>1474418</x:v>
      </x:c>
      <x:c r="P829" s="45" t="n">
        <x:v>54500</x:v>
      </x:c>
      <x:c r="Q829" t="str">
        <x:v>Entregue</x:v>
      </x:c>
      <x:c r="R829" t="str"/>
      <x:c r="S829" t="str">
        <x:v>Nao</x:v>
      </x:c>
      <x:c r="T829" t="str">
        <x:v>Sim</x:v>
      </x:c>
    </x:row>
    <x:row r="830" ht="19" customHeight="1">
      <x:c r="A830" t="str">
        <x:v>ENT-00829</x:v>
      </x:c>
      <x:c r="B830" s="41" t="n">
        <x:v>46237</x:v>
      </x:c>
      <x:c r="C830" s="41" t="n">
        <x:v>46238</x:v>
      </x:c>
      <x:c r="D830" s="41" t="n">
        <x:v>46238</x:v>
      </x:c>
      <x:c r="E830" t="str">
        <x:v>N'gola Market, Lda.</x:v>
      </x:c>
      <x:c r="F830" t="str">
        <x:v>Maianga</x:v>
      </x:c>
      <x:c r="G830" t="str">
        <x:v>Gilberto José</x:v>
      </x:c>
      <x:c r="H830" t="str">
        <x:v>VTR-11</x:v>
      </x:c>
      <x:c r="I830" t="str">
        <x:v>JAC N56</x:v>
      </x:c>
      <x:c r="J830" t="n">
        <x:v>3500</x:v>
      </x:c>
      <x:c r="K830" t="n">
        <x:v>82</x:v>
      </x:c>
      <x:c r="L830" t="n">
        <x:v>82</x:v>
      </x:c>
      <x:c r="M830" t="n">
        <x:v>749.2</x:v>
      </x:c>
      <x:c r="N830" t="n">
        <x:v>17</x:v>
      </x:c>
      <x:c r="O830" s="45" t="n">
        <x:v>872234</x:v>
      </x:c>
      <x:c r="P830" s="45" t="n">
        <x:v>24500</x:v>
      </x:c>
      <x:c r="Q830" t="str">
        <x:v>Entregue</x:v>
      </x:c>
      <x:c r="R830" t="str"/>
      <x:c r="S830" t="str">
        <x:v>Nao</x:v>
      </x:c>
      <x:c r="T830" t="str">
        <x:v>Nao</x:v>
      </x:c>
    </x:row>
    <x:row r="831" ht="19" customHeight="1">
      <x:c r="A831" t="str">
        <x:v>ENT-00830</x:v>
      </x:c>
      <x:c r="B831" s="41" t="n">
        <x:v>46255</x:v>
      </x:c>
      <x:c r="C831" s="41" t="n">
        <x:v>46256</x:v>
      </x:c>
      <x:c r="D831" s="41" t="n">
        <x:v>46255</x:v>
      </x:c>
      <x:c r="E831" t="str">
        <x:v>Casa Horizonte, Lda.</x:v>
      </x:c>
      <x:c r="F831" t="str">
        <x:v>Ingombota</x:v>
      </x:c>
      <x:c r="G831" t="str">
        <x:v>Lucas Tomás</x:v>
      </x:c>
      <x:c r="H831" t="str">
        <x:v>VTR-09</x:v>
      </x:c>
      <x:c r="I831" t="str">
        <x:v>Toyota Hilux</x:v>
      </x:c>
      <x:c r="J831" t="n">
        <x:v>1000</x:v>
      </x:c>
      <x:c r="K831" t="n">
        <x:v>42</x:v>
      </x:c>
      <x:c r="L831" t="n">
        <x:v>42</x:v>
      </x:c>
      <x:c r="M831" t="n">
        <x:v>582.9</x:v>
      </x:c>
      <x:c r="N831" t="n">
        <x:v>8</x:v>
      </x:c>
      <x:c r="O831" s="45" t="n">
        <x:v>1045170</x:v>
      </x:c>
      <x:c r="P831" s="45" t="n">
        <x:v>18500</x:v>
      </x:c>
      <x:c r="Q831" t="str">
        <x:v>Entregue</x:v>
      </x:c>
      <x:c r="R831" t="str"/>
      <x:c r="S831" t="str">
        <x:v>Nao</x:v>
      </x:c>
      <x:c r="T831" t="str">
        <x:v>Nao</x:v>
      </x:c>
    </x:row>
    <x:row r="832" ht="19" customHeight="1">
      <x:c r="A832" t="str">
        <x:v>ENT-00831</x:v>
      </x:c>
      <x:c r="B832" s="41" t="n">
        <x:v>46253</x:v>
      </x:c>
      <x:c r="C832" s="41" t="n">
        <x:v>46256</x:v>
      </x:c>
      <x:c r="D832" s="41" t="n">
        <x:v>46259</x:v>
      </x:c>
      <x:c r="E832" t="str">
        <x:v>Kiala &amp; Filhos, Lda.</x:v>
      </x:c>
      <x:c r="F832" t="str">
        <x:v>Kilamba</x:v>
      </x:c>
      <x:c r="G832" t="str">
        <x:v>Dário Joaquim</x:v>
      </x:c>
      <x:c r="H832" t="str">
        <x:v>VTR-10</x:v>
      </x:c>
      <x:c r="I832" t="str">
        <x:v>Foton Aumark</x:v>
      </x:c>
      <x:c r="J832" t="n">
        <x:v>4000</x:v>
      </x:c>
      <x:c r="K832" t="n">
        <x:v>24</x:v>
      </x:c>
      <x:c r="L832" t="n">
        <x:v>24</x:v>
      </x:c>
      <x:c r="M832" t="n">
        <x:v>185</x:v>
      </x:c>
      <x:c r="N832" t="n">
        <x:v>41</x:v>
      </x:c>
      <x:c r="O832" s="45" t="n">
        <x:v>209448</x:v>
      </x:c>
      <x:c r="P832" s="45" t="n">
        <x:v>28500</x:v>
      </x:c>
      <x:c r="Q832" t="str">
        <x:v>Entregue</x:v>
      </x:c>
      <x:c r="R832" t="str">
        <x:v>Transito intenso</x:v>
      </x:c>
      <x:c r="S832" t="str">
        <x:v>Nao</x:v>
      </x:c>
      <x:c r="T832" t="str">
        <x:v>Nao</x:v>
      </x:c>
    </x:row>
    <x:row r="833" ht="19" customHeight="1">
      <x:c r="A833" t="str">
        <x:v>ENT-00832</x:v>
      </x:c>
      <x:c r="B833" s="41" t="n">
        <x:v>46215</x:v>
      </x:c>
      <x:c r="C833" s="41" t="n">
        <x:v>46218</x:v>
      </x:c>
      <x:c r="D833" s="41" t="n">
        <x:v>46218</x:v>
      </x:c>
      <x:c r="E833" t="str">
        <x:v>Rota Azul, Lda.</x:v>
      </x:c>
      <x:c r="F833" t="str">
        <x:v>Zango</x:v>
      </x:c>
      <x:c r="G833" t="str">
        <x:v>Bernardo Paulo</x:v>
      </x:c>
      <x:c r="H833" t="str">
        <x:v>VTR-11</x:v>
      </x:c>
      <x:c r="I833" t="str">
        <x:v>JAC N56</x:v>
      </x:c>
      <x:c r="J833" t="n">
        <x:v>3500</x:v>
      </x:c>
      <x:c r="K833" t="n">
        <x:v>68</x:v>
      </x:c>
      <x:c r="L833" t="n">
        <x:v>68</x:v>
      </x:c>
      <x:c r="M833" t="n">
        <x:v>1056.7</x:v>
      </x:c>
      <x:c r="N833" t="n">
        <x:v>62</x:v>
      </x:c>
      <x:c r="O833" s="45" t="n">
        <x:v>897940</x:v>
      </x:c>
      <x:c r="P833" s="45" t="n">
        <x:v>53000</x:v>
      </x:c>
      <x:c r="Q833" t="str">
        <x:v>Entregue</x:v>
      </x:c>
      <x:c r="R833" t="str"/>
      <x:c r="S833" t="str">
        <x:v>Nao</x:v>
      </x:c>
      <x:c r="T833" t="str">
        <x:v>Nao</x:v>
      </x:c>
    </x:row>
    <x:row r="834" ht="19" customHeight="1">
      <x:c r="A834" t="str">
        <x:v>ENT-00833</x:v>
      </x:c>
      <x:c r="B834" s="41" t="n">
        <x:v>46251</x:v>
      </x:c>
      <x:c r="C834" s="41" t="n">
        <x:v>46253</x:v>
      </x:c>
      <x:c r="D834" s="41" t="n">
        <x:v>46254</x:v>
      </x:c>
      <x:c r="E834" t="str">
        <x:v>Maxi Centro, Lda.</x:v>
      </x:c>
      <x:c r="F834" t="str">
        <x:v>Cacuaco</x:v>
      </x:c>
      <x:c r="G834" t="str">
        <x:v>Lucas Tomás</x:v>
      </x:c>
      <x:c r="H834" t="str">
        <x:v>VTR-08</x:v>
      </x:c>
      <x:c r="I834" t="str">
        <x:v>Toyota Hilux</x:v>
      </x:c>
      <x:c r="J834" t="n">
        <x:v>1000</x:v>
      </x:c>
      <x:c r="K834" t="n">
        <x:v>33</x:v>
      </x:c>
      <x:c r="L834" t="n">
        <x:v>33</x:v>
      </x:c>
      <x:c r="M834" t="n">
        <x:v>574.6</x:v>
      </x:c>
      <x:c r="N834" t="n">
        <x:v>39</x:v>
      </x:c>
      <x:c r="O834" s="45" t="n">
        <x:v>815562</x:v>
      </x:c>
      <x:c r="P834" s="45" t="n">
        <x:v>30500</x:v>
      </x:c>
      <x:c r="Q834" t="str">
        <x:v>Entregue</x:v>
      </x:c>
      <x:c r="R834" t="str">
        <x:v>Atraso no carregamento</x:v>
      </x:c>
      <x:c r="S834" t="str">
        <x:v>Nao</x:v>
      </x:c>
      <x:c r="T834" t="str">
        <x:v>Nao</x:v>
      </x:c>
    </x:row>
    <x:row r="835" ht="19" customHeight="1">
      <x:c r="A835" t="str">
        <x:v>ENT-00834</x:v>
      </x:c>
      <x:c r="B835" s="41" t="n">
        <x:v>46244</x:v>
      </x:c>
      <x:c r="C835" s="41" t="n">
        <x:v>46246</x:v>
      </x:c>
      <x:c r="D835" s="41" t="n">
        <x:v>46246</x:v>
      </x:c>
      <x:c r="E835" t="str">
        <x:v>Bem-Estar Higiene, Lda.</x:v>
      </x:c>
      <x:c r="F835" t="str">
        <x:v>Kikuxi</x:v>
      </x:c>
      <x:c r="G835" t="str">
        <x:v>Isaías Pedro</x:v>
      </x:c>
      <x:c r="H835" t="str">
        <x:v>VTR-12</x:v>
      </x:c>
      <x:c r="I835" t="str">
        <x:v>Hyundai H100</x:v>
      </x:c>
      <x:c r="J835" t="n">
        <x:v>1300</x:v>
      </x:c>
      <x:c r="K835" t="n">
        <x:v>43</x:v>
      </x:c>
      <x:c r="L835" t="n">
        <x:v>43</x:v>
      </x:c>
      <x:c r="M835" t="n">
        <x:v>1227.4</x:v>
      </x:c>
      <x:c r="N835" t="n">
        <x:v>32</x:v>
      </x:c>
      <x:c r="O835" s="45" t="n">
        <x:v>427377</x:v>
      </x:c>
      <x:c r="P835" s="45" t="n">
        <x:v>38000</x:v>
      </x:c>
      <x:c r="Q835" t="str">
        <x:v>Entregue</x:v>
      </x:c>
      <x:c r="R835" t="str"/>
      <x:c r="S835" t="str">
        <x:v>Nao</x:v>
      </x:c>
      <x:c r="T835" t="str">
        <x:v>Nao</x:v>
      </x:c>
    </x:row>
    <x:row r="836" ht="19" customHeight="1">
      <x:c r="A836" t="str">
        <x:v>ENT-00835</x:v>
      </x:c>
      <x:c r="B836" s="41" t="n">
        <x:v>46208</x:v>
      </x:c>
      <x:c r="C836" s="41" t="n">
        <x:v>46210</x:v>
      </x:c>
      <x:c r="D836" s="41" t="n">
        <x:v>46212</x:v>
      </x:c>
      <x:c r="E836" t="str">
        <x:v>N'gola Market, Lda.</x:v>
      </x:c>
      <x:c r="F836" t="str">
        <x:v>Nova Vida</x:v>
      </x:c>
      <x:c r="G836" t="str">
        <x:v>Bernardo Paulo</x:v>
      </x:c>
      <x:c r="H836" t="str">
        <x:v>VTR-08</x:v>
      </x:c>
      <x:c r="I836" t="str">
        <x:v>Toyota Hilux</x:v>
      </x:c>
      <x:c r="J836" t="n">
        <x:v>1000</x:v>
      </x:c>
      <x:c r="K836" t="n">
        <x:v>68</x:v>
      </x:c>
      <x:c r="L836" t="n">
        <x:v>68</x:v>
      </x:c>
      <x:c r="M836" t="n">
        <x:v>606.1</x:v>
      </x:c>
      <x:c r="N836" t="n">
        <x:v>25</x:v>
      </x:c>
      <x:c r="O836" s="45" t="n">
        <x:v>1126352</x:v>
      </x:c>
      <x:c r="P836" s="45" t="n">
        <x:v>30500</x:v>
      </x:c>
      <x:c r="Q836" t="str">
        <x:v>Entregue</x:v>
      </x:c>
      <x:c r="R836" t="str">
        <x:v>Transito intenso</x:v>
      </x:c>
      <x:c r="S836" t="str">
        <x:v>Nao</x:v>
      </x:c>
      <x:c r="T836" t="str">
        <x:v>Nao</x:v>
      </x:c>
    </x:row>
    <x:row r="837" ht="19" customHeight="1">
      <x:c r="A837" t="str">
        <x:v>ENT-00836</x:v>
      </x:c>
      <x:c r="B837" s="41" t="n">
        <x:v>46250</x:v>
      </x:c>
      <x:c r="C837" s="41" t="n">
        <x:v>46252</x:v>
      </x:c>
      <x:c r="D837" s="41" t="n">
        <x:v>46253</x:v>
      </x:c>
      <x:c r="E837" t="str">
        <x:v>Maxi Centro, Lda.</x:v>
      </x:c>
      <x:c r="F837" t="str">
        <x:v>Kilamba</x:v>
      </x:c>
      <x:c r="G837" t="str">
        <x:v>Isaías Pedro</x:v>
      </x:c>
      <x:c r="H837" t="str">
        <x:v>VTR-01</x:v>
      </x:c>
      <x:c r="I837" t="str">
        <x:v>Kia K2700</x:v>
      </x:c>
      <x:c r="J837" t="n">
        <x:v>1500</x:v>
      </x:c>
      <x:c r="K837" t="n">
        <x:v>30</x:v>
      </x:c>
      <x:c r="L837" t="n">
        <x:v>0</x:v>
      </x:c>
      <x:c r="M837" t="n">
        <x:v>380.5</x:v>
      </x:c>
      <x:c r="N837" t="n">
        <x:v>26</x:v>
      </x:c>
      <x:c r="O837" s="45" t="n">
        <x:v>704010</x:v>
      </x:c>
      <x:c r="P837" s="45" t="n">
        <x:v>26000</x:v>
      </x:c>
      <x:c r="Q837" t="str">
        <x:v>Falhada</x:v>
      </x:c>
      <x:c r="R837" t="str">
        <x:v>Endereco incompleto</x:v>
      </x:c>
      <x:c r="S837" t="str">
        <x:v>Nao</x:v>
      </x:c>
      <x:c r="T837" t="str">
        <x:v>Nao</x:v>
      </x:c>
    </x:row>
    <x:row r="838" ht="19" customHeight="1">
      <x:c r="A838" t="str">
        <x:v>ENT-00837</x:v>
      </x:c>
      <x:c r="B838" s="41" t="n">
        <x:v>46213</x:v>
      </x:c>
      <x:c r="C838" s="41" t="n">
        <x:v>46215</x:v>
      </x:c>
      <x:c r="D838" s="41" t="n">
        <x:v>46215</x:v>
      </x:c>
      <x:c r="E838" t="str">
        <x:v>Kiala &amp; Filhos, Lda.</x:v>
      </x:c>
      <x:c r="F838" t="str">
        <x:v>Cacuaco</x:v>
      </x:c>
      <x:c r="G838" t="str">
        <x:v>Lucas Tomás</x:v>
      </x:c>
      <x:c r="H838" t="str">
        <x:v>VTR-04</x:v>
      </x:c>
      <x:c r="I838" t="str">
        <x:v>Toyota Dyna</x:v>
      </x:c>
      <x:c r="J838" t="n">
        <x:v>3000</x:v>
      </x:c>
      <x:c r="K838" t="n">
        <x:v>69</x:v>
      </x:c>
      <x:c r="L838" t="n">
        <x:v>69</x:v>
      </x:c>
      <x:c r="M838" t="n">
        <x:v>2375.8</x:v>
      </x:c>
      <x:c r="N838" t="n">
        <x:v>31</x:v>
      </x:c>
      <x:c r="O838" s="45" t="n">
        <x:v>357972</x:v>
      </x:c>
      <x:c r="P838" s="45" t="n">
        <x:v>65000</x:v>
      </x:c>
      <x:c r="Q838" t="str">
        <x:v>Entregue</x:v>
      </x:c>
      <x:c r="R838" t="str"/>
      <x:c r="S838" t="str">
        <x:v>Sim</x:v>
      </x:c>
      <x:c r="T838" t="str">
        <x:v>Nao</x:v>
      </x:c>
    </x:row>
    <x:row r="839" ht="19" customHeight="1">
      <x:c r="A839" t="str">
        <x:v>ENT-00838</x:v>
      </x:c>
      <x:c r="B839" s="41" t="n">
        <x:v>46211</x:v>
      </x:c>
      <x:c r="C839" s="41" t="n">
        <x:v>46213</x:v>
      </x:c>
      <x:c r="D839" s="41" t="n">
        <x:v>46213</x:v>
      </x:c>
      <x:c r="E839" t="str">
        <x:v>Cesta Certa, Lda.</x:v>
      </x:c>
      <x:c r="F839" t="str">
        <x:v>Zango</x:v>
      </x:c>
      <x:c r="G839" t="str">
        <x:v>Jorge Mário</x:v>
      </x:c>
      <x:c r="H839" t="str">
        <x:v>VTR-10</x:v>
      </x:c>
      <x:c r="I839" t="str">
        <x:v>Foton Aumark</x:v>
      </x:c>
      <x:c r="J839" t="n">
        <x:v>4000</x:v>
      </x:c>
      <x:c r="K839" t="n">
        <x:v>45</x:v>
      </x:c>
      <x:c r="L839" t="n">
        <x:v>45</x:v>
      </x:c>
      <x:c r="M839" t="n">
        <x:v>1027.6</x:v>
      </x:c>
      <x:c r="N839" t="n">
        <x:v>34</x:v>
      </x:c>
      <x:c r="O839" s="45" t="n">
        <x:v>1147455</x:v>
      </x:c>
      <x:c r="P839" s="45" t="n">
        <x:v>41000</x:v>
      </x:c>
      <x:c r="Q839" t="str">
        <x:v>Entregue</x:v>
      </x:c>
      <x:c r="R839" t="str"/>
      <x:c r="S839" t="str">
        <x:v>Nao</x:v>
      </x:c>
      <x:c r="T839" t="str">
        <x:v>Nao</x:v>
      </x:c>
    </x:row>
    <x:row r="840" ht="19" customHeight="1">
      <x:c r="A840" t="str">
        <x:v>ENT-00839</x:v>
      </x:c>
      <x:c r="B840" s="41" t="n">
        <x:v>46226</x:v>
      </x:c>
      <x:c r="C840" s="41" t="n">
        <x:v>46229</x:v>
      </x:c>
      <x:c r="D840" s="41" t="n">
        <x:v>46229</x:v>
      </x:c>
      <x:c r="E840" t="str">
        <x:v>Mercado Sul, Lda.</x:v>
      </x:c>
      <x:c r="F840" t="str">
        <x:v>Benfica</x:v>
      </x:c>
      <x:c r="G840" t="str">
        <x:v>Gilberto José</x:v>
      </x:c>
      <x:c r="H840" t="str">
        <x:v>VTR-07</x:v>
      </x:c>
      <x:c r="I840" t="str">
        <x:v>Isuzu NPR</x:v>
      </x:c>
      <x:c r="J840" t="n">
        <x:v>5000</x:v>
      </x:c>
      <x:c r="K840" t="n">
        <x:v>68</x:v>
      </x:c>
      <x:c r="L840" t="n">
        <x:v>68</x:v>
      </x:c>
      <x:c r="M840" t="n">
        <x:v>2165.3</x:v>
      </x:c>
      <x:c r="N840" t="n">
        <x:v>40</x:v>
      </x:c>
      <x:c r="O840" s="45" t="n">
        <x:v>1369588</x:v>
      </x:c>
      <x:c r="P840" s="45" t="n">
        <x:v>58500</x:v>
      </x:c>
      <x:c r="Q840" t="str">
        <x:v>Entregue</x:v>
      </x:c>
      <x:c r="R840" t="str"/>
      <x:c r="S840" t="str">
        <x:v>Nao</x:v>
      </x:c>
      <x:c r="T840" t="str">
        <x:v>Nao</x:v>
      </x:c>
    </x:row>
    <x:row r="841" ht="19" customHeight="1">
      <x:c r="A841" t="str">
        <x:v>ENT-00840</x:v>
      </x:c>
      <x:c r="B841" s="41" t="n">
        <x:v>46229</x:v>
      </x:c>
      <x:c r="C841" s="41" t="n">
        <x:v>46230</x:v>
      </x:c>
      <x:c r="D841" s="41" t="n">
        <x:v>46230</x:v>
      </x:c>
      <x:c r="E841" t="str">
        <x:v>Nova Rota Comercial, Lda.</x:v>
      </x:c>
      <x:c r="F841" t="str">
        <x:v>Camama</x:v>
      </x:c>
      <x:c r="G841" t="str">
        <x:v>Dário Joaquim</x:v>
      </x:c>
      <x:c r="H841" t="str">
        <x:v>VTR-01</x:v>
      </x:c>
      <x:c r="I841" t="str">
        <x:v>Kia K2700</x:v>
      </x:c>
      <x:c r="J841" t="n">
        <x:v>1500</x:v>
      </x:c>
      <x:c r="K841" t="n">
        <x:v>22</x:v>
      </x:c>
      <x:c r="L841" t="n">
        <x:v>22</x:v>
      </x:c>
      <x:c r="M841" t="n">
        <x:v>765.3</x:v>
      </x:c>
      <x:c r="N841" t="n">
        <x:v>18</x:v>
      </x:c>
      <x:c r="O841" s="45" t="n">
        <x:v>338052</x:v>
      </x:c>
      <x:c r="P841" s="45" t="n">
        <x:v>26500</x:v>
      </x:c>
      <x:c r="Q841" t="str">
        <x:v>Entregue</x:v>
      </x:c>
      <x:c r="R841" t="str"/>
      <x:c r="S841" t="str">
        <x:v>Nao</x:v>
      </x:c>
      <x:c r="T841" t="str">
        <x:v>Nao</x:v>
      </x:c>
    </x:row>
    <x:row r="842" ht="19" customHeight="1">
      <x:c r="A842" t="str">
        <x:v>ENT-00841</x:v>
      </x:c>
      <x:c r="B842" s="41" t="n">
        <x:v>46226</x:v>
      </x:c>
      <x:c r="C842" s="41" t="n">
        <x:v>46229</x:v>
      </x:c>
      <x:c r="D842" s="41" t="n">
        <x:v>46229</x:v>
      </x:c>
      <x:c r="E842" t="str">
        <x:v>Nova Rota Comercial, Lda.</x:v>
      </x:c>
      <x:c r="F842" t="str">
        <x:v>Benfica</x:v>
      </x:c>
      <x:c r="G842" t="str">
        <x:v>Dário Joaquim</x:v>
      </x:c>
      <x:c r="H842" t="str">
        <x:v>VTR-12</x:v>
      </x:c>
      <x:c r="I842" t="str">
        <x:v>Hyundai H100</x:v>
      </x:c>
      <x:c r="J842" t="n">
        <x:v>1300</x:v>
      </x:c>
      <x:c r="K842" t="n">
        <x:v>74</x:v>
      </x:c>
      <x:c r="L842" t="n">
        <x:v>74</x:v>
      </x:c>
      <x:c r="M842" t="n">
        <x:v>1148.3</x:v>
      </x:c>
      <x:c r="N842" t="n">
        <x:v>48</x:v>
      </x:c>
      <x:c r="O842" s="45" t="n">
        <x:v>1372700</x:v>
      </x:c>
      <x:c r="P842" s="45" t="n">
        <x:v>44500</x:v>
      </x:c>
      <x:c r="Q842" t="str">
        <x:v>Entregue</x:v>
      </x:c>
      <x:c r="R842" t="str"/>
      <x:c r="S842" t="str">
        <x:v>Nao</x:v>
      </x:c>
      <x:c r="T842" t="str">
        <x:v>Nao</x:v>
      </x:c>
    </x:row>
    <x:row r="843" ht="19" customHeight="1">
      <x:c r="A843" t="str">
        <x:v>ENT-00842</x:v>
      </x:c>
      <x:c r="B843" s="41" t="n">
        <x:v>46253</x:v>
      </x:c>
      <x:c r="C843" s="41" t="n">
        <x:v>46256</x:v>
      </x:c>
      <x:c r="D843" s="41" t="n">
        <x:v>46256</x:v>
      </x:c>
      <x:c r="E843" t="str">
        <x:v>Prime Stock, Lda.</x:v>
      </x:c>
      <x:c r="F843" t="str">
        <x:v>Sequele</x:v>
      </x:c>
      <x:c r="G843" t="str">
        <x:v>Dário Joaquim</x:v>
      </x:c>
      <x:c r="H843" t="str">
        <x:v>VTR-08</x:v>
      </x:c>
      <x:c r="I843" t="str">
        <x:v>Toyota Hilux</x:v>
      </x:c>
      <x:c r="J843" t="n">
        <x:v>1000</x:v>
      </x:c>
      <x:c r="K843" t="n">
        <x:v>55</x:v>
      </x:c>
      <x:c r="L843" t="n">
        <x:v>55</x:v>
      </x:c>
      <x:c r="M843" t="n">
        <x:v>620.3</x:v>
      </x:c>
      <x:c r="N843" t="n">
        <x:v>57</x:v>
      </x:c>
      <x:c r="O843" s="45" t="n">
        <x:v>352110</x:v>
      </x:c>
      <x:c r="P843" s="45" t="n">
        <x:v>42000</x:v>
      </x:c>
      <x:c r="Q843" t="str">
        <x:v>Entregue</x:v>
      </x:c>
      <x:c r="R843" t="str"/>
      <x:c r="S843" t="str">
        <x:v>Nao</x:v>
      </x:c>
      <x:c r="T843" t="str">
        <x:v>Nao</x:v>
      </x:c>
    </x:row>
    <x:row r="844" ht="19" customHeight="1">
      <x:c r="A844" t="str">
        <x:v>ENT-00843</x:v>
      </x:c>
      <x:c r="B844" s="41" t="n">
        <x:v>46205</x:v>
      </x:c>
      <x:c r="C844" s="41" t="n">
        <x:v>46208</x:v>
      </x:c>
      <x:c r="D844" s="41" t="n">
        <x:v>46209</x:v>
      </x:c>
      <x:c r="E844" t="str">
        <x:v>Via Certa Serviços, Lda.</x:v>
      </x:c>
      <x:c r="F844" t="str">
        <x:v>Zango</x:v>
      </x:c>
      <x:c r="G844" t="str">
        <x:v>Elísio António</x:v>
      </x:c>
      <x:c r="H844" t="str">
        <x:v>VTR-05</x:v>
      </x:c>
      <x:c r="I844" t="str">
        <x:v>Hyundai HD65</x:v>
      </x:c>
      <x:c r="J844" t="n">
        <x:v>3500</x:v>
      </x:c>
      <x:c r="K844" t="n">
        <x:v>16</x:v>
      </x:c>
      <x:c r="L844" t="n">
        <x:v>16</x:v>
      </x:c>
      <x:c r="M844" t="n">
        <x:v>216.3</x:v>
      </x:c>
      <x:c r="N844" t="n">
        <x:v>47</x:v>
      </x:c>
      <x:c r="O844" s="45" t="n">
        <x:v>187824</x:v>
      </x:c>
      <x:c r="P844" s="45" t="n">
        <x:v>32000</x:v>
      </x:c>
      <x:c r="Q844" t="str">
        <x:v>Entregue</x:v>
      </x:c>
      <x:c r="R844" t="str">
        <x:v>Atraso no carregamento</x:v>
      </x:c>
      <x:c r="S844" t="str">
        <x:v>Nao</x:v>
      </x:c>
      <x:c r="T844" t="str">
        <x:v>Nao</x:v>
      </x:c>
    </x:row>
    <x:row r="845" ht="19" customHeight="1">
      <x:c r="A845" t="str">
        <x:v>ENT-00844</x:v>
      </x:c>
      <x:c r="B845" s="41" t="n">
        <x:v>46209</x:v>
      </x:c>
      <x:c r="C845" s="41" t="n">
        <x:v>46211</x:v>
      </x:c>
      <x:c r="D845" s="41" t="n">
        <x:v>46211</x:v>
      </x:c>
      <x:c r="E845" t="str">
        <x:v>Mercado Sul, Lda.</x:v>
      </x:c>
      <x:c r="F845" t="str">
        <x:v>Kilamba</x:v>
      </x:c>
      <x:c r="G845" t="str">
        <x:v>Bernardo Paulo</x:v>
      </x:c>
      <x:c r="H845" t="str">
        <x:v>VTR-09</x:v>
      </x:c>
      <x:c r="I845" t="str">
        <x:v>Toyota Hilux</x:v>
      </x:c>
      <x:c r="J845" t="n">
        <x:v>1000</x:v>
      </x:c>
      <x:c r="K845" t="n">
        <x:v>66</x:v>
      </x:c>
      <x:c r="L845" t="n">
        <x:v>66</x:v>
      </x:c>
      <x:c r="M845" t="n">
        <x:v>659.8</x:v>
      </x:c>
      <x:c r="N845" t="n">
        <x:v>39</x:v>
      </x:c>
      <x:c r="O845" s="45" t="n">
        <x:v>788766</x:v>
      </x:c>
      <x:c r="P845" s="45" t="n">
        <x:v>32500</x:v>
      </x:c>
      <x:c r="Q845" t="str">
        <x:v>Entregue</x:v>
      </x:c>
      <x:c r="R845" t="str"/>
      <x:c r="S845" t="str">
        <x:v>Nao</x:v>
      </x:c>
      <x:c r="T845" t="str">
        <x:v>Nao</x:v>
      </x:c>
    </x:row>
    <x:row r="846" ht="19" customHeight="1">
      <x:c r="A846" t="str">
        <x:v>ENT-00845</x:v>
      </x:c>
      <x:c r="B846" s="41" t="n">
        <x:v>46217</x:v>
      </x:c>
      <x:c r="C846" s="41" t="n">
        <x:v>46218</x:v>
      </x:c>
      <x:c r="D846" s="41" t="n">
        <x:v>46218</x:v>
      </x:c>
      <x:c r="E846" t="str">
        <x:v>Ponto Logístico, Lda.</x:v>
      </x:c>
      <x:c r="F846" t="str">
        <x:v>Ingombota</x:v>
      </x:c>
      <x:c r="G846" t="str">
        <x:v>Isaías Pedro</x:v>
      </x:c>
      <x:c r="H846" t="str">
        <x:v>VTR-12</x:v>
      </x:c>
      <x:c r="I846" t="str">
        <x:v>Hyundai H100</x:v>
      </x:c>
      <x:c r="J846" t="n">
        <x:v>1300</x:v>
      </x:c>
      <x:c r="K846" t="n">
        <x:v>43</x:v>
      </x:c>
      <x:c r="L846" t="n">
        <x:v>43</x:v>
      </x:c>
      <x:c r="M846" t="n">
        <x:v>520.1</x:v>
      </x:c>
      <x:c r="N846" t="n">
        <x:v>18</x:v>
      </x:c>
      <x:c r="O846" s="45" t="n">
        <x:v>174365</x:v>
      </x:c>
      <x:c r="P846" s="45" t="n">
        <x:v>25500</x:v>
      </x:c>
      <x:c r="Q846" t="str">
        <x:v>Entregue</x:v>
      </x:c>
      <x:c r="R846" t="str"/>
      <x:c r="S846" t="str">
        <x:v>Nao</x:v>
      </x:c>
      <x:c r="T846" t="str">
        <x:v>Nao</x:v>
      </x:c>
    </x:row>
    <x:row r="847" ht="19" customHeight="1">
      <x:c r="A847" t="str">
        <x:v>ENT-00846</x:v>
      </x:c>
      <x:c r="B847" s="41" t="n">
        <x:v>46262</x:v>
      </x:c>
      <x:c r="C847" s="41" t="n">
        <x:v>46265</x:v>
      </x:c>
      <x:c r="D847" s="41" t="n">
        <x:v>46265</x:v>
      </x:c>
      <x:c r="E847" t="str">
        <x:v>Nova Rota Comercial, Lda.</x:v>
      </x:c>
      <x:c r="F847" t="str">
        <x:v>Cacuaco</x:v>
      </x:c>
      <x:c r="G847" t="str">
        <x:v>Hélder Miguel</x:v>
      </x:c>
      <x:c r="H847" t="str">
        <x:v>VTR-04</x:v>
      </x:c>
      <x:c r="I847" t="str">
        <x:v>Toyota Dyna</x:v>
      </x:c>
      <x:c r="J847" t="n">
        <x:v>3000</x:v>
      </x:c>
      <x:c r="K847" t="n">
        <x:v>30</x:v>
      </x:c>
      <x:c r="L847" t="n">
        <x:v>30</x:v>
      </x:c>
      <x:c r="M847" t="n">
        <x:v>332.7</x:v>
      </x:c>
      <x:c r="N847" t="n">
        <x:v>43</x:v>
      </x:c>
      <x:c r="O847" s="45" t="n">
        <x:v>702570</x:v>
      </x:c>
      <x:c r="P847" s="45" t="n">
        <x:v>28000</x:v>
      </x:c>
      <x:c r="Q847" t="str">
        <x:v>Entregue</x:v>
      </x:c>
      <x:c r="R847" t="str"/>
      <x:c r="S847" t="str">
        <x:v>Nao</x:v>
      </x:c>
      <x:c r="T847" t="str">
        <x:v>Nao</x:v>
      </x:c>
    </x:row>
    <x:row r="848" ht="19" customHeight="1">
      <x:c r="A848" t="str">
        <x:v>ENT-00847</x:v>
      </x:c>
      <x:c r="B848" s="41" t="n">
        <x:v>46245</x:v>
      </x:c>
      <x:c r="C848" s="41" t="n">
        <x:v>46248</x:v>
      </x:c>
      <x:c r="D848" s="41" t="n">
        <x:v>46248</x:v>
      </x:c>
      <x:c r="E848" t="str">
        <x:v>Atlântico Farma, Lda.</x:v>
      </x:c>
      <x:c r="F848" t="str">
        <x:v>Zango</x:v>
      </x:c>
      <x:c r="G848" t="str">
        <x:v>Isaías Pedro</x:v>
      </x:c>
      <x:c r="H848" t="str">
        <x:v>VTR-03</x:v>
      </x:c>
      <x:c r="I848" t="str">
        <x:v>Toyota Dyna</x:v>
      </x:c>
      <x:c r="J848" t="n">
        <x:v>3000</x:v>
      </x:c>
      <x:c r="K848" t="n">
        <x:v>87</x:v>
      </x:c>
      <x:c r="L848" t="n">
        <x:v>87</x:v>
      </x:c>
      <x:c r="M848" t="n">
        <x:v>2704.3</x:v>
      </x:c>
      <x:c r="N848" t="n">
        <x:v>43</x:v>
      </x:c>
      <x:c r="O848" s="45" t="n">
        <x:v>980925</x:v>
      </x:c>
      <x:c r="P848" s="45" t="n">
        <x:v>68000</x:v>
      </x:c>
      <x:c r="Q848" t="str">
        <x:v>Entregue</x:v>
      </x:c>
      <x:c r="R848" t="str"/>
      <x:c r="S848" t="str">
        <x:v>Nao</x:v>
      </x:c>
      <x:c r="T848" t="str">
        <x:v>Nao</x:v>
      </x:c>
    </x:row>
    <x:row r="849" ht="19" customHeight="1">
      <x:c r="A849" t="str">
        <x:v>ENT-00848</x:v>
      </x:c>
      <x:c r="B849" s="41" t="n">
        <x:v>46212</x:v>
      </x:c>
      <x:c r="C849" s="41" t="n">
        <x:v>46215</x:v>
      </x:c>
      <x:c r="D849" s="41" t="n">
        <x:v>46215</x:v>
      </x:c>
      <x:c r="E849" t="str">
        <x:v>Savana Retail, Lda.</x:v>
      </x:c>
      <x:c r="F849" t="str">
        <x:v>Cacuaco</x:v>
      </x:c>
      <x:c r="G849" t="str">
        <x:v>Bernardo Paulo</x:v>
      </x:c>
      <x:c r="H849" t="str">
        <x:v>VTR-04</x:v>
      </x:c>
      <x:c r="I849" t="str">
        <x:v>Toyota Dyna</x:v>
      </x:c>
      <x:c r="J849" t="n">
        <x:v>3000</x:v>
      </x:c>
      <x:c r="K849" t="n">
        <x:v>29</x:v>
      </x:c>
      <x:c r="L849" t="n">
        <x:v>29</x:v>
      </x:c>
      <x:c r="M849" t="n">
        <x:v>582.7</x:v>
      </x:c>
      <x:c r="N849" t="n">
        <x:v>54</x:v>
      </x:c>
      <x:c r="O849" s="45" t="n">
        <x:v>150046</x:v>
      </x:c>
      <x:c r="P849" s="45" t="n">
        <x:v>39000</x:v>
      </x:c>
      <x:c r="Q849" t="str">
        <x:v>Entregue</x:v>
      </x:c>
      <x:c r="R849" t="str"/>
      <x:c r="S849" t="str">
        <x:v>Nao</x:v>
      </x:c>
      <x:c r="T849" t="str">
        <x:v>Nao</x:v>
      </x:c>
    </x:row>
    <x:row r="850" ht="19" customHeight="1">
      <x:c r="A850" t="str">
        <x:v>ENT-00849</x:v>
      </x:c>
      <x:c r="B850" s="41" t="n">
        <x:v>46210</x:v>
      </x:c>
      <x:c r="C850" s="41" t="n">
        <x:v>46212</x:v>
      </x:c>
      <x:c r="D850" s="41" t="n">
        <x:v>46212</x:v>
      </x:c>
      <x:c r="E850" t="str">
        <x:v>Cesta Certa, Lda.</x:v>
      </x:c>
      <x:c r="F850" t="str">
        <x:v>Talatona</x:v>
      </x:c>
      <x:c r="G850" t="str">
        <x:v>Elísio António</x:v>
      </x:c>
      <x:c r="H850" t="str">
        <x:v>VTR-02</x:v>
      </x:c>
      <x:c r="I850" t="str">
        <x:v>Kia K2700</x:v>
      </x:c>
      <x:c r="J850" t="n">
        <x:v>1500</x:v>
      </x:c>
      <x:c r="K850" t="n">
        <x:v>75</x:v>
      </x:c>
      <x:c r="L850" t="n">
        <x:v>75</x:v>
      </x:c>
      <x:c r="M850" t="n">
        <x:v>925.2</x:v>
      </x:c>
      <x:c r="N850" t="n">
        <x:v>27</x:v>
      </x:c>
      <x:c r="O850" s="45" t="n">
        <x:v>1143075</x:v>
      </x:c>
      <x:c r="P850" s="45" t="n">
        <x:v>33500</x:v>
      </x:c>
      <x:c r="Q850" t="str">
        <x:v>Entregue</x:v>
      </x:c>
      <x:c r="R850" t="str"/>
      <x:c r="S850" t="str">
        <x:v>Nao</x:v>
      </x:c>
      <x:c r="T850" t="str">
        <x:v>Nao</x:v>
      </x:c>
    </x:row>
    <x:row r="851" ht="19" customHeight="1">
      <x:c r="A851" t="str">
        <x:v>ENT-00850</x:v>
      </x:c>
      <x:c r="B851" s="41" t="n">
        <x:v>46219</x:v>
      </x:c>
      <x:c r="C851" s="41" t="n">
        <x:v>46220</x:v>
      </x:c>
      <x:c r="D851" s="41" t="n">
        <x:v>46220</x:v>
      </x:c>
      <x:c r="E851" t="str">
        <x:v>Bem-Estar Higiene, Lda.</x:v>
      </x:c>
      <x:c r="F851" t="str">
        <x:v>Ingombota</x:v>
      </x:c>
      <x:c r="G851" t="str">
        <x:v>Félix Domingos</x:v>
      </x:c>
      <x:c r="H851" t="str">
        <x:v>VTR-01</x:v>
      </x:c>
      <x:c r="I851" t="str">
        <x:v>Kia K2700</x:v>
      </x:c>
      <x:c r="J851" t="n">
        <x:v>1500</x:v>
      </x:c>
      <x:c r="K851" t="n">
        <x:v>19</x:v>
      </x:c>
      <x:c r="L851" t="n">
        <x:v>19</x:v>
      </x:c>
      <x:c r="M851" t="n">
        <x:v>448.3</x:v>
      </x:c>
      <x:c r="N851" t="n">
        <x:v>11</x:v>
      </x:c>
      <x:c r="O851" s="45" t="n">
        <x:v>359195</x:v>
      </x:c>
      <x:c r="P851" s="45" t="n">
        <x:v>21000</x:v>
      </x:c>
      <x:c r="Q851" t="str">
        <x:v>Entregue</x:v>
      </x:c>
      <x:c r="R851" t="str"/>
      <x:c r="S851" t="str">
        <x:v>Nao</x:v>
      </x:c>
      <x:c r="T851" t="str">
        <x:v>Nao</x:v>
      </x:c>
    </x:row>
  </x:sheetData>
  <x:conditionalFormatting sqref="Q2:Q851">
    <x:cfRule type="expression" dxfId="0" priority="1">
      <x:formula>Q2="Falhada"</x:formula>
    </x:cfRule>
    <x:cfRule type="expression" dxfId="1" priority="2">
      <x:formula>Q2="Entregue"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82a1ac21ff43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13" hidden="0" customWidth="1"/>
    <x:col min="5" max="5" width="65" hidden="0" customWidth="1"/>
    <x:col min="6" max="6" width="15" hidden="0" customWidth="1"/>
  </x:cols>
  <x:sheetData>
    <x:row r="1" ht="28" customHeight="1">
      <x:c r="A1" s="5" t="str">
        <x:v>PAINEL DE KPIs — PROJECTO BÁSICO</x:v>
      </x:c>
      <x:c r="B1" s="5"/>
      <x:c r="C1" s="5"/>
      <x:c r="D1" s="5"/>
      <x:c r="E1" s="5"/>
      <x:c r="F1" s="5"/>
    </x:row>
    <x:row r="2" ht="36" customHeight="1">
      <x:c r="A2" s="12" t="str">
        <x:v>Preencher a coluna Resultado com fórmulas ou referências a tabelas dinâmicas. Não inserir resultados manualmente.</x:v>
      </x:c>
      <x:c r="B2" s="12"/>
      <x:c r="C2" s="12"/>
      <x:c r="D2" s="12"/>
      <x:c r="E2" s="12"/>
      <x:c r="F2" s="12"/>
    </x:row>
    <x:row r="4">
      <x:c r="A4" s="30" t="str">
        <x:v>KPI</x:v>
      </x:c>
      <x:c r="B4" s="30" t="str">
        <x:v>Resultado</x:v>
      </x:c>
      <x:c r="C4" s="30" t="str">
        <x:v>Meta</x:v>
      </x:c>
      <x:c r="D4" s="30" t="str">
        <x:v>Unidade</x:v>
      </x:c>
      <x:c r="E4" s="30" t="str">
        <x:v>Definicao / Formula conceptual</x:v>
      </x:c>
      <x:c r="F4" s="30" t="str">
        <x:v>Status</x:v>
      </x:c>
    </x:row>
    <x:row r="5">
      <x:c r="A5" s="24" t="str">
        <x:v>Total de Entregas Concluidas</x:v>
      </x:c>
      <x:c r="B5" s="52" t="n">
        <x:f>COUNTIF(Entregas!$Q$2:$Q$851,"Entregue")</x:f>
        <x:v>793</x:v>
      </x:c>
      <x:c r="C5" s="24" t="str">
        <x:v>&gt;= 700</x:v>
      </x:c>
      <x:c r="D5" s="24" t="str">
        <x:v>entregas</x:v>
      </x:c>
      <x:c r="E5" s="24" t="str">
        <x:v>Contar registos com Status = Entregue</x:v>
      </x:c>
      <x:c r="F5" s="24" t="str">
        <x:f>IF(B5&gt;=700,"Cumpre","Não cumpre")</x:f>
        <x:v>Cumpre</x:v>
      </x:c>
    </x:row>
    <x:row r="6">
      <x:c r="A6" s="24" t="str">
        <x:v>On-Time Delivery (OTD)</x:v>
      </x:c>
      <x:c r="B6" s="57" t="n">
        <x:f>SUMPRODUCT(--(Entregas!$Q$2:$Q$851="Entregue"),--(Entregas!$D$2:$D$851&lt;=Entregas!$C$2:$C$851))/B5</x:f>
        <x:v>0.8158890290037831</x:v>
      </x:c>
      <x:c r="C6" s="24" t="str">
        <x:v>&gt;= 90%</x:v>
      </x:c>
      <x:c r="D6" s="24" t="str">
        <x:v>%</x:v>
      </x:c>
      <x:c r="E6" s="24" t="str">
        <x:v>Entregas concluídas até à Data_Prometida / Entregas concluídas</x:v>
      </x:c>
      <x:c r="F6" s="24" t="str">
        <x:f>IF(B6&gt;=90%,"Cumpre","Não cumpre")</x:f>
        <x:v>Não cumpre</x:v>
      </x:c>
    </x:row>
    <x:row r="7">
      <x:c r="A7" s="24" t="str">
        <x:v>In-Full (IF)</x:v>
      </x:c>
      <x:c r="B7" s="57" t="n">
        <x:f>SUMPRODUCT(--(Entregas!$Q$2:$Q$851="Entregue"),--(Entregas!$L$2:$L$851&gt;=Entregas!$K$2:$K$851))/B5</x:f>
        <x:v>0.9533417402269861</x:v>
      </x:c>
      <x:c r="C7" s="24" t="str">
        <x:v>&gt;= 95%</x:v>
      </x:c>
      <x:c r="D7" s="24" t="str">
        <x:v>%</x:v>
      </x:c>
      <x:c r="E7" s="24" t="str">
        <x:v>Entregas com Qtde_Entregue &gt;= Qtde_Pedida / Entregas concluídas</x:v>
      </x:c>
      <x:c r="F7" s="24" t="str">
        <x:f>IF(B7&gt;=95%,"Cumpre","Não cumpre")</x:f>
        <x:v>Cumpre</x:v>
      </x:c>
    </x:row>
    <x:row r="8">
      <x:c r="A8" s="24" t="str">
        <x:v>OTIF</x:v>
      </x:c>
      <x:c r="B8" s="57" t="n">
        <x:f>SUMPRODUCT(--(Entregas!$Q$2:$Q$851="Entregue"),--(Entregas!$D$2:$D$851&lt;=Entregas!$C$2:$C$851),--(Entregas!$L$2:$L$851&gt;=Entregas!$K$2:$K$851))/B5</x:f>
        <x:v>0.7755359394703657</x:v>
      </x:c>
      <x:c r="C8" s="24" t="str">
        <x:v>&gt;= 88%</x:v>
      </x:c>
      <x:c r="D8" s="24" t="str">
        <x:v>%</x:v>
      </x:c>
      <x:c r="E8" s="24" t="str">
        <x:v>Entregas simultaneamente No Prazo e Completas / Entregas concluídas</x:v>
      </x:c>
      <x:c r="F8" s="24" t="str">
        <x:f>IF(B8&gt;=88%,"Cumpre","Não cumpre")</x:f>
        <x:v>Não cumpre</x:v>
      </x:c>
    </x:row>
    <x:row r="9">
      <x:c r="A9" s="24" t="str">
        <x:v>Lead Time Medio</x:v>
      </x:c>
      <x:c r="B9" s="58" t="n">
        <x:f>SUMPRODUCT(--(Entregas!$Q$2:$Q$851="Entregue"),Entregas!$D$2:$D$851-Entregas!$B$2:$B$851)/B5</x:f>
        <x:v>2.269861286254729</x:v>
      </x:c>
      <x:c r="C9" s="24" t="str">
        <x:v>&lt;= 3,5</x:v>
      </x:c>
      <x:c r="D9" s="24" t="str">
        <x:v>dias</x:v>
      </x:c>
      <x:c r="E9" s="24" t="str">
        <x:v>Média de Data_Entrega - Data_Pedido nas entregas concluídas</x:v>
      </x:c>
      <x:c r="F9" s="24" t="str">
        <x:f>IF(B9&lt;=3.5,"Cumpre","Não cumpre")</x:f>
        <x:v>Cumpre</x:v>
      </x:c>
    </x:row>
    <x:row r="10">
      <x:c r="A10" s="24" t="str">
        <x:v>Custo Medio por Entrega</x:v>
      </x:c>
      <x:c r="B10" s="59" t="n">
        <x:f>SUMIF(Entregas!$Q$2:$Q$851,"Entregue",Entregas!$P$2:$P$851)/B5</x:f>
        <x:v>35232.66078184111</x:v>
      </x:c>
      <x:c r="C10" s="24" t="str">
        <x:v>&lt;= 42.000</x:v>
      </x:c>
      <x:c r="D10" s="24" t="str">
        <x:v>AOA</x:v>
      </x:c>
      <x:c r="E10" s="24" t="str">
        <x:v>Custo total de transporte / entregas concluídas</x:v>
      </x:c>
      <x:c r="F10" s="24" t="str">
        <x:f>IF(B10&lt;=42000,"Cumpre","Não cumpre")</x:f>
        <x:v>Cumpre</x:v>
      </x:c>
    </x:row>
    <x:row r="11">
      <x:c r="A11" s="24" t="str">
        <x:v>Custo por kg</x:v>
      </x:c>
      <x:c r="B11" s="59" t="n">
        <x:f>SUMPRODUCT(--(Entregas!$Q$2:$Q$851="Entregue"),Entregas!$P$2:$P$851)/SUMPRODUCT(--(Entregas!$Q$2:$Q$851="Entregue"),Entregas!$M$2:$M$851)</x:f>
        <x:v>40.066488042076</x:v>
      </x:c>
      <x:c r="C11" s="24" t="str">
        <x:v>&lt;= 120</x:v>
      </x:c>
      <x:c r="D11" s="24" t="str">
        <x:v>AOA/kg</x:v>
      </x:c>
      <x:c r="E11" s="24" t="str">
        <x:v>Custo total de transporte / peso total transportado</x:v>
      </x:c>
      <x:c r="F11" s="24" t="str">
        <x:f>IF(B11&lt;=120,"Cumpre","Não cumpre")</x:f>
        <x:v>Cumpre</x:v>
      </x:c>
    </x:row>
    <x:row r="12">
      <x:c r="A12" s="24" t="str">
        <x:v>Taxa de Entrega Falhada</x:v>
      </x:c>
      <x:c r="B12" s="57" t="n">
        <x:f>COUNTIF(Entregas!$Q$2:$Q$851,"Falhada")/COUNTA(Entregas!$A$2:$A$851)</x:f>
        <x:v>0.042352941176470586</x:v>
      </x:c>
      <x:c r="C12" s="24" t="str">
        <x:v>&lt;= 4%</x:v>
      </x:c>
      <x:c r="D12" s="24" t="str">
        <x:v>%</x:v>
      </x:c>
      <x:c r="E12" s="24" t="str">
        <x:v>Entregas com Status = Falhada / total de tentativas</x:v>
      </x:c>
      <x:c r="F12" s="24" t="str">
        <x:f>IF(B12&lt;=4%,"Cumpre","Não cumpre")</x:f>
        <x:v>Não cumpre</x:v>
      </x:c>
    </x:row>
    <x:row r="13">
      <x:c r="A13" s="24" t="str">
        <x:v>Utilizacao Media das Viaturas</x:v>
      </x:c>
      <x:c r="B13" s="57" t="n">
        <x:f>SUMPRODUCT(--(Entregas!$Q$2:$Q$851="Entregue"),Entregas!$M$2:$M$851/Entregas!$J$2:$J$851)/B5</x:f>
        <x:v>0.380600818078517</x:v>
      </x:c>
      <x:c r="C13" s="24" t="str">
        <x:v>&gt;= 70%</x:v>
      </x:c>
      <x:c r="D13" s="24" t="str">
        <x:v>%</x:v>
      </x:c>
      <x:c r="E13" s="24" t="str">
        <x:v>Peso_Carga_kg / Capacidade_kg, média das entregas concluídas</x:v>
      </x:c>
      <x:c r="F13" s="24" t="str">
        <x:f>IF(B13&gt;=70%,"Cumpre","Não cumpre")</x:f>
        <x:v>Não cumpre</x:v>
      </x:c>
    </x:row>
    <x:row r="15">
      <x:c r="A15" s="19" t="str">
        <x:v>ANÁLISES OBRIGATÓRIAS</x:v>
      </x:c>
      <x:c r="B15" s="19"/>
      <x:c r="C15" s="19"/>
      <x:c r="D15" s="19"/>
      <x:c r="E15" s="19"/>
      <x:c r="F15" s="19"/>
    </x:row>
    <x:row r="16">
      <x:c r="A16" s="24" t="str">
        <x:v>1. Qual área apresenta o pior OTIF?
2. Quais são os 3 principais motivos de atraso?
3. Qual motorista apresenta a maior taxa de entregas no prazo (mínimo 20 entregas)?
4. Qual viatura tem maior custo médio por km?
5. Que acções concretas recomendaria para melhorar o nível de serviço sem aumentar excessivamente o custo?</x:v>
      </x:c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A15:F15"/>
    <x:mergeCell ref="A16:F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55" hidden="0" customWidth="1"/>
  </x:cols>
  <x:sheetData>
    <x:row r="1">
      <x:c r="A1" s="30" t="str">
        <x:v>Indicador</x:v>
      </x:c>
      <x:c r="B1" s="30" t="str">
        <x:v>Meta</x:v>
      </x:c>
      <x:c r="C1" s="30" t="str">
        <x:v>Sentido</x:v>
      </x:c>
      <x:c r="D1" s="30" t="str">
        <x:v>Observacao</x:v>
      </x:c>
    </x:row>
    <x:row r="2">
      <x:c r="A2" t="str">
        <x:v>OTD</x:v>
      </x:c>
      <x:c r="B2" s="54" t="n">
        <x:v>0.9</x:v>
      </x:c>
      <x:c r="C2" t="str">
        <x:v>Maior melhor</x:v>
      </x:c>
      <x:c r="D2" t="str">
        <x:v>Percentagem de entregas concluídas dentro do prazo</x:v>
      </x:c>
    </x:row>
    <x:row r="3">
      <x:c r="A3" t="str">
        <x:v>In-Full</x:v>
      </x:c>
      <x:c r="B3" s="54" t="n">
        <x:v>0.95</x:v>
      </x:c>
      <x:c r="C3" t="str">
        <x:v>Maior melhor</x:v>
      </x:c>
      <x:c r="D3" t="str">
        <x:v>Percentagem de entregas completas</x:v>
      </x:c>
    </x:row>
    <x:row r="4">
      <x:c r="A4" t="str">
        <x:v>OTIF</x:v>
      </x:c>
      <x:c r="B4" s="54" t="n">
        <x:v>0.88</x:v>
      </x:c>
      <x:c r="C4" t="str">
        <x:v>Maior melhor</x:v>
      </x:c>
      <x:c r="D4" t="str">
        <x:v>No prazo e completa</x:v>
      </x:c>
    </x:row>
    <x:row r="5">
      <x:c r="A5" t="str">
        <x:v>Lead Time Medio</x:v>
      </x:c>
      <x:c r="B5" t="n">
        <x:v>3.5</x:v>
      </x:c>
      <x:c r="C5" t="str">
        <x:v>Menor melhor</x:v>
      </x:c>
      <x:c r="D5" t="str">
        <x:v>Dias</x:v>
      </x:c>
    </x:row>
    <x:row r="6">
      <x:c r="A6" t="str">
        <x:v>Custo Medio por Entrega</x:v>
      </x:c>
      <x:c r="B6" t="n">
        <x:v>42000</x:v>
      </x:c>
      <x:c r="C6" t="str">
        <x:v>Menor melhor</x:v>
      </x:c>
      <x:c r="D6" t="str">
        <x:v>AOA</x:v>
      </x:c>
    </x:row>
    <x:row r="7">
      <x:c r="A7" t="str">
        <x:v>Custo por kg</x:v>
      </x:c>
      <x:c r="B7" t="n">
        <x:v>120</x:v>
      </x:c>
      <x:c r="C7" t="str">
        <x:v>Menor melhor</x:v>
      </x:c>
      <x:c r="D7" t="str">
        <x:v>AOA/kg</x:v>
      </x:c>
    </x:row>
    <x:row r="8">
      <x:c r="A8" t="str">
        <x:v>Taxa de Entrega Falhada</x:v>
      </x:c>
      <x:c r="B8" s="54" t="n">
        <x:v>0.04</x:v>
      </x:c>
      <x:c r="C8" t="str">
        <x:v>Menor melhor</x:v>
      </x:c>
      <x:c r="D8" t="str">
        <x:v>Percentagem</x:v>
      </x:c>
    </x:row>
    <x:row r="9">
      <x:c r="A9" t="str">
        <x:v>Utilizacao Media</x:v>
      </x:c>
      <x:c r="B9" s="54" t="n">
        <x:v>0.7</x:v>
      </x:c>
      <x:c r="C9" t="str">
        <x:v>Maior melhor</x:v>
      </x:c>
      <x:c r="D9" t="str">
        <x:v>Peso transportado / capacidade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65" hidden="0" customWidth="1"/>
    <x:col min="4" max="4" width="14" hidden="0" customWidth="1"/>
  </x:cols>
  <x:sheetData>
    <x:row r="1" ht="28" customHeight="1">
      <x:c r="A1" s="5" t="str">
        <x:v>GRELHA DE AVALIAÇÃO — PROJECTO 1</x:v>
      </x:c>
      <x:c r="B1" s="5"/>
      <x:c r="C1" s="5"/>
      <x:c r="D1" s="5"/>
    </x:row>
    <x:row r="3">
      <x:c r="A3" s="30" t="str">
        <x:v>Critério</x:v>
      </x:c>
      <x:c r="B3" s="30" t="str">
        <x:v>Pontos</x:v>
      </x:c>
      <x:c r="C3" s="30" t="str">
        <x:v>O que será avaliado</x:v>
      </x:c>
      <x:c r="D3" s="30" t="str">
        <x:v>Nota</x:v>
      </x:c>
    </x:row>
    <x:row r="4">
      <x:c r="A4" t="str">
        <x:v>Preparação e organização da base</x:v>
      </x:c>
      <x:c r="B4" t="n">
        <x:v>10</x:v>
      </x:c>
      <x:c r="C4" t="str">
        <x:v>Tabela, filtros, formatos, consistência e legibilidade</x:v>
      </x:c>
      <x:c r="D4" s="49" t="str"/>
    </x:row>
    <x:row r="5">
      <x:c r="A5" t="str">
        <x:v>Fórmulas e colunas auxiliares</x:v>
      </x:c>
      <x:c r="B5" t="n">
        <x:v>25</x:v>
      </x:c>
      <x:c r="C5" t="str">
        <x:v>Cálculos correctos, referências e tratamento de erros</x:v>
      </x:c>
      <x:c r="D5" s="49" t="str"/>
    </x:row>
    <x:row r="6">
      <x:c r="A6" t="str">
        <x:v>KPIs</x:v>
      </x:c>
      <x:c r="B6" t="n">
        <x:v>30</x:v>
      </x:c>
      <x:c r="C6" t="str">
        <x:v>Resultados e definições correctamente aplicados</x:v>
      </x:c>
      <x:c r="D6" s="49" t="str"/>
    </x:row>
    <x:row r="7">
      <x:c r="A7" t="str">
        <x:v>Gráficos e Dashboard</x:v>
      </x:c>
      <x:c r="B7" t="n">
        <x:v>25</x:v>
      </x:c>
      <x:c r="C7" t="str">
        <x:v>Clareza, filtros, escolha dos gráficos e leitura executiva</x:v>
      </x:c>
      <x:c r="D7" s="49" t="str"/>
    </x:row>
    <x:row r="8">
      <x:c r="A8" t="str">
        <x:v>Conclusões e recomendações</x:v>
      </x:c>
      <x:c r="B8" t="n">
        <x:v>10</x:v>
      </x:c>
      <x:c r="C8" t="str">
        <x:v>Capacidade de interpretar os indicadores</x:v>
      </x:c>
      <x:c r="D8" s="49" t="str"/>
    </x:row>
    <x:row r="9">
      <x:c r="A9" t="str">
        <x:v>TOTAL</x:v>
      </x:c>
      <x:c r="B9" t="n">
        <x:v>100</x:v>
      </x:c>
      <x:c r="C9" t="str"/>
      <x:c r="D9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76" t="str">
        <x:v>GABARITO DO FORMADOR — PROJECTO 1 | LOGÍSTICA E KPIs</x:v>
      </x:c>
      <x:c r="B1" s="76"/>
      <x:c r="C1" s="76"/>
      <x:c r="D1" s="76"/>
      <x:c r="E1" s="76"/>
      <x:c r="F1" s="76"/>
    </x:row>
    <x:row r="2" ht="24" customHeight="1">
      <x:c r="A2" s="77" t="str">
        <x:v>Resultados esperados, fórmulas de referência e critérios para correcção. Aceitar métodos equivalentes matematicamente correctos.</x:v>
      </x:c>
      <x:c r="B2" s="77"/>
      <x:c r="C2" s="77"/>
      <x:c r="D2" s="77"/>
      <x:c r="E2" s="77"/>
      <x:c r="F2" s="77"/>
    </x:row>
    <x:row r="3">
      <x:c r="A3" s="24"/>
      <x:c r="B3" s="24"/>
      <x:c r="C3" s="24"/>
      <x:c r="D3" s="24"/>
      <x:c r="E3" s="24"/>
      <x:c r="F3" s="24"/>
    </x:row>
    <x:row r="4">
      <x:c r="A4" s="83" t="str">
        <x:v>KPI</x:v>
      </x:c>
      <x:c r="B4" s="83" t="str">
        <x:v>Fórmula Excel recomendada</x:v>
      </x:c>
      <x:c r="C4" s="83" t="str">
        <x:v>Resultado esperado</x:v>
      </x:c>
      <x:c r="D4" s="83" t="str">
        <x:v>Meta</x:v>
      </x:c>
      <x:c r="E4" s="83" t="str">
        <x:v>Status esperado</x:v>
      </x:c>
      <x:c r="F4" s="83" t="str">
        <x:v>Observação de correcção</x:v>
      </x:c>
    </x:row>
    <x:row r="5">
      <x:c r="A5" s="84" t="str">
        <x:v>Total de Entregas Concluídas</x:v>
      </x:c>
      <x:c r="B5" s="84" t="str">
        <x:v>=COUNTIF(Entregas!$Q$2:$Q$851,"Entregue")</x:v>
      </x:c>
      <x:c r="C5" s="85" t="n">
        <x:v>793</x:v>
      </x:c>
      <x:c r="D5" s="84" t="str">
        <x:v>&gt;= 700</x:v>
      </x:c>
      <x:c r="E5" s="84" t="str">
        <x:v>Cumpre</x:v>
      </x:c>
      <x:c r="F5" s="84" t="str">
        <x:v>Contar apenas Status = Entregue.</x:v>
      </x:c>
    </x:row>
    <x:row r="6">
      <x:c r="A6" s="84" t="str">
        <x:v>On-Time Delivery (OTD)</x:v>
      </x:c>
      <x:c r="B6" s="84" t="str">
        <x:v>=SUMPRODUCT(--(Entregas!$Q$2:$Q$851="Entregue"),--(Entregas!$D$2:$D$851&lt;=Entregas!$C$2:$C$851))/B5</x:v>
      </x:c>
      <x:c r="C6" s="86" t="n">
        <x:v>0.8158890290037831</x:v>
      </x:c>
      <x:c r="D6" s="84" t="str">
        <x:v>&gt;= 90%</x:v>
      </x:c>
      <x:c r="E6" s="84" t="str">
        <x:v>Não cumpre</x:v>
      </x:c>
      <x:c r="F6" s="84" t="str">
        <x:v>Prazo deve comparar Data_Entrega com Data_Prometida.</x:v>
      </x:c>
    </x:row>
    <x:row r="7">
      <x:c r="A7" s="84" t="str">
        <x:v>In-Full (IF)</x:v>
      </x:c>
      <x:c r="B7" s="84" t="str">
        <x:v>=SUMPRODUCT(--(Entregas!$Q$2:$Q$851="Entregue"),--(Entregas!$L$2:$L$851&gt;=Entregas!$K$2:$K$851))/B5</x:v>
      </x:c>
      <x:c r="C7" s="86" t="n">
        <x:v>0.9533417402269861</x:v>
      </x:c>
      <x:c r="D7" s="84" t="str">
        <x:v>&gt;= 95%</x:v>
      </x:c>
      <x:c r="E7" s="84" t="str">
        <x:v>Cumpre</x:v>
      </x:c>
      <x:c r="F7" s="84" t="str">
        <x:v>Completa quando Qtde_Entregue &gt;= Qtde_Pedida.</x:v>
      </x:c>
    </x:row>
    <x:row r="8">
      <x:c r="A8" s="84" t="str">
        <x:v>OTIF</x:v>
      </x:c>
      <x:c r="B8" s="84" t="str">
        <x:v>=SUMPRODUCT(--(Entregas!$Q$2:$Q$851="Entregue"),--(Entregas!$D$2:$D$851&lt;=Entregas!$C$2:$C$851),--(Entregas!$L$2:$L$851&gt;=Entregas!$K$2:$K$851))/B5</x:v>
      </x:c>
      <x:c r="C8" s="86" t="n">
        <x:v>0.7755359394703657</x:v>
      </x:c>
      <x:c r="D8" s="84" t="str">
        <x:v>&gt;= 88%</x:v>
      </x:c>
      <x:c r="E8" s="84" t="str">
        <x:v>Não cumpre</x:v>
      </x:c>
      <x:c r="F8" s="84" t="str">
        <x:v>Tem de cumprir prazo E quantidade na mesma entrega.</x:v>
      </x:c>
    </x:row>
    <x:row r="9">
      <x:c r="A9" s="84" t="str">
        <x:v>Lead Time Médio</x:v>
      </x:c>
      <x:c r="B9" s="84" t="str">
        <x:v>=SUMPRODUCT(--(Entregas!$Q$2:$Q$851="Entregue"),Entregas!$D$2:$D$851-Entregas!$B$2:$B$851)/B5</x:v>
      </x:c>
      <x:c r="C9" s="87" t="n">
        <x:v>2.269861286254729</x:v>
      </x:c>
      <x:c r="D9" s="84" t="str">
        <x:v>&lt;= 3,5 dias</x:v>
      </x:c>
      <x:c r="E9" s="84" t="str">
        <x:v>Cumpre</x:v>
      </x:c>
      <x:c r="F9" s="84" t="str">
        <x:v>Usar apenas entregas concluídas.</x:v>
      </x:c>
    </x:row>
    <x:row r="10">
      <x:c r="A10" s="84" t="str">
        <x:v>Custo Médio por Entrega</x:v>
      </x:c>
      <x:c r="B10" s="84" t="str">
        <x:v>=SUMIF(Entregas!$Q$2:$Q$851,"Entregue",Entregas!$P$2:$P$851)/B5</x:v>
      </x:c>
      <x:c r="C10" s="88" t="n">
        <x:v>35232.66078184111</x:v>
      </x:c>
      <x:c r="D10" s="84" t="str">
        <x:v>&lt;= 42.000 AOA</x:v>
      </x:c>
      <x:c r="E10" s="84" t="str">
        <x:v>Cumpre</x:v>
      </x:c>
      <x:c r="F10" s="84" t="str">
        <x:v>Custo das entregas concluídas / nº concluídas.</x:v>
      </x:c>
    </x:row>
    <x:row r="11">
      <x:c r="A11" s="84" t="str">
        <x:v>Custo por kg</x:v>
      </x:c>
      <x:c r="B11" s="84" t="str">
        <x:v>=SUMPRODUCT(--(Entregas!$Q$2:$Q$851="Entregue"),Entregas!$P$2:$P$851)/SUMPRODUCT(--(Entregas!$Q$2:$Q$851="Entregue"),Entregas!$M$2:$M$851)</x:v>
      </x:c>
      <x:c r="C11" s="88" t="n">
        <x:v>40.06648804207601</x:v>
      </x:c>
      <x:c r="D11" s="84" t="str">
        <x:v>&lt;= 120 AOA/kg</x:v>
      </x:c>
      <x:c r="E11" s="84" t="str">
        <x:v>Cumpre</x:v>
      </x:c>
      <x:c r="F11" s="84" t="str">
        <x:v>Usar peso efectivamente transportado nas concluídas.</x:v>
      </x:c>
    </x:row>
    <x:row r="12">
      <x:c r="A12" s="84" t="str">
        <x:v>Taxa de Entrega Falhada</x:v>
      </x:c>
      <x:c r="B12" s="84" t="str">
        <x:v>=COUNTIF(Entregas!$Q$2:$Q$851,"Falhada")/COUNTA(Entregas!$A$2:$A$851)</x:v>
      </x:c>
      <x:c r="C12" s="86" t="n">
        <x:v>0.042352941176470586</x:v>
      </x:c>
      <x:c r="D12" s="84" t="str">
        <x:v>&lt;= 4%</x:v>
      </x:c>
      <x:c r="E12" s="84" t="str">
        <x:v>Não cumpre</x:v>
      </x:c>
      <x:c r="F12" s="84" t="str">
        <x:v>Falhadas / total de tentativas.</x:v>
      </x:c>
    </x:row>
    <x:row r="13">
      <x:c r="A13" s="84" t="str">
        <x:v>Utilização Média das Viaturas</x:v>
      </x:c>
      <x:c r="B13" s="84" t="str">
        <x:v>=SUMPRODUCT(--(Entregas!$Q$2:$Q$851="Entregue"),Entregas!$M$2:$M$851/Entregas!$J$2:$J$851)/B5</x:v>
      </x:c>
      <x:c r="C13" s="86" t="n">
        <x:v>0.3806008180785167</x:v>
      </x:c>
      <x:c r="D13" s="84" t="str">
        <x:v>&gt;= 70%</x:v>
      </x:c>
      <x:c r="E13" s="84" t="str">
        <x:v>Não cumpre</x:v>
      </x:c>
      <x:c r="F13" s="84" t="str">
        <x:v>Média de Peso_Carga / Capacidade nas concluídas.</x:v>
      </x:c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3" t="str">
        <x:v>RESPOSTAS DAS ANÁLISES OBRIGATÓRIAS</x:v>
      </x:c>
      <x:c r="B16" s="83"/>
      <x:c r="C16" s="83"/>
      <x:c r="D16" s="83"/>
      <x:c r="E16" s="83"/>
      <x:c r="F16" s="83"/>
    </x:row>
    <x:row r="17">
      <x:c r="A17" s="84" t="str">
        <x:v>1. Área com pior OTIF</x:v>
      </x:c>
      <x:c r="B17" s="84" t="str">
        <x:v>Patriota — OTIF 69.23%, 52 entregas concluídas.</x:v>
      </x:c>
      <x:c r="C17" s="84"/>
      <x:c r="D17" s="84"/>
      <x:c r="E17" s="84"/>
      <x:c r="F17" s="84"/>
    </x:row>
    <x:row r="18">
      <x:c r="A18" s="84" t="str">
        <x:v>2. Top 3 motivos de atraso</x:v>
      </x:c>
      <x:c r="B18" s="84" t="str">
        <x:v>1) Chuva/condicao da via (35); 2) Transito intenso (30); 3) Atraso no carregamento (29).</x:v>
      </x:c>
      <x:c r="C18" s="84"/>
      <x:c r="D18" s="84"/>
      <x:c r="E18" s="84"/>
      <x:c r="F18" s="84"/>
    </x:row>
    <x:row r="19">
      <x:c r="A19" s="84" t="str">
        <x:v>3. Melhor motorista (mín. 20 entregas)</x:v>
      </x:c>
      <x:c r="B19" s="84" t="str">
        <x:v>Dário Joaquim — OTD 88.33% em 60 entregas.</x:v>
      </x:c>
      <x:c r="C19" s="84"/>
      <x:c r="D19" s="84"/>
      <x:c r="E19" s="84"/>
      <x:c r="F19" s="84"/>
    </x:row>
    <x:row r="20">
      <x:c r="A20" s="84" t="str">
        <x:v>4. Viatura com maior custo médio/km</x:v>
      </x:c>
      <x:c r="B20" s="84" t="str">
        <x:v>VTR-05 — média simples 1,532.86 AOA/km; custo/km ponderado 1,295.35 AOA/km.</x:v>
      </x:c>
      <x:c r="C20" s="84"/>
      <x:c r="D20" s="84"/>
      <x:c r="E20" s="84"/>
      <x:c r="F20" s="84"/>
    </x:row>
    <x:row r="21">
      <x:c r="A21" s="84" t="str">
        <x:v>5. Acções de melhoria</x:v>
      </x:c>
      <x:c r="B21" s="84" t="str">
        <x:v>Priorizar carregamentos das rotas críticas; criar janela de contingência para chuva/trânsito; manutenção preventiva nas viaturas com maior custo/km; melhorar confirmação prévia com clientes; aumentar consolidação de carga para elevar utilização sem adicionar frota.</x:v>
      </x:c>
      <x:c r="C21" s="84"/>
      <x:c r="D21" s="84"/>
      <x:c r="E21" s="84"/>
      <x:c r="F21" s="84"/>
    </x:row>
    <x:row r="22">
      <x:c r="A22" s="84"/>
      <x:c r="B22" s="84"/>
      <x:c r="C22" s="84"/>
      <x:c r="D22" s="84"/>
      <x:c r="E22" s="84"/>
      <x:c r="F22" s="84"/>
    </x:row>
    <x:row r="23">
      <x:c r="A23" s="83" t="str">
        <x:v>Área</x:v>
      </x:c>
      <x:c r="B23" s="83" t="str">
        <x:v>Entregas</x:v>
      </x:c>
      <x:c r="C23" s="83" t="str">
        <x:v>OTIF</x:v>
      </x:c>
      <x:c r="D23" s="84"/>
      <x:c r="E23" s="83" t="str">
        <x:v>Motivo de atraso</x:v>
      </x:c>
      <x:c r="F23" s="83" t="str">
        <x:v>Qtd.</x:v>
      </x:c>
    </x:row>
    <x:row r="24">
      <x:c r="A24" s="84" t="str">
        <x:v>Patriota</x:v>
      </x:c>
      <x:c r="B24" s="84" t="n">
        <x:v>52</x:v>
      </x:c>
      <x:c r="C24" s="86" t="n">
        <x:v>0.6923076923076923</x:v>
      </x:c>
      <x:c r="D24" s="84"/>
      <x:c r="E24" s="84" t="str">
        <x:v>Chuva/condicao da via</x:v>
      </x:c>
      <x:c r="F24" s="84" t="n">
        <x:v>35</x:v>
      </x:c>
    </x:row>
    <x:row r="25">
      <x:c r="A25" s="84" t="str">
        <x:v>Ingombota</x:v>
      </x:c>
      <x:c r="B25" s="84" t="n">
        <x:v>48</x:v>
      </x:c>
      <x:c r="C25" s="86" t="n">
        <x:v>0.7083333333333334</x:v>
      </x:c>
      <x:c r="D25" s="84"/>
      <x:c r="E25" s="84" t="str">
        <x:v>Transito intenso</x:v>
      </x:c>
      <x:c r="F25" s="84" t="n">
        <x:v>30</x:v>
      </x:c>
    </x:row>
    <x:row r="26">
      <x:c r="A26" s="84" t="str">
        <x:v>Viana</x:v>
      </x:c>
      <x:c r="B26" s="84" t="n">
        <x:v>60</x:v>
      </x:c>
      <x:c r="C26" s="86" t="n">
        <x:v>0.7166666666666667</x:v>
      </x:c>
      <x:c r="D26" s="84"/>
      <x:c r="E26" s="84" t="str">
        <x:v>Atraso no carregamento</x:v>
      </x:c>
      <x:c r="F26" s="84" t="n">
        <x:v>29</x:v>
      </x:c>
    </x:row>
    <x:row r="27">
      <x:c r="A27" s="84" t="str">
        <x:v>Morro Bento</x:v>
      </x:c>
      <x:c r="B27" s="84" t="n">
        <x:v>50</x:v>
      </x:c>
      <x:c r="C27" s="86" t="n">
        <x:v>0.76</x:v>
      </x:c>
      <x:c r="D27" s="84"/>
      <x:c r="E27" s="84" t="str">
        <x:v>Avaria da viatura</x:v>
      </x:c>
      <x:c r="F27" s="84" t="n">
        <x:v>26</x:v>
      </x:c>
    </x:row>
    <x:row r="28">
      <x:c r="A28" s="84" t="str">
        <x:v>Kilamba</x:v>
      </x:c>
      <x:c r="B28" s="84" t="n">
        <x:v>63</x:v>
      </x:c>
      <x:c r="C28" s="86" t="n">
        <x:v>0.7619047619047619</x:v>
      </x:c>
      <x:c r="D28" s="84"/>
      <x:c r="E28" s="84" t="str">
        <x:v>Cliente indisponivel</x:v>
      </x:c>
      <x:c r="F28" s="84" t="n">
        <x:v>26</x:v>
      </x:c>
    </x:row>
    <x:row r="29">
      <x:c r="A29" s="84" t="str">
        <x:v>Talatona</x:v>
      </x:c>
      <x:c r="B29" s="84" t="n">
        <x:v>59</x:v>
      </x:c>
      <x:c r="C29" s="86" t="n">
        <x:v>0.7627118644067796</x:v>
      </x:c>
      <x:c r="D29" s="84"/>
      <x:c r="E29" s="84"/>
      <x:c r="F29" s="84"/>
    </x:row>
    <x:row r="30">
      <x:c r="A30" s="84" t="str">
        <x:v>Nova Vida</x:v>
      </x:c>
      <x:c r="B30" s="84" t="n">
        <x:v>47</x:v>
      </x:c>
      <x:c r="C30" s="86" t="n">
        <x:v>0.7659574468085106</x:v>
      </x:c>
      <x:c r="D30" s="84"/>
      <x:c r="E30" s="84"/>
      <x:c r="F30" s="84"/>
    </x:row>
    <x:row r="31">
      <x:c r="A31" s="84" t="str">
        <x:v>Camama</x:v>
      </x:c>
      <x:c r="B31" s="84" t="n">
        <x:v>61</x:v>
      </x:c>
      <x:c r="C31" s="86" t="n">
        <x:v>0.7704918032786885</x:v>
      </x:c>
      <x:c r="D31" s="84"/>
      <x:c r="E31" s="84"/>
      <x:c r="F31" s="84"/>
    </x:row>
    <x:row r="32">
      <x:c r="A32" s="84" t="str">
        <x:v>Cacuaco</x:v>
      </x:c>
      <x:c r="B32" s="84" t="n">
        <x:v>58</x:v>
      </x:c>
      <x:c r="C32" s="86" t="n">
        <x:v>0.7758620689655172</x:v>
      </x:c>
      <x:c r="D32" s="84"/>
      <x:c r="E32" s="84"/>
      <x:c r="F32" s="84"/>
    </x:row>
    <x:row r="33">
      <x:c r="A33" s="84" t="str">
        <x:v>Benfica</x:v>
      </x:c>
      <x:c r="B33" s="84" t="n">
        <x:v>56</x:v>
      </x:c>
      <x:c r="C33" s="86" t="n">
        <x:v>0.7857142857142857</x:v>
      </x:c>
      <x:c r="D33" s="84"/>
      <x:c r="E33" s="84"/>
      <x:c r="F33" s="84"/>
    </x:row>
    <x:row r="34">
      <x:c r="A34" s="84" t="str">
        <x:v>Maianga</x:v>
      </x:c>
      <x:c r="B34" s="84" t="n">
        <x:v>70</x:v>
      </x:c>
      <x:c r="C34" s="86" t="n">
        <x:v>0.8</x:v>
      </x:c>
      <x:c r="D34" s="84"/>
      <x:c r="E34" s="84"/>
      <x:c r="F34" s="84"/>
    </x:row>
    <x:row r="35">
      <x:c r="A35" s="84" t="str">
        <x:v>Zango</x:v>
      </x:c>
      <x:c r="B35" s="84" t="n">
        <x:v>64</x:v>
      </x:c>
      <x:c r="C35" s="86" t="n">
        <x:v>0.8125</x:v>
      </x:c>
      <x:c r="D35" s="84"/>
      <x:c r="E35" s="84"/>
      <x:c r="F35" s="84"/>
    </x:row>
    <x:row r="36">
      <x:c r="A36" s="84" t="str">
        <x:v>Kikuxi</x:v>
      </x:c>
      <x:c r="B36" s="84" t="n">
        <x:v>46</x:v>
      </x:c>
      <x:c r="C36" s="86" t="n">
        <x:v>0.8478260869565217</x:v>
      </x:c>
      <x:c r="D36" s="84"/>
      <x:c r="E36" s="84"/>
      <x:c r="F36" s="84"/>
    </x:row>
    <x:row r="37">
      <x:c r="A37" s="84" t="str">
        <x:v>Sequele</x:v>
      </x:c>
      <x:c r="B37" s="84" t="n">
        <x:v>59</x:v>
      </x:c>
      <x:c r="C37" s="86" t="n">
        <x:v>0.8813559322033898</x:v>
      </x:c>
      <x:c r="D37" s="84"/>
      <x:c r="E37" s="84"/>
      <x:c r="F37" s="84"/>
    </x:row>
    <x:row r="38">
      <x:c r="A38" s="84"/>
      <x:c r="B38" s="84"/>
      <x:c r="C38" s="84"/>
      <x:c r="D38" s="84"/>
      <x:c r="E38" s="84"/>
      <x:c r="F38" s="84"/>
    </x:row>
    <x:row r="39">
      <x:c r="A39" s="84"/>
      <x:c r="B39" s="84"/>
      <x:c r="C39" s="84"/>
      <x:c r="D39" s="84"/>
      <x:c r="E39" s="84"/>
      <x:c r="F39" s="84"/>
    </x:row>
    <x:row r="40">
      <x:c r="A40" s="84"/>
      <x:c r="B40" s="84"/>
      <x:c r="C40" s="84"/>
      <x:c r="D40" s="84"/>
      <x:c r="E40" s="84"/>
      <x:c r="F40" s="84"/>
    </x:row>
    <x:row r="41">
      <x:c r="A41" s="84"/>
      <x:c r="B41" s="84"/>
      <x:c r="C41" s="84"/>
      <x:c r="D41" s="84"/>
      <x:c r="E41" s="84"/>
      <x:c r="F41" s="84"/>
    </x:row>
    <x:row r="42">
      <x:c r="A42" s="84"/>
      <x:c r="B42" s="84"/>
      <x:c r="C42" s="84"/>
      <x:c r="D42" s="84"/>
      <x:c r="E42" s="84"/>
      <x:c r="F42" s="84"/>
    </x:row>
    <x:row r="43">
      <x:c r="A43" s="84"/>
      <x:c r="B43" s="84"/>
      <x:c r="C43" s="84"/>
      <x:c r="D43" s="84"/>
      <x:c r="E43" s="84"/>
      <x:c r="F43" s="84"/>
    </x:row>
    <x:row r="44">
      <x:c r="A44" s="84"/>
      <x:c r="B44" s="84"/>
      <x:c r="C44" s="84"/>
      <x:c r="D44" s="84"/>
      <x:c r="E44" s="84"/>
      <x:c r="F44" s="84"/>
    </x:row>
    <x:row r="45">
      <x:c r="A45" s="84"/>
      <x:c r="B45" s="84"/>
      <x:c r="C45" s="84"/>
      <x:c r="D45" s="84"/>
      <x:c r="E45" s="84"/>
      <x:c r="F45" s="84"/>
    </x:row>
  </x:sheetData>
  <x:mergeCells>
    <x:mergeCell ref="A1:F1"/>
    <x:mergeCell ref="A2:F2"/>
    <x:mergeCell ref="A16:F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91" t="str">
        <x:v>DASHBOARD MODELO — PROJECTO 1 | DESEMPENHO LOGÍSTICO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</x:row>
    <x:row r="4">
      <x:c r="A4" s="94" t="str">
        <x:v>OTD</x:v>
      </x:c>
      <x:c r="B4" s="94"/>
      <x:c r="C4" s="94" t="str">
        <x:v>In-Full</x:v>
      </x:c>
      <x:c r="D4" s="94"/>
      <x:c r="E4" s="94" t="str">
        <x:v>OTIF</x:v>
      </x:c>
      <x:c r="F4" s="94"/>
      <x:c r="G4" s="94" t="str">
        <x:v>Lead Time</x:v>
      </x:c>
      <x:c r="H4" s="94"/>
    </x:row>
    <x:row r="5">
      <x:c r="A5" s="99" t="n">
        <x:v>0.8158890290037831</x:v>
      </x:c>
      <x:c r="B5" s="99"/>
      <x:c r="C5" s="99" t="n">
        <x:v>0.9533417402269861</x:v>
      </x:c>
      <x:c r="D5" s="99"/>
      <x:c r="E5" s="99" t="n">
        <x:v>0.7755359394703657</x:v>
      </x:c>
      <x:c r="F5" s="99"/>
      <x:c r="G5" s="102" t="n">
        <x:v>2.269861286254729</x:v>
      </x:c>
      <x:c r="H5" s="102"/>
    </x:row>
    <x:row r="6">
      <x:c r="A6" s="99"/>
      <x:c r="B6" s="99"/>
      <x:c r="C6" s="99"/>
      <x:c r="D6" s="99"/>
      <x:c r="E6" s="99"/>
      <x:c r="F6" s="99"/>
      <x:c r="G6" s="102"/>
      <x:c r="H6" s="102"/>
    </x:row>
    <x:row r="8">
      <x:c r="A8" s="94" t="str">
        <x:v>Custo/Entrega</x:v>
      </x:c>
      <x:c r="B8" s="94"/>
      <x:c r="C8" s="94" t="str">
        <x:v>Custo/kg</x:v>
      </x:c>
      <x:c r="D8" s="94"/>
      <x:c r="E8" s="94" t="str">
        <x:v>Taxa Falhada</x:v>
      </x:c>
      <x:c r="F8" s="94"/>
      <x:c r="G8" s="94" t="str">
        <x:v>Utilização</x:v>
      </x:c>
      <x:c r="H8" s="94"/>
    </x:row>
    <x:row r="9">
      <x:c r="A9" s="105" t="n">
        <x:v>35232.66078184111</x:v>
      </x:c>
      <x:c r="B9" s="105"/>
      <x:c r="C9" s="108" t="n">
        <x:v>40.06648804207601</x:v>
      </x:c>
      <x:c r="D9" s="108"/>
      <x:c r="E9" s="99" t="n">
        <x:v>0.042352941176470586</x:v>
      </x:c>
      <x:c r="F9" s="99"/>
      <x:c r="G9" s="99" t="n">
        <x:v>0.3806008180785167</x:v>
      </x:c>
      <x:c r="H9" s="99"/>
    </x:row>
    <x:row r="10">
      <x:c r="A10" s="105"/>
      <x:c r="B10" s="105"/>
      <x:c r="C10" s="108"/>
      <x:c r="D10" s="108"/>
      <x:c r="E10" s="99"/>
      <x:c r="F10" s="99"/>
      <x:c r="G10" s="99"/>
      <x:c r="H10" s="99"/>
    </x:row>
    <x:row r="13">
      <x:c r="A13" s="71" t="str">
        <x:v>Área</x:v>
      </x:c>
      <x:c r="B13" s="71" t="str">
        <x:v>OTIF</x:v>
      </x:c>
      <x:c r="C13" s="71" t="str">
        <x:v>Custo Médio AOA</x:v>
      </x:c>
      <x:c r="E13" s="71" t="str">
        <x:v>Motivo de atraso</x:v>
      </x:c>
      <x:c r="F13" s="71" t="str">
        <x:v>Qtd.</x:v>
      </x:c>
    </x:row>
    <x:row r="14">
      <x:c r="A14" t="str">
        <x:v>Patriota</x:v>
      </x:c>
      <x:c r="B14" s="54" t="n">
        <x:v>0.6923076923076923</x:v>
      </x:c>
      <x:c r="C14" s="109" t="n">
        <x:v>36865.38461538462</x:v>
      </x:c>
      <x:c r="E14" t="str">
        <x:v>Chuva/condicao da via</x:v>
      </x:c>
      <x:c r="F14" t="n">
        <x:v>35</x:v>
      </x:c>
    </x:row>
    <x:row r="15">
      <x:c r="A15" t="str">
        <x:v>Ingombota</x:v>
      </x:c>
      <x:c r="B15" s="54" t="n">
        <x:v>0.7083333333333334</x:v>
      </x:c>
      <x:c r="C15" s="109" t="n">
        <x:v>26697.916666666668</x:v>
      </x:c>
      <x:c r="E15" t="str">
        <x:v>Transito intenso</x:v>
      </x:c>
      <x:c r="F15" t="n">
        <x:v>30</x:v>
      </x:c>
    </x:row>
    <x:row r="16">
      <x:c r="A16" t="str">
        <x:v>Viana</x:v>
      </x:c>
      <x:c r="B16" s="54" t="n">
        <x:v>0.7166666666666667</x:v>
      </x:c>
      <x:c r="C16" s="109" t="n">
        <x:v>33691.666666666664</x:v>
      </x:c>
      <x:c r="E16" t="str">
        <x:v>Atraso no carregamento</x:v>
      </x:c>
      <x:c r="F16" t="n">
        <x:v>29</x:v>
      </x:c>
    </x:row>
    <x:row r="17">
      <x:c r="A17" t="str">
        <x:v>Morro Bento</x:v>
      </x:c>
      <x:c r="B17" s="54" t="n">
        <x:v>0.76</x:v>
      </x:c>
      <x:c r="C17" s="109" t="n">
        <x:v>31460</x:v>
      </x:c>
      <x:c r="E17" t="str">
        <x:v>Avaria da viatura</x:v>
      </x:c>
      <x:c r="F17" t="n">
        <x:v>26</x:v>
      </x:c>
    </x:row>
    <x:row r="18">
      <x:c r="A18" t="str">
        <x:v>Kilamba</x:v>
      </x:c>
      <x:c r="B18" s="54" t="n">
        <x:v>0.7619047619047619</x:v>
      </x:c>
      <x:c r="C18" s="109" t="n">
        <x:v>34246.031746031746</x:v>
      </x:c>
      <x:c r="E18" t="str">
        <x:v>Cliente indisponivel</x:v>
      </x:c>
      <x:c r="F18" t="n">
        <x:v>26</x:v>
      </x:c>
    </x:row>
    <x:row r="19">
      <x:c r="A19" t="str">
        <x:v>Talatona</x:v>
      </x:c>
      <x:c r="B19" s="54" t="n">
        <x:v>0.7627118644067796</x:v>
      </x:c>
      <x:c r="C19" s="109" t="n">
        <x:v>33110.16949152543</x:v>
      </x:c>
    </x:row>
    <x:row r="20">
      <x:c r="A20" t="str">
        <x:v>Nova Vida</x:v>
      </x:c>
      <x:c r="B20" s="54" t="n">
        <x:v>0.7659574468085106</x:v>
      </x:c>
      <x:c r="C20" s="109" t="n">
        <x:v>30553.191489361703</x:v>
      </x:c>
    </x:row>
    <x:row r="21">
      <x:c r="A21" t="str">
        <x:v>Camama</x:v>
      </x:c>
      <x:c r="B21" s="54" t="n">
        <x:v>0.7704918032786885</x:v>
      </x:c>
      <x:c r="C21" s="109" t="n">
        <x:v>32680.32786885246</x:v>
      </x:c>
    </x:row>
    <x:row r="22">
      <x:c r="A22" t="str">
        <x:v>Cacuaco</x:v>
      </x:c>
      <x:c r="B22" s="54" t="n">
        <x:v>0.7758620689655172</x:v>
      </x:c>
      <x:c r="C22" s="109" t="n">
        <x:v>41413.793103448275</x:v>
      </x:c>
    </x:row>
    <x:row r="23">
      <x:c r="A23" t="str">
        <x:v>Benfica</x:v>
      </x:c>
      <x:c r="B23" s="54" t="n">
        <x:v>0.7857142857142857</x:v>
      </x:c>
      <x:c r="C23" s="109" t="n">
        <x:v>38696.42857142857</x:v>
      </x:c>
    </x:row>
    <x:row r="24">
      <x:c r="A24" t="str">
        <x:v>Maianga</x:v>
      </x:c>
      <x:c r="B24" s="54" t="n">
        <x:v>0.8</x:v>
      </x:c>
      <x:c r="C24" s="109" t="n">
        <x:v>27592.85714285714</x:v>
      </x:c>
    </x:row>
    <x:row r="25">
      <x:c r="A25" t="str">
        <x:v>Zango</x:v>
      </x:c>
      <x:c r="B25" s="54" t="n">
        <x:v>0.8125</x:v>
      </x:c>
      <x:c r="C25" s="109" t="n">
        <x:v>42750</x:v>
      </x:c>
    </x:row>
    <x:row r="26">
      <x:c r="A26" t="str">
        <x:v>Kikuxi</x:v>
      </x:c>
      <x:c r="B26" s="54" t="n">
        <x:v>0.8478260869565217</x:v>
      </x:c>
      <x:c r="C26" s="109" t="n">
        <x:v>38000</x:v>
      </x:c>
    </x:row>
    <x:row r="27">
      <x:c r="A27" t="str">
        <x:v>Sequele</x:v>
      </x:c>
      <x:c r="B27" s="54" t="n">
        <x:v>0.8813559322033898</x:v>
      </x:c>
      <x:c r="C27" s="109" t="n">
        <x:v>44432.20338983051</x:v>
      </x:c>
    </x:row>
    <x:row r="31">
      <x:c r="A31" s="71" t="str">
        <x:v>Viatura</x:v>
      </x:c>
      <x:c r="B31" s="71" t="str">
        <x:v>Custo médio AOA/km</x:v>
      </x:c>
    </x:row>
    <x:row r="32">
      <x:c r="A32" t="str">
        <x:v>VTR-05</x:v>
      </x:c>
      <x:c r="B32" s="74" t="n">
        <x:v>1532.864923208521</x:v>
      </x:c>
    </x:row>
    <x:row r="33">
      <x:c r="A33" t="str">
        <x:v>VTR-06</x:v>
      </x:c>
      <x:c r="B33" s="74" t="n">
        <x:v>1434.044635238898</x:v>
      </x:c>
    </x:row>
    <x:row r="34">
      <x:c r="A34" t="str">
        <x:v>VTR-07</x:v>
      </x:c>
      <x:c r="B34" s="74" t="n">
        <x:v>1418.6689389217643</x:v>
      </x:c>
    </x:row>
    <x:row r="35">
      <x:c r="A35" t="str">
        <x:v>VTR-11</x:v>
      </x:c>
      <x:c r="B35" s="74" t="n">
        <x:v>1408.2319328859455</x:v>
      </x:c>
    </x:row>
    <x:row r="36">
      <x:c r="A36" t="str">
        <x:v>VTR-03</x:v>
      </x:c>
      <x:c r="B36" s="74" t="n">
        <x:v>1397.9040833929787</x:v>
      </x:c>
    </x:row>
    <x:row r="37">
      <x:c r="A37" t="str">
        <x:v>VTR-10</x:v>
      </x:c>
      <x:c r="B37" s="74" t="n">
        <x:v>1320.8303821783538</x:v>
      </x:c>
    </x:row>
    <x:row r="38">
      <x:c r="A38" t="str">
        <x:v>VTR-04</x:v>
      </x:c>
      <x:c r="B38" s="74" t="n">
        <x:v>1278.120193167478</x:v>
      </x:c>
    </x:row>
    <x:row r="39">
      <x:c r="A39" t="str">
        <x:v>VTR-01</x:v>
      </x:c>
      <x:c r="B39" s="74" t="n">
        <x:v>1239.8962858510224</x:v>
      </x:c>
    </x:row>
    <x:row r="40">
      <x:c r="A40" t="str">
        <x:v>VTR-12</x:v>
      </x:c>
      <x:c r="B40" s="74" t="n">
        <x:v>1178.3863469682267</x:v>
      </x:c>
    </x:row>
    <x:row r="41">
      <x:c r="A41" t="str">
        <x:v>VTR-02</x:v>
      </x:c>
      <x:c r="B41" s="74" t="n">
        <x:v>1150.7818837720813</x:v>
      </x:c>
    </x:row>
    <x:row r="42">
      <x:c r="A42" t="str">
        <x:v>VTR-09</x:v>
      </x:c>
      <x:c r="B42" s="74" t="n">
        <x:v>1107.388626762048</x:v>
      </x:c>
    </x:row>
    <x:row r="43">
      <x:c r="A43" t="str">
        <x:v>VTR-08</x:v>
      </x:c>
      <x:c r="B43" s="74" t="n">
        <x:v>1087.1919887797237</x:v>
      </x:c>
    </x:row>
  </x:sheetData>
  <x:mergeCells>
    <x:mergeCell ref="A1:P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E8:F8"/>
    <x:mergeCell ref="E9:F10"/>
    <x:mergeCell ref="G8:H8"/>
    <x:mergeCell ref="G9:H10"/>
  </x:mergeCells>
  <x:pageMargins left="0.7" right="0.7" top="0.75" bottom="0.75" header="0.3" footer="0.3"/>
  <x:drawing xmlns:r="http://schemas.openxmlformats.org/officeDocument/2006/relationships" r:id="R00577975f05f4d2f"/>
</x:worksheet>
</file>