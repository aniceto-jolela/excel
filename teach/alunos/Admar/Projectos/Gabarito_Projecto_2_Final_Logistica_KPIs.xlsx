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84b7ed2a4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barito_Formador" sheetId="1" r:id="R94996f4cbdc74bcf"/>
    <x:sheet xmlns:r="http://schemas.openxmlformats.org/officeDocument/2006/relationships" name="Dashboard_Modelo" sheetId="2" r:id="Rba4cd0b5c7b64828"/>
    <x:sheet xmlns:r="http://schemas.openxmlformats.org/officeDocument/2006/relationships" name="Metodologia" sheetId="3" r:id="R86c95b34a31a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"/>
    <x:numFmt numFmtId="202" formatCode="#,##0.00"/>
    <x:numFmt numFmtId="203" formatCode="0.0%"/>
    <x:numFmt numFmtId="204" formatCode="#,##0"/>
    <x:numFmt numFmtId="205" formatCode="#,##0.0"/>
    <x:numFmt numFmtId="206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3" fontId="5" fillId="5" borderId="0" xfId="0" applyNumberFormat="1" applyFont="1" applyFill="1" applyBorder="1"/>
    <x:xf numFmtId="203" fontId="5" fillId="5" borderId="0" xfId="0" applyNumberFormat="1" applyFont="1" applyFill="1" applyBorder="1" applyAlignment="1">
      <x:alignment horizontal="center"/>
    </x:xf>
    <x:xf numFmtId="203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203" fontId="5" fillId="5" borderId="1" xfId="0" applyNumberFormat="1" applyFont="1" applyFill="1" applyBorder="1"/>
    <x:xf numFmtId="203" fontId="5" fillId="5" borderId="1" xfId="0" applyNumberFormat="1" applyFont="1" applyFill="1" applyBorder="1" applyAlignment="1">
      <x:alignment horizontal="center"/>
    </x:xf>
    <x:xf numFmtId="203" fontId="5" fillId="5" borderId="1" xfId="0" applyNumberFormat="1" applyFont="1" applyFill="1" applyBorder="1" applyAlignment="1">
      <x:alignment horizontal="center" vertical="center"/>
    </x:xf>
    <x:xf numFmtId="204" fontId="5" fillId="5" borderId="0" xfId="0" applyNumberFormat="1" applyFont="1" applyFill="1" applyBorder="1"/>
    <x:xf numFmtId="204" fontId="5" fillId="5" borderId="0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 applyAlignment="1">
      <x:alignment horizontal="center" vertical="center"/>
    </x:xf>
    <x:xf numFmtId="204" fontId="5" fillId="5" borderId="1" xfId="0" applyNumberFormat="1" applyFont="1" applyFill="1" applyBorder="1"/>
    <x:xf numFmtId="204" fontId="5" fillId="5" borderId="1" xfId="0" applyNumberFormat="1" applyFont="1" applyFill="1" applyBorder="1" applyAlignment="1">
      <x:alignment horizontal="center"/>
    </x:xf>
    <x:xf numFmtId="204" fontId="5" fillId="5" borderId="1" xfId="0" applyNumberFormat="1" applyFont="1" applyFill="1" applyBorder="1" applyAlignment="1">
      <x:alignment horizontal="center" vertical="center"/>
    </x:xf>
    <x:xf numFmtId="205" fontId="5" fillId="5" borderId="0" xfId="0" applyNumberFormat="1" applyFont="1" applyFill="1" applyBorder="1"/>
    <x:xf numFmtId="205" fontId="5" fillId="5" borderId="0" xfId="0" applyNumberFormat="1" applyFont="1" applyFill="1" applyBorder="1" applyAlignment="1">
      <x:alignment horizontal="center"/>
    </x:xf>
    <x:xf numFmtId="205" fontId="5" fillId="5" borderId="0" xfId="0" applyNumberFormat="1" applyFont="1" applyFill="1" applyBorder="1" applyAlignment="1">
      <x:alignment horizontal="center" vertical="center"/>
    </x:xf>
    <x:xf numFmtId="205" fontId="5" fillId="5" borderId="1" xfId="0" applyNumberFormat="1" applyFont="1" applyFill="1" applyBorder="1"/>
    <x:xf numFmtId="205" fontId="5" fillId="5" borderId="1" xfId="0" applyNumberFormat="1" applyFont="1" applyFill="1" applyBorder="1" applyAlignment="1">
      <x:alignment horizontal="center"/>
    </x:xf>
    <x:xf numFmtId="205" fontId="5" fillId="5" borderId="1" xfId="0" applyNumberFormat="1" applyFont="1" applyFill="1" applyBorder="1" applyAlignment="1">
      <x:alignment horizontal="center" vertical="center"/>
    </x:xf>
    <x:xf numFmtId="206" fontId="5" fillId="5" borderId="0" xfId="0" applyNumberFormat="1" applyFont="1" applyFill="1" applyBorder="1"/>
    <x:xf numFmtId="206" fontId="5" fillId="5" borderId="0" xfId="0" applyNumberFormat="1" applyFont="1" applyFill="1" applyBorder="1" applyAlignment="1">
      <x:alignment horizontal="center"/>
    </x:xf>
    <x:xf numFmtId="206" fontId="5" fillId="5" borderId="0" xfId="0" applyNumberFormat="1" applyFont="1" applyFill="1" applyBorder="1" applyAlignment="1">
      <x:alignment horizontal="center" vertical="center"/>
    </x:xf>
    <x:xf numFmtId="206" fontId="5" fillId="5" borderId="1" xfId="0" applyNumberFormat="1" applyFont="1" applyFill="1" applyBorder="1"/>
    <x:xf numFmtId="206" fontId="5" fillId="5" borderId="1" xfId="0" applyNumberFormat="1" applyFont="1" applyFill="1" applyBorder="1" applyAlignment="1">
      <x:alignment horizontal="center"/>
    </x:xf>
    <x:xf numFmtId="206" fontId="5" fillId="5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2ea4ec4474eb1" /><Relationship Type="http://schemas.openxmlformats.org/officeDocument/2006/relationships/theme" Target="/xl/theme/theme1.xml" Id="Rb1c0d6431cf74d85" /><Relationship Type="http://schemas.openxmlformats.org/officeDocument/2006/relationships/sharedStrings" Target="/xl/sharedStrings.xml" Id="R3f82aecabb624599" /><Relationship Type="http://schemas.openxmlformats.org/officeDocument/2006/relationships/worksheet" Target="/xl/worksheets/sheet1.xml" Id="R94996f4cbdc74bcf" /><Relationship Type="http://schemas.openxmlformats.org/officeDocument/2006/relationships/worksheet" Target="/xl/worksheets/sheet2.xml" Id="Rba4cd0b5c7b64828" /><Relationship Type="http://schemas.openxmlformats.org/officeDocument/2006/relationships/worksheet" Target="/xl/worksheets/sheet3.xml" Id="R86c95b34a31a44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3ac3d3c34f459a" /><Relationship Type="http://schemas.openxmlformats.org/officeDocument/2006/relationships/chart" Target="/xl/drawings/charts/chart2.xml" Id="R6f041aa00f5140ee" /><Relationship Type="http://schemas.openxmlformats.org/officeDocument/2006/relationships/chart" Target="/xl/drawings/charts/chart3.xml" Id="Ra9440dc1cd0044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OTIF por Área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OTIF</c:v>
          </c:tx>
          <c:cat>
            <c:strRef>
              <c:f>'Dashboard_Modelo'!$A$14:$A$27</c:f>
              <c:strCache>
                <c:ptCount val="0"/>
              </c:strCache>
            </c:strRef>
          </c:cat>
          <c:val>
            <c:numRef>
              <c:f>'Dashboard_Modelo'!$B$14:$B$27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Transportadoras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OTIF</c:v>
          </c:tx>
          <c:cat>
            <c:strRef>
              <c:f>'Dashboard_Modelo'!$E$14:$E$18</c:f>
              <c:strCache>
                <c:ptCount val="0"/>
              </c:strCache>
            </c:strRef>
          </c:cat>
          <c:val>
            <c:numRef>
              <c:f>'Dashboard_Modelo'!$F$14:$F$18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Custo/Entrega</c:v>
          </c:tx>
          <c:cat>
            <c:strRef>
              <c:f>'Dashboard_Modelo'!$E$14:$E$18</c:f>
              <c:strCache>
                <c:ptCount val="0"/>
              </c:strCache>
            </c:strRef>
          </c:cat>
          <c:val>
            <c:numRef>
              <c:f>'Dashboard_Modelo'!$G$14:$G$18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Supplier OTIF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OTIF</c:v>
          </c:tx>
          <c:cat>
            <c:strRef>
              <c:f>'Dashboard_Modelo'!$A$32:$A$43</c:f>
              <c:strCache>
                <c:ptCount val="0"/>
              </c:strCache>
            </c:strRef>
          </c:cat>
          <c:val>
            <c:numRef>
              <c:f>'Dashboard_Modelo'!$B$32:$B$43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3ac3d3c34f459a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041aa00f5140ee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440dc1cd0044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6709bec8e49412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4" hidden="0" customWidth="1"/>
    <x:col min="3" max="3" width="18" hidden="0" customWidth="1"/>
    <x:col min="4" max="4" width="16" hidden="0" customWidth="1"/>
    <x:col min="5" max="5" width="18" hidden="0" customWidth="1"/>
    <x:col min="6" max="6" width="38" hidden="0" customWidth="1"/>
  </x:cols>
  <x:sheetData>
    <x:row r="1" ht="30" customHeight="1">
      <x:c r="A1" s="36" t="str">
        <x:v>GABARITO DO FORMADOR — PROJECTO FINAL DE LOGÍSTICA</x:v>
      </x:c>
      <x:c r="B1" s="36"/>
      <x:c r="C1" s="36"/>
      <x:c r="D1" s="36"/>
      <x:c r="E1" s="36"/>
      <x:c r="F1" s="36"/>
    </x:row>
    <x:row r="2" ht="28" customHeight="1">
      <x:c r="A2" s="12" t="str">
        <x:v>Usar em conjunto com o ficheiro Projecto_2_Final_Logistica_KPIs.xlsx. Resultados calculados sobre as 6.500 entregas, 2.200 POs e 1.920 registos mensais de stock.</x:v>
      </x:c>
      <x:c r="B2" s="12"/>
      <x:c r="C2" s="12"/>
      <x:c r="D2" s="12"/>
      <x:c r="E2" s="12"/>
      <x:c r="F2" s="12"/>
    </x:row>
    <x:row r="3">
      <x:c r="A3" s="37"/>
      <x:c r="B3" s="37"/>
      <x:c r="C3" s="37"/>
      <x:c r="D3" s="37"/>
      <x:c r="E3" s="37"/>
      <x:c r="F3" s="37"/>
    </x:row>
    <x:row r="4">
      <x:c r="A4" s="38" t="str">
        <x:v>KPI</x:v>
      </x:c>
      <x:c r="B4" s="38" t="str">
        <x:v>Fórmula / lógica recomendada</x:v>
      </x:c>
      <x:c r="C4" s="38" t="str">
        <x:v>Resultado esperado</x:v>
      </x:c>
      <x:c r="D4" s="38" t="str">
        <x:v>Meta</x:v>
      </x:c>
      <x:c r="E4" s="38" t="str">
        <x:v>Status</x:v>
      </x:c>
      <x:c r="F4" s="38" t="str">
        <x:v>Critério de correcção</x:v>
      </x:c>
    </x:row>
    <x:row r="5">
      <x:c r="A5" s="37" t="str">
        <x:v>On-Time Delivery (OTD)</x:v>
      </x:c>
      <x:c r="B5" s="37" t="str">
        <x:v>=AVERAGE(Calc_Entregas[No_Prazo])</x:v>
      </x:c>
      <x:c r="C5" s="39" t="n">
        <x:v>0.8460422376269547</x:v>
      </x:c>
      <x:c r="D5" s="37" t="str">
        <x:v>&gt;= 93%</x:v>
      </x:c>
      <x:c r="E5" s="37" t="str">
        <x:v>Não cumpre</x:v>
      </x:c>
      <x:c r="F5" s="37" t="str">
        <x:v>Somente entregas concluídas.</x:v>
      </x:c>
    </x:row>
    <x:row r="6">
      <x:c r="A6" s="37" t="str">
        <x:v>In-Full (IF)</x:v>
      </x:c>
      <x:c r="B6" s="37" t="str">
        <x:v>=AVERAGE(Calc_Entregas[In_Full])</x:v>
      </x:c>
      <x:c r="C6" s="39" t="n">
        <x:v>0.9661454135095922</x:v>
      </x:c>
      <x:c r="D6" s="37" t="str">
        <x:v>&gt;= 97%</x:v>
      </x:c>
      <x:c r="E6" s="37" t="str">
        <x:v>Não cumpre</x:v>
      </x:c>
      <x:c r="F6" s="37" t="str">
        <x:v>Somente entregas concluídas.</x:v>
      </x:c>
    </x:row>
    <x:row r="7">
      <x:c r="A7" s="37" t="str">
        <x:v>OTIF</x:v>
      </x:c>
      <x:c r="B7" s="37" t="str">
        <x:v>=AVERAGE(Calc_Entregas[OTIF])</x:v>
      </x:c>
      <x:c r="C7" s="39" t="n">
        <x:v>0.8173464452684185</x:v>
      </x:c>
      <x:c r="D7" s="37" t="str">
        <x:v>&gt;= 90%</x:v>
      </x:c>
      <x:c r="E7" s="37" t="str">
        <x:v>Não cumpre</x:v>
      </x:c>
      <x:c r="F7" s="37" t="str">
        <x:v>No prazo e completa na mesma linha.</x:v>
      </x:c>
    </x:row>
    <x:row r="8">
      <x:c r="A8" s="37" t="str">
        <x:v>Perfect Order</x:v>
      </x:c>
      <x:c r="B8" s="37" t="str">
        <x:v>=AVERAGE(Calc_Entregas[Perfect_Order])</x:v>
      </x:c>
      <x:c r="C8" s="39" t="n">
        <x:v>0.778171852329518</x:v>
      </x:c>
      <x:c r="D8" s="37" t="str">
        <x:v>&gt;= 88%</x:v>
      </x:c>
      <x:c r="E8" s="37" t="str">
        <x:v>Não cumpre</x:v>
      </x:c>
      <x:c r="F8" s="37" t="str">
        <x:v>OTIF + sem avaria/devolução/incidente.</x:v>
      </x:c>
    </x:row>
    <x:row r="9">
      <x:c r="A9" s="37" t="str">
        <x:v>Lead Time Médio de Entrega</x:v>
      </x:c>
      <x:c r="B9" s="37" t="str">
        <x:v>=AVERAGE(Calc_Entregas[Lead_Time_Dias])</x:v>
      </x:c>
      <x:c r="C9" s="40" t="n">
        <x:v>2.2469772690633563</x:v>
      </x:c>
      <x:c r="D9" s="37" t="str">
        <x:v>&lt;= 3,2</x:v>
      </x:c>
      <x:c r="E9" s="37" t="str">
        <x:v>Cumpre</x:v>
      </x:c>
      <x:c r="F9" s="37" t="str">
        <x:v>Data entrega - data pedido.</x:v>
      </x:c>
    </x:row>
    <x:row r="10">
      <x:c r="A10" s="37" t="str">
        <x:v>Taxa de Entrega Falhada</x:v>
      </x:c>
      <x:c r="B10" s="37" t="str">
        <x:v>=COUNTIF(Calc_Entregas[Status_Entrega],"Falhada")/COUNTA(Calc_Entregas[Pedido_ID])</x:v>
      </x:c>
      <x:c r="C10" s="39" t="n">
        <x:v>0.029076923076923077</x:v>
      </x:c>
      <x:c r="D10" s="37" t="str">
        <x:v>&lt;= 3%</x:v>
      </x:c>
      <x:c r="E10" s="37" t="str">
        <x:v>Cumpre</x:v>
      </x:c>
      <x:c r="F10" s="37" t="str">
        <x:v>Falhadas / total tentativas.</x:v>
      </x:c>
    </x:row>
    <x:row r="11">
      <x:c r="A11" s="37" t="str">
        <x:v>Taxa de Devolução</x:v>
      </x:c>
      <x:c r="B11" s="37" t="str">
        <x:v>=COUNTIFS(Calc_Entregas[Status_Entrega],"Entregue",Calc_Entregas[Devolucao],"Sim")/COUNTIF(Calc_Entregas[Status_Entrega],"Entregue")</x:v>
      </x:c>
      <x:c r="C11" s="39" t="n">
        <x:v>0.022086087377075608</x:v>
      </x:c>
      <x:c r="D11" s="37" t="str">
        <x:v>&lt;= 2%</x:v>
      </x:c>
      <x:c r="E11" s="37" t="str">
        <x:v>Não cumpre</x:v>
      </x:c>
      <x:c r="F11" s="37" t="str">
        <x:v>Devoluções / entregas concluídas.</x:v>
      </x:c>
    </x:row>
    <x:row r="12">
      <x:c r="A12" s="37" t="str">
        <x:v>Custo Médio por Entrega</x:v>
      </x:c>
      <x:c r="B12" s="37" t="str">
        <x:v>=SUMIFS(Calc_Entregas[Custo_Transporte_AOA],Calc_Entregas[Status_Entrega],"Entregue")/COUNTIF(Calc_Entregas[Status_Entrega],"Entregue")</x:v>
      </x:c>
      <x:c r="C12" s="41" t="n">
        <x:v>30953.24842817991</x:v>
      </x:c>
      <x:c r="D12" s="37" t="str">
        <x:v>&lt;= 48.000</x:v>
      </x:c>
      <x:c r="E12" s="37" t="str">
        <x:v>Cumpre</x:v>
      </x:c>
      <x:c r="F12" s="37" t="str">
        <x:v>Custo concluído / nº concluídas.</x:v>
      </x:c>
    </x:row>
    <x:row r="13">
      <x:c r="A13" s="37" t="str">
        <x:v>Custo por kg</x:v>
      </x:c>
      <x:c r="B13" s="37" t="str">
        <x:v>=SUMIFS(Calc_Entregas[Custo_Transporte_AOA],Calc_Entregas[Status_Entrega],"Entregue")/SUMIFS(Calc_Entregas[Peso_Total_kg],Calc_Entregas[Status_Entrega],"Entregue")</x:v>
      </x:c>
      <x:c r="C13" s="41" t="n">
        <x:v>106.02568807663683</x:v>
      </x:c>
      <x:c r="D13" s="37" t="str">
        <x:v>&lt;= 95</x:v>
      </x:c>
      <x:c r="E13" s="37" t="str">
        <x:v>Não cumpre</x:v>
      </x:c>
      <x:c r="F13" s="37" t="str">
        <x:v>Cruzar peso do pedido por Pedido_ID.</x:v>
      </x:c>
    </x:row>
    <x:row r="14">
      <x:c r="A14" s="37" t="str">
        <x:v>Custo por km</x:v>
      </x:c>
      <x:c r="B14" s="37" t="str">
        <x:v>=SUMIFS(Calc_Entregas[Custo_Transporte_AOA],Calc_Entregas[Status_Entrega],"Entregue")/SUMIFS(Calc_Entregas[Distancia_km],Calc_Entregas[Status_Entrega],"Entregue")</x:v>
      </x:c>
      <x:c r="C14" s="41" t="n">
        <x:v>1014.1824866098311</x:v>
      </x:c>
      <x:c r="D14" s="37" t="str">
        <x:v>&lt;= 850</x:v>
      </x:c>
      <x:c r="E14" s="37" t="str">
        <x:v>Não cumpre</x:v>
      </x:c>
      <x:c r="F14" s="37" t="str">
        <x:v>Usar custo total / km total.</x:v>
      </x:c>
    </x:row>
    <x:row r="15">
      <x:c r="A15" s="37" t="str">
        <x:v>Transporte / Valor de Vendas</x:v>
      </x:c>
      <x:c r="B15" s="37" t="str">
        <x:v>=SUMIFS(Calc_Entregas[Custo_Transporte_AOA],Calc_Entregas[Status_Entrega],"Entregue")/SUMIFS(Calc_Entregas[Valor_Pedido_AOA],Calc_Entregas[Status_Entrega],"Entregue")</x:v>
      </x:c>
      <x:c r="C15" s="39" t="n">
        <x:v>0.03118702566870999</x:v>
      </x:c>
      <x:c r="D15" s="37" t="str">
        <x:v>&lt;= 4,5%</x:v>
      </x:c>
      <x:c r="E15" s="37" t="str">
        <x:v>Cumpre</x:v>
      </x:c>
      <x:c r="F15" s="37" t="str">
        <x:v>Cruzar valor do pedido por Pedido_ID.</x:v>
      </x:c>
    </x:row>
    <x:row r="16">
      <x:c r="A16" s="37" t="str">
        <x:v>Utilização Média da Viatura</x:v>
      </x:c>
      <x:c r="B16" s="37" t="str">
        <x:v>=AVERAGE(Calc_Entregas[Utilizacao_Viatura])</x:v>
      </x:c>
      <x:c r="C16" s="39" t="n">
        <x:v>0.10604322363219025</x:v>
      </x:c>
      <x:c r="D16" s="37" t="str">
        <x:v>&gt;= 75%</x:v>
      </x:c>
      <x:c r="E16" s="37" t="str">
        <x:v>Não cumpre</x:v>
      </x:c>
      <x:c r="F16" s="37" t="str">
        <x:v>Peso total / capacidade da viatura.</x:v>
      </x:c>
    </x:row>
    <x:row r="17">
      <x:c r="A17" s="37" t="str">
        <x:v>Supplier OTIF</x:v>
      </x:c>
      <x:c r="B17" s="37" t="str">
        <x:v>=AVERAGE(Calc_Fornecedores[Supplier_OTIF])</x:v>
      </x:c>
      <x:c r="C17" s="39" t="n">
        <x:v>0.8168181818181818</x:v>
      </x:c>
      <x:c r="D17" s="37" t="str">
        <x:v>&gt;= 92%</x:v>
      </x:c>
      <x:c r="E17" s="37" t="str">
        <x:v>Não cumpre</x:v>
      </x:c>
      <x:c r="F17" s="37" t="str">
        <x:v>PO no prazo e completa.</x:v>
      </x:c>
    </x:row>
    <x:row r="18">
      <x:c r="A18" s="37" t="str">
        <x:v>Lead Time Médio de Compra</x:v>
      </x:c>
      <x:c r="B18" s="37" t="str">
        <x:v>=AVERAGE(Calc_Fornecedores[Lead_Time_Compra])</x:v>
      </x:c>
      <x:c r="C18" s="40" t="n">
        <x:v>7.325909090909091</x:v>
      </x:c>
      <x:c r="D18" s="37" t="str">
        <x:v>&lt;= 8</x:v>
      </x:c>
      <x:c r="E18" s="37" t="str">
        <x:v>Cumpre</x:v>
      </x:c>
      <x:c r="F18" s="37" t="str">
        <x:v>Data recepção - Data PO.</x:v>
      </x:c>
    </x:row>
    <x:row r="19">
      <x:c r="A19" s="37" t="str">
        <x:v>Qualidade de Recepção</x:v>
      </x:c>
      <x:c r="B19" s="37" t="str">
        <x:v>=1-SUM(Compras_Fornecedores[Qtde_Rejeitada])/SUM(Compras_Fornecedores[Qtde_Recebida])</x:v>
      </x:c>
      <x:c r="C19" s="39" t="n">
        <x:v>0.9997360356190875</x:v>
      </x:c>
      <x:c r="D19" s="37" t="str">
        <x:v>&gt;= 98%</x:v>
      </x:c>
      <x:c r="E19" s="37" t="str">
        <x:v>Cumpre</x:v>
      </x:c>
      <x:c r="F19" s="37" t="str">
        <x:v>Ponderar pelas quantidades.</x:v>
      </x:c>
    </x:row>
    <x:row r="20">
      <x:c r="A20" s="37" t="str">
        <x:v>Rotação de Stock</x:v>
      </x:c>
      <x:c r="B20" s="37" t="str">
        <x:v>=SUM(Stock_Mensal[Saidas])*12/SUM(Stock_Mensal[Stock_Medio])</x:v>
      </x:c>
      <x:c r="C20" s="40" t="n">
        <x:v>19.746972818168114</x:v>
      </x:c>
      <x:c r="D20" s="37" t="str">
        <x:v>&gt;= 6,0</x:v>
      </x:c>
      <x:c r="E20" s="37" t="str">
        <x:v>Cumpre</x:v>
      </x:c>
      <x:c r="F20" s="37" t="str">
        <x:v>Anualização com dados mensais.</x:v>
      </x:c>
    </x:row>
    <x:row r="21">
      <x:c r="A21" s="37" t="str">
        <x:v>Dias de Inventário (DOH)</x:v>
      </x:c>
      <x:c r="B21" s="37" t="str">
        <x:v>=365/[Rotacao_de_Stock]</x:v>
      </x:c>
      <x:c r="C21" s="40" t="n">
        <x:v>18.48384577023286</x:v>
      </x:c>
      <x:c r="D21" s="37" t="str">
        <x:v>&lt;= 60</x:v>
      </x:c>
      <x:c r="E21" s="37" t="str">
        <x:v>Cumpre</x:v>
      </x:c>
      <x:c r="F21" s="37" t="str">
        <x:v>365 / rotação anualizada.</x:v>
      </x:c>
    </x:row>
    <x:row r="22">
      <x:c r="A22" s="37" t="str">
        <x:v>Taxa de Stockout</x:v>
      </x:c>
      <x:c r="B22" s="37" t="str">
        <x:v>=SUM(Stock_Mensal[Dias_Stockout])/SUM(Calc_Stock[Dias_Mes])</x:v>
      </x:c>
      <x:c r="C22" s="39" t="n">
        <x:v>0</x:v>
      </x:c>
      <x:c r="D22" s="37" t="str">
        <x:v>&lt;= 2,5%</x:v>
      </x:c>
      <x:c r="E22" s="37" t="str">
        <x:v>Cumpre</x:v>
      </x:c>
      <x:c r="F22" s="37" t="str">
        <x:v>Dias stockout / dias possíveis.</x:v>
      </x:c>
    </x:row>
    <x:row r="23">
      <x:c r="A23" s="37" t="str">
        <x:v>Exactidão de Inventário</x:v>
      </x:c>
      <x:c r="B23" s="37" t="str">
        <x:v>=1-SUM(Calc_Stock[Diferenca_Absoluta])/SUM(Stock_Mensal[Stock_Sistema])</x:v>
      </x:c>
      <x:c r="C23" s="39" t="n">
        <x:v>0.9971942801089387</x:v>
      </x:c>
      <x:c r="D23" s="37" t="str">
        <x:v>&gt;= 98,5%</x:v>
      </x:c>
      <x:c r="E23" s="37" t="str">
        <x:v>Cumpre</x:v>
      </x:c>
      <x:c r="F23" s="37" t="str">
        <x:v>Ponderar pelo stock do sistema.</x:v>
      </x:c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8" t="str">
        <x:v>COLUNAS AUXILIARES RECOMENDADAS</x:v>
      </x:c>
      <x:c r="B26" s="38"/>
      <x:c r="C26" s="38"/>
      <x:c r="D26" s="38"/>
      <x:c r="E26" s="38"/>
      <x:c r="F26" s="38"/>
    </x:row>
    <x:row r="27">
      <x:c r="A27" s="42" t="str">
        <x:v>Campo</x:v>
      </x:c>
      <x:c r="B27" s="42" t="str">
        <x:v>Fórmula de exemplo</x:v>
      </x:c>
      <x:c r="C27" s="42" t="str">
        <x:v>Uso</x:v>
      </x:c>
      <x:c r="D27" s="37"/>
      <x:c r="E27" s="37"/>
      <x:c r="F27" s="37"/>
    </x:row>
    <x:row r="28">
      <x:c r="A28" s="37" t="str">
        <x:v>Data_Prometida</x:v>
      </x:c>
      <x:c r="B28" s="37" t="str">
        <x:v>=XLOOKUP([@Pedido_ID],Pedidos[Pedido_ID],Pedidos[Data_Prometida],"")</x:v>
      </x:c>
      <x:c r="C28" s="37" t="str">
        <x:v>Relacionar pedido e entrega</x:v>
      </x:c>
      <x:c r="D28" s="37"/>
      <x:c r="E28" s="37"/>
      <x:c r="F28" s="37"/>
    </x:row>
    <x:row r="29">
      <x:c r="A29" s="37" t="str">
        <x:v>Qtde_Pedida</x:v>
      </x:c>
      <x:c r="B29" s="37" t="str">
        <x:v>=XLOOKUP([@Pedido_ID],Pedidos[Pedido_ID],Pedidos[Qtde_Pedida],0)</x:v>
      </x:c>
      <x:c r="C29" s="37" t="str">
        <x:v>Base do In-Full</x:v>
      </x:c>
      <x:c r="D29" s="37"/>
      <x:c r="E29" s="37"/>
      <x:c r="F29" s="37"/>
    </x:row>
    <x:row r="30">
      <x:c r="A30" s="37" t="str">
        <x:v>Peso_Total_kg</x:v>
      </x:c>
      <x:c r="B30" s="37" t="str">
        <x:v>=XLOOKUP([@Pedido_ID],Pedidos[Pedido_ID],Pedidos[Peso_Total_kg],0)</x:v>
      </x:c>
      <x:c r="C30" s="37" t="str">
        <x:v>Custo/kg e utilização</x:v>
      </x:c>
      <x:c r="D30" s="37"/>
      <x:c r="E30" s="37"/>
      <x:c r="F30" s="37"/>
    </x:row>
    <x:row r="31">
      <x:c r="A31" s="37" t="str">
        <x:v>Valor_Pedido_AOA</x:v>
      </x:c>
      <x:c r="B31" s="37" t="str">
        <x:v>=XLOOKUP([@Pedido_ID],Pedidos[Pedido_ID],Pedidos[Valor_Pedido_AOA],0)</x:v>
      </x:c>
      <x:c r="C31" s="37" t="str">
        <x:v>Transporte / vendas</x:v>
      </x:c>
      <x:c r="D31" s="37"/>
      <x:c r="E31" s="37"/>
      <x:c r="F31" s="37"/>
    </x:row>
    <x:row r="32">
      <x:c r="A32" s="37" t="str">
        <x:v>No_Prazo</x:v>
      </x:c>
      <x:c r="B32" s="37" t="str">
        <x:v>=IF([@Status_Entrega]="Entregue",--([@Data_Entrega]&lt;=[@Data_Prometida]),"")</x:v>
      </x:c>
      <x:c r="C32" s="37" t="str">
        <x:v>OTD</x:v>
      </x:c>
      <x:c r="D32" s="37"/>
      <x:c r="E32" s="37"/>
      <x:c r="F32" s="37"/>
    </x:row>
    <x:row r="33">
      <x:c r="A33" s="37" t="str">
        <x:v>In_Full</x:v>
      </x:c>
      <x:c r="B33" s="37" t="str">
        <x:v>=IF([@Status_Entrega]="Entregue",--([@Qtde_Entregue]&gt;=[@Qtde_Pedida]),"")</x:v>
      </x:c>
      <x:c r="C33" s="37" t="str">
        <x:v>IF</x:v>
      </x:c>
      <x:c r="D33" s="37"/>
      <x:c r="E33" s="37"/>
      <x:c r="F33" s="37"/>
    </x:row>
    <x:row r="34">
      <x:c r="A34" s="37" t="str">
        <x:v>OTIF</x:v>
      </x:c>
      <x:c r="B34" s="37" t="str">
        <x:v>=IF([@Status_Entrega]="Entregue",--AND([@No_Prazo]=1,[@In_Full]=1),"")</x:v>
      </x:c>
      <x:c r="C34" s="37" t="str">
        <x:v>OTIF</x:v>
      </x:c>
      <x:c r="D34" s="37"/>
      <x:c r="E34" s="37"/>
      <x:c r="F34" s="37"/>
    </x:row>
    <x:row r="35">
      <x:c r="A35" s="37" t="str">
        <x:v>Perfect_Order</x:v>
      </x:c>
      <x:c r="B35" s="37" t="str">
        <x:v>=IF([@Status_Entrega]="Entregue",--AND([@OTIF]=1,[@Qtde_Avariada]=0,[@Devolucao]="Nao",[@Incidente]="Nenhum"),"")</x:v>
      </x:c>
      <x:c r="C35" s="37" t="str">
        <x:v>Perfect Order</x:v>
      </x:c>
      <x:c r="D35" s="37"/>
      <x:c r="E35" s="37"/>
      <x:c r="F35" s="37"/>
    </x:row>
    <x:row r="36">
      <x:c r="A36" s="37" t="str">
        <x:v>Lead_Time_Dias</x:v>
      </x:c>
      <x:c r="B36" s="37" t="str">
        <x:v>=IF([@Status_Entrega]="Entregue",[@Data_Entrega]-[@Data_Pedido],"")</x:v>
      </x:c>
      <x:c r="C36" s="37" t="str">
        <x:v>Lead time</x:v>
      </x:c>
      <x:c r="D36" s="37"/>
      <x:c r="E36" s="37"/>
      <x:c r="F36" s="37"/>
    </x:row>
    <x:row r="37">
      <x:c r="A37" s="37" t="str">
        <x:v>Utilizacao_Viatura</x:v>
      </x:c>
      <x:c r="B37" s="37" t="str">
        <x:v>=IF([@Status_Entrega]="Entregue",[@Peso_Total_kg]/[@Capacidade_kg],"")</x:v>
      </x:c>
      <x:c r="C37" s="37" t="str">
        <x:v>Utilização</x:v>
      </x:c>
      <x:c r="D37" s="37"/>
      <x:c r="E37" s="37"/>
      <x:c r="F37" s="37"/>
    </x:row>
    <x:row r="38">
      <x:c r="A38" s="37"/>
      <x:c r="B38" s="37"/>
      <x:c r="C38" s="37"/>
      <x:c r="D38" s="37"/>
      <x:c r="E38" s="37"/>
      <x:c r="F38" s="37"/>
    </x:row>
    <x:row r="39">
      <x:c r="A39" s="37"/>
      <x:c r="B39" s="37"/>
      <x:c r="C39" s="37"/>
      <x:c r="D39" s="37"/>
      <x:c r="E39" s="37"/>
      <x:c r="F39" s="37"/>
    </x:row>
    <x:row r="40">
      <x:c r="A40" s="38" t="str">
        <x:v>RESPOSTAS DE GESTÃO</x:v>
      </x:c>
      <x:c r="B40" s="38"/>
      <x:c r="C40" s="38"/>
      <x:c r="D40" s="38"/>
      <x:c r="E40" s="38"/>
      <x:c r="F40" s="38"/>
    </x:row>
    <x:row r="41">
      <x:c r="A41" s="37" t="str">
        <x:v>1. Piores áreas</x:v>
      </x:c>
      <x:c r="B41" s="37" t="str">
        <x:v>Nova Vida (79.17%); Viana (79.65%); Ingombota (80.93%). Custos: 11,137,000, 13,851,500 e 9,783,500 AOA.</x:v>
      </x:c>
      <x:c r="C41" s="37"/>
      <x:c r="D41" s="37"/>
      <x:c r="E41" s="37"/>
      <x:c r="F41" s="37"/>
    </x:row>
    <x:row r="42">
      <x:c r="A42" s="37" t="str">
        <x:v>2. Frota vs terceiros</x:v>
      </x:c>
      <x:c r="B42" s="37" t="str">
        <x:v>Frota interna: OTIF 81.69%, custo médio 27,955 AOA/entrega. Terceiros agregados: OTIF 81.79%, custo médio 34,768 AOA/entrega. Serviço semelhante, com vantagem de custo para a frota interna; utilização global é muito baixa.</x:v>
      </x:c>
      <x:c r="C42" s="37"/>
      <x:c r="D42" s="37"/>
      <x:c r="E42" s="37"/>
      <x:c r="F42" s="37"/>
    </x:row>
    <x:row r="43">
      <x:c r="A43" s="37" t="str">
        <x:v>3. Clientes de alto valor e OTIF baixo</x:v>
      </x:c>
      <x:c r="B43" s="37" t="str">
        <x:v>N'gola Market, Lda. — 341,201,937 AOA / OTIF 76.02%; Nova Rota Comercial, Lda. — 348,007,919 AOA / 78.26%; Sol Nascente Comércio, Lda. — 349,099,948 AOA / 80.94%.</x:v>
      </x:c>
      <x:c r="C43" s="37"/>
      <x:c r="D43" s="37"/>
      <x:c r="E43" s="37"/>
      <x:c r="F43" s="37"/>
    </x:row>
    <x:row r="44">
      <x:c r="A44" s="37" t="str">
        <x:v>4. Fornecedores críticos</x:v>
      </x:c>
      <x:c r="B44" s="37" t="str">
        <x:v>Palanca: 946,291,474 AOA em POs e OTIF 73.30%. Catumbela: maior exposição, 1,808,709,174 AOA, com OTIF 82.89%.</x:v>
      </x:c>
      <x:c r="C44" s="37"/>
      <x:c r="D44" s="37"/>
      <x:c r="E44" s="37"/>
      <x:c r="F44" s="37"/>
    </x:row>
    <x:row r="45">
      <x:c r="A45" s="37" t="str">
        <x:v>5. Inventário</x:v>
      </x:c>
      <x:c r="B45" s="37" t="str">
        <x:v>Rotação 19.75x/ano; DOH 18.48 dias; Stockout 0.00%; exactidão 99.72%. A ausência total de stockout deve ser assinalada como ponto de validação dos dados.</x:v>
      </x:c>
      <x:c r="C45" s="37"/>
      <x:c r="D45" s="37"/>
      <x:c r="E45" s="37"/>
      <x:c r="F45" s="37"/>
    </x:row>
    <x:row r="46">
      <x:c r="A46" s="37" t="str">
        <x:v>6. Recomendações</x:v>
      </x:c>
      <x:c r="B46" s="37" t="str">
        <x:v>Foco em Nova Vida/Viana/Ingombota; SLA e scorecard de fornecedores; consolidação de cargas; rever uso de terceiros por custo; reduzir devoluções/avarias e elevar Perfect Order.</x:v>
      </x:c>
      <x:c r="C46" s="37"/>
      <x:c r="D46" s="37"/>
      <x:c r="E46" s="37"/>
      <x:c r="F46" s="37"/>
    </x:row>
    <x:row r="47">
      <x:c r="A47" s="37"/>
      <x:c r="B47" s="37"/>
      <x:c r="C47" s="37"/>
      <x:c r="D47" s="37"/>
      <x:c r="E47" s="37"/>
      <x:c r="F47" s="37"/>
    </x:row>
    <x:row r="48">
      <x:c r="A48" s="37"/>
      <x:c r="B48" s="37"/>
      <x:c r="C48" s="37"/>
      <x:c r="D48" s="37"/>
      <x:c r="E48" s="37"/>
      <x:c r="F48" s="37"/>
    </x:row>
  </x:sheetData>
  <x:mergeCells>
    <x:mergeCell ref="A1:F1"/>
    <x:mergeCell ref="A2:F2"/>
    <x:mergeCell ref="A26:F26"/>
    <x:mergeCell ref="A40:F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DASHBOARD MODELO — PROJECTO FINAL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>
      <x:c r="A4" s="50" t="str">
        <x:v>OTD</x:v>
      </x:c>
      <x:c r="B4" s="50"/>
      <x:c r="C4" s="50" t="str">
        <x:v>OTIF</x:v>
      </x:c>
      <x:c r="D4" s="50"/>
      <x:c r="E4" s="50" t="str">
        <x:v>Perfect Order</x:v>
      </x:c>
      <x:c r="F4" s="50"/>
      <x:c r="G4" s="50" t="str">
        <x:v>Custo/Entrega</x:v>
      </x:c>
      <x:c r="H4" s="50"/>
    </x:row>
    <x:row r="5">
      <x:c r="A5" s="56" t="n">
        <x:v>0.8460422376269547</x:v>
      </x:c>
      <x:c r="B5" s="56"/>
      <x:c r="C5" s="56" t="n">
        <x:v>0.8173464452684185</x:v>
      </x:c>
      <x:c r="D5" s="56"/>
      <x:c r="E5" s="56" t="n">
        <x:v>0.778171852329518</x:v>
      </x:c>
      <x:c r="F5" s="56"/>
      <x:c r="G5" s="64" t="n">
        <x:v>30953.24842817991</x:v>
      </x:c>
      <x:c r="H5" s="64"/>
    </x:row>
    <x:row r="6">
      <x:c r="A6" s="56"/>
      <x:c r="B6" s="56"/>
      <x:c r="C6" s="56"/>
      <x:c r="D6" s="56"/>
      <x:c r="E6" s="56"/>
      <x:c r="F6" s="56"/>
      <x:c r="G6" s="64"/>
      <x:c r="H6" s="64"/>
    </x:row>
    <x:row r="8">
      <x:c r="A8" s="50" t="str">
        <x:v>Custo/kg</x:v>
      </x:c>
      <x:c r="B8" s="50"/>
      <x:c r="C8" s="50" t="str">
        <x:v>Custo/km</x:v>
      </x:c>
      <x:c r="D8" s="50"/>
      <x:c r="E8" s="50" t="str">
        <x:v>Supplier OTIF</x:v>
      </x:c>
      <x:c r="F8" s="50"/>
      <x:c r="G8" s="50" t="str">
        <x:v>DOH</x:v>
      </x:c>
      <x:c r="H8" s="50"/>
    </x:row>
    <x:row r="9">
      <x:c r="A9" s="70" t="n">
        <x:v>106.02568807663683</x:v>
      </x:c>
      <x:c r="B9" s="70"/>
      <x:c r="C9" s="64" t="n">
        <x:v>1014.1824866098311</x:v>
      </x:c>
      <x:c r="D9" s="64"/>
      <x:c r="E9" s="56" t="n">
        <x:v>0.8168181818181818</x:v>
      </x:c>
      <x:c r="F9" s="56"/>
      <x:c r="G9" s="76" t="n">
        <x:v>18.48384577023286</x:v>
      </x:c>
      <x:c r="H9" s="76"/>
    </x:row>
    <x:row r="10">
      <x:c r="A10" s="70"/>
      <x:c r="B10" s="70"/>
      <x:c r="C10" s="64"/>
      <x:c r="D10" s="64"/>
      <x:c r="E10" s="56"/>
      <x:c r="F10" s="56"/>
      <x:c r="G10" s="76"/>
      <x:c r="H10" s="76"/>
    </x:row>
    <x:row r="13">
      <x:c r="A13" s="19" t="str">
        <x:v>Área</x:v>
      </x:c>
      <x:c r="B13" s="19" t="str">
        <x:v>OTIF</x:v>
      </x:c>
      <x:c r="C13" s="19" t="str">
        <x:v>Custo M AOA</x:v>
      </x:c>
      <x:c r="E13" s="19" t="str">
        <x:v>Transportadora</x:v>
      </x:c>
      <x:c r="F13" s="19" t="str">
        <x:v>OTIF</x:v>
      </x:c>
      <x:c r="G13" s="19" t="str">
        <x:v>Custo/Entrega</x:v>
      </x:c>
    </x:row>
    <x:row r="14">
      <x:c r="A14" t="str">
        <x:v>Nova Vida</x:v>
      </x:c>
      <x:c r="B14" s="80" t="n">
        <x:v>0.7916666666666666</x:v>
      </x:c>
      <x:c r="C14" s="26" t="n">
        <x:v>11.137</x:v>
      </x:c>
      <x:c r="E14" t="str">
        <x:v>Expresso 24</x:v>
      </x:c>
      <x:c r="F14" s="80" t="n">
        <x:v>0.8257575757575758</x:v>
      </x:c>
      <x:c r="G14" s="82" t="n">
        <x:v>34608.90151515151</x:v>
      </x:c>
    </x:row>
    <x:row r="15">
      <x:c r="A15" t="str">
        <x:v>Viana</x:v>
      </x:c>
      <x:c r="B15" s="80" t="n">
        <x:v>0.7964989059080962</x:v>
      </x:c>
      <x:c r="C15" s="26" t="n">
        <x:v>13.8515</x:v>
      </x:c>
      <x:c r="E15" t="str">
        <x:v>Frota Interna</x:v>
      </x:c>
      <x:c r="F15" s="80" t="n">
        <x:v>0.8168730204434207</x:v>
      </x:c>
      <x:c r="G15" s="82" t="n">
        <x:v>27954.79412611575</x:v>
      </x:c>
    </x:row>
    <x:row r="16">
      <x:c r="A16" t="str">
        <x:v>Ingombota</x:v>
      </x:c>
      <x:c r="B16" s="80" t="n">
        <x:v>0.8093126385809313</x:v>
      </x:c>
      <x:c r="C16" s="26" t="n">
        <x:v>9.7835</x:v>
      </x:c>
      <x:c r="E16" t="str">
        <x:v>Mussulo Cargo</x:v>
      </x:c>
      <x:c r="F16" s="80" t="n">
        <x:v>0.8241042345276873</x:v>
      </x:c>
      <x:c r="G16" s="82" t="n">
        <x:v>35307.817589576545</x:v>
      </x:c>
    </x:row>
    <x:row r="17">
      <x:c r="A17" t="str">
        <x:v>Talatona</x:v>
      </x:c>
      <x:c r="B17" s="80" t="n">
        <x:v>0.8097560975609757</x:v>
      </x:c>
      <x:c r="C17" s="26" t="n">
        <x:v>12.527</x:v>
      </x:c>
      <x:c r="E17" t="str">
        <x:v>RotaSul</x:v>
      </x:c>
      <x:c r="F17" s="80" t="n">
        <x:v>0.8016194331983806</x:v>
      </x:c>
      <x:c r="G17" s="82" t="n">
        <x:v>35031.03913630229</x:v>
      </x:c>
    </x:row>
    <x:row r="18">
      <x:c r="A18" t="str">
        <x:v>Patriota</x:v>
      </x:c>
      <x:c r="B18" s="80" t="n">
        <x:v>0.8119266055045872</x:v>
      </x:c>
      <x:c r="C18" s="26" t="n">
        <x:v>13.588</x:v>
      </x:c>
      <x:c r="E18" t="str">
        <x:v>TransKwanza</x:v>
      </x:c>
      <x:c r="F18" s="80" t="n">
        <x:v>0.8229043683589138</x:v>
      </x:c>
      <x:c r="G18" s="82" t="n">
        <x:v>34244.982290436834</x:v>
      </x:c>
    </x:row>
    <x:row r="19">
      <x:c r="A19" t="str">
        <x:v>Camama</x:v>
      </x:c>
      <x:c r="B19" s="80" t="n">
        <x:v>0.8126410835214447</x:v>
      </x:c>
      <x:c r="C19" s="26" t="n">
        <x:v>12.568</x:v>
      </x:c>
    </x:row>
    <x:row r="20">
      <x:c r="A20" t="str">
        <x:v>Cacuaco</x:v>
      </x:c>
      <x:c r="B20" s="80" t="n">
        <x:v>0.8132387706855791</x:v>
      </x:c>
      <x:c r="C20" s="26" t="n">
        <x:v>15.3855</x:v>
      </x:c>
    </x:row>
    <x:row r="21">
      <x:c r="A21" t="str">
        <x:v>Kikuxi</x:v>
      </x:c>
      <x:c r="B21" s="80" t="n">
        <x:v>0.817966903073286</x:v>
      </x:c>
      <x:c r="C21" s="26" t="n">
        <x:v>13.6085</x:v>
      </x:c>
    </x:row>
    <x:row r="22">
      <x:c r="A22" t="str">
        <x:v>Benfica</x:v>
      </x:c>
      <x:c r="B22" s="80" t="n">
        <x:v>0.8282828282828283</x:v>
      </x:c>
      <x:c r="C22" s="26" t="n">
        <x:v>17.1245</x:v>
      </x:c>
    </x:row>
    <x:row r="23">
      <x:c r="A23" t="str">
        <x:v>Kilamba</x:v>
      </x:c>
      <x:c r="B23" s="80" t="n">
        <x:v>0.8285077951002228</x:v>
      </x:c>
      <x:c r="C23" s="26" t="n">
        <x:v>14.1845</x:v>
      </x:c>
    </x:row>
    <x:row r="24">
      <x:c r="A24" t="str">
        <x:v>Sequele</x:v>
      </x:c>
      <x:c r="B24" s="80" t="n">
        <x:v>0.8287037037037037</x:v>
      </x:c>
      <x:c r="C24" s="26" t="n">
        <x:v>17.7055</x:v>
      </x:c>
    </x:row>
    <x:row r="25">
      <x:c r="A25" t="str">
        <x:v>Maianga</x:v>
      </x:c>
      <x:c r="B25" s="80" t="n">
        <x:v>0.8294930875576036</x:v>
      </x:c>
      <x:c r="C25" s="26" t="n">
        <x:v>10.1845</x:v>
      </x:c>
    </x:row>
    <x:row r="26">
      <x:c r="A26" t="str">
        <x:v>Zango</x:v>
      </x:c>
      <x:c r="B26" s="80" t="n">
        <x:v>0.8301075268817204</x:v>
      </x:c>
      <x:c r="C26" s="26" t="n">
        <x:v>18.502</x:v>
      </x:c>
    </x:row>
    <x:row r="27">
      <x:c r="A27" t="str">
        <x:v>Morro Bento</x:v>
      </x:c>
      <x:c r="B27" s="80" t="n">
        <x:v>0.8322295805739515</x:v>
      </x:c>
      <x:c r="C27" s="26" t="n">
        <x:v>11.853</x:v>
      </x:c>
    </x:row>
    <x:row r="31">
      <x:c r="A31" s="19" t="str">
        <x:v>Fornecedor</x:v>
      </x:c>
      <x:c r="B31" s="19" t="str">
        <x:v>OTIF</x:v>
      </x:c>
      <x:c r="C31" s="19" t="str">
        <x:v>Valor POs M AOA</x:v>
      </x:c>
      <x:c r="E31" s="19" t="str">
        <x:v>Categoria</x:v>
      </x:c>
      <x:c r="F31" s="19" t="str">
        <x:v>Rotação</x:v>
      </x:c>
      <x:c r="G31" s="19" t="str">
        <x:v>DOH</x:v>
      </x:c>
      <x:c r="H31" s="19" t="str">
        <x:v>Exactidão</x:v>
      </x:c>
    </x:row>
    <x:row r="32">
      <x:c r="A32" t="str">
        <x:v>Fornecedor Catumbela</x:v>
      </x:c>
      <x:c r="B32" s="80" t="n">
        <x:v>0.8288973384030418</x:v>
      </x:c>
      <x:c r="C32" s="84" t="n">
        <x:v>1808.709174</x:v>
      </x:c>
      <x:c r="E32" t="str">
        <x:v>Escritorio</x:v>
      </x:c>
      <x:c r="F32" s="26" t="n">
        <x:v>19.874808035994935</x:v>
      </x:c>
      <x:c r="G32" s="26" t="n">
        <x:v>18.364957253370928</x:v>
      </x:c>
      <x:c r="H32" s="24" t="n">
        <x:v>0.9969543548769876</x:v>
      </x:c>
    </x:row>
    <x:row r="33">
      <x:c r="A33" t="str">
        <x:v>Fornecedor Acacias</x:v>
      </x:c>
      <x:c r="B33" s="80" t="n">
        <x:v>0.823170731707317</x:v>
      </x:c>
      <x:c r="C33" s="84" t="n">
        <x:v>977.423768</x:v>
      </x:c>
      <x:c r="E33" t="str">
        <x:v>Alimentacao</x:v>
      </x:c>
      <x:c r="F33" s="26" t="n">
        <x:v>20.407213316892726</x:v>
      </x:c>
      <x:c r="G33" s="26" t="n">
        <x:v>17.885832540293954</x:v>
      </x:c>
      <x:c r="H33" s="24" t="n">
        <x:v>0.9973058022243296</x:v>
      </x:c>
    </x:row>
    <x:row r="34">
      <x:c r="A34" t="str">
        <x:v>Fornecedor Palanca</x:v>
      </x:c>
      <x:c r="B34" s="80" t="n">
        <x:v>0.7329842931937173</x:v>
      </x:c>
      <x:c r="C34" s="84" t="n">
        <x:v>946.291474</x:v>
      </x:c>
      <x:c r="E34" t="str">
        <x:v>Bebidas</x:v>
      </x:c>
      <x:c r="F34" s="26" t="n">
        <x:v>20.409912574771578</x:v>
      </x:c>
      <x:c r="G34" s="26" t="n">
        <x:v>17.8834670978048</x:v>
      </x:c>
      <x:c r="H34" s="24" t="n">
        <x:v>0.997001720324404</x:v>
      </x:c>
    </x:row>
    <x:row r="35">
      <x:c r="A35" t="str">
        <x:v>Fornecedor Bengo</x:v>
      </x:c>
      <x:c r="B35" s="80" t="n">
        <x:v>0.8172043010752689</x:v>
      </x:c>
      <x:c r="C35" s="84" t="n">
        <x:v>945.916072</x:v>
      </x:c>
      <x:c r="E35" t="str">
        <x:v>Utilidades</x:v>
      </x:c>
      <x:c r="F35" s="26" t="n">
        <x:v>20.019669379877485</x:v>
      </x:c>
      <x:c r="G35" s="26" t="n">
        <x:v>18.232069325124574</x:v>
      </x:c>
      <x:c r="H35" s="24" t="n">
        <x:v>0.9969067109283639</x:v>
      </x:c>
    </x:row>
    <x:row r="36">
      <x:c r="A36" t="str">
        <x:v>Fornecedor Semba</x:v>
      </x:c>
      <x:c r="B36" s="80" t="n">
        <x:v>0.8070175438596491</x:v>
      </x:c>
      <x:c r="C36" s="84" t="n">
        <x:v>936.946275</x:v>
      </x:c>
      <x:c r="E36" t="str">
        <x:v>Limpeza</x:v>
      </x:c>
      <x:c r="F36" s="26" t="n">
        <x:v>18.582304971395427</x:v>
      </x:c>
      <x:c r="G36" s="26" t="n">
        <x:v>19.64234257062624</x:v>
      </x:c>
      <x:c r="H36" s="24" t="n">
        <x:v>0.9973712893505161</x:v>
      </x:c>
    </x:row>
    <x:row r="37">
      <x:c r="A37" t="str">
        <x:v>Fornecedor N'zeto</x:v>
      </x:c>
      <x:c r="B37" s="80" t="n">
        <x:v>0.8469387755102041</x:v>
      </x:c>
      <x:c r="C37" s="84" t="n">
        <x:v>925.204403</x:v>
      </x:c>
      <x:c r="E37" t="str">
        <x:v>Higiene</x:v>
      </x:c>
      <x:c r="F37" s="26" t="n">
        <x:v>19.962003556609364</x:v>
      </x:c>
      <x:c r="G37" s="26" t="n">
        <x:v>18.284737750141794</x:v>
      </x:c>
      <x:c r="H37" s="24" t="n">
        <x:v>0.9974666554819227</x:v>
      </x:c>
    </x:row>
    <x:row r="38">
      <x:c r="A38" t="str">
        <x:v>Fornecedor Mussulo</x:v>
      </x:c>
      <x:c r="B38" s="80" t="n">
        <x:v>0.8427947598253275</x:v>
      </x:c>
      <x:c r="C38" s="84" t="n">
        <x:v>917.2831</x:v>
      </x:c>
    </x:row>
    <x:row r="39">
      <x:c r="A39" t="str">
        <x:v>Fornecedor Kassai</x:v>
      </x:c>
      <x:c r="B39" s="80" t="n">
        <x:v>0.8251121076233184</x:v>
      </x:c>
      <x:c r="C39" s="84" t="n">
        <x:v>827.911628</x:v>
      </x:c>
    </x:row>
    <x:row r="40">
      <x:c r="A40" t="str">
        <x:v>Fornecedor Kwanza</x:v>
      </x:c>
      <x:c r="B40" s="80" t="n">
        <x:v>0.8509316770186336</x:v>
      </x:c>
      <x:c r="C40" s="84" t="n">
        <x:v>825.83111</x:v>
      </x:c>
    </x:row>
    <x:row r="41">
      <x:c r="A41" t="str">
        <x:v>Fornecedor Tundavala</x:v>
      </x:c>
      <x:c r="B41" s="80" t="n">
        <x:v>0.8090452261306532</x:v>
      </x:c>
      <x:c r="C41" s="84" t="n">
        <x:v>726.934245</x:v>
      </x:c>
    </x:row>
    <x:row r="42">
      <x:c r="A42" t="str">
        <x:v>Fornecedor Imbondeiro</x:v>
      </x:c>
      <x:c r="B42" s="80" t="n">
        <x:v>0.8</x:v>
      </x:c>
      <x:c r="C42" s="84" t="n">
        <x:v>655.031845</x:v>
      </x:c>
    </x:row>
    <x:row r="43">
      <x:c r="A43" t="str">
        <x:v>Fornecedor Baia</x:v>
      </x:c>
      <x:c r="B43" s="80" t="n">
        <x:v>0.7941176470588235</x:v>
      </x:c>
      <x:c r="C43" s="84" t="n">
        <x:v>561.537214</x:v>
      </x:c>
    </x:row>
  </x:sheetData>
  <x:mergeCells>
    <x:mergeCell ref="A1:P2"/>
    <x:mergeCell ref="A4:B4"/>
    <x:mergeCell ref="A5:B6"/>
    <x:mergeCell ref="C4:D4"/>
    <x:mergeCell ref="C5:D6"/>
    <x:mergeCell ref="E4:F4"/>
    <x:mergeCell ref="E5:F6"/>
    <x:mergeCell ref="G4:H4"/>
    <x:mergeCell ref="G5:H6"/>
    <x:mergeCell ref="A8:B8"/>
    <x:mergeCell ref="A9:B10"/>
    <x:mergeCell ref="C8:D8"/>
    <x:mergeCell ref="C9:D10"/>
    <x:mergeCell ref="E8:F8"/>
    <x:mergeCell ref="E9:F10"/>
    <x:mergeCell ref="G8:H8"/>
    <x:mergeCell ref="G9:H10"/>
  </x:mergeCells>
  <x:pageMargins left="0.7" right="0.7" top="0.75" bottom="0.75" header="0.3" footer="0.3"/>
  <x:drawing xmlns:r="http://schemas.openxmlformats.org/officeDocument/2006/relationships" r:id="R56709bec8e494125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38" hidden="0" customWidth="1"/>
  </x:cols>
  <x:sheetData>
    <x:row r="1">
      <x:c r="A1" s="90" t="str">
        <x:v>NOTAS DE METODOLOGIA PARA CORRECÇÃO</x:v>
      </x:c>
      <x:c r="B1" s="90"/>
      <x:c r="C1" s="90"/>
      <x:c r="D1" s="90"/>
    </x:row>
    <x:row r="2">
      <x:c r="A2" s="37"/>
      <x:c r="B2" s="37"/>
      <x:c r="C2" s="37"/>
      <x:c r="D2" s="37"/>
    </x:row>
    <x:row r="3">
      <x:c r="A3" s="38" t="str">
        <x:v>Tema</x:v>
      </x:c>
      <x:c r="B3" s="38" t="str">
        <x:v>Método usado no gabarito</x:v>
      </x:c>
      <x:c r="C3" s="38" t="str">
        <x:v>Alternativa aceitável</x:v>
      </x:c>
      <x:c r="D3" s="38" t="str">
        <x:v>Atenção</x:v>
      </x:c>
    </x:row>
    <x:row r="4">
      <x:c r="A4" s="37" t="str">
        <x:v>Custo/km</x:v>
      </x:c>
      <x:c r="B4" s="37" t="str">
        <x:v>Custo total / km total</x:v>
      </x:c>
      <x:c r="C4" s="37" t="str">
        <x:v>Média por viagem, se claramente declarada</x:v>
      </x:c>
      <x:c r="D4" s="37" t="str">
        <x:v>Não misturar métodos na comparação.</x:v>
      </x:c>
    </x:row>
    <x:row r="5">
      <x:c r="A5" s="37" t="str">
        <x:v>Qualidade fornecedor</x:v>
      </x:c>
      <x:c r="B5" s="37" t="str">
        <x:v>1 - Rejeitada total / Recebida total</x:v>
      </x:c>
      <x:c r="C5" s="37" t="str">
        <x:v>Média ponderada por PO</x:v>
      </x:c>
      <x:c r="D5" s="37" t="str">
        <x:v>Evitar média simples sem justificar.</x:v>
      </x:c>
    </x:row>
    <x:row r="6">
      <x:c r="A6" s="37" t="str">
        <x:v>Rotação de stock</x:v>
      </x:c>
      <x:c r="B6" s="37" t="str">
        <x:v>Saídas × 12 / soma do Stock_Médio mensal</x:v>
      </x:c>
      <x:c r="C6" s="37" t="str">
        <x:v>Cálculo por categoria/SKU e agregação ponderada</x:v>
      </x:c>
      <x:c r="D6" s="37" t="str">
        <x:v>A base cobre 8 meses.</x:v>
      </x:c>
    </x:row>
    <x:row r="7">
      <x:c r="A7" s="37" t="str">
        <x:v>DOH</x:v>
      </x:c>
      <x:c r="B7" s="37" t="str">
        <x:v>365 / rotação anualizada</x:v>
      </x:c>
      <x:c r="C7" s="37" t="str">
        <x:v>Stock médio / consumo diário</x:v>
      </x:c>
      <x:c r="D7" s="37" t="str">
        <x:v>Manter coerência com a rotação.</x:v>
      </x:c>
    </x:row>
    <x:row r="8">
      <x:c r="A8" s="37" t="str">
        <x:v>Exactidão</x:v>
      </x:c>
      <x:c r="B8" s="37" t="str">
        <x:v>1 - Σ|Sistema-Físico| / ΣSistema</x:v>
      </x:c>
      <x:c r="C8" s="37" t="str">
        <x:v>Média ponderada por SKU</x:v>
      </x:c>
      <x:c r="D8" s="37" t="str">
        <x:v>Tratar Stock_Sistema=0.</x:v>
      </x:c>
    </x:row>
    <x:row r="9">
      <x:c r="A9" s="37" t="str">
        <x:v>Stockout</x:v>
      </x:c>
      <x:c r="B9" s="37" t="str">
        <x:v>Σ dias stockout / Σ dias possíveis</x:v>
      </x:c>
      <x:c r="C9" s="37" t="str">
        <x:v>Taxa média ponderada</x:v>
      </x:c>
      <x:c r="D9" s="37" t="str">
        <x:v>Base actual regista 0 dias em todos os casos.</x:v>
      </x:c>
    </x:row>
    <x:row r="10">
      <x:c r="A10" s="37"/>
      <x:c r="B10" s="37"/>
      <x:c r="C10" s="37"/>
      <x:c r="D10" s="37"/>
    </x:row>
    <x:row r="11">
      <x:c r="A11" s="37"/>
      <x:c r="B11" s="37"/>
      <x:c r="C11" s="37"/>
      <x:c r="D11" s="37"/>
    </x:row>
    <x:row r="12">
      <x:c r="A12" s="37"/>
      <x:c r="B12" s="37"/>
      <x:c r="C12" s="37"/>
      <x:c r="D12" s="37"/>
    </x:row>
  </x:sheetData>
  <x:mergeCells>
    <x:mergeCell ref="A1:D1"/>
  </x:mergeCells>
  <x:pageMargins left="0.7" right="0.7" top="0.75" bottom="0.75" header="0.3" footer="0.3"/>
</x:worksheet>
</file>