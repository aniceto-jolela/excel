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FD820F3-F623-4A51-A8C3-2D83251BEEC6}" xr6:coauthVersionLast="47" xr6:coauthVersionMax="47" xr10:uidLastSave="{00000000-0000-0000-0000-000000000000}"/>
  <bookViews>
    <workbookView xWindow="-108" yWindow="-108" windowWidth="23256" windowHeight="12456" activeTab="2" xr2:uid="{F514F83D-E69B-4A5E-ABD1-BDD048CF59FE}"/>
  </bookViews>
  <sheets>
    <sheet name="Tabela dinamica" sheetId="6" r:id="rId1"/>
    <sheet name="Tabela dinamica recomendada" sheetId="7" r:id="rId2"/>
    <sheet name="HOME" sheetId="1" r:id="rId3"/>
    <sheet name="Folha8" sheetId="8" r:id="rId4"/>
  </sheets>
  <definedNames>
    <definedName name="_xlnm._FilterDatabase" localSheetId="2" hidden="1">HOME!$J$4:$N$4</definedName>
    <definedName name="SegmentaçãoDeDados_Destaque">#N/A</definedName>
    <definedName name="SegmentaçãoDeDados_Genero">#N/A</definedName>
    <definedName name="SegmentaçãoDeDados_Produto">#N/A</definedName>
  </definedNames>
  <calcPr calcId="191029"/>
  <pivotCaches>
    <pivotCache cacheId="27" r:id="rId5"/>
    <pivotCache cacheId="4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5" i="1"/>
  <c r="D19" i="1"/>
  <c r="D18" i="1"/>
  <c r="B6" i="1"/>
  <c r="B7" i="1" s="1"/>
  <c r="B8" i="1" s="1"/>
  <c r="B9" i="1" s="1"/>
  <c r="B10" i="1" s="1"/>
  <c r="B11" i="1" s="1"/>
  <c r="B12" i="1" s="1"/>
  <c r="B13" i="1" s="1"/>
  <c r="B14" i="1" s="1"/>
  <c r="B15" i="1" s="1"/>
  <c r="D17" i="1" s="1"/>
</calcChain>
</file>

<file path=xl/sharedStrings.xml><?xml version="1.0" encoding="utf-8"?>
<sst xmlns="http://schemas.openxmlformats.org/spreadsheetml/2006/main" count="96" uniqueCount="42">
  <si>
    <t>Produto</t>
  </si>
  <si>
    <t>Entrada</t>
  </si>
  <si>
    <t>Saida</t>
  </si>
  <si>
    <t>Amilton Rafel</t>
  </si>
  <si>
    <t>Helena Da Silva</t>
  </si>
  <si>
    <t>Jady Da Piedade</t>
  </si>
  <si>
    <t>Pascual Figueredo</t>
  </si>
  <si>
    <t>Jackson Fernando</t>
  </si>
  <si>
    <t>Guorgel Filipe</t>
  </si>
  <si>
    <t>Maravilha Fernando</t>
  </si>
  <si>
    <t>Alfredo Muanza</t>
  </si>
  <si>
    <t>Kelvin Imperial</t>
  </si>
  <si>
    <t>Liliana Gonçalves</t>
  </si>
  <si>
    <t>Nº</t>
  </si>
  <si>
    <t>PC</t>
  </si>
  <si>
    <t>HDD</t>
  </si>
  <si>
    <t>SSD</t>
  </si>
  <si>
    <t>Mouse</t>
  </si>
  <si>
    <t>Gabinete</t>
  </si>
  <si>
    <t>Telefone</t>
  </si>
  <si>
    <t>Teclado</t>
  </si>
  <si>
    <t>Monitor</t>
  </si>
  <si>
    <t>Pendrive</t>
  </si>
  <si>
    <t>HDM</t>
  </si>
  <si>
    <t>CONTROLE DE STOCK</t>
  </si>
  <si>
    <t>Total de fornecedores</t>
  </si>
  <si>
    <t>Fornecedores</t>
  </si>
  <si>
    <t>Total de Entrada</t>
  </si>
  <si>
    <t>Total de Saída</t>
  </si>
  <si>
    <t>Rótulos de Linha</t>
  </si>
  <si>
    <t>Contagem de Nº</t>
  </si>
  <si>
    <t>Total Geral</t>
  </si>
  <si>
    <t>Soma de Entrada</t>
  </si>
  <si>
    <t>Genero</t>
  </si>
  <si>
    <t>M</t>
  </si>
  <si>
    <t>F</t>
  </si>
  <si>
    <t>Soma de Saida</t>
  </si>
  <si>
    <t>Guilherme</t>
  </si>
  <si>
    <t>Auricular</t>
  </si>
  <si>
    <t>Destaque</t>
  </si>
  <si>
    <t>Produtos</t>
  </si>
  <si>
    <t>Total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</si>
</sst>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2" borderId="0" xfId="0" applyFont="1" applyFill="1"/>
    <xf numFmtId="0" fontId="0" fillId="3" borderId="0" xfId="0" applyFill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3" xfId="0" applyNumberFormat="1" applyBorder="1"/>
    <xf numFmtId="0" fontId="0" fillId="0" borderId="7" xfId="0" applyNumberFormat="1" applyBorder="1"/>
  </cellXfs>
  <cellStyles count="1">
    <cellStyle name="Normal" xfId="0" builtinId="0"/>
  </cellStyles>
  <dxfs count="1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[Logistica.xlsx]Tabela dinamica!Tabela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'Tabela dinamica'!$B$5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00B050">
                  <a:alpha val="85000"/>
                </a:srgb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dinamica'!$A$6:$A$17</c:f>
              <c:strCache>
                <c:ptCount val="11"/>
                <c:pt idx="0">
                  <c:v>Alfredo Muanza</c:v>
                </c:pt>
                <c:pt idx="1">
                  <c:v>Amilton Rafel</c:v>
                </c:pt>
                <c:pt idx="2">
                  <c:v>Guorgel Filipe</c:v>
                </c:pt>
                <c:pt idx="3">
                  <c:v>Helena Da Silva</c:v>
                </c:pt>
                <c:pt idx="4">
                  <c:v>Jackson Fernando</c:v>
                </c:pt>
                <c:pt idx="5">
                  <c:v>Jady Da Piedade</c:v>
                </c:pt>
                <c:pt idx="6">
                  <c:v>Kelvin Imperial</c:v>
                </c:pt>
                <c:pt idx="7">
                  <c:v>Liliana Gonçalves</c:v>
                </c:pt>
                <c:pt idx="8">
                  <c:v>Maravilha Fernando</c:v>
                </c:pt>
                <c:pt idx="9">
                  <c:v>Pascual Figueredo</c:v>
                </c:pt>
                <c:pt idx="10">
                  <c:v>Guilherme</c:v>
                </c:pt>
              </c:strCache>
            </c:strRef>
          </c:cat>
          <c:val>
            <c:numRef>
              <c:f>'Tabela dinamica'!$B$6:$B$17</c:f>
              <c:numCache>
                <c:formatCode>General</c:formatCode>
                <c:ptCount val="11"/>
                <c:pt idx="0">
                  <c:v>90</c:v>
                </c:pt>
                <c:pt idx="1">
                  <c:v>40</c:v>
                </c:pt>
                <c:pt idx="2">
                  <c:v>300</c:v>
                </c:pt>
                <c:pt idx="3">
                  <c:v>30</c:v>
                </c:pt>
                <c:pt idx="4">
                  <c:v>80</c:v>
                </c:pt>
                <c:pt idx="5">
                  <c:v>100</c:v>
                </c:pt>
                <c:pt idx="6">
                  <c:v>800</c:v>
                </c:pt>
                <c:pt idx="7">
                  <c:v>1000</c:v>
                </c:pt>
                <c:pt idx="8">
                  <c:v>49</c:v>
                </c:pt>
                <c:pt idx="9">
                  <c:v>12</c:v>
                </c:pt>
                <c:pt idx="10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0-4CF2-82C0-037AFFEAF0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258304"/>
        <c:axId val="44275584"/>
      </c:barChart>
      <c:catAx>
        <c:axId val="4425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275584"/>
        <c:crosses val="autoZero"/>
        <c:auto val="1"/>
        <c:lblAlgn val="ctr"/>
        <c:lblOffset val="100"/>
        <c:noMultiLvlLbl val="0"/>
      </c:catAx>
      <c:valAx>
        <c:axId val="442755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42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[Logistica.xlsx]Tabela dinamica!Tabela Dinâmica4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'Tabela dinamica'!$J$5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dinamica'!$I$6:$I$17</c:f>
              <c:strCache>
                <c:ptCount val="11"/>
                <c:pt idx="0">
                  <c:v>Alfredo Muanza</c:v>
                </c:pt>
                <c:pt idx="1">
                  <c:v>Amilton Rafel</c:v>
                </c:pt>
                <c:pt idx="2">
                  <c:v>Guorgel Filipe</c:v>
                </c:pt>
                <c:pt idx="3">
                  <c:v>Helena Da Silva</c:v>
                </c:pt>
                <c:pt idx="4">
                  <c:v>Jackson Fernando</c:v>
                </c:pt>
                <c:pt idx="5">
                  <c:v>Jady Da Piedade</c:v>
                </c:pt>
                <c:pt idx="6">
                  <c:v>Kelvin Imperial</c:v>
                </c:pt>
                <c:pt idx="7">
                  <c:v>Liliana Gonçalves</c:v>
                </c:pt>
                <c:pt idx="8">
                  <c:v>Maravilha Fernando</c:v>
                </c:pt>
                <c:pt idx="9">
                  <c:v>Pascual Figueredo</c:v>
                </c:pt>
                <c:pt idx="10">
                  <c:v>Guilherme</c:v>
                </c:pt>
              </c:strCache>
            </c:strRef>
          </c:cat>
          <c:val>
            <c:numRef>
              <c:f>'Tabela dinamica'!$J$6:$J$17</c:f>
              <c:numCache>
                <c:formatCode>General</c:formatCode>
                <c:ptCount val="11"/>
                <c:pt idx="0">
                  <c:v>20</c:v>
                </c:pt>
                <c:pt idx="1">
                  <c:v>5</c:v>
                </c:pt>
                <c:pt idx="2">
                  <c:v>100</c:v>
                </c:pt>
                <c:pt idx="3">
                  <c:v>23</c:v>
                </c:pt>
                <c:pt idx="4">
                  <c:v>30</c:v>
                </c:pt>
                <c:pt idx="5">
                  <c:v>19</c:v>
                </c:pt>
                <c:pt idx="6">
                  <c:v>250</c:v>
                </c:pt>
                <c:pt idx="7">
                  <c:v>720</c:v>
                </c:pt>
                <c:pt idx="8">
                  <c:v>30</c:v>
                </c:pt>
                <c:pt idx="9">
                  <c:v>7</c:v>
                </c:pt>
                <c:pt idx="1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7-4368-8605-D8AB615C6F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04896000"/>
        <c:axId val="1213685008"/>
      </c:barChart>
      <c:catAx>
        <c:axId val="210489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13685008"/>
        <c:crosses val="autoZero"/>
        <c:auto val="1"/>
        <c:lblAlgn val="ctr"/>
        <c:lblOffset val="100"/>
        <c:noMultiLvlLbl val="0"/>
      </c:catAx>
      <c:valAx>
        <c:axId val="121368500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10489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[Logistica.xlsx]Tabela dinamica!Tabela Dinâmica5</c:name>
    <c:fmtId val="3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dinamica'!$E$19</c:f>
              <c:strCache>
                <c:ptCount val="1"/>
                <c:pt idx="0">
                  <c:v>Soma de Entrada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'Tabela dinamica'!$D$20:$D$25</c:f>
              <c:strCache>
                <c:ptCount val="5"/>
                <c:pt idx="0">
                  <c:v>Amilton Rafel</c:v>
                </c:pt>
                <c:pt idx="1">
                  <c:v>Guorgel Filipe</c:v>
                </c:pt>
                <c:pt idx="2">
                  <c:v>Kelvin Imperial</c:v>
                </c:pt>
                <c:pt idx="3">
                  <c:v>Liliana Gonçalves</c:v>
                </c:pt>
                <c:pt idx="4">
                  <c:v>Guilherme</c:v>
                </c:pt>
              </c:strCache>
            </c:strRef>
          </c:cat>
          <c:val>
            <c:numRef>
              <c:f>'Tabela dinamica'!$E$20:$E$25</c:f>
              <c:numCache>
                <c:formatCode>General</c:formatCode>
                <c:ptCount val="5"/>
                <c:pt idx="0">
                  <c:v>40</c:v>
                </c:pt>
                <c:pt idx="1">
                  <c:v>300</c:v>
                </c:pt>
                <c:pt idx="2">
                  <c:v>800</c:v>
                </c:pt>
                <c:pt idx="3">
                  <c:v>1000</c:v>
                </c:pt>
                <c:pt idx="4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C-472E-8CD1-36B83BFDD1C9}"/>
            </c:ext>
          </c:extLst>
        </c:ser>
        <c:ser>
          <c:idx val="1"/>
          <c:order val="1"/>
          <c:tx>
            <c:strRef>
              <c:f>'Tabela dinamica'!$F$19</c:f>
              <c:strCache>
                <c:ptCount val="1"/>
                <c:pt idx="0">
                  <c:v>Soma de Saida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'Tabela dinamica'!$D$20:$D$25</c:f>
              <c:strCache>
                <c:ptCount val="5"/>
                <c:pt idx="0">
                  <c:v>Amilton Rafel</c:v>
                </c:pt>
                <c:pt idx="1">
                  <c:v>Guorgel Filipe</c:v>
                </c:pt>
                <c:pt idx="2">
                  <c:v>Kelvin Imperial</c:v>
                </c:pt>
                <c:pt idx="3">
                  <c:v>Liliana Gonçalves</c:v>
                </c:pt>
                <c:pt idx="4">
                  <c:v>Guilherme</c:v>
                </c:pt>
              </c:strCache>
            </c:strRef>
          </c:cat>
          <c:val>
            <c:numRef>
              <c:f>'Tabela dinamica'!$F$20:$F$25</c:f>
              <c:numCache>
                <c:formatCode>General</c:formatCode>
                <c:ptCount val="5"/>
                <c:pt idx="0">
                  <c:v>5</c:v>
                </c:pt>
                <c:pt idx="1">
                  <c:v>100</c:v>
                </c:pt>
                <c:pt idx="2">
                  <c:v>250</c:v>
                </c:pt>
                <c:pt idx="3">
                  <c:v>720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AC-472E-8CD1-36B83BFDD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090128"/>
        <c:axId val="391090608"/>
      </c:lineChart>
      <c:catAx>
        <c:axId val="39109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1090608"/>
        <c:crosses val="autoZero"/>
        <c:auto val="1"/>
        <c:lblAlgn val="ctr"/>
        <c:lblOffset val="100"/>
        <c:noMultiLvlLbl val="0"/>
      </c:catAx>
      <c:valAx>
        <c:axId val="3910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109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277211</xdr:colOff>
      <xdr:row>4</xdr:row>
      <xdr:rowOff>37575</xdr:rowOff>
    </xdr:from>
    <xdr:to>
      <xdr:col>7</xdr:col>
      <xdr:colOff>739665</xdr:colOff>
      <xdr:row>17</xdr:row>
      <xdr:rowOff>58595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CB7B75-E191-7105-3825-1CDEF1FED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132579</xdr:colOff>
      <xdr:row>3</xdr:row>
      <xdr:rowOff>119239</xdr:rowOff>
    </xdr:from>
    <xdr:to>
      <xdr:col>15</xdr:col>
      <xdr:colOff>222687</xdr:colOff>
      <xdr:row>17</xdr:row>
      <xdr:rowOff>144896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CF775F-2091-B711-D099-34B2B71C7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104578</xdr:colOff>
      <xdr:row>0</xdr:row>
      <xdr:rowOff>0</xdr:rowOff>
    </xdr:from>
    <xdr:to>
      <xdr:col>4</xdr:col>
      <xdr:colOff>604241</xdr:colOff>
      <xdr:row>4</xdr:row>
      <xdr:rowOff>46892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Genero">
              <a:extLst>
                <a:ext uri="{FF2B5EF4-FFF2-40B4-BE49-F238E27FC236}">
                  <a16:creationId xmlns:a16="http://schemas.microsoft.com/office/drawing/2014/main" id="{D1C05C51-B759-5A7B-C1A7-AB69EBA155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1998" y="0"/>
              <a:ext cx="1901743" cy="778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93804</xdr:colOff>
      <xdr:row>18</xdr:row>
      <xdr:rowOff>6307</xdr:rowOff>
    </xdr:from>
    <xdr:to>
      <xdr:col>8</xdr:col>
      <xdr:colOff>282990</xdr:colOff>
      <xdr:row>22</xdr:row>
      <xdr:rowOff>162911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Destaque">
              <a:extLst>
                <a:ext uri="{FF2B5EF4-FFF2-40B4-BE49-F238E27FC236}">
                  <a16:creationId xmlns:a16="http://schemas.microsoft.com/office/drawing/2014/main" id="{3739EFF3-2466-AC6C-4A40-40A210CA00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aqu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1164" y="3298147"/>
              <a:ext cx="1827486" cy="888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6</xdr:col>
      <xdr:colOff>183930</xdr:colOff>
      <xdr:row>23</xdr:row>
      <xdr:rowOff>162910</xdr:rowOff>
    </xdr:from>
    <xdr:to>
      <xdr:col>10</xdr:col>
      <xdr:colOff>940676</xdr:colOff>
      <xdr:row>34</xdr:row>
      <xdr:rowOff>157654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E02816A-B1EA-900F-6532-3E4C843F1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115127</xdr:colOff>
      <xdr:row>20</xdr:row>
      <xdr:rowOff>136183</xdr:rowOff>
    </xdr:from>
    <xdr:to>
      <xdr:col>13</xdr:col>
      <xdr:colOff>473980</xdr:colOff>
      <xdr:row>36</xdr:row>
      <xdr:rowOff>135133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roduto">
              <a:extLst>
                <a:ext uri="{FF2B5EF4-FFF2-40B4-BE49-F238E27FC236}">
                  <a16:creationId xmlns:a16="http://schemas.microsoft.com/office/drawing/2014/main" id="{81C142B4-1CE9-BF26-8AF5-90AC47F735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85947" y="3793783"/>
              <a:ext cx="1821893" cy="2925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16</xdr:col>
      <xdr:colOff>8021</xdr:colOff>
      <xdr:row>7</xdr:row>
      <xdr:rowOff>184484</xdr:rowOff>
    </xdr:from>
    <xdr:to>
      <xdr:col>16</xdr:col>
      <xdr:colOff>497305</xdr:colOff>
      <xdr:row>9</xdr:row>
      <xdr:rowOff>44116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8F29C97C-C562-0F76-43FC-CEE5D8765B26}"/>
            </a:ext>
          </a:extLst>
        </xdr:cNvPr>
        <xdr:cNvSpPr/>
      </xdr:nvSpPr>
      <xdr:spPr>
        <a:xfrm>
          <a:off x="13667874" y="1475873"/>
          <a:ext cx="489284" cy="22860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/>
            <a:t>40</a:t>
          </a:r>
        </a:p>
      </xdr:txBody>
    </xdr:sp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o Casas" refreshedDate="46281.743505439816" createdVersion="8" refreshedVersion="8" minRefreshableVersion="3" recordCount="11" xr:uid="{EA520C6B-7A60-4BA1-B9B1-2C59B15324B7}">
  <cacheSource type="worksheet">
    <worksheetSource name="Tabela1"/>
  </cacheSource>
  <cacheFields count="6">
    <cacheField name="Nº" numFmtId="0">
      <sharedItems containsSemiMixedTypes="0" containsString="0" containsNumber="1" containsInteger="1" minValue="1" maxValue="11"/>
    </cacheField>
    <cacheField name="Fornecedores" numFmtId="0">
      <sharedItems/>
    </cacheField>
    <cacheField name="Genero" numFmtId="0">
      <sharedItems count="2">
        <s v="M"/>
        <s v="F"/>
      </sharedItems>
    </cacheField>
    <cacheField name="Produto" numFmtId="0">
      <sharedItems count="11">
        <s v="PC"/>
        <s v="HDD"/>
        <s v="SSD"/>
        <s v="Mouse"/>
        <s v="Gabinete"/>
        <s v="Telefone"/>
        <s v="Teclado"/>
        <s v="Monitor"/>
        <s v="Pendrive"/>
        <s v="HDM"/>
        <s v="Auricular"/>
      </sharedItems>
    </cacheField>
    <cacheField name="Entrada" numFmtId="0">
      <sharedItems containsSemiMixedTypes="0" containsString="0" containsNumber="1" containsInteger="1" minValue="12" maxValue="7000"/>
    </cacheField>
    <cacheField name="Saida" numFmtId="0">
      <sharedItems containsSemiMixedTypes="0" containsString="0" containsNumber="1" containsInteger="1" minValue="5" maxValue="720" count="10">
        <n v="5"/>
        <n v="23"/>
        <n v="19"/>
        <n v="7"/>
        <n v="30"/>
        <n v="100"/>
        <n v="20"/>
        <n v="250"/>
        <n v="720"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 Casas" refreshedDate="46281.802411805555" createdVersion="8" refreshedVersion="8" minRefreshableVersion="3" recordCount="11" xr:uid="{EC89E30B-E069-400F-87E6-32D2D2FB2144}">
  <cacheSource type="worksheet">
    <worksheetSource name="Tabela1"/>
  </cacheSource>
  <cacheFields count="7">
    <cacheField name="Nº" numFmtId="0">
      <sharedItems containsSemiMixedTypes="0" containsString="0" containsNumber="1" containsInteger="1" minValue="1" maxValue="11"/>
    </cacheField>
    <cacheField name="Fornecedores" numFmtId="0">
      <sharedItems containsBlank="1" count="12">
        <s v="Amilton Rafel"/>
        <s v="Helena Da Silva"/>
        <s v="Jady Da Piedade"/>
        <s v="Pascual Figueredo"/>
        <s v="Jackson Fernando"/>
        <s v="Guorgel Filipe"/>
        <s v="Maravilha Fernando"/>
        <s v="Alfredo Muanza"/>
        <s v="Kelvin Imperial"/>
        <s v="Liliana Gonçalves"/>
        <s v="Guilherme"/>
        <m u="1"/>
      </sharedItems>
    </cacheField>
    <cacheField name="Destaque" numFmtId="0">
      <sharedItems count="2">
        <s v="Razoável"/>
        <s v="Bom"/>
      </sharedItems>
    </cacheField>
    <cacheField name="Genero" numFmtId="0">
      <sharedItems containsBlank="1" count="3">
        <s v="M"/>
        <s v="F"/>
        <m u="1"/>
      </sharedItems>
    </cacheField>
    <cacheField name="Produto" numFmtId="0">
      <sharedItems count="11">
        <s v="PC"/>
        <s v="HDD"/>
        <s v="SSD"/>
        <s v="Mouse"/>
        <s v="Gabinete"/>
        <s v="Telefone"/>
        <s v="Teclado"/>
        <s v="Monitor"/>
        <s v="Pendrive"/>
        <s v="HDM"/>
        <s v="Auricular"/>
      </sharedItems>
    </cacheField>
    <cacheField name="Entrada" numFmtId="0">
      <sharedItems containsSemiMixedTypes="0" containsString="0" containsNumber="1" containsInteger="1" minValue="12" maxValue="7000"/>
    </cacheField>
    <cacheField name="Saida" numFmtId="0">
      <sharedItems containsSemiMixedTypes="0" containsString="0" containsNumber="1" containsInteger="1" minValue="5" maxValue="720"/>
    </cacheField>
  </cacheFields>
  <extLst>
    <ext xmlns:x14="http://schemas.microsoft.com/office/spreadsheetml/2009/9/main" uri="{725AE2AE-9491-48be-B2B4-4EB974FC3084}">
      <x14:pivotCacheDefinition pivotCacheId="12925661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x v="0"/>
    <x v="0"/>
    <x v="0"/>
    <n v="40"/>
    <n v="5"/>
  </r>
  <r>
    <n v="2"/>
    <x v="1"/>
    <x v="0"/>
    <x v="1"/>
    <x v="1"/>
    <n v="30"/>
    <n v="23"/>
  </r>
  <r>
    <n v="3"/>
    <x v="2"/>
    <x v="0"/>
    <x v="1"/>
    <x v="2"/>
    <n v="100"/>
    <n v="19"/>
  </r>
  <r>
    <n v="4"/>
    <x v="3"/>
    <x v="0"/>
    <x v="0"/>
    <x v="3"/>
    <n v="12"/>
    <n v="7"/>
  </r>
  <r>
    <n v="5"/>
    <x v="4"/>
    <x v="0"/>
    <x v="0"/>
    <x v="4"/>
    <n v="80"/>
    <n v="30"/>
  </r>
  <r>
    <n v="6"/>
    <x v="5"/>
    <x v="0"/>
    <x v="0"/>
    <x v="5"/>
    <n v="300"/>
    <n v="100"/>
  </r>
  <r>
    <n v="7"/>
    <x v="6"/>
    <x v="0"/>
    <x v="1"/>
    <x v="6"/>
    <n v="49"/>
    <n v="30"/>
  </r>
  <r>
    <n v="8"/>
    <x v="7"/>
    <x v="0"/>
    <x v="0"/>
    <x v="7"/>
    <n v="90"/>
    <n v="20"/>
  </r>
  <r>
    <n v="9"/>
    <x v="8"/>
    <x v="0"/>
    <x v="0"/>
    <x v="8"/>
    <n v="800"/>
    <n v="250"/>
  </r>
  <r>
    <n v="10"/>
    <x v="9"/>
    <x v="1"/>
    <x v="1"/>
    <x v="9"/>
    <n v="1000"/>
    <n v="720"/>
  </r>
  <r>
    <n v="11"/>
    <x v="10"/>
    <x v="1"/>
    <x v="0"/>
    <x v="10"/>
    <n v="7000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3D335-BE45-47CE-ADD4-52868042B3FE}" name="Tabela Dinâmica5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Produtos" colHeaderCaption="Segmentação">
  <location ref="D19:F25" firstHeaderRow="0" firstDataRow="1" firstDataCol="1"/>
  <pivotFields count="7">
    <pivotField showAll="0"/>
    <pivotField axis="axisRow" showAll="0">
      <items count="13">
        <item sd="0" x="7"/>
        <item sd="0" x="0"/>
        <item sd="0" x="5"/>
        <item sd="0" x="1"/>
        <item sd="0" x="4"/>
        <item sd="0" x="2"/>
        <item sd="0" x="8"/>
        <item x="9"/>
        <item x="6"/>
        <item x="3"/>
        <item m="1" x="11"/>
        <item x="10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1"/>
        <item x="0"/>
        <item m="1" x="2"/>
        <item t="default"/>
      </items>
    </pivotField>
    <pivotField showAll="0">
      <items count="12">
        <item sd="0" x="10"/>
        <item h="1" sd="0" x="4"/>
        <item h="1" sd="0" x="1"/>
        <item sd="0" x="9"/>
        <item h="1" sd="0" x="7"/>
        <item h="1" sd="0" x="3"/>
        <item x="0"/>
        <item x="8"/>
        <item h="1" x="2"/>
        <item h="1" x="6"/>
        <item x="5"/>
        <item t="default"/>
      </items>
    </pivotField>
    <pivotField dataField="1" showAll="0"/>
    <pivotField dataField="1" showAll="0"/>
  </pivotFields>
  <rowFields count="1">
    <field x="1"/>
  </rowFields>
  <rowItems count="6">
    <i>
      <x v="1"/>
    </i>
    <i>
      <x v="2"/>
    </i>
    <i>
      <x v="6"/>
    </i>
    <i>
      <x v="7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ntrada" fld="5" baseField="0" baseItem="0"/>
    <dataField name="Soma de Saida" fld="6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71652-6AA6-4B84-ADEF-F3561C96F184}" name="Tabela Dinâmica4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Fornecedores" colHeaderCaption="Genero">
  <location ref="I5:J17" firstHeaderRow="1" firstDataRow="1" firstDataCol="1"/>
  <pivotFields count="7">
    <pivotField showAll="0"/>
    <pivotField axis="axisRow" showAll="0">
      <items count="13">
        <item x="7"/>
        <item x="0"/>
        <item x="5"/>
        <item x="1"/>
        <item x="4"/>
        <item x="2"/>
        <item x="8"/>
        <item x="9"/>
        <item x="6"/>
        <item x="3"/>
        <item m="1" x="11"/>
        <item x="1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Items count="1">
    <i/>
  </colItems>
  <dataFields count="1">
    <dataField name="Soma de Saida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06531-A4FF-41A2-819A-84BD9BEEC933}" name="Tabela Dinâmica1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Fornecedores" colHeaderCaption="Genero">
  <location ref="A5:B17" firstHeaderRow="1" firstDataRow="1" firstDataCol="1"/>
  <pivotFields count="7">
    <pivotField showAll="0"/>
    <pivotField axis="axisRow" showAll="0">
      <items count="13">
        <item x="7"/>
        <item x="0"/>
        <item x="5"/>
        <item x="1"/>
        <item x="4"/>
        <item x="2"/>
        <item x="8"/>
        <item x="9"/>
        <item x="6"/>
        <item x="3"/>
        <item m="1" x="11"/>
        <item x="10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Items count="1">
    <i/>
  </colItems>
  <dataFields count="1">
    <dataField name="Soma de Entrada" fld="5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B6B7E-F9F3-4444-BACF-331F974E6FD4}" name="Tabela Dinâmica3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6">
    <pivotField dataField="1" showAll="0"/>
    <pivotField showAll="0"/>
    <pivotField showAll="0">
      <items count="3">
        <item x="1"/>
        <item x="0"/>
        <item t="default"/>
      </items>
    </pivotField>
    <pivotField axis="axisRow" showAll="0">
      <items count="12">
        <item x="10"/>
        <item x="4"/>
        <item x="1"/>
        <item x="9"/>
        <item x="7"/>
        <item x="3"/>
        <item x="0"/>
        <item x="8"/>
        <item x="2"/>
        <item x="6"/>
        <item x="5"/>
        <item t="default"/>
      </items>
    </pivotField>
    <pivotField showAll="0"/>
    <pivotField showAll="0">
      <items count="11">
        <item x="0"/>
        <item x="3"/>
        <item x="2"/>
        <item x="6"/>
        <item x="1"/>
        <item x="4"/>
        <item x="5"/>
        <item x="7"/>
        <item x="8"/>
        <item x="9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agem de Nº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nero" xr10:uid="{4139C76A-E5BC-4ED4-8C35-8D471D8E831F}" sourceName="Genero">
  <pivotTables>
    <pivotTable tabId="6" name="Tabela Dinâmica1"/>
    <pivotTable tabId="6" name="Tabela Dinâmica5"/>
  </pivotTables>
  <data>
    <tabular pivotCacheId="1292566174">
      <items count="3">
        <i x="1" s="1"/>
        <i x="0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taque" xr10:uid="{73BE8B12-5B0C-4E3A-998D-9A1A8D1BCD05}" sourceName="Destaque">
  <pivotTables>
    <pivotTable tabId="6" name="Tabela Dinâmica5"/>
  </pivotTables>
  <data>
    <tabular pivotCacheId="1292566174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ED43CC4D-6A43-4D15-B96E-6605C89B3F52}" sourceName="Produto">
  <pivotTables>
    <pivotTable tabId="6" name="Tabela Dinâmica5"/>
  </pivotTables>
  <data>
    <tabular pivotCacheId="1292566174">
      <items count="11">
        <i x="10" s="1"/>
        <i x="4"/>
        <i x="1"/>
        <i x="9" s="1"/>
        <i x="7"/>
        <i x="3"/>
        <i x="0" s="1"/>
        <i x="8" s="1"/>
        <i x="2"/>
        <i x="6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o" xr10:uid="{28B6815B-C370-4E91-90E4-B8C0598D9516}" cache="SegmentaçãoDeDados_Genero" caption="Genero" rowHeight="234950"/>
  <slicer name="Destaque" xr10:uid="{6DEA3C0C-DB56-4723-8E61-EEB0F128C3C8}" cache="SegmentaçãoDeDados_Destaque" caption="Destaque" rowHeight="234950"/>
  <slicer name="Produto" xr10:uid="{DE608EC8-007E-468D-9492-6A0B3810AB4E}" cache="SegmentaçãoDeDados_Produto" caption="Produto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BFAC6-0DEA-4808-BC5B-91AF9D978EB3}" name="Tabela1" displayName="Tabela1" ref="B4:H15" totalsRowShown="0" headerRowDxfId="12" headerRowBorderDxfId="10" tableBorderDxfId="11" totalsRowBorderDxfId="9">
  <autoFilter ref="B4:H15" xr:uid="{793BFAC6-0DEA-4808-BC5B-91AF9D978EB3}"/>
  <tableColumns count="7">
    <tableColumn id="1" xr3:uid="{DA8CC3E0-05B5-4CEF-AD93-5726366C6BE0}" name="Nº" dataDxfId="8">
      <calculatedColumnFormula>B4+1</calculatedColumnFormula>
    </tableColumn>
    <tableColumn id="2" xr3:uid="{64C0B749-E569-47D9-87AA-F5FBDE4A258F}" name="Fornecedores" dataDxfId="7"/>
    <tableColumn id="7" xr3:uid="{A97D9D9A-861B-426E-892D-B1072CF9AF7C}" name="Destaque" dataDxfId="2">
      <calculatedColumnFormula>IF(Tabela1[[#This Row],[Entrada]]&gt;900,"Bom","Razoável")</calculatedColumnFormula>
    </tableColumn>
    <tableColumn id="6" xr3:uid="{36853D7B-02C4-4FEF-B710-D1A12C63DEF1}" name="Genero" dataDxfId="3"/>
    <tableColumn id="3" xr3:uid="{EB39D0E0-ED39-493C-9A38-C93906F6C037}" name="Produto" dataDxfId="6"/>
    <tableColumn id="4" xr3:uid="{4B935F59-3DB5-43F3-943D-3E5BC5BD7AF3}" name="Entrada" dataDxfId="5"/>
    <tableColumn id="5" xr3:uid="{3B92580D-A69C-4C28-9F29-E94F38BA42D8}" name="Saida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8B03-37E3-4BDD-8B6A-1D9B4BF45557}">
  <dimension ref="A5:Q25"/>
  <sheetViews>
    <sheetView topLeftCell="B1" zoomScaleNormal="100" workbookViewId="0">
      <selection activeCell="F3" sqref="F3"/>
    </sheetView>
  </sheetViews>
  <sheetFormatPr defaultRowHeight="14.4" x14ac:dyDescent="0.3"/>
  <cols>
    <col min="1" max="1" width="17.44140625" bestFit="1" customWidth="1"/>
    <col min="2" max="2" width="14.88671875" bestFit="1" customWidth="1"/>
    <col min="3" max="3" width="5.21875" bestFit="1" customWidth="1"/>
    <col min="4" max="4" width="15.21875" bestFit="1" customWidth="1"/>
    <col min="5" max="5" width="15.109375" bestFit="1" customWidth="1"/>
    <col min="6" max="6" width="13" bestFit="1" customWidth="1"/>
    <col min="7" max="7" width="10.33203125" bestFit="1" customWidth="1"/>
    <col min="8" max="8" width="13.5546875" bestFit="1" customWidth="1"/>
    <col min="9" max="9" width="17.44140625" bestFit="1" customWidth="1"/>
    <col min="10" max="10" width="12.77734375" bestFit="1" customWidth="1"/>
    <col min="11" max="11" width="16.21875" bestFit="1" customWidth="1"/>
    <col min="12" max="12" width="11.33203125" bestFit="1" customWidth="1"/>
    <col min="13" max="13" width="10" bestFit="1" customWidth="1"/>
  </cols>
  <sheetData>
    <row r="5" spans="1:17" x14ac:dyDescent="0.3">
      <c r="A5" s="14" t="s">
        <v>26</v>
      </c>
      <c r="B5" t="s">
        <v>32</v>
      </c>
      <c r="I5" s="14" t="s">
        <v>26</v>
      </c>
      <c r="J5" t="s">
        <v>36</v>
      </c>
    </row>
    <row r="6" spans="1:17" x14ac:dyDescent="0.3">
      <c r="A6" s="15" t="s">
        <v>10</v>
      </c>
      <c r="B6" s="16">
        <v>90</v>
      </c>
      <c r="I6" s="15" t="s">
        <v>10</v>
      </c>
      <c r="J6" s="16">
        <v>20</v>
      </c>
    </row>
    <row r="7" spans="1:17" x14ac:dyDescent="0.3">
      <c r="A7" s="15" t="s">
        <v>3</v>
      </c>
      <c r="B7" s="16">
        <v>40</v>
      </c>
      <c r="I7" s="15" t="s">
        <v>3</v>
      </c>
      <c r="J7" s="16">
        <v>5</v>
      </c>
    </row>
    <row r="8" spans="1:17" x14ac:dyDescent="0.3">
      <c r="A8" s="15" t="s">
        <v>8</v>
      </c>
      <c r="B8" s="16">
        <v>300</v>
      </c>
      <c r="I8" s="15" t="s">
        <v>8</v>
      </c>
      <c r="J8" s="16">
        <v>100</v>
      </c>
      <c r="Q8" t="s">
        <v>41</v>
      </c>
    </row>
    <row r="9" spans="1:17" x14ac:dyDescent="0.3">
      <c r="A9" s="15" t="s">
        <v>4</v>
      </c>
      <c r="B9" s="16">
        <v>30</v>
      </c>
      <c r="I9" s="15" t="s">
        <v>4</v>
      </c>
      <c r="J9" s="16">
        <v>23</v>
      </c>
    </row>
    <row r="10" spans="1:17" x14ac:dyDescent="0.3">
      <c r="A10" s="15" t="s">
        <v>7</v>
      </c>
      <c r="B10" s="16">
        <v>80</v>
      </c>
      <c r="I10" s="15" t="s">
        <v>7</v>
      </c>
      <c r="J10" s="16">
        <v>30</v>
      </c>
    </row>
    <row r="11" spans="1:17" x14ac:dyDescent="0.3">
      <c r="A11" s="15" t="s">
        <v>5</v>
      </c>
      <c r="B11" s="16">
        <v>100</v>
      </c>
      <c r="I11" s="15" t="s">
        <v>5</v>
      </c>
      <c r="J11" s="16">
        <v>19</v>
      </c>
    </row>
    <row r="12" spans="1:17" x14ac:dyDescent="0.3">
      <c r="A12" s="15" t="s">
        <v>11</v>
      </c>
      <c r="B12" s="16">
        <v>800</v>
      </c>
      <c r="I12" s="15" t="s">
        <v>11</v>
      </c>
      <c r="J12" s="16">
        <v>250</v>
      </c>
    </row>
    <row r="13" spans="1:17" x14ac:dyDescent="0.3">
      <c r="A13" s="15" t="s">
        <v>12</v>
      </c>
      <c r="B13" s="16">
        <v>1000</v>
      </c>
      <c r="I13" s="15" t="s">
        <v>12</v>
      </c>
      <c r="J13" s="16">
        <v>720</v>
      </c>
    </row>
    <row r="14" spans="1:17" x14ac:dyDescent="0.3">
      <c r="A14" s="15" t="s">
        <v>9</v>
      </c>
      <c r="B14" s="16">
        <v>49</v>
      </c>
      <c r="I14" s="15" t="s">
        <v>9</v>
      </c>
      <c r="J14" s="16">
        <v>30</v>
      </c>
    </row>
    <row r="15" spans="1:17" x14ac:dyDescent="0.3">
      <c r="A15" s="15" t="s">
        <v>6</v>
      </c>
      <c r="B15" s="16">
        <v>12</v>
      </c>
      <c r="I15" s="15" t="s">
        <v>6</v>
      </c>
      <c r="J15" s="16">
        <v>7</v>
      </c>
    </row>
    <row r="16" spans="1:17" x14ac:dyDescent="0.3">
      <c r="A16" s="15" t="s">
        <v>37</v>
      </c>
      <c r="B16" s="16">
        <v>7000</v>
      </c>
      <c r="I16" s="15" t="s">
        <v>37</v>
      </c>
      <c r="J16" s="16">
        <v>50</v>
      </c>
    </row>
    <row r="17" spans="1:10" x14ac:dyDescent="0.3">
      <c r="A17" s="15" t="s">
        <v>31</v>
      </c>
      <c r="B17" s="16">
        <v>9501</v>
      </c>
      <c r="I17" s="15" t="s">
        <v>31</v>
      </c>
      <c r="J17" s="16">
        <v>1254</v>
      </c>
    </row>
    <row r="19" spans="1:10" x14ac:dyDescent="0.3">
      <c r="D19" s="14" t="s">
        <v>40</v>
      </c>
      <c r="E19" t="s">
        <v>32</v>
      </c>
      <c r="F19" t="s">
        <v>36</v>
      </c>
    </row>
    <row r="20" spans="1:10" x14ac:dyDescent="0.3">
      <c r="D20" s="15" t="s">
        <v>3</v>
      </c>
      <c r="E20" s="16">
        <v>40</v>
      </c>
      <c r="F20" s="16">
        <v>5</v>
      </c>
    </row>
    <row r="21" spans="1:10" x14ac:dyDescent="0.3">
      <c r="D21" s="15" t="s">
        <v>8</v>
      </c>
      <c r="E21" s="16">
        <v>300</v>
      </c>
      <c r="F21" s="16">
        <v>100</v>
      </c>
    </row>
    <row r="22" spans="1:10" x14ac:dyDescent="0.3">
      <c r="D22" s="15" t="s">
        <v>11</v>
      </c>
      <c r="E22" s="16">
        <v>800</v>
      </c>
      <c r="F22" s="16">
        <v>250</v>
      </c>
    </row>
    <row r="23" spans="1:10" x14ac:dyDescent="0.3">
      <c r="D23" s="15" t="s">
        <v>12</v>
      </c>
      <c r="E23" s="16">
        <v>1000</v>
      </c>
      <c r="F23" s="16">
        <v>720</v>
      </c>
    </row>
    <row r="24" spans="1:10" x14ac:dyDescent="0.3">
      <c r="D24" s="15" t="s">
        <v>37</v>
      </c>
      <c r="E24" s="16">
        <v>7000</v>
      </c>
      <c r="F24" s="16">
        <v>50</v>
      </c>
    </row>
    <row r="25" spans="1:10" x14ac:dyDescent="0.3">
      <c r="D25" s="15" t="s">
        <v>31</v>
      </c>
      <c r="E25" s="16">
        <v>9140</v>
      </c>
      <c r="F25" s="16">
        <v>1125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EC85-C167-4B4B-9239-8C0C5EF85A01}">
  <dimension ref="A3:B15"/>
  <sheetViews>
    <sheetView workbookViewId="0">
      <selection activeCell="B7" sqref="B7"/>
    </sheetView>
  </sheetViews>
  <sheetFormatPr defaultRowHeight="14.4" x14ac:dyDescent="0.3"/>
  <cols>
    <col min="1" max="1" width="17.21875" bestFit="1" customWidth="1"/>
    <col min="2" max="2" width="15" bestFit="1" customWidth="1"/>
    <col min="3" max="3" width="2.77734375" bestFit="1" customWidth="1"/>
    <col min="4" max="4" width="10" bestFit="1" customWidth="1"/>
  </cols>
  <sheetData>
    <row r="3" spans="1:2" x14ac:dyDescent="0.3">
      <c r="A3" s="14" t="s">
        <v>29</v>
      </c>
      <c r="B3" t="s">
        <v>30</v>
      </c>
    </row>
    <row r="4" spans="1:2" x14ac:dyDescent="0.3">
      <c r="A4" s="15" t="s">
        <v>38</v>
      </c>
      <c r="B4" s="16">
        <v>1</v>
      </c>
    </row>
    <row r="5" spans="1:2" x14ac:dyDescent="0.3">
      <c r="A5" s="15" t="s">
        <v>18</v>
      </c>
      <c r="B5" s="16">
        <v>1</v>
      </c>
    </row>
    <row r="6" spans="1:2" x14ac:dyDescent="0.3">
      <c r="A6" s="15" t="s">
        <v>15</v>
      </c>
      <c r="B6" s="16">
        <v>1</v>
      </c>
    </row>
    <row r="7" spans="1:2" x14ac:dyDescent="0.3">
      <c r="A7" s="15" t="s">
        <v>23</v>
      </c>
      <c r="B7" s="16">
        <v>1</v>
      </c>
    </row>
    <row r="8" spans="1:2" x14ac:dyDescent="0.3">
      <c r="A8" s="15" t="s">
        <v>21</v>
      </c>
      <c r="B8" s="16">
        <v>1</v>
      </c>
    </row>
    <row r="9" spans="1:2" x14ac:dyDescent="0.3">
      <c r="A9" s="15" t="s">
        <v>17</v>
      </c>
      <c r="B9" s="16">
        <v>1</v>
      </c>
    </row>
    <row r="10" spans="1:2" x14ac:dyDescent="0.3">
      <c r="A10" s="15" t="s">
        <v>14</v>
      </c>
      <c r="B10" s="16">
        <v>1</v>
      </c>
    </row>
    <row r="11" spans="1:2" x14ac:dyDescent="0.3">
      <c r="A11" s="15" t="s">
        <v>22</v>
      </c>
      <c r="B11" s="16">
        <v>1</v>
      </c>
    </row>
    <row r="12" spans="1:2" x14ac:dyDescent="0.3">
      <c r="A12" s="15" t="s">
        <v>16</v>
      </c>
      <c r="B12" s="16">
        <v>1</v>
      </c>
    </row>
    <row r="13" spans="1:2" x14ac:dyDescent="0.3">
      <c r="A13" s="15" t="s">
        <v>20</v>
      </c>
      <c r="B13" s="16">
        <v>1</v>
      </c>
    </row>
    <row r="14" spans="1:2" x14ac:dyDescent="0.3">
      <c r="A14" s="15" t="s">
        <v>19</v>
      </c>
      <c r="B14" s="16">
        <v>1</v>
      </c>
    </row>
    <row r="15" spans="1:2" x14ac:dyDescent="0.3">
      <c r="A15" s="15" t="s">
        <v>31</v>
      </c>
      <c r="B15" s="1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0F61-9665-4BE1-859E-F9484B86876C}">
  <dimension ref="B1:H19"/>
  <sheetViews>
    <sheetView tabSelected="1" zoomScale="130" zoomScaleNormal="130" workbookViewId="0">
      <selection activeCell="E10" sqref="E10"/>
    </sheetView>
  </sheetViews>
  <sheetFormatPr defaultRowHeight="14.4" x14ac:dyDescent="0.3"/>
  <cols>
    <col min="3" max="3" width="17.5546875" bestFit="1" customWidth="1"/>
    <col min="4" max="4" width="11.109375" bestFit="1" customWidth="1"/>
    <col min="9" max="9" width="15" customWidth="1"/>
    <col min="10" max="10" width="15.6640625" customWidth="1"/>
    <col min="11" max="11" width="9.77734375" bestFit="1" customWidth="1"/>
  </cols>
  <sheetData>
    <row r="1" spans="2:8" s="2" customFormat="1" ht="25.8" x14ac:dyDescent="0.5">
      <c r="B1" s="2" t="s">
        <v>24</v>
      </c>
    </row>
    <row r="2" spans="2:8" s="3" customFormat="1" ht="4.2" customHeight="1" x14ac:dyDescent="0.3"/>
    <row r="4" spans="2:8" x14ac:dyDescent="0.3">
      <c r="B4" s="9" t="s">
        <v>13</v>
      </c>
      <c r="C4" s="10" t="s">
        <v>26</v>
      </c>
      <c r="D4" s="10" t="s">
        <v>39</v>
      </c>
      <c r="E4" s="10" t="s">
        <v>33</v>
      </c>
      <c r="F4" s="10" t="s">
        <v>0</v>
      </c>
      <c r="G4" s="10" t="s">
        <v>1</v>
      </c>
      <c r="H4" s="11" t="s">
        <v>2</v>
      </c>
    </row>
    <row r="5" spans="2:8" x14ac:dyDescent="0.3">
      <c r="B5" s="7">
        <v>1</v>
      </c>
      <c r="C5" s="1" t="s">
        <v>3</v>
      </c>
      <c r="D5" s="1" t="str">
        <f>IF(Tabela1[[#This Row],[Entrada]]&gt;900,"Bom","Razoável")</f>
        <v>Razoável</v>
      </c>
      <c r="E5" s="1" t="s">
        <v>34</v>
      </c>
      <c r="F5" s="1" t="s">
        <v>14</v>
      </c>
      <c r="G5" s="1">
        <v>40</v>
      </c>
      <c r="H5" s="8">
        <v>5</v>
      </c>
    </row>
    <row r="6" spans="2:8" x14ac:dyDescent="0.3">
      <c r="B6" s="7">
        <f t="shared" ref="B6:B14" si="0">B5+1</f>
        <v>2</v>
      </c>
      <c r="C6" s="1" t="s">
        <v>4</v>
      </c>
      <c r="D6" s="1" t="str">
        <f>IF(Tabela1[[#This Row],[Entrada]]&gt;900,"Bom","Razoável")</f>
        <v>Razoável</v>
      </c>
      <c r="E6" s="1" t="s">
        <v>35</v>
      </c>
      <c r="F6" s="1" t="s">
        <v>15</v>
      </c>
      <c r="G6" s="1">
        <v>30</v>
      </c>
      <c r="H6" s="8">
        <v>23</v>
      </c>
    </row>
    <row r="7" spans="2:8" x14ac:dyDescent="0.3">
      <c r="B7" s="7">
        <f t="shared" si="0"/>
        <v>3</v>
      </c>
      <c r="C7" s="1" t="s">
        <v>5</v>
      </c>
      <c r="D7" s="1" t="str">
        <f>IF(Tabela1[[#This Row],[Entrada]]&gt;900,"Bom","Razoável")</f>
        <v>Razoável</v>
      </c>
      <c r="E7" s="1" t="s">
        <v>35</v>
      </c>
      <c r="F7" s="1" t="s">
        <v>16</v>
      </c>
      <c r="G7" s="1">
        <v>100</v>
      </c>
      <c r="H7" s="8">
        <v>19</v>
      </c>
    </row>
    <row r="8" spans="2:8" x14ac:dyDescent="0.3">
      <c r="B8" s="7">
        <f t="shared" si="0"/>
        <v>4</v>
      </c>
      <c r="C8" s="1" t="s">
        <v>6</v>
      </c>
      <c r="D8" s="1" t="str">
        <f>IF(Tabela1[[#This Row],[Entrada]]&gt;900,"Bom","Razoável")</f>
        <v>Razoável</v>
      </c>
      <c r="E8" s="1" t="s">
        <v>34</v>
      </c>
      <c r="F8" s="1" t="s">
        <v>17</v>
      </c>
      <c r="G8" s="1">
        <v>12</v>
      </c>
      <c r="H8" s="8">
        <v>7</v>
      </c>
    </row>
    <row r="9" spans="2:8" x14ac:dyDescent="0.3">
      <c r="B9" s="7">
        <f t="shared" si="0"/>
        <v>5</v>
      </c>
      <c r="C9" s="1" t="s">
        <v>7</v>
      </c>
      <c r="D9" s="1" t="str">
        <f>IF(Tabela1[[#This Row],[Entrada]]&gt;900,"Bom","Razoável")</f>
        <v>Razoável</v>
      </c>
      <c r="E9" s="1" t="s">
        <v>34</v>
      </c>
      <c r="F9" s="1" t="s">
        <v>18</v>
      </c>
      <c r="G9" s="1">
        <v>80</v>
      </c>
      <c r="H9" s="8">
        <v>30</v>
      </c>
    </row>
    <row r="10" spans="2:8" x14ac:dyDescent="0.3">
      <c r="B10" s="7">
        <f t="shared" si="0"/>
        <v>6</v>
      </c>
      <c r="C10" s="1" t="s">
        <v>8</v>
      </c>
      <c r="D10" s="1" t="str">
        <f>IF(Tabela1[[#This Row],[Entrada]]&gt;900,"Bom","Razoável")</f>
        <v>Razoável</v>
      </c>
      <c r="E10" s="1" t="s">
        <v>34</v>
      </c>
      <c r="F10" s="1" t="s">
        <v>19</v>
      </c>
      <c r="G10" s="1">
        <v>300</v>
      </c>
      <c r="H10" s="8">
        <v>100</v>
      </c>
    </row>
    <row r="11" spans="2:8" x14ac:dyDescent="0.3">
      <c r="B11" s="7">
        <f t="shared" si="0"/>
        <v>7</v>
      </c>
      <c r="C11" s="1" t="s">
        <v>9</v>
      </c>
      <c r="D11" s="1" t="str">
        <f>IF(Tabela1[[#This Row],[Entrada]]&gt;900,"Bom","Razoável")</f>
        <v>Razoável</v>
      </c>
      <c r="E11" s="1" t="s">
        <v>35</v>
      </c>
      <c r="F11" s="1" t="s">
        <v>20</v>
      </c>
      <c r="G11" s="1">
        <v>49</v>
      </c>
      <c r="H11" s="8">
        <v>30</v>
      </c>
    </row>
    <row r="12" spans="2:8" x14ac:dyDescent="0.3">
      <c r="B12" s="7">
        <f t="shared" si="0"/>
        <v>8</v>
      </c>
      <c r="C12" s="1" t="s">
        <v>10</v>
      </c>
      <c r="D12" s="1" t="str">
        <f>IF(Tabela1[[#This Row],[Entrada]]&gt;900,"Bom","Razoável")</f>
        <v>Razoável</v>
      </c>
      <c r="E12" s="1" t="s">
        <v>34</v>
      </c>
      <c r="F12" s="1" t="s">
        <v>21</v>
      </c>
      <c r="G12" s="1">
        <v>90</v>
      </c>
      <c r="H12" s="8">
        <v>20</v>
      </c>
    </row>
    <row r="13" spans="2:8" x14ac:dyDescent="0.3">
      <c r="B13" s="7">
        <f t="shared" si="0"/>
        <v>9</v>
      </c>
      <c r="C13" s="1" t="s">
        <v>11</v>
      </c>
      <c r="D13" s="1" t="str">
        <f>IF(Tabela1[[#This Row],[Entrada]]&gt;900,"Bom","Razoável")</f>
        <v>Razoável</v>
      </c>
      <c r="E13" s="1" t="s">
        <v>34</v>
      </c>
      <c r="F13" s="1" t="s">
        <v>22</v>
      </c>
      <c r="G13" s="1">
        <v>800</v>
      </c>
      <c r="H13" s="8">
        <v>250</v>
      </c>
    </row>
    <row r="14" spans="2:8" x14ac:dyDescent="0.3">
      <c r="B14" s="7">
        <f t="shared" si="0"/>
        <v>10</v>
      </c>
      <c r="C14" s="12" t="s">
        <v>12</v>
      </c>
      <c r="D14" s="1" t="str">
        <f>IF(Tabela1[[#This Row],[Entrada]]&gt;900,"Bom","Razoável")</f>
        <v>Bom</v>
      </c>
      <c r="E14" s="12" t="s">
        <v>35</v>
      </c>
      <c r="F14" s="12" t="s">
        <v>23</v>
      </c>
      <c r="G14" s="12">
        <v>1000</v>
      </c>
      <c r="H14" s="13">
        <v>720</v>
      </c>
    </row>
    <row r="15" spans="2:8" x14ac:dyDescent="0.3">
      <c r="B15" s="17">
        <f>B14+1</f>
        <v>11</v>
      </c>
      <c r="C15" s="1" t="s">
        <v>37</v>
      </c>
      <c r="D15" s="1" t="str">
        <f>IF(Tabela1[[#This Row],[Entrada]]&gt;900,"Bom","Razoável")</f>
        <v>Bom</v>
      </c>
      <c r="E15" s="1" t="s">
        <v>34</v>
      </c>
      <c r="F15" s="1" t="s">
        <v>38</v>
      </c>
      <c r="G15" s="1">
        <v>7000</v>
      </c>
      <c r="H15" s="8">
        <v>50</v>
      </c>
    </row>
    <row r="16" spans="2:8" x14ac:dyDescent="0.3">
      <c r="B16" s="18"/>
      <c r="C16" s="12"/>
      <c r="D16" s="12"/>
      <c r="E16" s="12"/>
      <c r="F16" s="12"/>
      <c r="G16" s="13"/>
    </row>
    <row r="17" spans="2:6" x14ac:dyDescent="0.3">
      <c r="B17" s="4" t="s">
        <v>25</v>
      </c>
      <c r="C17" s="4"/>
      <c r="D17" s="1">
        <f>COUNTA(B5:B15)</f>
        <v>11</v>
      </c>
      <c r="E17" s="1"/>
      <c r="F17" s="1"/>
    </row>
    <row r="18" spans="2:6" x14ac:dyDescent="0.3">
      <c r="B18" s="5" t="s">
        <v>27</v>
      </c>
      <c r="C18" s="6"/>
      <c r="D18" s="1">
        <f>SUM(G5:G15)</f>
        <v>9501</v>
      </c>
      <c r="E18" s="1"/>
      <c r="F18" s="1"/>
    </row>
    <row r="19" spans="2:6" x14ac:dyDescent="0.3">
      <c r="B19" s="5" t="s">
        <v>28</v>
      </c>
      <c r="C19" s="6"/>
      <c r="D19" s="1">
        <f>SUM(H5:H15)</f>
        <v>1254</v>
      </c>
      <c r="E19" s="1"/>
      <c r="F19" s="1"/>
    </row>
  </sheetData>
  <mergeCells count="3">
    <mergeCell ref="B17:C17"/>
    <mergeCell ref="B18:C18"/>
    <mergeCell ref="B19:C19"/>
  </mergeCells>
  <conditionalFormatting sqref="D5:D15">
    <cfRule type="containsText" dxfId="0" priority="2" operator="containsText" text="Razoável">
      <formula>NOT(ISERROR(SEARCH("Razoável",D5)))</formula>
    </cfRule>
    <cfRule type="containsText" dxfId="1" priority="1" operator="containsText" text="Bom">
      <formula>NOT(ISERROR(SEARCH("Bom",D5)))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6A9B-1D65-47C8-929E-1F3C9BE414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Tabela dinamica</vt:lpstr>
      <vt:lpstr>Tabela dinamica recomendada</vt:lpstr>
      <vt:lpstr>HOME</vt:lpstr>
      <vt:lpstr>Folha8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Casas</dc:creator>
  <cp:lastModifiedBy>so Casas</cp:lastModifiedBy>
  <dcterms:created xsi:type="dcterms:W3CDTF">2026-09-16T15:11:28Z</dcterms:created>
  <dcterms:modified xsi:type="dcterms:W3CDTF">2026-09-16T18:27:14Z</dcterms:modified>
</cp:coreProperties>
</file>