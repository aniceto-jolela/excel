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3763AF58-51F6-4B7C-9A0D-1EBEB795A693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1-Instrucoes" sheetId="1" r:id="rId1"/>
    <sheet name="Administracao" sheetId="2" r:id="rId2"/>
    <sheet name="RH" sheetId="3" r:id="rId3"/>
    <sheet name="Financas" sheetId="4" r:id="rId4"/>
    <sheet name="Stock" sheetId="5" r:id="rId5"/>
    <sheet name="Tabela Dinamica" sheetId="12" r:id="rId6"/>
    <sheet name="Tabela + Gráficos" sheetId="9" r:id="rId7"/>
    <sheet name="Graficos" sheetId="7" r:id="rId8"/>
  </sheets>
  <definedNames>
    <definedName name="_xlcn.WorksheetConnection_Empresa_Moda_Angola.xlsxTabela11" hidden="1">Tabela1[]</definedName>
    <definedName name="_xlcn.WorksheetConnection_Empresa_Moda_Angola.xlsxTabela21" hidden="1">Tabela2[]</definedName>
    <definedName name="_xlcn.WorksheetConnection_Empresa_Moda_Angola.xlsxTabela41" hidden="1">Tabela4[]</definedName>
    <definedName name="_xlcn.WorksheetConnection_Empresa_Moda_Angola.xlsxTabela51" hidden="1">Tabela5[]</definedName>
  </definedNames>
  <calcPr calcId="181029"/>
  <pivotCaches>
    <pivotCache cacheId="0" r:id="rId9"/>
    <pivotCache cacheId="1" r:id="rId10"/>
    <pivotCache cacheId="2" r:id="rId11"/>
  </pivotCaches>
  <extLst>
    <ext xmlns:x15="http://schemas.microsoft.com/office/spreadsheetml/2010/11/main" uri="{FCE2AD5D-F65C-4FA6-A056-5C36A1767C68}">
      <x15:dataModel>
        <x15:modelTables>
          <x15:modelTable id="Tabela5" name="Tabela5" connection="WorksheetConnection_Empresa_Moda_Angola.xlsx!Tabela5"/>
          <x15:modelTable id="Tabela2" name="Tabela2" connection="WorksheetConnection_Empresa_Moda_Angola.xlsx!Tabela2"/>
          <x15:modelTable id="Tabela1" name="Tabela1" connection="WorksheetConnection_Empresa_Moda_Angola.xlsx!Tabela1"/>
          <x15:modelTable id="Tabela4" name="Tabela4" connection="WorksheetConnection_Empresa_Moda_Angola.xlsx!Tabela4"/>
        </x15:modelTables>
      </x15:dataModel>
    </ext>
  </extLst>
</workbook>
</file>

<file path=xl/calcChain.xml><?xml version="1.0" encoding="utf-8"?>
<calcChain xmlns="http://schemas.openxmlformats.org/spreadsheetml/2006/main">
  <c r="L4" i="3" l="1"/>
  <c r="L5" i="3"/>
  <c r="L3" i="3"/>
  <c r="J4" i="5"/>
  <c r="J3" i="5"/>
  <c r="J2" i="5"/>
  <c r="J8" i="4"/>
  <c r="J7" i="4"/>
  <c r="G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G297" i="3"/>
  <c r="G298" i="3"/>
  <c r="G299" i="3"/>
  <c r="G300" i="3"/>
  <c r="G301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30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0A1700-0967-4E61-AC67-ADFBB2AA10C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D4D5BD-856C-46E2-AC0A-3AC98A4EFE84}" name="WorksheetConnection_Empresa_Moda_Angola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Empresa_Moda_Angola.xlsxTabela11"/>
        </x15:connection>
      </ext>
    </extLst>
  </connection>
  <connection id="3" xr16:uid="{F6208B7D-1B25-4769-BBE1-C55FA5173492}" name="WorksheetConnection_Empresa_Moda_Angola.xlsx!Tabela2" type="102" refreshedVersion="8" minRefreshableVersion="5">
    <extLst>
      <ext xmlns:x15="http://schemas.microsoft.com/office/spreadsheetml/2010/11/main" uri="{DE250136-89BD-433C-8126-D09CA5730AF9}">
        <x15:connection id="Tabela2">
          <x15:rangePr sourceName="_xlcn.WorksheetConnection_Empresa_Moda_Angola.xlsxTabela21"/>
        </x15:connection>
      </ext>
    </extLst>
  </connection>
  <connection id="4" xr16:uid="{0319F1A4-B128-4C74-8FCF-C1DC4CA3AD2A}" name="WorksheetConnection_Empresa_Moda_Angola.xlsx!Tabela4" type="102" refreshedVersion="8" minRefreshableVersion="5">
    <extLst>
      <ext xmlns:x15="http://schemas.microsoft.com/office/spreadsheetml/2010/11/main" uri="{DE250136-89BD-433C-8126-D09CA5730AF9}">
        <x15:connection id="Tabela4">
          <x15:rangePr sourceName="_xlcn.WorksheetConnection_Empresa_Moda_Angola.xlsxTabela41"/>
        </x15:connection>
      </ext>
    </extLst>
  </connection>
  <connection id="5" xr16:uid="{6E98CEE6-C038-4B61-A912-848A8F541E7E}" name="WorksheetConnection_Empresa_Moda_Angola.xlsx!Tabela5" type="102" refreshedVersion="8" minRefreshableVersion="5">
    <extLst>
      <ext xmlns:x15="http://schemas.microsoft.com/office/spreadsheetml/2010/11/main" uri="{DE250136-89BD-433C-8126-D09CA5730AF9}">
        <x15:connection id="Tabela5" autoDelete="1">
          <x15:rangePr sourceName="_xlcn.WorksheetConnection_Empresa_Moda_Angola.xlsxTabela51"/>
        </x15:connection>
      </ext>
    </extLst>
  </connection>
</connections>
</file>

<file path=xl/sharedStrings.xml><?xml version="1.0" encoding="utf-8"?>
<sst xmlns="http://schemas.openxmlformats.org/spreadsheetml/2006/main" count="3977" uniqueCount="2268">
  <si>
    <t>Tópico</t>
  </si>
  <si>
    <t>O que fazer?</t>
  </si>
  <si>
    <t>1. TABELAS NORMAIS</t>
  </si>
  <si>
    <t>Formate os dados como Tabela (Ctrl + T) para facilitar a organização.</t>
  </si>
  <si>
    <t>2. CÁLCULOS TOTAIS (SOMA)</t>
  </si>
  <si>
    <t>No final das colunas de valores (AKZ), use a fórmula =SOMA(intervalo) para saber o total geral.</t>
  </si>
  <si>
    <t>3. MÉDIA DE VENDAS</t>
  </si>
  <si>
    <t>Use a fórmula =MÉDIA(intervalo) para saber o valor médio dos produtos ou salários.</t>
  </si>
  <si>
    <t>4. TABELAS DINÂMICAS</t>
  </si>
  <si>
    <t>Vá em 'Inserir' &gt; 'Tabela Dinâmica' para resumir quanto a empresa gastou por categoria.</t>
  </si>
  <si>
    <t>5. GRÁFICOS BÁSICOS</t>
  </si>
  <si>
    <t>Selecione os nomes e valores e insira um 'Gráfico de Colunas' para ver quem são os melhores clientes.</t>
  </si>
  <si>
    <t>6. ANÁLISE</t>
  </si>
  <si>
    <t>Observe qual é o produto com mais stock e qual a maior despesa da empresa.</t>
  </si>
  <si>
    <t>ID</t>
  </si>
  <si>
    <t>Nome</t>
  </si>
  <si>
    <t>NIF</t>
  </si>
  <si>
    <t>Telemóvel</t>
  </si>
  <si>
    <t>Bairro</t>
  </si>
  <si>
    <t>CLI-001</t>
  </si>
  <si>
    <t>Teresa Henriques</t>
  </si>
  <si>
    <t>742LA61</t>
  </si>
  <si>
    <t>928083211</t>
  </si>
  <si>
    <t>Cacuaco</t>
  </si>
  <si>
    <t>CLI-002</t>
  </si>
  <si>
    <t>Sílvia Pinto</t>
  </si>
  <si>
    <t>163LA32</t>
  </si>
  <si>
    <t>937929310</t>
  </si>
  <si>
    <t>Kilamba</t>
  </si>
  <si>
    <t>CLI-003</t>
  </si>
  <si>
    <t>Patrícia Xavier</t>
  </si>
  <si>
    <t>327LA87</t>
  </si>
  <si>
    <t>948961654</t>
  </si>
  <si>
    <t>Viana</t>
  </si>
  <si>
    <t>CLI-004</t>
  </si>
  <si>
    <t>Teresa Campos</t>
  </si>
  <si>
    <t>231LA59</t>
  </si>
  <si>
    <t>926502010</t>
  </si>
  <si>
    <t>Sambizanga</t>
  </si>
  <si>
    <t>CLI-005</t>
  </si>
  <si>
    <t>Helder Agostinho</t>
  </si>
  <si>
    <t>216LA68</t>
  </si>
  <si>
    <t>942757062</t>
  </si>
  <si>
    <t>Talatona</t>
  </si>
  <si>
    <t>CLI-006</t>
  </si>
  <si>
    <t>Maria Pinto</t>
  </si>
  <si>
    <t>634LA60</t>
  </si>
  <si>
    <t>945249915</t>
  </si>
  <si>
    <t>CLI-007</t>
  </si>
  <si>
    <t>Kiara Quaresma</t>
  </si>
  <si>
    <t>407LA90</t>
  </si>
  <si>
    <t>915503411</t>
  </si>
  <si>
    <t>CLI-008</t>
  </si>
  <si>
    <t>Quintino Neto</t>
  </si>
  <si>
    <t>292LA34</t>
  </si>
  <si>
    <t>935767047</t>
  </si>
  <si>
    <t>CLI-009</t>
  </si>
  <si>
    <t>Patrícia Santos</t>
  </si>
  <si>
    <t>666LA72</t>
  </si>
  <si>
    <t>912076224</t>
  </si>
  <si>
    <t>Maianga</t>
  </si>
  <si>
    <t>CLI-010</t>
  </si>
  <si>
    <t>Sílvia Evaristo</t>
  </si>
  <si>
    <t>481LA88</t>
  </si>
  <si>
    <t>931721221</t>
  </si>
  <si>
    <t>CLI-011</t>
  </si>
  <si>
    <t>Helder Fernandes</t>
  </si>
  <si>
    <t>634LA94</t>
  </si>
  <si>
    <t>932640960</t>
  </si>
  <si>
    <t>CLI-012</t>
  </si>
  <si>
    <t>Kiara Neto</t>
  </si>
  <si>
    <t>287LA74</t>
  </si>
  <si>
    <t>923448410</t>
  </si>
  <si>
    <t>CLI-013</t>
  </si>
  <si>
    <t>Ludmila Quaresma</t>
  </si>
  <si>
    <t>321LA50</t>
  </si>
  <si>
    <t>948350237</t>
  </si>
  <si>
    <t>CLI-014</t>
  </si>
  <si>
    <t>Kiara Oliveira</t>
  </si>
  <si>
    <t>114LA31</t>
  </si>
  <si>
    <t>944618189</t>
  </si>
  <si>
    <t>CLI-015</t>
  </si>
  <si>
    <t>Nádia Wanda</t>
  </si>
  <si>
    <t>208LA50</t>
  </si>
  <si>
    <t>934775029</t>
  </si>
  <si>
    <t>CLI-016</t>
  </si>
  <si>
    <t>António Kassoma</t>
  </si>
  <si>
    <t>112LA44</t>
  </si>
  <si>
    <t>921469255</t>
  </si>
  <si>
    <t>CLI-017</t>
  </si>
  <si>
    <t>José Fernandes</t>
  </si>
  <si>
    <t>973LA13</t>
  </si>
  <si>
    <t>911528812</t>
  </si>
  <si>
    <t>Mutamba</t>
  </si>
  <si>
    <t>CLI-018</t>
  </si>
  <si>
    <t>489LA34</t>
  </si>
  <si>
    <t>912487504</t>
  </si>
  <si>
    <t>CLI-019</t>
  </si>
  <si>
    <t>Maria Quaresma</t>
  </si>
  <si>
    <t>758LA54</t>
  </si>
  <si>
    <t>929556042</t>
  </si>
  <si>
    <t>CLI-020</t>
  </si>
  <si>
    <t>Maria Kassoma</t>
  </si>
  <si>
    <t>893LA52</t>
  </si>
  <si>
    <t>922673777</t>
  </si>
  <si>
    <t>CLI-021</t>
  </si>
  <si>
    <t>Francisco Domingos</t>
  </si>
  <si>
    <t>609LA63</t>
  </si>
  <si>
    <t>927909726</t>
  </si>
  <si>
    <t>CLI-022</t>
  </si>
  <si>
    <t>Kiara Baptista</t>
  </si>
  <si>
    <t>477LA45</t>
  </si>
  <si>
    <t>935133752</t>
  </si>
  <si>
    <t>CLI-023</t>
  </si>
  <si>
    <t>Eunice Xavier</t>
  </si>
  <si>
    <t>908LA72</t>
  </si>
  <si>
    <t>945767358</t>
  </si>
  <si>
    <t>Benfica</t>
  </si>
  <si>
    <t>CLI-024</t>
  </si>
  <si>
    <t>Manuel Santos</t>
  </si>
  <si>
    <t>844LA24</t>
  </si>
  <si>
    <t>939177018</t>
  </si>
  <si>
    <t>CLI-025</t>
  </si>
  <si>
    <t>Milton Fernandes</t>
  </si>
  <si>
    <t>376LA16</t>
  </si>
  <si>
    <t>932837280</t>
  </si>
  <si>
    <t>Alvalade</t>
  </si>
  <si>
    <t>CLI-026</t>
  </si>
  <si>
    <t>Nádia Baptista</t>
  </si>
  <si>
    <t>463LA59</t>
  </si>
  <si>
    <t>925775761</t>
  </si>
  <si>
    <t>CLI-027</t>
  </si>
  <si>
    <t>Milton Martins</t>
  </si>
  <si>
    <t>404LA71</t>
  </si>
  <si>
    <t>918665434</t>
  </si>
  <si>
    <t>CLI-028</t>
  </si>
  <si>
    <t>Osvaldo Kassoma</t>
  </si>
  <si>
    <t>534LA88</t>
  </si>
  <si>
    <t>941442268</t>
  </si>
  <si>
    <t>CLI-029</t>
  </si>
  <si>
    <t>José Henriques</t>
  </si>
  <si>
    <t>791LA74</t>
  </si>
  <si>
    <t>925470690</t>
  </si>
  <si>
    <t>CLI-030</t>
  </si>
  <si>
    <t>354LA41</t>
  </si>
  <si>
    <t>941890144</t>
  </si>
  <si>
    <t>Cassenda</t>
  </si>
  <si>
    <t>CLI-031</t>
  </si>
  <si>
    <t>Joaquim Uchoa</t>
  </si>
  <si>
    <t>478LA22</t>
  </si>
  <si>
    <t>943013087</t>
  </si>
  <si>
    <t>CLI-032</t>
  </si>
  <si>
    <t>Sílvia Henriques</t>
  </si>
  <si>
    <t>431LA44</t>
  </si>
  <si>
    <t>943385457</t>
  </si>
  <si>
    <t>CLI-033</t>
  </si>
  <si>
    <t>Teresa Fernandes</t>
  </si>
  <si>
    <t>959LA26</t>
  </si>
  <si>
    <t>926887117</t>
  </si>
  <si>
    <t>CLI-034</t>
  </si>
  <si>
    <t>Teresa Kassoma</t>
  </si>
  <si>
    <t>157LA90</t>
  </si>
  <si>
    <t>939307680</t>
  </si>
  <si>
    <t>CLI-035</t>
  </si>
  <si>
    <t>Idalina Isaac</t>
  </si>
  <si>
    <t>816LA55</t>
  </si>
  <si>
    <t>919053504</t>
  </si>
  <si>
    <t>CLI-036</t>
  </si>
  <si>
    <t>Ludmila Oliveira</t>
  </si>
  <si>
    <t>359LA50</t>
  </si>
  <si>
    <t>914030079</t>
  </si>
  <si>
    <t>CLI-037</t>
  </si>
  <si>
    <t>Isabel Uchoa</t>
  </si>
  <si>
    <t>437LA98</t>
  </si>
  <si>
    <t>939561735</t>
  </si>
  <si>
    <t>CLI-038</t>
  </si>
  <si>
    <t>Jacinto Rocha</t>
  </si>
  <si>
    <t>786LA46</t>
  </si>
  <si>
    <t>916390386</t>
  </si>
  <si>
    <t>CLI-039</t>
  </si>
  <si>
    <t>Ludmila Evaristo</t>
  </si>
  <si>
    <t>683LA23</t>
  </si>
  <si>
    <t>923776113</t>
  </si>
  <si>
    <t>CLI-040</t>
  </si>
  <si>
    <t>Teresa Neto</t>
  </si>
  <si>
    <t>286LA72</t>
  </si>
  <si>
    <t>913601830</t>
  </si>
  <si>
    <t>CLI-041</t>
  </si>
  <si>
    <t>Zuleica Evaristo</t>
  </si>
  <si>
    <t>237LA49</t>
  </si>
  <si>
    <t>943688877</t>
  </si>
  <si>
    <t>CLI-042</t>
  </si>
  <si>
    <t>Kiara Henriques</t>
  </si>
  <si>
    <t>227LA81</t>
  </si>
  <si>
    <t>942671868</t>
  </si>
  <si>
    <t>CLI-043</t>
  </si>
  <si>
    <t>899LA72</t>
  </si>
  <si>
    <t>939317810</t>
  </si>
  <si>
    <t>CLI-044</t>
  </si>
  <si>
    <t>Idalina Domingos</t>
  </si>
  <si>
    <t>224LA91</t>
  </si>
  <si>
    <t>939718911</t>
  </si>
  <si>
    <t>CLI-045</t>
  </si>
  <si>
    <t>Teresa Uchoa</t>
  </si>
  <si>
    <t>154LA57</t>
  </si>
  <si>
    <t>923103323</t>
  </si>
  <si>
    <t>CLI-046</t>
  </si>
  <si>
    <t>Idalina Evaristo</t>
  </si>
  <si>
    <t>925LA63</t>
  </si>
  <si>
    <t>911091691</t>
  </si>
  <si>
    <t>CLI-047</t>
  </si>
  <si>
    <t>Teresa Pinto</t>
  </si>
  <si>
    <t>122LA43</t>
  </si>
  <si>
    <t>946021832</t>
  </si>
  <si>
    <t>CLI-048</t>
  </si>
  <si>
    <t>Osvaldo Evaristo</t>
  </si>
  <si>
    <t>947LA40</t>
  </si>
  <si>
    <t>924466689</t>
  </si>
  <si>
    <t>CLI-049</t>
  </si>
  <si>
    <t>Gaspar Quaresma</t>
  </si>
  <si>
    <t>961LA13</t>
  </si>
  <si>
    <t>921923068</t>
  </si>
  <si>
    <t>CLI-050</t>
  </si>
  <si>
    <t>275LA96</t>
  </si>
  <si>
    <t>936060781</t>
  </si>
  <si>
    <t>CLI-051</t>
  </si>
  <si>
    <t>Manuel Wanda</t>
  </si>
  <si>
    <t>368LA43</t>
  </si>
  <si>
    <t>921814744</t>
  </si>
  <si>
    <t>CLI-052</t>
  </si>
  <si>
    <t>Fernando Domingos</t>
  </si>
  <si>
    <t>988LA87</t>
  </si>
  <si>
    <t>915691613</t>
  </si>
  <si>
    <t>CLI-053</t>
  </si>
  <si>
    <t>Osvaldo Vieira</t>
  </si>
  <si>
    <t>911LA55</t>
  </si>
  <si>
    <t>912263413</t>
  </si>
  <si>
    <t>CLI-054</t>
  </si>
  <si>
    <t>Idalina Gomes</t>
  </si>
  <si>
    <t>506LA49</t>
  </si>
  <si>
    <t>918630375</t>
  </si>
  <si>
    <t>CLI-055</t>
  </si>
  <si>
    <t>Milton Vieira</t>
  </si>
  <si>
    <t>558LA96</t>
  </si>
  <si>
    <t>928005857</t>
  </si>
  <si>
    <t>CLI-056</t>
  </si>
  <si>
    <t>Maria Henriques</t>
  </si>
  <si>
    <t>813LA61</t>
  </si>
  <si>
    <t>949021629</t>
  </si>
  <si>
    <t>CLI-057</t>
  </si>
  <si>
    <t>Cláudio Henriques</t>
  </si>
  <si>
    <t>764LA76</t>
  </si>
  <si>
    <t>948720995</t>
  </si>
  <si>
    <t>CLI-058</t>
  </si>
  <si>
    <t>Ana Campos</t>
  </si>
  <si>
    <t>296LA25</t>
  </si>
  <si>
    <t>938720632</t>
  </si>
  <si>
    <t>CLI-059</t>
  </si>
  <si>
    <t>Rui Oliveira</t>
  </si>
  <si>
    <t>830LA68</t>
  </si>
  <si>
    <t>943982912</t>
  </si>
  <si>
    <t>CLI-060</t>
  </si>
  <si>
    <t>Cláudio Jorge</t>
  </si>
  <si>
    <t>419LA71</t>
  </si>
  <si>
    <t>937410107</t>
  </si>
  <si>
    <t>CLI-061</t>
  </si>
  <si>
    <t>Yuri Quaresma</t>
  </si>
  <si>
    <t>515LA10</t>
  </si>
  <si>
    <t>944978548</t>
  </si>
  <si>
    <t>CLI-062</t>
  </si>
  <si>
    <t>173LA54</t>
  </si>
  <si>
    <t>921673358</t>
  </si>
  <si>
    <t>CLI-063</t>
  </si>
  <si>
    <t>Francisco Martins</t>
  </si>
  <si>
    <t>959LA41</t>
  </si>
  <si>
    <t>937549524</t>
  </si>
  <si>
    <t>CLI-064</t>
  </si>
  <si>
    <t>Osvaldo Xavier</t>
  </si>
  <si>
    <t>910LA38</t>
  </si>
  <si>
    <t>916103175</t>
  </si>
  <si>
    <t>CLI-065</t>
  </si>
  <si>
    <t>Quintino Oliveira</t>
  </si>
  <si>
    <t>989LA72</t>
  </si>
  <si>
    <t>948713620</t>
  </si>
  <si>
    <t>CLI-066</t>
  </si>
  <si>
    <t>Rui Domingos</t>
  </si>
  <si>
    <t>640LA33</t>
  </si>
  <si>
    <t>947975258</t>
  </si>
  <si>
    <t>CLI-067</t>
  </si>
  <si>
    <t>Gaspar Santos</t>
  </si>
  <si>
    <t>187LA26</t>
  </si>
  <si>
    <t>916354740</t>
  </si>
  <si>
    <t>CLI-068</t>
  </si>
  <si>
    <t>Yuri Baptista</t>
  </si>
  <si>
    <t>213LA41</t>
  </si>
  <si>
    <t>921133157</t>
  </si>
  <si>
    <t>CLI-069</t>
  </si>
  <si>
    <t>Francisco Jorge</t>
  </si>
  <si>
    <t>118LA43</t>
  </si>
  <si>
    <t>915733990</t>
  </si>
  <si>
    <t>CLI-070</t>
  </si>
  <si>
    <t>Jacinto Domingos</t>
  </si>
  <si>
    <t>104LA67</t>
  </si>
  <si>
    <t>948903355</t>
  </si>
  <si>
    <t>CLI-071</t>
  </si>
  <si>
    <t>António Wanda</t>
  </si>
  <si>
    <t>508LA55</t>
  </si>
  <si>
    <t>923593502</t>
  </si>
  <si>
    <t>CLI-072</t>
  </si>
  <si>
    <t>Zuleica Lopes</t>
  </si>
  <si>
    <t>985LA85</t>
  </si>
  <si>
    <t>914673841</t>
  </si>
  <si>
    <t>CLI-073</t>
  </si>
  <si>
    <t>Joaquim Vieira</t>
  </si>
  <si>
    <t>445LA14</t>
  </si>
  <si>
    <t>941164190</t>
  </si>
  <si>
    <t>CLI-074</t>
  </si>
  <si>
    <t>Paulo Henriques</t>
  </si>
  <si>
    <t>888LA49</t>
  </si>
  <si>
    <t>942195081</t>
  </si>
  <si>
    <t>CLI-075</t>
  </si>
  <si>
    <t>831LA19</t>
  </si>
  <si>
    <t>918235744</t>
  </si>
  <si>
    <t>CLI-076</t>
  </si>
  <si>
    <t>Rosa Oliveira</t>
  </si>
  <si>
    <t>688LA60</t>
  </si>
  <si>
    <t>933897514</t>
  </si>
  <si>
    <t>CLI-077</t>
  </si>
  <si>
    <t>Helder Campos</t>
  </si>
  <si>
    <t>575LA48</t>
  </si>
  <si>
    <t>931184546</t>
  </si>
  <si>
    <t>CLI-078</t>
  </si>
  <si>
    <t>Quintino Isaac</t>
  </si>
  <si>
    <t>893LA51</t>
  </si>
  <si>
    <t>917555280</t>
  </si>
  <si>
    <t>CLI-079</t>
  </si>
  <si>
    <t>399LA53</t>
  </si>
  <si>
    <t>933452901</t>
  </si>
  <si>
    <t>CLI-080</t>
  </si>
  <si>
    <t>Manuel Neto</t>
  </si>
  <si>
    <t>775LA78</t>
  </si>
  <si>
    <t>918456206</t>
  </si>
  <si>
    <t>CLI-081</t>
  </si>
  <si>
    <t>Gaspar Baptista</t>
  </si>
  <si>
    <t>609LA97</t>
  </si>
  <si>
    <t>948972231</t>
  </si>
  <si>
    <t>CLI-082</t>
  </si>
  <si>
    <t>José Wanda</t>
  </si>
  <si>
    <t>468LA32</t>
  </si>
  <si>
    <t>935325141</t>
  </si>
  <si>
    <t>CLI-083</t>
  </si>
  <si>
    <t>462LA28</t>
  </si>
  <si>
    <t>917542692</t>
  </si>
  <si>
    <t>CLI-084</t>
  </si>
  <si>
    <t>Paulo Teixeira</t>
  </si>
  <si>
    <t>580LA90</t>
  </si>
  <si>
    <t>929360738</t>
  </si>
  <si>
    <t>CLI-085</t>
  </si>
  <si>
    <t>Eunice Jorge</t>
  </si>
  <si>
    <t>692LA67</t>
  </si>
  <si>
    <t>947670411</t>
  </si>
  <si>
    <t>CLI-086</t>
  </si>
  <si>
    <t>Nádia Uchoa</t>
  </si>
  <si>
    <t>731LA88</t>
  </si>
  <si>
    <t>947547733</t>
  </si>
  <si>
    <t>CLI-087</t>
  </si>
  <si>
    <t>Isabel Quaresma</t>
  </si>
  <si>
    <t>968LA37</t>
  </si>
  <si>
    <t>911614521</t>
  </si>
  <si>
    <t>CLI-088</t>
  </si>
  <si>
    <t>Rui Santos</t>
  </si>
  <si>
    <t>759LA93</t>
  </si>
  <si>
    <t>911394718</t>
  </si>
  <si>
    <t>CLI-089</t>
  </si>
  <si>
    <t>Francisco Kassoma</t>
  </si>
  <si>
    <t>620LA29</t>
  </si>
  <si>
    <t>924455918</t>
  </si>
  <si>
    <t>CLI-090</t>
  </si>
  <si>
    <t>José Vieira</t>
  </si>
  <si>
    <t>255LA13</t>
  </si>
  <si>
    <t>924066091</t>
  </si>
  <si>
    <t>CLI-091</t>
  </si>
  <si>
    <t>Osvaldo Oliveira</t>
  </si>
  <si>
    <t>885LA61</t>
  </si>
  <si>
    <t>916124744</t>
  </si>
  <si>
    <t>CLI-092</t>
  </si>
  <si>
    <t>Sílvia Neto</t>
  </si>
  <si>
    <t>780LA38</t>
  </si>
  <si>
    <t>922677694</t>
  </si>
  <si>
    <t>CLI-093</t>
  </si>
  <si>
    <t>Francisco Evaristo</t>
  </si>
  <si>
    <t>332LA18</t>
  </si>
  <si>
    <t>942306482</t>
  </si>
  <si>
    <t>CLI-094</t>
  </si>
  <si>
    <t>Eunice Vieira</t>
  </si>
  <si>
    <t>715LA88</t>
  </si>
  <si>
    <t>934232523</t>
  </si>
  <si>
    <t>CLI-095</t>
  </si>
  <si>
    <t>Isabel Neto</t>
  </si>
  <si>
    <t>154LA87</t>
  </si>
  <si>
    <t>931863144</t>
  </si>
  <si>
    <t>CLI-096</t>
  </si>
  <si>
    <t>Patrícia Kassoma</t>
  </si>
  <si>
    <t>833LA16</t>
  </si>
  <si>
    <t>934516854</t>
  </si>
  <si>
    <t>CLI-097</t>
  </si>
  <si>
    <t>Jacinto Gomes</t>
  </si>
  <si>
    <t>414LA22</t>
  </si>
  <si>
    <t>916379340</t>
  </si>
  <si>
    <t>CLI-098</t>
  </si>
  <si>
    <t>António Baptista</t>
  </si>
  <si>
    <t>561LA33</t>
  </si>
  <si>
    <t>913685373</t>
  </si>
  <si>
    <t>CLI-099</t>
  </si>
  <si>
    <t>Nádia Zua</t>
  </si>
  <si>
    <t>146LA56</t>
  </si>
  <si>
    <t>934740091</t>
  </si>
  <si>
    <t>CLI-100</t>
  </si>
  <si>
    <t>Kiara Pinto</t>
  </si>
  <si>
    <t>807LA88</t>
  </si>
  <si>
    <t>939656095</t>
  </si>
  <si>
    <t>CLI-101</t>
  </si>
  <si>
    <t>Sílvia Agostinho</t>
  </si>
  <si>
    <t>106LA56</t>
  </si>
  <si>
    <t>934378255</t>
  </si>
  <si>
    <t>CLI-102</t>
  </si>
  <si>
    <t>Cláudio Pinto</t>
  </si>
  <si>
    <t>929LA90</t>
  </si>
  <si>
    <t>942413397</t>
  </si>
  <si>
    <t>CLI-103</t>
  </si>
  <si>
    <t>Quintino Jorge</t>
  </si>
  <si>
    <t>755LA58</t>
  </si>
  <si>
    <t>938392356</t>
  </si>
  <si>
    <t>CLI-104</t>
  </si>
  <si>
    <t>Francisco Rocha</t>
  </si>
  <si>
    <t>404LA74</t>
  </si>
  <si>
    <t>911280725</t>
  </si>
  <si>
    <t>CLI-105</t>
  </si>
  <si>
    <t>Cláudio Kassoma</t>
  </si>
  <si>
    <t>153LA81</t>
  </si>
  <si>
    <t>947243347</t>
  </si>
  <si>
    <t>CLI-106</t>
  </si>
  <si>
    <t>Sílvia Santos</t>
  </si>
  <si>
    <t>634LA42</t>
  </si>
  <si>
    <t>935629411</t>
  </si>
  <si>
    <t>CLI-107</t>
  </si>
  <si>
    <t>Ana Evaristo</t>
  </si>
  <si>
    <t>901LA18</t>
  </si>
  <si>
    <t>913218968</t>
  </si>
  <si>
    <t>CLI-108</t>
  </si>
  <si>
    <t>470LA62</t>
  </si>
  <si>
    <t>916854794</t>
  </si>
  <si>
    <t>CLI-109</t>
  </si>
  <si>
    <t>Paulo Isaac</t>
  </si>
  <si>
    <t>247LA62</t>
  </si>
  <si>
    <t>928475785</t>
  </si>
  <si>
    <t>CLI-110</t>
  </si>
  <si>
    <t>Mauro Baptista</t>
  </si>
  <si>
    <t>878LA77</t>
  </si>
  <si>
    <t>915274576</t>
  </si>
  <si>
    <t>CLI-111</t>
  </si>
  <si>
    <t>Zuleica Pinto</t>
  </si>
  <si>
    <t>272LA47</t>
  </si>
  <si>
    <t>911751549</t>
  </si>
  <si>
    <t>CLI-112</t>
  </si>
  <si>
    <t>Fernando Isaac</t>
  </si>
  <si>
    <t>531LA72</t>
  </si>
  <si>
    <t>943904947</t>
  </si>
  <si>
    <t>CLI-113</t>
  </si>
  <si>
    <t>583LA94</t>
  </si>
  <si>
    <t>919446316</t>
  </si>
  <si>
    <t>CLI-114</t>
  </si>
  <si>
    <t>Nádia Oliveira</t>
  </si>
  <si>
    <t>350LA13</t>
  </si>
  <si>
    <t>948333394</t>
  </si>
  <si>
    <t>CLI-115</t>
  </si>
  <si>
    <t>377LA89</t>
  </si>
  <si>
    <t>912656686</t>
  </si>
  <si>
    <t>CLI-116</t>
  </si>
  <si>
    <t>484LA24</t>
  </si>
  <si>
    <t>919007678</t>
  </si>
  <si>
    <t>CLI-117</t>
  </si>
  <si>
    <t>Patrícia Baptista</t>
  </si>
  <si>
    <t>373LA66</t>
  </si>
  <si>
    <t>941826527</t>
  </si>
  <si>
    <t>CLI-118</t>
  </si>
  <si>
    <t>Mauro Evaristo</t>
  </si>
  <si>
    <t>966LA50</t>
  </si>
  <si>
    <t>917009325</t>
  </si>
  <si>
    <t>CLI-119</t>
  </si>
  <si>
    <t>Quintino Gomes</t>
  </si>
  <si>
    <t>234LA85</t>
  </si>
  <si>
    <t>926673987</t>
  </si>
  <si>
    <t>CLI-120</t>
  </si>
  <si>
    <t>Cláudio Zua</t>
  </si>
  <si>
    <t>296LA95</t>
  </si>
  <si>
    <t>921938469</t>
  </si>
  <si>
    <t>CLI-121</t>
  </si>
  <si>
    <t>521LA14</t>
  </si>
  <si>
    <t>941673756</t>
  </si>
  <si>
    <t>CLI-122</t>
  </si>
  <si>
    <t>Eunice Wanda</t>
  </si>
  <si>
    <t>348LA70</t>
  </si>
  <si>
    <t>928650247</t>
  </si>
  <si>
    <t>CLI-123</t>
  </si>
  <si>
    <t>Quintino Santos</t>
  </si>
  <si>
    <t>222LA34</t>
  </si>
  <si>
    <t>945553740</t>
  </si>
  <si>
    <t>CLI-124</t>
  </si>
  <si>
    <t>Maria Neto</t>
  </si>
  <si>
    <t>221LA66</t>
  </si>
  <si>
    <t>943233557</t>
  </si>
  <si>
    <t>CLI-125</t>
  </si>
  <si>
    <t>Helder Pinto</t>
  </si>
  <si>
    <t>485LA66</t>
  </si>
  <si>
    <t>941787877</t>
  </si>
  <si>
    <t>CLI-126</t>
  </si>
  <si>
    <t>Mauro Quaresma</t>
  </si>
  <si>
    <t>808LA68</t>
  </si>
  <si>
    <t>935169640</t>
  </si>
  <si>
    <t>CLI-127</t>
  </si>
  <si>
    <t>130LA62</t>
  </si>
  <si>
    <t>925561916</t>
  </si>
  <si>
    <t>CLI-128</t>
  </si>
  <si>
    <t>António Uchoa</t>
  </si>
  <si>
    <t>899LA14</t>
  </si>
  <si>
    <t>945697403</t>
  </si>
  <si>
    <t>CLI-129</t>
  </si>
  <si>
    <t>Osvaldo Pinto</t>
  </si>
  <si>
    <t>229LA47</t>
  </si>
  <si>
    <t>933883199</t>
  </si>
  <si>
    <t>CLI-130</t>
  </si>
  <si>
    <t>Cláudio Evaristo</t>
  </si>
  <si>
    <t>405LA42</t>
  </si>
  <si>
    <t>942861723</t>
  </si>
  <si>
    <t>CLI-131</t>
  </si>
  <si>
    <t>532LA24</t>
  </si>
  <si>
    <t>919728117</t>
  </si>
  <si>
    <t>CLI-132</t>
  </si>
  <si>
    <t>Maria Rocha</t>
  </si>
  <si>
    <t>463LA20</t>
  </si>
  <si>
    <t>942452445</t>
  </si>
  <si>
    <t>CLI-133</t>
  </si>
  <si>
    <t>Gaspar Xavier</t>
  </si>
  <si>
    <t>683LA32</t>
  </si>
  <si>
    <t>941342749</t>
  </si>
  <si>
    <t>CLI-134</t>
  </si>
  <si>
    <t>Ludmila Teixeira</t>
  </si>
  <si>
    <t>575LA58</t>
  </si>
  <si>
    <t>938311999</t>
  </si>
  <si>
    <t>CLI-135</t>
  </si>
  <si>
    <t>Patrícia Lopes</t>
  </si>
  <si>
    <t>904LA82</t>
  </si>
  <si>
    <t>935257590</t>
  </si>
  <si>
    <t>CLI-136</t>
  </si>
  <si>
    <t>Paulo Baptista</t>
  </si>
  <si>
    <t>159LA62</t>
  </si>
  <si>
    <t>945812132</t>
  </si>
  <si>
    <t>CLI-137</t>
  </si>
  <si>
    <t>Idalina Henriques</t>
  </si>
  <si>
    <t>300LA15</t>
  </si>
  <si>
    <t>947115335</t>
  </si>
  <si>
    <t>CLI-138</t>
  </si>
  <si>
    <t>António Quaresma</t>
  </si>
  <si>
    <t>733LA37</t>
  </si>
  <si>
    <t>938204383</t>
  </si>
  <si>
    <t>CLI-139</t>
  </si>
  <si>
    <t>Rosa Jorge</t>
  </si>
  <si>
    <t>795LA72</t>
  </si>
  <si>
    <t>915883291</t>
  </si>
  <si>
    <t>CLI-140</t>
  </si>
  <si>
    <t>Yuri Rocha</t>
  </si>
  <si>
    <t>687LA34</t>
  </si>
  <si>
    <t>915778932</t>
  </si>
  <si>
    <t>CLI-141</t>
  </si>
  <si>
    <t>José Quaresma</t>
  </si>
  <si>
    <t>399LA45</t>
  </si>
  <si>
    <t>944094786</t>
  </si>
  <si>
    <t>CLI-142</t>
  </si>
  <si>
    <t>Francisco Pinto</t>
  </si>
  <si>
    <t>315LA44</t>
  </si>
  <si>
    <t>931496388</t>
  </si>
  <si>
    <t>CLI-143</t>
  </si>
  <si>
    <t>624LA14</t>
  </si>
  <si>
    <t>925179391</t>
  </si>
  <si>
    <t>CLI-144</t>
  </si>
  <si>
    <t>Teresa Quaresma</t>
  </si>
  <si>
    <t>391LA86</t>
  </si>
  <si>
    <t>925447235</t>
  </si>
  <si>
    <t>CLI-145</t>
  </si>
  <si>
    <t>António Campos</t>
  </si>
  <si>
    <t>112LA22</t>
  </si>
  <si>
    <t>936642248</t>
  </si>
  <si>
    <t>CLI-146</t>
  </si>
  <si>
    <t>563LA15</t>
  </si>
  <si>
    <t>933226180</t>
  </si>
  <si>
    <t>CLI-147</t>
  </si>
  <si>
    <t>Yuri Campos</t>
  </si>
  <si>
    <t>177LA42</t>
  </si>
  <si>
    <t>942670730</t>
  </si>
  <si>
    <t>CLI-148</t>
  </si>
  <si>
    <t>Francisco Teixeira</t>
  </si>
  <si>
    <t>951LA33</t>
  </si>
  <si>
    <t>921912770</t>
  </si>
  <si>
    <t>CLI-149</t>
  </si>
  <si>
    <t>Ana Gomes</t>
  </si>
  <si>
    <t>421LA24</t>
  </si>
  <si>
    <t>928671573</t>
  </si>
  <si>
    <t>CLI-150</t>
  </si>
  <si>
    <t>Manuel Martins</t>
  </si>
  <si>
    <t>270LA87</t>
  </si>
  <si>
    <t>921228499</t>
  </si>
  <si>
    <t>CLI-151</t>
  </si>
  <si>
    <t>Yuri Pinto</t>
  </si>
  <si>
    <t>604LA63</t>
  </si>
  <si>
    <t>928373163</t>
  </si>
  <si>
    <t>CLI-152</t>
  </si>
  <si>
    <t>Ana Neto</t>
  </si>
  <si>
    <t>577LA78</t>
  </si>
  <si>
    <t>946799091</t>
  </si>
  <si>
    <t>CLI-153</t>
  </si>
  <si>
    <t>846LA83</t>
  </si>
  <si>
    <t>937706935</t>
  </si>
  <si>
    <t>CLI-154</t>
  </si>
  <si>
    <t>Paulo Lopes</t>
  </si>
  <si>
    <t>348LA94</t>
  </si>
  <si>
    <t>937389966</t>
  </si>
  <si>
    <t>CLI-155</t>
  </si>
  <si>
    <t>872LA29</t>
  </si>
  <si>
    <t>915404553</t>
  </si>
  <si>
    <t>CLI-156</t>
  </si>
  <si>
    <t>António Agostinho</t>
  </si>
  <si>
    <t>812LA64</t>
  </si>
  <si>
    <t>943195140</t>
  </si>
  <si>
    <t>CLI-157</t>
  </si>
  <si>
    <t>Kiara Xavier</t>
  </si>
  <si>
    <t>142LA68</t>
  </si>
  <si>
    <t>919202334</t>
  </si>
  <si>
    <t>CLI-158</t>
  </si>
  <si>
    <t>965LA80</t>
  </si>
  <si>
    <t>913738822</t>
  </si>
  <si>
    <t>CLI-159</t>
  </si>
  <si>
    <t>Jacinto Jorge</t>
  </si>
  <si>
    <t>481LA13</t>
  </si>
  <si>
    <t>932022250</t>
  </si>
  <si>
    <t>CLI-160</t>
  </si>
  <si>
    <t>Paulo Rocha</t>
  </si>
  <si>
    <t>782LA55</t>
  </si>
  <si>
    <t>916369536</t>
  </si>
  <si>
    <t>CLI-161</t>
  </si>
  <si>
    <t>António Neto</t>
  </si>
  <si>
    <t>511LA55</t>
  </si>
  <si>
    <t>948117369</t>
  </si>
  <si>
    <t>CLI-162</t>
  </si>
  <si>
    <t>Paulo Neto</t>
  </si>
  <si>
    <t>486LA27</t>
  </si>
  <si>
    <t>933822897</t>
  </si>
  <si>
    <t>CLI-163</t>
  </si>
  <si>
    <t>Rui Agostinho</t>
  </si>
  <si>
    <t>968LA74</t>
  </si>
  <si>
    <t>948328667</t>
  </si>
  <si>
    <t>CLI-164</t>
  </si>
  <si>
    <t>Zuleica Martins</t>
  </si>
  <si>
    <t>267LA19</t>
  </si>
  <si>
    <t>948713847</t>
  </si>
  <si>
    <t>CLI-165</t>
  </si>
  <si>
    <t>697LA61</t>
  </si>
  <si>
    <t>931788019</t>
  </si>
  <si>
    <t>CLI-166</t>
  </si>
  <si>
    <t>Rui Quaresma</t>
  </si>
  <si>
    <t>316LA62</t>
  </si>
  <si>
    <t>911439820</t>
  </si>
  <si>
    <t>CLI-167</t>
  </si>
  <si>
    <t>Rosa Santos</t>
  </si>
  <si>
    <t>360LA57</t>
  </si>
  <si>
    <t>931990648</t>
  </si>
  <si>
    <t>CLI-168</t>
  </si>
  <si>
    <t>Zuleica Baptista</t>
  </si>
  <si>
    <t>664LA56</t>
  </si>
  <si>
    <t>923934660</t>
  </si>
  <si>
    <t>CLI-169</t>
  </si>
  <si>
    <t>Nádia Vieira</t>
  </si>
  <si>
    <t>800LA67</t>
  </si>
  <si>
    <t>921353363</t>
  </si>
  <si>
    <t>CLI-170</t>
  </si>
  <si>
    <t>Milton Santos</t>
  </si>
  <si>
    <t>795LA23</t>
  </si>
  <si>
    <t>912457444</t>
  </si>
  <si>
    <t>CLI-171</t>
  </si>
  <si>
    <t>823LA61</t>
  </si>
  <si>
    <t>913457121</t>
  </si>
  <si>
    <t>CLI-172</t>
  </si>
  <si>
    <t>Ana Agostinho</t>
  </si>
  <si>
    <t>657LA62</t>
  </si>
  <si>
    <t>932586715</t>
  </si>
  <si>
    <t>CLI-173</t>
  </si>
  <si>
    <t>446LA14</t>
  </si>
  <si>
    <t>948362297</t>
  </si>
  <si>
    <t>CLI-174</t>
  </si>
  <si>
    <t>Ludmila Baptista</t>
  </si>
  <si>
    <t>601LA96</t>
  </si>
  <si>
    <t>941143778</t>
  </si>
  <si>
    <t>CLI-175</t>
  </si>
  <si>
    <t>Cláudio Isaac</t>
  </si>
  <si>
    <t>847LA73</t>
  </si>
  <si>
    <t>914744335</t>
  </si>
  <si>
    <t>CLI-176</t>
  </si>
  <si>
    <t>956LA41</t>
  </si>
  <si>
    <t>934710496</t>
  </si>
  <si>
    <t>CLI-177</t>
  </si>
  <si>
    <t>397LA91</t>
  </si>
  <si>
    <t>911150880</t>
  </si>
  <si>
    <t>CLI-178</t>
  </si>
  <si>
    <t>Isabel Baptista</t>
  </si>
  <si>
    <t>341LA90</t>
  </si>
  <si>
    <t>914677508</t>
  </si>
  <si>
    <t>CLI-179</t>
  </si>
  <si>
    <t>789LA78</t>
  </si>
  <si>
    <t>917099236</t>
  </si>
  <si>
    <t>CLI-180</t>
  </si>
  <si>
    <t>Maria Zua</t>
  </si>
  <si>
    <t>803LA61</t>
  </si>
  <si>
    <t>918278443</t>
  </si>
  <si>
    <t>CLI-181</t>
  </si>
  <si>
    <t>Mauro Oliveira</t>
  </si>
  <si>
    <t>690LA68</t>
  </si>
  <si>
    <t>927805706</t>
  </si>
  <si>
    <t>CLI-182</t>
  </si>
  <si>
    <t>Gaspar Pinto</t>
  </si>
  <si>
    <t>912LA53</t>
  </si>
  <si>
    <t>949104388</t>
  </si>
  <si>
    <t>CLI-183</t>
  </si>
  <si>
    <t>Teresa Domingos</t>
  </si>
  <si>
    <t>805LA52</t>
  </si>
  <si>
    <t>919142031</t>
  </si>
  <si>
    <t>CLI-184</t>
  </si>
  <si>
    <t>Jacinto Zua</t>
  </si>
  <si>
    <t>502LA93</t>
  </si>
  <si>
    <t>929255294</t>
  </si>
  <si>
    <t>CLI-185</t>
  </si>
  <si>
    <t>Fernando Rocha</t>
  </si>
  <si>
    <t>902LA88</t>
  </si>
  <si>
    <t>946874932</t>
  </si>
  <si>
    <t>CLI-186</t>
  </si>
  <si>
    <t>Yuri Isaac</t>
  </si>
  <si>
    <t>711LA25</t>
  </si>
  <si>
    <t>911312866</t>
  </si>
  <si>
    <t>CLI-187</t>
  </si>
  <si>
    <t>318LA80</t>
  </si>
  <si>
    <t>931459497</t>
  </si>
  <si>
    <t>CLI-188</t>
  </si>
  <si>
    <t>Cláudio Lopes</t>
  </si>
  <si>
    <t>825LA59</t>
  </si>
  <si>
    <t>944812576</t>
  </si>
  <si>
    <t>CLI-189</t>
  </si>
  <si>
    <t>Manuel Henriques</t>
  </si>
  <si>
    <t>355LA65</t>
  </si>
  <si>
    <t>933843640</t>
  </si>
  <si>
    <t>CLI-190</t>
  </si>
  <si>
    <t>250LA32</t>
  </si>
  <si>
    <t>911542618</t>
  </si>
  <si>
    <t>CLI-191</t>
  </si>
  <si>
    <t>Fernando Lopes</t>
  </si>
  <si>
    <t>882LA71</t>
  </si>
  <si>
    <t>938541047</t>
  </si>
  <si>
    <t>CLI-192</t>
  </si>
  <si>
    <t>António Henriques</t>
  </si>
  <si>
    <t>235LA65</t>
  </si>
  <si>
    <t>931121254</t>
  </si>
  <si>
    <t>CLI-193</t>
  </si>
  <si>
    <t>885LA80</t>
  </si>
  <si>
    <t>914097570</t>
  </si>
  <si>
    <t>CLI-194</t>
  </si>
  <si>
    <t>Cláudio Oliveira</t>
  </si>
  <si>
    <t>347LA15</t>
  </si>
  <si>
    <t>919334630</t>
  </si>
  <si>
    <t>CLI-195</t>
  </si>
  <si>
    <t>Quintino Rocha</t>
  </si>
  <si>
    <t>730LA67</t>
  </si>
  <si>
    <t>943616562</t>
  </si>
  <si>
    <t>CLI-196</t>
  </si>
  <si>
    <t>Helder Santos</t>
  </si>
  <si>
    <t>906LA37</t>
  </si>
  <si>
    <t>925234695</t>
  </si>
  <si>
    <t>CLI-197</t>
  </si>
  <si>
    <t>Quintino Wanda</t>
  </si>
  <si>
    <t>112LA59</t>
  </si>
  <si>
    <t>912964715</t>
  </si>
  <si>
    <t>CLI-198</t>
  </si>
  <si>
    <t>Gaspar Zua</t>
  </si>
  <si>
    <t>788LA66</t>
  </si>
  <si>
    <t>948719357</t>
  </si>
  <si>
    <t>CLI-199</t>
  </si>
  <si>
    <t>Cláudio Wanda</t>
  </si>
  <si>
    <t>339LA85</t>
  </si>
  <si>
    <t>932980927</t>
  </si>
  <si>
    <t>CLI-200</t>
  </si>
  <si>
    <t>909LA22</t>
  </si>
  <si>
    <t>917814714</t>
  </si>
  <si>
    <t>CLI-201</t>
  </si>
  <si>
    <t>Ana Henriques</t>
  </si>
  <si>
    <t>460LA25</t>
  </si>
  <si>
    <t>925861576</t>
  </si>
  <si>
    <t>CLI-202</t>
  </si>
  <si>
    <t>163LA63</t>
  </si>
  <si>
    <t>938083199</t>
  </si>
  <si>
    <t>CLI-203</t>
  </si>
  <si>
    <t>Jacinto Santos</t>
  </si>
  <si>
    <t>833LA90</t>
  </si>
  <si>
    <t>924299108</t>
  </si>
  <si>
    <t>CLI-204</t>
  </si>
  <si>
    <t>Ana Domingos</t>
  </si>
  <si>
    <t>577LA98</t>
  </si>
  <si>
    <t>938877401</t>
  </si>
  <si>
    <t>CLI-205</t>
  </si>
  <si>
    <t>Kiara Martins</t>
  </si>
  <si>
    <t>424LA21</t>
  </si>
  <si>
    <t>929967610</t>
  </si>
  <si>
    <t>CLI-206</t>
  </si>
  <si>
    <t>Rui Baptista</t>
  </si>
  <si>
    <t>952LA85</t>
  </si>
  <si>
    <t>922703774</t>
  </si>
  <si>
    <t>CLI-207</t>
  </si>
  <si>
    <t>Sílvia Jorge</t>
  </si>
  <si>
    <t>666LA77</t>
  </si>
  <si>
    <t>937782154</t>
  </si>
  <si>
    <t>CLI-208</t>
  </si>
  <si>
    <t>Rosa Henriques</t>
  </si>
  <si>
    <t>750LA43</t>
  </si>
  <si>
    <t>922588178</t>
  </si>
  <si>
    <t>CLI-209</t>
  </si>
  <si>
    <t>Quintino Quaresma</t>
  </si>
  <si>
    <t>644LA97</t>
  </si>
  <si>
    <t>939215524</t>
  </si>
  <si>
    <t>CLI-210</t>
  </si>
  <si>
    <t>823LA57</t>
  </si>
  <si>
    <t>935843256</t>
  </si>
  <si>
    <t>CLI-211</t>
  </si>
  <si>
    <t>Osvaldo Isaac</t>
  </si>
  <si>
    <t>783LA64</t>
  </si>
  <si>
    <t>937666473</t>
  </si>
  <si>
    <t>CLI-212</t>
  </si>
  <si>
    <t>Yuri Neto</t>
  </si>
  <si>
    <t>897LA90</t>
  </si>
  <si>
    <t>919386273</t>
  </si>
  <si>
    <t>CLI-213</t>
  </si>
  <si>
    <t>Gaspar Domingos</t>
  </si>
  <si>
    <t>582LA57</t>
  </si>
  <si>
    <t>914368361</t>
  </si>
  <si>
    <t>CLI-214</t>
  </si>
  <si>
    <t>Rui Martins</t>
  </si>
  <si>
    <t>543LA30</t>
  </si>
  <si>
    <t>923596135</t>
  </si>
  <si>
    <t>CLI-215</t>
  </si>
  <si>
    <t>Nádia Domingos</t>
  </si>
  <si>
    <t>322LA79</t>
  </si>
  <si>
    <t>915195871</t>
  </si>
  <si>
    <t>CLI-216</t>
  </si>
  <si>
    <t>831LA70</t>
  </si>
  <si>
    <t>928972268</t>
  </si>
  <si>
    <t>CLI-217</t>
  </si>
  <si>
    <t>Isabel Agostinho</t>
  </si>
  <si>
    <t>902LA17</t>
  </si>
  <si>
    <t>928048319</t>
  </si>
  <si>
    <t>CLI-218</t>
  </si>
  <si>
    <t>Nádia Gomes</t>
  </si>
  <si>
    <t>258LA75</t>
  </si>
  <si>
    <t>914151745</t>
  </si>
  <si>
    <t>CLI-219</t>
  </si>
  <si>
    <t>Maria Oliveira</t>
  </si>
  <si>
    <t>442LA49</t>
  </si>
  <si>
    <t>933765511</t>
  </si>
  <si>
    <t>CLI-220</t>
  </si>
  <si>
    <t>Gaspar Kassoma</t>
  </si>
  <si>
    <t>297LA57</t>
  </si>
  <si>
    <t>945046686</t>
  </si>
  <si>
    <t>CLI-221</t>
  </si>
  <si>
    <t>Kiara Kassoma</t>
  </si>
  <si>
    <t>727LA99</t>
  </si>
  <si>
    <t>919689385</t>
  </si>
  <si>
    <t>CLI-222</t>
  </si>
  <si>
    <t>828LA52</t>
  </si>
  <si>
    <t>923235440</t>
  </si>
  <si>
    <t>CLI-223</t>
  </si>
  <si>
    <t>Ana Rocha</t>
  </si>
  <si>
    <t>258LA47</t>
  </si>
  <si>
    <t>918533032</t>
  </si>
  <si>
    <t>CLI-224</t>
  </si>
  <si>
    <t>752LA18</t>
  </si>
  <si>
    <t>918898621</t>
  </si>
  <si>
    <t>CLI-225</t>
  </si>
  <si>
    <t>Maria Evaristo</t>
  </si>
  <si>
    <t>808LA12</t>
  </si>
  <si>
    <t>944508718</t>
  </si>
  <si>
    <t>CLI-226</t>
  </si>
  <si>
    <t>150LA52</t>
  </si>
  <si>
    <t>946738996</t>
  </si>
  <si>
    <t>CLI-227</t>
  </si>
  <si>
    <t>Gaspar Vieira</t>
  </si>
  <si>
    <t>848LA67</t>
  </si>
  <si>
    <t>923353747</t>
  </si>
  <si>
    <t>CLI-228</t>
  </si>
  <si>
    <t>Rui Xavier</t>
  </si>
  <si>
    <t>806LA93</t>
  </si>
  <si>
    <t>935480014</t>
  </si>
  <si>
    <t>CLI-229</t>
  </si>
  <si>
    <t>147LA57</t>
  </si>
  <si>
    <t>911119215</t>
  </si>
  <si>
    <t>CLI-230</t>
  </si>
  <si>
    <t>998LA21</t>
  </si>
  <si>
    <t>947909864</t>
  </si>
  <si>
    <t>CLI-231</t>
  </si>
  <si>
    <t>712LA79</t>
  </si>
  <si>
    <t>946691238</t>
  </si>
  <si>
    <t>CLI-232</t>
  </si>
  <si>
    <t>404LA53</t>
  </si>
  <si>
    <t>947009639</t>
  </si>
  <si>
    <t>CLI-233</t>
  </si>
  <si>
    <t>Eunice Isaac</t>
  </si>
  <si>
    <t>265LA99</t>
  </si>
  <si>
    <t>949722582</t>
  </si>
  <si>
    <t>CLI-234</t>
  </si>
  <si>
    <t>António Oliveira</t>
  </si>
  <si>
    <t>690LA24</t>
  </si>
  <si>
    <t>934375037</t>
  </si>
  <si>
    <t>CLI-235</t>
  </si>
  <si>
    <t>Osvaldo Neto</t>
  </si>
  <si>
    <t>697LA13</t>
  </si>
  <si>
    <t>926609172</t>
  </si>
  <si>
    <t>CLI-236</t>
  </si>
  <si>
    <t>711LA23</t>
  </si>
  <si>
    <t>929484984</t>
  </si>
  <si>
    <t>CLI-237</t>
  </si>
  <si>
    <t>Mauro Wanda</t>
  </si>
  <si>
    <t>611LA82</t>
  </si>
  <si>
    <t>926647661</t>
  </si>
  <si>
    <t>CLI-238</t>
  </si>
  <si>
    <t>Zuleica Jorge</t>
  </si>
  <si>
    <t>327LA98</t>
  </si>
  <si>
    <t>937030225</t>
  </si>
  <si>
    <t>CLI-239</t>
  </si>
  <si>
    <t>542LA42</t>
  </si>
  <si>
    <t>915925433</t>
  </si>
  <si>
    <t>CLI-240</t>
  </si>
  <si>
    <t>Gaspar Evaristo</t>
  </si>
  <si>
    <t>392LA47</t>
  </si>
  <si>
    <t>927255970</t>
  </si>
  <si>
    <t>CLI-241</t>
  </si>
  <si>
    <t>Francisco Baptista</t>
  </si>
  <si>
    <t>486LA82</t>
  </si>
  <si>
    <t>944735629</t>
  </si>
  <si>
    <t>CLI-242</t>
  </si>
  <si>
    <t>692LA32</t>
  </si>
  <si>
    <t>937650633</t>
  </si>
  <si>
    <t>CLI-243</t>
  </si>
  <si>
    <t>877LA21</t>
  </si>
  <si>
    <t>913359632</t>
  </si>
  <si>
    <t>CLI-244</t>
  </si>
  <si>
    <t>Nádia Teixeira</t>
  </si>
  <si>
    <t>299LA67</t>
  </si>
  <si>
    <t>912311463</t>
  </si>
  <si>
    <t>CLI-245</t>
  </si>
  <si>
    <t>147LA10</t>
  </si>
  <si>
    <t>945640813</t>
  </si>
  <si>
    <t>CLI-246</t>
  </si>
  <si>
    <t>Joaquim Martins</t>
  </si>
  <si>
    <t>870LA64</t>
  </si>
  <si>
    <t>927396912</t>
  </si>
  <si>
    <t>CLI-247</t>
  </si>
  <si>
    <t>619LA25</t>
  </si>
  <si>
    <t>932411393</t>
  </si>
  <si>
    <t>CLI-248</t>
  </si>
  <si>
    <t>Milton Oliveira</t>
  </si>
  <si>
    <t>261LA44</t>
  </si>
  <si>
    <t>929024534</t>
  </si>
  <si>
    <t>CLI-249</t>
  </si>
  <si>
    <t>Manuel Campos</t>
  </si>
  <si>
    <t>306LA73</t>
  </si>
  <si>
    <t>928092618</t>
  </si>
  <si>
    <t>CLI-250</t>
  </si>
  <si>
    <t>447LA44</t>
  </si>
  <si>
    <t>947902774</t>
  </si>
  <si>
    <t>CLI-251</t>
  </si>
  <si>
    <t>Mauro Isaac</t>
  </si>
  <si>
    <t>149LA93</t>
  </si>
  <si>
    <t>939853833</t>
  </si>
  <si>
    <t>CLI-252</t>
  </si>
  <si>
    <t>979LA51</t>
  </si>
  <si>
    <t>926187691</t>
  </si>
  <si>
    <t>CLI-253</t>
  </si>
  <si>
    <t>Ludmila Jorge</t>
  </si>
  <si>
    <t>854LA36</t>
  </si>
  <si>
    <t>927276033</t>
  </si>
  <si>
    <t>CLI-254</t>
  </si>
  <si>
    <t>278LA94</t>
  </si>
  <si>
    <t>942615201</t>
  </si>
  <si>
    <t>CLI-255</t>
  </si>
  <si>
    <t>Zuleica Vieira</t>
  </si>
  <si>
    <t>383LA99</t>
  </si>
  <si>
    <t>937395286</t>
  </si>
  <si>
    <t>CLI-256</t>
  </si>
  <si>
    <t>Milton Wanda</t>
  </si>
  <si>
    <t>869LA46</t>
  </si>
  <si>
    <t>933184855</t>
  </si>
  <si>
    <t>CLI-257</t>
  </si>
  <si>
    <t>Cláudio Vieira</t>
  </si>
  <si>
    <t>291LA70</t>
  </si>
  <si>
    <t>931599057</t>
  </si>
  <si>
    <t>CLI-258</t>
  </si>
  <si>
    <t>472LA29</t>
  </si>
  <si>
    <t>942907375</t>
  </si>
  <si>
    <t>CLI-259</t>
  </si>
  <si>
    <t>429LA98</t>
  </si>
  <si>
    <t>924682152</t>
  </si>
  <si>
    <t>CLI-260</t>
  </si>
  <si>
    <t>Jacinto Martins</t>
  </si>
  <si>
    <t>223LA15</t>
  </si>
  <si>
    <t>942120997</t>
  </si>
  <si>
    <t>CLI-261</t>
  </si>
  <si>
    <t>Mauro Agostinho</t>
  </si>
  <si>
    <t>824LA84</t>
  </si>
  <si>
    <t>942480047</t>
  </si>
  <si>
    <t>CLI-262</t>
  </si>
  <si>
    <t>Fernando Vieira</t>
  </si>
  <si>
    <t>333LA55</t>
  </si>
  <si>
    <t>927432328</t>
  </si>
  <si>
    <t>CLI-263</t>
  </si>
  <si>
    <t>150LA96</t>
  </si>
  <si>
    <t>925277480</t>
  </si>
  <si>
    <t>CLI-264</t>
  </si>
  <si>
    <t>Mauro Fernandes</t>
  </si>
  <si>
    <t>768LA84</t>
  </si>
  <si>
    <t>937546523</t>
  </si>
  <si>
    <t>CLI-265</t>
  </si>
  <si>
    <t>José Lopes</t>
  </si>
  <si>
    <t>693LA60</t>
  </si>
  <si>
    <t>913442532</t>
  </si>
  <si>
    <t>CLI-266</t>
  </si>
  <si>
    <t>293LA37</t>
  </si>
  <si>
    <t>928164505</t>
  </si>
  <si>
    <t>CLI-267</t>
  </si>
  <si>
    <t>Rosa Kassoma</t>
  </si>
  <si>
    <t>524LA73</t>
  </si>
  <si>
    <t>925589815</t>
  </si>
  <si>
    <t>CLI-268</t>
  </si>
  <si>
    <t>Idalina Kassoma</t>
  </si>
  <si>
    <t>752LA31</t>
  </si>
  <si>
    <t>922857255</t>
  </si>
  <si>
    <t>CLI-269</t>
  </si>
  <si>
    <t>Ana Jorge</t>
  </si>
  <si>
    <t>796LA84</t>
  </si>
  <si>
    <t>937745019</t>
  </si>
  <si>
    <t>CLI-270</t>
  </si>
  <si>
    <t>680LA39</t>
  </si>
  <si>
    <t>922469708</t>
  </si>
  <si>
    <t>CLI-271</t>
  </si>
  <si>
    <t>Isabel Jorge</t>
  </si>
  <si>
    <t>892LA24</t>
  </si>
  <si>
    <t>923874854</t>
  </si>
  <si>
    <t>CLI-272</t>
  </si>
  <si>
    <t>Quintino Agostinho</t>
  </si>
  <si>
    <t>352LA32</t>
  </si>
  <si>
    <t>932339115</t>
  </si>
  <si>
    <t>CLI-273</t>
  </si>
  <si>
    <t>Joaquim Domingos</t>
  </si>
  <si>
    <t>824LA37</t>
  </si>
  <si>
    <t>925151116</t>
  </si>
  <si>
    <t>CLI-274</t>
  </si>
  <si>
    <t>Fernando Zua</t>
  </si>
  <si>
    <t>260LA27</t>
  </si>
  <si>
    <t>947104876</t>
  </si>
  <si>
    <t>CLI-275</t>
  </si>
  <si>
    <t>Paulo Zua</t>
  </si>
  <si>
    <t>721LA72</t>
  </si>
  <si>
    <t>943810164</t>
  </si>
  <si>
    <t>CLI-276</t>
  </si>
  <si>
    <t>309LA83</t>
  </si>
  <si>
    <t>924483300</t>
  </si>
  <si>
    <t>CLI-277</t>
  </si>
  <si>
    <t>Helder Evaristo</t>
  </si>
  <si>
    <t>604LA34</t>
  </si>
  <si>
    <t>916946072</t>
  </si>
  <si>
    <t>CLI-278</t>
  </si>
  <si>
    <t>Jacinto Lopes</t>
  </si>
  <si>
    <t>551LA96</t>
  </si>
  <si>
    <t>931546022</t>
  </si>
  <si>
    <t>CLI-279</t>
  </si>
  <si>
    <t>Quintino Uchoa</t>
  </si>
  <si>
    <t>948LA75</t>
  </si>
  <si>
    <t>916346039</t>
  </si>
  <si>
    <t>CLI-280</t>
  </si>
  <si>
    <t>Teresa Agostinho</t>
  </si>
  <si>
    <t>362LA44</t>
  </si>
  <si>
    <t>912636535</t>
  </si>
  <si>
    <t>CLI-281</t>
  </si>
  <si>
    <t>Yuri Fernandes</t>
  </si>
  <si>
    <t>263LA67</t>
  </si>
  <si>
    <t>912374455</t>
  </si>
  <si>
    <t>CLI-282</t>
  </si>
  <si>
    <t>Milton Agostinho</t>
  </si>
  <si>
    <t>536LA32</t>
  </si>
  <si>
    <t>928893120</t>
  </si>
  <si>
    <t>CLI-283</t>
  </si>
  <si>
    <t>786LA42</t>
  </si>
  <si>
    <t>923341589</t>
  </si>
  <si>
    <t>CLI-284</t>
  </si>
  <si>
    <t>Jacinto Vieira</t>
  </si>
  <si>
    <t>725LA26</t>
  </si>
  <si>
    <t>932326675</t>
  </si>
  <si>
    <t>CLI-285</t>
  </si>
  <si>
    <t>Maria Santos</t>
  </si>
  <si>
    <t>208LA94</t>
  </si>
  <si>
    <t>912593042</t>
  </si>
  <si>
    <t>CLI-286</t>
  </si>
  <si>
    <t>Rosa Fernandes</t>
  </si>
  <si>
    <t>825LA58</t>
  </si>
  <si>
    <t>927131035</t>
  </si>
  <si>
    <t>CLI-287</t>
  </si>
  <si>
    <t>804LA77</t>
  </si>
  <si>
    <t>916492534</t>
  </si>
  <si>
    <t>CLI-288</t>
  </si>
  <si>
    <t>534LA63</t>
  </si>
  <si>
    <t>923709882</t>
  </si>
  <si>
    <t>CLI-289</t>
  </si>
  <si>
    <t>Patrícia Gomes</t>
  </si>
  <si>
    <t>324LA92</t>
  </si>
  <si>
    <t>938159377</t>
  </si>
  <si>
    <t>CLI-290</t>
  </si>
  <si>
    <t>783LA37</t>
  </si>
  <si>
    <t>946402527</t>
  </si>
  <si>
    <t>CLI-291</t>
  </si>
  <si>
    <t>Ana Lopes</t>
  </si>
  <si>
    <t>546LA83</t>
  </si>
  <si>
    <t>915285678</t>
  </si>
  <si>
    <t>CLI-292</t>
  </si>
  <si>
    <t>Joaquim Kassoma</t>
  </si>
  <si>
    <t>383LA46</t>
  </si>
  <si>
    <t>946208834</t>
  </si>
  <si>
    <t>CLI-293</t>
  </si>
  <si>
    <t>Rui Lopes</t>
  </si>
  <si>
    <t>805LA89</t>
  </si>
  <si>
    <t>934851503</t>
  </si>
  <si>
    <t>CLI-294</t>
  </si>
  <si>
    <t>Jacinto Oliveira</t>
  </si>
  <si>
    <t>494LA52</t>
  </si>
  <si>
    <t>936176042</t>
  </si>
  <si>
    <t>CLI-295</t>
  </si>
  <si>
    <t>351LA66</t>
  </si>
  <si>
    <t>936726106</t>
  </si>
  <si>
    <t>CLI-296</t>
  </si>
  <si>
    <t>693LA56</t>
  </si>
  <si>
    <t>918982674</t>
  </si>
  <si>
    <t>CLI-297</t>
  </si>
  <si>
    <t>Mauro Uchoa</t>
  </si>
  <si>
    <t>776LA49</t>
  </si>
  <si>
    <t>939357427</t>
  </si>
  <si>
    <t>CLI-298</t>
  </si>
  <si>
    <t>Quintino Fernandes</t>
  </si>
  <si>
    <t>272LA60</t>
  </si>
  <si>
    <t>937624302</t>
  </si>
  <si>
    <t>CLI-299</t>
  </si>
  <si>
    <t>Quintino Xavier</t>
  </si>
  <si>
    <t>818LA64</t>
  </si>
  <si>
    <t>917185401</t>
  </si>
  <si>
    <t>CLI-300</t>
  </si>
  <si>
    <t>895LA59</t>
  </si>
  <si>
    <t>915383900</t>
  </si>
  <si>
    <t>Cargo</t>
  </si>
  <si>
    <t>Salário Base (AKZ)</t>
  </si>
  <si>
    <t>Subsidio</t>
  </si>
  <si>
    <t>Total</t>
  </si>
  <si>
    <t>RH-001</t>
  </si>
  <si>
    <t>António Fernandes</t>
  </si>
  <si>
    <t>Gerente</t>
  </si>
  <si>
    <t>RH-002</t>
  </si>
  <si>
    <t>Rui Campos</t>
  </si>
  <si>
    <t>Vendedor</t>
  </si>
  <si>
    <t>RH-003</t>
  </si>
  <si>
    <t>Osvaldo Quaresma</t>
  </si>
  <si>
    <t>Contabilista</t>
  </si>
  <si>
    <t>RH-004</t>
  </si>
  <si>
    <t>Patrícia Isaac</t>
  </si>
  <si>
    <t>RH-005</t>
  </si>
  <si>
    <t>Francisco Quaresma</t>
  </si>
  <si>
    <t>RH-006</t>
  </si>
  <si>
    <t>António Rocha</t>
  </si>
  <si>
    <t>RH-007</t>
  </si>
  <si>
    <t>RH-008</t>
  </si>
  <si>
    <t>Manuel Fernandes</t>
  </si>
  <si>
    <t>RH-009</t>
  </si>
  <si>
    <t>RH-010</t>
  </si>
  <si>
    <t>Ana Baptista</t>
  </si>
  <si>
    <t>RH-011</t>
  </si>
  <si>
    <t>Patrícia Campos</t>
  </si>
  <si>
    <t>RH-012</t>
  </si>
  <si>
    <t>RH-013</t>
  </si>
  <si>
    <t>Gaspar Rocha</t>
  </si>
  <si>
    <t>RH-014</t>
  </si>
  <si>
    <t>RH-015</t>
  </si>
  <si>
    <t>RH-016</t>
  </si>
  <si>
    <t>RH-017</t>
  </si>
  <si>
    <t>Sílvia Wanda</t>
  </si>
  <si>
    <t>RH-018</t>
  </si>
  <si>
    <t>Nádia Lopes</t>
  </si>
  <si>
    <t>RH-019</t>
  </si>
  <si>
    <t>Milton Rocha</t>
  </si>
  <si>
    <t>RH-020</t>
  </si>
  <si>
    <t>José Pinto</t>
  </si>
  <si>
    <t>RH-021</t>
  </si>
  <si>
    <t>Nádia Xavier</t>
  </si>
  <si>
    <t>RH-022</t>
  </si>
  <si>
    <t>José Agostinho</t>
  </si>
  <si>
    <t>RH-023</t>
  </si>
  <si>
    <t>RH-024</t>
  </si>
  <si>
    <t>Nádia Henriques</t>
  </si>
  <si>
    <t>RH-025</t>
  </si>
  <si>
    <t>Cláudio Agostinho</t>
  </si>
  <si>
    <t>RH-026</t>
  </si>
  <si>
    <t>Joaquim Wanda</t>
  </si>
  <si>
    <t>RH-027</t>
  </si>
  <si>
    <t>RH-028</t>
  </si>
  <si>
    <t>RH-029</t>
  </si>
  <si>
    <t>Ana Isaac</t>
  </si>
  <si>
    <t>RH-030</t>
  </si>
  <si>
    <t>Eunice Martins</t>
  </si>
  <si>
    <t>RH-031</t>
  </si>
  <si>
    <t>Idalina Martins</t>
  </si>
  <si>
    <t>RH-032</t>
  </si>
  <si>
    <t>Patrícia Pinto</t>
  </si>
  <si>
    <t>RH-033</t>
  </si>
  <si>
    <t>Mauro Gomes</t>
  </si>
  <si>
    <t>RH-034</t>
  </si>
  <si>
    <t>Eunice Neto</t>
  </si>
  <si>
    <t>RH-035</t>
  </si>
  <si>
    <t>Idalina Neto</t>
  </si>
  <si>
    <t>RH-036</t>
  </si>
  <si>
    <t>RH-037</t>
  </si>
  <si>
    <t>RH-038</t>
  </si>
  <si>
    <t>Kiara Jorge</t>
  </si>
  <si>
    <t>RH-039</t>
  </si>
  <si>
    <t>RH-040</t>
  </si>
  <si>
    <t>Maria Jorge</t>
  </si>
  <si>
    <t>RH-041</t>
  </si>
  <si>
    <t>Fernando Wanda</t>
  </si>
  <si>
    <t>RH-042</t>
  </si>
  <si>
    <t>Francisco Santos</t>
  </si>
  <si>
    <t>RH-043</t>
  </si>
  <si>
    <t>Maria Xavier</t>
  </si>
  <si>
    <t>RH-044</t>
  </si>
  <si>
    <t>José Neto</t>
  </si>
  <si>
    <t>RH-045</t>
  </si>
  <si>
    <t>Jacinto Pinto</t>
  </si>
  <si>
    <t>RH-046</t>
  </si>
  <si>
    <t>Idalina Rocha</t>
  </si>
  <si>
    <t>RH-047</t>
  </si>
  <si>
    <t>Quintino Zua</t>
  </si>
  <si>
    <t>RH-048</t>
  </si>
  <si>
    <t>Sílvia Uchoa</t>
  </si>
  <si>
    <t>RH-049</t>
  </si>
  <si>
    <t>Ludmila Zua</t>
  </si>
  <si>
    <t>RH-050</t>
  </si>
  <si>
    <t>Sílvia Campos</t>
  </si>
  <si>
    <t>RH-051</t>
  </si>
  <si>
    <t>Sílvia Quaresma</t>
  </si>
  <si>
    <t>RH-052</t>
  </si>
  <si>
    <t>RH-053</t>
  </si>
  <si>
    <t>RH-054</t>
  </si>
  <si>
    <t>RH-055</t>
  </si>
  <si>
    <t>RH-056</t>
  </si>
  <si>
    <t>RH-057</t>
  </si>
  <si>
    <t>Patrícia Wanda</t>
  </si>
  <si>
    <t>RH-058</t>
  </si>
  <si>
    <t>RH-059</t>
  </si>
  <si>
    <t>RH-060</t>
  </si>
  <si>
    <t>Milton Jorge</t>
  </si>
  <si>
    <t>RH-061</t>
  </si>
  <si>
    <t>Jacinto Xavier</t>
  </si>
  <si>
    <t>RH-062</t>
  </si>
  <si>
    <t>Teresa Isaac</t>
  </si>
  <si>
    <t>RH-063</t>
  </si>
  <si>
    <t>Ludmila Fernandes</t>
  </si>
  <si>
    <t>RH-064</t>
  </si>
  <si>
    <t>RH-065</t>
  </si>
  <si>
    <t>RH-066</t>
  </si>
  <si>
    <t>RH-067</t>
  </si>
  <si>
    <t>Francisco Gomes</t>
  </si>
  <si>
    <t>RH-068</t>
  </si>
  <si>
    <t>Gaspar Lopes</t>
  </si>
  <si>
    <t>RH-069</t>
  </si>
  <si>
    <t>Yuri Oliveira</t>
  </si>
  <si>
    <t>RH-070</t>
  </si>
  <si>
    <t>Zuleica Quaresma</t>
  </si>
  <si>
    <t>RH-071</t>
  </si>
  <si>
    <t>RH-072</t>
  </si>
  <si>
    <t>RH-073</t>
  </si>
  <si>
    <t>José Domingos</t>
  </si>
  <si>
    <t>RH-074</t>
  </si>
  <si>
    <t>José Uchoa</t>
  </si>
  <si>
    <t>RH-075</t>
  </si>
  <si>
    <t>Jacinto Wanda</t>
  </si>
  <si>
    <t>RH-076</t>
  </si>
  <si>
    <t>Joaquim Isaac</t>
  </si>
  <si>
    <t>RH-077</t>
  </si>
  <si>
    <t>Nádia Jorge</t>
  </si>
  <si>
    <t>RH-078</t>
  </si>
  <si>
    <t>RH-079</t>
  </si>
  <si>
    <t>Gaspar Isaac</t>
  </si>
  <si>
    <t>RH-080</t>
  </si>
  <si>
    <t>Quintino Teixeira</t>
  </si>
  <si>
    <t>RH-081</t>
  </si>
  <si>
    <t>Joaquim Agostinho</t>
  </si>
  <si>
    <t>RH-082</t>
  </si>
  <si>
    <t>RH-083</t>
  </si>
  <si>
    <t>António Lopes</t>
  </si>
  <si>
    <t>RH-084</t>
  </si>
  <si>
    <t>RH-085</t>
  </si>
  <si>
    <t>Isabel Campos</t>
  </si>
  <si>
    <t>RH-086</t>
  </si>
  <si>
    <t>RH-087</t>
  </si>
  <si>
    <t>Mauro Teixeira</t>
  </si>
  <si>
    <t>RH-088</t>
  </si>
  <si>
    <t>Idalina Lopes</t>
  </si>
  <si>
    <t>RH-089</t>
  </si>
  <si>
    <t>RH-090</t>
  </si>
  <si>
    <t>Fernando Teixeira</t>
  </si>
  <si>
    <t>RH-091</t>
  </si>
  <si>
    <t>Quintino Vieira</t>
  </si>
  <si>
    <t>RH-092</t>
  </si>
  <si>
    <t>António Evaristo</t>
  </si>
  <si>
    <t>RH-093</t>
  </si>
  <si>
    <t>RH-094</t>
  </si>
  <si>
    <t>RH-095</t>
  </si>
  <si>
    <t>Paulo Gomes</t>
  </si>
  <si>
    <t>RH-096</t>
  </si>
  <si>
    <t>Milton Henriques</t>
  </si>
  <si>
    <t>RH-097</t>
  </si>
  <si>
    <t>RH-098</t>
  </si>
  <si>
    <t>José Campos</t>
  </si>
  <si>
    <t>RH-099</t>
  </si>
  <si>
    <t>RH-100</t>
  </si>
  <si>
    <t>Paulo Campos</t>
  </si>
  <si>
    <t>RH-101</t>
  </si>
  <si>
    <t>RH-102</t>
  </si>
  <si>
    <t>RH-103</t>
  </si>
  <si>
    <t>RH-104</t>
  </si>
  <si>
    <t>Patrícia Rocha</t>
  </si>
  <si>
    <t>RH-105</t>
  </si>
  <si>
    <t>Joaquim Xavier</t>
  </si>
  <si>
    <t>RH-106</t>
  </si>
  <si>
    <t>Cláudio Campos</t>
  </si>
  <si>
    <t>RH-107</t>
  </si>
  <si>
    <t>Sílvia Fernandes</t>
  </si>
  <si>
    <t>RH-108</t>
  </si>
  <si>
    <t>RH-109</t>
  </si>
  <si>
    <t>RH-110</t>
  </si>
  <si>
    <t>Paulo Domingos</t>
  </si>
  <si>
    <t>RH-111</t>
  </si>
  <si>
    <t>António Xavier</t>
  </si>
  <si>
    <t>RH-112</t>
  </si>
  <si>
    <t>Isabel Xavier</t>
  </si>
  <si>
    <t>RH-113</t>
  </si>
  <si>
    <t>RH-114</t>
  </si>
  <si>
    <t>Isabel Gomes</t>
  </si>
  <si>
    <t>RH-115</t>
  </si>
  <si>
    <t>Francisco Wanda</t>
  </si>
  <si>
    <t>RH-116</t>
  </si>
  <si>
    <t>Eunice Fernandes</t>
  </si>
  <si>
    <t>RH-117</t>
  </si>
  <si>
    <t>RH-118</t>
  </si>
  <si>
    <t>Kiara Agostinho</t>
  </si>
  <si>
    <t>RH-119</t>
  </si>
  <si>
    <t>RH-120</t>
  </si>
  <si>
    <t>Joaquim Santos</t>
  </si>
  <si>
    <t>RH-121</t>
  </si>
  <si>
    <t>RH-122</t>
  </si>
  <si>
    <t>RH-123</t>
  </si>
  <si>
    <t>Teresa Zua</t>
  </si>
  <si>
    <t>RH-124</t>
  </si>
  <si>
    <t>RH-125</t>
  </si>
  <si>
    <t>Idalina Vieira</t>
  </si>
  <si>
    <t>RH-126</t>
  </si>
  <si>
    <t>RH-127</t>
  </si>
  <si>
    <t>RH-128</t>
  </si>
  <si>
    <t>RH-129</t>
  </si>
  <si>
    <t>Paulo Quaresma</t>
  </si>
  <si>
    <t>RH-130</t>
  </si>
  <si>
    <t>RH-131</t>
  </si>
  <si>
    <t>Patrícia Oliveira</t>
  </si>
  <si>
    <t>RH-132</t>
  </si>
  <si>
    <t>Rosa Rocha</t>
  </si>
  <si>
    <t>RH-133</t>
  </si>
  <si>
    <t>RH-134</t>
  </si>
  <si>
    <t>Idalina Teixeira</t>
  </si>
  <si>
    <t>RH-135</t>
  </si>
  <si>
    <t>Isabel Fernandes</t>
  </si>
  <si>
    <t>RH-136</t>
  </si>
  <si>
    <t>RH-137</t>
  </si>
  <si>
    <t>Eunice Pinto</t>
  </si>
  <si>
    <t>RH-138</t>
  </si>
  <si>
    <t>Manuel Uchoa</t>
  </si>
  <si>
    <t>RH-139</t>
  </si>
  <si>
    <t>Nádia Rocha</t>
  </si>
  <si>
    <t>RH-140</t>
  </si>
  <si>
    <t>Eunice Kassoma</t>
  </si>
  <si>
    <t>RH-141</t>
  </si>
  <si>
    <t>RH-142</t>
  </si>
  <si>
    <t>Zuleica Rocha</t>
  </si>
  <si>
    <t>RH-143</t>
  </si>
  <si>
    <t>Isabel Isaac</t>
  </si>
  <si>
    <t>RH-144</t>
  </si>
  <si>
    <t>Gaspar Teixeira</t>
  </si>
  <si>
    <t>RH-145</t>
  </si>
  <si>
    <t>José Gomes</t>
  </si>
  <si>
    <t>RH-146</t>
  </si>
  <si>
    <t>Paulo Uchoa</t>
  </si>
  <si>
    <t>RH-147</t>
  </si>
  <si>
    <t>Zuleica Campos</t>
  </si>
  <si>
    <t>RH-148</t>
  </si>
  <si>
    <t>RH-149</t>
  </si>
  <si>
    <t>Yuri Agostinho</t>
  </si>
  <si>
    <t>RH-150</t>
  </si>
  <si>
    <t>Manuel Pinto</t>
  </si>
  <si>
    <t>RH-151</t>
  </si>
  <si>
    <t>RH-152</t>
  </si>
  <si>
    <t>Rui Isaac</t>
  </si>
  <si>
    <t>RH-153</t>
  </si>
  <si>
    <t>Rosa Evaristo</t>
  </si>
  <si>
    <t>RH-154</t>
  </si>
  <si>
    <t>RH-155</t>
  </si>
  <si>
    <t>Manuel Domingos</t>
  </si>
  <si>
    <t>RH-156</t>
  </si>
  <si>
    <t>Zuleica Neto</t>
  </si>
  <si>
    <t>RH-157</t>
  </si>
  <si>
    <t>Isabel Teixeira</t>
  </si>
  <si>
    <t>RH-158</t>
  </si>
  <si>
    <t>Maria Domingos</t>
  </si>
  <si>
    <t>RH-159</t>
  </si>
  <si>
    <t>RH-160</t>
  </si>
  <si>
    <t>Teresa Wanda</t>
  </si>
  <si>
    <t>RH-161</t>
  </si>
  <si>
    <t>Eunice Oliveira</t>
  </si>
  <si>
    <t>RH-162</t>
  </si>
  <si>
    <t>Yuri Xavier</t>
  </si>
  <si>
    <t>RH-163</t>
  </si>
  <si>
    <t>RH-164</t>
  </si>
  <si>
    <t>Sílvia Oliveira</t>
  </si>
  <si>
    <t>RH-165</t>
  </si>
  <si>
    <t>RH-166</t>
  </si>
  <si>
    <t>Nádia Santos</t>
  </si>
  <si>
    <t>RH-167</t>
  </si>
  <si>
    <t>Teresa Jorge</t>
  </si>
  <si>
    <t>RH-168</t>
  </si>
  <si>
    <t>Zuleica Isaac</t>
  </si>
  <si>
    <t>RH-169</t>
  </si>
  <si>
    <t>Francisco Isaac</t>
  </si>
  <si>
    <t>RH-170</t>
  </si>
  <si>
    <t>Rosa Baptista</t>
  </si>
  <si>
    <t>RH-171</t>
  </si>
  <si>
    <t>Rosa Neto</t>
  </si>
  <si>
    <t>RH-172</t>
  </si>
  <si>
    <t>Ana Wanda</t>
  </si>
  <si>
    <t>RH-173</t>
  </si>
  <si>
    <t>Ludmila Martins</t>
  </si>
  <si>
    <t>RH-174</t>
  </si>
  <si>
    <t>Idalina Pinto</t>
  </si>
  <si>
    <t>RH-175</t>
  </si>
  <si>
    <t>Teresa Gomes</t>
  </si>
  <si>
    <t>RH-176</t>
  </si>
  <si>
    <t>RH-177</t>
  </si>
  <si>
    <t>Rui Pinto</t>
  </si>
  <si>
    <t>RH-178</t>
  </si>
  <si>
    <t>Joaquim Zua</t>
  </si>
  <si>
    <t>RH-179</t>
  </si>
  <si>
    <t>RH-180</t>
  </si>
  <si>
    <t>Sílvia Rocha</t>
  </si>
  <si>
    <t>RH-181</t>
  </si>
  <si>
    <t>RH-182</t>
  </si>
  <si>
    <t>Manuel Kassoma</t>
  </si>
  <si>
    <t>RH-183</t>
  </si>
  <si>
    <t>RH-184</t>
  </si>
  <si>
    <t>RH-185</t>
  </si>
  <si>
    <t>Zuleica Uchoa</t>
  </si>
  <si>
    <t>RH-186</t>
  </si>
  <si>
    <t>RH-187</t>
  </si>
  <si>
    <t>Zuleica Oliveira</t>
  </si>
  <si>
    <t>RH-188</t>
  </si>
  <si>
    <t>Idalina Campos</t>
  </si>
  <si>
    <t>RH-189</t>
  </si>
  <si>
    <t>RH-190</t>
  </si>
  <si>
    <t>RH-191</t>
  </si>
  <si>
    <t>RH-192</t>
  </si>
  <si>
    <t>RH-193</t>
  </si>
  <si>
    <t>RH-194</t>
  </si>
  <si>
    <t>Yuri Lopes</t>
  </si>
  <si>
    <t>RH-195</t>
  </si>
  <si>
    <t>Nádia Fernandes</t>
  </si>
  <si>
    <t>RH-196</t>
  </si>
  <si>
    <t>Joaquim Evaristo</t>
  </si>
  <si>
    <t>RH-197</t>
  </si>
  <si>
    <t>Yuri Jorge</t>
  </si>
  <si>
    <t>RH-198</t>
  </si>
  <si>
    <t>Cláudio Baptista</t>
  </si>
  <si>
    <t>RH-199</t>
  </si>
  <si>
    <t>Patrícia Vieira</t>
  </si>
  <si>
    <t>RH-200</t>
  </si>
  <si>
    <t>RH-201</t>
  </si>
  <si>
    <t>Rui Evaristo</t>
  </si>
  <si>
    <t>RH-202</t>
  </si>
  <si>
    <t>Teresa Oliveira</t>
  </si>
  <si>
    <t>RH-203</t>
  </si>
  <si>
    <t>RH-204</t>
  </si>
  <si>
    <t>Osvaldo Uchoa</t>
  </si>
  <si>
    <t>RH-205</t>
  </si>
  <si>
    <t>RH-206</t>
  </si>
  <si>
    <t>Jacinto Henriques</t>
  </si>
  <si>
    <t>RH-207</t>
  </si>
  <si>
    <t>RH-208</t>
  </si>
  <si>
    <t>RH-209</t>
  </si>
  <si>
    <t>Helder Wanda</t>
  </si>
  <si>
    <t>RH-210</t>
  </si>
  <si>
    <t>RH-211</t>
  </si>
  <si>
    <t>Mauro Jorge</t>
  </si>
  <si>
    <t>RH-212</t>
  </si>
  <si>
    <t>Helder Gomes</t>
  </si>
  <si>
    <t>RH-213</t>
  </si>
  <si>
    <t>RH-214</t>
  </si>
  <si>
    <t>RH-215</t>
  </si>
  <si>
    <t>Quintino Martins</t>
  </si>
  <si>
    <t>RH-216</t>
  </si>
  <si>
    <t>Rosa Teixeira</t>
  </si>
  <si>
    <t>RH-217</t>
  </si>
  <si>
    <t>RH-218</t>
  </si>
  <si>
    <t>RH-219</t>
  </si>
  <si>
    <t>Fernando Santos</t>
  </si>
  <si>
    <t>RH-220</t>
  </si>
  <si>
    <t>Manuel Lopes</t>
  </si>
  <si>
    <t>RH-221</t>
  </si>
  <si>
    <t>Fernando Baptista</t>
  </si>
  <si>
    <t>RH-222</t>
  </si>
  <si>
    <t>Mauro Pinto</t>
  </si>
  <si>
    <t>RH-223</t>
  </si>
  <si>
    <t>Milton Teixeira</t>
  </si>
  <si>
    <t>RH-224</t>
  </si>
  <si>
    <t>Ana Vieira</t>
  </si>
  <si>
    <t>RH-225</t>
  </si>
  <si>
    <t>Maria Uchoa</t>
  </si>
  <si>
    <t>RH-226</t>
  </si>
  <si>
    <t>RH-227</t>
  </si>
  <si>
    <t>RH-228</t>
  </si>
  <si>
    <t>RH-229</t>
  </si>
  <si>
    <t>José Teixeira</t>
  </si>
  <si>
    <t>RH-230</t>
  </si>
  <si>
    <t>RH-231</t>
  </si>
  <si>
    <t>RH-232</t>
  </si>
  <si>
    <t>RH-233</t>
  </si>
  <si>
    <t>RH-234</t>
  </si>
  <si>
    <t>RH-235</t>
  </si>
  <si>
    <t>RH-236</t>
  </si>
  <si>
    <t>Teresa Baptista</t>
  </si>
  <si>
    <t>RH-237</t>
  </si>
  <si>
    <t>RH-238</t>
  </si>
  <si>
    <t>Nádia Neto</t>
  </si>
  <si>
    <t>RH-239</t>
  </si>
  <si>
    <t>RH-240</t>
  </si>
  <si>
    <t>Joaquim Jorge</t>
  </si>
  <si>
    <t>RH-241</t>
  </si>
  <si>
    <t>RH-242</t>
  </si>
  <si>
    <t>Helder Baptista</t>
  </si>
  <si>
    <t>RH-243</t>
  </si>
  <si>
    <t>Rosa Pinto</t>
  </si>
  <si>
    <t>RH-244</t>
  </si>
  <si>
    <t>Zuleica Fernandes</t>
  </si>
  <si>
    <t>RH-245</t>
  </si>
  <si>
    <t>RH-246</t>
  </si>
  <si>
    <t>RH-247</t>
  </si>
  <si>
    <t>Milton Uchoa</t>
  </si>
  <si>
    <t>RH-248</t>
  </si>
  <si>
    <t>Maria Baptista</t>
  </si>
  <si>
    <t>RH-249</t>
  </si>
  <si>
    <t>RH-250</t>
  </si>
  <si>
    <t>RH-251</t>
  </si>
  <si>
    <t>RH-252</t>
  </si>
  <si>
    <t>RH-253</t>
  </si>
  <si>
    <t>RH-254</t>
  </si>
  <si>
    <t>RH-255</t>
  </si>
  <si>
    <t>Maria Isaac</t>
  </si>
  <si>
    <t>RH-256</t>
  </si>
  <si>
    <t>RH-257</t>
  </si>
  <si>
    <t>Teresa Martins</t>
  </si>
  <si>
    <t>RH-258</t>
  </si>
  <si>
    <t>Sílvia Lopes</t>
  </si>
  <si>
    <t>RH-259</t>
  </si>
  <si>
    <t>Yuri Henriques</t>
  </si>
  <si>
    <t>RH-260</t>
  </si>
  <si>
    <t>RH-261</t>
  </si>
  <si>
    <t>RH-262</t>
  </si>
  <si>
    <t>Yuri Kassoma</t>
  </si>
  <si>
    <t>RH-263</t>
  </si>
  <si>
    <t>RH-264</t>
  </si>
  <si>
    <t>Ana Uchoa</t>
  </si>
  <si>
    <t>RH-265</t>
  </si>
  <si>
    <t>Gaspar Wanda</t>
  </si>
  <si>
    <t>RH-266</t>
  </si>
  <si>
    <t>RH-267</t>
  </si>
  <si>
    <t>Ludmila Xavier</t>
  </si>
  <si>
    <t>RH-268</t>
  </si>
  <si>
    <t>Paulo Xavier</t>
  </si>
  <si>
    <t>RH-269</t>
  </si>
  <si>
    <t>RH-270</t>
  </si>
  <si>
    <t>José Martins</t>
  </si>
  <si>
    <t>RH-271</t>
  </si>
  <si>
    <t>RH-272</t>
  </si>
  <si>
    <t>RH-273</t>
  </si>
  <si>
    <t>Osvaldo Teixeira</t>
  </si>
  <si>
    <t>RH-274</t>
  </si>
  <si>
    <t>Rosa Domingos</t>
  </si>
  <si>
    <t>RH-275</t>
  </si>
  <si>
    <t>Rosa Wanda</t>
  </si>
  <si>
    <t>RH-276</t>
  </si>
  <si>
    <t>RH-277</t>
  </si>
  <si>
    <t>RH-278</t>
  </si>
  <si>
    <t>RH-279</t>
  </si>
  <si>
    <t>RH-280</t>
  </si>
  <si>
    <t>RH-281</t>
  </si>
  <si>
    <t>RH-282</t>
  </si>
  <si>
    <t>Fernando Agostinho</t>
  </si>
  <si>
    <t>RH-283</t>
  </si>
  <si>
    <t>RH-284</t>
  </si>
  <si>
    <t>Osvaldo Domingos</t>
  </si>
  <si>
    <t>RH-285</t>
  </si>
  <si>
    <t>RH-286</t>
  </si>
  <si>
    <t>RH-287</t>
  </si>
  <si>
    <t>RH-288</t>
  </si>
  <si>
    <t>RH-289</t>
  </si>
  <si>
    <t>RH-290</t>
  </si>
  <si>
    <t>Ana Fernandes</t>
  </si>
  <si>
    <t>RH-291</t>
  </si>
  <si>
    <t>Ludmila Agostinho</t>
  </si>
  <si>
    <t>RH-292</t>
  </si>
  <si>
    <t>RH-293</t>
  </si>
  <si>
    <t>RH-294</t>
  </si>
  <si>
    <t>RH-295</t>
  </si>
  <si>
    <t>RH-296</t>
  </si>
  <si>
    <t>António Vieira</t>
  </si>
  <si>
    <t>RH-297</t>
  </si>
  <si>
    <t>Mauro Martins</t>
  </si>
  <si>
    <t>RH-298</t>
  </si>
  <si>
    <t>Osvaldo Jorge</t>
  </si>
  <si>
    <t>RH-299</t>
  </si>
  <si>
    <t>RH-300</t>
  </si>
  <si>
    <t>Nádia Isaac</t>
  </si>
  <si>
    <t>Data</t>
  </si>
  <si>
    <t>Tipo</t>
  </si>
  <si>
    <t>Valor (AKZ)</t>
  </si>
  <si>
    <t>FIN-001</t>
  </si>
  <si>
    <t>01/05/2024</t>
  </si>
  <si>
    <t>Despesa</t>
  </si>
  <si>
    <t>FIN-002</t>
  </si>
  <si>
    <t>Receita</t>
  </si>
  <si>
    <t>FIN-003</t>
  </si>
  <si>
    <t>FIN-004</t>
  </si>
  <si>
    <t>FIN-005</t>
  </si>
  <si>
    <t>FIN-006</t>
  </si>
  <si>
    <t>FIN-007</t>
  </si>
  <si>
    <t>FIN-008</t>
  </si>
  <si>
    <t>FIN-009</t>
  </si>
  <si>
    <t>FIN-010</t>
  </si>
  <si>
    <t>FIN-011</t>
  </si>
  <si>
    <t>FIN-012</t>
  </si>
  <si>
    <t>FIN-013</t>
  </si>
  <si>
    <t>FIN-014</t>
  </si>
  <si>
    <t>FIN-015</t>
  </si>
  <si>
    <t>FIN-016</t>
  </si>
  <si>
    <t>FIN-017</t>
  </si>
  <si>
    <t>FIN-018</t>
  </si>
  <si>
    <t>FIN-019</t>
  </si>
  <si>
    <t>FIN-020</t>
  </si>
  <si>
    <t>FIN-021</t>
  </si>
  <si>
    <t>FIN-022</t>
  </si>
  <si>
    <t>FIN-023</t>
  </si>
  <si>
    <t>FIN-024</t>
  </si>
  <si>
    <t>FIN-025</t>
  </si>
  <si>
    <t>FIN-026</t>
  </si>
  <si>
    <t>FIN-027</t>
  </si>
  <si>
    <t>FIN-028</t>
  </si>
  <si>
    <t>FIN-029</t>
  </si>
  <si>
    <t>FIN-030</t>
  </si>
  <si>
    <t>FIN-031</t>
  </si>
  <si>
    <t>FIN-032</t>
  </si>
  <si>
    <t>FIN-033</t>
  </si>
  <si>
    <t>FIN-034</t>
  </si>
  <si>
    <t>FIN-035</t>
  </si>
  <si>
    <t>FIN-036</t>
  </si>
  <si>
    <t>FIN-037</t>
  </si>
  <si>
    <t>FIN-038</t>
  </si>
  <si>
    <t>FIN-039</t>
  </si>
  <si>
    <t>FIN-040</t>
  </si>
  <si>
    <t>FIN-041</t>
  </si>
  <si>
    <t>FIN-042</t>
  </si>
  <si>
    <t>FIN-043</t>
  </si>
  <si>
    <t>FIN-044</t>
  </si>
  <si>
    <t>FIN-045</t>
  </si>
  <si>
    <t>FIN-046</t>
  </si>
  <si>
    <t>FIN-047</t>
  </si>
  <si>
    <t>FIN-048</t>
  </si>
  <si>
    <t>FIN-049</t>
  </si>
  <si>
    <t>FIN-050</t>
  </si>
  <si>
    <t>FIN-051</t>
  </si>
  <si>
    <t>FIN-052</t>
  </si>
  <si>
    <t>FIN-053</t>
  </si>
  <si>
    <t>FIN-054</t>
  </si>
  <si>
    <t>FIN-055</t>
  </si>
  <si>
    <t>FIN-056</t>
  </si>
  <si>
    <t>FIN-057</t>
  </si>
  <si>
    <t>FIN-058</t>
  </si>
  <si>
    <t>FIN-059</t>
  </si>
  <si>
    <t>FIN-060</t>
  </si>
  <si>
    <t>FIN-061</t>
  </si>
  <si>
    <t>FIN-062</t>
  </si>
  <si>
    <t>FIN-063</t>
  </si>
  <si>
    <t>FIN-064</t>
  </si>
  <si>
    <t>FIN-065</t>
  </si>
  <si>
    <t>FIN-066</t>
  </si>
  <si>
    <t>FIN-067</t>
  </si>
  <si>
    <t>FIN-068</t>
  </si>
  <si>
    <t>FIN-069</t>
  </si>
  <si>
    <t>FIN-070</t>
  </si>
  <si>
    <t>FIN-071</t>
  </si>
  <si>
    <t>FIN-072</t>
  </si>
  <si>
    <t>FIN-073</t>
  </si>
  <si>
    <t>FIN-074</t>
  </si>
  <si>
    <t>FIN-075</t>
  </si>
  <si>
    <t>FIN-076</t>
  </si>
  <si>
    <t>FIN-077</t>
  </si>
  <si>
    <t>FIN-078</t>
  </si>
  <si>
    <t>FIN-079</t>
  </si>
  <si>
    <t>FIN-080</t>
  </si>
  <si>
    <t>FIN-081</t>
  </si>
  <si>
    <t>FIN-082</t>
  </si>
  <si>
    <t>FIN-083</t>
  </si>
  <si>
    <t>FIN-084</t>
  </si>
  <si>
    <t>FIN-085</t>
  </si>
  <si>
    <t>FIN-086</t>
  </si>
  <si>
    <t>FIN-087</t>
  </si>
  <si>
    <t>FIN-088</t>
  </si>
  <si>
    <t>FIN-089</t>
  </si>
  <si>
    <t>FIN-090</t>
  </si>
  <si>
    <t>FIN-091</t>
  </si>
  <si>
    <t>FIN-092</t>
  </si>
  <si>
    <t>FIN-093</t>
  </si>
  <si>
    <t>FIN-094</t>
  </si>
  <si>
    <t>FIN-095</t>
  </si>
  <si>
    <t>FIN-096</t>
  </si>
  <si>
    <t>FIN-097</t>
  </si>
  <si>
    <t>FIN-098</t>
  </si>
  <si>
    <t>FIN-099</t>
  </si>
  <si>
    <t>FIN-100</t>
  </si>
  <si>
    <t>FIN-101</t>
  </si>
  <si>
    <t>FIN-102</t>
  </si>
  <si>
    <t>FIN-103</t>
  </si>
  <si>
    <t>FIN-104</t>
  </si>
  <si>
    <t>FIN-105</t>
  </si>
  <si>
    <t>FIN-106</t>
  </si>
  <si>
    <t>FIN-107</t>
  </si>
  <si>
    <t>FIN-108</t>
  </si>
  <si>
    <t>FIN-109</t>
  </si>
  <si>
    <t>FIN-110</t>
  </si>
  <si>
    <t>FIN-111</t>
  </si>
  <si>
    <t>FIN-112</t>
  </si>
  <si>
    <t>FIN-113</t>
  </si>
  <si>
    <t>FIN-114</t>
  </si>
  <si>
    <t>FIN-115</t>
  </si>
  <si>
    <t>FIN-116</t>
  </si>
  <si>
    <t>FIN-117</t>
  </si>
  <si>
    <t>FIN-118</t>
  </si>
  <si>
    <t>FIN-119</t>
  </si>
  <si>
    <t>FIN-120</t>
  </si>
  <si>
    <t>FIN-121</t>
  </si>
  <si>
    <t>FIN-122</t>
  </si>
  <si>
    <t>FIN-123</t>
  </si>
  <si>
    <t>FIN-124</t>
  </si>
  <si>
    <t>FIN-125</t>
  </si>
  <si>
    <t>FIN-126</t>
  </si>
  <si>
    <t>FIN-127</t>
  </si>
  <si>
    <t>FIN-128</t>
  </si>
  <si>
    <t>FIN-129</t>
  </si>
  <si>
    <t>FIN-130</t>
  </si>
  <si>
    <t>FIN-131</t>
  </si>
  <si>
    <t>FIN-132</t>
  </si>
  <si>
    <t>FIN-133</t>
  </si>
  <si>
    <t>FIN-134</t>
  </si>
  <si>
    <t>FIN-135</t>
  </si>
  <si>
    <t>FIN-136</t>
  </si>
  <si>
    <t>FIN-137</t>
  </si>
  <si>
    <t>FIN-138</t>
  </si>
  <si>
    <t>FIN-139</t>
  </si>
  <si>
    <t>FIN-140</t>
  </si>
  <si>
    <t>FIN-141</t>
  </si>
  <si>
    <t>FIN-142</t>
  </si>
  <si>
    <t>FIN-143</t>
  </si>
  <si>
    <t>FIN-144</t>
  </si>
  <si>
    <t>FIN-145</t>
  </si>
  <si>
    <t>FIN-146</t>
  </si>
  <si>
    <t>FIN-147</t>
  </si>
  <si>
    <t>FIN-148</t>
  </si>
  <si>
    <t>FIN-149</t>
  </si>
  <si>
    <t>FIN-150</t>
  </si>
  <si>
    <t>FIN-151</t>
  </si>
  <si>
    <t>FIN-152</t>
  </si>
  <si>
    <t>FIN-153</t>
  </si>
  <si>
    <t>FIN-154</t>
  </si>
  <si>
    <t>FIN-155</t>
  </si>
  <si>
    <t>FIN-156</t>
  </si>
  <si>
    <t>FIN-157</t>
  </si>
  <si>
    <t>FIN-158</t>
  </si>
  <si>
    <t>FIN-159</t>
  </si>
  <si>
    <t>FIN-160</t>
  </si>
  <si>
    <t>FIN-161</t>
  </si>
  <si>
    <t>FIN-162</t>
  </si>
  <si>
    <t>FIN-163</t>
  </si>
  <si>
    <t>FIN-164</t>
  </si>
  <si>
    <t>FIN-165</t>
  </si>
  <si>
    <t>FIN-166</t>
  </si>
  <si>
    <t>FIN-167</t>
  </si>
  <si>
    <t>FIN-168</t>
  </si>
  <si>
    <t>FIN-169</t>
  </si>
  <si>
    <t>FIN-170</t>
  </si>
  <si>
    <t>FIN-171</t>
  </si>
  <si>
    <t>FIN-172</t>
  </si>
  <si>
    <t>FIN-173</t>
  </si>
  <si>
    <t>FIN-174</t>
  </si>
  <si>
    <t>FIN-175</t>
  </si>
  <si>
    <t>FIN-176</t>
  </si>
  <si>
    <t>FIN-177</t>
  </si>
  <si>
    <t>FIN-178</t>
  </si>
  <si>
    <t>FIN-179</t>
  </si>
  <si>
    <t>FIN-180</t>
  </si>
  <si>
    <t>FIN-181</t>
  </si>
  <si>
    <t>FIN-182</t>
  </si>
  <si>
    <t>FIN-183</t>
  </si>
  <si>
    <t>FIN-184</t>
  </si>
  <si>
    <t>FIN-185</t>
  </si>
  <si>
    <t>FIN-186</t>
  </si>
  <si>
    <t>FIN-187</t>
  </si>
  <si>
    <t>FIN-188</t>
  </si>
  <si>
    <t>FIN-189</t>
  </si>
  <si>
    <t>FIN-190</t>
  </si>
  <si>
    <t>FIN-191</t>
  </si>
  <si>
    <t>FIN-192</t>
  </si>
  <si>
    <t>FIN-193</t>
  </si>
  <si>
    <t>FIN-194</t>
  </si>
  <si>
    <t>FIN-195</t>
  </si>
  <si>
    <t>FIN-196</t>
  </si>
  <si>
    <t>FIN-197</t>
  </si>
  <si>
    <t>FIN-198</t>
  </si>
  <si>
    <t>FIN-199</t>
  </si>
  <si>
    <t>FIN-200</t>
  </si>
  <si>
    <t>FIN-201</t>
  </si>
  <si>
    <t>FIN-202</t>
  </si>
  <si>
    <t>FIN-203</t>
  </si>
  <si>
    <t>FIN-204</t>
  </si>
  <si>
    <t>FIN-205</t>
  </si>
  <si>
    <t>FIN-206</t>
  </si>
  <si>
    <t>FIN-207</t>
  </si>
  <si>
    <t>FIN-208</t>
  </si>
  <si>
    <t>FIN-209</t>
  </si>
  <si>
    <t>FIN-210</t>
  </si>
  <si>
    <t>FIN-211</t>
  </si>
  <si>
    <t>FIN-212</t>
  </si>
  <si>
    <t>FIN-213</t>
  </si>
  <si>
    <t>FIN-214</t>
  </si>
  <si>
    <t>FIN-215</t>
  </si>
  <si>
    <t>FIN-216</t>
  </si>
  <si>
    <t>FIN-217</t>
  </si>
  <si>
    <t>FIN-218</t>
  </si>
  <si>
    <t>FIN-219</t>
  </si>
  <si>
    <t>FIN-220</t>
  </si>
  <si>
    <t>FIN-221</t>
  </si>
  <si>
    <t>FIN-222</t>
  </si>
  <si>
    <t>FIN-223</t>
  </si>
  <si>
    <t>FIN-224</t>
  </si>
  <si>
    <t>FIN-225</t>
  </si>
  <si>
    <t>FIN-226</t>
  </si>
  <si>
    <t>FIN-227</t>
  </si>
  <si>
    <t>FIN-228</t>
  </si>
  <si>
    <t>FIN-229</t>
  </si>
  <si>
    <t>FIN-230</t>
  </si>
  <si>
    <t>FIN-231</t>
  </si>
  <si>
    <t>FIN-232</t>
  </si>
  <si>
    <t>FIN-233</t>
  </si>
  <si>
    <t>FIN-234</t>
  </si>
  <si>
    <t>FIN-235</t>
  </si>
  <si>
    <t>FIN-236</t>
  </si>
  <si>
    <t>FIN-237</t>
  </si>
  <si>
    <t>FIN-238</t>
  </si>
  <si>
    <t>FIN-239</t>
  </si>
  <si>
    <t>FIN-240</t>
  </si>
  <si>
    <t>FIN-241</t>
  </si>
  <si>
    <t>FIN-242</t>
  </si>
  <si>
    <t>FIN-243</t>
  </si>
  <si>
    <t>FIN-244</t>
  </si>
  <si>
    <t>FIN-245</t>
  </si>
  <si>
    <t>FIN-246</t>
  </si>
  <si>
    <t>FIN-247</t>
  </si>
  <si>
    <t>FIN-248</t>
  </si>
  <si>
    <t>FIN-249</t>
  </si>
  <si>
    <t>FIN-250</t>
  </si>
  <si>
    <t>FIN-251</t>
  </si>
  <si>
    <t>FIN-252</t>
  </si>
  <si>
    <t>FIN-253</t>
  </si>
  <si>
    <t>FIN-254</t>
  </si>
  <si>
    <t>FIN-255</t>
  </si>
  <si>
    <t>FIN-256</t>
  </si>
  <si>
    <t>FIN-257</t>
  </si>
  <si>
    <t>FIN-258</t>
  </si>
  <si>
    <t>FIN-259</t>
  </si>
  <si>
    <t>FIN-260</t>
  </si>
  <si>
    <t>FIN-261</t>
  </si>
  <si>
    <t>FIN-262</t>
  </si>
  <si>
    <t>FIN-263</t>
  </si>
  <si>
    <t>FIN-264</t>
  </si>
  <si>
    <t>FIN-265</t>
  </si>
  <si>
    <t>FIN-266</t>
  </si>
  <si>
    <t>FIN-267</t>
  </si>
  <si>
    <t>FIN-268</t>
  </si>
  <si>
    <t>FIN-269</t>
  </si>
  <si>
    <t>FIN-270</t>
  </si>
  <si>
    <t>FIN-271</t>
  </si>
  <si>
    <t>FIN-272</t>
  </si>
  <si>
    <t>FIN-273</t>
  </si>
  <si>
    <t>FIN-274</t>
  </si>
  <si>
    <t>FIN-275</t>
  </si>
  <si>
    <t>FIN-276</t>
  </si>
  <si>
    <t>FIN-277</t>
  </si>
  <si>
    <t>FIN-278</t>
  </si>
  <si>
    <t>FIN-279</t>
  </si>
  <si>
    <t>FIN-280</t>
  </si>
  <si>
    <t>FIN-281</t>
  </si>
  <si>
    <t>FIN-282</t>
  </si>
  <si>
    <t>FIN-283</t>
  </si>
  <si>
    <t>FIN-284</t>
  </si>
  <si>
    <t>FIN-285</t>
  </si>
  <si>
    <t>FIN-286</t>
  </si>
  <si>
    <t>FIN-287</t>
  </si>
  <si>
    <t>FIN-288</t>
  </si>
  <si>
    <t>FIN-289</t>
  </si>
  <si>
    <t>FIN-290</t>
  </si>
  <si>
    <t>FIN-291</t>
  </si>
  <si>
    <t>FIN-292</t>
  </si>
  <si>
    <t>FIN-293</t>
  </si>
  <si>
    <t>FIN-294</t>
  </si>
  <si>
    <t>FIN-295</t>
  </si>
  <si>
    <t>FIN-296</t>
  </si>
  <si>
    <t>FIN-297</t>
  </si>
  <si>
    <t>FIN-298</t>
  </si>
  <si>
    <t>FIN-299</t>
  </si>
  <si>
    <t>FIN-300</t>
  </si>
  <si>
    <t>Produto</t>
  </si>
  <si>
    <t>Categoria</t>
  </si>
  <si>
    <t>Qtd</t>
  </si>
  <si>
    <t>Preço Custo</t>
  </si>
  <si>
    <t>Artigo 1</t>
  </si>
  <si>
    <t>Roupa</t>
  </si>
  <si>
    <t>Artigo 2</t>
  </si>
  <si>
    <t>Acessório</t>
  </si>
  <si>
    <t>Artigo 3</t>
  </si>
  <si>
    <t>Artigo 4</t>
  </si>
  <si>
    <t>Artigo 5</t>
  </si>
  <si>
    <t>Artigo 6</t>
  </si>
  <si>
    <t>Artigo 7</t>
  </si>
  <si>
    <t>Artigo 8</t>
  </si>
  <si>
    <t>Artigo 9</t>
  </si>
  <si>
    <t>Artigo 10</t>
  </si>
  <si>
    <t>Artigo 11</t>
  </si>
  <si>
    <t>Artigo 12</t>
  </si>
  <si>
    <t>Artigo 13</t>
  </si>
  <si>
    <t>Artigo 14</t>
  </si>
  <si>
    <t>Artigo 15</t>
  </si>
  <si>
    <t>Artigo 16</t>
  </si>
  <si>
    <t>Artigo 17</t>
  </si>
  <si>
    <t>Artigo 18</t>
  </si>
  <si>
    <t>Artigo 19</t>
  </si>
  <si>
    <t>Artigo 20</t>
  </si>
  <si>
    <t>Artigo 21</t>
  </si>
  <si>
    <t>Artigo 22</t>
  </si>
  <si>
    <t>Artigo 23</t>
  </si>
  <si>
    <t>Artigo 24</t>
  </si>
  <si>
    <t>Artigo 25</t>
  </si>
  <si>
    <t>Artigo 26</t>
  </si>
  <si>
    <t>Artigo 27</t>
  </si>
  <si>
    <t>Artigo 28</t>
  </si>
  <si>
    <t>Artigo 29</t>
  </si>
  <si>
    <t>Artigo 30</t>
  </si>
  <si>
    <t>Artigo 31</t>
  </si>
  <si>
    <t>Artigo 32</t>
  </si>
  <si>
    <t>Artigo 33</t>
  </si>
  <si>
    <t>Artigo 34</t>
  </si>
  <si>
    <t>Artigo 35</t>
  </si>
  <si>
    <t>Artigo 36</t>
  </si>
  <si>
    <t>Artigo 37</t>
  </si>
  <si>
    <t>Artigo 38</t>
  </si>
  <si>
    <t>Artigo 39</t>
  </si>
  <si>
    <t>Artigo 40</t>
  </si>
  <si>
    <t>Artigo 41</t>
  </si>
  <si>
    <t>Artigo 42</t>
  </si>
  <si>
    <t>Artigo 43</t>
  </si>
  <si>
    <t>Artigo 44</t>
  </si>
  <si>
    <t>Artigo 45</t>
  </si>
  <si>
    <t>Artigo 46</t>
  </si>
  <si>
    <t>Artigo 47</t>
  </si>
  <si>
    <t>Artigo 48</t>
  </si>
  <si>
    <t>Artigo 49</t>
  </si>
  <si>
    <t>Artigo 50</t>
  </si>
  <si>
    <t>Artigo 51</t>
  </si>
  <si>
    <t>Artigo 52</t>
  </si>
  <si>
    <t>Artigo 53</t>
  </si>
  <si>
    <t>Artigo 54</t>
  </si>
  <si>
    <t>Artigo 55</t>
  </si>
  <si>
    <t>Artigo 56</t>
  </si>
  <si>
    <t>Artigo 57</t>
  </si>
  <si>
    <t>Artigo 58</t>
  </si>
  <si>
    <t>Artigo 59</t>
  </si>
  <si>
    <t>Artigo 60</t>
  </si>
  <si>
    <t>Artigo 61</t>
  </si>
  <si>
    <t>Artigo 62</t>
  </si>
  <si>
    <t>Artigo 63</t>
  </si>
  <si>
    <t>Artigo 64</t>
  </si>
  <si>
    <t>Artigo 65</t>
  </si>
  <si>
    <t>Artigo 66</t>
  </si>
  <si>
    <t>Artigo 67</t>
  </si>
  <si>
    <t>Artigo 68</t>
  </si>
  <si>
    <t>Artigo 69</t>
  </si>
  <si>
    <t>Artigo 70</t>
  </si>
  <si>
    <t>Artigo 71</t>
  </si>
  <si>
    <t>Artigo 72</t>
  </si>
  <si>
    <t>Artigo 73</t>
  </si>
  <si>
    <t>Artigo 74</t>
  </si>
  <si>
    <t>Artigo 75</t>
  </si>
  <si>
    <t>Artigo 76</t>
  </si>
  <si>
    <t>Artigo 77</t>
  </si>
  <si>
    <t>Artigo 78</t>
  </si>
  <si>
    <t>Artigo 79</t>
  </si>
  <si>
    <t>Artigo 80</t>
  </si>
  <si>
    <t>Artigo 81</t>
  </si>
  <si>
    <t>Artigo 82</t>
  </si>
  <si>
    <t>Artigo 83</t>
  </si>
  <si>
    <t>Artigo 84</t>
  </si>
  <si>
    <t>Artigo 85</t>
  </si>
  <si>
    <t>Artigo 86</t>
  </si>
  <si>
    <t>Artigo 87</t>
  </si>
  <si>
    <t>Artigo 88</t>
  </si>
  <si>
    <t>Artigo 89</t>
  </si>
  <si>
    <t>Artigo 90</t>
  </si>
  <si>
    <t>Artigo 91</t>
  </si>
  <si>
    <t>Artigo 92</t>
  </si>
  <si>
    <t>Artigo 93</t>
  </si>
  <si>
    <t>Artigo 94</t>
  </si>
  <si>
    <t>Artigo 95</t>
  </si>
  <si>
    <t>Artigo 96</t>
  </si>
  <si>
    <t>Artigo 97</t>
  </si>
  <si>
    <t>Artigo 98</t>
  </si>
  <si>
    <t>Artigo 99</t>
  </si>
  <si>
    <t>Artigo 100</t>
  </si>
  <si>
    <t>Artigo 101</t>
  </si>
  <si>
    <t>Artigo 102</t>
  </si>
  <si>
    <t>Artigo 103</t>
  </si>
  <si>
    <t>Artigo 104</t>
  </si>
  <si>
    <t>Artigo 105</t>
  </si>
  <si>
    <t>Artigo 106</t>
  </si>
  <si>
    <t>Artigo 107</t>
  </si>
  <si>
    <t>Artigo 108</t>
  </si>
  <si>
    <t>Artigo 109</t>
  </si>
  <si>
    <t>Artigo 110</t>
  </si>
  <si>
    <t>Artigo 111</t>
  </si>
  <si>
    <t>Artigo 112</t>
  </si>
  <si>
    <t>Artigo 113</t>
  </si>
  <si>
    <t>Artigo 114</t>
  </si>
  <si>
    <t>Artigo 115</t>
  </si>
  <si>
    <t>Artigo 116</t>
  </si>
  <si>
    <t>Artigo 117</t>
  </si>
  <si>
    <t>Artigo 118</t>
  </si>
  <si>
    <t>Artigo 119</t>
  </si>
  <si>
    <t>Artigo 120</t>
  </si>
  <si>
    <t>Artigo 121</t>
  </si>
  <si>
    <t>Artigo 122</t>
  </si>
  <si>
    <t>Artigo 123</t>
  </si>
  <si>
    <t>Artigo 124</t>
  </si>
  <si>
    <t>Artigo 125</t>
  </si>
  <si>
    <t>Artigo 126</t>
  </si>
  <si>
    <t>Artigo 127</t>
  </si>
  <si>
    <t>Artigo 128</t>
  </si>
  <si>
    <t>Artigo 129</t>
  </si>
  <si>
    <t>Artigo 130</t>
  </si>
  <si>
    <t>Artigo 131</t>
  </si>
  <si>
    <t>Artigo 132</t>
  </si>
  <si>
    <t>Artigo 133</t>
  </si>
  <si>
    <t>Artigo 134</t>
  </si>
  <si>
    <t>Artigo 135</t>
  </si>
  <si>
    <t>Artigo 136</t>
  </si>
  <si>
    <t>Artigo 137</t>
  </si>
  <si>
    <t>Artigo 138</t>
  </si>
  <si>
    <t>Artigo 139</t>
  </si>
  <si>
    <t>Artigo 140</t>
  </si>
  <si>
    <t>Artigo 141</t>
  </si>
  <si>
    <t>Artigo 142</t>
  </si>
  <si>
    <t>Artigo 143</t>
  </si>
  <si>
    <t>Artigo 144</t>
  </si>
  <si>
    <t>Artigo 145</t>
  </si>
  <si>
    <t>Artigo 146</t>
  </si>
  <si>
    <t>Artigo 147</t>
  </si>
  <si>
    <t>Artigo 148</t>
  </si>
  <si>
    <t>Artigo 149</t>
  </si>
  <si>
    <t>Artigo 150</t>
  </si>
  <si>
    <t>Artigo 151</t>
  </si>
  <si>
    <t>Artigo 152</t>
  </si>
  <si>
    <t>Artigo 153</t>
  </si>
  <si>
    <t>Artigo 154</t>
  </si>
  <si>
    <t>Artigo 155</t>
  </si>
  <si>
    <t>Artigo 156</t>
  </si>
  <si>
    <t>Artigo 157</t>
  </si>
  <si>
    <t>Artigo 158</t>
  </si>
  <si>
    <t>Artigo 159</t>
  </si>
  <si>
    <t>Artigo 160</t>
  </si>
  <si>
    <t>Artigo 161</t>
  </si>
  <si>
    <t>Artigo 162</t>
  </si>
  <si>
    <t>Artigo 163</t>
  </si>
  <si>
    <t>Artigo 164</t>
  </si>
  <si>
    <t>Artigo 165</t>
  </si>
  <si>
    <t>Artigo 166</t>
  </si>
  <si>
    <t>Artigo 167</t>
  </si>
  <si>
    <t>Artigo 168</t>
  </si>
  <si>
    <t>Artigo 169</t>
  </si>
  <si>
    <t>Artigo 170</t>
  </si>
  <si>
    <t>Artigo 171</t>
  </si>
  <si>
    <t>Artigo 172</t>
  </si>
  <si>
    <t>Artigo 173</t>
  </si>
  <si>
    <t>Artigo 174</t>
  </si>
  <si>
    <t>Artigo 175</t>
  </si>
  <si>
    <t>Artigo 176</t>
  </si>
  <si>
    <t>Artigo 177</t>
  </si>
  <si>
    <t>Artigo 178</t>
  </si>
  <si>
    <t>Artigo 179</t>
  </si>
  <si>
    <t>Artigo 180</t>
  </si>
  <si>
    <t>Artigo 181</t>
  </si>
  <si>
    <t>Artigo 182</t>
  </si>
  <si>
    <t>Artigo 183</t>
  </si>
  <si>
    <t>Artigo 184</t>
  </si>
  <si>
    <t>Artigo 185</t>
  </si>
  <si>
    <t>Artigo 186</t>
  </si>
  <si>
    <t>Artigo 187</t>
  </si>
  <si>
    <t>Artigo 188</t>
  </si>
  <si>
    <t>Artigo 189</t>
  </si>
  <si>
    <t>Artigo 190</t>
  </si>
  <si>
    <t>Artigo 191</t>
  </si>
  <si>
    <t>Artigo 192</t>
  </si>
  <si>
    <t>Artigo 193</t>
  </si>
  <si>
    <t>Artigo 194</t>
  </si>
  <si>
    <t>Artigo 195</t>
  </si>
  <si>
    <t>Artigo 196</t>
  </si>
  <si>
    <t>Artigo 197</t>
  </si>
  <si>
    <t>Artigo 198</t>
  </si>
  <si>
    <t>Artigo 199</t>
  </si>
  <si>
    <t>Artigo 200</t>
  </si>
  <si>
    <t>Artigo 201</t>
  </si>
  <si>
    <t>Artigo 202</t>
  </si>
  <si>
    <t>Artigo 203</t>
  </si>
  <si>
    <t>Artigo 204</t>
  </si>
  <si>
    <t>Artigo 205</t>
  </si>
  <si>
    <t>Artigo 206</t>
  </si>
  <si>
    <t>Artigo 207</t>
  </si>
  <si>
    <t>Artigo 208</t>
  </si>
  <si>
    <t>Artigo 209</t>
  </si>
  <si>
    <t>Artigo 210</t>
  </si>
  <si>
    <t>Artigo 211</t>
  </si>
  <si>
    <t>Artigo 212</t>
  </si>
  <si>
    <t>Artigo 213</t>
  </si>
  <si>
    <t>Artigo 214</t>
  </si>
  <si>
    <t>Artigo 215</t>
  </si>
  <si>
    <t>Artigo 216</t>
  </si>
  <si>
    <t>Artigo 217</t>
  </si>
  <si>
    <t>Artigo 218</t>
  </si>
  <si>
    <t>Artigo 219</t>
  </si>
  <si>
    <t>Artigo 220</t>
  </si>
  <si>
    <t>Artigo 221</t>
  </si>
  <si>
    <t>Artigo 222</t>
  </si>
  <si>
    <t>Artigo 223</t>
  </si>
  <si>
    <t>Artigo 224</t>
  </si>
  <si>
    <t>Artigo 225</t>
  </si>
  <si>
    <t>Artigo 226</t>
  </si>
  <si>
    <t>Artigo 227</t>
  </si>
  <si>
    <t>Artigo 228</t>
  </si>
  <si>
    <t>Artigo 229</t>
  </si>
  <si>
    <t>Artigo 230</t>
  </si>
  <si>
    <t>Artigo 231</t>
  </si>
  <si>
    <t>Artigo 232</t>
  </si>
  <si>
    <t>Artigo 233</t>
  </si>
  <si>
    <t>Artigo 234</t>
  </si>
  <si>
    <t>Artigo 235</t>
  </si>
  <si>
    <t>Artigo 236</t>
  </si>
  <si>
    <t>Artigo 237</t>
  </si>
  <si>
    <t>Artigo 238</t>
  </si>
  <si>
    <t>Artigo 239</t>
  </si>
  <si>
    <t>Artigo 240</t>
  </si>
  <si>
    <t>Artigo 241</t>
  </si>
  <si>
    <t>Artigo 242</t>
  </si>
  <si>
    <t>Artigo 243</t>
  </si>
  <si>
    <t>Artigo 244</t>
  </si>
  <si>
    <t>Artigo 245</t>
  </si>
  <si>
    <t>Artigo 246</t>
  </si>
  <si>
    <t>Artigo 247</t>
  </si>
  <si>
    <t>Artigo 248</t>
  </si>
  <si>
    <t>Artigo 249</t>
  </si>
  <si>
    <t>Artigo 250</t>
  </si>
  <si>
    <t>Artigo 251</t>
  </si>
  <si>
    <t>Artigo 252</t>
  </si>
  <si>
    <t>Artigo 253</t>
  </si>
  <si>
    <t>Artigo 254</t>
  </si>
  <si>
    <t>Artigo 255</t>
  </si>
  <si>
    <t>Artigo 256</t>
  </si>
  <si>
    <t>Artigo 257</t>
  </si>
  <si>
    <t>Artigo 258</t>
  </si>
  <si>
    <t>Artigo 259</t>
  </si>
  <si>
    <t>Artigo 260</t>
  </si>
  <si>
    <t>Artigo 261</t>
  </si>
  <si>
    <t>Artigo 262</t>
  </si>
  <si>
    <t>Artigo 263</t>
  </si>
  <si>
    <t>Artigo 264</t>
  </si>
  <si>
    <t>Artigo 265</t>
  </si>
  <si>
    <t>Artigo 266</t>
  </si>
  <si>
    <t>Artigo 267</t>
  </si>
  <si>
    <t>Artigo 268</t>
  </si>
  <si>
    <t>Artigo 269</t>
  </si>
  <si>
    <t>Artigo 270</t>
  </si>
  <si>
    <t>Artigo 271</t>
  </si>
  <si>
    <t>Artigo 272</t>
  </si>
  <si>
    <t>Artigo 273</t>
  </si>
  <si>
    <t>Artigo 274</t>
  </si>
  <si>
    <t>Artigo 275</t>
  </si>
  <si>
    <t>Artigo 276</t>
  </si>
  <si>
    <t>Artigo 277</t>
  </si>
  <si>
    <t>Artigo 278</t>
  </si>
  <si>
    <t>Artigo 279</t>
  </si>
  <si>
    <t>Artigo 280</t>
  </si>
  <si>
    <t>Artigo 281</t>
  </si>
  <si>
    <t>Artigo 282</t>
  </si>
  <si>
    <t>Artigo 283</t>
  </si>
  <si>
    <t>Artigo 284</t>
  </si>
  <si>
    <t>Artigo 285</t>
  </si>
  <si>
    <t>Artigo 286</t>
  </si>
  <si>
    <t>Artigo 287</t>
  </si>
  <si>
    <t>Artigo 288</t>
  </si>
  <si>
    <t>Artigo 289</t>
  </si>
  <si>
    <t>Artigo 290</t>
  </si>
  <si>
    <t>Artigo 291</t>
  </si>
  <si>
    <t>Artigo 292</t>
  </si>
  <si>
    <t>Artigo 293</t>
  </si>
  <si>
    <t>Artigo 294</t>
  </si>
  <si>
    <t>Artigo 295</t>
  </si>
  <si>
    <t>Artigo 296</t>
  </si>
  <si>
    <t>Artigo 297</t>
  </si>
  <si>
    <t>Artigo 298</t>
  </si>
  <si>
    <t>Artigo 299</t>
  </si>
  <si>
    <t xml:space="preserve">Média de Salários </t>
  </si>
  <si>
    <t>Soma de Total</t>
  </si>
  <si>
    <t>Rótulos de Linha</t>
  </si>
  <si>
    <t>Total Geral</t>
  </si>
  <si>
    <t>Soma de Valor (AKZ)</t>
  </si>
  <si>
    <t>Soma de Preço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</si>
</sst>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AOA]"/>
    <numFmt numFmtId="165" formatCode="_-* #,##0.00\ [$Kz]_-;\-* #,##0.00\ [$Kz]_-;_-* &quot;-&quot;??\ [$Kz]_-;_-@_-" x16r2:formatCode16="_-* #,##0.00\ [$Kz-pt-AO]_-;\-* #,##0.00\ [$Kz-pt-AO]_-;_-* &quot;-&quot;??\ [$Kz-pt-AO]_-;_-@_-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ck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 vertical="top"/>
    </xf>
    <xf numFmtId="0" fontId="1" fillId="4" borderId="7" xfId="0" applyFont="1" applyFill="1" applyBorder="1"/>
    <xf numFmtId="0" fontId="1" fillId="3" borderId="7" xfId="0" applyFont="1" applyFill="1" applyBorder="1"/>
    <xf numFmtId="0" fontId="2" fillId="0" borderId="3" xfId="0" applyFont="1" applyBorder="1" applyAlignment="1">
      <alignment horizontal="center" vertical="top"/>
    </xf>
    <xf numFmtId="164" fontId="3" fillId="0" borderId="0" xfId="0" applyNumberFormat="1" applyFont="1"/>
    <xf numFmtId="0" fontId="1" fillId="0" borderId="0" xfId="0" applyFont="1"/>
    <xf numFmtId="0" fontId="3" fillId="0" borderId="0" xfId="0" applyFont="1"/>
    <xf numFmtId="165" fontId="0" fillId="0" borderId="0" xfId="0" applyNumberFormat="1"/>
    <xf numFmtId="0" fontId="5" fillId="0" borderId="0" xfId="0" applyFont="1"/>
    <xf numFmtId="0" fontId="4" fillId="2" borderId="1" xfId="0" applyFont="1" applyFill="1" applyBorder="1" applyAlignment="1">
      <alignment horizontal="center" vertical="top"/>
    </xf>
    <xf numFmtId="164" fontId="4" fillId="2" borderId="1" xfId="0" applyNumberFormat="1" applyFont="1" applyFill="1" applyBorder="1" applyAlignment="1">
      <alignment horizontal="center" vertical="top"/>
    </xf>
    <xf numFmtId="164" fontId="1" fillId="3" borderId="8" xfId="0" applyNumberFormat="1" applyFont="1" applyFill="1" applyBorder="1"/>
    <xf numFmtId="164" fontId="1" fillId="4" borderId="8" xfId="0" applyNumberFormat="1" applyFont="1" applyFill="1" applyBorder="1"/>
    <xf numFmtId="0" fontId="4" fillId="2" borderId="2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164" fontId="1" fillId="3" borderId="7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64" formatCode="#,##0.00\ [$AOA]"/>
    </dxf>
    <dxf>
      <numFmt numFmtId="164" formatCode="#,##0.00\ [$AOA]"/>
    </dxf>
    <dxf>
      <numFmt numFmtId="165" formatCode="_-* #,##0.00\ [$Kz]_-;\-* #,##0.00\ [$Kz]_-;_-* &quot;-&quot;??\ [$Kz]_-;_-@_-" x16r2:formatCode16="_-* #,##0.00\ [$Kz-pt-AO]_-;\-* #,##0.00\ [$Kz-pt-AO]_-;_-* &quot;-&quot;??\ [$Kz-pt-AO]_-;_-@_-"/>
    </dxf>
    <dxf>
      <numFmt numFmtId="164" formatCode="#,##0.00\ [$AOA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.00\ [$AOA]"/>
      <fill>
        <patternFill patternType="none">
          <fgColor indexed="64"/>
          <bgColor indexed="65"/>
        </patternFill>
      </fill>
    </dxf>
    <dxf>
      <numFmt numFmtId="164" formatCode="#,##0.00\ [$AOA]"/>
      <fill>
        <patternFill patternType="none">
          <fgColor indexed="64"/>
          <bgColor auto="1"/>
        </patternFill>
      </fill>
    </dxf>
    <dxf>
      <numFmt numFmtId="164" formatCode="#,##0.00\ [$AOA]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[Empresa_Moda_Angola.xlsx]Tabela + Gráficos!Tabela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706736657917761"/>
          <c:y val="0.23087744240303296"/>
          <c:w val="0.5828766404199474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 + Gráficos'!$B$3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+ Gráficos'!$A$4:$A$7</c:f>
              <c:strCache>
                <c:ptCount val="3"/>
                <c:pt idx="0">
                  <c:v>Contabilista</c:v>
                </c:pt>
                <c:pt idx="1">
                  <c:v>Gerente</c:v>
                </c:pt>
                <c:pt idx="2">
                  <c:v>Vendedor</c:v>
                </c:pt>
              </c:strCache>
            </c:strRef>
          </c:cat>
          <c:val>
            <c:numRef>
              <c:f>'Tabela + Gráficos'!$B$4:$B$7</c:f>
              <c:numCache>
                <c:formatCode>#\ ##0.00\ [$AOA]</c:formatCode>
                <c:ptCount val="3"/>
                <c:pt idx="0">
                  <c:v>16410000</c:v>
                </c:pt>
                <c:pt idx="1">
                  <c:v>12905000</c:v>
                </c:pt>
                <c:pt idx="2">
                  <c:v>17825000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5-437B-9489-2E84FF4040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4882464"/>
        <c:axId val="634886784"/>
      </c:barChart>
      <c:catAx>
        <c:axId val="634882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4886784"/>
        <c:crosses val="autoZero"/>
        <c:auto val="1"/>
        <c:lblAlgn val="ctr"/>
        <c:lblOffset val="100"/>
        <c:noMultiLvlLbl val="0"/>
      </c:catAx>
      <c:valAx>
        <c:axId val="634886784"/>
        <c:scaling>
          <c:orientation val="minMax"/>
        </c:scaling>
        <c:delete val="1"/>
        <c:axPos val="l"/>
        <c:numFmt formatCode="#\ ##0.00\ [$AOA]" sourceLinked="1"/>
        <c:majorTickMark val="none"/>
        <c:minorTickMark val="none"/>
        <c:tickLblPos val="nextTo"/>
        <c:crossAx val="634882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[Empresa_Moda_Angola.xlsx]Tabela + Gráficos!Tabela Dinâmica4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hade val="51000"/>
                    <a:satMod val="130000"/>
                  </a:schemeClr>
                </a:gs>
                <a:gs pos="80000">
                  <a:schemeClr val="accent2">
                    <a:tint val="77000"/>
                    <a:shade val="93000"/>
                    <a:satMod val="130000"/>
                  </a:schemeClr>
                </a:gs>
                <a:gs pos="100000">
                  <a:schemeClr val="accent2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+ Gráficos'!$F$3</c:f>
              <c:strCache>
                <c:ptCount val="1"/>
                <c:pt idx="0">
                  <c:v>Soma de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+ Gráficos'!$E$4:$E$6</c:f>
              <c:strCache>
                <c:ptCount val="2"/>
                <c:pt idx="0">
                  <c:v>Despesa</c:v>
                </c:pt>
                <c:pt idx="1">
                  <c:v>Receita</c:v>
                </c:pt>
              </c:strCache>
            </c:strRef>
          </c:cat>
          <c:val>
            <c:numRef>
              <c:f>'Tabela + Gráficos'!$F$4:$F$6</c:f>
              <c:numCache>
                <mc:AlternateContent xmlns:mc="http://schemas.openxmlformats.org/markup-compatibility/2006">
                  <mc:Choice Requires="c16r2">
                    <c16r2:formatcode2>_-* #\ ##0.00\ [$Kz-pt-AO]_-;\-* #\ ##0.00\ [$Kz-pt-AO]_-;_-* "-"??\ [$Kz-pt-AO]_-;_-@_-</c16r2:formatcode2>
                  </mc:Choice>
                  <mc:Fallback>
                    <c:formatCode>_-* #\ ##0.00\ [$Kz]_-;\-* #\ ##0.00\ [$Kz]_-;_-* "-"??\ [$Kz]_-;_-@_-</c:formatCode>
                  </mc:Fallback>
                </mc:AlternateContent>
                <c:ptCount val="2"/>
                <c:pt idx="0">
                  <c:v>7735844</c:v>
                </c:pt>
                <c:pt idx="1">
                  <c:v>7919145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4-4C0D-9672-FA3B7DE29569}"/>
            </c:ext>
          </c:extLst>
        </c:ser>
        <c:ser>
          <c:idx val="1"/>
          <c:order val="1"/>
          <c:tx>
            <c:strRef>
              <c:f>'Tabela + Gráficos'!$G$3</c:f>
              <c:strCache>
                <c:ptCount val="1"/>
                <c:pt idx="0">
                  <c:v>Soma de Valor (AKZ)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hade val="51000"/>
                    <a:satMod val="130000"/>
                  </a:schemeClr>
                </a:gs>
                <a:gs pos="80000">
                  <a:schemeClr val="accent2">
                    <a:tint val="77000"/>
                    <a:shade val="93000"/>
                    <a:satMod val="130000"/>
                  </a:schemeClr>
                </a:gs>
                <a:gs pos="100000">
                  <a:schemeClr val="accent2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+ Gráficos'!$E$4:$E$6</c:f>
              <c:strCache>
                <c:ptCount val="2"/>
                <c:pt idx="0">
                  <c:v>Despesa</c:v>
                </c:pt>
                <c:pt idx="1">
                  <c:v>Receita</c:v>
                </c:pt>
              </c:strCache>
            </c:strRef>
          </c:cat>
          <c:val>
            <c:numRef>
              <c:f>'Tabela + Gráficos'!$G$4:$G$6</c:f>
              <c:numCache>
                <c:formatCode>#\ ##0.00\ [$AOA]</c:formatCode>
                <c:ptCount val="2"/>
                <c:pt idx="0">
                  <c:v>45610</c:v>
                </c:pt>
                <c:pt idx="1">
                  <c:v>59337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4-4C0D-9672-FA3B7DE295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2579104"/>
        <c:axId val="592576224"/>
      </c:barChart>
      <c:catAx>
        <c:axId val="592579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2576224"/>
        <c:crosses val="autoZero"/>
        <c:auto val="1"/>
        <c:lblAlgn val="ctr"/>
        <c:lblOffset val="100"/>
        <c:noMultiLvlLbl val="0"/>
      </c:catAx>
      <c:valAx>
        <c:axId val="592576224"/>
        <c:scaling>
          <c:orientation val="minMax"/>
        </c:scaling>
        <c:delete val="1"/>
        <c:axPos val="l"/>
        <c:numFmt formatCode="_-* #\ ##0.00\ [$Kz]_-;\-* #\ ##0.00\ [$Kz]_-;_-* &quot;-&quot;??\ [$Kz]_-;_-@_-" c16r2:formatcode2="_-* #\ ##0.00\ [$Kz-pt-AO]_-;\-* #\ ##0.00\ [$Kz-pt-AO]_-;_-* &quot;-&quot;??\ [$Kz-pt-AO]_-;_-@_-" sourceLinked="1"/>
        <c:majorTickMark val="none"/>
        <c:minorTickMark val="none"/>
        <c:tickLblPos val="nextTo"/>
        <c:crossAx val="592579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[Empresa_Moda_Angola.xlsx]Tabela + Gráficos!Tabela Dinâmica8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+ Gráficos'!$K$3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+ Gráficos'!$J$4:$J$7</c:f>
              <c:strCache>
                <c:ptCount val="3"/>
                <c:pt idx="0">
                  <c:v>Acessório</c:v>
                </c:pt>
                <c:pt idx="1">
                  <c:v>Categoria</c:v>
                </c:pt>
                <c:pt idx="2">
                  <c:v>Roupa</c:v>
                </c:pt>
              </c:strCache>
            </c:strRef>
          </c:cat>
          <c:val>
            <c:numRef>
              <c:f>'Tabela + Gráficos'!$K$4:$K$7</c:f>
              <c:numCache>
                <c:formatCode>#\ ##0.00\ [$AOA]</c:formatCode>
                <c:ptCount val="3"/>
                <c:pt idx="0">
                  <c:v>839171</c:v>
                </c:pt>
                <c:pt idx="1">
                  <c:v>0</c:v>
                </c:pt>
                <c:pt idx="2">
                  <c:v>963171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1-4C68-8208-B8CD1D0E19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2578024"/>
        <c:axId val="592569384"/>
      </c:barChart>
      <c:catAx>
        <c:axId val="592578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2569384"/>
        <c:crosses val="autoZero"/>
        <c:auto val="1"/>
        <c:lblAlgn val="ctr"/>
        <c:lblOffset val="100"/>
        <c:noMultiLvlLbl val="0"/>
      </c:catAx>
      <c:valAx>
        <c:axId val="592569384"/>
        <c:scaling>
          <c:orientation val="minMax"/>
        </c:scaling>
        <c:delete val="1"/>
        <c:axPos val="l"/>
        <c:numFmt formatCode="#\ ##0.00\ [$AOA]" sourceLinked="1"/>
        <c:majorTickMark val="none"/>
        <c:minorTickMark val="none"/>
        <c:tickLblPos val="nextTo"/>
        <c:crossAx val="5925780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[Empresa_Moda_Angola.xlsx]Graficos!Tabela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Graficos!$D$6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Graficos!$C$7:$C$10</c:f>
              <c:strCache>
                <c:ptCount val="3"/>
                <c:pt idx="0">
                  <c:v>Acessório</c:v>
                </c:pt>
                <c:pt idx="1">
                  <c:v>Categoria</c:v>
                </c:pt>
                <c:pt idx="2">
                  <c:v>Roupa</c:v>
                </c:pt>
              </c:strCache>
            </c:strRef>
          </c:cat>
          <c:val>
            <c:numRef>
              <c:f>Graficos!$D$7:$D$10</c:f>
              <c:numCache>
                <c:formatCode>#\ ##0.00\ [$AOA]</c:formatCode>
                <c:ptCount val="3"/>
                <c:pt idx="0">
                  <c:v>839171</c:v>
                </c:pt>
                <c:pt idx="1">
                  <c:v>0</c:v>
                </c:pt>
                <c:pt idx="2">
                  <c:v>963171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0-4161-87DA-4F04EFD001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38351008"/>
        <c:axId val="438353168"/>
        <c:axId val="0"/>
      </c:bar3DChart>
      <c:catAx>
        <c:axId val="43835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8353168"/>
        <c:crosses val="autoZero"/>
        <c:auto val="1"/>
        <c:lblAlgn val="ctr"/>
        <c:lblOffset val="100"/>
        <c:noMultiLvlLbl val="0"/>
      </c:catAx>
      <c:valAx>
        <c:axId val="438353168"/>
        <c:scaling>
          <c:orientation val="minMax"/>
        </c:scaling>
        <c:delete val="1"/>
        <c:axPos val="l"/>
        <c:numFmt formatCode="#\ ##0.00\ [$AOA]" sourceLinked="1"/>
        <c:majorTickMark val="none"/>
        <c:minorTickMark val="none"/>
        <c:tickLblPos val="nextTo"/>
        <c:crossAx val="438351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180975</xdr:rowOff>
    </xdr:from>
    <xdr:to>
      <xdr:col>1</xdr:col>
      <xdr:colOff>2362200</xdr:colOff>
      <xdr:row>22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42427F-8864-8E85-2965-19CBA24E0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603250</xdr:colOff>
      <xdr:row>8</xdr:row>
      <xdr:rowOff>34925</xdr:rowOff>
    </xdr:from>
    <xdr:to>
      <xdr:col>7</xdr:col>
      <xdr:colOff>0</xdr:colOff>
      <xdr:row>23</xdr:row>
      <xdr:rowOff>15875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FFE538-97A0-8518-1EA2-61078319C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</xdr:colOff>
      <xdr:row>7</xdr:row>
      <xdr:rowOff>180975</xdr:rowOff>
    </xdr:from>
    <xdr:to>
      <xdr:col>11</xdr:col>
      <xdr:colOff>6350</xdr:colOff>
      <xdr:row>22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94D83E-7FC7-71E3-8A50-F1F3B0F00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2</xdr:row>
      <xdr:rowOff>171450</xdr:rowOff>
    </xdr:from>
    <xdr:to>
      <xdr:col>15</xdr:col>
      <xdr:colOff>317500</xdr:colOff>
      <xdr:row>23</xdr:row>
      <xdr:rowOff>69850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1AAAF5-EF43-7182-7E35-7F939C9D8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6165.442220486111" createdVersion="8" refreshedVersion="8" minRefreshableVersion="3" recordCount="3" xr:uid="{71B6DA3D-913D-4681-A6E4-17D8FEC5867E}">
  <cacheSource type="worksheet">
    <worksheetSource ref="K2:L5" sheet="RH"/>
  </cacheSource>
  <cacheFields count="2">
    <cacheField name="Cargo" numFmtId="0">
      <sharedItems count="3">
        <s v="Gerente"/>
        <s v="Vendedor"/>
        <s v="Contabilista"/>
      </sharedItems>
    </cacheField>
    <cacheField name="Total" numFmtId="164">
      <sharedItems containsSemiMixedTypes="0" containsString="0" containsNumber="1" containsInteger="1" minValue="12905000" maxValue="178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6165.442682870373" createdVersion="8" refreshedVersion="8" minRefreshableVersion="3" recordCount="2" xr:uid="{464FD129-10E2-4BB2-8F17-852BA099D8AC}">
  <cacheSource type="worksheet">
    <worksheetSource ref="H6:J8" sheet="Financas"/>
  </cacheSource>
  <cacheFields count="3">
    <cacheField name="Tipo" numFmtId="0">
      <sharedItems count="2">
        <s v="Despesa"/>
        <s v="Receita"/>
      </sharedItems>
    </cacheField>
    <cacheField name="Valor (AKZ)" numFmtId="164">
      <sharedItems containsSemiMixedTypes="0" containsString="0" containsNumber="1" containsInteger="1" minValue="45610" maxValue="59337"/>
    </cacheField>
    <cacheField name="Total" numFmtId="165">
      <sharedItems containsSemiMixedTypes="0" containsString="0" containsNumber="1" containsInteger="1" minValue="7735844" maxValue="7919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6165.444523611113" createdVersion="8" refreshedVersion="8" minRefreshableVersion="3" recordCount="3" xr:uid="{68660FD0-67F9-49B0-8CA5-886D31A43BED}">
  <cacheSource type="worksheet">
    <worksheetSource name="Tabela5"/>
  </cacheSource>
  <cacheFields count="2">
    <cacheField name="Categoria" numFmtId="0">
      <sharedItems count="3">
        <s v="Roupa"/>
        <s v="Acessório"/>
        <s v="Categoria"/>
      </sharedItems>
    </cacheField>
    <cacheField name="Preço Custo" numFmtId="164">
      <sharedItems containsSemiMixedTypes="0" containsString="0" containsNumber="1" containsInteger="1" minValue="0" maxValue="963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2905000"/>
  </r>
  <r>
    <x v="1"/>
    <n v="17825000"/>
  </r>
  <r>
    <x v="2"/>
    <n v="1641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5610"/>
    <n v="7735844"/>
  </r>
  <r>
    <x v="1"/>
    <n v="59337"/>
    <n v="791914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63171"/>
  </r>
  <r>
    <x v="1"/>
    <n v="839171"/>
  </r>
  <r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C98B9-7D9C-4C87-A7DA-A917E8A08951}" name="Tabela Dinâ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showAll="0">
      <items count="4">
        <item x="1"/>
        <item x="2"/>
        <item x="0"/>
        <item t="default"/>
      </items>
    </pivotField>
    <pivotField dataField="1"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Preço Custo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BF01F-4DA0-4464-A9A7-6259C734B626}" name="Tabela Dinâ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3:K7" firstHeaderRow="1" firstDataRow="1" firstDataCol="1"/>
  <pivotFields count="2">
    <pivotField axis="axisRow" showAll="0">
      <items count="4">
        <item x="1"/>
        <item x="2"/>
        <item x="0"/>
        <item t="default"/>
      </items>
    </pivotField>
    <pivotField dataField="1"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Preço Custo" fld="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C1633-C112-445C-97D6-7BA32E310012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3:G6" firstHeaderRow="0" firstDataRow="1" firstDataCol="1"/>
  <pivotFields count="3">
    <pivotField axis="axisRow" showAll="0">
      <items count="3">
        <item x="0"/>
        <item x="1"/>
        <item t="default"/>
      </items>
    </pivotField>
    <pivotField dataField="1" numFmtId="164" showAll="0"/>
    <pivotField dataField="1" numFmtId="165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2" baseField="0" baseItem="0" numFmtId="165"/>
    <dataField name="Soma de Valor (AKZ)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240C3-C6FA-414E-92D5-3EB816B4F85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">
    <pivotField axis="axisRow" showAll="0">
      <items count="4">
        <item x="2"/>
        <item x="0"/>
        <item x="1"/>
        <item t="default"/>
      </items>
    </pivotField>
    <pivotField dataField="1"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" fld="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98556-F34C-41A6-907F-707802CD94FA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6:D10" firstHeaderRow="1" firstDataRow="1" firstDataCol="1"/>
  <pivotFields count="2">
    <pivotField axis="axisRow" showAll="0">
      <items count="4">
        <item x="1"/>
        <item x="2"/>
        <item x="0"/>
        <item t="default"/>
      </items>
    </pivotField>
    <pivotField dataField="1"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Preço Custo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301" totalsRowShown="0">
  <autoFilter ref="A1:E301" xr:uid="{00000000-0009-0000-0100-000001000000}"/>
  <tableColumns count="5">
    <tableColumn id="1" xr3:uid="{00000000-0010-0000-0000-000001000000}" name="ID"/>
    <tableColumn id="2" xr3:uid="{00000000-0010-0000-0000-000002000000}" name="Nome"/>
    <tableColumn id="3" xr3:uid="{00000000-0010-0000-0000-000003000000}" name="NIF"/>
    <tableColumn id="4" xr3:uid="{00000000-0010-0000-0000-000004000000}" name="Telemóvel"/>
    <tableColumn id="5" xr3:uid="{00000000-0010-0000-0000-000005000000}" name="Bairr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B1:H302" totalsRowCount="1">
  <autoFilter ref="B1:H301" xr:uid="{00000000-0009-0000-0100-000002000000}"/>
  <tableColumns count="7">
    <tableColumn id="1" xr3:uid="{00000000-0010-0000-0100-000001000000}" name="ID"/>
    <tableColumn id="2" xr3:uid="{00000000-0010-0000-0100-000002000000}" name="Nome"/>
    <tableColumn id="3" xr3:uid="{00000000-0010-0000-0100-000003000000}" name="Cargo"/>
    <tableColumn id="4" xr3:uid="{00000000-0010-0000-0100-000004000000}" name="Salário Base (AKZ)" dataDxfId="6"/>
    <tableColumn id="5" xr3:uid="{00000000-0010-0000-0100-000005000000}" name="Subsidio"/>
    <tableColumn id="6" xr3:uid="{00000000-0010-0000-0100-000006000000}" name="Total" totalsRowFunction="sum" dataDxfId="5" totalsRowDxfId="4">
      <calculatedColumnFormula>E2+F2</calculatedColumnFormula>
    </tableColumn>
    <tableColumn id="7" xr3:uid="{1BB9C386-A273-41E0-99CB-FB09008C6E01}" name="Média de Salários " dataDxfId="3">
      <calculatedColumnFormula>Tabela2[[#Totals],[Total]]/A301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1:D301" totalsRowShown="0">
  <autoFilter ref="A1:D301" xr:uid="{00000000-0009-0000-0100-000003000000}"/>
  <tableColumns count="4">
    <tableColumn id="1" xr3:uid="{00000000-0010-0000-0200-000001000000}" name="ID"/>
    <tableColumn id="2" xr3:uid="{00000000-0010-0000-0200-000002000000}" name="Data"/>
    <tableColumn id="3" xr3:uid="{00000000-0010-0000-0200-000003000000}" name="Tipo"/>
    <tableColumn id="4" xr3:uid="{00000000-0010-0000-0200-000004000000}" name="Valor (AKZ)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4" displayName="Tabela4" ref="A1:D300" totalsRowShown="0">
  <autoFilter ref="A1:D300" xr:uid="{00000000-0009-0000-0100-000004000000}"/>
  <tableColumns count="4">
    <tableColumn id="1" xr3:uid="{00000000-0010-0000-0300-000001000000}" name="Produto"/>
    <tableColumn id="2" xr3:uid="{00000000-0010-0000-0300-000002000000}" name="Categoria"/>
    <tableColumn id="3" xr3:uid="{00000000-0010-0000-0300-000003000000}" name="Qtd"/>
    <tableColumn id="4" xr3:uid="{00000000-0010-0000-0300-000004000000}" name="Preço Custo" dataDxfId="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5" displayName="Tabela5" ref="I1:J4" totalsRowShown="0">
  <autoFilter ref="I1:J4" xr:uid="{00000000-0009-0000-0100-000005000000}"/>
  <tableColumns count="2">
    <tableColumn id="1" xr3:uid="{00000000-0010-0000-0400-000001000000}" name="Categoria"/>
    <tableColumn id="2" xr3:uid="{00000000-0010-0000-0400-000002000000}" name="Preço Cus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activeCell="B14" sqref="B14"/>
    </sheetView>
  </sheetViews>
  <sheetFormatPr defaultColWidth="9" defaultRowHeight="14.5"/>
  <cols>
    <col min="1" max="1" width="26.54296875" customWidth="1"/>
    <col min="2" max="2" width="93.54296875" customWidth="1"/>
  </cols>
  <sheetData>
    <row r="1" spans="1:2">
      <c r="A1" s="5" t="s">
        <v>0</v>
      </c>
      <c r="B1" s="5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tabSelected="1" workbookViewId="0">
      <selection activeCell="I9" sqref="I9"/>
    </sheetView>
  </sheetViews>
  <sheetFormatPr defaultColWidth="9" defaultRowHeight="14.5"/>
  <cols>
    <col min="1" max="1" width="6.90625" style="8" customWidth="1"/>
    <col min="2" max="2" width="17.81640625" customWidth="1"/>
    <col min="3" max="3" width="7.81640625" customWidth="1"/>
    <col min="4" max="4" width="11.36328125" customWidth="1"/>
    <col min="5" max="5" width="10.7265625" customWidth="1"/>
  </cols>
  <sheetData>
    <row r="1" spans="1:5" s="7" customFormat="1">
      <c r="A1" s="9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>
      <c r="A4" t="s">
        <v>29</v>
      </c>
      <c r="B4" t="s">
        <v>30</v>
      </c>
      <c r="C4" t="s">
        <v>31</v>
      </c>
      <c r="D4" t="s">
        <v>32</v>
      </c>
      <c r="E4" t="s">
        <v>33</v>
      </c>
    </row>
    <row r="5" spans="1:5">
      <c r="A5" t="s">
        <v>34</v>
      </c>
      <c r="B5" t="s">
        <v>35</v>
      </c>
      <c r="C5" t="s">
        <v>36</v>
      </c>
      <c r="D5" t="s">
        <v>37</v>
      </c>
      <c r="E5" t="s">
        <v>38</v>
      </c>
    </row>
    <row r="6" spans="1:5">
      <c r="A6" t="s">
        <v>39</v>
      </c>
      <c r="B6" t="s">
        <v>40</v>
      </c>
      <c r="C6" t="s">
        <v>41</v>
      </c>
      <c r="D6" t="s">
        <v>42</v>
      </c>
      <c r="E6" t="s">
        <v>43</v>
      </c>
    </row>
    <row r="7" spans="1:5">
      <c r="A7" t="s">
        <v>44</v>
      </c>
      <c r="B7" t="s">
        <v>45</v>
      </c>
      <c r="C7" t="s">
        <v>46</v>
      </c>
      <c r="D7" t="s">
        <v>47</v>
      </c>
      <c r="E7" t="s">
        <v>38</v>
      </c>
    </row>
    <row r="8" spans="1:5">
      <c r="A8" t="s">
        <v>48</v>
      </c>
      <c r="B8" t="s">
        <v>49</v>
      </c>
      <c r="C8" t="s">
        <v>50</v>
      </c>
      <c r="D8" t="s">
        <v>51</v>
      </c>
      <c r="E8" t="s">
        <v>38</v>
      </c>
    </row>
    <row r="9" spans="1:5">
      <c r="A9" t="s">
        <v>52</v>
      </c>
      <c r="B9" t="s">
        <v>53</v>
      </c>
      <c r="C9" t="s">
        <v>54</v>
      </c>
      <c r="D9" t="s">
        <v>55</v>
      </c>
      <c r="E9" t="s">
        <v>28</v>
      </c>
    </row>
    <row r="10" spans="1:5">
      <c r="A10" t="s">
        <v>56</v>
      </c>
      <c r="B10" t="s">
        <v>57</v>
      </c>
      <c r="C10" t="s">
        <v>58</v>
      </c>
      <c r="D10" t="s">
        <v>59</v>
      </c>
      <c r="E10" t="s">
        <v>60</v>
      </c>
    </row>
    <row r="11" spans="1:5">
      <c r="A11" t="s">
        <v>61</v>
      </c>
      <c r="B11" t="s">
        <v>62</v>
      </c>
      <c r="C11" t="s">
        <v>63</v>
      </c>
      <c r="D11" t="s">
        <v>64</v>
      </c>
      <c r="E11" t="s">
        <v>33</v>
      </c>
    </row>
    <row r="12" spans="1:5">
      <c r="A12" t="s">
        <v>65</v>
      </c>
      <c r="B12" t="s">
        <v>66</v>
      </c>
      <c r="C12" t="s">
        <v>67</v>
      </c>
      <c r="D12" t="s">
        <v>68</v>
      </c>
      <c r="E12" t="s">
        <v>43</v>
      </c>
    </row>
    <row r="13" spans="1:5">
      <c r="A13" t="s">
        <v>69</v>
      </c>
      <c r="B13" t="s">
        <v>70</v>
      </c>
      <c r="C13" t="s">
        <v>71</v>
      </c>
      <c r="D13" t="s">
        <v>72</v>
      </c>
      <c r="E13" t="s">
        <v>60</v>
      </c>
    </row>
    <row r="14" spans="1:5">
      <c r="A14" t="s">
        <v>73</v>
      </c>
      <c r="B14" t="s">
        <v>74</v>
      </c>
      <c r="C14" t="s">
        <v>75</v>
      </c>
      <c r="D14" t="s">
        <v>76</v>
      </c>
      <c r="E14" t="s">
        <v>60</v>
      </c>
    </row>
    <row r="15" spans="1:5">
      <c r="A15" t="s">
        <v>77</v>
      </c>
      <c r="B15" t="s">
        <v>78</v>
      </c>
      <c r="C15" t="s">
        <v>79</v>
      </c>
      <c r="D15" t="s">
        <v>80</v>
      </c>
      <c r="E15" t="s">
        <v>23</v>
      </c>
    </row>
    <row r="16" spans="1:5">
      <c r="A16" t="s">
        <v>81</v>
      </c>
      <c r="B16" t="s">
        <v>82</v>
      </c>
      <c r="C16" t="s">
        <v>83</v>
      </c>
      <c r="D16" t="s">
        <v>84</v>
      </c>
      <c r="E16" t="s">
        <v>28</v>
      </c>
    </row>
    <row r="17" spans="1:5">
      <c r="A17" t="s">
        <v>85</v>
      </c>
      <c r="B17" t="s">
        <v>86</v>
      </c>
      <c r="C17" t="s">
        <v>87</v>
      </c>
      <c r="D17" t="s">
        <v>88</v>
      </c>
      <c r="E17" t="s">
        <v>38</v>
      </c>
    </row>
    <row r="18" spans="1:5">
      <c r="A18" t="s">
        <v>89</v>
      </c>
      <c r="B18" t="s">
        <v>90</v>
      </c>
      <c r="C18" t="s">
        <v>91</v>
      </c>
      <c r="D18" t="s">
        <v>92</v>
      </c>
      <c r="E18" t="s">
        <v>93</v>
      </c>
    </row>
    <row r="19" spans="1:5">
      <c r="A19" t="s">
        <v>94</v>
      </c>
      <c r="B19" t="s">
        <v>53</v>
      </c>
      <c r="C19" t="s">
        <v>95</v>
      </c>
      <c r="D19" t="s">
        <v>96</v>
      </c>
      <c r="E19" t="s">
        <v>93</v>
      </c>
    </row>
    <row r="20" spans="1:5">
      <c r="A20" t="s">
        <v>97</v>
      </c>
      <c r="B20" t="s">
        <v>98</v>
      </c>
      <c r="C20" t="s">
        <v>99</v>
      </c>
      <c r="D20" t="s">
        <v>100</v>
      </c>
      <c r="E20" t="s">
        <v>23</v>
      </c>
    </row>
    <row r="21" spans="1:5">
      <c r="A21" t="s">
        <v>101</v>
      </c>
      <c r="B21" t="s">
        <v>102</v>
      </c>
      <c r="C21" t="s">
        <v>103</v>
      </c>
      <c r="D21" t="s">
        <v>104</v>
      </c>
      <c r="E21" t="s">
        <v>43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43</v>
      </c>
    </row>
    <row r="23" spans="1:5">
      <c r="A23" t="s">
        <v>109</v>
      </c>
      <c r="B23" t="s">
        <v>110</v>
      </c>
      <c r="C23" t="s">
        <v>111</v>
      </c>
      <c r="D23" t="s">
        <v>112</v>
      </c>
      <c r="E23" t="s">
        <v>23</v>
      </c>
    </row>
    <row r="24" spans="1: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>
      <c r="A25" t="s">
        <v>118</v>
      </c>
      <c r="B25" t="s">
        <v>119</v>
      </c>
      <c r="C25" t="s">
        <v>120</v>
      </c>
      <c r="D25" t="s">
        <v>121</v>
      </c>
      <c r="E25" t="s">
        <v>23</v>
      </c>
    </row>
    <row r="26" spans="1:5">
      <c r="A26" t="s">
        <v>122</v>
      </c>
      <c r="B26" t="s">
        <v>123</v>
      </c>
      <c r="C26" t="s">
        <v>124</v>
      </c>
      <c r="D26" t="s">
        <v>125</v>
      </c>
      <c r="E26" t="s">
        <v>126</v>
      </c>
    </row>
    <row r="27" spans="1:5">
      <c r="A27" t="s">
        <v>127</v>
      </c>
      <c r="B27" t="s">
        <v>128</v>
      </c>
      <c r="C27" t="s">
        <v>129</v>
      </c>
      <c r="D27" t="s">
        <v>130</v>
      </c>
      <c r="E27" t="s">
        <v>28</v>
      </c>
    </row>
    <row r="28" spans="1:5">
      <c r="A28" t="s">
        <v>131</v>
      </c>
      <c r="B28" t="s">
        <v>132</v>
      </c>
      <c r="C28" t="s">
        <v>133</v>
      </c>
      <c r="D28" t="s">
        <v>134</v>
      </c>
      <c r="E28" t="s">
        <v>117</v>
      </c>
    </row>
    <row r="29" spans="1:5">
      <c r="A29" t="s">
        <v>135</v>
      </c>
      <c r="B29" t="s">
        <v>136</v>
      </c>
      <c r="C29" t="s">
        <v>137</v>
      </c>
      <c r="D29" t="s">
        <v>138</v>
      </c>
      <c r="E29" t="s">
        <v>43</v>
      </c>
    </row>
    <row r="30" spans="1:5">
      <c r="A30" t="s">
        <v>139</v>
      </c>
      <c r="B30" t="s">
        <v>140</v>
      </c>
      <c r="C30" t="s">
        <v>141</v>
      </c>
      <c r="D30" t="s">
        <v>142</v>
      </c>
      <c r="E30" t="s">
        <v>43</v>
      </c>
    </row>
    <row r="31" spans="1:5">
      <c r="A31" t="s">
        <v>143</v>
      </c>
      <c r="B31" t="s">
        <v>53</v>
      </c>
      <c r="C31" t="s">
        <v>144</v>
      </c>
      <c r="D31" t="s">
        <v>145</v>
      </c>
      <c r="E31" t="s">
        <v>146</v>
      </c>
    </row>
    <row r="32" spans="1:5">
      <c r="A32" t="s">
        <v>147</v>
      </c>
      <c r="B32" t="s">
        <v>148</v>
      </c>
      <c r="C32" t="s">
        <v>149</v>
      </c>
      <c r="D32" t="s">
        <v>150</v>
      </c>
      <c r="E32" t="s">
        <v>43</v>
      </c>
    </row>
    <row r="33" spans="1:5">
      <c r="A33" t="s">
        <v>151</v>
      </c>
      <c r="B33" t="s">
        <v>152</v>
      </c>
      <c r="C33" t="s">
        <v>153</v>
      </c>
      <c r="D33" t="s">
        <v>154</v>
      </c>
      <c r="E33" t="s">
        <v>28</v>
      </c>
    </row>
    <row r="34" spans="1:5">
      <c r="A34" t="s">
        <v>155</v>
      </c>
      <c r="B34" t="s">
        <v>156</v>
      </c>
      <c r="C34" t="s">
        <v>157</v>
      </c>
      <c r="D34" t="s">
        <v>158</v>
      </c>
      <c r="E34" t="s">
        <v>33</v>
      </c>
    </row>
    <row r="35" spans="1:5">
      <c r="A35" t="s">
        <v>159</v>
      </c>
      <c r="B35" t="s">
        <v>160</v>
      </c>
      <c r="C35" t="s">
        <v>161</v>
      </c>
      <c r="D35" t="s">
        <v>162</v>
      </c>
      <c r="E35" t="s">
        <v>126</v>
      </c>
    </row>
    <row r="36" spans="1:5">
      <c r="A36" t="s">
        <v>163</v>
      </c>
      <c r="B36" t="s">
        <v>164</v>
      </c>
      <c r="C36" t="s">
        <v>165</v>
      </c>
      <c r="D36" t="s">
        <v>166</v>
      </c>
      <c r="E36" t="s">
        <v>117</v>
      </c>
    </row>
    <row r="37" spans="1:5">
      <c r="A37" t="s">
        <v>167</v>
      </c>
      <c r="B37" t="s">
        <v>168</v>
      </c>
      <c r="C37" t="s">
        <v>169</v>
      </c>
      <c r="D37" t="s">
        <v>170</v>
      </c>
      <c r="E37" t="s">
        <v>38</v>
      </c>
    </row>
    <row r="38" spans="1:5">
      <c r="A38" t="s">
        <v>171</v>
      </c>
      <c r="B38" t="s">
        <v>172</v>
      </c>
      <c r="C38" t="s">
        <v>173</v>
      </c>
      <c r="D38" t="s">
        <v>174</v>
      </c>
      <c r="E38" t="s">
        <v>117</v>
      </c>
    </row>
    <row r="39" spans="1:5">
      <c r="A39" t="s">
        <v>175</v>
      </c>
      <c r="B39" t="s">
        <v>176</v>
      </c>
      <c r="C39" t="s">
        <v>177</v>
      </c>
      <c r="D39" t="s">
        <v>178</v>
      </c>
      <c r="E39" t="s">
        <v>93</v>
      </c>
    </row>
    <row r="40" spans="1:5">
      <c r="A40" t="s">
        <v>179</v>
      </c>
      <c r="B40" t="s">
        <v>180</v>
      </c>
      <c r="C40" t="s">
        <v>181</v>
      </c>
      <c r="D40" t="s">
        <v>182</v>
      </c>
      <c r="E40" t="s">
        <v>93</v>
      </c>
    </row>
    <row r="41" spans="1:5">
      <c r="A41" t="s">
        <v>183</v>
      </c>
      <c r="B41" t="s">
        <v>184</v>
      </c>
      <c r="C41" t="s">
        <v>185</v>
      </c>
      <c r="D41" t="s">
        <v>186</v>
      </c>
      <c r="E41" t="s">
        <v>93</v>
      </c>
    </row>
    <row r="42" spans="1:5">
      <c r="A42" t="s">
        <v>187</v>
      </c>
      <c r="B42" t="s">
        <v>188</v>
      </c>
      <c r="C42" t="s">
        <v>189</v>
      </c>
      <c r="D42" t="s">
        <v>190</v>
      </c>
      <c r="E42" t="s">
        <v>38</v>
      </c>
    </row>
    <row r="43" spans="1:5">
      <c r="A43" t="s">
        <v>191</v>
      </c>
      <c r="B43" t="s">
        <v>192</v>
      </c>
      <c r="C43" t="s">
        <v>193</v>
      </c>
      <c r="D43" t="s">
        <v>194</v>
      </c>
      <c r="E43" t="s">
        <v>43</v>
      </c>
    </row>
    <row r="44" spans="1:5">
      <c r="A44" t="s">
        <v>195</v>
      </c>
      <c r="B44" t="s">
        <v>74</v>
      </c>
      <c r="C44" t="s">
        <v>196</v>
      </c>
      <c r="D44" t="s">
        <v>197</v>
      </c>
      <c r="E44" t="s">
        <v>28</v>
      </c>
    </row>
    <row r="45" spans="1:5">
      <c r="A45" t="s">
        <v>198</v>
      </c>
      <c r="B45" t="s">
        <v>199</v>
      </c>
      <c r="C45" t="s">
        <v>200</v>
      </c>
      <c r="D45" t="s">
        <v>201</v>
      </c>
      <c r="E45" t="s">
        <v>28</v>
      </c>
    </row>
    <row r="46" spans="1:5">
      <c r="A46" t="s">
        <v>202</v>
      </c>
      <c r="B46" t="s">
        <v>203</v>
      </c>
      <c r="C46" t="s">
        <v>204</v>
      </c>
      <c r="D46" t="s">
        <v>205</v>
      </c>
      <c r="E46" t="s">
        <v>93</v>
      </c>
    </row>
    <row r="47" spans="1:5">
      <c r="A47" t="s">
        <v>206</v>
      </c>
      <c r="B47" t="s">
        <v>207</v>
      </c>
      <c r="C47" t="s">
        <v>208</v>
      </c>
      <c r="D47" t="s">
        <v>209</v>
      </c>
      <c r="E47" t="s">
        <v>126</v>
      </c>
    </row>
    <row r="48" spans="1:5">
      <c r="A48" t="s">
        <v>210</v>
      </c>
      <c r="B48" t="s">
        <v>211</v>
      </c>
      <c r="C48" t="s">
        <v>212</v>
      </c>
      <c r="D48" t="s">
        <v>213</v>
      </c>
      <c r="E48" t="s">
        <v>93</v>
      </c>
    </row>
    <row r="49" spans="1:5">
      <c r="A49" t="s">
        <v>214</v>
      </c>
      <c r="B49" t="s">
        <v>215</v>
      </c>
      <c r="C49" t="s">
        <v>216</v>
      </c>
      <c r="D49" t="s">
        <v>217</v>
      </c>
      <c r="E49" t="s">
        <v>117</v>
      </c>
    </row>
    <row r="50" spans="1:5">
      <c r="A50" t="s">
        <v>218</v>
      </c>
      <c r="B50" t="s">
        <v>219</v>
      </c>
      <c r="C50" t="s">
        <v>220</v>
      </c>
      <c r="D50" t="s">
        <v>221</v>
      </c>
      <c r="E50" t="s">
        <v>93</v>
      </c>
    </row>
    <row r="51" spans="1:5">
      <c r="A51" t="s">
        <v>222</v>
      </c>
      <c r="B51" t="s">
        <v>57</v>
      </c>
      <c r="C51" t="s">
        <v>223</v>
      </c>
      <c r="D51" t="s">
        <v>224</v>
      </c>
      <c r="E51" t="s">
        <v>60</v>
      </c>
    </row>
    <row r="52" spans="1:5">
      <c r="A52" t="s">
        <v>225</v>
      </c>
      <c r="B52" t="s">
        <v>226</v>
      </c>
      <c r="C52" t="s">
        <v>227</v>
      </c>
      <c r="D52" t="s">
        <v>228</v>
      </c>
      <c r="E52" t="s">
        <v>146</v>
      </c>
    </row>
    <row r="53" spans="1:5">
      <c r="A53" t="s">
        <v>229</v>
      </c>
      <c r="B53" t="s">
        <v>230</v>
      </c>
      <c r="C53" t="s">
        <v>231</v>
      </c>
      <c r="D53" t="s">
        <v>232</v>
      </c>
      <c r="E53" t="s">
        <v>126</v>
      </c>
    </row>
    <row r="54" spans="1:5">
      <c r="A54" t="s">
        <v>233</v>
      </c>
      <c r="B54" t="s">
        <v>234</v>
      </c>
      <c r="C54" t="s">
        <v>235</v>
      </c>
      <c r="D54" t="s">
        <v>236</v>
      </c>
      <c r="E54" t="s">
        <v>146</v>
      </c>
    </row>
    <row r="55" spans="1:5">
      <c r="A55" t="s">
        <v>237</v>
      </c>
      <c r="B55" t="s">
        <v>238</v>
      </c>
      <c r="C55" t="s">
        <v>239</v>
      </c>
      <c r="D55" t="s">
        <v>240</v>
      </c>
      <c r="E55" t="s">
        <v>28</v>
      </c>
    </row>
    <row r="56" spans="1:5">
      <c r="A56" t="s">
        <v>241</v>
      </c>
      <c r="B56" t="s">
        <v>242</v>
      </c>
      <c r="C56" t="s">
        <v>243</v>
      </c>
      <c r="D56" t="s">
        <v>244</v>
      </c>
      <c r="E56" t="s">
        <v>28</v>
      </c>
    </row>
    <row r="57" spans="1:5">
      <c r="A57" t="s">
        <v>245</v>
      </c>
      <c r="B57" t="s">
        <v>246</v>
      </c>
      <c r="C57" t="s">
        <v>247</v>
      </c>
      <c r="D57" t="s">
        <v>248</v>
      </c>
      <c r="E57" t="s">
        <v>23</v>
      </c>
    </row>
    <row r="58" spans="1:5">
      <c r="A58" t="s">
        <v>249</v>
      </c>
      <c r="B58" t="s">
        <v>250</v>
      </c>
      <c r="C58" t="s">
        <v>251</v>
      </c>
      <c r="D58" t="s">
        <v>252</v>
      </c>
      <c r="E58" t="s">
        <v>126</v>
      </c>
    </row>
    <row r="59" spans="1:5">
      <c r="A59" t="s">
        <v>253</v>
      </c>
      <c r="B59" t="s">
        <v>254</v>
      </c>
      <c r="C59" t="s">
        <v>255</v>
      </c>
      <c r="D59" t="s">
        <v>256</v>
      </c>
      <c r="E59" t="s">
        <v>117</v>
      </c>
    </row>
    <row r="60" spans="1:5">
      <c r="A60" t="s">
        <v>257</v>
      </c>
      <c r="B60" t="s">
        <v>258</v>
      </c>
      <c r="C60" t="s">
        <v>259</v>
      </c>
      <c r="D60" t="s">
        <v>260</v>
      </c>
      <c r="E60" t="s">
        <v>33</v>
      </c>
    </row>
    <row r="61" spans="1:5">
      <c r="A61" t="s">
        <v>261</v>
      </c>
      <c r="B61" t="s">
        <v>262</v>
      </c>
      <c r="C61" t="s">
        <v>263</v>
      </c>
      <c r="D61" t="s">
        <v>264</v>
      </c>
      <c r="E61" t="s">
        <v>33</v>
      </c>
    </row>
    <row r="62" spans="1:5">
      <c r="A62" t="s">
        <v>265</v>
      </c>
      <c r="B62" t="s">
        <v>266</v>
      </c>
      <c r="C62" t="s">
        <v>267</v>
      </c>
      <c r="D62" t="s">
        <v>268</v>
      </c>
      <c r="E62" t="s">
        <v>43</v>
      </c>
    </row>
    <row r="63" spans="1:5">
      <c r="A63" t="s">
        <v>269</v>
      </c>
      <c r="B63" t="s">
        <v>211</v>
      </c>
      <c r="C63" t="s">
        <v>270</v>
      </c>
      <c r="D63" t="s">
        <v>271</v>
      </c>
      <c r="E63" t="s">
        <v>23</v>
      </c>
    </row>
    <row r="64" spans="1:5">
      <c r="A64" t="s">
        <v>272</v>
      </c>
      <c r="B64" t="s">
        <v>273</v>
      </c>
      <c r="C64" t="s">
        <v>274</v>
      </c>
      <c r="D64" t="s">
        <v>275</v>
      </c>
      <c r="E64" t="s">
        <v>43</v>
      </c>
    </row>
    <row r="65" spans="1:5">
      <c r="A65" t="s">
        <v>276</v>
      </c>
      <c r="B65" t="s">
        <v>277</v>
      </c>
      <c r="C65" t="s">
        <v>278</v>
      </c>
      <c r="D65" t="s">
        <v>279</v>
      </c>
      <c r="E65" t="s">
        <v>117</v>
      </c>
    </row>
    <row r="66" spans="1:5">
      <c r="A66" t="s">
        <v>280</v>
      </c>
      <c r="B66" t="s">
        <v>281</v>
      </c>
      <c r="C66" t="s">
        <v>282</v>
      </c>
      <c r="D66" t="s">
        <v>283</v>
      </c>
      <c r="E66" t="s">
        <v>38</v>
      </c>
    </row>
    <row r="67" spans="1:5">
      <c r="A67" t="s">
        <v>284</v>
      </c>
      <c r="B67" t="s">
        <v>285</v>
      </c>
      <c r="C67" t="s">
        <v>286</v>
      </c>
      <c r="D67" t="s">
        <v>287</v>
      </c>
      <c r="E67" t="s">
        <v>117</v>
      </c>
    </row>
    <row r="68" spans="1:5">
      <c r="A68" t="s">
        <v>288</v>
      </c>
      <c r="B68" t="s">
        <v>289</v>
      </c>
      <c r="C68" t="s">
        <v>290</v>
      </c>
      <c r="D68" t="s">
        <v>291</v>
      </c>
      <c r="E68" t="s">
        <v>60</v>
      </c>
    </row>
    <row r="69" spans="1:5">
      <c r="A69" t="s">
        <v>292</v>
      </c>
      <c r="B69" t="s">
        <v>293</v>
      </c>
      <c r="C69" t="s">
        <v>294</v>
      </c>
      <c r="D69" t="s">
        <v>295</v>
      </c>
      <c r="E69" t="s">
        <v>146</v>
      </c>
    </row>
    <row r="70" spans="1:5">
      <c r="A70" t="s">
        <v>296</v>
      </c>
      <c r="B70" t="s">
        <v>297</v>
      </c>
      <c r="C70" t="s">
        <v>298</v>
      </c>
      <c r="D70" t="s">
        <v>299</v>
      </c>
      <c r="E70" t="s">
        <v>60</v>
      </c>
    </row>
    <row r="71" spans="1:5">
      <c r="A71" t="s">
        <v>300</v>
      </c>
      <c r="B71" t="s">
        <v>301</v>
      </c>
      <c r="C71" t="s">
        <v>302</v>
      </c>
      <c r="D71" t="s">
        <v>303</v>
      </c>
      <c r="E71" t="s">
        <v>126</v>
      </c>
    </row>
    <row r="72" spans="1:5">
      <c r="A72" t="s">
        <v>304</v>
      </c>
      <c r="B72" t="s">
        <v>305</v>
      </c>
      <c r="C72" t="s">
        <v>306</v>
      </c>
      <c r="D72" t="s">
        <v>307</v>
      </c>
      <c r="E72" t="s">
        <v>146</v>
      </c>
    </row>
    <row r="73" spans="1:5">
      <c r="A73" t="s">
        <v>308</v>
      </c>
      <c r="B73" t="s">
        <v>309</v>
      </c>
      <c r="C73" t="s">
        <v>310</v>
      </c>
      <c r="D73" t="s">
        <v>311</v>
      </c>
      <c r="E73" t="s">
        <v>117</v>
      </c>
    </row>
    <row r="74" spans="1:5">
      <c r="A74" t="s">
        <v>312</v>
      </c>
      <c r="B74" t="s">
        <v>313</v>
      </c>
      <c r="C74" t="s">
        <v>314</v>
      </c>
      <c r="D74" t="s">
        <v>315</v>
      </c>
      <c r="E74" t="s">
        <v>93</v>
      </c>
    </row>
    <row r="75" spans="1:5">
      <c r="A75" t="s">
        <v>316</v>
      </c>
      <c r="B75" t="s">
        <v>317</v>
      </c>
      <c r="C75" t="s">
        <v>318</v>
      </c>
      <c r="D75" t="s">
        <v>319</v>
      </c>
      <c r="E75" t="s">
        <v>33</v>
      </c>
    </row>
    <row r="76" spans="1:5">
      <c r="A76" t="s">
        <v>320</v>
      </c>
      <c r="B76" t="s">
        <v>136</v>
      </c>
      <c r="C76" t="s">
        <v>321</v>
      </c>
      <c r="D76" t="s">
        <v>322</v>
      </c>
      <c r="E76" t="s">
        <v>43</v>
      </c>
    </row>
    <row r="77" spans="1:5">
      <c r="A77" t="s">
        <v>323</v>
      </c>
      <c r="B77" t="s">
        <v>324</v>
      </c>
      <c r="C77" t="s">
        <v>325</v>
      </c>
      <c r="D77" t="s">
        <v>326</v>
      </c>
      <c r="E77" t="s">
        <v>60</v>
      </c>
    </row>
    <row r="78" spans="1:5">
      <c r="A78" t="s">
        <v>327</v>
      </c>
      <c r="B78" t="s">
        <v>328</v>
      </c>
      <c r="C78" t="s">
        <v>329</v>
      </c>
      <c r="D78" t="s">
        <v>330</v>
      </c>
      <c r="E78" t="s">
        <v>38</v>
      </c>
    </row>
    <row r="79" spans="1:5">
      <c r="A79" t="s">
        <v>331</v>
      </c>
      <c r="B79" t="s">
        <v>332</v>
      </c>
      <c r="C79" t="s">
        <v>333</v>
      </c>
      <c r="D79" t="s">
        <v>334</v>
      </c>
      <c r="E79" t="s">
        <v>93</v>
      </c>
    </row>
    <row r="80" spans="1:5">
      <c r="A80" t="s">
        <v>335</v>
      </c>
      <c r="B80" t="s">
        <v>305</v>
      </c>
      <c r="C80" t="s">
        <v>336</v>
      </c>
      <c r="D80" t="s">
        <v>337</v>
      </c>
      <c r="E80" t="s">
        <v>60</v>
      </c>
    </row>
    <row r="81" spans="1:5">
      <c r="A81" t="s">
        <v>338</v>
      </c>
      <c r="B81" t="s">
        <v>339</v>
      </c>
      <c r="C81" t="s">
        <v>340</v>
      </c>
      <c r="D81" t="s">
        <v>341</v>
      </c>
      <c r="E81" t="s">
        <v>33</v>
      </c>
    </row>
    <row r="82" spans="1:5">
      <c r="A82" t="s">
        <v>342</v>
      </c>
      <c r="B82" t="s">
        <v>343</v>
      </c>
      <c r="C82" t="s">
        <v>344</v>
      </c>
      <c r="D82" t="s">
        <v>345</v>
      </c>
      <c r="E82" t="s">
        <v>43</v>
      </c>
    </row>
    <row r="83" spans="1:5">
      <c r="A83" t="s">
        <v>346</v>
      </c>
      <c r="B83" t="s">
        <v>347</v>
      </c>
      <c r="C83" t="s">
        <v>348</v>
      </c>
      <c r="D83" t="s">
        <v>349</v>
      </c>
      <c r="E83" t="s">
        <v>38</v>
      </c>
    </row>
    <row r="84" spans="1:5">
      <c r="A84" t="s">
        <v>350</v>
      </c>
      <c r="B84" t="s">
        <v>164</v>
      </c>
      <c r="C84" t="s">
        <v>351</v>
      </c>
      <c r="D84" t="s">
        <v>352</v>
      </c>
      <c r="E84" t="s">
        <v>23</v>
      </c>
    </row>
    <row r="85" spans="1:5">
      <c r="A85" t="s">
        <v>353</v>
      </c>
      <c r="B85" t="s">
        <v>354</v>
      </c>
      <c r="C85" t="s">
        <v>355</v>
      </c>
      <c r="D85" t="s">
        <v>356</v>
      </c>
      <c r="E85" t="s">
        <v>43</v>
      </c>
    </row>
    <row r="86" spans="1:5">
      <c r="A86" t="s">
        <v>357</v>
      </c>
      <c r="B86" t="s">
        <v>358</v>
      </c>
      <c r="C86" t="s">
        <v>359</v>
      </c>
      <c r="D86" t="s">
        <v>360</v>
      </c>
      <c r="E86" t="s">
        <v>60</v>
      </c>
    </row>
    <row r="87" spans="1:5">
      <c r="A87" t="s">
        <v>361</v>
      </c>
      <c r="B87" t="s">
        <v>362</v>
      </c>
      <c r="C87" t="s">
        <v>363</v>
      </c>
      <c r="D87" t="s">
        <v>364</v>
      </c>
      <c r="E87" t="s">
        <v>43</v>
      </c>
    </row>
    <row r="88" spans="1:5">
      <c r="A88" t="s">
        <v>365</v>
      </c>
      <c r="B88" t="s">
        <v>366</v>
      </c>
      <c r="C88" t="s">
        <v>367</v>
      </c>
      <c r="D88" t="s">
        <v>368</v>
      </c>
      <c r="E88" t="s">
        <v>28</v>
      </c>
    </row>
    <row r="89" spans="1:5">
      <c r="A89" t="s">
        <v>369</v>
      </c>
      <c r="B89" t="s">
        <v>370</v>
      </c>
      <c r="C89" t="s">
        <v>371</v>
      </c>
      <c r="D89" t="s">
        <v>372</v>
      </c>
      <c r="E89" t="s">
        <v>38</v>
      </c>
    </row>
    <row r="90" spans="1:5">
      <c r="A90" t="s">
        <v>373</v>
      </c>
      <c r="B90" t="s">
        <v>374</v>
      </c>
      <c r="C90" t="s">
        <v>375</v>
      </c>
      <c r="D90" t="s">
        <v>376</v>
      </c>
      <c r="E90" t="s">
        <v>117</v>
      </c>
    </row>
    <row r="91" spans="1:5">
      <c r="A91" t="s">
        <v>377</v>
      </c>
      <c r="B91" t="s">
        <v>378</v>
      </c>
      <c r="C91" t="s">
        <v>379</v>
      </c>
      <c r="D91" t="s">
        <v>380</v>
      </c>
      <c r="E91" t="s">
        <v>93</v>
      </c>
    </row>
    <row r="92" spans="1:5">
      <c r="A92" t="s">
        <v>381</v>
      </c>
      <c r="B92" t="s">
        <v>382</v>
      </c>
      <c r="C92" t="s">
        <v>383</v>
      </c>
      <c r="D92" t="s">
        <v>384</v>
      </c>
      <c r="E92" t="s">
        <v>38</v>
      </c>
    </row>
    <row r="93" spans="1:5">
      <c r="A93" t="s">
        <v>385</v>
      </c>
      <c r="B93" t="s">
        <v>386</v>
      </c>
      <c r="C93" t="s">
        <v>387</v>
      </c>
      <c r="D93" t="s">
        <v>388</v>
      </c>
      <c r="E93" t="s">
        <v>93</v>
      </c>
    </row>
    <row r="94" spans="1:5">
      <c r="A94" t="s">
        <v>389</v>
      </c>
      <c r="B94" t="s">
        <v>390</v>
      </c>
      <c r="C94" t="s">
        <v>391</v>
      </c>
      <c r="D94" t="s">
        <v>392</v>
      </c>
      <c r="E94" t="s">
        <v>28</v>
      </c>
    </row>
    <row r="95" spans="1:5">
      <c r="A95" t="s">
        <v>393</v>
      </c>
      <c r="B95" t="s">
        <v>394</v>
      </c>
      <c r="C95" t="s">
        <v>395</v>
      </c>
      <c r="D95" t="s">
        <v>396</v>
      </c>
      <c r="E95" t="s">
        <v>117</v>
      </c>
    </row>
    <row r="96" spans="1:5">
      <c r="A96" t="s">
        <v>397</v>
      </c>
      <c r="B96" t="s">
        <v>398</v>
      </c>
      <c r="C96" t="s">
        <v>399</v>
      </c>
      <c r="D96" t="s">
        <v>400</v>
      </c>
      <c r="E96" t="s">
        <v>146</v>
      </c>
    </row>
    <row r="97" spans="1:5">
      <c r="A97" t="s">
        <v>401</v>
      </c>
      <c r="B97" t="s">
        <v>402</v>
      </c>
      <c r="C97" t="s">
        <v>403</v>
      </c>
      <c r="D97" t="s">
        <v>404</v>
      </c>
      <c r="E97" t="s">
        <v>28</v>
      </c>
    </row>
    <row r="98" spans="1:5">
      <c r="A98" t="s">
        <v>405</v>
      </c>
      <c r="B98" t="s">
        <v>406</v>
      </c>
      <c r="C98" t="s">
        <v>407</v>
      </c>
      <c r="D98" t="s">
        <v>408</v>
      </c>
      <c r="E98" t="s">
        <v>28</v>
      </c>
    </row>
    <row r="99" spans="1:5">
      <c r="A99" t="s">
        <v>409</v>
      </c>
      <c r="B99" t="s">
        <v>410</v>
      </c>
      <c r="C99" t="s">
        <v>411</v>
      </c>
      <c r="D99" t="s">
        <v>412</v>
      </c>
      <c r="E99" t="s">
        <v>23</v>
      </c>
    </row>
    <row r="100" spans="1:5">
      <c r="A100" t="s">
        <v>413</v>
      </c>
      <c r="B100" t="s">
        <v>414</v>
      </c>
      <c r="C100" t="s">
        <v>415</v>
      </c>
      <c r="D100" t="s">
        <v>416</v>
      </c>
      <c r="E100" t="s">
        <v>146</v>
      </c>
    </row>
    <row r="101" spans="1:5">
      <c r="A101" t="s">
        <v>417</v>
      </c>
      <c r="B101" t="s">
        <v>418</v>
      </c>
      <c r="C101" t="s">
        <v>419</v>
      </c>
      <c r="D101" t="s">
        <v>420</v>
      </c>
      <c r="E101" t="s">
        <v>43</v>
      </c>
    </row>
    <row r="102" spans="1:5">
      <c r="A102" t="s">
        <v>421</v>
      </c>
      <c r="B102" t="s">
        <v>422</v>
      </c>
      <c r="C102" t="s">
        <v>423</v>
      </c>
      <c r="D102" t="s">
        <v>424</v>
      </c>
      <c r="E102" t="s">
        <v>33</v>
      </c>
    </row>
    <row r="103" spans="1:5">
      <c r="A103" t="s">
        <v>425</v>
      </c>
      <c r="B103" t="s">
        <v>426</v>
      </c>
      <c r="C103" t="s">
        <v>427</v>
      </c>
      <c r="D103" t="s">
        <v>428</v>
      </c>
      <c r="E103" t="s">
        <v>43</v>
      </c>
    </row>
    <row r="104" spans="1:5">
      <c r="A104" t="s">
        <v>429</v>
      </c>
      <c r="B104" t="s">
        <v>430</v>
      </c>
      <c r="C104" t="s">
        <v>431</v>
      </c>
      <c r="D104" t="s">
        <v>432</v>
      </c>
      <c r="E104" t="s">
        <v>23</v>
      </c>
    </row>
    <row r="105" spans="1:5">
      <c r="A105" t="s">
        <v>433</v>
      </c>
      <c r="B105" t="s">
        <v>434</v>
      </c>
      <c r="C105" t="s">
        <v>435</v>
      </c>
      <c r="D105" t="s">
        <v>436</v>
      </c>
      <c r="E105" t="s">
        <v>43</v>
      </c>
    </row>
    <row r="106" spans="1:5">
      <c r="A106" t="s">
        <v>437</v>
      </c>
      <c r="B106" t="s">
        <v>438</v>
      </c>
      <c r="C106" t="s">
        <v>439</v>
      </c>
      <c r="D106" t="s">
        <v>440</v>
      </c>
      <c r="E106" t="s">
        <v>93</v>
      </c>
    </row>
    <row r="107" spans="1:5">
      <c r="A107" t="s">
        <v>441</v>
      </c>
      <c r="B107" t="s">
        <v>442</v>
      </c>
      <c r="C107" t="s">
        <v>443</v>
      </c>
      <c r="D107" t="s">
        <v>444</v>
      </c>
      <c r="E107" t="s">
        <v>60</v>
      </c>
    </row>
    <row r="108" spans="1:5">
      <c r="A108" t="s">
        <v>445</v>
      </c>
      <c r="B108" t="s">
        <v>446</v>
      </c>
      <c r="C108" t="s">
        <v>447</v>
      </c>
      <c r="D108" t="s">
        <v>448</v>
      </c>
      <c r="E108" t="s">
        <v>28</v>
      </c>
    </row>
    <row r="109" spans="1:5">
      <c r="A109" t="s">
        <v>449</v>
      </c>
      <c r="B109" t="s">
        <v>343</v>
      </c>
      <c r="C109" t="s">
        <v>450</v>
      </c>
      <c r="D109" t="s">
        <v>451</v>
      </c>
      <c r="E109" t="s">
        <v>33</v>
      </c>
    </row>
    <row r="110" spans="1:5">
      <c r="A110" t="s">
        <v>452</v>
      </c>
      <c r="B110" t="s">
        <v>453</v>
      </c>
      <c r="C110" t="s">
        <v>454</v>
      </c>
      <c r="D110" t="s">
        <v>455</v>
      </c>
      <c r="E110" t="s">
        <v>43</v>
      </c>
    </row>
    <row r="111" spans="1:5">
      <c r="A111" t="s">
        <v>456</v>
      </c>
      <c r="B111" t="s">
        <v>457</v>
      </c>
      <c r="C111" t="s">
        <v>458</v>
      </c>
      <c r="D111" t="s">
        <v>459</v>
      </c>
      <c r="E111" t="s">
        <v>126</v>
      </c>
    </row>
    <row r="112" spans="1:5">
      <c r="A112" t="s">
        <v>460</v>
      </c>
      <c r="B112" t="s">
        <v>461</v>
      </c>
      <c r="C112" t="s">
        <v>462</v>
      </c>
      <c r="D112" t="s">
        <v>463</v>
      </c>
      <c r="E112" t="s">
        <v>43</v>
      </c>
    </row>
    <row r="113" spans="1:5">
      <c r="A113" t="s">
        <v>464</v>
      </c>
      <c r="B113" t="s">
        <v>465</v>
      </c>
      <c r="C113" t="s">
        <v>466</v>
      </c>
      <c r="D113" t="s">
        <v>467</v>
      </c>
      <c r="E113" t="s">
        <v>38</v>
      </c>
    </row>
    <row r="114" spans="1:5">
      <c r="A114" t="s">
        <v>468</v>
      </c>
      <c r="B114" t="s">
        <v>176</v>
      </c>
      <c r="C114" t="s">
        <v>469</v>
      </c>
      <c r="D114" t="s">
        <v>470</v>
      </c>
      <c r="E114" t="s">
        <v>28</v>
      </c>
    </row>
    <row r="115" spans="1:5">
      <c r="A115" t="s">
        <v>471</v>
      </c>
      <c r="B115" t="s">
        <v>472</v>
      </c>
      <c r="C115" t="s">
        <v>473</v>
      </c>
      <c r="D115" t="s">
        <v>474</v>
      </c>
      <c r="E115" t="s">
        <v>23</v>
      </c>
    </row>
    <row r="116" spans="1:5">
      <c r="A116" t="s">
        <v>475</v>
      </c>
      <c r="B116" t="s">
        <v>343</v>
      </c>
      <c r="C116" t="s">
        <v>476</v>
      </c>
      <c r="D116" t="s">
        <v>477</v>
      </c>
      <c r="E116" t="s">
        <v>23</v>
      </c>
    </row>
    <row r="117" spans="1:5">
      <c r="A117" t="s">
        <v>478</v>
      </c>
      <c r="B117" t="s">
        <v>422</v>
      </c>
      <c r="C117" t="s">
        <v>479</v>
      </c>
      <c r="D117" t="s">
        <v>480</v>
      </c>
      <c r="E117" t="s">
        <v>93</v>
      </c>
    </row>
    <row r="118" spans="1:5">
      <c r="A118" t="s">
        <v>481</v>
      </c>
      <c r="B118" t="s">
        <v>482</v>
      </c>
      <c r="C118" t="s">
        <v>483</v>
      </c>
      <c r="D118" t="s">
        <v>484</v>
      </c>
      <c r="E118" t="s">
        <v>117</v>
      </c>
    </row>
    <row r="119" spans="1:5">
      <c r="A119" t="s">
        <v>485</v>
      </c>
      <c r="B119" t="s">
        <v>486</v>
      </c>
      <c r="C119" t="s">
        <v>487</v>
      </c>
      <c r="D119" t="s">
        <v>488</v>
      </c>
      <c r="E119" t="s">
        <v>33</v>
      </c>
    </row>
    <row r="120" spans="1:5">
      <c r="A120" t="s">
        <v>489</v>
      </c>
      <c r="B120" t="s">
        <v>490</v>
      </c>
      <c r="C120" t="s">
        <v>491</v>
      </c>
      <c r="D120" t="s">
        <v>492</v>
      </c>
      <c r="E120" t="s">
        <v>38</v>
      </c>
    </row>
    <row r="121" spans="1:5">
      <c r="A121" t="s">
        <v>493</v>
      </c>
      <c r="B121" t="s">
        <v>494</v>
      </c>
      <c r="C121" t="s">
        <v>495</v>
      </c>
      <c r="D121" t="s">
        <v>496</v>
      </c>
      <c r="E121" t="s">
        <v>38</v>
      </c>
    </row>
    <row r="122" spans="1:5">
      <c r="A122" t="s">
        <v>497</v>
      </c>
      <c r="B122" t="s">
        <v>309</v>
      </c>
      <c r="C122" t="s">
        <v>498</v>
      </c>
      <c r="D122" t="s">
        <v>499</v>
      </c>
      <c r="E122" t="s">
        <v>23</v>
      </c>
    </row>
    <row r="123" spans="1:5">
      <c r="A123" t="s">
        <v>500</v>
      </c>
      <c r="B123" t="s">
        <v>501</v>
      </c>
      <c r="C123" t="s">
        <v>502</v>
      </c>
      <c r="D123" t="s">
        <v>503</v>
      </c>
      <c r="E123" t="s">
        <v>28</v>
      </c>
    </row>
    <row r="124" spans="1:5">
      <c r="A124" t="s">
        <v>504</v>
      </c>
      <c r="B124" t="s">
        <v>505</v>
      </c>
      <c r="C124" t="s">
        <v>506</v>
      </c>
      <c r="D124" t="s">
        <v>507</v>
      </c>
      <c r="E124" t="s">
        <v>23</v>
      </c>
    </row>
    <row r="125" spans="1:5">
      <c r="A125" t="s">
        <v>508</v>
      </c>
      <c r="B125" t="s">
        <v>509</v>
      </c>
      <c r="C125" t="s">
        <v>510</v>
      </c>
      <c r="D125" t="s">
        <v>511</v>
      </c>
      <c r="E125" t="s">
        <v>43</v>
      </c>
    </row>
    <row r="126" spans="1:5">
      <c r="A126" t="s">
        <v>512</v>
      </c>
      <c r="B126" t="s">
        <v>513</v>
      </c>
      <c r="C126" t="s">
        <v>514</v>
      </c>
      <c r="D126" t="s">
        <v>515</v>
      </c>
      <c r="E126" t="s">
        <v>23</v>
      </c>
    </row>
    <row r="127" spans="1:5">
      <c r="A127" t="s">
        <v>516</v>
      </c>
      <c r="B127" t="s">
        <v>517</v>
      </c>
      <c r="C127" t="s">
        <v>518</v>
      </c>
      <c r="D127" t="s">
        <v>519</v>
      </c>
      <c r="E127" t="s">
        <v>93</v>
      </c>
    </row>
    <row r="128" spans="1:5">
      <c r="A128" t="s">
        <v>520</v>
      </c>
      <c r="B128" t="s">
        <v>258</v>
      </c>
      <c r="C128" t="s">
        <v>521</v>
      </c>
      <c r="D128" t="s">
        <v>522</v>
      </c>
      <c r="E128" t="s">
        <v>93</v>
      </c>
    </row>
    <row r="129" spans="1:5">
      <c r="A129" t="s">
        <v>523</v>
      </c>
      <c r="B129" t="s">
        <v>524</v>
      </c>
      <c r="C129" t="s">
        <v>525</v>
      </c>
      <c r="D129" t="s">
        <v>526</v>
      </c>
      <c r="E129" t="s">
        <v>93</v>
      </c>
    </row>
    <row r="130" spans="1:5">
      <c r="A130" t="s">
        <v>527</v>
      </c>
      <c r="B130" t="s">
        <v>528</v>
      </c>
      <c r="C130" t="s">
        <v>529</v>
      </c>
      <c r="D130" t="s">
        <v>530</v>
      </c>
      <c r="E130" t="s">
        <v>117</v>
      </c>
    </row>
    <row r="131" spans="1:5">
      <c r="A131" t="s">
        <v>531</v>
      </c>
      <c r="B131" t="s">
        <v>532</v>
      </c>
      <c r="C131" t="s">
        <v>533</v>
      </c>
      <c r="D131" t="s">
        <v>534</v>
      </c>
      <c r="E131" t="s">
        <v>43</v>
      </c>
    </row>
    <row r="132" spans="1:5">
      <c r="A132" t="s">
        <v>535</v>
      </c>
      <c r="B132" t="s">
        <v>513</v>
      </c>
      <c r="C132" t="s">
        <v>536</v>
      </c>
      <c r="D132" t="s">
        <v>537</v>
      </c>
      <c r="E132" t="s">
        <v>33</v>
      </c>
    </row>
    <row r="133" spans="1:5">
      <c r="A133" t="s">
        <v>538</v>
      </c>
      <c r="B133" t="s">
        <v>539</v>
      </c>
      <c r="C133" t="s">
        <v>540</v>
      </c>
      <c r="D133" t="s">
        <v>541</v>
      </c>
      <c r="E133" t="s">
        <v>93</v>
      </c>
    </row>
    <row r="134" spans="1:5">
      <c r="A134" t="s">
        <v>542</v>
      </c>
      <c r="B134" t="s">
        <v>543</v>
      </c>
      <c r="C134" t="s">
        <v>544</v>
      </c>
      <c r="D134" t="s">
        <v>545</v>
      </c>
      <c r="E134" t="s">
        <v>93</v>
      </c>
    </row>
    <row r="135" spans="1:5">
      <c r="A135" t="s">
        <v>546</v>
      </c>
      <c r="B135" t="s">
        <v>547</v>
      </c>
      <c r="C135" t="s">
        <v>548</v>
      </c>
      <c r="D135" t="s">
        <v>549</v>
      </c>
      <c r="E135" t="s">
        <v>117</v>
      </c>
    </row>
    <row r="136" spans="1:5">
      <c r="A136" t="s">
        <v>550</v>
      </c>
      <c r="B136" t="s">
        <v>551</v>
      </c>
      <c r="C136" t="s">
        <v>552</v>
      </c>
      <c r="D136" t="s">
        <v>553</v>
      </c>
      <c r="E136" t="s">
        <v>28</v>
      </c>
    </row>
    <row r="137" spans="1:5">
      <c r="A137" t="s">
        <v>554</v>
      </c>
      <c r="B137" t="s">
        <v>555</v>
      </c>
      <c r="C137" t="s">
        <v>556</v>
      </c>
      <c r="D137" t="s">
        <v>557</v>
      </c>
      <c r="E137" t="s">
        <v>117</v>
      </c>
    </row>
    <row r="138" spans="1:5">
      <c r="A138" t="s">
        <v>558</v>
      </c>
      <c r="B138" t="s">
        <v>559</v>
      </c>
      <c r="C138" t="s">
        <v>560</v>
      </c>
      <c r="D138" t="s">
        <v>561</v>
      </c>
      <c r="E138" t="s">
        <v>43</v>
      </c>
    </row>
    <row r="139" spans="1:5">
      <c r="A139" t="s">
        <v>562</v>
      </c>
      <c r="B139" t="s">
        <v>563</v>
      </c>
      <c r="C139" t="s">
        <v>564</v>
      </c>
      <c r="D139" t="s">
        <v>565</v>
      </c>
      <c r="E139" t="s">
        <v>146</v>
      </c>
    </row>
    <row r="140" spans="1:5">
      <c r="A140" t="s">
        <v>566</v>
      </c>
      <c r="B140" t="s">
        <v>567</v>
      </c>
      <c r="C140" t="s">
        <v>568</v>
      </c>
      <c r="D140" t="s">
        <v>569</v>
      </c>
      <c r="E140" t="s">
        <v>117</v>
      </c>
    </row>
    <row r="141" spans="1:5">
      <c r="A141" t="s">
        <v>570</v>
      </c>
      <c r="B141" t="s">
        <v>571</v>
      </c>
      <c r="C141" t="s">
        <v>572</v>
      </c>
      <c r="D141" t="s">
        <v>573</v>
      </c>
      <c r="E141" t="s">
        <v>60</v>
      </c>
    </row>
    <row r="142" spans="1:5">
      <c r="A142" t="s">
        <v>574</v>
      </c>
      <c r="B142" t="s">
        <v>575</v>
      </c>
      <c r="C142" t="s">
        <v>576</v>
      </c>
      <c r="D142" t="s">
        <v>577</v>
      </c>
      <c r="E142" t="s">
        <v>126</v>
      </c>
    </row>
    <row r="143" spans="1:5">
      <c r="A143" t="s">
        <v>578</v>
      </c>
      <c r="B143" t="s">
        <v>579</v>
      </c>
      <c r="C143" t="s">
        <v>580</v>
      </c>
      <c r="D143" t="s">
        <v>581</v>
      </c>
      <c r="E143" t="s">
        <v>93</v>
      </c>
    </row>
    <row r="144" spans="1:5">
      <c r="A144" t="s">
        <v>582</v>
      </c>
      <c r="B144" t="s">
        <v>74</v>
      </c>
      <c r="C144" t="s">
        <v>583</v>
      </c>
      <c r="D144" t="s">
        <v>584</v>
      </c>
      <c r="E144" t="s">
        <v>28</v>
      </c>
    </row>
    <row r="145" spans="1:5">
      <c r="A145" t="s">
        <v>585</v>
      </c>
      <c r="B145" t="s">
        <v>586</v>
      </c>
      <c r="C145" t="s">
        <v>587</v>
      </c>
      <c r="D145" t="s">
        <v>588</v>
      </c>
      <c r="E145" t="s">
        <v>117</v>
      </c>
    </row>
    <row r="146" spans="1:5">
      <c r="A146" t="s">
        <v>589</v>
      </c>
      <c r="B146" t="s">
        <v>590</v>
      </c>
      <c r="C146" t="s">
        <v>591</v>
      </c>
      <c r="D146" t="s">
        <v>592</v>
      </c>
      <c r="E146" t="s">
        <v>28</v>
      </c>
    </row>
    <row r="147" spans="1:5">
      <c r="A147" t="s">
        <v>593</v>
      </c>
      <c r="B147" t="s">
        <v>309</v>
      </c>
      <c r="C147" t="s">
        <v>594</v>
      </c>
      <c r="D147" t="s">
        <v>595</v>
      </c>
      <c r="E147" t="s">
        <v>93</v>
      </c>
    </row>
    <row r="148" spans="1:5">
      <c r="A148" t="s">
        <v>596</v>
      </c>
      <c r="B148" t="s">
        <v>597</v>
      </c>
      <c r="C148" t="s">
        <v>598</v>
      </c>
      <c r="D148" t="s">
        <v>599</v>
      </c>
      <c r="E148" t="s">
        <v>43</v>
      </c>
    </row>
    <row r="149" spans="1:5">
      <c r="A149" t="s">
        <v>600</v>
      </c>
      <c r="B149" t="s">
        <v>601</v>
      </c>
      <c r="C149" t="s">
        <v>602</v>
      </c>
      <c r="D149" t="s">
        <v>603</v>
      </c>
      <c r="E149" t="s">
        <v>28</v>
      </c>
    </row>
    <row r="150" spans="1:5">
      <c r="A150" t="s">
        <v>604</v>
      </c>
      <c r="B150" t="s">
        <v>605</v>
      </c>
      <c r="C150" t="s">
        <v>606</v>
      </c>
      <c r="D150" t="s">
        <v>607</v>
      </c>
      <c r="E150" t="s">
        <v>117</v>
      </c>
    </row>
    <row r="151" spans="1:5">
      <c r="A151" t="s">
        <v>608</v>
      </c>
      <c r="B151" t="s">
        <v>609</v>
      </c>
      <c r="C151" t="s">
        <v>610</v>
      </c>
      <c r="D151" t="s">
        <v>611</v>
      </c>
      <c r="E151" t="s">
        <v>117</v>
      </c>
    </row>
    <row r="152" spans="1:5">
      <c r="A152" t="s">
        <v>612</v>
      </c>
      <c r="B152" t="s">
        <v>613</v>
      </c>
      <c r="C152" t="s">
        <v>614</v>
      </c>
      <c r="D152" t="s">
        <v>615</v>
      </c>
      <c r="E152" t="s">
        <v>38</v>
      </c>
    </row>
    <row r="153" spans="1:5">
      <c r="A153" t="s">
        <v>616</v>
      </c>
      <c r="B153" t="s">
        <v>617</v>
      </c>
      <c r="C153" t="s">
        <v>618</v>
      </c>
      <c r="D153" t="s">
        <v>619</v>
      </c>
      <c r="E153" t="s">
        <v>23</v>
      </c>
    </row>
    <row r="154" spans="1:5">
      <c r="A154" t="s">
        <v>620</v>
      </c>
      <c r="B154" t="s">
        <v>301</v>
      </c>
      <c r="C154" t="s">
        <v>621</v>
      </c>
      <c r="D154" t="s">
        <v>622</v>
      </c>
      <c r="E154" t="s">
        <v>38</v>
      </c>
    </row>
    <row r="155" spans="1:5">
      <c r="A155" t="s">
        <v>623</v>
      </c>
      <c r="B155" t="s">
        <v>624</v>
      </c>
      <c r="C155" t="s">
        <v>625</v>
      </c>
      <c r="D155" t="s">
        <v>626</v>
      </c>
      <c r="E155" t="s">
        <v>43</v>
      </c>
    </row>
    <row r="156" spans="1:5">
      <c r="A156" t="s">
        <v>627</v>
      </c>
      <c r="B156" t="s">
        <v>98</v>
      </c>
      <c r="C156" t="s">
        <v>628</v>
      </c>
      <c r="D156" t="s">
        <v>629</v>
      </c>
      <c r="E156" t="s">
        <v>60</v>
      </c>
    </row>
    <row r="157" spans="1:5">
      <c r="A157" t="s">
        <v>630</v>
      </c>
      <c r="B157" t="s">
        <v>631</v>
      </c>
      <c r="C157" t="s">
        <v>632</v>
      </c>
      <c r="D157" t="s">
        <v>633</v>
      </c>
      <c r="E157" t="s">
        <v>43</v>
      </c>
    </row>
    <row r="158" spans="1:5">
      <c r="A158" t="s">
        <v>634</v>
      </c>
      <c r="B158" t="s">
        <v>635</v>
      </c>
      <c r="C158" t="s">
        <v>636</v>
      </c>
      <c r="D158" t="s">
        <v>637</v>
      </c>
      <c r="E158" t="s">
        <v>117</v>
      </c>
    </row>
    <row r="159" spans="1:5">
      <c r="A159" t="s">
        <v>638</v>
      </c>
      <c r="B159" t="s">
        <v>386</v>
      </c>
      <c r="C159" t="s">
        <v>639</v>
      </c>
      <c r="D159" t="s">
        <v>640</v>
      </c>
      <c r="E159" t="s">
        <v>93</v>
      </c>
    </row>
    <row r="160" spans="1:5">
      <c r="A160" t="s">
        <v>641</v>
      </c>
      <c r="B160" t="s">
        <v>642</v>
      </c>
      <c r="C160" t="s">
        <v>643</v>
      </c>
      <c r="D160" t="s">
        <v>644</v>
      </c>
      <c r="E160" t="s">
        <v>38</v>
      </c>
    </row>
    <row r="161" spans="1:5">
      <c r="A161" t="s">
        <v>645</v>
      </c>
      <c r="B161" t="s">
        <v>646</v>
      </c>
      <c r="C161" t="s">
        <v>647</v>
      </c>
      <c r="D161" t="s">
        <v>648</v>
      </c>
      <c r="E161" t="s">
        <v>93</v>
      </c>
    </row>
    <row r="162" spans="1:5">
      <c r="A162" t="s">
        <v>649</v>
      </c>
      <c r="B162" t="s">
        <v>650</v>
      </c>
      <c r="C162" t="s">
        <v>651</v>
      </c>
      <c r="D162" t="s">
        <v>652</v>
      </c>
      <c r="E162" t="s">
        <v>93</v>
      </c>
    </row>
    <row r="163" spans="1:5">
      <c r="A163" t="s">
        <v>653</v>
      </c>
      <c r="B163" t="s">
        <v>654</v>
      </c>
      <c r="C163" t="s">
        <v>655</v>
      </c>
      <c r="D163" t="s">
        <v>656</v>
      </c>
      <c r="E163" t="s">
        <v>117</v>
      </c>
    </row>
    <row r="164" spans="1:5">
      <c r="A164" t="s">
        <v>657</v>
      </c>
      <c r="B164" t="s">
        <v>658</v>
      </c>
      <c r="C164" t="s">
        <v>659</v>
      </c>
      <c r="D164" t="s">
        <v>660</v>
      </c>
      <c r="E164" t="s">
        <v>126</v>
      </c>
    </row>
    <row r="165" spans="1:5">
      <c r="A165" t="s">
        <v>661</v>
      </c>
      <c r="B165" t="s">
        <v>662</v>
      </c>
      <c r="C165" t="s">
        <v>663</v>
      </c>
      <c r="D165" t="s">
        <v>664</v>
      </c>
      <c r="E165" t="s">
        <v>28</v>
      </c>
    </row>
    <row r="166" spans="1:5">
      <c r="A166" t="s">
        <v>665</v>
      </c>
      <c r="B166" t="s">
        <v>20</v>
      </c>
      <c r="C166" t="s">
        <v>666</v>
      </c>
      <c r="D166" t="s">
        <v>667</v>
      </c>
      <c r="E166" t="s">
        <v>38</v>
      </c>
    </row>
    <row r="167" spans="1:5">
      <c r="A167" t="s">
        <v>668</v>
      </c>
      <c r="B167" t="s">
        <v>669</v>
      </c>
      <c r="C167" t="s">
        <v>670</v>
      </c>
      <c r="D167" t="s">
        <v>671</v>
      </c>
      <c r="E167" t="s">
        <v>38</v>
      </c>
    </row>
    <row r="168" spans="1:5">
      <c r="A168" t="s">
        <v>672</v>
      </c>
      <c r="B168" t="s">
        <v>673</v>
      </c>
      <c r="C168" t="s">
        <v>674</v>
      </c>
      <c r="D168" t="s">
        <v>675</v>
      </c>
      <c r="E168" t="s">
        <v>146</v>
      </c>
    </row>
    <row r="169" spans="1:5">
      <c r="A169" t="s">
        <v>676</v>
      </c>
      <c r="B169" t="s">
        <v>677</v>
      </c>
      <c r="C169" t="s">
        <v>678</v>
      </c>
      <c r="D169" t="s">
        <v>679</v>
      </c>
      <c r="E169" t="s">
        <v>126</v>
      </c>
    </row>
    <row r="170" spans="1:5">
      <c r="A170" t="s">
        <v>680</v>
      </c>
      <c r="B170" t="s">
        <v>681</v>
      </c>
      <c r="C170" t="s">
        <v>682</v>
      </c>
      <c r="D170" t="s">
        <v>683</v>
      </c>
      <c r="E170" t="s">
        <v>23</v>
      </c>
    </row>
    <row r="171" spans="1:5">
      <c r="A171" t="s">
        <v>684</v>
      </c>
      <c r="B171" t="s">
        <v>685</v>
      </c>
      <c r="C171" t="s">
        <v>686</v>
      </c>
      <c r="D171" t="s">
        <v>687</v>
      </c>
      <c r="E171" t="s">
        <v>60</v>
      </c>
    </row>
    <row r="172" spans="1:5">
      <c r="A172" t="s">
        <v>688</v>
      </c>
      <c r="B172" t="s">
        <v>567</v>
      </c>
      <c r="C172" t="s">
        <v>689</v>
      </c>
      <c r="D172" t="s">
        <v>690</v>
      </c>
      <c r="E172" t="s">
        <v>28</v>
      </c>
    </row>
    <row r="173" spans="1:5">
      <c r="A173" t="s">
        <v>691</v>
      </c>
      <c r="B173" t="s">
        <v>692</v>
      </c>
      <c r="C173" t="s">
        <v>693</v>
      </c>
      <c r="D173" t="s">
        <v>694</v>
      </c>
      <c r="E173" t="s">
        <v>146</v>
      </c>
    </row>
    <row r="174" spans="1:5">
      <c r="A174" t="s">
        <v>695</v>
      </c>
      <c r="B174" t="s">
        <v>119</v>
      </c>
      <c r="C174" t="s">
        <v>696</v>
      </c>
      <c r="D174" t="s">
        <v>697</v>
      </c>
      <c r="E174" t="s">
        <v>28</v>
      </c>
    </row>
    <row r="175" spans="1:5">
      <c r="A175" t="s">
        <v>698</v>
      </c>
      <c r="B175" t="s">
        <v>699</v>
      </c>
      <c r="C175" t="s">
        <v>700</v>
      </c>
      <c r="D175" t="s">
        <v>701</v>
      </c>
      <c r="E175" t="s">
        <v>146</v>
      </c>
    </row>
    <row r="176" spans="1:5">
      <c r="A176" t="s">
        <v>702</v>
      </c>
      <c r="B176" t="s">
        <v>703</v>
      </c>
      <c r="C176" t="s">
        <v>704</v>
      </c>
      <c r="D176" t="s">
        <v>705</v>
      </c>
      <c r="E176" t="s">
        <v>60</v>
      </c>
    </row>
    <row r="177" spans="1:5">
      <c r="A177" t="s">
        <v>706</v>
      </c>
      <c r="B177" t="s">
        <v>82</v>
      </c>
      <c r="C177" t="s">
        <v>707</v>
      </c>
      <c r="D177" t="s">
        <v>708</v>
      </c>
      <c r="E177" t="s">
        <v>146</v>
      </c>
    </row>
    <row r="178" spans="1:5">
      <c r="A178" t="s">
        <v>709</v>
      </c>
      <c r="B178" t="s">
        <v>699</v>
      </c>
      <c r="C178" t="s">
        <v>710</v>
      </c>
      <c r="D178" t="s">
        <v>711</v>
      </c>
      <c r="E178" t="s">
        <v>146</v>
      </c>
    </row>
    <row r="179" spans="1:5">
      <c r="A179" t="s">
        <v>712</v>
      </c>
      <c r="B179" t="s">
        <v>713</v>
      </c>
      <c r="C179" t="s">
        <v>714</v>
      </c>
      <c r="D179" t="s">
        <v>715</v>
      </c>
      <c r="E179" t="s">
        <v>93</v>
      </c>
    </row>
    <row r="180" spans="1:5">
      <c r="A180" t="s">
        <v>716</v>
      </c>
      <c r="B180" t="s">
        <v>40</v>
      </c>
      <c r="C180" t="s">
        <v>717</v>
      </c>
      <c r="D180" t="s">
        <v>718</v>
      </c>
      <c r="E180" t="s">
        <v>117</v>
      </c>
    </row>
    <row r="181" spans="1:5">
      <c r="A181" t="s">
        <v>719</v>
      </c>
      <c r="B181" t="s">
        <v>720</v>
      </c>
      <c r="C181" t="s">
        <v>721</v>
      </c>
      <c r="D181" t="s">
        <v>722</v>
      </c>
      <c r="E181" t="s">
        <v>38</v>
      </c>
    </row>
    <row r="182" spans="1:5">
      <c r="A182" t="s">
        <v>723</v>
      </c>
      <c r="B182" t="s">
        <v>724</v>
      </c>
      <c r="C182" t="s">
        <v>725</v>
      </c>
      <c r="D182" t="s">
        <v>726</v>
      </c>
      <c r="E182" t="s">
        <v>146</v>
      </c>
    </row>
    <row r="183" spans="1:5">
      <c r="A183" t="s">
        <v>727</v>
      </c>
      <c r="B183" t="s">
        <v>728</v>
      </c>
      <c r="C183" t="s">
        <v>729</v>
      </c>
      <c r="D183" t="s">
        <v>730</v>
      </c>
      <c r="E183" t="s">
        <v>93</v>
      </c>
    </row>
    <row r="184" spans="1:5">
      <c r="A184" t="s">
        <v>731</v>
      </c>
      <c r="B184" t="s">
        <v>732</v>
      </c>
      <c r="C184" t="s">
        <v>733</v>
      </c>
      <c r="D184" t="s">
        <v>734</v>
      </c>
      <c r="E184" t="s">
        <v>126</v>
      </c>
    </row>
    <row r="185" spans="1:5">
      <c r="A185" t="s">
        <v>735</v>
      </c>
      <c r="B185" t="s">
        <v>736</v>
      </c>
      <c r="C185" t="s">
        <v>737</v>
      </c>
      <c r="D185" t="s">
        <v>738</v>
      </c>
      <c r="E185" t="s">
        <v>43</v>
      </c>
    </row>
    <row r="186" spans="1:5">
      <c r="A186" t="s">
        <v>739</v>
      </c>
      <c r="B186" t="s">
        <v>740</v>
      </c>
      <c r="C186" t="s">
        <v>741</v>
      </c>
      <c r="D186" t="s">
        <v>742</v>
      </c>
      <c r="E186" t="s">
        <v>146</v>
      </c>
    </row>
    <row r="187" spans="1:5">
      <c r="A187" t="s">
        <v>743</v>
      </c>
      <c r="B187" t="s">
        <v>744</v>
      </c>
      <c r="C187" t="s">
        <v>745</v>
      </c>
      <c r="D187" t="s">
        <v>746</v>
      </c>
      <c r="E187" t="s">
        <v>38</v>
      </c>
    </row>
    <row r="188" spans="1:5">
      <c r="A188" t="s">
        <v>747</v>
      </c>
      <c r="B188" t="s">
        <v>406</v>
      </c>
      <c r="C188" t="s">
        <v>748</v>
      </c>
      <c r="D188" t="s">
        <v>749</v>
      </c>
      <c r="E188" t="s">
        <v>126</v>
      </c>
    </row>
    <row r="189" spans="1:5">
      <c r="A189" t="s">
        <v>750</v>
      </c>
      <c r="B189" t="s">
        <v>751</v>
      </c>
      <c r="C189" t="s">
        <v>752</v>
      </c>
      <c r="D189" t="s">
        <v>753</v>
      </c>
      <c r="E189" t="s">
        <v>126</v>
      </c>
    </row>
    <row r="190" spans="1:5">
      <c r="A190" t="s">
        <v>754</v>
      </c>
      <c r="B190" t="s">
        <v>755</v>
      </c>
      <c r="C190" t="s">
        <v>756</v>
      </c>
      <c r="D190" t="s">
        <v>757</v>
      </c>
      <c r="E190" t="s">
        <v>33</v>
      </c>
    </row>
    <row r="191" spans="1:5">
      <c r="A191" t="s">
        <v>758</v>
      </c>
      <c r="B191" t="s">
        <v>453</v>
      </c>
      <c r="C191" t="s">
        <v>759</v>
      </c>
      <c r="D191" t="s">
        <v>760</v>
      </c>
      <c r="E191" t="s">
        <v>117</v>
      </c>
    </row>
    <row r="192" spans="1:5">
      <c r="A192" t="s">
        <v>761</v>
      </c>
      <c r="B192" t="s">
        <v>762</v>
      </c>
      <c r="C192" t="s">
        <v>763</v>
      </c>
      <c r="D192" t="s">
        <v>764</v>
      </c>
      <c r="E192" t="s">
        <v>23</v>
      </c>
    </row>
    <row r="193" spans="1:5">
      <c r="A193" t="s">
        <v>765</v>
      </c>
      <c r="B193" t="s">
        <v>766</v>
      </c>
      <c r="C193" t="s">
        <v>767</v>
      </c>
      <c r="D193" t="s">
        <v>768</v>
      </c>
      <c r="E193" t="s">
        <v>28</v>
      </c>
    </row>
    <row r="194" spans="1:5">
      <c r="A194" t="s">
        <v>769</v>
      </c>
      <c r="B194" t="s">
        <v>370</v>
      </c>
      <c r="C194" t="s">
        <v>770</v>
      </c>
      <c r="D194" t="s">
        <v>771</v>
      </c>
      <c r="E194" t="s">
        <v>117</v>
      </c>
    </row>
    <row r="195" spans="1:5">
      <c r="A195" t="s">
        <v>772</v>
      </c>
      <c r="B195" t="s">
        <v>773</v>
      </c>
      <c r="C195" t="s">
        <v>774</v>
      </c>
      <c r="D195" t="s">
        <v>775</v>
      </c>
      <c r="E195" t="s">
        <v>117</v>
      </c>
    </row>
    <row r="196" spans="1:5">
      <c r="A196" t="s">
        <v>776</v>
      </c>
      <c r="B196" t="s">
        <v>777</v>
      </c>
      <c r="C196" t="s">
        <v>778</v>
      </c>
      <c r="D196" t="s">
        <v>779</v>
      </c>
      <c r="E196" t="s">
        <v>38</v>
      </c>
    </row>
    <row r="197" spans="1:5">
      <c r="A197" t="s">
        <v>780</v>
      </c>
      <c r="B197" t="s">
        <v>781</v>
      </c>
      <c r="C197" t="s">
        <v>782</v>
      </c>
      <c r="D197" t="s">
        <v>783</v>
      </c>
      <c r="E197" t="s">
        <v>117</v>
      </c>
    </row>
    <row r="198" spans="1:5">
      <c r="A198" t="s">
        <v>784</v>
      </c>
      <c r="B198" t="s">
        <v>785</v>
      </c>
      <c r="C198" t="s">
        <v>786</v>
      </c>
      <c r="D198" t="s">
        <v>787</v>
      </c>
      <c r="E198" t="s">
        <v>146</v>
      </c>
    </row>
    <row r="199" spans="1:5">
      <c r="A199" t="s">
        <v>788</v>
      </c>
      <c r="B199" t="s">
        <v>789</v>
      </c>
      <c r="C199" t="s">
        <v>790</v>
      </c>
      <c r="D199" t="s">
        <v>791</v>
      </c>
      <c r="E199" t="s">
        <v>38</v>
      </c>
    </row>
    <row r="200" spans="1:5">
      <c r="A200" t="s">
        <v>792</v>
      </c>
      <c r="B200" t="s">
        <v>793</v>
      </c>
      <c r="C200" t="s">
        <v>794</v>
      </c>
      <c r="D200" t="s">
        <v>795</v>
      </c>
      <c r="E200" t="s">
        <v>23</v>
      </c>
    </row>
    <row r="201" spans="1:5">
      <c r="A201" t="s">
        <v>796</v>
      </c>
      <c r="B201" t="s">
        <v>418</v>
      </c>
      <c r="C201" t="s">
        <v>797</v>
      </c>
      <c r="D201" t="s">
        <v>798</v>
      </c>
      <c r="E201" t="s">
        <v>60</v>
      </c>
    </row>
    <row r="202" spans="1:5">
      <c r="A202" t="s">
        <v>799</v>
      </c>
      <c r="B202" t="s">
        <v>800</v>
      </c>
      <c r="C202" t="s">
        <v>801</v>
      </c>
      <c r="D202" t="s">
        <v>802</v>
      </c>
      <c r="E202" t="s">
        <v>126</v>
      </c>
    </row>
    <row r="203" spans="1:5">
      <c r="A203" t="s">
        <v>803</v>
      </c>
      <c r="B203" t="s">
        <v>35</v>
      </c>
      <c r="C203" t="s">
        <v>804</v>
      </c>
      <c r="D203" t="s">
        <v>805</v>
      </c>
      <c r="E203" t="s">
        <v>43</v>
      </c>
    </row>
    <row r="204" spans="1:5">
      <c r="A204" t="s">
        <v>806</v>
      </c>
      <c r="B204" t="s">
        <v>807</v>
      </c>
      <c r="C204" t="s">
        <v>808</v>
      </c>
      <c r="D204" t="s">
        <v>809</v>
      </c>
      <c r="E204" t="s">
        <v>60</v>
      </c>
    </row>
    <row r="205" spans="1:5">
      <c r="A205" t="s">
        <v>810</v>
      </c>
      <c r="B205" t="s">
        <v>811</v>
      </c>
      <c r="C205" t="s">
        <v>812</v>
      </c>
      <c r="D205" t="s">
        <v>813</v>
      </c>
      <c r="E205" t="s">
        <v>93</v>
      </c>
    </row>
    <row r="206" spans="1:5">
      <c r="A206" t="s">
        <v>814</v>
      </c>
      <c r="B206" t="s">
        <v>815</v>
      </c>
      <c r="C206" t="s">
        <v>816</v>
      </c>
      <c r="D206" t="s">
        <v>817</v>
      </c>
      <c r="E206" t="s">
        <v>23</v>
      </c>
    </row>
    <row r="207" spans="1:5">
      <c r="A207" t="s">
        <v>818</v>
      </c>
      <c r="B207" t="s">
        <v>819</v>
      </c>
      <c r="C207" t="s">
        <v>820</v>
      </c>
      <c r="D207" t="s">
        <v>821</v>
      </c>
      <c r="E207" t="s">
        <v>146</v>
      </c>
    </row>
    <row r="208" spans="1:5">
      <c r="A208" t="s">
        <v>822</v>
      </c>
      <c r="B208" t="s">
        <v>823</v>
      </c>
      <c r="C208" t="s">
        <v>824</v>
      </c>
      <c r="D208" t="s">
        <v>825</v>
      </c>
      <c r="E208" t="s">
        <v>93</v>
      </c>
    </row>
    <row r="209" spans="1:5">
      <c r="A209" t="s">
        <v>826</v>
      </c>
      <c r="B209" t="s">
        <v>827</v>
      </c>
      <c r="C209" t="s">
        <v>828</v>
      </c>
      <c r="D209" t="s">
        <v>829</v>
      </c>
      <c r="E209" t="s">
        <v>117</v>
      </c>
    </row>
    <row r="210" spans="1:5">
      <c r="A210" t="s">
        <v>830</v>
      </c>
      <c r="B210" t="s">
        <v>831</v>
      </c>
      <c r="C210" t="s">
        <v>832</v>
      </c>
      <c r="D210" t="s">
        <v>833</v>
      </c>
      <c r="E210" t="s">
        <v>38</v>
      </c>
    </row>
    <row r="211" spans="1:5">
      <c r="A211" t="s">
        <v>834</v>
      </c>
      <c r="B211" t="s">
        <v>238</v>
      </c>
      <c r="C211" t="s">
        <v>835</v>
      </c>
      <c r="D211" t="s">
        <v>836</v>
      </c>
      <c r="E211" t="s">
        <v>43</v>
      </c>
    </row>
    <row r="212" spans="1:5">
      <c r="A212" t="s">
        <v>837</v>
      </c>
      <c r="B212" t="s">
        <v>838</v>
      </c>
      <c r="C212" t="s">
        <v>839</v>
      </c>
      <c r="D212" t="s">
        <v>840</v>
      </c>
      <c r="E212" t="s">
        <v>23</v>
      </c>
    </row>
    <row r="213" spans="1:5">
      <c r="A213" t="s">
        <v>841</v>
      </c>
      <c r="B213" t="s">
        <v>842</v>
      </c>
      <c r="C213" t="s">
        <v>843</v>
      </c>
      <c r="D213" t="s">
        <v>844</v>
      </c>
      <c r="E213" t="s">
        <v>117</v>
      </c>
    </row>
    <row r="214" spans="1:5">
      <c r="A214" t="s">
        <v>845</v>
      </c>
      <c r="B214" t="s">
        <v>846</v>
      </c>
      <c r="C214" t="s">
        <v>847</v>
      </c>
      <c r="D214" t="s">
        <v>848</v>
      </c>
      <c r="E214" t="s">
        <v>23</v>
      </c>
    </row>
    <row r="215" spans="1:5">
      <c r="A215" t="s">
        <v>849</v>
      </c>
      <c r="B215" t="s">
        <v>850</v>
      </c>
      <c r="C215" t="s">
        <v>851</v>
      </c>
      <c r="D215" t="s">
        <v>852</v>
      </c>
      <c r="E215" t="s">
        <v>93</v>
      </c>
    </row>
    <row r="216" spans="1:5">
      <c r="A216" t="s">
        <v>853</v>
      </c>
      <c r="B216" t="s">
        <v>854</v>
      </c>
      <c r="C216" t="s">
        <v>855</v>
      </c>
      <c r="D216" t="s">
        <v>856</v>
      </c>
      <c r="E216" t="s">
        <v>43</v>
      </c>
    </row>
    <row r="217" spans="1:5">
      <c r="A217" t="s">
        <v>857</v>
      </c>
      <c r="B217" t="s">
        <v>25</v>
      </c>
      <c r="C217" t="s">
        <v>858</v>
      </c>
      <c r="D217" t="s">
        <v>859</v>
      </c>
      <c r="E217" t="s">
        <v>117</v>
      </c>
    </row>
    <row r="218" spans="1:5">
      <c r="A218" t="s">
        <v>860</v>
      </c>
      <c r="B218" t="s">
        <v>861</v>
      </c>
      <c r="C218" t="s">
        <v>862</v>
      </c>
      <c r="D218" t="s">
        <v>863</v>
      </c>
      <c r="E218" t="s">
        <v>60</v>
      </c>
    </row>
    <row r="219" spans="1:5">
      <c r="A219" t="s">
        <v>864</v>
      </c>
      <c r="B219" t="s">
        <v>865</v>
      </c>
      <c r="C219" t="s">
        <v>866</v>
      </c>
      <c r="D219" t="s">
        <v>867</v>
      </c>
      <c r="E219" t="s">
        <v>117</v>
      </c>
    </row>
    <row r="220" spans="1:5">
      <c r="A220" t="s">
        <v>868</v>
      </c>
      <c r="B220" t="s">
        <v>869</v>
      </c>
      <c r="C220" t="s">
        <v>870</v>
      </c>
      <c r="D220" t="s">
        <v>871</v>
      </c>
      <c r="E220" t="s">
        <v>23</v>
      </c>
    </row>
    <row r="221" spans="1:5">
      <c r="A221" t="s">
        <v>872</v>
      </c>
      <c r="B221" t="s">
        <v>873</v>
      </c>
      <c r="C221" t="s">
        <v>874</v>
      </c>
      <c r="D221" t="s">
        <v>875</v>
      </c>
      <c r="E221" t="s">
        <v>117</v>
      </c>
    </row>
    <row r="222" spans="1:5">
      <c r="A222" t="s">
        <v>876</v>
      </c>
      <c r="B222" t="s">
        <v>877</v>
      </c>
      <c r="C222" t="s">
        <v>878</v>
      </c>
      <c r="D222" t="s">
        <v>879</v>
      </c>
      <c r="E222" t="s">
        <v>146</v>
      </c>
    </row>
    <row r="223" spans="1:5">
      <c r="A223" t="s">
        <v>880</v>
      </c>
      <c r="B223" t="s">
        <v>426</v>
      </c>
      <c r="C223" t="s">
        <v>881</v>
      </c>
      <c r="D223" t="s">
        <v>882</v>
      </c>
      <c r="E223" t="s">
        <v>126</v>
      </c>
    </row>
    <row r="224" spans="1:5">
      <c r="A224" t="s">
        <v>883</v>
      </c>
      <c r="B224" t="s">
        <v>884</v>
      </c>
      <c r="C224" t="s">
        <v>885</v>
      </c>
      <c r="D224" t="s">
        <v>886</v>
      </c>
      <c r="E224" t="s">
        <v>126</v>
      </c>
    </row>
    <row r="225" spans="1:5">
      <c r="A225" t="s">
        <v>887</v>
      </c>
      <c r="B225" t="s">
        <v>563</v>
      </c>
      <c r="C225" t="s">
        <v>888</v>
      </c>
      <c r="D225" t="s">
        <v>889</v>
      </c>
      <c r="E225" t="s">
        <v>28</v>
      </c>
    </row>
    <row r="226" spans="1:5">
      <c r="A226" t="s">
        <v>890</v>
      </c>
      <c r="B226" t="s">
        <v>891</v>
      </c>
      <c r="C226" t="s">
        <v>892</v>
      </c>
      <c r="D226" t="s">
        <v>893</v>
      </c>
      <c r="E226" t="s">
        <v>126</v>
      </c>
    </row>
    <row r="227" spans="1:5">
      <c r="A227" t="s">
        <v>894</v>
      </c>
      <c r="B227" t="s">
        <v>773</v>
      </c>
      <c r="C227" t="s">
        <v>895</v>
      </c>
      <c r="D227" t="s">
        <v>896</v>
      </c>
      <c r="E227" t="s">
        <v>38</v>
      </c>
    </row>
    <row r="228" spans="1:5">
      <c r="A228" t="s">
        <v>897</v>
      </c>
      <c r="B228" t="s">
        <v>898</v>
      </c>
      <c r="C228" t="s">
        <v>899</v>
      </c>
      <c r="D228" t="s">
        <v>900</v>
      </c>
      <c r="E228" t="s">
        <v>23</v>
      </c>
    </row>
    <row r="229" spans="1:5">
      <c r="A229" t="s">
        <v>901</v>
      </c>
      <c r="B229" t="s">
        <v>902</v>
      </c>
      <c r="C229" t="s">
        <v>903</v>
      </c>
      <c r="D229" t="s">
        <v>904</v>
      </c>
      <c r="E229" t="s">
        <v>146</v>
      </c>
    </row>
    <row r="230" spans="1:5">
      <c r="A230" t="s">
        <v>905</v>
      </c>
      <c r="B230" t="s">
        <v>309</v>
      </c>
      <c r="C230" t="s">
        <v>906</v>
      </c>
      <c r="D230" t="s">
        <v>907</v>
      </c>
      <c r="E230" t="s">
        <v>38</v>
      </c>
    </row>
    <row r="231" spans="1:5">
      <c r="A231" t="s">
        <v>908</v>
      </c>
      <c r="B231" t="s">
        <v>410</v>
      </c>
      <c r="C231" t="s">
        <v>909</v>
      </c>
      <c r="D231" t="s">
        <v>910</v>
      </c>
      <c r="E231" t="s">
        <v>43</v>
      </c>
    </row>
    <row r="232" spans="1:5">
      <c r="A232" t="s">
        <v>911</v>
      </c>
      <c r="B232" t="s">
        <v>865</v>
      </c>
      <c r="C232" t="s">
        <v>912</v>
      </c>
      <c r="D232" t="s">
        <v>913</v>
      </c>
      <c r="E232" t="s">
        <v>60</v>
      </c>
    </row>
    <row r="233" spans="1:5">
      <c r="A233" t="s">
        <v>914</v>
      </c>
      <c r="B233" t="s">
        <v>254</v>
      </c>
      <c r="C233" t="s">
        <v>915</v>
      </c>
      <c r="D233" t="s">
        <v>916</v>
      </c>
      <c r="E233" t="s">
        <v>60</v>
      </c>
    </row>
    <row r="234" spans="1:5">
      <c r="A234" t="s">
        <v>917</v>
      </c>
      <c r="B234" t="s">
        <v>918</v>
      </c>
      <c r="C234" t="s">
        <v>919</v>
      </c>
      <c r="D234" t="s">
        <v>920</v>
      </c>
      <c r="E234" t="s">
        <v>146</v>
      </c>
    </row>
    <row r="235" spans="1:5">
      <c r="A235" t="s">
        <v>921</v>
      </c>
      <c r="B235" t="s">
        <v>922</v>
      </c>
      <c r="C235" t="s">
        <v>923</v>
      </c>
      <c r="D235" t="s">
        <v>924</v>
      </c>
      <c r="E235" t="s">
        <v>33</v>
      </c>
    </row>
    <row r="236" spans="1:5">
      <c r="A236" t="s">
        <v>925</v>
      </c>
      <c r="B236" t="s">
        <v>926</v>
      </c>
      <c r="C236" t="s">
        <v>927</v>
      </c>
      <c r="D236" t="s">
        <v>928</v>
      </c>
      <c r="E236" t="s">
        <v>38</v>
      </c>
    </row>
    <row r="237" spans="1:5">
      <c r="A237" t="s">
        <v>929</v>
      </c>
      <c r="B237" t="s">
        <v>543</v>
      </c>
      <c r="C237" t="s">
        <v>930</v>
      </c>
      <c r="D237" t="s">
        <v>931</v>
      </c>
      <c r="E237" t="s">
        <v>38</v>
      </c>
    </row>
    <row r="238" spans="1:5">
      <c r="A238" t="s">
        <v>932</v>
      </c>
      <c r="B238" t="s">
        <v>933</v>
      </c>
      <c r="C238" t="s">
        <v>934</v>
      </c>
      <c r="D238" t="s">
        <v>935</v>
      </c>
      <c r="E238" t="s">
        <v>43</v>
      </c>
    </row>
    <row r="239" spans="1:5">
      <c r="A239" t="s">
        <v>936</v>
      </c>
      <c r="B239" t="s">
        <v>937</v>
      </c>
      <c r="C239" t="s">
        <v>938</v>
      </c>
      <c r="D239" t="s">
        <v>939</v>
      </c>
      <c r="E239" t="s">
        <v>23</v>
      </c>
    </row>
    <row r="240" spans="1:5">
      <c r="A240" t="s">
        <v>940</v>
      </c>
      <c r="B240" t="s">
        <v>324</v>
      </c>
      <c r="C240" t="s">
        <v>941</v>
      </c>
      <c r="D240" t="s">
        <v>942</v>
      </c>
      <c r="E240" t="s">
        <v>146</v>
      </c>
    </row>
    <row r="241" spans="1:5">
      <c r="A241" t="s">
        <v>943</v>
      </c>
      <c r="B241" t="s">
        <v>944</v>
      </c>
      <c r="C241" t="s">
        <v>945</v>
      </c>
      <c r="D241" t="s">
        <v>946</v>
      </c>
      <c r="E241" t="s">
        <v>28</v>
      </c>
    </row>
    <row r="242" spans="1:5">
      <c r="A242" t="s">
        <v>947</v>
      </c>
      <c r="B242" t="s">
        <v>948</v>
      </c>
      <c r="C242" t="s">
        <v>949</v>
      </c>
      <c r="D242" t="s">
        <v>950</v>
      </c>
      <c r="E242" t="s">
        <v>28</v>
      </c>
    </row>
    <row r="243" spans="1:5">
      <c r="A243" t="s">
        <v>951</v>
      </c>
      <c r="B243" t="s">
        <v>838</v>
      </c>
      <c r="C243" t="s">
        <v>952</v>
      </c>
      <c r="D243" t="s">
        <v>953</v>
      </c>
      <c r="E243" t="s">
        <v>33</v>
      </c>
    </row>
    <row r="244" spans="1:5">
      <c r="A244" t="s">
        <v>954</v>
      </c>
      <c r="B244" t="s">
        <v>273</v>
      </c>
      <c r="C244" t="s">
        <v>955</v>
      </c>
      <c r="D244" t="s">
        <v>956</v>
      </c>
      <c r="E244" t="s">
        <v>146</v>
      </c>
    </row>
    <row r="245" spans="1:5">
      <c r="A245" t="s">
        <v>957</v>
      </c>
      <c r="B245" t="s">
        <v>958</v>
      </c>
      <c r="C245" t="s">
        <v>959</v>
      </c>
      <c r="D245" t="s">
        <v>960</v>
      </c>
      <c r="E245" t="s">
        <v>38</v>
      </c>
    </row>
    <row r="246" spans="1:5">
      <c r="A246" t="s">
        <v>961</v>
      </c>
      <c r="B246" t="s">
        <v>720</v>
      </c>
      <c r="C246" t="s">
        <v>962</v>
      </c>
      <c r="D246" t="s">
        <v>963</v>
      </c>
      <c r="E246" t="s">
        <v>43</v>
      </c>
    </row>
    <row r="247" spans="1:5">
      <c r="A247" t="s">
        <v>964</v>
      </c>
      <c r="B247" t="s">
        <v>965</v>
      </c>
      <c r="C247" t="s">
        <v>966</v>
      </c>
      <c r="D247" t="s">
        <v>967</v>
      </c>
      <c r="E247" t="s">
        <v>23</v>
      </c>
    </row>
    <row r="248" spans="1:5">
      <c r="A248" t="s">
        <v>968</v>
      </c>
      <c r="B248" t="s">
        <v>140</v>
      </c>
      <c r="C248" t="s">
        <v>969</v>
      </c>
      <c r="D248" t="s">
        <v>970</v>
      </c>
      <c r="E248" t="s">
        <v>23</v>
      </c>
    </row>
    <row r="249" spans="1:5">
      <c r="A249" t="s">
        <v>971</v>
      </c>
      <c r="B249" t="s">
        <v>972</v>
      </c>
      <c r="C249" t="s">
        <v>973</v>
      </c>
      <c r="D249" t="s">
        <v>974</v>
      </c>
      <c r="E249" t="s">
        <v>126</v>
      </c>
    </row>
    <row r="250" spans="1:5">
      <c r="A250" t="s">
        <v>975</v>
      </c>
      <c r="B250" t="s">
        <v>976</v>
      </c>
      <c r="C250" t="s">
        <v>977</v>
      </c>
      <c r="D250" t="s">
        <v>978</v>
      </c>
      <c r="E250" t="s">
        <v>126</v>
      </c>
    </row>
    <row r="251" spans="1:5">
      <c r="A251" t="s">
        <v>979</v>
      </c>
      <c r="B251" t="s">
        <v>865</v>
      </c>
      <c r="C251" t="s">
        <v>980</v>
      </c>
      <c r="D251" t="s">
        <v>981</v>
      </c>
      <c r="E251" t="s">
        <v>28</v>
      </c>
    </row>
    <row r="252" spans="1:5">
      <c r="A252" t="s">
        <v>982</v>
      </c>
      <c r="B252" t="s">
        <v>983</v>
      </c>
      <c r="C252" t="s">
        <v>984</v>
      </c>
      <c r="D252" t="s">
        <v>985</v>
      </c>
      <c r="E252" t="s">
        <v>38</v>
      </c>
    </row>
    <row r="253" spans="1:5">
      <c r="A253" t="s">
        <v>986</v>
      </c>
      <c r="B253" t="s">
        <v>766</v>
      </c>
      <c r="C253" t="s">
        <v>987</v>
      </c>
      <c r="D253" t="s">
        <v>988</v>
      </c>
      <c r="E253" t="s">
        <v>23</v>
      </c>
    </row>
    <row r="254" spans="1:5">
      <c r="A254" t="s">
        <v>989</v>
      </c>
      <c r="B254" t="s">
        <v>990</v>
      </c>
      <c r="C254" t="s">
        <v>991</v>
      </c>
      <c r="D254" t="s">
        <v>992</v>
      </c>
      <c r="E254" t="s">
        <v>60</v>
      </c>
    </row>
    <row r="255" spans="1:5">
      <c r="A255" t="s">
        <v>993</v>
      </c>
      <c r="B255" t="s">
        <v>692</v>
      </c>
      <c r="C255" t="s">
        <v>994</v>
      </c>
      <c r="D255" t="s">
        <v>995</v>
      </c>
      <c r="E255" t="s">
        <v>126</v>
      </c>
    </row>
    <row r="256" spans="1:5">
      <c r="A256" t="s">
        <v>996</v>
      </c>
      <c r="B256" t="s">
        <v>997</v>
      </c>
      <c r="C256" t="s">
        <v>998</v>
      </c>
      <c r="D256" t="s">
        <v>999</v>
      </c>
      <c r="E256" t="s">
        <v>146</v>
      </c>
    </row>
    <row r="257" spans="1:5">
      <c r="A257" t="s">
        <v>1000</v>
      </c>
      <c r="B257" t="s">
        <v>1001</v>
      </c>
      <c r="C257" t="s">
        <v>1002</v>
      </c>
      <c r="D257" t="s">
        <v>1003</v>
      </c>
      <c r="E257" t="s">
        <v>23</v>
      </c>
    </row>
    <row r="258" spans="1:5">
      <c r="A258" t="s">
        <v>1004</v>
      </c>
      <c r="B258" t="s">
        <v>1005</v>
      </c>
      <c r="C258" t="s">
        <v>1006</v>
      </c>
      <c r="D258" t="s">
        <v>1007</v>
      </c>
      <c r="E258" t="s">
        <v>93</v>
      </c>
    </row>
    <row r="259" spans="1:5">
      <c r="A259" t="s">
        <v>1008</v>
      </c>
      <c r="B259" t="s">
        <v>815</v>
      </c>
      <c r="C259" t="s">
        <v>1009</v>
      </c>
      <c r="D259" t="s">
        <v>1010</v>
      </c>
      <c r="E259" t="s">
        <v>93</v>
      </c>
    </row>
    <row r="260" spans="1:5">
      <c r="A260" t="s">
        <v>1011</v>
      </c>
      <c r="B260" t="s">
        <v>457</v>
      </c>
      <c r="C260" t="s">
        <v>1012</v>
      </c>
      <c r="D260" t="s">
        <v>1013</v>
      </c>
      <c r="E260" t="s">
        <v>126</v>
      </c>
    </row>
    <row r="261" spans="1:5">
      <c r="A261" t="s">
        <v>1014</v>
      </c>
      <c r="B261" t="s">
        <v>1015</v>
      </c>
      <c r="C261" t="s">
        <v>1016</v>
      </c>
      <c r="D261" t="s">
        <v>1017</v>
      </c>
      <c r="E261" t="s">
        <v>43</v>
      </c>
    </row>
    <row r="262" spans="1:5">
      <c r="A262" t="s">
        <v>1018</v>
      </c>
      <c r="B262" t="s">
        <v>1019</v>
      </c>
      <c r="C262" t="s">
        <v>1020</v>
      </c>
      <c r="D262" t="s">
        <v>1021</v>
      </c>
      <c r="E262" t="s">
        <v>28</v>
      </c>
    </row>
    <row r="263" spans="1:5">
      <c r="A263" t="s">
        <v>1022</v>
      </c>
      <c r="B263" t="s">
        <v>1023</v>
      </c>
      <c r="C263" t="s">
        <v>1024</v>
      </c>
      <c r="D263" t="s">
        <v>1025</v>
      </c>
      <c r="E263" t="s">
        <v>28</v>
      </c>
    </row>
    <row r="264" spans="1:5">
      <c r="A264" t="s">
        <v>1026</v>
      </c>
      <c r="B264" t="s">
        <v>586</v>
      </c>
      <c r="C264" t="s">
        <v>1027</v>
      </c>
      <c r="D264" t="s">
        <v>1028</v>
      </c>
      <c r="E264" t="s">
        <v>33</v>
      </c>
    </row>
    <row r="265" spans="1:5">
      <c r="A265" t="s">
        <v>1029</v>
      </c>
      <c r="B265" t="s">
        <v>1030</v>
      </c>
      <c r="C265" t="s">
        <v>1031</v>
      </c>
      <c r="D265" t="s">
        <v>1032</v>
      </c>
      <c r="E265" t="s">
        <v>126</v>
      </c>
    </row>
    <row r="266" spans="1:5">
      <c r="A266" t="s">
        <v>1033</v>
      </c>
      <c r="B266" t="s">
        <v>1034</v>
      </c>
      <c r="C266" t="s">
        <v>1035</v>
      </c>
      <c r="D266" t="s">
        <v>1036</v>
      </c>
      <c r="E266" t="s">
        <v>28</v>
      </c>
    </row>
    <row r="267" spans="1:5">
      <c r="A267" t="s">
        <v>1037</v>
      </c>
      <c r="B267" t="s">
        <v>958</v>
      </c>
      <c r="C267" t="s">
        <v>1038</v>
      </c>
      <c r="D267" t="s">
        <v>1039</v>
      </c>
      <c r="E267" t="s">
        <v>28</v>
      </c>
    </row>
    <row r="268" spans="1:5">
      <c r="A268" t="s">
        <v>1040</v>
      </c>
      <c r="B268" t="s">
        <v>1041</v>
      </c>
      <c r="C268" t="s">
        <v>1042</v>
      </c>
      <c r="D268" t="s">
        <v>1043</v>
      </c>
      <c r="E268" t="s">
        <v>117</v>
      </c>
    </row>
    <row r="269" spans="1:5">
      <c r="A269" t="s">
        <v>1044</v>
      </c>
      <c r="B269" t="s">
        <v>1045</v>
      </c>
      <c r="C269" t="s">
        <v>1046</v>
      </c>
      <c r="D269" t="s">
        <v>1047</v>
      </c>
      <c r="E269" t="s">
        <v>43</v>
      </c>
    </row>
    <row r="270" spans="1:5">
      <c r="A270" t="s">
        <v>1048</v>
      </c>
      <c r="B270" t="s">
        <v>1049</v>
      </c>
      <c r="C270" t="s">
        <v>1050</v>
      </c>
      <c r="D270" t="s">
        <v>1051</v>
      </c>
      <c r="E270" t="s">
        <v>33</v>
      </c>
    </row>
    <row r="271" spans="1:5">
      <c r="A271" t="s">
        <v>1052</v>
      </c>
      <c r="B271" t="s">
        <v>948</v>
      </c>
      <c r="C271" t="s">
        <v>1053</v>
      </c>
      <c r="D271" t="s">
        <v>1054</v>
      </c>
      <c r="E271" t="s">
        <v>33</v>
      </c>
    </row>
    <row r="272" spans="1:5">
      <c r="A272" t="s">
        <v>1055</v>
      </c>
      <c r="B272" t="s">
        <v>1056</v>
      </c>
      <c r="C272" t="s">
        <v>1057</v>
      </c>
      <c r="D272" t="s">
        <v>1058</v>
      </c>
      <c r="E272" t="s">
        <v>28</v>
      </c>
    </row>
    <row r="273" spans="1:5">
      <c r="A273" t="s">
        <v>1059</v>
      </c>
      <c r="B273" t="s">
        <v>1060</v>
      </c>
      <c r="C273" t="s">
        <v>1061</v>
      </c>
      <c r="D273" t="s">
        <v>1062</v>
      </c>
      <c r="E273" t="s">
        <v>146</v>
      </c>
    </row>
    <row r="274" spans="1:5">
      <c r="A274" t="s">
        <v>1063</v>
      </c>
      <c r="B274" t="s">
        <v>1064</v>
      </c>
      <c r="C274" t="s">
        <v>1065</v>
      </c>
      <c r="D274" t="s">
        <v>1066</v>
      </c>
      <c r="E274" t="s">
        <v>126</v>
      </c>
    </row>
    <row r="275" spans="1:5">
      <c r="A275" t="s">
        <v>1067</v>
      </c>
      <c r="B275" t="s">
        <v>1068</v>
      </c>
      <c r="C275" t="s">
        <v>1069</v>
      </c>
      <c r="D275" t="s">
        <v>1070</v>
      </c>
      <c r="E275" t="s">
        <v>23</v>
      </c>
    </row>
    <row r="276" spans="1:5">
      <c r="A276" t="s">
        <v>1071</v>
      </c>
      <c r="B276" t="s">
        <v>1072</v>
      </c>
      <c r="C276" t="s">
        <v>1073</v>
      </c>
      <c r="D276" t="s">
        <v>1074</v>
      </c>
      <c r="E276" t="s">
        <v>33</v>
      </c>
    </row>
    <row r="277" spans="1:5">
      <c r="A277" t="s">
        <v>1075</v>
      </c>
      <c r="B277" t="s">
        <v>740</v>
      </c>
      <c r="C277" t="s">
        <v>1076</v>
      </c>
      <c r="D277" t="s">
        <v>1077</v>
      </c>
      <c r="E277" t="s">
        <v>93</v>
      </c>
    </row>
    <row r="278" spans="1:5">
      <c r="A278" t="s">
        <v>1078</v>
      </c>
      <c r="B278" t="s">
        <v>1079</v>
      </c>
      <c r="C278" t="s">
        <v>1080</v>
      </c>
      <c r="D278" t="s">
        <v>1081</v>
      </c>
      <c r="E278" t="s">
        <v>23</v>
      </c>
    </row>
    <row r="279" spans="1:5">
      <c r="A279" t="s">
        <v>1082</v>
      </c>
      <c r="B279" t="s">
        <v>1083</v>
      </c>
      <c r="C279" t="s">
        <v>1084</v>
      </c>
      <c r="D279" t="s">
        <v>1085</v>
      </c>
      <c r="E279" t="s">
        <v>33</v>
      </c>
    </row>
    <row r="280" spans="1:5">
      <c r="A280" t="s">
        <v>1086</v>
      </c>
      <c r="B280" t="s">
        <v>1087</v>
      </c>
      <c r="C280" t="s">
        <v>1088</v>
      </c>
      <c r="D280" t="s">
        <v>1089</v>
      </c>
      <c r="E280" t="s">
        <v>93</v>
      </c>
    </row>
    <row r="281" spans="1:5">
      <c r="A281" t="s">
        <v>1090</v>
      </c>
      <c r="B281" t="s">
        <v>1091</v>
      </c>
      <c r="C281" t="s">
        <v>1092</v>
      </c>
      <c r="D281" t="s">
        <v>1093</v>
      </c>
      <c r="E281" t="s">
        <v>33</v>
      </c>
    </row>
    <row r="282" spans="1:5">
      <c r="A282" t="s">
        <v>1094</v>
      </c>
      <c r="B282" t="s">
        <v>1095</v>
      </c>
      <c r="C282" t="s">
        <v>1096</v>
      </c>
      <c r="D282" t="s">
        <v>1097</v>
      </c>
      <c r="E282" t="s">
        <v>38</v>
      </c>
    </row>
    <row r="283" spans="1:5">
      <c r="A283" t="s">
        <v>1098</v>
      </c>
      <c r="B283" t="s">
        <v>1099</v>
      </c>
      <c r="C283" t="s">
        <v>1100</v>
      </c>
      <c r="D283" t="s">
        <v>1101</v>
      </c>
      <c r="E283" t="s">
        <v>43</v>
      </c>
    </row>
    <row r="284" spans="1:5">
      <c r="A284" t="s">
        <v>1102</v>
      </c>
      <c r="B284" t="s">
        <v>374</v>
      </c>
      <c r="C284" t="s">
        <v>1103</v>
      </c>
      <c r="D284" t="s">
        <v>1104</v>
      </c>
      <c r="E284" t="s">
        <v>38</v>
      </c>
    </row>
    <row r="285" spans="1:5">
      <c r="A285" t="s">
        <v>1105</v>
      </c>
      <c r="B285" t="s">
        <v>1106</v>
      </c>
      <c r="C285" t="s">
        <v>1107</v>
      </c>
      <c r="D285" t="s">
        <v>1108</v>
      </c>
      <c r="E285" t="s">
        <v>93</v>
      </c>
    </row>
    <row r="286" spans="1:5">
      <c r="A286" t="s">
        <v>1109</v>
      </c>
      <c r="B286" t="s">
        <v>1110</v>
      </c>
      <c r="C286" t="s">
        <v>1111</v>
      </c>
      <c r="D286" t="s">
        <v>1112</v>
      </c>
      <c r="E286" t="s">
        <v>60</v>
      </c>
    </row>
    <row r="287" spans="1:5">
      <c r="A287" t="s">
        <v>1113</v>
      </c>
      <c r="B287" t="s">
        <v>1114</v>
      </c>
      <c r="C287" t="s">
        <v>1115</v>
      </c>
      <c r="D287" t="s">
        <v>1116</v>
      </c>
      <c r="E287" t="s">
        <v>43</v>
      </c>
    </row>
    <row r="288" spans="1:5">
      <c r="A288" t="s">
        <v>1117</v>
      </c>
      <c r="B288" t="s">
        <v>559</v>
      </c>
      <c r="C288" t="s">
        <v>1118</v>
      </c>
      <c r="D288" t="s">
        <v>1119</v>
      </c>
      <c r="E288" t="s">
        <v>33</v>
      </c>
    </row>
    <row r="289" spans="1:5">
      <c r="A289" t="s">
        <v>1120</v>
      </c>
      <c r="B289" t="s">
        <v>82</v>
      </c>
      <c r="C289" t="s">
        <v>1121</v>
      </c>
      <c r="D289" t="s">
        <v>1122</v>
      </c>
      <c r="E289" t="s">
        <v>60</v>
      </c>
    </row>
    <row r="290" spans="1:5">
      <c r="A290" t="s">
        <v>1123</v>
      </c>
      <c r="B290" t="s">
        <v>1124</v>
      </c>
      <c r="C290" t="s">
        <v>1125</v>
      </c>
      <c r="D290" t="s">
        <v>1126</v>
      </c>
      <c r="E290" t="s">
        <v>43</v>
      </c>
    </row>
    <row r="291" spans="1:5">
      <c r="A291" t="s">
        <v>1127</v>
      </c>
      <c r="B291" t="s">
        <v>262</v>
      </c>
      <c r="C291" t="s">
        <v>1128</v>
      </c>
      <c r="D291" t="s">
        <v>1129</v>
      </c>
      <c r="E291" t="s">
        <v>117</v>
      </c>
    </row>
    <row r="292" spans="1:5">
      <c r="A292" t="s">
        <v>1130</v>
      </c>
      <c r="B292" t="s">
        <v>1131</v>
      </c>
      <c r="C292" t="s">
        <v>1132</v>
      </c>
      <c r="D292" t="s">
        <v>1133</v>
      </c>
      <c r="E292" t="s">
        <v>43</v>
      </c>
    </row>
    <row r="293" spans="1:5">
      <c r="A293" t="s">
        <v>1134</v>
      </c>
      <c r="B293" t="s">
        <v>1135</v>
      </c>
      <c r="C293" t="s">
        <v>1136</v>
      </c>
      <c r="D293" t="s">
        <v>1137</v>
      </c>
      <c r="E293" t="s">
        <v>43</v>
      </c>
    </row>
    <row r="294" spans="1:5">
      <c r="A294" t="s">
        <v>1138</v>
      </c>
      <c r="B294" t="s">
        <v>1139</v>
      </c>
      <c r="C294" t="s">
        <v>1140</v>
      </c>
      <c r="D294" t="s">
        <v>1141</v>
      </c>
      <c r="E294" t="s">
        <v>23</v>
      </c>
    </row>
    <row r="295" spans="1:5">
      <c r="A295" t="s">
        <v>1142</v>
      </c>
      <c r="B295" t="s">
        <v>1143</v>
      </c>
      <c r="C295" t="s">
        <v>1144</v>
      </c>
      <c r="D295" t="s">
        <v>1145</v>
      </c>
      <c r="E295" t="s">
        <v>33</v>
      </c>
    </row>
    <row r="296" spans="1:5">
      <c r="A296" t="s">
        <v>1146</v>
      </c>
      <c r="B296" t="s">
        <v>590</v>
      </c>
      <c r="C296" t="s">
        <v>1147</v>
      </c>
      <c r="D296" t="s">
        <v>1148</v>
      </c>
      <c r="E296" t="s">
        <v>117</v>
      </c>
    </row>
    <row r="297" spans="1:5">
      <c r="A297" t="s">
        <v>1149</v>
      </c>
      <c r="B297" t="s">
        <v>642</v>
      </c>
      <c r="C297" t="s">
        <v>1150</v>
      </c>
      <c r="D297" t="s">
        <v>1151</v>
      </c>
      <c r="E297" t="s">
        <v>93</v>
      </c>
    </row>
    <row r="298" spans="1:5">
      <c r="A298" t="s">
        <v>1152</v>
      </c>
      <c r="B298" t="s">
        <v>1153</v>
      </c>
      <c r="C298" t="s">
        <v>1154</v>
      </c>
      <c r="D298" t="s">
        <v>1155</v>
      </c>
      <c r="E298" t="s">
        <v>60</v>
      </c>
    </row>
    <row r="299" spans="1:5">
      <c r="A299" t="s">
        <v>1156</v>
      </c>
      <c r="B299" t="s">
        <v>1157</v>
      </c>
      <c r="C299" t="s">
        <v>1158</v>
      </c>
      <c r="D299" t="s">
        <v>1159</v>
      </c>
      <c r="E299" t="s">
        <v>117</v>
      </c>
    </row>
    <row r="300" spans="1:5">
      <c r="A300" t="s">
        <v>1160</v>
      </c>
      <c r="B300" t="s">
        <v>1161</v>
      </c>
      <c r="C300" t="s">
        <v>1162</v>
      </c>
      <c r="D300" t="s">
        <v>1163</v>
      </c>
      <c r="E300" t="s">
        <v>23</v>
      </c>
    </row>
    <row r="301" spans="1:5">
      <c r="A301" t="s">
        <v>1164</v>
      </c>
      <c r="B301" t="s">
        <v>766</v>
      </c>
      <c r="C301" t="s">
        <v>1165</v>
      </c>
      <c r="D301" t="s">
        <v>1166</v>
      </c>
      <c r="E301" t="s">
        <v>126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2"/>
  <sheetViews>
    <sheetView workbookViewId="0">
      <selection activeCell="L4" sqref="L4"/>
    </sheetView>
  </sheetViews>
  <sheetFormatPr defaultColWidth="9" defaultRowHeight="14.5"/>
  <cols>
    <col min="3" max="3" width="17.81640625" customWidth="1"/>
    <col min="4" max="4" width="10.6328125" customWidth="1"/>
    <col min="5" max="5" width="17.81640625" style="1" customWidth="1"/>
    <col min="6" max="6" width="9.81640625" customWidth="1"/>
    <col min="7" max="7" width="16.54296875" bestFit="1" customWidth="1"/>
    <col min="8" max="8" width="20.6328125" customWidth="1"/>
    <col min="12" max="12" width="16.453125" bestFit="1" customWidth="1"/>
  </cols>
  <sheetData>
    <row r="1" spans="1:12">
      <c r="B1" s="5" t="s">
        <v>14</v>
      </c>
      <c r="C1" s="5" t="s">
        <v>15</v>
      </c>
      <c r="D1" s="5" t="s">
        <v>1167</v>
      </c>
      <c r="E1" s="6" t="s">
        <v>1168</v>
      </c>
      <c r="F1" s="5" t="s">
        <v>1169</v>
      </c>
      <c r="G1" s="12" t="s">
        <v>1170</v>
      </c>
      <c r="H1" s="15" t="s">
        <v>2262</v>
      </c>
    </row>
    <row r="2" spans="1:12" ht="15" thickBot="1">
      <c r="A2">
        <v>1</v>
      </c>
      <c r="B2" t="s">
        <v>1171</v>
      </c>
      <c r="C2" t="s">
        <v>1172</v>
      </c>
      <c r="D2" t="s">
        <v>1173</v>
      </c>
      <c r="E2" s="1">
        <v>200000</v>
      </c>
      <c r="F2">
        <v>25000</v>
      </c>
      <c r="G2" s="1">
        <f>E2+F2</f>
        <v>225000</v>
      </c>
      <c r="H2" s="1">
        <f>Tabela2[[#Totals],[Total]]/A301</f>
        <v>157133.33333333334</v>
      </c>
      <c r="K2" s="22" t="s">
        <v>1167</v>
      </c>
      <c r="L2" s="23" t="s">
        <v>1170</v>
      </c>
    </row>
    <row r="3" spans="1:12" ht="15" thickTop="1">
      <c r="A3">
        <v>2</v>
      </c>
      <c r="B3" t="s">
        <v>1174</v>
      </c>
      <c r="C3" t="s">
        <v>1175</v>
      </c>
      <c r="D3" t="s">
        <v>1176</v>
      </c>
      <c r="E3" s="1">
        <v>120000</v>
      </c>
      <c r="F3">
        <v>25000</v>
      </c>
      <c r="G3" s="1">
        <f t="shared" ref="G3:G66" si="0">E3+F3</f>
        <v>145000</v>
      </c>
      <c r="H3" s="1" t="e">
        <f>Tabela2[[#Totals],[Total]]/A302</f>
        <v>#DIV/0!</v>
      </c>
      <c r="K3" s="11" t="s">
        <v>1173</v>
      </c>
      <c r="L3" s="24">
        <f>SUMIF(Tabela2[Cargo],K3,Tabela2[Total])</f>
        <v>12905000</v>
      </c>
    </row>
    <row r="4" spans="1:12">
      <c r="A4">
        <v>3</v>
      </c>
      <c r="B4" t="s">
        <v>1177</v>
      </c>
      <c r="C4" t="s">
        <v>1178</v>
      </c>
      <c r="D4" t="s">
        <v>1179</v>
      </c>
      <c r="E4" s="1">
        <v>200000</v>
      </c>
      <c r="F4">
        <v>25000</v>
      </c>
      <c r="G4" s="1">
        <f t="shared" si="0"/>
        <v>225000</v>
      </c>
      <c r="H4" s="1" t="e">
        <f>Tabela2[[#Totals],[Total]]/A303</f>
        <v>#DIV/0!</v>
      </c>
      <c r="K4" s="10" t="s">
        <v>1176</v>
      </c>
      <c r="L4" s="24">
        <f>SUMIF(Tabela2[Cargo],K4,Tabela2[Total])</f>
        <v>17825000</v>
      </c>
    </row>
    <row r="5" spans="1:12">
      <c r="A5">
        <v>4</v>
      </c>
      <c r="B5" t="s">
        <v>1180</v>
      </c>
      <c r="C5" t="s">
        <v>1181</v>
      </c>
      <c r="D5" t="s">
        <v>1173</v>
      </c>
      <c r="E5" s="1">
        <v>120000</v>
      </c>
      <c r="F5">
        <v>25000</v>
      </c>
      <c r="G5" s="1">
        <f t="shared" si="0"/>
        <v>145000</v>
      </c>
      <c r="H5" s="1" t="e">
        <f>Tabela2[[#Totals],[Total]]/A304</f>
        <v>#DIV/0!</v>
      </c>
      <c r="K5" s="11" t="s">
        <v>1179</v>
      </c>
      <c r="L5" s="24">
        <f>SUMIF(Tabela2[Cargo],K5,Tabela2[Total])</f>
        <v>16410000</v>
      </c>
    </row>
    <row r="6" spans="1:12">
      <c r="A6">
        <v>5</v>
      </c>
      <c r="B6" t="s">
        <v>1182</v>
      </c>
      <c r="C6" t="s">
        <v>1183</v>
      </c>
      <c r="D6" t="s">
        <v>1176</v>
      </c>
      <c r="E6" s="1">
        <v>120000</v>
      </c>
      <c r="F6">
        <v>25000</v>
      </c>
      <c r="G6" s="1">
        <f t="shared" si="0"/>
        <v>145000</v>
      </c>
      <c r="H6" s="1" t="e">
        <f>Tabela2[[#Totals],[Total]]/A305</f>
        <v>#DIV/0!</v>
      </c>
    </row>
    <row r="7" spans="1:12">
      <c r="A7">
        <v>6</v>
      </c>
      <c r="B7" t="s">
        <v>1184</v>
      </c>
      <c r="C7" t="s">
        <v>1185</v>
      </c>
      <c r="D7" t="s">
        <v>1173</v>
      </c>
      <c r="E7" s="1">
        <v>80000</v>
      </c>
      <c r="F7">
        <v>25000</v>
      </c>
      <c r="G7" s="1">
        <f t="shared" si="0"/>
        <v>105000</v>
      </c>
      <c r="H7" s="1" t="e">
        <f>Tabela2[[#Totals],[Total]]/A306</f>
        <v>#DIV/0!</v>
      </c>
    </row>
    <row r="8" spans="1:12">
      <c r="A8">
        <v>7</v>
      </c>
      <c r="B8" t="s">
        <v>1186</v>
      </c>
      <c r="C8" t="s">
        <v>650</v>
      </c>
      <c r="D8" t="s">
        <v>1179</v>
      </c>
      <c r="E8" s="1">
        <v>200000</v>
      </c>
      <c r="F8">
        <v>25000</v>
      </c>
      <c r="G8" s="1">
        <f t="shared" si="0"/>
        <v>225000</v>
      </c>
      <c r="H8" s="1" t="e">
        <f>Tabela2[[#Totals],[Total]]/A307</f>
        <v>#DIV/0!</v>
      </c>
    </row>
    <row r="9" spans="1:12">
      <c r="A9">
        <v>8</v>
      </c>
      <c r="B9" t="s">
        <v>1187</v>
      </c>
      <c r="C9" t="s">
        <v>1188</v>
      </c>
      <c r="D9" t="s">
        <v>1176</v>
      </c>
      <c r="E9" s="1">
        <v>120000</v>
      </c>
      <c r="F9">
        <v>25000</v>
      </c>
      <c r="G9" s="1">
        <f t="shared" si="0"/>
        <v>145000</v>
      </c>
      <c r="H9" s="1" t="e">
        <f>Tabela2[[#Totals],[Total]]/A308</f>
        <v>#DIV/0!</v>
      </c>
    </row>
    <row r="10" spans="1:12">
      <c r="A10">
        <v>9</v>
      </c>
      <c r="B10" t="s">
        <v>1189</v>
      </c>
      <c r="C10" t="s">
        <v>1135</v>
      </c>
      <c r="D10" t="s">
        <v>1176</v>
      </c>
      <c r="E10" s="1">
        <v>200000</v>
      </c>
      <c r="F10">
        <v>25000</v>
      </c>
      <c r="G10" s="1">
        <f t="shared" si="0"/>
        <v>225000</v>
      </c>
      <c r="H10" s="1" t="e">
        <f>Tabela2[[#Totals],[Total]]/A309</f>
        <v>#DIV/0!</v>
      </c>
    </row>
    <row r="11" spans="1:12">
      <c r="A11">
        <v>10</v>
      </c>
      <c r="B11" t="s">
        <v>1190</v>
      </c>
      <c r="C11" t="s">
        <v>1191</v>
      </c>
      <c r="D11" t="s">
        <v>1176</v>
      </c>
      <c r="E11" s="1">
        <v>120000</v>
      </c>
      <c r="F11">
        <v>25000</v>
      </c>
      <c r="G11" s="1">
        <f t="shared" si="0"/>
        <v>145000</v>
      </c>
      <c r="H11" s="1" t="e">
        <f>Tabela2[[#Totals],[Total]]/A310</f>
        <v>#DIV/0!</v>
      </c>
    </row>
    <row r="12" spans="1:12">
      <c r="A12">
        <v>11</v>
      </c>
      <c r="B12" t="s">
        <v>1192</v>
      </c>
      <c r="C12" t="s">
        <v>1193</v>
      </c>
      <c r="D12" t="s">
        <v>1179</v>
      </c>
      <c r="E12" s="1">
        <v>80000</v>
      </c>
      <c r="F12">
        <v>25000</v>
      </c>
      <c r="G12" s="1">
        <f t="shared" si="0"/>
        <v>105000</v>
      </c>
      <c r="H12" s="1" t="e">
        <f>Tabela2[[#Totals],[Total]]/A311</f>
        <v>#DIV/0!</v>
      </c>
    </row>
    <row r="13" spans="1:12">
      <c r="A13">
        <v>12</v>
      </c>
      <c r="B13" t="s">
        <v>1194</v>
      </c>
      <c r="C13" t="s">
        <v>933</v>
      </c>
      <c r="D13" t="s">
        <v>1173</v>
      </c>
      <c r="E13" s="1">
        <v>200000</v>
      </c>
      <c r="F13">
        <v>25000</v>
      </c>
      <c r="G13" s="1">
        <f t="shared" si="0"/>
        <v>225000</v>
      </c>
      <c r="H13" s="1" t="e">
        <f>Tabela2[[#Totals],[Total]]/A312</f>
        <v>#DIV/0!</v>
      </c>
    </row>
    <row r="14" spans="1:12">
      <c r="A14">
        <v>13</v>
      </c>
      <c r="B14" t="s">
        <v>1195</v>
      </c>
      <c r="C14" t="s">
        <v>1196</v>
      </c>
      <c r="D14" t="s">
        <v>1173</v>
      </c>
      <c r="E14" s="1">
        <v>120000</v>
      </c>
      <c r="F14">
        <v>25000</v>
      </c>
      <c r="G14" s="1">
        <f t="shared" si="0"/>
        <v>145000</v>
      </c>
      <c r="H14" s="1" t="e">
        <f>Tabela2[[#Totals],[Total]]/A313</f>
        <v>#DIV/0!</v>
      </c>
    </row>
    <row r="15" spans="1:12">
      <c r="A15">
        <v>14</v>
      </c>
      <c r="B15" t="s">
        <v>1197</v>
      </c>
      <c r="C15" t="s">
        <v>180</v>
      </c>
      <c r="D15" t="s">
        <v>1173</v>
      </c>
      <c r="E15" s="1">
        <v>120000</v>
      </c>
      <c r="F15">
        <v>25000</v>
      </c>
      <c r="G15" s="1">
        <f t="shared" si="0"/>
        <v>145000</v>
      </c>
      <c r="H15" s="1" t="e">
        <f>Tabela2[[#Totals],[Total]]/A314</f>
        <v>#DIV/0!</v>
      </c>
    </row>
    <row r="16" spans="1:12">
      <c r="A16">
        <v>15</v>
      </c>
      <c r="B16" t="s">
        <v>1198</v>
      </c>
      <c r="C16" t="s">
        <v>1188</v>
      </c>
      <c r="D16" t="s">
        <v>1176</v>
      </c>
      <c r="E16" s="1">
        <v>200000</v>
      </c>
      <c r="F16">
        <v>25000</v>
      </c>
      <c r="G16" s="1">
        <f t="shared" si="0"/>
        <v>225000</v>
      </c>
      <c r="H16" s="1" t="e">
        <f>Tabela2[[#Totals],[Total]]/A315</f>
        <v>#DIV/0!</v>
      </c>
    </row>
    <row r="17" spans="1:8">
      <c r="A17">
        <v>16</v>
      </c>
      <c r="B17" t="s">
        <v>1199</v>
      </c>
      <c r="C17" t="s">
        <v>854</v>
      </c>
      <c r="D17" t="s">
        <v>1173</v>
      </c>
      <c r="E17" s="1">
        <v>80000</v>
      </c>
      <c r="F17">
        <v>25000</v>
      </c>
      <c r="G17" s="1">
        <f t="shared" si="0"/>
        <v>105000</v>
      </c>
      <c r="H17" s="1" t="e">
        <f>Tabela2[[#Totals],[Total]]/A316</f>
        <v>#DIV/0!</v>
      </c>
    </row>
    <row r="18" spans="1:8">
      <c r="A18">
        <v>17</v>
      </c>
      <c r="B18" t="s">
        <v>1200</v>
      </c>
      <c r="C18" t="s">
        <v>1201</v>
      </c>
      <c r="D18" t="s">
        <v>1173</v>
      </c>
      <c r="E18" s="1">
        <v>120000</v>
      </c>
      <c r="F18">
        <v>25000</v>
      </c>
      <c r="G18" s="1">
        <f t="shared" si="0"/>
        <v>145000</v>
      </c>
      <c r="H18" s="1" t="e">
        <f>Tabela2[[#Totals],[Total]]/A317</f>
        <v>#DIV/0!</v>
      </c>
    </row>
    <row r="19" spans="1:8">
      <c r="A19">
        <v>18</v>
      </c>
      <c r="B19" t="s">
        <v>1202</v>
      </c>
      <c r="C19" t="s">
        <v>1203</v>
      </c>
      <c r="D19" t="s">
        <v>1173</v>
      </c>
      <c r="E19" s="1">
        <v>200000</v>
      </c>
      <c r="F19">
        <v>25000</v>
      </c>
      <c r="G19" s="1">
        <f t="shared" si="0"/>
        <v>225000</v>
      </c>
      <c r="H19" s="1" t="e">
        <f>Tabela2[[#Totals],[Total]]/A318</f>
        <v>#DIV/0!</v>
      </c>
    </row>
    <row r="20" spans="1:8">
      <c r="A20">
        <v>19</v>
      </c>
      <c r="B20" t="s">
        <v>1204</v>
      </c>
      <c r="C20" t="s">
        <v>1205</v>
      </c>
      <c r="D20" t="s">
        <v>1179</v>
      </c>
      <c r="E20" s="1">
        <v>80000</v>
      </c>
      <c r="F20">
        <v>25000</v>
      </c>
      <c r="G20" s="1">
        <f t="shared" si="0"/>
        <v>105000</v>
      </c>
      <c r="H20" s="1" t="e">
        <f>Tabela2[[#Totals],[Total]]/A319</f>
        <v>#DIV/0!</v>
      </c>
    </row>
    <row r="21" spans="1:8">
      <c r="A21">
        <v>20</v>
      </c>
      <c r="B21" t="s">
        <v>1206</v>
      </c>
      <c r="C21" t="s">
        <v>1207</v>
      </c>
      <c r="D21" t="s">
        <v>1176</v>
      </c>
      <c r="E21" s="1">
        <v>200000</v>
      </c>
      <c r="F21">
        <v>25000</v>
      </c>
      <c r="G21" s="1">
        <f t="shared" si="0"/>
        <v>225000</v>
      </c>
      <c r="H21" s="1" t="e">
        <f>Tabela2[[#Totals],[Total]]/A320</f>
        <v>#DIV/0!</v>
      </c>
    </row>
    <row r="22" spans="1:8">
      <c r="A22">
        <v>21</v>
      </c>
      <c r="B22" t="s">
        <v>1208</v>
      </c>
      <c r="C22" t="s">
        <v>1209</v>
      </c>
      <c r="D22" t="s">
        <v>1176</v>
      </c>
      <c r="E22" s="1">
        <v>200000</v>
      </c>
      <c r="F22">
        <v>25000</v>
      </c>
      <c r="G22" s="1">
        <f t="shared" si="0"/>
        <v>225000</v>
      </c>
      <c r="H22" s="1" t="e">
        <f>Tabela2[[#Totals],[Total]]/A321</f>
        <v>#DIV/0!</v>
      </c>
    </row>
    <row r="23" spans="1:8">
      <c r="A23">
        <v>22</v>
      </c>
      <c r="B23" t="s">
        <v>1210</v>
      </c>
      <c r="C23" t="s">
        <v>1211</v>
      </c>
      <c r="D23" t="s">
        <v>1179</v>
      </c>
      <c r="E23" s="1">
        <v>200000</v>
      </c>
      <c r="F23">
        <v>25000</v>
      </c>
      <c r="G23" s="1">
        <f t="shared" si="0"/>
        <v>225000</v>
      </c>
      <c r="H23" s="1" t="e">
        <f>Tabela2[[#Totals],[Total]]/A322</f>
        <v>#DIV/0!</v>
      </c>
    </row>
    <row r="24" spans="1:8">
      <c r="A24">
        <v>23</v>
      </c>
      <c r="B24" t="s">
        <v>1212</v>
      </c>
      <c r="C24" t="s">
        <v>1099</v>
      </c>
      <c r="D24" t="s">
        <v>1173</v>
      </c>
      <c r="E24" s="1">
        <v>120000</v>
      </c>
      <c r="F24">
        <v>25000</v>
      </c>
      <c r="G24" s="1">
        <f t="shared" si="0"/>
        <v>145000</v>
      </c>
      <c r="H24" s="1" t="e">
        <f>Tabela2[[#Totals],[Total]]/A323</f>
        <v>#DIV/0!</v>
      </c>
    </row>
    <row r="25" spans="1:8">
      <c r="A25">
        <v>24</v>
      </c>
      <c r="B25" t="s">
        <v>1213</v>
      </c>
      <c r="C25" t="s">
        <v>1214</v>
      </c>
      <c r="D25" t="s">
        <v>1179</v>
      </c>
      <c r="E25" s="1">
        <v>120000</v>
      </c>
      <c r="F25">
        <v>25000</v>
      </c>
      <c r="G25" s="1">
        <f t="shared" si="0"/>
        <v>145000</v>
      </c>
      <c r="H25" s="1" t="e">
        <f>Tabela2[[#Totals],[Total]]/A324</f>
        <v>#DIV/0!</v>
      </c>
    </row>
    <row r="26" spans="1:8">
      <c r="A26">
        <v>25</v>
      </c>
      <c r="B26" t="s">
        <v>1215</v>
      </c>
      <c r="C26" t="s">
        <v>1216</v>
      </c>
      <c r="D26" t="s">
        <v>1176</v>
      </c>
      <c r="E26" s="1">
        <v>120000</v>
      </c>
      <c r="F26">
        <v>25000</v>
      </c>
      <c r="G26" s="1">
        <f t="shared" si="0"/>
        <v>145000</v>
      </c>
      <c r="H26" s="1" t="e">
        <f>Tabela2[[#Totals],[Total]]/A325</f>
        <v>#DIV/0!</v>
      </c>
    </row>
    <row r="27" spans="1:8">
      <c r="A27">
        <v>26</v>
      </c>
      <c r="B27" t="s">
        <v>1217</v>
      </c>
      <c r="C27" t="s">
        <v>1218</v>
      </c>
      <c r="D27" t="s">
        <v>1173</v>
      </c>
      <c r="E27" s="1">
        <v>120000</v>
      </c>
      <c r="F27">
        <v>25000</v>
      </c>
      <c r="G27" s="1">
        <f t="shared" si="0"/>
        <v>145000</v>
      </c>
      <c r="H27" s="1" t="e">
        <f>Tabela2[[#Totals],[Total]]/A326</f>
        <v>#DIV/0!</v>
      </c>
    </row>
    <row r="28" spans="1:8">
      <c r="A28">
        <v>27</v>
      </c>
      <c r="B28" t="s">
        <v>1219</v>
      </c>
      <c r="C28" t="s">
        <v>422</v>
      </c>
      <c r="D28" t="s">
        <v>1179</v>
      </c>
      <c r="E28" s="1">
        <v>80000</v>
      </c>
      <c r="F28">
        <v>25000</v>
      </c>
      <c r="G28" s="1">
        <f t="shared" si="0"/>
        <v>105000</v>
      </c>
      <c r="H28" s="1" t="e">
        <f>Tabela2[[#Totals],[Total]]/A327</f>
        <v>#DIV/0!</v>
      </c>
    </row>
    <row r="29" spans="1:8">
      <c r="A29">
        <v>28</v>
      </c>
      <c r="B29" t="s">
        <v>1220</v>
      </c>
      <c r="C29" t="s">
        <v>211</v>
      </c>
      <c r="D29" t="s">
        <v>1176</v>
      </c>
      <c r="E29" s="1">
        <v>80000</v>
      </c>
      <c r="F29">
        <v>25000</v>
      </c>
      <c r="G29" s="1">
        <f t="shared" si="0"/>
        <v>105000</v>
      </c>
      <c r="H29" s="1" t="e">
        <f>Tabela2[[#Totals],[Total]]/A328</f>
        <v>#DIV/0!</v>
      </c>
    </row>
    <row r="30" spans="1:8">
      <c r="A30">
        <v>29</v>
      </c>
      <c r="B30" t="s">
        <v>1221</v>
      </c>
      <c r="C30" t="s">
        <v>1222</v>
      </c>
      <c r="D30" t="s">
        <v>1179</v>
      </c>
      <c r="E30" s="1">
        <v>80000</v>
      </c>
      <c r="F30">
        <v>25000</v>
      </c>
      <c r="G30" s="1">
        <f t="shared" si="0"/>
        <v>105000</v>
      </c>
      <c r="H30" s="1" t="e">
        <f>Tabela2[[#Totals],[Total]]/A329</f>
        <v>#DIV/0!</v>
      </c>
    </row>
    <row r="31" spans="1:8">
      <c r="A31">
        <v>30</v>
      </c>
      <c r="B31" t="s">
        <v>1223</v>
      </c>
      <c r="C31" t="s">
        <v>1224</v>
      </c>
      <c r="D31" t="s">
        <v>1179</v>
      </c>
      <c r="E31" s="1">
        <v>80000</v>
      </c>
      <c r="F31">
        <v>25000</v>
      </c>
      <c r="G31" s="1">
        <f t="shared" si="0"/>
        <v>105000</v>
      </c>
      <c r="H31" s="1" t="e">
        <f>Tabela2[[#Totals],[Total]]/A330</f>
        <v>#DIV/0!</v>
      </c>
    </row>
    <row r="32" spans="1:8">
      <c r="A32">
        <v>31</v>
      </c>
      <c r="B32" t="s">
        <v>1225</v>
      </c>
      <c r="C32" t="s">
        <v>1226</v>
      </c>
      <c r="D32" t="s">
        <v>1176</v>
      </c>
      <c r="E32" s="1">
        <v>120000</v>
      </c>
      <c r="F32">
        <v>25000</v>
      </c>
      <c r="G32" s="1">
        <f t="shared" si="0"/>
        <v>145000</v>
      </c>
      <c r="H32" s="1" t="e">
        <f>Tabela2[[#Totals],[Total]]/A331</f>
        <v>#DIV/0!</v>
      </c>
    </row>
    <row r="33" spans="1:8">
      <c r="A33">
        <v>32</v>
      </c>
      <c r="B33" t="s">
        <v>1227</v>
      </c>
      <c r="C33" t="s">
        <v>1228</v>
      </c>
      <c r="D33" t="s">
        <v>1176</v>
      </c>
      <c r="E33" s="1">
        <v>80000</v>
      </c>
      <c r="F33">
        <v>25000</v>
      </c>
      <c r="G33" s="1">
        <f t="shared" si="0"/>
        <v>105000</v>
      </c>
      <c r="H33" s="1" t="e">
        <f>Tabela2[[#Totals],[Total]]/A332</f>
        <v>#DIV/0!</v>
      </c>
    </row>
    <row r="34" spans="1:8">
      <c r="A34">
        <v>33</v>
      </c>
      <c r="B34" t="s">
        <v>1229</v>
      </c>
      <c r="C34" t="s">
        <v>1230</v>
      </c>
      <c r="D34" t="s">
        <v>1173</v>
      </c>
      <c r="E34" s="1">
        <v>120000</v>
      </c>
      <c r="F34">
        <v>25000</v>
      </c>
      <c r="G34" s="1">
        <f t="shared" si="0"/>
        <v>145000</v>
      </c>
      <c r="H34" s="1" t="e">
        <f>Tabela2[[#Totals],[Total]]/A333</f>
        <v>#DIV/0!</v>
      </c>
    </row>
    <row r="35" spans="1:8">
      <c r="A35">
        <v>34</v>
      </c>
      <c r="B35" t="s">
        <v>1231</v>
      </c>
      <c r="C35" t="s">
        <v>1232</v>
      </c>
      <c r="D35" t="s">
        <v>1176</v>
      </c>
      <c r="E35" s="1">
        <v>120000</v>
      </c>
      <c r="F35">
        <v>25000</v>
      </c>
      <c r="G35" s="1">
        <f t="shared" si="0"/>
        <v>145000</v>
      </c>
      <c r="H35" s="1" t="e">
        <f>Tabela2[[#Totals],[Total]]/A334</f>
        <v>#DIV/0!</v>
      </c>
    </row>
    <row r="36" spans="1:8">
      <c r="A36">
        <v>35</v>
      </c>
      <c r="B36" t="s">
        <v>1233</v>
      </c>
      <c r="C36" t="s">
        <v>1234</v>
      </c>
      <c r="D36" t="s">
        <v>1173</v>
      </c>
      <c r="E36" s="1">
        <v>200000</v>
      </c>
      <c r="F36">
        <v>25000</v>
      </c>
      <c r="G36" s="1">
        <f t="shared" si="0"/>
        <v>225000</v>
      </c>
      <c r="H36" s="1" t="e">
        <f>Tabela2[[#Totals],[Total]]/A335</f>
        <v>#DIV/0!</v>
      </c>
    </row>
    <row r="37" spans="1:8">
      <c r="A37">
        <v>36</v>
      </c>
      <c r="B37" t="s">
        <v>1235</v>
      </c>
      <c r="C37" t="s">
        <v>755</v>
      </c>
      <c r="D37" t="s">
        <v>1176</v>
      </c>
      <c r="E37" s="1">
        <v>80000</v>
      </c>
      <c r="F37">
        <v>25000</v>
      </c>
      <c r="G37" s="1">
        <f t="shared" si="0"/>
        <v>105000</v>
      </c>
      <c r="H37" s="1" t="e">
        <f>Tabela2[[#Totals],[Total]]/A336</f>
        <v>#DIV/0!</v>
      </c>
    </row>
    <row r="38" spans="1:8">
      <c r="A38">
        <v>37</v>
      </c>
      <c r="B38" t="s">
        <v>1236</v>
      </c>
      <c r="C38" t="s">
        <v>933</v>
      </c>
      <c r="D38" t="s">
        <v>1173</v>
      </c>
      <c r="E38" s="1">
        <v>200000</v>
      </c>
      <c r="F38">
        <v>25000</v>
      </c>
      <c r="G38" s="1">
        <f t="shared" si="0"/>
        <v>225000</v>
      </c>
      <c r="H38" s="1" t="e">
        <f>Tabela2[[#Totals],[Total]]/A337</f>
        <v>#DIV/0!</v>
      </c>
    </row>
    <row r="39" spans="1:8">
      <c r="A39">
        <v>38</v>
      </c>
      <c r="B39" t="s">
        <v>1237</v>
      </c>
      <c r="C39" t="s">
        <v>1238</v>
      </c>
      <c r="D39" t="s">
        <v>1176</v>
      </c>
      <c r="E39" s="1">
        <v>80000</v>
      </c>
      <c r="F39">
        <v>25000</v>
      </c>
      <c r="G39" s="1">
        <f t="shared" si="0"/>
        <v>105000</v>
      </c>
      <c r="H39" s="1" t="e">
        <f>Tabela2[[#Totals],[Total]]/A338</f>
        <v>#DIV/0!</v>
      </c>
    </row>
    <row r="40" spans="1:8">
      <c r="A40">
        <v>39</v>
      </c>
      <c r="B40" t="s">
        <v>1239</v>
      </c>
      <c r="C40" t="s">
        <v>532</v>
      </c>
      <c r="D40" t="s">
        <v>1173</v>
      </c>
      <c r="E40" s="1">
        <v>120000</v>
      </c>
      <c r="F40">
        <v>25000</v>
      </c>
      <c r="G40" s="1">
        <f t="shared" si="0"/>
        <v>145000</v>
      </c>
      <c r="H40" s="1" t="e">
        <f>Tabela2[[#Totals],[Total]]/A339</f>
        <v>#DIV/0!</v>
      </c>
    </row>
    <row r="41" spans="1:8">
      <c r="A41">
        <v>40</v>
      </c>
      <c r="B41" t="s">
        <v>1240</v>
      </c>
      <c r="C41" t="s">
        <v>1241</v>
      </c>
      <c r="D41" t="s">
        <v>1179</v>
      </c>
      <c r="E41" s="1">
        <v>120000</v>
      </c>
      <c r="F41">
        <v>25000</v>
      </c>
      <c r="G41" s="1">
        <f t="shared" si="0"/>
        <v>145000</v>
      </c>
      <c r="H41" s="1" t="e">
        <f>Tabela2[[#Totals],[Total]]/A340</f>
        <v>#DIV/0!</v>
      </c>
    </row>
    <row r="42" spans="1:8">
      <c r="A42">
        <v>41</v>
      </c>
      <c r="B42" t="s">
        <v>1242</v>
      </c>
      <c r="C42" t="s">
        <v>1243</v>
      </c>
      <c r="D42" t="s">
        <v>1176</v>
      </c>
      <c r="E42" s="1">
        <v>80000</v>
      </c>
      <c r="F42">
        <v>25000</v>
      </c>
      <c r="G42" s="1">
        <f t="shared" si="0"/>
        <v>105000</v>
      </c>
      <c r="H42" s="1" t="e">
        <f>Tabela2[[#Totals],[Total]]/A341</f>
        <v>#DIV/0!</v>
      </c>
    </row>
    <row r="43" spans="1:8">
      <c r="A43">
        <v>42</v>
      </c>
      <c r="B43" t="s">
        <v>1244</v>
      </c>
      <c r="C43" t="s">
        <v>1245</v>
      </c>
      <c r="D43" t="s">
        <v>1176</v>
      </c>
      <c r="E43" s="1">
        <v>200000</v>
      </c>
      <c r="F43">
        <v>25000</v>
      </c>
      <c r="G43" s="1">
        <f t="shared" si="0"/>
        <v>225000</v>
      </c>
      <c r="H43" s="1" t="e">
        <f>Tabela2[[#Totals],[Total]]/A342</f>
        <v>#DIV/0!</v>
      </c>
    </row>
    <row r="44" spans="1:8">
      <c r="A44">
        <v>43</v>
      </c>
      <c r="B44" t="s">
        <v>1246</v>
      </c>
      <c r="C44" t="s">
        <v>1247</v>
      </c>
      <c r="D44" t="s">
        <v>1179</v>
      </c>
      <c r="E44" s="1">
        <v>80000</v>
      </c>
      <c r="F44">
        <v>25000</v>
      </c>
      <c r="G44" s="1">
        <f t="shared" si="0"/>
        <v>105000</v>
      </c>
      <c r="H44" s="1" t="e">
        <f>Tabela2[[#Totals],[Total]]/A343</f>
        <v>#DIV/0!</v>
      </c>
    </row>
    <row r="45" spans="1:8">
      <c r="A45">
        <v>44</v>
      </c>
      <c r="B45" t="s">
        <v>1248</v>
      </c>
      <c r="C45" t="s">
        <v>1249</v>
      </c>
      <c r="D45" t="s">
        <v>1176</v>
      </c>
      <c r="E45" s="1">
        <v>120000</v>
      </c>
      <c r="F45">
        <v>25000</v>
      </c>
      <c r="G45" s="1">
        <f t="shared" si="0"/>
        <v>145000</v>
      </c>
      <c r="H45" s="1" t="e">
        <f>Tabela2[[#Totals],[Total]]/A344</f>
        <v>#DIV/0!</v>
      </c>
    </row>
    <row r="46" spans="1:8">
      <c r="A46">
        <v>45</v>
      </c>
      <c r="B46" t="s">
        <v>1250</v>
      </c>
      <c r="C46" t="s">
        <v>1251</v>
      </c>
      <c r="D46" t="s">
        <v>1173</v>
      </c>
      <c r="E46" s="1">
        <v>200000</v>
      </c>
      <c r="F46">
        <v>25000</v>
      </c>
      <c r="G46" s="1">
        <f t="shared" si="0"/>
        <v>225000</v>
      </c>
      <c r="H46" s="1" t="e">
        <f>Tabela2[[#Totals],[Total]]/A345</f>
        <v>#DIV/0!</v>
      </c>
    </row>
    <row r="47" spans="1:8">
      <c r="A47">
        <v>46</v>
      </c>
      <c r="B47" t="s">
        <v>1252</v>
      </c>
      <c r="C47" t="s">
        <v>1253</v>
      </c>
      <c r="D47" t="s">
        <v>1179</v>
      </c>
      <c r="E47" s="1">
        <v>200000</v>
      </c>
      <c r="F47">
        <v>25000</v>
      </c>
      <c r="G47" s="1">
        <f t="shared" si="0"/>
        <v>225000</v>
      </c>
      <c r="H47" s="1" t="e">
        <f>Tabela2[[#Totals],[Total]]/A346</f>
        <v>#DIV/0!</v>
      </c>
    </row>
    <row r="48" spans="1:8">
      <c r="A48">
        <v>47</v>
      </c>
      <c r="B48" t="s">
        <v>1254</v>
      </c>
      <c r="C48" t="s">
        <v>1255</v>
      </c>
      <c r="D48" t="s">
        <v>1176</v>
      </c>
      <c r="E48" s="1">
        <v>120000</v>
      </c>
      <c r="F48">
        <v>25000</v>
      </c>
      <c r="G48" s="1">
        <f t="shared" si="0"/>
        <v>145000</v>
      </c>
      <c r="H48" s="1" t="e">
        <f>Tabela2[[#Totals],[Total]]/A347</f>
        <v>#DIV/0!</v>
      </c>
    </row>
    <row r="49" spans="1:8">
      <c r="A49">
        <v>48</v>
      </c>
      <c r="B49" t="s">
        <v>1256</v>
      </c>
      <c r="C49" t="s">
        <v>1257</v>
      </c>
      <c r="D49" t="s">
        <v>1176</v>
      </c>
      <c r="E49" s="1">
        <v>200000</v>
      </c>
      <c r="F49">
        <v>25000</v>
      </c>
      <c r="G49" s="1">
        <f t="shared" si="0"/>
        <v>225000</v>
      </c>
      <c r="H49" s="1" t="e">
        <f>Tabela2[[#Totals],[Total]]/A348</f>
        <v>#DIV/0!</v>
      </c>
    </row>
    <row r="50" spans="1:8">
      <c r="A50">
        <v>49</v>
      </c>
      <c r="B50" t="s">
        <v>1258</v>
      </c>
      <c r="C50" t="s">
        <v>1259</v>
      </c>
      <c r="D50" t="s">
        <v>1176</v>
      </c>
      <c r="E50" s="1">
        <v>200000</v>
      </c>
      <c r="F50">
        <v>25000</v>
      </c>
      <c r="G50" s="1">
        <f t="shared" si="0"/>
        <v>225000</v>
      </c>
      <c r="H50" s="1" t="e">
        <f>Tabela2[[#Totals],[Total]]/A349</f>
        <v>#DIV/0!</v>
      </c>
    </row>
    <row r="51" spans="1:8">
      <c r="A51">
        <v>50</v>
      </c>
      <c r="B51" t="s">
        <v>1260</v>
      </c>
      <c r="C51" t="s">
        <v>1261</v>
      </c>
      <c r="D51" t="s">
        <v>1176</v>
      </c>
      <c r="E51" s="1">
        <v>200000</v>
      </c>
      <c r="F51">
        <v>25000</v>
      </c>
      <c r="G51" s="1">
        <f t="shared" si="0"/>
        <v>225000</v>
      </c>
      <c r="H51" s="1" t="e">
        <f>Tabela2[[#Totals],[Total]]/A350</f>
        <v>#DIV/0!</v>
      </c>
    </row>
    <row r="52" spans="1:8">
      <c r="A52">
        <v>51</v>
      </c>
      <c r="B52" t="s">
        <v>1262</v>
      </c>
      <c r="C52" t="s">
        <v>1263</v>
      </c>
      <c r="D52" t="s">
        <v>1173</v>
      </c>
      <c r="E52" s="1">
        <v>80000</v>
      </c>
      <c r="F52">
        <v>25000</v>
      </c>
      <c r="G52" s="1">
        <f t="shared" si="0"/>
        <v>105000</v>
      </c>
      <c r="H52" s="1" t="e">
        <f>Tabela2[[#Totals],[Total]]/A351</f>
        <v>#DIV/0!</v>
      </c>
    </row>
    <row r="53" spans="1:8">
      <c r="A53">
        <v>52</v>
      </c>
      <c r="B53" t="s">
        <v>1264</v>
      </c>
      <c r="C53" t="s">
        <v>1249</v>
      </c>
      <c r="D53" t="s">
        <v>1176</v>
      </c>
      <c r="E53" s="1">
        <v>120000</v>
      </c>
      <c r="F53">
        <v>25000</v>
      </c>
      <c r="G53" s="1">
        <f t="shared" si="0"/>
        <v>145000</v>
      </c>
      <c r="H53" s="1" t="e">
        <f>Tabela2[[#Totals],[Total]]/A352</f>
        <v>#DIV/0!</v>
      </c>
    </row>
    <row r="54" spans="1:8">
      <c r="A54">
        <v>53</v>
      </c>
      <c r="B54" t="s">
        <v>1265</v>
      </c>
      <c r="C54" t="s">
        <v>877</v>
      </c>
      <c r="D54" t="s">
        <v>1176</v>
      </c>
      <c r="E54" s="1">
        <v>200000</v>
      </c>
      <c r="F54">
        <v>25000</v>
      </c>
      <c r="G54" s="1">
        <f t="shared" si="0"/>
        <v>225000</v>
      </c>
      <c r="H54" s="1" t="e">
        <f>Tabela2[[#Totals],[Total]]/A353</f>
        <v>#DIV/0!</v>
      </c>
    </row>
    <row r="55" spans="1:8">
      <c r="A55">
        <v>54</v>
      </c>
      <c r="B55" t="s">
        <v>1266</v>
      </c>
      <c r="C55" t="s">
        <v>262</v>
      </c>
      <c r="D55" t="s">
        <v>1179</v>
      </c>
      <c r="E55" s="1">
        <v>80000</v>
      </c>
      <c r="F55">
        <v>25000</v>
      </c>
      <c r="G55" s="1">
        <f t="shared" si="0"/>
        <v>105000</v>
      </c>
      <c r="H55" s="1" t="e">
        <f>Tabela2[[#Totals],[Total]]/A354</f>
        <v>#DIV/0!</v>
      </c>
    </row>
    <row r="56" spans="1:8">
      <c r="A56">
        <v>55</v>
      </c>
      <c r="B56" t="s">
        <v>1267</v>
      </c>
      <c r="C56" t="s">
        <v>1249</v>
      </c>
      <c r="D56" t="s">
        <v>1179</v>
      </c>
      <c r="E56" s="1">
        <v>80000</v>
      </c>
      <c r="F56">
        <v>25000</v>
      </c>
      <c r="G56" s="1">
        <f t="shared" si="0"/>
        <v>105000</v>
      </c>
      <c r="H56" s="1" t="e">
        <f>Tabela2[[#Totals],[Total]]/A355</f>
        <v>#DIV/0!</v>
      </c>
    </row>
    <row r="57" spans="1:8">
      <c r="A57">
        <v>56</v>
      </c>
      <c r="B57" t="s">
        <v>1268</v>
      </c>
      <c r="C57" t="s">
        <v>66</v>
      </c>
      <c r="D57" t="s">
        <v>1173</v>
      </c>
      <c r="E57" s="1">
        <v>80000</v>
      </c>
      <c r="F57">
        <v>25000</v>
      </c>
      <c r="G57" s="1">
        <f t="shared" si="0"/>
        <v>105000</v>
      </c>
      <c r="H57" s="1" t="e">
        <f>Tabela2[[#Totals],[Total]]/A356</f>
        <v>#DIV/0!</v>
      </c>
    </row>
    <row r="58" spans="1:8">
      <c r="A58">
        <v>57</v>
      </c>
      <c r="B58" t="s">
        <v>1269</v>
      </c>
      <c r="C58" t="s">
        <v>1270</v>
      </c>
      <c r="D58" t="s">
        <v>1173</v>
      </c>
      <c r="E58" s="1">
        <v>120000</v>
      </c>
      <c r="F58">
        <v>25000</v>
      </c>
      <c r="G58" s="1">
        <f t="shared" si="0"/>
        <v>145000</v>
      </c>
      <c r="H58" s="1" t="e">
        <f>Tabela2[[#Totals],[Total]]/A357</f>
        <v>#DIV/0!</v>
      </c>
    </row>
    <row r="59" spans="1:8">
      <c r="A59">
        <v>58</v>
      </c>
      <c r="B59" t="s">
        <v>1271</v>
      </c>
      <c r="C59" t="s">
        <v>789</v>
      </c>
      <c r="D59" t="s">
        <v>1179</v>
      </c>
      <c r="E59" s="1">
        <v>80000</v>
      </c>
      <c r="F59">
        <v>25000</v>
      </c>
      <c r="G59" s="1">
        <f t="shared" si="0"/>
        <v>105000</v>
      </c>
      <c r="H59" s="1" t="e">
        <f>Tabela2[[#Totals],[Total]]/A358</f>
        <v>#DIV/0!</v>
      </c>
    </row>
    <row r="60" spans="1:8">
      <c r="A60">
        <v>59</v>
      </c>
      <c r="B60" t="s">
        <v>1272</v>
      </c>
      <c r="C60" t="s">
        <v>751</v>
      </c>
      <c r="D60" t="s">
        <v>1179</v>
      </c>
      <c r="E60" s="1">
        <v>120000</v>
      </c>
      <c r="F60">
        <v>25000</v>
      </c>
      <c r="G60" s="1">
        <f t="shared" si="0"/>
        <v>145000</v>
      </c>
      <c r="H60" s="1" t="e">
        <f>Tabela2[[#Totals],[Total]]/A359</f>
        <v>#DIV/0!</v>
      </c>
    </row>
    <row r="61" spans="1:8">
      <c r="A61">
        <v>60</v>
      </c>
      <c r="B61" t="s">
        <v>1273</v>
      </c>
      <c r="C61" t="s">
        <v>1274</v>
      </c>
      <c r="D61" t="s">
        <v>1176</v>
      </c>
      <c r="E61" s="1">
        <v>200000</v>
      </c>
      <c r="F61">
        <v>25000</v>
      </c>
      <c r="G61" s="1">
        <f t="shared" si="0"/>
        <v>225000</v>
      </c>
      <c r="H61" s="1" t="e">
        <f>Tabela2[[#Totals],[Total]]/A360</f>
        <v>#DIV/0!</v>
      </c>
    </row>
    <row r="62" spans="1:8">
      <c r="A62">
        <v>61</v>
      </c>
      <c r="B62" t="s">
        <v>1275</v>
      </c>
      <c r="C62" t="s">
        <v>1276</v>
      </c>
      <c r="D62" t="s">
        <v>1173</v>
      </c>
      <c r="E62" s="1">
        <v>120000</v>
      </c>
      <c r="F62">
        <v>25000</v>
      </c>
      <c r="G62" s="1">
        <f t="shared" si="0"/>
        <v>145000</v>
      </c>
      <c r="H62" s="1" t="e">
        <f>Tabela2[[#Totals],[Total]]/A361</f>
        <v>#DIV/0!</v>
      </c>
    </row>
    <row r="63" spans="1:8">
      <c r="A63">
        <v>62</v>
      </c>
      <c r="B63" t="s">
        <v>1277</v>
      </c>
      <c r="C63" t="s">
        <v>1278</v>
      </c>
      <c r="D63" t="s">
        <v>1179</v>
      </c>
      <c r="E63" s="1">
        <v>120000</v>
      </c>
      <c r="F63">
        <v>25000</v>
      </c>
      <c r="G63" s="1">
        <f t="shared" si="0"/>
        <v>145000</v>
      </c>
      <c r="H63" s="1" t="e">
        <f>Tabela2[[#Totals],[Total]]/A362</f>
        <v>#DIV/0!</v>
      </c>
    </row>
    <row r="64" spans="1:8">
      <c r="A64">
        <v>63</v>
      </c>
      <c r="B64" t="s">
        <v>1279</v>
      </c>
      <c r="C64" t="s">
        <v>1280</v>
      </c>
      <c r="D64" t="s">
        <v>1179</v>
      </c>
      <c r="E64" s="1">
        <v>200000</v>
      </c>
      <c r="F64">
        <v>25000</v>
      </c>
      <c r="G64" s="1">
        <f t="shared" si="0"/>
        <v>225000</v>
      </c>
      <c r="H64" s="1" t="e">
        <f>Tabela2[[#Totals],[Total]]/A363</f>
        <v>#DIV/0!</v>
      </c>
    </row>
    <row r="65" spans="1:8">
      <c r="A65">
        <v>64</v>
      </c>
      <c r="B65" t="s">
        <v>1281</v>
      </c>
      <c r="C65" t="s">
        <v>414</v>
      </c>
      <c r="D65" t="s">
        <v>1173</v>
      </c>
      <c r="E65" s="1">
        <v>200000</v>
      </c>
      <c r="F65">
        <v>25000</v>
      </c>
      <c r="G65" s="1">
        <f t="shared" si="0"/>
        <v>225000</v>
      </c>
      <c r="H65" s="1" t="e">
        <f>Tabela2[[#Totals],[Total]]/A364</f>
        <v>#DIV/0!</v>
      </c>
    </row>
    <row r="66" spans="1:8">
      <c r="A66">
        <v>65</v>
      </c>
      <c r="B66" t="s">
        <v>1282</v>
      </c>
      <c r="C66" t="s">
        <v>590</v>
      </c>
      <c r="D66" t="s">
        <v>1176</v>
      </c>
      <c r="E66" s="1">
        <v>120000</v>
      </c>
      <c r="F66">
        <v>25000</v>
      </c>
      <c r="G66" s="1">
        <f t="shared" si="0"/>
        <v>145000</v>
      </c>
      <c r="H66" s="1" t="e">
        <f>Tabela2[[#Totals],[Total]]/A365</f>
        <v>#DIV/0!</v>
      </c>
    </row>
    <row r="67" spans="1:8">
      <c r="A67">
        <v>66</v>
      </c>
      <c r="B67" t="s">
        <v>1283</v>
      </c>
      <c r="C67" t="s">
        <v>358</v>
      </c>
      <c r="D67" t="s">
        <v>1176</v>
      </c>
      <c r="E67" s="1">
        <v>80000</v>
      </c>
      <c r="F67">
        <v>25000</v>
      </c>
      <c r="G67" s="1">
        <f t="shared" ref="G67:G130" si="1">E67+F67</f>
        <v>105000</v>
      </c>
      <c r="H67" s="1" t="e">
        <f>Tabela2[[#Totals],[Total]]/A366</f>
        <v>#DIV/0!</v>
      </c>
    </row>
    <row r="68" spans="1:8">
      <c r="A68">
        <v>67</v>
      </c>
      <c r="B68" t="s">
        <v>1284</v>
      </c>
      <c r="C68" t="s">
        <v>1285</v>
      </c>
      <c r="D68" t="s">
        <v>1179</v>
      </c>
      <c r="E68" s="1">
        <v>200000</v>
      </c>
      <c r="F68">
        <v>25000</v>
      </c>
      <c r="G68" s="1">
        <f t="shared" si="1"/>
        <v>225000</v>
      </c>
      <c r="H68" s="1" t="e">
        <f>Tabela2[[#Totals],[Total]]/A367</f>
        <v>#DIV/0!</v>
      </c>
    </row>
    <row r="69" spans="1:8">
      <c r="A69">
        <v>68</v>
      </c>
      <c r="B69" t="s">
        <v>1286</v>
      </c>
      <c r="C69" t="s">
        <v>1287</v>
      </c>
      <c r="D69" t="s">
        <v>1179</v>
      </c>
      <c r="E69" s="1">
        <v>80000</v>
      </c>
      <c r="F69">
        <v>25000</v>
      </c>
      <c r="G69" s="1">
        <f t="shared" si="1"/>
        <v>105000</v>
      </c>
      <c r="H69" s="1" t="e">
        <f>Tabela2[[#Totals],[Total]]/A368</f>
        <v>#DIV/0!</v>
      </c>
    </row>
    <row r="70" spans="1:8">
      <c r="A70">
        <v>69</v>
      </c>
      <c r="B70" t="s">
        <v>1288</v>
      </c>
      <c r="C70" t="s">
        <v>1289</v>
      </c>
      <c r="D70" t="s">
        <v>1179</v>
      </c>
      <c r="E70" s="1">
        <v>80000</v>
      </c>
      <c r="F70">
        <v>25000</v>
      </c>
      <c r="G70" s="1">
        <f t="shared" si="1"/>
        <v>105000</v>
      </c>
      <c r="H70" s="1" t="e">
        <f>Tabela2[[#Totals],[Total]]/A369</f>
        <v>#DIV/0!</v>
      </c>
    </row>
    <row r="71" spans="1:8">
      <c r="A71">
        <v>70</v>
      </c>
      <c r="B71" t="s">
        <v>1290</v>
      </c>
      <c r="C71" t="s">
        <v>1291</v>
      </c>
      <c r="D71" t="s">
        <v>1173</v>
      </c>
      <c r="E71" s="1">
        <v>80000</v>
      </c>
      <c r="F71">
        <v>25000</v>
      </c>
      <c r="G71" s="1">
        <f t="shared" si="1"/>
        <v>105000</v>
      </c>
      <c r="H71" s="1" t="e">
        <f>Tabela2[[#Totals],[Total]]/A370</f>
        <v>#DIV/0!</v>
      </c>
    </row>
    <row r="72" spans="1:8">
      <c r="A72">
        <v>71</v>
      </c>
      <c r="B72" t="s">
        <v>1292</v>
      </c>
      <c r="C72" t="s">
        <v>180</v>
      </c>
      <c r="D72" t="s">
        <v>1176</v>
      </c>
      <c r="E72" s="1">
        <v>120000</v>
      </c>
      <c r="F72">
        <v>25000</v>
      </c>
      <c r="G72" s="1">
        <f t="shared" si="1"/>
        <v>145000</v>
      </c>
      <c r="H72" s="1" t="e">
        <f>Tabela2[[#Totals],[Total]]/A371</f>
        <v>#DIV/0!</v>
      </c>
    </row>
    <row r="73" spans="1:8">
      <c r="A73">
        <v>72</v>
      </c>
      <c r="B73" t="s">
        <v>1293</v>
      </c>
      <c r="C73" t="s">
        <v>49</v>
      </c>
      <c r="D73" t="s">
        <v>1176</v>
      </c>
      <c r="E73" s="1">
        <v>80000</v>
      </c>
      <c r="F73">
        <v>25000</v>
      </c>
      <c r="G73" s="1">
        <f t="shared" si="1"/>
        <v>105000</v>
      </c>
      <c r="H73" s="1" t="e">
        <f>Tabela2[[#Totals],[Total]]/A372</f>
        <v>#DIV/0!</v>
      </c>
    </row>
    <row r="74" spans="1:8">
      <c r="A74">
        <v>73</v>
      </c>
      <c r="B74" t="s">
        <v>1294</v>
      </c>
      <c r="C74" t="s">
        <v>1295</v>
      </c>
      <c r="D74" t="s">
        <v>1173</v>
      </c>
      <c r="E74" s="1">
        <v>120000</v>
      </c>
      <c r="F74">
        <v>25000</v>
      </c>
      <c r="G74" s="1">
        <f t="shared" si="1"/>
        <v>145000</v>
      </c>
      <c r="H74" s="1" t="e">
        <f>Tabela2[[#Totals],[Total]]/A373</f>
        <v>#DIV/0!</v>
      </c>
    </row>
    <row r="75" spans="1:8">
      <c r="A75">
        <v>74</v>
      </c>
      <c r="B75" t="s">
        <v>1296</v>
      </c>
      <c r="C75" t="s">
        <v>1297</v>
      </c>
      <c r="D75" t="s">
        <v>1179</v>
      </c>
      <c r="E75" s="1">
        <v>200000</v>
      </c>
      <c r="F75">
        <v>25000</v>
      </c>
      <c r="G75" s="1">
        <f t="shared" si="1"/>
        <v>225000</v>
      </c>
      <c r="H75" s="1" t="e">
        <f>Tabela2[[#Totals],[Total]]/A374</f>
        <v>#DIV/0!</v>
      </c>
    </row>
    <row r="76" spans="1:8">
      <c r="A76">
        <v>75</v>
      </c>
      <c r="B76" t="s">
        <v>1298</v>
      </c>
      <c r="C76" t="s">
        <v>1299</v>
      </c>
      <c r="D76" t="s">
        <v>1173</v>
      </c>
      <c r="E76" s="1">
        <v>80000</v>
      </c>
      <c r="F76">
        <v>25000</v>
      </c>
      <c r="G76" s="1">
        <f t="shared" si="1"/>
        <v>105000</v>
      </c>
      <c r="H76" s="1" t="e">
        <f>Tabela2[[#Totals],[Total]]/A375</f>
        <v>#DIV/0!</v>
      </c>
    </row>
    <row r="77" spans="1:8">
      <c r="A77">
        <v>76</v>
      </c>
      <c r="B77" t="s">
        <v>1300</v>
      </c>
      <c r="C77" t="s">
        <v>1301</v>
      </c>
      <c r="D77" t="s">
        <v>1176</v>
      </c>
      <c r="E77" s="1">
        <v>200000</v>
      </c>
      <c r="F77">
        <v>25000</v>
      </c>
      <c r="G77" s="1">
        <f t="shared" si="1"/>
        <v>225000</v>
      </c>
      <c r="H77" s="1" t="e">
        <f>Tabela2[[#Totals],[Total]]/A376</f>
        <v>#DIV/0!</v>
      </c>
    </row>
    <row r="78" spans="1:8">
      <c r="A78">
        <v>77</v>
      </c>
      <c r="B78" t="s">
        <v>1302</v>
      </c>
      <c r="C78" t="s">
        <v>1303</v>
      </c>
      <c r="D78" t="s">
        <v>1179</v>
      </c>
      <c r="E78" s="1">
        <v>200000</v>
      </c>
      <c r="F78">
        <v>25000</v>
      </c>
      <c r="G78" s="1">
        <f t="shared" si="1"/>
        <v>225000</v>
      </c>
      <c r="H78" s="1" t="e">
        <f>Tabela2[[#Totals],[Total]]/A377</f>
        <v>#DIV/0!</v>
      </c>
    </row>
    <row r="79" spans="1:8">
      <c r="A79">
        <v>78</v>
      </c>
      <c r="B79" t="s">
        <v>1304</v>
      </c>
      <c r="C79" t="s">
        <v>1207</v>
      </c>
      <c r="D79" t="s">
        <v>1179</v>
      </c>
      <c r="E79" s="1">
        <v>120000</v>
      </c>
      <c r="F79">
        <v>25000</v>
      </c>
      <c r="G79" s="1">
        <f t="shared" si="1"/>
        <v>145000</v>
      </c>
      <c r="H79" s="1" t="e">
        <f>Tabela2[[#Totals],[Total]]/A378</f>
        <v>#DIV/0!</v>
      </c>
    </row>
    <row r="80" spans="1:8">
      <c r="A80">
        <v>79</v>
      </c>
      <c r="B80" t="s">
        <v>1305</v>
      </c>
      <c r="C80" t="s">
        <v>1306</v>
      </c>
      <c r="D80" t="s">
        <v>1176</v>
      </c>
      <c r="E80" s="1">
        <v>200000</v>
      </c>
      <c r="F80">
        <v>25000</v>
      </c>
      <c r="G80" s="1">
        <f t="shared" si="1"/>
        <v>225000</v>
      </c>
      <c r="H80" s="1" t="e">
        <f>Tabela2[[#Totals],[Total]]/A379</f>
        <v>#DIV/0!</v>
      </c>
    </row>
    <row r="81" spans="1:8">
      <c r="A81">
        <v>80</v>
      </c>
      <c r="B81" t="s">
        <v>1307</v>
      </c>
      <c r="C81" t="s">
        <v>1308</v>
      </c>
      <c r="D81" t="s">
        <v>1179</v>
      </c>
      <c r="E81" s="1">
        <v>80000</v>
      </c>
      <c r="F81">
        <v>25000</v>
      </c>
      <c r="G81" s="1">
        <f t="shared" si="1"/>
        <v>105000</v>
      </c>
      <c r="H81" s="1" t="e">
        <f>Tabela2[[#Totals],[Total]]/A380</f>
        <v>#DIV/0!</v>
      </c>
    </row>
    <row r="82" spans="1:8">
      <c r="A82">
        <v>81</v>
      </c>
      <c r="B82" t="s">
        <v>1309</v>
      </c>
      <c r="C82" t="s">
        <v>1310</v>
      </c>
      <c r="D82" t="s">
        <v>1179</v>
      </c>
      <c r="E82" s="1">
        <v>200000</v>
      </c>
      <c r="F82">
        <v>25000</v>
      </c>
      <c r="G82" s="1">
        <f t="shared" si="1"/>
        <v>225000</v>
      </c>
      <c r="H82" s="1" t="e">
        <f>Tabela2[[#Totals],[Total]]/A381</f>
        <v>#DIV/0!</v>
      </c>
    </row>
    <row r="83" spans="1:8">
      <c r="A83">
        <v>82</v>
      </c>
      <c r="B83" t="s">
        <v>1311</v>
      </c>
      <c r="C83" t="s">
        <v>869</v>
      </c>
      <c r="D83" t="s">
        <v>1173</v>
      </c>
      <c r="E83" s="1">
        <v>120000</v>
      </c>
      <c r="F83">
        <v>25000</v>
      </c>
      <c r="G83" s="1">
        <f t="shared" si="1"/>
        <v>145000</v>
      </c>
      <c r="H83" s="1" t="e">
        <f>Tabela2[[#Totals],[Total]]/A382</f>
        <v>#DIV/0!</v>
      </c>
    </row>
    <row r="84" spans="1:8">
      <c r="A84">
        <v>83</v>
      </c>
      <c r="B84" t="s">
        <v>1312</v>
      </c>
      <c r="C84" t="s">
        <v>1313</v>
      </c>
      <c r="D84" t="s">
        <v>1179</v>
      </c>
      <c r="E84" s="1">
        <v>80000</v>
      </c>
      <c r="F84">
        <v>25000</v>
      </c>
      <c r="G84" s="1">
        <f t="shared" si="1"/>
        <v>105000</v>
      </c>
      <c r="H84" s="1" t="e">
        <f>Tabela2[[#Totals],[Total]]/A383</f>
        <v>#DIV/0!</v>
      </c>
    </row>
    <row r="85" spans="1:8">
      <c r="A85">
        <v>84</v>
      </c>
      <c r="B85" t="s">
        <v>1314</v>
      </c>
      <c r="C85" t="s">
        <v>486</v>
      </c>
      <c r="D85" t="s">
        <v>1179</v>
      </c>
      <c r="E85" s="1">
        <v>120000</v>
      </c>
      <c r="F85">
        <v>25000</v>
      </c>
      <c r="G85" s="1">
        <f t="shared" si="1"/>
        <v>145000</v>
      </c>
      <c r="H85" s="1" t="e">
        <f>Tabela2[[#Totals],[Total]]/A384</f>
        <v>#DIV/0!</v>
      </c>
    </row>
    <row r="86" spans="1:8">
      <c r="A86">
        <v>85</v>
      </c>
      <c r="B86" t="s">
        <v>1315</v>
      </c>
      <c r="C86" t="s">
        <v>1316</v>
      </c>
      <c r="D86" t="s">
        <v>1173</v>
      </c>
      <c r="E86" s="1">
        <v>120000</v>
      </c>
      <c r="F86">
        <v>25000</v>
      </c>
      <c r="G86" s="1">
        <f t="shared" si="1"/>
        <v>145000</v>
      </c>
      <c r="H86" s="1" t="e">
        <f>Tabela2[[#Totals],[Total]]/A385</f>
        <v>#DIV/0!</v>
      </c>
    </row>
    <row r="87" spans="1:8">
      <c r="A87">
        <v>86</v>
      </c>
      <c r="B87" t="s">
        <v>1317</v>
      </c>
      <c r="C87" t="s">
        <v>273</v>
      </c>
      <c r="D87" t="s">
        <v>1173</v>
      </c>
      <c r="E87" s="1">
        <v>80000</v>
      </c>
      <c r="F87">
        <v>25000</v>
      </c>
      <c r="G87" s="1">
        <f t="shared" si="1"/>
        <v>105000</v>
      </c>
      <c r="H87" s="1" t="e">
        <f>Tabela2[[#Totals],[Total]]/A386</f>
        <v>#DIV/0!</v>
      </c>
    </row>
    <row r="88" spans="1:8">
      <c r="A88">
        <v>87</v>
      </c>
      <c r="B88" t="s">
        <v>1318</v>
      </c>
      <c r="C88" t="s">
        <v>1319</v>
      </c>
      <c r="D88" t="s">
        <v>1179</v>
      </c>
      <c r="E88" s="1">
        <v>200000</v>
      </c>
      <c r="F88">
        <v>25000</v>
      </c>
      <c r="G88" s="1">
        <f t="shared" si="1"/>
        <v>225000</v>
      </c>
      <c r="H88" s="1" t="e">
        <f>Tabela2[[#Totals],[Total]]/A387</f>
        <v>#DIV/0!</v>
      </c>
    </row>
    <row r="89" spans="1:8">
      <c r="A89">
        <v>88</v>
      </c>
      <c r="B89" t="s">
        <v>1320</v>
      </c>
      <c r="C89" t="s">
        <v>1321</v>
      </c>
      <c r="D89" t="s">
        <v>1179</v>
      </c>
      <c r="E89" s="1">
        <v>200000</v>
      </c>
      <c r="F89">
        <v>25000</v>
      </c>
      <c r="G89" s="1">
        <f t="shared" si="1"/>
        <v>225000</v>
      </c>
      <c r="H89" s="1" t="e">
        <f>Tabela2[[#Totals],[Total]]/A388</f>
        <v>#DIV/0!</v>
      </c>
    </row>
    <row r="90" spans="1:8">
      <c r="A90">
        <v>89</v>
      </c>
      <c r="B90" t="s">
        <v>1322</v>
      </c>
      <c r="C90" t="s">
        <v>305</v>
      </c>
      <c r="D90" t="s">
        <v>1176</v>
      </c>
      <c r="E90" s="1">
        <v>120000</v>
      </c>
      <c r="F90">
        <v>25000</v>
      </c>
      <c r="G90" s="1">
        <f t="shared" si="1"/>
        <v>145000</v>
      </c>
      <c r="H90" s="1" t="e">
        <f>Tabela2[[#Totals],[Total]]/A389</f>
        <v>#DIV/0!</v>
      </c>
    </row>
    <row r="91" spans="1:8">
      <c r="A91">
        <v>90</v>
      </c>
      <c r="B91" t="s">
        <v>1323</v>
      </c>
      <c r="C91" t="s">
        <v>1324</v>
      </c>
      <c r="D91" t="s">
        <v>1179</v>
      </c>
      <c r="E91" s="1">
        <v>80000</v>
      </c>
      <c r="F91">
        <v>25000</v>
      </c>
      <c r="G91" s="1">
        <f t="shared" si="1"/>
        <v>105000</v>
      </c>
      <c r="H91" s="1" t="e">
        <f>Tabela2[[#Totals],[Total]]/A390</f>
        <v>#DIV/0!</v>
      </c>
    </row>
    <row r="92" spans="1:8">
      <c r="A92">
        <v>91</v>
      </c>
      <c r="B92" t="s">
        <v>1325</v>
      </c>
      <c r="C92" t="s">
        <v>1326</v>
      </c>
      <c r="D92" t="s">
        <v>1176</v>
      </c>
      <c r="E92" s="1">
        <v>80000</v>
      </c>
      <c r="F92">
        <v>25000</v>
      </c>
      <c r="G92" s="1">
        <f t="shared" si="1"/>
        <v>105000</v>
      </c>
      <c r="H92" s="1" t="e">
        <f>Tabela2[[#Totals],[Total]]/A391</f>
        <v>#DIV/0!</v>
      </c>
    </row>
    <row r="93" spans="1:8">
      <c r="A93">
        <v>92</v>
      </c>
      <c r="B93" t="s">
        <v>1327</v>
      </c>
      <c r="C93" t="s">
        <v>1328</v>
      </c>
      <c r="D93" t="s">
        <v>1179</v>
      </c>
      <c r="E93" s="1">
        <v>200000</v>
      </c>
      <c r="F93">
        <v>25000</v>
      </c>
      <c r="G93" s="1">
        <f t="shared" si="1"/>
        <v>225000</v>
      </c>
      <c r="H93" s="1" t="e">
        <f>Tabela2[[#Totals],[Total]]/A392</f>
        <v>#DIV/0!</v>
      </c>
    </row>
    <row r="94" spans="1:8">
      <c r="A94">
        <v>93</v>
      </c>
      <c r="B94" t="s">
        <v>1329</v>
      </c>
      <c r="C94" t="s">
        <v>547</v>
      </c>
      <c r="D94" t="s">
        <v>1179</v>
      </c>
      <c r="E94" s="1">
        <v>200000</v>
      </c>
      <c r="F94">
        <v>25000</v>
      </c>
      <c r="G94" s="1">
        <f t="shared" si="1"/>
        <v>225000</v>
      </c>
      <c r="H94" s="1" t="e">
        <f>Tabela2[[#Totals],[Total]]/A393</f>
        <v>#DIV/0!</v>
      </c>
    </row>
    <row r="95" spans="1:8">
      <c r="A95">
        <v>94</v>
      </c>
      <c r="B95" t="s">
        <v>1330</v>
      </c>
      <c r="C95" t="s">
        <v>57</v>
      </c>
      <c r="D95" t="s">
        <v>1176</v>
      </c>
      <c r="E95" s="1">
        <v>80000</v>
      </c>
      <c r="F95">
        <v>25000</v>
      </c>
      <c r="G95" s="1">
        <f t="shared" si="1"/>
        <v>105000</v>
      </c>
      <c r="H95" s="1" t="e">
        <f>Tabela2[[#Totals],[Total]]/A394</f>
        <v>#DIV/0!</v>
      </c>
    </row>
    <row r="96" spans="1:8">
      <c r="A96">
        <v>95</v>
      </c>
      <c r="B96" t="s">
        <v>1331</v>
      </c>
      <c r="C96" t="s">
        <v>1332</v>
      </c>
      <c r="D96" t="s">
        <v>1176</v>
      </c>
      <c r="E96" s="1">
        <v>200000</v>
      </c>
      <c r="F96">
        <v>25000</v>
      </c>
      <c r="G96" s="1">
        <f t="shared" si="1"/>
        <v>225000</v>
      </c>
      <c r="H96" s="1" t="e">
        <f>Tabela2[[#Totals],[Total]]/A395</f>
        <v>#DIV/0!</v>
      </c>
    </row>
    <row r="97" spans="1:8">
      <c r="A97">
        <v>96</v>
      </c>
      <c r="B97" t="s">
        <v>1333</v>
      </c>
      <c r="C97" t="s">
        <v>1334</v>
      </c>
      <c r="D97" t="s">
        <v>1179</v>
      </c>
      <c r="E97" s="1">
        <v>80000</v>
      </c>
      <c r="F97">
        <v>25000</v>
      </c>
      <c r="G97" s="1">
        <f t="shared" si="1"/>
        <v>105000</v>
      </c>
      <c r="H97" s="1" t="e">
        <f>Tabela2[[#Totals],[Total]]/A396</f>
        <v>#DIV/0!</v>
      </c>
    </row>
    <row r="98" spans="1:8">
      <c r="A98">
        <v>97</v>
      </c>
      <c r="B98" t="s">
        <v>1335</v>
      </c>
      <c r="C98" t="s">
        <v>203</v>
      </c>
      <c r="D98" t="s">
        <v>1176</v>
      </c>
      <c r="E98" s="1">
        <v>200000</v>
      </c>
      <c r="F98">
        <v>25000</v>
      </c>
      <c r="G98" s="1">
        <f t="shared" si="1"/>
        <v>225000</v>
      </c>
      <c r="H98" s="1" t="e">
        <f>Tabela2[[#Totals],[Total]]/A397</f>
        <v>#DIV/0!</v>
      </c>
    </row>
    <row r="99" spans="1:8">
      <c r="A99">
        <v>98</v>
      </c>
      <c r="B99" t="s">
        <v>1336</v>
      </c>
      <c r="C99" t="s">
        <v>1337</v>
      </c>
      <c r="D99" t="s">
        <v>1179</v>
      </c>
      <c r="E99" s="1">
        <v>200000</v>
      </c>
      <c r="F99">
        <v>25000</v>
      </c>
      <c r="G99" s="1">
        <f t="shared" si="1"/>
        <v>225000</v>
      </c>
      <c r="H99" s="1" t="e">
        <f>Tabela2[[#Totals],[Total]]/A398</f>
        <v>#DIV/0!</v>
      </c>
    </row>
    <row r="100" spans="1:8">
      <c r="A100">
        <v>99</v>
      </c>
      <c r="B100" t="s">
        <v>1338</v>
      </c>
      <c r="C100" t="s">
        <v>386</v>
      </c>
      <c r="D100" t="s">
        <v>1179</v>
      </c>
      <c r="E100" s="1">
        <v>80000</v>
      </c>
      <c r="F100">
        <v>25000</v>
      </c>
      <c r="G100" s="1">
        <f t="shared" si="1"/>
        <v>105000</v>
      </c>
      <c r="H100" s="1" t="e">
        <f>Tabela2[[#Totals],[Total]]/A399</f>
        <v>#DIV/0!</v>
      </c>
    </row>
    <row r="101" spans="1:8">
      <c r="A101">
        <v>100</v>
      </c>
      <c r="B101" t="s">
        <v>1339</v>
      </c>
      <c r="C101" t="s">
        <v>1340</v>
      </c>
      <c r="D101" t="s">
        <v>1179</v>
      </c>
      <c r="E101" s="1">
        <v>120000</v>
      </c>
      <c r="F101">
        <v>25000</v>
      </c>
      <c r="G101" s="1">
        <f t="shared" si="1"/>
        <v>145000</v>
      </c>
      <c r="H101" s="1" t="e">
        <f>Tabela2[[#Totals],[Total]]/A400</f>
        <v>#DIV/0!</v>
      </c>
    </row>
    <row r="102" spans="1:8">
      <c r="A102">
        <v>101</v>
      </c>
      <c r="B102" t="s">
        <v>1341</v>
      </c>
      <c r="C102" t="s">
        <v>983</v>
      </c>
      <c r="D102" t="s">
        <v>1179</v>
      </c>
      <c r="E102" s="1">
        <v>80000</v>
      </c>
      <c r="F102">
        <v>25000</v>
      </c>
      <c r="G102" s="1">
        <f t="shared" si="1"/>
        <v>105000</v>
      </c>
      <c r="H102" s="1" t="e">
        <f>Tabela2[[#Totals],[Total]]/A401</f>
        <v>#DIV/0!</v>
      </c>
    </row>
    <row r="103" spans="1:8">
      <c r="A103">
        <v>102</v>
      </c>
      <c r="B103" t="s">
        <v>1342</v>
      </c>
      <c r="C103" t="s">
        <v>188</v>
      </c>
      <c r="D103" t="s">
        <v>1179</v>
      </c>
      <c r="E103" s="1">
        <v>120000</v>
      </c>
      <c r="F103">
        <v>25000</v>
      </c>
      <c r="G103" s="1">
        <f t="shared" si="1"/>
        <v>145000</v>
      </c>
      <c r="H103" s="1" t="e">
        <f>Tabela2[[#Totals],[Total]]/A402</f>
        <v>#DIV/0!</v>
      </c>
    </row>
    <row r="104" spans="1:8">
      <c r="A104">
        <v>103</v>
      </c>
      <c r="B104" t="s">
        <v>1343</v>
      </c>
      <c r="C104" t="s">
        <v>1045</v>
      </c>
      <c r="D104" t="s">
        <v>1173</v>
      </c>
      <c r="E104" s="1">
        <v>80000</v>
      </c>
      <c r="F104">
        <v>25000</v>
      </c>
      <c r="G104" s="1">
        <f t="shared" si="1"/>
        <v>105000</v>
      </c>
      <c r="H104" s="1" t="e">
        <f>Tabela2[[#Totals],[Total]]/A403</f>
        <v>#DIV/0!</v>
      </c>
    </row>
    <row r="105" spans="1:8">
      <c r="A105">
        <v>104</v>
      </c>
      <c r="B105" t="s">
        <v>1344</v>
      </c>
      <c r="C105" t="s">
        <v>1345</v>
      </c>
      <c r="D105" t="s">
        <v>1173</v>
      </c>
      <c r="E105" s="1">
        <v>120000</v>
      </c>
      <c r="F105">
        <v>25000</v>
      </c>
      <c r="G105" s="1">
        <f t="shared" si="1"/>
        <v>145000</v>
      </c>
      <c r="H105" s="1" t="e">
        <f>Tabela2[[#Totals],[Total]]/A404</f>
        <v>#DIV/0!</v>
      </c>
    </row>
    <row r="106" spans="1:8">
      <c r="A106">
        <v>105</v>
      </c>
      <c r="B106" t="s">
        <v>1346</v>
      </c>
      <c r="C106" t="s">
        <v>1347</v>
      </c>
      <c r="D106" t="s">
        <v>1176</v>
      </c>
      <c r="E106" s="1">
        <v>120000</v>
      </c>
      <c r="F106">
        <v>25000</v>
      </c>
      <c r="G106" s="1">
        <f t="shared" si="1"/>
        <v>145000</v>
      </c>
      <c r="H106" s="1" t="e">
        <f>Tabela2[[#Totals],[Total]]/A405</f>
        <v>#DIV/0!</v>
      </c>
    </row>
    <row r="107" spans="1:8">
      <c r="A107">
        <v>106</v>
      </c>
      <c r="B107" t="s">
        <v>1348</v>
      </c>
      <c r="C107" t="s">
        <v>1349</v>
      </c>
      <c r="D107" t="s">
        <v>1173</v>
      </c>
      <c r="E107" s="1">
        <v>80000</v>
      </c>
      <c r="F107">
        <v>25000</v>
      </c>
      <c r="G107" s="1">
        <f t="shared" si="1"/>
        <v>105000</v>
      </c>
      <c r="H107" s="1" t="e">
        <f>Tabela2[[#Totals],[Total]]/A406</f>
        <v>#DIV/0!</v>
      </c>
    </row>
    <row r="108" spans="1:8">
      <c r="A108">
        <v>107</v>
      </c>
      <c r="B108" t="s">
        <v>1350</v>
      </c>
      <c r="C108" t="s">
        <v>1351</v>
      </c>
      <c r="D108" t="s">
        <v>1179</v>
      </c>
      <c r="E108" s="1">
        <v>120000</v>
      </c>
      <c r="F108">
        <v>25000</v>
      </c>
      <c r="G108" s="1">
        <f t="shared" si="1"/>
        <v>145000</v>
      </c>
      <c r="H108" s="1" t="e">
        <f>Tabela2[[#Totals],[Total]]/A407</f>
        <v>#DIV/0!</v>
      </c>
    </row>
    <row r="109" spans="1:8">
      <c r="A109">
        <v>108</v>
      </c>
      <c r="B109" t="s">
        <v>1352</v>
      </c>
      <c r="C109" t="s">
        <v>1261</v>
      </c>
      <c r="D109" t="s">
        <v>1173</v>
      </c>
      <c r="E109" s="1">
        <v>80000</v>
      </c>
      <c r="F109">
        <v>25000</v>
      </c>
      <c r="G109" s="1">
        <f t="shared" si="1"/>
        <v>105000</v>
      </c>
      <c r="H109" s="1" t="e">
        <f>Tabela2[[#Totals],[Total]]/A408</f>
        <v>#DIV/0!</v>
      </c>
    </row>
    <row r="110" spans="1:8">
      <c r="A110">
        <v>109</v>
      </c>
      <c r="B110" t="s">
        <v>1353</v>
      </c>
      <c r="C110" t="s">
        <v>1306</v>
      </c>
      <c r="D110" t="s">
        <v>1173</v>
      </c>
      <c r="E110" s="1">
        <v>200000</v>
      </c>
      <c r="F110">
        <v>25000</v>
      </c>
      <c r="G110" s="1">
        <f t="shared" si="1"/>
        <v>225000</v>
      </c>
      <c r="H110" s="1" t="e">
        <f>Tabela2[[#Totals],[Total]]/A409</f>
        <v>#DIV/0!</v>
      </c>
    </row>
    <row r="111" spans="1:8">
      <c r="A111">
        <v>110</v>
      </c>
      <c r="B111" t="s">
        <v>1354</v>
      </c>
      <c r="C111" t="s">
        <v>1355</v>
      </c>
      <c r="D111" t="s">
        <v>1173</v>
      </c>
      <c r="E111" s="1">
        <v>120000</v>
      </c>
      <c r="F111">
        <v>25000</v>
      </c>
      <c r="G111" s="1">
        <f t="shared" si="1"/>
        <v>145000</v>
      </c>
      <c r="H111" s="1" t="e">
        <f>Tabela2[[#Totals],[Total]]/A410</f>
        <v>#DIV/0!</v>
      </c>
    </row>
    <row r="112" spans="1:8">
      <c r="A112">
        <v>111</v>
      </c>
      <c r="B112" t="s">
        <v>1356</v>
      </c>
      <c r="C112" t="s">
        <v>1357</v>
      </c>
      <c r="D112" t="s">
        <v>1179</v>
      </c>
      <c r="E112" s="1">
        <v>120000</v>
      </c>
      <c r="F112">
        <v>25000</v>
      </c>
      <c r="G112" s="1">
        <f t="shared" si="1"/>
        <v>145000</v>
      </c>
      <c r="H112" s="1" t="e">
        <f>Tabela2[[#Totals],[Total]]/A411</f>
        <v>#DIV/0!</v>
      </c>
    </row>
    <row r="113" spans="1:8">
      <c r="A113">
        <v>112</v>
      </c>
      <c r="B113" t="s">
        <v>1358</v>
      </c>
      <c r="C113" t="s">
        <v>1359</v>
      </c>
      <c r="D113" t="s">
        <v>1173</v>
      </c>
      <c r="E113" s="1">
        <v>120000</v>
      </c>
      <c r="F113">
        <v>25000</v>
      </c>
      <c r="G113" s="1">
        <f t="shared" si="1"/>
        <v>145000</v>
      </c>
      <c r="H113" s="1" t="e">
        <f>Tabela2[[#Totals],[Total]]/A412</f>
        <v>#DIV/0!</v>
      </c>
    </row>
    <row r="114" spans="1:8">
      <c r="A114">
        <v>113</v>
      </c>
      <c r="B114" t="s">
        <v>1360</v>
      </c>
      <c r="C114" t="s">
        <v>1091</v>
      </c>
      <c r="D114" t="s">
        <v>1179</v>
      </c>
      <c r="E114" s="1">
        <v>120000</v>
      </c>
      <c r="F114">
        <v>25000</v>
      </c>
      <c r="G114" s="1">
        <f t="shared" si="1"/>
        <v>145000</v>
      </c>
      <c r="H114" s="1" t="e">
        <f>Tabela2[[#Totals],[Total]]/A413</f>
        <v>#DIV/0!</v>
      </c>
    </row>
    <row r="115" spans="1:8">
      <c r="A115">
        <v>114</v>
      </c>
      <c r="B115" t="s">
        <v>1361</v>
      </c>
      <c r="C115" t="s">
        <v>1362</v>
      </c>
      <c r="D115" t="s">
        <v>1179</v>
      </c>
      <c r="E115" s="1">
        <v>200000</v>
      </c>
      <c r="F115">
        <v>25000</v>
      </c>
      <c r="G115" s="1">
        <f t="shared" si="1"/>
        <v>225000</v>
      </c>
      <c r="H115" s="1" t="e">
        <f>Tabela2[[#Totals],[Total]]/A414</f>
        <v>#DIV/0!</v>
      </c>
    </row>
    <row r="116" spans="1:8">
      <c r="A116">
        <v>115</v>
      </c>
      <c r="B116" t="s">
        <v>1363</v>
      </c>
      <c r="C116" t="s">
        <v>1364</v>
      </c>
      <c r="D116" t="s">
        <v>1176</v>
      </c>
      <c r="E116" s="1">
        <v>80000</v>
      </c>
      <c r="F116">
        <v>25000</v>
      </c>
      <c r="G116" s="1">
        <f t="shared" si="1"/>
        <v>105000</v>
      </c>
      <c r="H116" s="1" t="e">
        <f>Tabela2[[#Totals],[Total]]/A415</f>
        <v>#DIV/0!</v>
      </c>
    </row>
    <row r="117" spans="1:8">
      <c r="A117">
        <v>116</v>
      </c>
      <c r="B117" t="s">
        <v>1365</v>
      </c>
      <c r="C117" t="s">
        <v>1366</v>
      </c>
      <c r="D117" t="s">
        <v>1179</v>
      </c>
      <c r="E117" s="1">
        <v>120000</v>
      </c>
      <c r="F117">
        <v>25000</v>
      </c>
      <c r="G117" s="1">
        <f t="shared" si="1"/>
        <v>145000</v>
      </c>
      <c r="H117" s="1" t="e">
        <f>Tabela2[[#Totals],[Total]]/A416</f>
        <v>#DIV/0!</v>
      </c>
    </row>
    <row r="118" spans="1:8">
      <c r="A118">
        <v>117</v>
      </c>
      <c r="B118" t="s">
        <v>1367</v>
      </c>
      <c r="C118" t="s">
        <v>1334</v>
      </c>
      <c r="D118" t="s">
        <v>1176</v>
      </c>
      <c r="E118" s="1">
        <v>80000</v>
      </c>
      <c r="F118">
        <v>25000</v>
      </c>
      <c r="G118" s="1">
        <f t="shared" si="1"/>
        <v>105000</v>
      </c>
      <c r="H118" s="1" t="e">
        <f>Tabela2[[#Totals],[Total]]/A417</f>
        <v>#DIV/0!</v>
      </c>
    </row>
    <row r="119" spans="1:8">
      <c r="A119">
        <v>118</v>
      </c>
      <c r="B119" t="s">
        <v>1368</v>
      </c>
      <c r="C119" t="s">
        <v>1369</v>
      </c>
      <c r="D119" t="s">
        <v>1179</v>
      </c>
      <c r="E119" s="1">
        <v>80000</v>
      </c>
      <c r="F119">
        <v>25000</v>
      </c>
      <c r="G119" s="1">
        <f t="shared" si="1"/>
        <v>105000</v>
      </c>
      <c r="H119" s="1" t="e">
        <f>Tabela2[[#Totals],[Total]]/A418</f>
        <v>#DIV/0!</v>
      </c>
    </row>
    <row r="120" spans="1:8">
      <c r="A120">
        <v>119</v>
      </c>
      <c r="B120" t="s">
        <v>1370</v>
      </c>
      <c r="C120" t="s">
        <v>1019</v>
      </c>
      <c r="D120" t="s">
        <v>1176</v>
      </c>
      <c r="E120" s="1">
        <v>200000</v>
      </c>
      <c r="F120">
        <v>25000</v>
      </c>
      <c r="G120" s="1">
        <f t="shared" si="1"/>
        <v>225000</v>
      </c>
      <c r="H120" s="1" t="e">
        <f>Tabela2[[#Totals],[Total]]/A419</f>
        <v>#DIV/0!</v>
      </c>
    </row>
    <row r="121" spans="1:8">
      <c r="A121">
        <v>120</v>
      </c>
      <c r="B121" t="s">
        <v>1371</v>
      </c>
      <c r="C121" t="s">
        <v>1372</v>
      </c>
      <c r="D121" t="s">
        <v>1176</v>
      </c>
      <c r="E121" s="1">
        <v>200000</v>
      </c>
      <c r="F121">
        <v>25000</v>
      </c>
      <c r="G121" s="1">
        <f t="shared" si="1"/>
        <v>225000</v>
      </c>
      <c r="H121" s="1" t="e">
        <f>Tabela2[[#Totals],[Total]]/A420</f>
        <v>#DIV/0!</v>
      </c>
    </row>
    <row r="122" spans="1:8">
      <c r="A122">
        <v>121</v>
      </c>
      <c r="B122" t="s">
        <v>1373</v>
      </c>
      <c r="C122" t="s">
        <v>605</v>
      </c>
      <c r="D122" t="s">
        <v>1173</v>
      </c>
      <c r="E122" s="1">
        <v>120000</v>
      </c>
      <c r="F122">
        <v>25000</v>
      </c>
      <c r="G122" s="1">
        <f t="shared" si="1"/>
        <v>145000</v>
      </c>
      <c r="H122" s="1" t="e">
        <f>Tabela2[[#Totals],[Total]]/A421</f>
        <v>#DIV/0!</v>
      </c>
    </row>
    <row r="123" spans="1:8">
      <c r="A123">
        <v>122</v>
      </c>
      <c r="B123" t="s">
        <v>1374</v>
      </c>
      <c r="C123" t="s">
        <v>524</v>
      </c>
      <c r="D123" t="s">
        <v>1173</v>
      </c>
      <c r="E123" s="1">
        <v>80000</v>
      </c>
      <c r="F123">
        <v>25000</v>
      </c>
      <c r="G123" s="1">
        <f t="shared" si="1"/>
        <v>105000</v>
      </c>
      <c r="H123" s="1" t="e">
        <f>Tabela2[[#Totals],[Total]]/A422</f>
        <v>#DIV/0!</v>
      </c>
    </row>
    <row r="124" spans="1:8">
      <c r="A124">
        <v>123</v>
      </c>
      <c r="B124" t="s">
        <v>1375</v>
      </c>
      <c r="C124" t="s">
        <v>1376</v>
      </c>
      <c r="D124" t="s">
        <v>1176</v>
      </c>
      <c r="E124" s="1">
        <v>80000</v>
      </c>
      <c r="F124">
        <v>25000</v>
      </c>
      <c r="G124" s="1">
        <f t="shared" si="1"/>
        <v>105000</v>
      </c>
      <c r="H124" s="1" t="e">
        <f>Tabela2[[#Totals],[Total]]/A423</f>
        <v>#DIV/0!</v>
      </c>
    </row>
    <row r="125" spans="1:8">
      <c r="A125">
        <v>124</v>
      </c>
      <c r="B125" t="s">
        <v>1377</v>
      </c>
      <c r="C125" t="s">
        <v>49</v>
      </c>
      <c r="D125" t="s">
        <v>1179</v>
      </c>
      <c r="E125" s="1">
        <v>120000</v>
      </c>
      <c r="F125">
        <v>25000</v>
      </c>
      <c r="G125" s="1">
        <f t="shared" si="1"/>
        <v>145000</v>
      </c>
      <c r="H125" s="1" t="e">
        <f>Tabela2[[#Totals],[Total]]/A424</f>
        <v>#DIV/0!</v>
      </c>
    </row>
    <row r="126" spans="1:8">
      <c r="A126">
        <v>125</v>
      </c>
      <c r="B126" t="s">
        <v>1378</v>
      </c>
      <c r="C126" t="s">
        <v>1379</v>
      </c>
      <c r="D126" t="s">
        <v>1176</v>
      </c>
      <c r="E126" s="1">
        <v>200000</v>
      </c>
      <c r="F126">
        <v>25000</v>
      </c>
      <c r="G126" s="1">
        <f t="shared" si="1"/>
        <v>225000</v>
      </c>
      <c r="H126" s="1" t="e">
        <f>Tabela2[[#Totals],[Total]]/A425</f>
        <v>#DIV/0!</v>
      </c>
    </row>
    <row r="127" spans="1:8">
      <c r="A127">
        <v>126</v>
      </c>
      <c r="B127" t="s">
        <v>1380</v>
      </c>
      <c r="C127" t="s">
        <v>414</v>
      </c>
      <c r="D127" t="s">
        <v>1179</v>
      </c>
      <c r="E127" s="1">
        <v>120000</v>
      </c>
      <c r="F127">
        <v>25000</v>
      </c>
      <c r="G127" s="1">
        <f t="shared" si="1"/>
        <v>145000</v>
      </c>
      <c r="H127" s="1" t="e">
        <f>Tabela2[[#Totals],[Total]]/A426</f>
        <v>#DIV/0!</v>
      </c>
    </row>
    <row r="128" spans="1:8">
      <c r="A128">
        <v>127</v>
      </c>
      <c r="B128" t="s">
        <v>1381</v>
      </c>
      <c r="C128" t="s">
        <v>20</v>
      </c>
      <c r="D128" t="s">
        <v>1176</v>
      </c>
      <c r="E128" s="1">
        <v>80000</v>
      </c>
      <c r="F128">
        <v>25000</v>
      </c>
      <c r="G128" s="1">
        <f t="shared" si="1"/>
        <v>105000</v>
      </c>
      <c r="H128" s="1" t="e">
        <f>Tabela2[[#Totals],[Total]]/A427</f>
        <v>#DIV/0!</v>
      </c>
    </row>
    <row r="129" spans="1:8">
      <c r="A129">
        <v>128</v>
      </c>
      <c r="B129" t="s">
        <v>1382</v>
      </c>
      <c r="C129" t="s">
        <v>390</v>
      </c>
      <c r="D129" t="s">
        <v>1176</v>
      </c>
      <c r="E129" s="1">
        <v>80000</v>
      </c>
      <c r="F129">
        <v>25000</v>
      </c>
      <c r="G129" s="1">
        <f t="shared" si="1"/>
        <v>105000</v>
      </c>
      <c r="H129" s="1" t="e">
        <f>Tabela2[[#Totals],[Total]]/A428</f>
        <v>#DIV/0!</v>
      </c>
    </row>
    <row r="130" spans="1:8">
      <c r="A130">
        <v>129</v>
      </c>
      <c r="B130" t="s">
        <v>1383</v>
      </c>
      <c r="C130" t="s">
        <v>1384</v>
      </c>
      <c r="D130" t="s">
        <v>1179</v>
      </c>
      <c r="E130" s="1">
        <v>200000</v>
      </c>
      <c r="F130">
        <v>25000</v>
      </c>
      <c r="G130" s="1">
        <f t="shared" si="1"/>
        <v>225000</v>
      </c>
      <c r="H130" s="1" t="e">
        <f>Tabela2[[#Totals],[Total]]/A429</f>
        <v>#DIV/0!</v>
      </c>
    </row>
    <row r="131" spans="1:8">
      <c r="A131">
        <v>130</v>
      </c>
      <c r="B131" t="s">
        <v>1385</v>
      </c>
      <c r="C131" t="s">
        <v>850</v>
      </c>
      <c r="D131" t="s">
        <v>1179</v>
      </c>
      <c r="E131" s="1">
        <v>80000</v>
      </c>
      <c r="F131">
        <v>25000</v>
      </c>
      <c r="G131" s="1">
        <f t="shared" ref="G131:G194" si="2">E131+F131</f>
        <v>105000</v>
      </c>
      <c r="H131" s="1" t="e">
        <f>Tabela2[[#Totals],[Total]]/A430</f>
        <v>#DIV/0!</v>
      </c>
    </row>
    <row r="132" spans="1:8">
      <c r="A132">
        <v>131</v>
      </c>
      <c r="B132" t="s">
        <v>1386</v>
      </c>
      <c r="C132" t="s">
        <v>1387</v>
      </c>
      <c r="D132" t="s">
        <v>1179</v>
      </c>
      <c r="E132" s="1">
        <v>80000</v>
      </c>
      <c r="F132">
        <v>25000</v>
      </c>
      <c r="G132" s="1">
        <f t="shared" si="2"/>
        <v>105000</v>
      </c>
      <c r="H132" s="1" t="e">
        <f>Tabela2[[#Totals],[Total]]/A431</f>
        <v>#DIV/0!</v>
      </c>
    </row>
    <row r="133" spans="1:8">
      <c r="A133">
        <v>132</v>
      </c>
      <c r="B133" t="s">
        <v>1388</v>
      </c>
      <c r="C133" t="s">
        <v>1389</v>
      </c>
      <c r="D133" t="s">
        <v>1176</v>
      </c>
      <c r="E133" s="1">
        <v>200000</v>
      </c>
      <c r="F133">
        <v>25000</v>
      </c>
      <c r="G133" s="1">
        <f t="shared" si="2"/>
        <v>225000</v>
      </c>
      <c r="H133" s="1" t="e">
        <f>Tabela2[[#Totals],[Total]]/A432</f>
        <v>#DIV/0!</v>
      </c>
    </row>
    <row r="134" spans="1:8">
      <c r="A134">
        <v>133</v>
      </c>
      <c r="B134" t="s">
        <v>1390</v>
      </c>
      <c r="C134" t="s">
        <v>1303</v>
      </c>
      <c r="D134" t="s">
        <v>1173</v>
      </c>
      <c r="E134" s="1">
        <v>200000</v>
      </c>
      <c r="F134">
        <v>25000</v>
      </c>
      <c r="G134" s="1">
        <f t="shared" si="2"/>
        <v>225000</v>
      </c>
      <c r="H134" s="1" t="e">
        <f>Tabela2[[#Totals],[Total]]/A433</f>
        <v>#DIV/0!</v>
      </c>
    </row>
    <row r="135" spans="1:8">
      <c r="A135">
        <v>134</v>
      </c>
      <c r="B135" t="s">
        <v>1391</v>
      </c>
      <c r="C135" t="s">
        <v>1392</v>
      </c>
      <c r="D135" t="s">
        <v>1173</v>
      </c>
      <c r="E135" s="1">
        <v>120000</v>
      </c>
      <c r="F135">
        <v>25000</v>
      </c>
      <c r="G135" s="1">
        <f t="shared" si="2"/>
        <v>145000</v>
      </c>
      <c r="H135" s="1" t="e">
        <f>Tabela2[[#Totals],[Total]]/A434</f>
        <v>#DIV/0!</v>
      </c>
    </row>
    <row r="136" spans="1:8">
      <c r="A136">
        <v>135</v>
      </c>
      <c r="B136" t="s">
        <v>1393</v>
      </c>
      <c r="C136" t="s">
        <v>1394</v>
      </c>
      <c r="D136" t="s">
        <v>1173</v>
      </c>
      <c r="E136" s="1">
        <v>200000</v>
      </c>
      <c r="F136">
        <v>25000</v>
      </c>
      <c r="G136" s="1">
        <f t="shared" si="2"/>
        <v>225000</v>
      </c>
      <c r="H136" s="1" t="e">
        <f>Tabela2[[#Totals],[Total]]/A435</f>
        <v>#DIV/0!</v>
      </c>
    </row>
    <row r="137" spans="1:8">
      <c r="A137">
        <v>136</v>
      </c>
      <c r="B137" t="s">
        <v>1395</v>
      </c>
      <c r="C137" t="s">
        <v>861</v>
      </c>
      <c r="D137" t="s">
        <v>1176</v>
      </c>
      <c r="E137" s="1">
        <v>200000</v>
      </c>
      <c r="F137">
        <v>25000</v>
      </c>
      <c r="G137" s="1">
        <f t="shared" si="2"/>
        <v>225000</v>
      </c>
      <c r="H137" s="1" t="e">
        <f>Tabela2[[#Totals],[Total]]/A436</f>
        <v>#DIV/0!</v>
      </c>
    </row>
    <row r="138" spans="1:8">
      <c r="A138">
        <v>137</v>
      </c>
      <c r="B138" t="s">
        <v>1396</v>
      </c>
      <c r="C138" t="s">
        <v>1397</v>
      </c>
      <c r="D138" t="s">
        <v>1179</v>
      </c>
      <c r="E138" s="1">
        <v>200000</v>
      </c>
      <c r="F138">
        <v>25000</v>
      </c>
      <c r="G138" s="1">
        <f t="shared" si="2"/>
        <v>225000</v>
      </c>
      <c r="H138" s="1" t="e">
        <f>Tabela2[[#Totals],[Total]]/A437</f>
        <v>#DIV/0!</v>
      </c>
    </row>
    <row r="139" spans="1:8">
      <c r="A139">
        <v>138</v>
      </c>
      <c r="B139" t="s">
        <v>1398</v>
      </c>
      <c r="C139" t="s">
        <v>1399</v>
      </c>
      <c r="D139" t="s">
        <v>1179</v>
      </c>
      <c r="E139" s="1">
        <v>80000</v>
      </c>
      <c r="F139">
        <v>25000</v>
      </c>
      <c r="G139" s="1">
        <f t="shared" si="2"/>
        <v>105000</v>
      </c>
      <c r="H139" s="1" t="e">
        <f>Tabela2[[#Totals],[Total]]/A438</f>
        <v>#DIV/0!</v>
      </c>
    </row>
    <row r="140" spans="1:8">
      <c r="A140">
        <v>139</v>
      </c>
      <c r="B140" t="s">
        <v>1400</v>
      </c>
      <c r="C140" t="s">
        <v>1401</v>
      </c>
      <c r="D140" t="s">
        <v>1173</v>
      </c>
      <c r="E140" s="1">
        <v>200000</v>
      </c>
      <c r="F140">
        <v>25000</v>
      </c>
      <c r="G140" s="1">
        <f t="shared" si="2"/>
        <v>225000</v>
      </c>
      <c r="H140" s="1" t="e">
        <f>Tabela2[[#Totals],[Total]]/A439</f>
        <v>#DIV/0!</v>
      </c>
    </row>
    <row r="141" spans="1:8">
      <c r="A141">
        <v>140</v>
      </c>
      <c r="B141" t="s">
        <v>1402</v>
      </c>
      <c r="C141" t="s">
        <v>1403</v>
      </c>
      <c r="D141" t="s">
        <v>1173</v>
      </c>
      <c r="E141" s="1">
        <v>80000</v>
      </c>
      <c r="F141">
        <v>25000</v>
      </c>
      <c r="G141" s="1">
        <f t="shared" si="2"/>
        <v>105000</v>
      </c>
      <c r="H141" s="1" t="e">
        <f>Tabela2[[#Totals],[Total]]/A440</f>
        <v>#DIV/0!</v>
      </c>
    </row>
    <row r="142" spans="1:8">
      <c r="A142">
        <v>141</v>
      </c>
      <c r="B142" t="s">
        <v>1404</v>
      </c>
      <c r="C142" t="s">
        <v>617</v>
      </c>
      <c r="D142" t="s">
        <v>1176</v>
      </c>
      <c r="E142" s="1">
        <v>200000</v>
      </c>
      <c r="F142">
        <v>25000</v>
      </c>
      <c r="G142" s="1">
        <f t="shared" si="2"/>
        <v>225000</v>
      </c>
      <c r="H142" s="1" t="e">
        <f>Tabela2[[#Totals],[Total]]/A441</f>
        <v>#DIV/0!</v>
      </c>
    </row>
    <row r="143" spans="1:8">
      <c r="A143">
        <v>142</v>
      </c>
      <c r="B143" t="s">
        <v>1405</v>
      </c>
      <c r="C143" t="s">
        <v>1406</v>
      </c>
      <c r="D143" t="s">
        <v>1176</v>
      </c>
      <c r="E143" s="1">
        <v>120000</v>
      </c>
      <c r="F143">
        <v>25000</v>
      </c>
      <c r="G143" s="1">
        <f t="shared" si="2"/>
        <v>145000</v>
      </c>
      <c r="H143" s="1" t="e">
        <f>Tabela2[[#Totals],[Total]]/A442</f>
        <v>#DIV/0!</v>
      </c>
    </row>
    <row r="144" spans="1:8">
      <c r="A144">
        <v>143</v>
      </c>
      <c r="B144" t="s">
        <v>1407</v>
      </c>
      <c r="C144" t="s">
        <v>1408</v>
      </c>
      <c r="D144" t="s">
        <v>1176</v>
      </c>
      <c r="E144" s="1">
        <v>120000</v>
      </c>
      <c r="F144">
        <v>25000</v>
      </c>
      <c r="G144" s="1">
        <f t="shared" si="2"/>
        <v>145000</v>
      </c>
      <c r="H144" s="1" t="e">
        <f>Tabela2[[#Totals],[Total]]/A443</f>
        <v>#DIV/0!</v>
      </c>
    </row>
    <row r="145" spans="1:8">
      <c r="A145">
        <v>144</v>
      </c>
      <c r="B145" t="s">
        <v>1409</v>
      </c>
      <c r="C145" t="s">
        <v>1410</v>
      </c>
      <c r="D145" t="s">
        <v>1179</v>
      </c>
      <c r="E145" s="1">
        <v>200000</v>
      </c>
      <c r="F145">
        <v>25000</v>
      </c>
      <c r="G145" s="1">
        <f t="shared" si="2"/>
        <v>225000</v>
      </c>
      <c r="H145" s="1" t="e">
        <f>Tabela2[[#Totals],[Total]]/A444</f>
        <v>#DIV/0!</v>
      </c>
    </row>
    <row r="146" spans="1:8">
      <c r="A146">
        <v>145</v>
      </c>
      <c r="B146" t="s">
        <v>1411</v>
      </c>
      <c r="C146" t="s">
        <v>1412</v>
      </c>
      <c r="D146" t="s">
        <v>1173</v>
      </c>
      <c r="E146" s="1">
        <v>200000</v>
      </c>
      <c r="F146">
        <v>25000</v>
      </c>
      <c r="G146" s="1">
        <f t="shared" si="2"/>
        <v>225000</v>
      </c>
      <c r="H146" s="1" t="e">
        <f>Tabela2[[#Totals],[Total]]/A445</f>
        <v>#DIV/0!</v>
      </c>
    </row>
    <row r="147" spans="1:8">
      <c r="A147">
        <v>146</v>
      </c>
      <c r="B147" t="s">
        <v>1413</v>
      </c>
      <c r="C147" t="s">
        <v>1414</v>
      </c>
      <c r="D147" t="s">
        <v>1176</v>
      </c>
      <c r="E147" s="1">
        <v>80000</v>
      </c>
      <c r="F147">
        <v>25000</v>
      </c>
      <c r="G147" s="1">
        <f t="shared" si="2"/>
        <v>105000</v>
      </c>
      <c r="H147" s="1" t="e">
        <f>Tabela2[[#Totals],[Total]]/A446</f>
        <v>#DIV/0!</v>
      </c>
    </row>
    <row r="148" spans="1:8">
      <c r="A148">
        <v>147</v>
      </c>
      <c r="B148" t="s">
        <v>1415</v>
      </c>
      <c r="C148" t="s">
        <v>1416</v>
      </c>
      <c r="D148" t="s">
        <v>1173</v>
      </c>
      <c r="E148" s="1">
        <v>120000</v>
      </c>
      <c r="F148">
        <v>25000</v>
      </c>
      <c r="G148" s="1">
        <f t="shared" si="2"/>
        <v>145000</v>
      </c>
      <c r="H148" s="1" t="e">
        <f>Tabela2[[#Totals],[Total]]/A447</f>
        <v>#DIV/0!</v>
      </c>
    </row>
    <row r="149" spans="1:8">
      <c r="A149">
        <v>148</v>
      </c>
      <c r="B149" t="s">
        <v>1417</v>
      </c>
      <c r="C149" t="s">
        <v>1364</v>
      </c>
      <c r="D149" t="s">
        <v>1179</v>
      </c>
      <c r="E149" s="1">
        <v>200000</v>
      </c>
      <c r="F149">
        <v>25000</v>
      </c>
      <c r="G149" s="1">
        <f t="shared" si="2"/>
        <v>225000</v>
      </c>
      <c r="H149" s="1" t="e">
        <f>Tabela2[[#Totals],[Total]]/A448</f>
        <v>#DIV/0!</v>
      </c>
    </row>
    <row r="150" spans="1:8">
      <c r="A150">
        <v>149</v>
      </c>
      <c r="B150" t="s">
        <v>1418</v>
      </c>
      <c r="C150" t="s">
        <v>1419</v>
      </c>
      <c r="D150" t="s">
        <v>1179</v>
      </c>
      <c r="E150" s="1">
        <v>80000</v>
      </c>
      <c r="F150">
        <v>25000</v>
      </c>
      <c r="G150" s="1">
        <f t="shared" si="2"/>
        <v>105000</v>
      </c>
      <c r="H150" s="1" t="e">
        <f>Tabela2[[#Totals],[Total]]/A449</f>
        <v>#DIV/0!</v>
      </c>
    </row>
    <row r="151" spans="1:8">
      <c r="A151">
        <v>150</v>
      </c>
      <c r="B151" t="s">
        <v>1420</v>
      </c>
      <c r="C151" t="s">
        <v>1421</v>
      </c>
      <c r="D151" t="s">
        <v>1173</v>
      </c>
      <c r="E151" s="1">
        <v>120000</v>
      </c>
      <c r="F151">
        <v>25000</v>
      </c>
      <c r="G151" s="1">
        <f t="shared" si="2"/>
        <v>145000</v>
      </c>
      <c r="H151" s="1" t="e">
        <f>Tabela2[[#Totals],[Total]]/A450</f>
        <v>#DIV/0!</v>
      </c>
    </row>
    <row r="152" spans="1:8">
      <c r="A152">
        <v>151</v>
      </c>
      <c r="B152" t="s">
        <v>1422</v>
      </c>
      <c r="C152" t="s">
        <v>1196</v>
      </c>
      <c r="D152" t="s">
        <v>1176</v>
      </c>
      <c r="E152" s="1">
        <v>200000</v>
      </c>
      <c r="F152">
        <v>25000</v>
      </c>
      <c r="G152" s="1">
        <f t="shared" si="2"/>
        <v>225000</v>
      </c>
      <c r="H152" s="1" t="e">
        <f>Tabela2[[#Totals],[Total]]/A451</f>
        <v>#DIV/0!</v>
      </c>
    </row>
    <row r="153" spans="1:8">
      <c r="A153">
        <v>152</v>
      </c>
      <c r="B153" t="s">
        <v>1423</v>
      </c>
      <c r="C153" t="s">
        <v>1424</v>
      </c>
      <c r="D153" t="s">
        <v>1176</v>
      </c>
      <c r="E153" s="1">
        <v>80000</v>
      </c>
      <c r="F153">
        <v>25000</v>
      </c>
      <c r="G153" s="1">
        <f t="shared" si="2"/>
        <v>105000</v>
      </c>
      <c r="H153" s="1" t="e">
        <f>Tabela2[[#Totals],[Total]]/A452</f>
        <v>#DIV/0!</v>
      </c>
    </row>
    <row r="154" spans="1:8">
      <c r="A154">
        <v>153</v>
      </c>
      <c r="B154" t="s">
        <v>1425</v>
      </c>
      <c r="C154" t="s">
        <v>1426</v>
      </c>
      <c r="D154" t="s">
        <v>1176</v>
      </c>
      <c r="E154" s="1">
        <v>200000</v>
      </c>
      <c r="F154">
        <v>25000</v>
      </c>
      <c r="G154" s="1">
        <f t="shared" si="2"/>
        <v>225000</v>
      </c>
      <c r="H154" s="1" t="e">
        <f>Tabela2[[#Totals],[Total]]/A453</f>
        <v>#DIV/0!</v>
      </c>
    </row>
    <row r="155" spans="1:8">
      <c r="A155">
        <v>154</v>
      </c>
      <c r="B155" t="s">
        <v>1427</v>
      </c>
      <c r="C155" t="s">
        <v>1401</v>
      </c>
      <c r="D155" t="s">
        <v>1173</v>
      </c>
      <c r="E155" s="1">
        <v>120000</v>
      </c>
      <c r="F155">
        <v>25000</v>
      </c>
      <c r="G155" s="1">
        <f t="shared" si="2"/>
        <v>145000</v>
      </c>
      <c r="H155" s="1" t="e">
        <f>Tabela2[[#Totals],[Total]]/A454</f>
        <v>#DIV/0!</v>
      </c>
    </row>
    <row r="156" spans="1:8">
      <c r="A156">
        <v>155</v>
      </c>
      <c r="B156" t="s">
        <v>1428</v>
      </c>
      <c r="C156" t="s">
        <v>1429</v>
      </c>
      <c r="D156" t="s">
        <v>1179</v>
      </c>
      <c r="E156" s="1">
        <v>80000</v>
      </c>
      <c r="F156">
        <v>25000</v>
      </c>
      <c r="G156" s="1">
        <f t="shared" si="2"/>
        <v>105000</v>
      </c>
      <c r="H156" s="1" t="e">
        <f>Tabela2[[#Totals],[Total]]/A455</f>
        <v>#DIV/0!</v>
      </c>
    </row>
    <row r="157" spans="1:8">
      <c r="A157">
        <v>156</v>
      </c>
      <c r="B157" t="s">
        <v>1430</v>
      </c>
      <c r="C157" t="s">
        <v>1431</v>
      </c>
      <c r="D157" t="s">
        <v>1176</v>
      </c>
      <c r="E157" s="1">
        <v>120000</v>
      </c>
      <c r="F157">
        <v>25000</v>
      </c>
      <c r="G157" s="1">
        <f t="shared" si="2"/>
        <v>145000</v>
      </c>
      <c r="H157" s="1" t="e">
        <f>Tabela2[[#Totals],[Total]]/A456</f>
        <v>#DIV/0!</v>
      </c>
    </row>
    <row r="158" spans="1:8">
      <c r="A158">
        <v>157</v>
      </c>
      <c r="B158" t="s">
        <v>1432</v>
      </c>
      <c r="C158" t="s">
        <v>1433</v>
      </c>
      <c r="D158" t="s">
        <v>1176</v>
      </c>
      <c r="E158" s="1">
        <v>120000</v>
      </c>
      <c r="F158">
        <v>25000</v>
      </c>
      <c r="G158" s="1">
        <f t="shared" si="2"/>
        <v>145000</v>
      </c>
      <c r="H158" s="1" t="e">
        <f>Tabela2[[#Totals],[Total]]/A457</f>
        <v>#DIV/0!</v>
      </c>
    </row>
    <row r="159" spans="1:8">
      <c r="A159">
        <v>158</v>
      </c>
      <c r="B159" t="s">
        <v>1434</v>
      </c>
      <c r="C159" t="s">
        <v>1435</v>
      </c>
      <c r="D159" t="s">
        <v>1176</v>
      </c>
      <c r="E159" s="1">
        <v>120000</v>
      </c>
      <c r="F159">
        <v>25000</v>
      </c>
      <c r="G159" s="1">
        <f t="shared" si="2"/>
        <v>145000</v>
      </c>
      <c r="H159" s="1" t="e">
        <f>Tabela2[[#Totals],[Total]]/A458</f>
        <v>#DIV/0!</v>
      </c>
    </row>
    <row r="160" spans="1:8">
      <c r="A160">
        <v>159</v>
      </c>
      <c r="B160" t="s">
        <v>1436</v>
      </c>
      <c r="C160" t="s">
        <v>1303</v>
      </c>
      <c r="D160" t="s">
        <v>1173</v>
      </c>
      <c r="E160" s="1">
        <v>120000</v>
      </c>
      <c r="F160">
        <v>25000</v>
      </c>
      <c r="G160" s="1">
        <f t="shared" si="2"/>
        <v>145000</v>
      </c>
      <c r="H160" s="1" t="e">
        <f>Tabela2[[#Totals],[Total]]/A459</f>
        <v>#DIV/0!</v>
      </c>
    </row>
    <row r="161" spans="1:8">
      <c r="A161">
        <v>160</v>
      </c>
      <c r="B161" t="s">
        <v>1437</v>
      </c>
      <c r="C161" t="s">
        <v>1438</v>
      </c>
      <c r="D161" t="s">
        <v>1179</v>
      </c>
      <c r="E161" s="1">
        <v>120000</v>
      </c>
      <c r="F161">
        <v>25000</v>
      </c>
      <c r="G161" s="1">
        <f t="shared" si="2"/>
        <v>145000</v>
      </c>
      <c r="H161" s="1" t="e">
        <f>Tabela2[[#Totals],[Total]]/A460</f>
        <v>#DIV/0!</v>
      </c>
    </row>
    <row r="162" spans="1:8">
      <c r="A162">
        <v>161</v>
      </c>
      <c r="B162" t="s">
        <v>1439</v>
      </c>
      <c r="C162" t="s">
        <v>1440</v>
      </c>
      <c r="D162" t="s">
        <v>1179</v>
      </c>
      <c r="E162" s="1">
        <v>80000</v>
      </c>
      <c r="F162">
        <v>25000</v>
      </c>
      <c r="G162" s="1">
        <f t="shared" si="2"/>
        <v>105000</v>
      </c>
      <c r="H162" s="1" t="e">
        <f>Tabela2[[#Totals],[Total]]/A461</f>
        <v>#DIV/0!</v>
      </c>
    </row>
    <row r="163" spans="1:8">
      <c r="A163">
        <v>162</v>
      </c>
      <c r="B163" t="s">
        <v>1441</v>
      </c>
      <c r="C163" t="s">
        <v>1442</v>
      </c>
      <c r="D163" t="s">
        <v>1173</v>
      </c>
      <c r="E163" s="1">
        <v>120000</v>
      </c>
      <c r="F163">
        <v>25000</v>
      </c>
      <c r="G163" s="1">
        <f t="shared" si="2"/>
        <v>145000</v>
      </c>
      <c r="H163" s="1" t="e">
        <f>Tabela2[[#Totals],[Total]]/A462</f>
        <v>#DIV/0!</v>
      </c>
    </row>
    <row r="164" spans="1:8">
      <c r="A164">
        <v>163</v>
      </c>
      <c r="B164" t="s">
        <v>1443</v>
      </c>
      <c r="C164" t="s">
        <v>234</v>
      </c>
      <c r="D164" t="s">
        <v>1179</v>
      </c>
      <c r="E164" s="1">
        <v>120000</v>
      </c>
      <c r="F164">
        <v>25000</v>
      </c>
      <c r="G164" s="1">
        <f t="shared" si="2"/>
        <v>145000</v>
      </c>
      <c r="H164" s="1" t="e">
        <f>Tabela2[[#Totals],[Total]]/A463</f>
        <v>#DIV/0!</v>
      </c>
    </row>
    <row r="165" spans="1:8">
      <c r="A165">
        <v>164</v>
      </c>
      <c r="B165" t="s">
        <v>1444</v>
      </c>
      <c r="C165" t="s">
        <v>1445</v>
      </c>
      <c r="D165" t="s">
        <v>1179</v>
      </c>
      <c r="E165" s="1">
        <v>120000</v>
      </c>
      <c r="F165">
        <v>25000</v>
      </c>
      <c r="G165" s="1">
        <f t="shared" si="2"/>
        <v>145000</v>
      </c>
      <c r="H165" s="1" t="e">
        <f>Tabela2[[#Totals],[Total]]/A464</f>
        <v>#DIV/0!</v>
      </c>
    </row>
    <row r="166" spans="1:8">
      <c r="A166">
        <v>165</v>
      </c>
      <c r="B166" t="s">
        <v>1446</v>
      </c>
      <c r="C166" t="s">
        <v>1412</v>
      </c>
      <c r="D166" t="s">
        <v>1176</v>
      </c>
      <c r="E166" s="1">
        <v>200000</v>
      </c>
      <c r="F166">
        <v>25000</v>
      </c>
      <c r="G166" s="1">
        <f t="shared" si="2"/>
        <v>225000</v>
      </c>
      <c r="H166" s="1" t="e">
        <f>Tabela2[[#Totals],[Total]]/A465</f>
        <v>#DIV/0!</v>
      </c>
    </row>
    <row r="167" spans="1:8">
      <c r="A167">
        <v>166</v>
      </c>
      <c r="B167" t="s">
        <v>1447</v>
      </c>
      <c r="C167" t="s">
        <v>1448</v>
      </c>
      <c r="D167" t="s">
        <v>1176</v>
      </c>
      <c r="E167" s="1">
        <v>120000</v>
      </c>
      <c r="F167">
        <v>25000</v>
      </c>
      <c r="G167" s="1">
        <f t="shared" si="2"/>
        <v>145000</v>
      </c>
      <c r="H167" s="1" t="e">
        <f>Tabela2[[#Totals],[Total]]/A466</f>
        <v>#DIV/0!</v>
      </c>
    </row>
    <row r="168" spans="1:8">
      <c r="A168">
        <v>167</v>
      </c>
      <c r="B168" t="s">
        <v>1449</v>
      </c>
      <c r="C168" t="s">
        <v>1450</v>
      </c>
      <c r="D168" t="s">
        <v>1176</v>
      </c>
      <c r="E168" s="1">
        <v>120000</v>
      </c>
      <c r="F168">
        <v>25000</v>
      </c>
      <c r="G168" s="1">
        <f t="shared" si="2"/>
        <v>145000</v>
      </c>
      <c r="H168" s="1" t="e">
        <f>Tabela2[[#Totals],[Total]]/A467</f>
        <v>#DIV/0!</v>
      </c>
    </row>
    <row r="169" spans="1:8">
      <c r="A169">
        <v>168</v>
      </c>
      <c r="B169" t="s">
        <v>1451</v>
      </c>
      <c r="C169" t="s">
        <v>1452</v>
      </c>
      <c r="D169" t="s">
        <v>1176</v>
      </c>
      <c r="E169" s="1">
        <v>200000</v>
      </c>
      <c r="F169">
        <v>25000</v>
      </c>
      <c r="G169" s="1">
        <f t="shared" si="2"/>
        <v>225000</v>
      </c>
      <c r="H169" s="1" t="e">
        <f>Tabela2[[#Totals],[Total]]/A468</f>
        <v>#DIV/0!</v>
      </c>
    </row>
    <row r="170" spans="1:8">
      <c r="A170">
        <v>169</v>
      </c>
      <c r="B170" t="s">
        <v>1453</v>
      </c>
      <c r="C170" t="s">
        <v>1454</v>
      </c>
      <c r="D170" t="s">
        <v>1176</v>
      </c>
      <c r="E170" s="1">
        <v>200000</v>
      </c>
      <c r="F170">
        <v>25000</v>
      </c>
      <c r="G170" s="1">
        <f t="shared" si="2"/>
        <v>225000</v>
      </c>
      <c r="H170" s="1" t="e">
        <f>Tabela2[[#Totals],[Total]]/A469</f>
        <v>#DIV/0!</v>
      </c>
    </row>
    <row r="171" spans="1:8">
      <c r="A171">
        <v>170</v>
      </c>
      <c r="B171" t="s">
        <v>1455</v>
      </c>
      <c r="C171" t="s">
        <v>1456</v>
      </c>
      <c r="D171" t="s">
        <v>1179</v>
      </c>
      <c r="E171" s="1">
        <v>80000</v>
      </c>
      <c r="F171">
        <v>25000</v>
      </c>
      <c r="G171" s="1">
        <f t="shared" si="2"/>
        <v>105000</v>
      </c>
      <c r="H171" s="1" t="e">
        <f>Tabela2[[#Totals],[Total]]/A470</f>
        <v>#DIV/0!</v>
      </c>
    </row>
    <row r="172" spans="1:8">
      <c r="A172">
        <v>171</v>
      </c>
      <c r="B172" t="s">
        <v>1457</v>
      </c>
      <c r="C172" t="s">
        <v>1458</v>
      </c>
      <c r="D172" t="s">
        <v>1173</v>
      </c>
      <c r="E172" s="1">
        <v>120000</v>
      </c>
      <c r="F172">
        <v>25000</v>
      </c>
      <c r="G172" s="1">
        <f t="shared" si="2"/>
        <v>145000</v>
      </c>
      <c r="H172" s="1" t="e">
        <f>Tabela2[[#Totals],[Total]]/A471</f>
        <v>#DIV/0!</v>
      </c>
    </row>
    <row r="173" spans="1:8">
      <c r="A173">
        <v>172</v>
      </c>
      <c r="B173" t="s">
        <v>1459</v>
      </c>
      <c r="C173" t="s">
        <v>1460</v>
      </c>
      <c r="D173" t="s">
        <v>1173</v>
      </c>
      <c r="E173" s="1">
        <v>200000</v>
      </c>
      <c r="F173">
        <v>25000</v>
      </c>
      <c r="G173" s="1">
        <f t="shared" si="2"/>
        <v>225000</v>
      </c>
      <c r="H173" s="1" t="e">
        <f>Tabela2[[#Totals],[Total]]/A472</f>
        <v>#DIV/0!</v>
      </c>
    </row>
    <row r="174" spans="1:8">
      <c r="A174">
        <v>173</v>
      </c>
      <c r="B174" t="s">
        <v>1461</v>
      </c>
      <c r="C174" t="s">
        <v>1462</v>
      </c>
      <c r="D174" t="s">
        <v>1173</v>
      </c>
      <c r="E174" s="1">
        <v>120000</v>
      </c>
      <c r="F174">
        <v>25000</v>
      </c>
      <c r="G174" s="1">
        <f t="shared" si="2"/>
        <v>145000</v>
      </c>
      <c r="H174" s="1" t="e">
        <f>Tabela2[[#Totals],[Total]]/A473</f>
        <v>#DIV/0!</v>
      </c>
    </row>
    <row r="175" spans="1:8">
      <c r="A175">
        <v>174</v>
      </c>
      <c r="B175" t="s">
        <v>1463</v>
      </c>
      <c r="C175" t="s">
        <v>1464</v>
      </c>
      <c r="D175" t="s">
        <v>1176</v>
      </c>
      <c r="E175" s="1">
        <v>80000</v>
      </c>
      <c r="F175">
        <v>25000</v>
      </c>
      <c r="G175" s="1">
        <f t="shared" si="2"/>
        <v>105000</v>
      </c>
      <c r="H175" s="1" t="e">
        <f>Tabela2[[#Totals],[Total]]/A474</f>
        <v>#DIV/0!</v>
      </c>
    </row>
    <row r="176" spans="1:8">
      <c r="A176">
        <v>175</v>
      </c>
      <c r="B176" t="s">
        <v>1465</v>
      </c>
      <c r="C176" t="s">
        <v>1466</v>
      </c>
      <c r="D176" t="s">
        <v>1179</v>
      </c>
      <c r="E176" s="1">
        <v>80000</v>
      </c>
      <c r="F176">
        <v>25000</v>
      </c>
      <c r="G176" s="1">
        <f t="shared" si="2"/>
        <v>105000</v>
      </c>
      <c r="H176" s="1" t="e">
        <f>Tabela2[[#Totals],[Total]]/A475</f>
        <v>#DIV/0!</v>
      </c>
    </row>
    <row r="177" spans="1:8">
      <c r="A177">
        <v>176</v>
      </c>
      <c r="B177" t="s">
        <v>1467</v>
      </c>
      <c r="C177" t="s">
        <v>891</v>
      </c>
      <c r="D177" t="s">
        <v>1176</v>
      </c>
      <c r="E177" s="1">
        <v>80000</v>
      </c>
      <c r="F177">
        <v>25000</v>
      </c>
      <c r="G177" s="1">
        <f t="shared" si="2"/>
        <v>105000</v>
      </c>
      <c r="H177" s="1" t="e">
        <f>Tabela2[[#Totals],[Total]]/A476</f>
        <v>#DIV/0!</v>
      </c>
    </row>
    <row r="178" spans="1:8">
      <c r="A178">
        <v>177</v>
      </c>
      <c r="B178" t="s">
        <v>1468</v>
      </c>
      <c r="C178" t="s">
        <v>1469</v>
      </c>
      <c r="D178" t="s">
        <v>1179</v>
      </c>
      <c r="E178" s="1">
        <v>200000</v>
      </c>
      <c r="F178">
        <v>25000</v>
      </c>
      <c r="G178" s="1">
        <f t="shared" si="2"/>
        <v>225000</v>
      </c>
      <c r="H178" s="1" t="e">
        <f>Tabela2[[#Totals],[Total]]/A477</f>
        <v>#DIV/0!</v>
      </c>
    </row>
    <row r="179" spans="1:8">
      <c r="A179">
        <v>178</v>
      </c>
      <c r="B179" t="s">
        <v>1470</v>
      </c>
      <c r="C179" t="s">
        <v>1471</v>
      </c>
      <c r="D179" t="s">
        <v>1179</v>
      </c>
      <c r="E179" s="1">
        <v>120000</v>
      </c>
      <c r="F179">
        <v>25000</v>
      </c>
      <c r="G179" s="1">
        <f t="shared" si="2"/>
        <v>145000</v>
      </c>
      <c r="H179" s="1" t="e">
        <f>Tabela2[[#Totals],[Total]]/A478</f>
        <v>#DIV/0!</v>
      </c>
    </row>
    <row r="180" spans="1:8">
      <c r="A180">
        <v>179</v>
      </c>
      <c r="B180" t="s">
        <v>1472</v>
      </c>
      <c r="C180" t="s">
        <v>777</v>
      </c>
      <c r="D180" t="s">
        <v>1179</v>
      </c>
      <c r="E180" s="1">
        <v>80000</v>
      </c>
      <c r="F180">
        <v>25000</v>
      </c>
      <c r="G180" s="1">
        <f t="shared" si="2"/>
        <v>105000</v>
      </c>
      <c r="H180" s="1" t="e">
        <f>Tabela2[[#Totals],[Total]]/A479</f>
        <v>#DIV/0!</v>
      </c>
    </row>
    <row r="181" spans="1:8">
      <c r="A181">
        <v>180</v>
      </c>
      <c r="B181" t="s">
        <v>1473</v>
      </c>
      <c r="C181" t="s">
        <v>1474</v>
      </c>
      <c r="D181" t="s">
        <v>1179</v>
      </c>
      <c r="E181" s="1">
        <v>80000</v>
      </c>
      <c r="F181">
        <v>25000</v>
      </c>
      <c r="G181" s="1">
        <f t="shared" si="2"/>
        <v>105000</v>
      </c>
      <c r="H181" s="1" t="e">
        <f>Tabela2[[#Totals],[Total]]/A480</f>
        <v>#DIV/0!</v>
      </c>
    </row>
    <row r="182" spans="1:8">
      <c r="A182">
        <v>181</v>
      </c>
      <c r="B182" t="s">
        <v>1475</v>
      </c>
      <c r="C182" t="s">
        <v>1207</v>
      </c>
      <c r="D182" t="s">
        <v>1179</v>
      </c>
      <c r="E182" s="1">
        <v>200000</v>
      </c>
      <c r="F182">
        <v>25000</v>
      </c>
      <c r="G182" s="1">
        <f t="shared" si="2"/>
        <v>225000</v>
      </c>
      <c r="H182" s="1" t="e">
        <f>Tabela2[[#Totals],[Total]]/A481</f>
        <v>#DIV/0!</v>
      </c>
    </row>
    <row r="183" spans="1:8">
      <c r="A183">
        <v>182</v>
      </c>
      <c r="B183" t="s">
        <v>1476</v>
      </c>
      <c r="C183" t="s">
        <v>1477</v>
      </c>
      <c r="D183" t="s">
        <v>1179</v>
      </c>
      <c r="E183" s="1">
        <v>120000</v>
      </c>
      <c r="F183">
        <v>25000</v>
      </c>
      <c r="G183" s="1">
        <f t="shared" si="2"/>
        <v>145000</v>
      </c>
      <c r="H183" s="1" t="e">
        <f>Tabela2[[#Totals],[Total]]/A482</f>
        <v>#DIV/0!</v>
      </c>
    </row>
    <row r="184" spans="1:8">
      <c r="A184">
        <v>183</v>
      </c>
      <c r="B184" t="s">
        <v>1478</v>
      </c>
      <c r="C184" t="s">
        <v>933</v>
      </c>
      <c r="D184" t="s">
        <v>1176</v>
      </c>
      <c r="E184" s="1">
        <v>120000</v>
      </c>
      <c r="F184">
        <v>25000</v>
      </c>
      <c r="G184" s="1">
        <f t="shared" si="2"/>
        <v>145000</v>
      </c>
      <c r="H184" s="1" t="e">
        <f>Tabela2[[#Totals],[Total]]/A483</f>
        <v>#DIV/0!</v>
      </c>
    </row>
    <row r="185" spans="1:8">
      <c r="A185">
        <v>184</v>
      </c>
      <c r="B185" t="s">
        <v>1479</v>
      </c>
      <c r="C185" t="s">
        <v>1458</v>
      </c>
      <c r="D185" t="s">
        <v>1176</v>
      </c>
      <c r="E185" s="1">
        <v>200000</v>
      </c>
      <c r="F185">
        <v>25000</v>
      </c>
      <c r="G185" s="1">
        <f t="shared" si="2"/>
        <v>225000</v>
      </c>
      <c r="H185" s="1" t="e">
        <f>Tabela2[[#Totals],[Total]]/A484</f>
        <v>#DIV/0!</v>
      </c>
    </row>
    <row r="186" spans="1:8">
      <c r="A186">
        <v>185</v>
      </c>
      <c r="B186" t="s">
        <v>1480</v>
      </c>
      <c r="C186" t="s">
        <v>1481</v>
      </c>
      <c r="D186" t="s">
        <v>1176</v>
      </c>
      <c r="E186" s="1">
        <v>120000</v>
      </c>
      <c r="F186">
        <v>25000</v>
      </c>
      <c r="G186" s="1">
        <f t="shared" si="2"/>
        <v>145000</v>
      </c>
      <c r="H186" s="1" t="e">
        <f>Tabela2[[#Totals],[Total]]/A485</f>
        <v>#DIV/0!</v>
      </c>
    </row>
    <row r="187" spans="1:8">
      <c r="A187">
        <v>186</v>
      </c>
      <c r="B187" t="s">
        <v>1482</v>
      </c>
      <c r="C187" t="s">
        <v>673</v>
      </c>
      <c r="D187" t="s">
        <v>1176</v>
      </c>
      <c r="E187" s="1">
        <v>80000</v>
      </c>
      <c r="F187">
        <v>25000</v>
      </c>
      <c r="G187" s="1">
        <f t="shared" si="2"/>
        <v>105000</v>
      </c>
      <c r="H187" s="1" t="e">
        <f>Tabela2[[#Totals],[Total]]/A486</f>
        <v>#DIV/0!</v>
      </c>
    </row>
    <row r="188" spans="1:8">
      <c r="A188">
        <v>187</v>
      </c>
      <c r="B188" t="s">
        <v>1483</v>
      </c>
      <c r="C188" t="s">
        <v>1484</v>
      </c>
      <c r="D188" t="s">
        <v>1173</v>
      </c>
      <c r="E188" s="1">
        <v>80000</v>
      </c>
      <c r="F188">
        <v>25000</v>
      </c>
      <c r="G188" s="1">
        <f t="shared" si="2"/>
        <v>105000</v>
      </c>
      <c r="H188" s="1" t="e">
        <f>Tabela2[[#Totals],[Total]]/A487</f>
        <v>#DIV/0!</v>
      </c>
    </row>
    <row r="189" spans="1:8">
      <c r="A189">
        <v>188</v>
      </c>
      <c r="B189" t="s">
        <v>1485</v>
      </c>
      <c r="C189" t="s">
        <v>1486</v>
      </c>
      <c r="D189" t="s">
        <v>1179</v>
      </c>
      <c r="E189" s="1">
        <v>120000</v>
      </c>
      <c r="F189">
        <v>25000</v>
      </c>
      <c r="G189" s="1">
        <f t="shared" si="2"/>
        <v>145000</v>
      </c>
      <c r="H189" s="1" t="e">
        <f>Tabela2[[#Totals],[Total]]/A488</f>
        <v>#DIV/0!</v>
      </c>
    </row>
    <row r="190" spans="1:8">
      <c r="A190">
        <v>189</v>
      </c>
      <c r="B190" t="s">
        <v>1487</v>
      </c>
      <c r="C190" t="s">
        <v>1251</v>
      </c>
      <c r="D190" t="s">
        <v>1176</v>
      </c>
      <c r="E190" s="1">
        <v>80000</v>
      </c>
      <c r="F190">
        <v>25000</v>
      </c>
      <c r="G190" s="1">
        <f t="shared" si="2"/>
        <v>105000</v>
      </c>
      <c r="H190" s="1" t="e">
        <f>Tabela2[[#Totals],[Total]]/A489</f>
        <v>#DIV/0!</v>
      </c>
    </row>
    <row r="191" spans="1:8">
      <c r="A191">
        <v>190</v>
      </c>
      <c r="B191" t="s">
        <v>1488</v>
      </c>
      <c r="C191" t="s">
        <v>732</v>
      </c>
      <c r="D191" t="s">
        <v>1179</v>
      </c>
      <c r="E191" s="1">
        <v>200000</v>
      </c>
      <c r="F191">
        <v>25000</v>
      </c>
      <c r="G191" s="1">
        <f t="shared" si="2"/>
        <v>225000</v>
      </c>
      <c r="H191" s="1" t="e">
        <f>Tabela2[[#Totals],[Total]]/A490</f>
        <v>#DIV/0!</v>
      </c>
    </row>
    <row r="192" spans="1:8">
      <c r="A192">
        <v>191</v>
      </c>
      <c r="B192" t="s">
        <v>1489</v>
      </c>
      <c r="C192" t="s">
        <v>406</v>
      </c>
      <c r="D192" t="s">
        <v>1179</v>
      </c>
      <c r="E192" s="1">
        <v>80000</v>
      </c>
      <c r="F192">
        <v>25000</v>
      </c>
      <c r="G192" s="1">
        <f t="shared" si="2"/>
        <v>105000</v>
      </c>
      <c r="H192" s="1" t="e">
        <f>Tabela2[[#Totals],[Total]]/A491</f>
        <v>#DIV/0!</v>
      </c>
    </row>
    <row r="193" spans="1:8">
      <c r="A193">
        <v>192</v>
      </c>
      <c r="B193" t="s">
        <v>1490</v>
      </c>
      <c r="C193" t="s">
        <v>1257</v>
      </c>
      <c r="D193" t="s">
        <v>1176</v>
      </c>
      <c r="E193" s="1">
        <v>120000</v>
      </c>
      <c r="F193">
        <v>25000</v>
      </c>
      <c r="G193" s="1">
        <f t="shared" si="2"/>
        <v>145000</v>
      </c>
      <c r="H193" s="1" t="e">
        <f>Tabela2[[#Totals],[Total]]/A492</f>
        <v>#DIV/0!</v>
      </c>
    </row>
    <row r="194" spans="1:8">
      <c r="A194">
        <v>193</v>
      </c>
      <c r="B194" t="s">
        <v>1491</v>
      </c>
      <c r="C194" t="s">
        <v>250</v>
      </c>
      <c r="D194" t="s">
        <v>1179</v>
      </c>
      <c r="E194" s="1">
        <v>200000</v>
      </c>
      <c r="F194">
        <v>25000</v>
      </c>
      <c r="G194" s="1">
        <f t="shared" si="2"/>
        <v>225000</v>
      </c>
      <c r="H194" s="1" t="e">
        <f>Tabela2[[#Totals],[Total]]/A493</f>
        <v>#DIV/0!</v>
      </c>
    </row>
    <row r="195" spans="1:8">
      <c r="A195">
        <v>194</v>
      </c>
      <c r="B195" t="s">
        <v>1492</v>
      </c>
      <c r="C195" t="s">
        <v>1493</v>
      </c>
      <c r="D195" t="s">
        <v>1176</v>
      </c>
      <c r="E195" s="1">
        <v>120000</v>
      </c>
      <c r="F195">
        <v>25000</v>
      </c>
      <c r="G195" s="1">
        <f t="shared" ref="G195:G258" si="3">E195+F195</f>
        <v>145000</v>
      </c>
      <c r="H195" s="1" t="e">
        <f>Tabela2[[#Totals],[Total]]/A494</f>
        <v>#DIV/0!</v>
      </c>
    </row>
    <row r="196" spans="1:8">
      <c r="A196">
        <v>195</v>
      </c>
      <c r="B196" t="s">
        <v>1494</v>
      </c>
      <c r="C196" t="s">
        <v>1495</v>
      </c>
      <c r="D196" t="s">
        <v>1176</v>
      </c>
      <c r="E196" s="1">
        <v>200000</v>
      </c>
      <c r="F196">
        <v>25000</v>
      </c>
      <c r="G196" s="1">
        <f t="shared" si="3"/>
        <v>225000</v>
      </c>
      <c r="H196" s="1" t="e">
        <f>Tabela2[[#Totals],[Total]]/A495</f>
        <v>#DIV/0!</v>
      </c>
    </row>
    <row r="197" spans="1:8">
      <c r="A197">
        <v>196</v>
      </c>
      <c r="B197" t="s">
        <v>1496</v>
      </c>
      <c r="C197" t="s">
        <v>1497</v>
      </c>
      <c r="D197" t="s">
        <v>1179</v>
      </c>
      <c r="E197" s="1">
        <v>80000</v>
      </c>
      <c r="F197">
        <v>25000</v>
      </c>
      <c r="G197" s="1">
        <f t="shared" si="3"/>
        <v>105000</v>
      </c>
      <c r="H197" s="1" t="e">
        <f>Tabela2[[#Totals],[Total]]/A496</f>
        <v>#DIV/0!</v>
      </c>
    </row>
    <row r="198" spans="1:8">
      <c r="A198">
        <v>197</v>
      </c>
      <c r="B198" t="s">
        <v>1498</v>
      </c>
      <c r="C198" t="s">
        <v>1499</v>
      </c>
      <c r="D198" t="s">
        <v>1173</v>
      </c>
      <c r="E198" s="1">
        <v>120000</v>
      </c>
      <c r="F198">
        <v>25000</v>
      </c>
      <c r="G198" s="1">
        <f t="shared" si="3"/>
        <v>145000</v>
      </c>
      <c r="H198" s="1" t="e">
        <f>Tabela2[[#Totals],[Total]]/A497</f>
        <v>#DIV/0!</v>
      </c>
    </row>
    <row r="199" spans="1:8">
      <c r="A199">
        <v>198</v>
      </c>
      <c r="B199" t="s">
        <v>1500</v>
      </c>
      <c r="C199" t="s">
        <v>1501</v>
      </c>
      <c r="D199" t="s">
        <v>1179</v>
      </c>
      <c r="E199" s="1">
        <v>200000</v>
      </c>
      <c r="F199">
        <v>25000</v>
      </c>
      <c r="G199" s="1">
        <f t="shared" si="3"/>
        <v>225000</v>
      </c>
      <c r="H199" s="1" t="e">
        <f>Tabela2[[#Totals],[Total]]/A498</f>
        <v>#DIV/0!</v>
      </c>
    </row>
    <row r="200" spans="1:8">
      <c r="A200">
        <v>199</v>
      </c>
      <c r="B200" t="s">
        <v>1502</v>
      </c>
      <c r="C200" t="s">
        <v>1503</v>
      </c>
      <c r="D200" t="s">
        <v>1173</v>
      </c>
      <c r="E200" s="1">
        <v>80000</v>
      </c>
      <c r="F200">
        <v>25000</v>
      </c>
      <c r="G200" s="1">
        <f t="shared" si="3"/>
        <v>105000</v>
      </c>
      <c r="H200" s="1" t="e">
        <f>Tabela2[[#Totals],[Total]]/A499</f>
        <v>#DIV/0!</v>
      </c>
    </row>
    <row r="201" spans="1:8">
      <c r="A201">
        <v>200</v>
      </c>
      <c r="B201" t="s">
        <v>1504</v>
      </c>
      <c r="C201" t="s">
        <v>1106</v>
      </c>
      <c r="D201" t="s">
        <v>1179</v>
      </c>
      <c r="E201" s="1">
        <v>120000</v>
      </c>
      <c r="F201">
        <v>25000</v>
      </c>
      <c r="G201" s="1">
        <f t="shared" si="3"/>
        <v>145000</v>
      </c>
      <c r="H201" s="1" t="e">
        <f>Tabela2[[#Totals],[Total]]/A500</f>
        <v>#DIV/0!</v>
      </c>
    </row>
    <row r="202" spans="1:8">
      <c r="A202">
        <v>201</v>
      </c>
      <c r="B202" t="s">
        <v>1505</v>
      </c>
      <c r="C202" t="s">
        <v>1506</v>
      </c>
      <c r="D202" t="s">
        <v>1173</v>
      </c>
      <c r="E202" s="1">
        <v>200000</v>
      </c>
      <c r="F202">
        <v>25000</v>
      </c>
      <c r="G202" s="1">
        <f t="shared" si="3"/>
        <v>225000</v>
      </c>
      <c r="H202" s="1" t="e">
        <f>Tabela2[[#Totals],[Total]]/A501</f>
        <v>#DIV/0!</v>
      </c>
    </row>
    <row r="203" spans="1:8">
      <c r="A203">
        <v>202</v>
      </c>
      <c r="B203" t="s">
        <v>1507</v>
      </c>
      <c r="C203" t="s">
        <v>1508</v>
      </c>
      <c r="D203" t="s">
        <v>1179</v>
      </c>
      <c r="E203" s="1">
        <v>200000</v>
      </c>
      <c r="F203">
        <v>25000</v>
      </c>
      <c r="G203" s="1">
        <f t="shared" si="3"/>
        <v>225000</v>
      </c>
      <c r="H203" s="1" t="e">
        <f>Tabela2[[#Totals],[Total]]/A502</f>
        <v>#DIV/0!</v>
      </c>
    </row>
    <row r="204" spans="1:8">
      <c r="A204">
        <v>203</v>
      </c>
      <c r="B204" t="s">
        <v>1509</v>
      </c>
      <c r="C204" t="s">
        <v>328</v>
      </c>
      <c r="D204" t="s">
        <v>1173</v>
      </c>
      <c r="E204" s="1">
        <v>200000</v>
      </c>
      <c r="F204">
        <v>25000</v>
      </c>
      <c r="G204" s="1">
        <f t="shared" si="3"/>
        <v>225000</v>
      </c>
      <c r="H204" s="1" t="e">
        <f>Tabela2[[#Totals],[Total]]/A503</f>
        <v>#DIV/0!</v>
      </c>
    </row>
    <row r="205" spans="1:8">
      <c r="A205">
        <v>204</v>
      </c>
      <c r="B205" t="s">
        <v>1510</v>
      </c>
      <c r="C205" t="s">
        <v>1511</v>
      </c>
      <c r="D205" t="s">
        <v>1176</v>
      </c>
      <c r="E205" s="1">
        <v>120000</v>
      </c>
      <c r="F205">
        <v>25000</v>
      </c>
      <c r="G205" s="1">
        <f t="shared" si="3"/>
        <v>145000</v>
      </c>
      <c r="H205" s="1" t="e">
        <f>Tabela2[[#Totals],[Total]]/A504</f>
        <v>#DIV/0!</v>
      </c>
    </row>
    <row r="206" spans="1:8">
      <c r="A206">
        <v>205</v>
      </c>
      <c r="B206" t="s">
        <v>1512</v>
      </c>
      <c r="C206" t="s">
        <v>1143</v>
      </c>
      <c r="D206" t="s">
        <v>1173</v>
      </c>
      <c r="E206" s="1">
        <v>200000</v>
      </c>
      <c r="F206">
        <v>25000</v>
      </c>
      <c r="G206" s="1">
        <f t="shared" si="3"/>
        <v>225000</v>
      </c>
      <c r="H206" s="1" t="e">
        <f>Tabela2[[#Totals],[Total]]/A505</f>
        <v>#DIV/0!</v>
      </c>
    </row>
    <row r="207" spans="1:8">
      <c r="A207">
        <v>206</v>
      </c>
      <c r="B207" t="s">
        <v>1513</v>
      </c>
      <c r="C207" t="s">
        <v>1514</v>
      </c>
      <c r="D207" t="s">
        <v>1176</v>
      </c>
      <c r="E207" s="1">
        <v>120000</v>
      </c>
      <c r="F207">
        <v>25000</v>
      </c>
      <c r="G207" s="1">
        <f t="shared" si="3"/>
        <v>145000</v>
      </c>
      <c r="H207" s="1" t="e">
        <f>Tabela2[[#Totals],[Total]]/A506</f>
        <v>#DIV/0!</v>
      </c>
    </row>
    <row r="208" spans="1:8">
      <c r="A208">
        <v>207</v>
      </c>
      <c r="B208" t="s">
        <v>1515</v>
      </c>
      <c r="C208" t="s">
        <v>82</v>
      </c>
      <c r="D208" t="s">
        <v>1173</v>
      </c>
      <c r="E208" s="1">
        <v>200000</v>
      </c>
      <c r="F208">
        <v>25000</v>
      </c>
      <c r="G208" s="1">
        <f t="shared" si="3"/>
        <v>225000</v>
      </c>
      <c r="H208" s="1" t="e">
        <f>Tabela2[[#Totals],[Total]]/A507</f>
        <v>#DIV/0!</v>
      </c>
    </row>
    <row r="209" spans="1:8">
      <c r="A209">
        <v>208</v>
      </c>
      <c r="B209" t="s">
        <v>1516</v>
      </c>
      <c r="C209" t="s">
        <v>106</v>
      </c>
      <c r="D209" t="s">
        <v>1176</v>
      </c>
      <c r="E209" s="1">
        <v>80000</v>
      </c>
      <c r="F209">
        <v>25000</v>
      </c>
      <c r="G209" s="1">
        <f t="shared" si="3"/>
        <v>105000</v>
      </c>
      <c r="H209" s="1" t="e">
        <f>Tabela2[[#Totals],[Total]]/A508</f>
        <v>#DIV/0!</v>
      </c>
    </row>
    <row r="210" spans="1:8">
      <c r="A210">
        <v>209</v>
      </c>
      <c r="B210" t="s">
        <v>1517</v>
      </c>
      <c r="C210" t="s">
        <v>1518</v>
      </c>
      <c r="D210" t="s">
        <v>1176</v>
      </c>
      <c r="E210" s="1">
        <v>80000</v>
      </c>
      <c r="F210">
        <v>25000</v>
      </c>
      <c r="G210" s="1">
        <f t="shared" si="3"/>
        <v>105000</v>
      </c>
      <c r="H210" s="1" t="e">
        <f>Tabela2[[#Totals],[Total]]/A509</f>
        <v>#DIV/0!</v>
      </c>
    </row>
    <row r="211" spans="1:8">
      <c r="A211">
        <v>210</v>
      </c>
      <c r="B211" t="s">
        <v>1519</v>
      </c>
      <c r="C211" t="s">
        <v>1508</v>
      </c>
      <c r="D211" t="s">
        <v>1176</v>
      </c>
      <c r="E211" s="1">
        <v>120000</v>
      </c>
      <c r="F211">
        <v>25000</v>
      </c>
      <c r="G211" s="1">
        <f t="shared" si="3"/>
        <v>145000</v>
      </c>
      <c r="H211" s="1" t="e">
        <f>Tabela2[[#Totals],[Total]]/A510</f>
        <v>#DIV/0!</v>
      </c>
    </row>
    <row r="212" spans="1:8">
      <c r="A212">
        <v>211</v>
      </c>
      <c r="B212" t="s">
        <v>1520</v>
      </c>
      <c r="C212" t="s">
        <v>1521</v>
      </c>
      <c r="D212" t="s">
        <v>1173</v>
      </c>
      <c r="E212" s="1">
        <v>80000</v>
      </c>
      <c r="F212">
        <v>25000</v>
      </c>
      <c r="G212" s="1">
        <f t="shared" si="3"/>
        <v>105000</v>
      </c>
      <c r="H212" s="1" t="e">
        <f>Tabela2[[#Totals],[Total]]/A511</f>
        <v>#DIV/0!</v>
      </c>
    </row>
    <row r="213" spans="1:8">
      <c r="A213">
        <v>212</v>
      </c>
      <c r="B213" t="s">
        <v>1522</v>
      </c>
      <c r="C213" t="s">
        <v>1523</v>
      </c>
      <c r="D213" t="s">
        <v>1176</v>
      </c>
      <c r="E213" s="1">
        <v>120000</v>
      </c>
      <c r="F213">
        <v>25000</v>
      </c>
      <c r="G213" s="1">
        <f t="shared" si="3"/>
        <v>145000</v>
      </c>
      <c r="H213" s="1" t="e">
        <f>Tabela2[[#Totals],[Total]]/A512</f>
        <v>#DIV/0!</v>
      </c>
    </row>
    <row r="214" spans="1:8">
      <c r="A214">
        <v>213</v>
      </c>
      <c r="B214" t="s">
        <v>1524</v>
      </c>
      <c r="C214" t="s">
        <v>242</v>
      </c>
      <c r="D214" t="s">
        <v>1179</v>
      </c>
      <c r="E214" s="1">
        <v>80000</v>
      </c>
      <c r="F214">
        <v>25000</v>
      </c>
      <c r="G214" s="1">
        <f t="shared" si="3"/>
        <v>105000</v>
      </c>
      <c r="H214" s="1" t="e">
        <f>Tabela2[[#Totals],[Total]]/A513</f>
        <v>#DIV/0!</v>
      </c>
    </row>
    <row r="215" spans="1:8">
      <c r="A215">
        <v>214</v>
      </c>
      <c r="B215" t="s">
        <v>1525</v>
      </c>
      <c r="C215" t="s">
        <v>1326</v>
      </c>
      <c r="D215" t="s">
        <v>1179</v>
      </c>
      <c r="E215" s="1">
        <v>120000</v>
      </c>
      <c r="F215">
        <v>25000</v>
      </c>
      <c r="G215" s="1">
        <f t="shared" si="3"/>
        <v>145000</v>
      </c>
      <c r="H215" s="1" t="e">
        <f>Tabela2[[#Totals],[Total]]/A514</f>
        <v>#DIV/0!</v>
      </c>
    </row>
    <row r="216" spans="1:8">
      <c r="A216">
        <v>215</v>
      </c>
      <c r="B216" t="s">
        <v>1526</v>
      </c>
      <c r="C216" t="s">
        <v>1527</v>
      </c>
      <c r="D216" t="s">
        <v>1173</v>
      </c>
      <c r="E216" s="1">
        <v>80000</v>
      </c>
      <c r="F216">
        <v>25000</v>
      </c>
      <c r="G216" s="1">
        <f t="shared" si="3"/>
        <v>105000</v>
      </c>
      <c r="H216" s="1" t="e">
        <f>Tabela2[[#Totals],[Total]]/A515</f>
        <v>#DIV/0!</v>
      </c>
    </row>
    <row r="217" spans="1:8">
      <c r="A217">
        <v>216</v>
      </c>
      <c r="B217" t="s">
        <v>1528</v>
      </c>
      <c r="C217" t="s">
        <v>1529</v>
      </c>
      <c r="D217" t="s">
        <v>1176</v>
      </c>
      <c r="E217" s="1">
        <v>120000</v>
      </c>
      <c r="F217">
        <v>25000</v>
      </c>
      <c r="G217" s="1">
        <f t="shared" si="3"/>
        <v>145000</v>
      </c>
      <c r="H217" s="1" t="e">
        <f>Tabela2[[#Totals],[Total]]/A516</f>
        <v>#DIV/0!</v>
      </c>
    </row>
    <row r="218" spans="1:8">
      <c r="A218">
        <v>217</v>
      </c>
      <c r="B218" t="s">
        <v>1530</v>
      </c>
      <c r="C218" t="s">
        <v>1181</v>
      </c>
      <c r="D218" t="s">
        <v>1173</v>
      </c>
      <c r="E218" s="1">
        <v>120000</v>
      </c>
      <c r="F218">
        <v>25000</v>
      </c>
      <c r="G218" s="1">
        <f t="shared" si="3"/>
        <v>145000</v>
      </c>
      <c r="H218" s="1" t="e">
        <f>Tabela2[[#Totals],[Total]]/A517</f>
        <v>#DIV/0!</v>
      </c>
    </row>
    <row r="219" spans="1:8">
      <c r="A219">
        <v>218</v>
      </c>
      <c r="B219" t="s">
        <v>1531</v>
      </c>
      <c r="C219" t="s">
        <v>1161</v>
      </c>
      <c r="D219" t="s">
        <v>1173</v>
      </c>
      <c r="E219" s="1">
        <v>120000</v>
      </c>
      <c r="F219">
        <v>25000</v>
      </c>
      <c r="G219" s="1">
        <f t="shared" si="3"/>
        <v>145000</v>
      </c>
      <c r="H219" s="1" t="e">
        <f>Tabela2[[#Totals],[Total]]/A518</f>
        <v>#DIV/0!</v>
      </c>
    </row>
    <row r="220" spans="1:8">
      <c r="A220">
        <v>219</v>
      </c>
      <c r="B220" t="s">
        <v>1532</v>
      </c>
      <c r="C220" t="s">
        <v>1533</v>
      </c>
      <c r="D220" t="s">
        <v>1176</v>
      </c>
      <c r="E220" s="1">
        <v>80000</v>
      </c>
      <c r="F220">
        <v>25000</v>
      </c>
      <c r="G220" s="1">
        <f t="shared" si="3"/>
        <v>105000</v>
      </c>
      <c r="H220" s="1" t="e">
        <f>Tabela2[[#Totals],[Total]]/A519</f>
        <v>#DIV/0!</v>
      </c>
    </row>
    <row r="221" spans="1:8">
      <c r="A221">
        <v>220</v>
      </c>
      <c r="B221" t="s">
        <v>1534</v>
      </c>
      <c r="C221" t="s">
        <v>1535</v>
      </c>
      <c r="D221" t="s">
        <v>1176</v>
      </c>
      <c r="E221" s="1">
        <v>80000</v>
      </c>
      <c r="F221">
        <v>25000</v>
      </c>
      <c r="G221" s="1">
        <f t="shared" si="3"/>
        <v>105000</v>
      </c>
      <c r="H221" s="1" t="e">
        <f>Tabela2[[#Totals],[Total]]/A520</f>
        <v>#DIV/0!</v>
      </c>
    </row>
    <row r="222" spans="1:8">
      <c r="A222">
        <v>221</v>
      </c>
      <c r="B222" t="s">
        <v>1536</v>
      </c>
      <c r="C222" t="s">
        <v>1537</v>
      </c>
      <c r="D222" t="s">
        <v>1173</v>
      </c>
      <c r="E222" s="1">
        <v>200000</v>
      </c>
      <c r="F222">
        <v>25000</v>
      </c>
      <c r="G222" s="1">
        <f t="shared" si="3"/>
        <v>225000</v>
      </c>
      <c r="H222" s="1" t="e">
        <f>Tabela2[[#Totals],[Total]]/A521</f>
        <v>#DIV/0!</v>
      </c>
    </row>
    <row r="223" spans="1:8">
      <c r="A223">
        <v>222</v>
      </c>
      <c r="B223" t="s">
        <v>1538</v>
      </c>
      <c r="C223" t="s">
        <v>1539</v>
      </c>
      <c r="D223" t="s">
        <v>1176</v>
      </c>
      <c r="E223" s="1">
        <v>120000</v>
      </c>
      <c r="F223">
        <v>25000</v>
      </c>
      <c r="G223" s="1">
        <f t="shared" si="3"/>
        <v>145000</v>
      </c>
      <c r="H223" s="1" t="e">
        <f>Tabela2[[#Totals],[Total]]/A522</f>
        <v>#DIV/0!</v>
      </c>
    </row>
    <row r="224" spans="1:8">
      <c r="A224">
        <v>223</v>
      </c>
      <c r="B224" t="s">
        <v>1540</v>
      </c>
      <c r="C224" t="s">
        <v>1541</v>
      </c>
      <c r="D224" t="s">
        <v>1179</v>
      </c>
      <c r="E224" s="1">
        <v>120000</v>
      </c>
      <c r="F224">
        <v>25000</v>
      </c>
      <c r="G224" s="1">
        <f t="shared" si="3"/>
        <v>145000</v>
      </c>
      <c r="H224" s="1" t="e">
        <f>Tabela2[[#Totals],[Total]]/A523</f>
        <v>#DIV/0!</v>
      </c>
    </row>
    <row r="225" spans="1:8">
      <c r="A225">
        <v>224</v>
      </c>
      <c r="B225" t="s">
        <v>1542</v>
      </c>
      <c r="C225" t="s">
        <v>1543</v>
      </c>
      <c r="D225" t="s">
        <v>1179</v>
      </c>
      <c r="E225" s="1">
        <v>200000</v>
      </c>
      <c r="F225">
        <v>25000</v>
      </c>
      <c r="G225" s="1">
        <f t="shared" si="3"/>
        <v>225000</v>
      </c>
      <c r="H225" s="1" t="e">
        <f>Tabela2[[#Totals],[Total]]/A524</f>
        <v>#DIV/0!</v>
      </c>
    </row>
    <row r="226" spans="1:8">
      <c r="A226">
        <v>225</v>
      </c>
      <c r="B226" t="s">
        <v>1544</v>
      </c>
      <c r="C226" t="s">
        <v>1545</v>
      </c>
      <c r="D226" t="s">
        <v>1179</v>
      </c>
      <c r="E226" s="1">
        <v>120000</v>
      </c>
      <c r="F226">
        <v>25000</v>
      </c>
      <c r="G226" s="1">
        <f t="shared" si="3"/>
        <v>145000</v>
      </c>
      <c r="H226" s="1" t="e">
        <f>Tabela2[[#Totals],[Total]]/A525</f>
        <v>#DIV/0!</v>
      </c>
    </row>
    <row r="227" spans="1:8">
      <c r="A227">
        <v>226</v>
      </c>
      <c r="B227" t="s">
        <v>1546</v>
      </c>
      <c r="C227" t="s">
        <v>1416</v>
      </c>
      <c r="D227" t="s">
        <v>1176</v>
      </c>
      <c r="E227" s="1">
        <v>120000</v>
      </c>
      <c r="F227">
        <v>25000</v>
      </c>
      <c r="G227" s="1">
        <f t="shared" si="3"/>
        <v>145000</v>
      </c>
      <c r="H227" s="1" t="e">
        <f>Tabela2[[#Totals],[Total]]/A526</f>
        <v>#DIV/0!</v>
      </c>
    </row>
    <row r="228" spans="1:8">
      <c r="A228">
        <v>227</v>
      </c>
      <c r="B228" t="s">
        <v>1547</v>
      </c>
      <c r="C228" t="s">
        <v>567</v>
      </c>
      <c r="D228" t="s">
        <v>1176</v>
      </c>
      <c r="E228" s="1">
        <v>80000</v>
      </c>
      <c r="F228">
        <v>25000</v>
      </c>
      <c r="G228" s="1">
        <f t="shared" si="3"/>
        <v>105000</v>
      </c>
      <c r="H228" s="1" t="e">
        <f>Tabela2[[#Totals],[Total]]/A527</f>
        <v>#DIV/0!</v>
      </c>
    </row>
    <row r="229" spans="1:8">
      <c r="A229">
        <v>228</v>
      </c>
      <c r="B229" t="s">
        <v>1548</v>
      </c>
      <c r="C229" t="s">
        <v>509</v>
      </c>
      <c r="D229" t="s">
        <v>1173</v>
      </c>
      <c r="E229" s="1">
        <v>200000</v>
      </c>
      <c r="F229">
        <v>25000</v>
      </c>
      <c r="G229" s="1">
        <f t="shared" si="3"/>
        <v>225000</v>
      </c>
      <c r="H229" s="1" t="e">
        <f>Tabela2[[#Totals],[Total]]/A528</f>
        <v>#DIV/0!</v>
      </c>
    </row>
    <row r="230" spans="1:8">
      <c r="A230">
        <v>229</v>
      </c>
      <c r="B230" t="s">
        <v>1549</v>
      </c>
      <c r="C230" t="s">
        <v>1550</v>
      </c>
      <c r="D230" t="s">
        <v>1176</v>
      </c>
      <c r="E230" s="1">
        <v>80000</v>
      </c>
      <c r="F230">
        <v>25000</v>
      </c>
      <c r="G230" s="1">
        <f t="shared" si="3"/>
        <v>105000</v>
      </c>
      <c r="H230" s="1" t="e">
        <f>Tabela2[[#Totals],[Total]]/A529</f>
        <v>#DIV/0!</v>
      </c>
    </row>
    <row r="231" spans="1:8">
      <c r="A231">
        <v>230</v>
      </c>
      <c r="B231" t="s">
        <v>1551</v>
      </c>
      <c r="C231" t="s">
        <v>472</v>
      </c>
      <c r="D231" t="s">
        <v>1179</v>
      </c>
      <c r="E231" s="1">
        <v>120000</v>
      </c>
      <c r="F231">
        <v>25000</v>
      </c>
      <c r="G231" s="1">
        <f t="shared" si="3"/>
        <v>145000</v>
      </c>
      <c r="H231" s="1" t="e">
        <f>Tabela2[[#Totals],[Total]]/A530</f>
        <v>#DIV/0!</v>
      </c>
    </row>
    <row r="232" spans="1:8">
      <c r="A232">
        <v>231</v>
      </c>
      <c r="B232" t="s">
        <v>1552</v>
      </c>
      <c r="C232" t="s">
        <v>1357</v>
      </c>
      <c r="D232" t="s">
        <v>1179</v>
      </c>
      <c r="E232" s="1">
        <v>200000</v>
      </c>
      <c r="F232">
        <v>25000</v>
      </c>
      <c r="G232" s="1">
        <f t="shared" si="3"/>
        <v>225000</v>
      </c>
      <c r="H232" s="1" t="e">
        <f>Tabela2[[#Totals],[Total]]/A531</f>
        <v>#DIV/0!</v>
      </c>
    </row>
    <row r="233" spans="1:8">
      <c r="A233">
        <v>232</v>
      </c>
      <c r="B233" t="s">
        <v>1553</v>
      </c>
      <c r="C233" t="s">
        <v>1452</v>
      </c>
      <c r="D233" t="s">
        <v>1176</v>
      </c>
      <c r="E233" s="1">
        <v>80000</v>
      </c>
      <c r="F233">
        <v>25000</v>
      </c>
      <c r="G233" s="1">
        <f t="shared" si="3"/>
        <v>105000</v>
      </c>
      <c r="H233" s="1" t="e">
        <f>Tabela2[[#Totals],[Total]]/A532</f>
        <v>#DIV/0!</v>
      </c>
    </row>
    <row r="234" spans="1:8">
      <c r="A234">
        <v>233</v>
      </c>
      <c r="B234" t="s">
        <v>1554</v>
      </c>
      <c r="C234" t="s">
        <v>246</v>
      </c>
      <c r="D234" t="s">
        <v>1179</v>
      </c>
      <c r="E234" s="1">
        <v>80000</v>
      </c>
      <c r="F234">
        <v>25000</v>
      </c>
      <c r="G234" s="1">
        <f t="shared" si="3"/>
        <v>105000</v>
      </c>
      <c r="H234" s="1" t="e">
        <f>Tabela2[[#Totals],[Total]]/A533</f>
        <v>#DIV/0!</v>
      </c>
    </row>
    <row r="235" spans="1:8">
      <c r="A235">
        <v>234</v>
      </c>
      <c r="B235" t="s">
        <v>1555</v>
      </c>
      <c r="C235" t="s">
        <v>266</v>
      </c>
      <c r="D235" t="s">
        <v>1173</v>
      </c>
      <c r="E235" s="1">
        <v>80000</v>
      </c>
      <c r="F235">
        <v>25000</v>
      </c>
      <c r="G235" s="1">
        <f t="shared" si="3"/>
        <v>105000</v>
      </c>
      <c r="H235" s="1" t="e">
        <f>Tabela2[[#Totals],[Total]]/A534</f>
        <v>#DIV/0!</v>
      </c>
    </row>
    <row r="236" spans="1:8">
      <c r="A236">
        <v>235</v>
      </c>
      <c r="B236" t="s">
        <v>1556</v>
      </c>
      <c r="C236" t="s">
        <v>1091</v>
      </c>
      <c r="D236" t="s">
        <v>1179</v>
      </c>
      <c r="E236" s="1">
        <v>200000</v>
      </c>
      <c r="F236">
        <v>25000</v>
      </c>
      <c r="G236" s="1">
        <f t="shared" si="3"/>
        <v>225000</v>
      </c>
      <c r="H236" s="1" t="e">
        <f>Tabela2[[#Totals],[Total]]/A535</f>
        <v>#DIV/0!</v>
      </c>
    </row>
    <row r="237" spans="1:8">
      <c r="A237">
        <v>236</v>
      </c>
      <c r="B237" t="s">
        <v>1557</v>
      </c>
      <c r="C237" t="s">
        <v>1558</v>
      </c>
      <c r="D237" t="s">
        <v>1176</v>
      </c>
      <c r="E237" s="1">
        <v>120000</v>
      </c>
      <c r="F237">
        <v>25000</v>
      </c>
      <c r="G237" s="1">
        <f t="shared" si="3"/>
        <v>145000</v>
      </c>
      <c r="H237" s="1" t="e">
        <f>Tabela2[[#Totals],[Total]]/A536</f>
        <v>#DIV/0!</v>
      </c>
    </row>
    <row r="238" spans="1:8">
      <c r="A238">
        <v>237</v>
      </c>
      <c r="B238" t="s">
        <v>1559</v>
      </c>
      <c r="C238" t="s">
        <v>944</v>
      </c>
      <c r="D238" t="s">
        <v>1179</v>
      </c>
      <c r="E238" s="1">
        <v>200000</v>
      </c>
      <c r="F238">
        <v>25000</v>
      </c>
      <c r="G238" s="1">
        <f t="shared" si="3"/>
        <v>225000</v>
      </c>
      <c r="H238" s="1" t="e">
        <f>Tabela2[[#Totals],[Total]]/A537</f>
        <v>#DIV/0!</v>
      </c>
    </row>
    <row r="239" spans="1:8">
      <c r="A239">
        <v>238</v>
      </c>
      <c r="B239" t="s">
        <v>1560</v>
      </c>
      <c r="C239" t="s">
        <v>1561</v>
      </c>
      <c r="D239" t="s">
        <v>1176</v>
      </c>
      <c r="E239" s="1">
        <v>200000</v>
      </c>
      <c r="F239">
        <v>25000</v>
      </c>
      <c r="G239" s="1">
        <f t="shared" si="3"/>
        <v>225000</v>
      </c>
      <c r="H239" s="1" t="e">
        <f>Tabela2[[#Totals],[Total]]/A538</f>
        <v>#DIV/0!</v>
      </c>
    </row>
    <row r="240" spans="1:8">
      <c r="A240">
        <v>239</v>
      </c>
      <c r="B240" t="s">
        <v>1562</v>
      </c>
      <c r="C240" t="s">
        <v>1511</v>
      </c>
      <c r="D240" t="s">
        <v>1179</v>
      </c>
      <c r="E240" s="1">
        <v>80000</v>
      </c>
      <c r="F240">
        <v>25000</v>
      </c>
      <c r="G240" s="1">
        <f t="shared" si="3"/>
        <v>105000</v>
      </c>
      <c r="H240" s="1" t="e">
        <f>Tabela2[[#Totals],[Total]]/A539</f>
        <v>#DIV/0!</v>
      </c>
    </row>
    <row r="241" spans="1:8">
      <c r="A241">
        <v>240</v>
      </c>
      <c r="B241" t="s">
        <v>1563</v>
      </c>
      <c r="C241" t="s">
        <v>1564</v>
      </c>
      <c r="D241" t="s">
        <v>1179</v>
      </c>
      <c r="E241" s="1">
        <v>200000</v>
      </c>
      <c r="F241">
        <v>25000</v>
      </c>
      <c r="G241" s="1">
        <f t="shared" si="3"/>
        <v>225000</v>
      </c>
      <c r="H241" s="1" t="e">
        <f>Tabela2[[#Totals],[Total]]/A540</f>
        <v>#DIV/0!</v>
      </c>
    </row>
    <row r="242" spans="1:8">
      <c r="A242">
        <v>241</v>
      </c>
      <c r="B242" t="s">
        <v>1565</v>
      </c>
      <c r="C242" t="s">
        <v>203</v>
      </c>
      <c r="D242" t="s">
        <v>1179</v>
      </c>
      <c r="E242" s="1">
        <v>200000</v>
      </c>
      <c r="F242">
        <v>25000</v>
      </c>
      <c r="G242" s="1">
        <f t="shared" si="3"/>
        <v>225000</v>
      </c>
      <c r="H242" s="1" t="e">
        <f>Tabela2[[#Totals],[Total]]/A541</f>
        <v>#DIV/0!</v>
      </c>
    </row>
    <row r="243" spans="1:8">
      <c r="A243">
        <v>242</v>
      </c>
      <c r="B243" t="s">
        <v>1566</v>
      </c>
      <c r="C243" t="s">
        <v>1567</v>
      </c>
      <c r="D243" t="s">
        <v>1173</v>
      </c>
      <c r="E243" s="1">
        <v>80000</v>
      </c>
      <c r="F243">
        <v>25000</v>
      </c>
      <c r="G243" s="1">
        <f t="shared" si="3"/>
        <v>105000</v>
      </c>
      <c r="H243" s="1" t="e">
        <f>Tabela2[[#Totals],[Total]]/A542</f>
        <v>#DIV/0!</v>
      </c>
    </row>
    <row r="244" spans="1:8">
      <c r="A244">
        <v>243</v>
      </c>
      <c r="B244" t="s">
        <v>1568</v>
      </c>
      <c r="C244" t="s">
        <v>1569</v>
      </c>
      <c r="D244" t="s">
        <v>1179</v>
      </c>
      <c r="E244" s="1">
        <v>120000</v>
      </c>
      <c r="F244">
        <v>25000</v>
      </c>
      <c r="G244" s="1">
        <f t="shared" si="3"/>
        <v>145000</v>
      </c>
      <c r="H244" s="1" t="e">
        <f>Tabela2[[#Totals],[Total]]/A543</f>
        <v>#DIV/0!</v>
      </c>
    </row>
    <row r="245" spans="1:8">
      <c r="A245">
        <v>244</v>
      </c>
      <c r="B245" t="s">
        <v>1570</v>
      </c>
      <c r="C245" t="s">
        <v>1571</v>
      </c>
      <c r="D245" t="s">
        <v>1179</v>
      </c>
      <c r="E245" s="1">
        <v>80000</v>
      </c>
      <c r="F245">
        <v>25000</v>
      </c>
      <c r="G245" s="1">
        <f t="shared" si="3"/>
        <v>105000</v>
      </c>
      <c r="H245" s="1" t="e">
        <f>Tabela2[[#Totals],[Total]]/A544</f>
        <v>#DIV/0!</v>
      </c>
    </row>
    <row r="246" spans="1:8">
      <c r="A246">
        <v>245</v>
      </c>
      <c r="B246" t="s">
        <v>1572</v>
      </c>
      <c r="C246" t="s">
        <v>1499</v>
      </c>
      <c r="D246" t="s">
        <v>1173</v>
      </c>
      <c r="E246" s="1">
        <v>200000</v>
      </c>
      <c r="F246">
        <v>25000</v>
      </c>
      <c r="G246" s="1">
        <f t="shared" si="3"/>
        <v>225000</v>
      </c>
      <c r="H246" s="1" t="e">
        <f>Tabela2[[#Totals],[Total]]/A545</f>
        <v>#DIV/0!</v>
      </c>
    </row>
    <row r="247" spans="1:8">
      <c r="A247">
        <v>246</v>
      </c>
      <c r="B247" t="s">
        <v>1573</v>
      </c>
      <c r="C247" t="s">
        <v>827</v>
      </c>
      <c r="D247" t="s">
        <v>1176</v>
      </c>
      <c r="E247" s="1">
        <v>200000</v>
      </c>
      <c r="F247">
        <v>25000</v>
      </c>
      <c r="G247" s="1">
        <f t="shared" si="3"/>
        <v>225000</v>
      </c>
      <c r="H247" s="1" t="e">
        <f>Tabela2[[#Totals],[Total]]/A546</f>
        <v>#DIV/0!</v>
      </c>
    </row>
    <row r="248" spans="1:8">
      <c r="A248">
        <v>247</v>
      </c>
      <c r="B248" t="s">
        <v>1574</v>
      </c>
      <c r="C248" t="s">
        <v>1575</v>
      </c>
      <c r="D248" t="s">
        <v>1173</v>
      </c>
      <c r="E248" s="1">
        <v>120000</v>
      </c>
      <c r="F248">
        <v>25000</v>
      </c>
      <c r="G248" s="1">
        <f t="shared" si="3"/>
        <v>145000</v>
      </c>
      <c r="H248" s="1" t="e">
        <f>Tabela2[[#Totals],[Total]]/A547</f>
        <v>#DIV/0!</v>
      </c>
    </row>
    <row r="249" spans="1:8">
      <c r="A249">
        <v>248</v>
      </c>
      <c r="B249" t="s">
        <v>1576</v>
      </c>
      <c r="C249" t="s">
        <v>1577</v>
      </c>
      <c r="D249" t="s">
        <v>1179</v>
      </c>
      <c r="E249" s="1">
        <v>200000</v>
      </c>
      <c r="F249">
        <v>25000</v>
      </c>
      <c r="G249" s="1">
        <f t="shared" si="3"/>
        <v>225000</v>
      </c>
      <c r="H249" s="1" t="e">
        <f>Tabela2[[#Totals],[Total]]/A548</f>
        <v>#DIV/0!</v>
      </c>
    </row>
    <row r="250" spans="1:8">
      <c r="A250">
        <v>249</v>
      </c>
      <c r="B250" t="s">
        <v>1578</v>
      </c>
      <c r="C250" t="s">
        <v>1308</v>
      </c>
      <c r="D250" t="s">
        <v>1173</v>
      </c>
      <c r="E250" s="1">
        <v>120000</v>
      </c>
      <c r="F250">
        <v>25000</v>
      </c>
      <c r="G250" s="1">
        <f t="shared" si="3"/>
        <v>145000</v>
      </c>
      <c r="H250" s="1" t="e">
        <f>Tabela2[[#Totals],[Total]]/A549</f>
        <v>#DIV/0!</v>
      </c>
    </row>
    <row r="251" spans="1:8">
      <c r="A251">
        <v>250</v>
      </c>
      <c r="B251" t="s">
        <v>1579</v>
      </c>
      <c r="C251" t="s">
        <v>1416</v>
      </c>
      <c r="D251" t="s">
        <v>1173</v>
      </c>
      <c r="E251" s="1">
        <v>200000</v>
      </c>
      <c r="F251">
        <v>25000</v>
      </c>
      <c r="G251" s="1">
        <f t="shared" si="3"/>
        <v>225000</v>
      </c>
      <c r="H251" s="1" t="e">
        <f>Tabela2[[#Totals],[Total]]/A550</f>
        <v>#DIV/0!</v>
      </c>
    </row>
    <row r="252" spans="1:8">
      <c r="A252">
        <v>251</v>
      </c>
      <c r="B252" t="s">
        <v>1580</v>
      </c>
      <c r="C252" t="s">
        <v>1030</v>
      </c>
      <c r="D252" t="s">
        <v>1173</v>
      </c>
      <c r="E252" s="1">
        <v>200000</v>
      </c>
      <c r="F252">
        <v>25000</v>
      </c>
      <c r="G252" s="1">
        <f t="shared" si="3"/>
        <v>225000</v>
      </c>
      <c r="H252" s="1" t="e">
        <f>Tabela2[[#Totals],[Total]]/A551</f>
        <v>#DIV/0!</v>
      </c>
    </row>
    <row r="253" spans="1:8">
      <c r="A253">
        <v>252</v>
      </c>
      <c r="B253" t="s">
        <v>1581</v>
      </c>
      <c r="C253" t="s">
        <v>555</v>
      </c>
      <c r="D253" t="s">
        <v>1179</v>
      </c>
      <c r="E253" s="1">
        <v>120000</v>
      </c>
      <c r="F253">
        <v>25000</v>
      </c>
      <c r="G253" s="1">
        <f t="shared" si="3"/>
        <v>145000</v>
      </c>
      <c r="H253" s="1" t="e">
        <f>Tabela2[[#Totals],[Total]]/A552</f>
        <v>#DIV/0!</v>
      </c>
    </row>
    <row r="254" spans="1:8">
      <c r="A254">
        <v>253</v>
      </c>
      <c r="B254" t="s">
        <v>1582</v>
      </c>
      <c r="C254" t="s">
        <v>1376</v>
      </c>
      <c r="D254" t="s">
        <v>1179</v>
      </c>
      <c r="E254" s="1">
        <v>80000</v>
      </c>
      <c r="F254">
        <v>25000</v>
      </c>
      <c r="G254" s="1">
        <f t="shared" si="3"/>
        <v>105000</v>
      </c>
      <c r="H254" s="1" t="e">
        <f>Tabela2[[#Totals],[Total]]/A553</f>
        <v>#DIV/0!</v>
      </c>
    </row>
    <row r="255" spans="1:8">
      <c r="A255">
        <v>254</v>
      </c>
      <c r="B255" t="s">
        <v>1583</v>
      </c>
      <c r="C255" t="s">
        <v>926</v>
      </c>
      <c r="D255" t="s">
        <v>1173</v>
      </c>
      <c r="E255" s="1">
        <v>120000</v>
      </c>
      <c r="F255">
        <v>25000</v>
      </c>
      <c r="G255" s="1">
        <f t="shared" si="3"/>
        <v>145000</v>
      </c>
      <c r="H255" s="1" t="e">
        <f>Tabela2[[#Totals],[Total]]/A554</f>
        <v>#DIV/0!</v>
      </c>
    </row>
    <row r="256" spans="1:8">
      <c r="A256">
        <v>255</v>
      </c>
      <c r="B256" t="s">
        <v>1584</v>
      </c>
      <c r="C256" t="s">
        <v>1585</v>
      </c>
      <c r="D256" t="s">
        <v>1176</v>
      </c>
      <c r="E256" s="1">
        <v>200000</v>
      </c>
      <c r="F256">
        <v>25000</v>
      </c>
      <c r="G256" s="1">
        <f t="shared" si="3"/>
        <v>225000</v>
      </c>
      <c r="H256" s="1" t="e">
        <f>Tabela2[[#Totals],[Total]]/A555</f>
        <v>#DIV/0!</v>
      </c>
    </row>
    <row r="257" spans="1:8">
      <c r="A257">
        <v>256</v>
      </c>
      <c r="B257" t="s">
        <v>1586</v>
      </c>
      <c r="C257" t="s">
        <v>110</v>
      </c>
      <c r="D257" t="s">
        <v>1176</v>
      </c>
      <c r="E257" s="1">
        <v>80000</v>
      </c>
      <c r="F257">
        <v>25000</v>
      </c>
      <c r="G257" s="1">
        <f t="shared" si="3"/>
        <v>105000</v>
      </c>
      <c r="H257" s="1" t="e">
        <f>Tabela2[[#Totals],[Total]]/A556</f>
        <v>#DIV/0!</v>
      </c>
    </row>
    <row r="258" spans="1:8">
      <c r="A258">
        <v>257</v>
      </c>
      <c r="B258" t="s">
        <v>1587</v>
      </c>
      <c r="C258" t="s">
        <v>1588</v>
      </c>
      <c r="D258" t="s">
        <v>1176</v>
      </c>
      <c r="E258" s="1">
        <v>80000</v>
      </c>
      <c r="F258">
        <v>25000</v>
      </c>
      <c r="G258" s="1">
        <f t="shared" si="3"/>
        <v>105000</v>
      </c>
      <c r="H258" s="1" t="e">
        <f>Tabela2[[#Totals],[Total]]/A557</f>
        <v>#DIV/0!</v>
      </c>
    </row>
    <row r="259" spans="1:8">
      <c r="A259">
        <v>258</v>
      </c>
      <c r="B259" t="s">
        <v>1589</v>
      </c>
      <c r="C259" t="s">
        <v>1590</v>
      </c>
      <c r="D259" t="s">
        <v>1179</v>
      </c>
      <c r="E259" s="1">
        <v>80000</v>
      </c>
      <c r="F259">
        <v>25000</v>
      </c>
      <c r="G259" s="1">
        <f t="shared" ref="G259:G301" si="4">E259+F259</f>
        <v>105000</v>
      </c>
      <c r="H259" s="1" t="e">
        <f>Tabela2[[#Totals],[Total]]/A558</f>
        <v>#DIV/0!</v>
      </c>
    </row>
    <row r="260" spans="1:8">
      <c r="A260">
        <v>259</v>
      </c>
      <c r="B260" t="s">
        <v>1591</v>
      </c>
      <c r="C260" t="s">
        <v>1592</v>
      </c>
      <c r="D260" t="s">
        <v>1179</v>
      </c>
      <c r="E260" s="1">
        <v>120000</v>
      </c>
      <c r="F260">
        <v>25000</v>
      </c>
      <c r="G260" s="1">
        <f t="shared" si="4"/>
        <v>145000</v>
      </c>
      <c r="H260" s="1" t="e">
        <f>Tabela2[[#Totals],[Total]]/A559</f>
        <v>#DIV/0!</v>
      </c>
    </row>
    <row r="261" spans="1:8">
      <c r="A261">
        <v>260</v>
      </c>
      <c r="B261" t="s">
        <v>1593</v>
      </c>
      <c r="C261" t="s">
        <v>128</v>
      </c>
      <c r="D261" t="s">
        <v>1176</v>
      </c>
      <c r="E261" s="1">
        <v>200000</v>
      </c>
      <c r="F261">
        <v>25000</v>
      </c>
      <c r="G261" s="1">
        <f t="shared" si="4"/>
        <v>225000</v>
      </c>
      <c r="H261" s="1" t="e">
        <f>Tabela2[[#Totals],[Total]]/A560</f>
        <v>#DIV/0!</v>
      </c>
    </row>
    <row r="262" spans="1:8">
      <c r="A262">
        <v>261</v>
      </c>
      <c r="B262" t="s">
        <v>1594</v>
      </c>
      <c r="C262" t="s">
        <v>1585</v>
      </c>
      <c r="D262" t="s">
        <v>1179</v>
      </c>
      <c r="E262" s="1">
        <v>80000</v>
      </c>
      <c r="F262">
        <v>25000</v>
      </c>
      <c r="G262" s="1">
        <f t="shared" si="4"/>
        <v>105000</v>
      </c>
      <c r="H262" s="1" t="e">
        <f>Tabela2[[#Totals],[Total]]/A561</f>
        <v>#DIV/0!</v>
      </c>
    </row>
    <row r="263" spans="1:8">
      <c r="A263">
        <v>262</v>
      </c>
      <c r="B263" t="s">
        <v>1595</v>
      </c>
      <c r="C263" t="s">
        <v>1596</v>
      </c>
      <c r="D263" t="s">
        <v>1176</v>
      </c>
      <c r="E263" s="1">
        <v>80000</v>
      </c>
      <c r="F263">
        <v>25000</v>
      </c>
      <c r="G263" s="1">
        <f t="shared" si="4"/>
        <v>105000</v>
      </c>
      <c r="H263" s="1" t="e">
        <f>Tabela2[[#Totals],[Total]]/A562</f>
        <v>#DIV/0!</v>
      </c>
    </row>
    <row r="264" spans="1:8">
      <c r="A264">
        <v>263</v>
      </c>
      <c r="B264" t="s">
        <v>1597</v>
      </c>
      <c r="C264" t="s">
        <v>362</v>
      </c>
      <c r="D264" t="s">
        <v>1173</v>
      </c>
      <c r="E264" s="1">
        <v>80000</v>
      </c>
      <c r="F264">
        <v>25000</v>
      </c>
      <c r="G264" s="1">
        <f t="shared" si="4"/>
        <v>105000</v>
      </c>
      <c r="H264" s="1" t="e">
        <f>Tabela2[[#Totals],[Total]]/A563</f>
        <v>#DIV/0!</v>
      </c>
    </row>
    <row r="265" spans="1:8">
      <c r="A265">
        <v>264</v>
      </c>
      <c r="B265" t="s">
        <v>1598</v>
      </c>
      <c r="C265" t="s">
        <v>1599</v>
      </c>
      <c r="D265" t="s">
        <v>1176</v>
      </c>
      <c r="E265" s="1">
        <v>120000</v>
      </c>
      <c r="F265">
        <v>25000</v>
      </c>
      <c r="G265" s="1">
        <f t="shared" si="4"/>
        <v>145000</v>
      </c>
      <c r="H265" s="1" t="e">
        <f>Tabela2[[#Totals],[Total]]/A564</f>
        <v>#DIV/0!</v>
      </c>
    </row>
    <row r="266" spans="1:8">
      <c r="A266">
        <v>265</v>
      </c>
      <c r="B266" t="s">
        <v>1600</v>
      </c>
      <c r="C266" t="s">
        <v>1601</v>
      </c>
      <c r="D266" t="s">
        <v>1179</v>
      </c>
      <c r="E266" s="1">
        <v>80000</v>
      </c>
      <c r="F266">
        <v>25000</v>
      </c>
      <c r="G266" s="1">
        <f t="shared" si="4"/>
        <v>105000</v>
      </c>
      <c r="H266" s="1" t="e">
        <f>Tabela2[[#Totals],[Total]]/A565</f>
        <v>#DIV/0!</v>
      </c>
    </row>
    <row r="267" spans="1:8">
      <c r="A267">
        <v>266</v>
      </c>
      <c r="B267" t="s">
        <v>1602</v>
      </c>
      <c r="C267" t="s">
        <v>438</v>
      </c>
      <c r="D267" t="s">
        <v>1176</v>
      </c>
      <c r="E267" s="1">
        <v>120000</v>
      </c>
      <c r="F267">
        <v>25000</v>
      </c>
      <c r="G267" s="1">
        <f t="shared" si="4"/>
        <v>145000</v>
      </c>
      <c r="H267" s="1" t="e">
        <f>Tabela2[[#Totals],[Total]]/A566</f>
        <v>#DIV/0!</v>
      </c>
    </row>
    <row r="268" spans="1:8">
      <c r="A268">
        <v>267</v>
      </c>
      <c r="B268" t="s">
        <v>1603</v>
      </c>
      <c r="C268" t="s">
        <v>1604</v>
      </c>
      <c r="D268" t="s">
        <v>1173</v>
      </c>
      <c r="E268" s="1">
        <v>80000</v>
      </c>
      <c r="F268">
        <v>25000</v>
      </c>
      <c r="G268" s="1">
        <f t="shared" si="4"/>
        <v>105000</v>
      </c>
      <c r="H268" s="1" t="e">
        <f>Tabela2[[#Totals],[Total]]/A567</f>
        <v>#DIV/0!</v>
      </c>
    </row>
    <row r="269" spans="1:8">
      <c r="A269">
        <v>268</v>
      </c>
      <c r="B269" t="s">
        <v>1605</v>
      </c>
      <c r="C269" t="s">
        <v>1606</v>
      </c>
      <c r="D269" t="s">
        <v>1173</v>
      </c>
      <c r="E269" s="1">
        <v>120000</v>
      </c>
      <c r="F269">
        <v>25000</v>
      </c>
      <c r="G269" s="1">
        <f t="shared" si="4"/>
        <v>145000</v>
      </c>
      <c r="H269" s="1" t="e">
        <f>Tabela2[[#Totals],[Total]]/A568</f>
        <v>#DIV/0!</v>
      </c>
    </row>
    <row r="270" spans="1:8">
      <c r="A270">
        <v>269</v>
      </c>
      <c r="B270" t="s">
        <v>1607</v>
      </c>
      <c r="C270" t="s">
        <v>1419</v>
      </c>
      <c r="D270" t="s">
        <v>1179</v>
      </c>
      <c r="E270" s="1">
        <v>80000</v>
      </c>
      <c r="F270">
        <v>25000</v>
      </c>
      <c r="G270" s="1">
        <f t="shared" si="4"/>
        <v>105000</v>
      </c>
      <c r="H270" s="1" t="e">
        <f>Tabela2[[#Totals],[Total]]/A569</f>
        <v>#DIV/0!</v>
      </c>
    </row>
    <row r="271" spans="1:8">
      <c r="A271">
        <v>270</v>
      </c>
      <c r="B271" t="s">
        <v>1608</v>
      </c>
      <c r="C271" t="s">
        <v>1609</v>
      </c>
      <c r="D271" t="s">
        <v>1176</v>
      </c>
      <c r="E271" s="1">
        <v>80000</v>
      </c>
      <c r="F271">
        <v>25000</v>
      </c>
      <c r="G271" s="1">
        <f t="shared" si="4"/>
        <v>105000</v>
      </c>
      <c r="H271" s="1" t="e">
        <f>Tabela2[[#Totals],[Total]]/A570</f>
        <v>#DIV/0!</v>
      </c>
    </row>
    <row r="272" spans="1:8">
      <c r="A272">
        <v>271</v>
      </c>
      <c r="B272" t="s">
        <v>1610</v>
      </c>
      <c r="C272" t="s">
        <v>1106</v>
      </c>
      <c r="D272" t="s">
        <v>1179</v>
      </c>
      <c r="E272" s="1">
        <v>80000</v>
      </c>
      <c r="F272">
        <v>25000</v>
      </c>
      <c r="G272" s="1">
        <f t="shared" si="4"/>
        <v>105000</v>
      </c>
      <c r="H272" s="1" t="e">
        <f>Tabela2[[#Totals],[Total]]/A571</f>
        <v>#DIV/0!</v>
      </c>
    </row>
    <row r="273" spans="1:8">
      <c r="A273">
        <v>272</v>
      </c>
      <c r="B273" t="s">
        <v>1611</v>
      </c>
      <c r="C273" t="s">
        <v>309</v>
      </c>
      <c r="D273" t="s">
        <v>1179</v>
      </c>
      <c r="E273" s="1">
        <v>80000</v>
      </c>
      <c r="F273">
        <v>25000</v>
      </c>
      <c r="G273" s="1">
        <f t="shared" si="4"/>
        <v>105000</v>
      </c>
      <c r="H273" s="1" t="e">
        <f>Tabela2[[#Totals],[Total]]/A572</f>
        <v>#DIV/0!</v>
      </c>
    </row>
    <row r="274" spans="1:8">
      <c r="A274">
        <v>273</v>
      </c>
      <c r="B274" t="s">
        <v>1612</v>
      </c>
      <c r="C274" t="s">
        <v>1613</v>
      </c>
      <c r="D274" t="s">
        <v>1179</v>
      </c>
      <c r="E274" s="1">
        <v>80000</v>
      </c>
      <c r="F274">
        <v>25000</v>
      </c>
      <c r="G274" s="1">
        <f t="shared" si="4"/>
        <v>105000</v>
      </c>
      <c r="H274" s="1" t="e">
        <f>Tabela2[[#Totals],[Total]]/A573</f>
        <v>#DIV/0!</v>
      </c>
    </row>
    <row r="275" spans="1:8">
      <c r="A275">
        <v>274</v>
      </c>
      <c r="B275" t="s">
        <v>1614</v>
      </c>
      <c r="C275" t="s">
        <v>1615</v>
      </c>
      <c r="D275" t="s">
        <v>1176</v>
      </c>
      <c r="E275" s="1">
        <v>80000</v>
      </c>
      <c r="F275">
        <v>25000</v>
      </c>
      <c r="G275" s="1">
        <f t="shared" si="4"/>
        <v>105000</v>
      </c>
      <c r="H275" s="1" t="e">
        <f>Tabela2[[#Totals],[Total]]/A574</f>
        <v>#DIV/0!</v>
      </c>
    </row>
    <row r="276" spans="1:8">
      <c r="A276">
        <v>275</v>
      </c>
      <c r="B276" t="s">
        <v>1616</v>
      </c>
      <c r="C276" t="s">
        <v>1617</v>
      </c>
      <c r="D276" t="s">
        <v>1176</v>
      </c>
      <c r="E276" s="1">
        <v>120000</v>
      </c>
      <c r="F276">
        <v>25000</v>
      </c>
      <c r="G276" s="1">
        <f t="shared" si="4"/>
        <v>145000</v>
      </c>
      <c r="H276" s="1" t="e">
        <f>Tabela2[[#Totals],[Total]]/A575</f>
        <v>#DIV/0!</v>
      </c>
    </row>
    <row r="277" spans="1:8">
      <c r="A277">
        <v>276</v>
      </c>
      <c r="B277" t="s">
        <v>1618</v>
      </c>
      <c r="C277" t="s">
        <v>1484</v>
      </c>
      <c r="D277" t="s">
        <v>1176</v>
      </c>
      <c r="E277" s="1">
        <v>200000</v>
      </c>
      <c r="F277">
        <v>25000</v>
      </c>
      <c r="G277" s="1">
        <f t="shared" si="4"/>
        <v>225000</v>
      </c>
      <c r="H277" s="1" t="e">
        <f>Tabela2[[#Totals],[Total]]/A576</f>
        <v>#DIV/0!</v>
      </c>
    </row>
    <row r="278" spans="1:8">
      <c r="A278">
        <v>277</v>
      </c>
      <c r="B278" t="s">
        <v>1619</v>
      </c>
      <c r="C278" t="s">
        <v>543</v>
      </c>
      <c r="D278" t="s">
        <v>1179</v>
      </c>
      <c r="E278" s="1">
        <v>200000</v>
      </c>
      <c r="F278">
        <v>25000</v>
      </c>
      <c r="G278" s="1">
        <f t="shared" si="4"/>
        <v>225000</v>
      </c>
      <c r="H278" s="1" t="e">
        <f>Tabela2[[#Totals],[Total]]/A577</f>
        <v>#DIV/0!</v>
      </c>
    </row>
    <row r="279" spans="1:8">
      <c r="A279">
        <v>278</v>
      </c>
      <c r="B279" t="s">
        <v>1620</v>
      </c>
      <c r="C279" t="s">
        <v>815</v>
      </c>
      <c r="D279" t="s">
        <v>1173</v>
      </c>
      <c r="E279" s="1">
        <v>80000</v>
      </c>
      <c r="F279">
        <v>25000</v>
      </c>
      <c r="G279" s="1">
        <f t="shared" si="4"/>
        <v>105000</v>
      </c>
      <c r="H279" s="1" t="e">
        <f>Tabela2[[#Totals],[Total]]/A578</f>
        <v>#DIV/0!</v>
      </c>
    </row>
    <row r="280" spans="1:8">
      <c r="A280">
        <v>279</v>
      </c>
      <c r="B280" t="s">
        <v>1621</v>
      </c>
      <c r="C280" t="s">
        <v>1191</v>
      </c>
      <c r="D280" t="s">
        <v>1179</v>
      </c>
      <c r="E280" s="1">
        <v>120000</v>
      </c>
      <c r="F280">
        <v>25000</v>
      </c>
      <c r="G280" s="1">
        <f t="shared" si="4"/>
        <v>145000</v>
      </c>
      <c r="H280" s="1" t="e">
        <f>Tabela2[[#Totals],[Total]]/A579</f>
        <v>#DIV/0!</v>
      </c>
    </row>
    <row r="281" spans="1:8">
      <c r="A281">
        <v>280</v>
      </c>
      <c r="B281" t="s">
        <v>1622</v>
      </c>
      <c r="C281" t="s">
        <v>624</v>
      </c>
      <c r="D281" t="s">
        <v>1173</v>
      </c>
      <c r="E281" s="1">
        <v>200000</v>
      </c>
      <c r="F281">
        <v>25000</v>
      </c>
      <c r="G281" s="1">
        <f t="shared" si="4"/>
        <v>225000</v>
      </c>
      <c r="H281" s="1" t="e">
        <f>Tabela2[[#Totals],[Total]]/A580</f>
        <v>#DIV/0!</v>
      </c>
    </row>
    <row r="282" spans="1:8">
      <c r="A282">
        <v>281</v>
      </c>
      <c r="B282" t="s">
        <v>1623</v>
      </c>
      <c r="C282" t="s">
        <v>490</v>
      </c>
      <c r="D282" t="s">
        <v>1179</v>
      </c>
      <c r="E282" s="1">
        <v>120000</v>
      </c>
      <c r="F282">
        <v>25000</v>
      </c>
      <c r="G282" s="1">
        <f t="shared" si="4"/>
        <v>145000</v>
      </c>
      <c r="H282" s="1" t="e">
        <f>Tabela2[[#Totals],[Total]]/A581</f>
        <v>#DIV/0!</v>
      </c>
    </row>
    <row r="283" spans="1:8">
      <c r="A283">
        <v>282</v>
      </c>
      <c r="B283" t="s">
        <v>1624</v>
      </c>
      <c r="C283" t="s">
        <v>1625</v>
      </c>
      <c r="D283" t="s">
        <v>1176</v>
      </c>
      <c r="E283" s="1">
        <v>120000</v>
      </c>
      <c r="F283">
        <v>25000</v>
      </c>
      <c r="G283" s="1">
        <f t="shared" si="4"/>
        <v>145000</v>
      </c>
      <c r="H283" s="1" t="e">
        <f>Tabela2[[#Totals],[Total]]/A582</f>
        <v>#DIV/0!</v>
      </c>
    </row>
    <row r="284" spans="1:8">
      <c r="A284">
        <v>283</v>
      </c>
      <c r="B284" t="s">
        <v>1626</v>
      </c>
      <c r="C284" t="s">
        <v>148</v>
      </c>
      <c r="D284" t="s">
        <v>1176</v>
      </c>
      <c r="E284" s="1">
        <v>120000</v>
      </c>
      <c r="F284">
        <v>25000</v>
      </c>
      <c r="G284" s="1">
        <f t="shared" si="4"/>
        <v>145000</v>
      </c>
      <c r="H284" s="1" t="e">
        <f>Tabela2[[#Totals],[Total]]/A583</f>
        <v>#DIV/0!</v>
      </c>
    </row>
    <row r="285" spans="1:8">
      <c r="A285">
        <v>284</v>
      </c>
      <c r="B285" t="s">
        <v>1627</v>
      </c>
      <c r="C285" t="s">
        <v>1628</v>
      </c>
      <c r="D285" t="s">
        <v>1176</v>
      </c>
      <c r="E285" s="1">
        <v>80000</v>
      </c>
      <c r="F285">
        <v>25000</v>
      </c>
      <c r="G285" s="1">
        <f t="shared" si="4"/>
        <v>105000</v>
      </c>
      <c r="H285" s="1" t="e">
        <f>Tabela2[[#Totals],[Total]]/A584</f>
        <v>#DIV/0!</v>
      </c>
    </row>
    <row r="286" spans="1:8">
      <c r="A286">
        <v>285</v>
      </c>
      <c r="B286" t="s">
        <v>1629</v>
      </c>
      <c r="C286" t="s">
        <v>119</v>
      </c>
      <c r="D286" t="s">
        <v>1176</v>
      </c>
      <c r="E286" s="1">
        <v>80000</v>
      </c>
      <c r="F286">
        <v>25000</v>
      </c>
      <c r="G286" s="1">
        <f t="shared" si="4"/>
        <v>105000</v>
      </c>
      <c r="H286" s="1" t="e">
        <f>Tabela2[[#Totals],[Total]]/A585</f>
        <v>#DIV/0!</v>
      </c>
    </row>
    <row r="287" spans="1:8">
      <c r="A287">
        <v>286</v>
      </c>
      <c r="B287" t="s">
        <v>1630</v>
      </c>
      <c r="C287" t="s">
        <v>1087</v>
      </c>
      <c r="D287" t="s">
        <v>1176</v>
      </c>
      <c r="E287" s="1">
        <v>80000</v>
      </c>
      <c r="F287">
        <v>25000</v>
      </c>
      <c r="G287" s="1">
        <f t="shared" si="4"/>
        <v>105000</v>
      </c>
      <c r="H287" s="1" t="e">
        <f>Tabela2[[#Totals],[Total]]/A586</f>
        <v>#DIV/0!</v>
      </c>
    </row>
    <row r="288" spans="1:8">
      <c r="A288">
        <v>287</v>
      </c>
      <c r="B288" t="s">
        <v>1631</v>
      </c>
      <c r="C288" t="s">
        <v>1064</v>
      </c>
      <c r="D288" t="s">
        <v>1173</v>
      </c>
      <c r="E288" s="1">
        <v>120000</v>
      </c>
      <c r="F288">
        <v>25000</v>
      </c>
      <c r="G288" s="1">
        <f t="shared" si="4"/>
        <v>145000</v>
      </c>
      <c r="H288" s="1" t="e">
        <f>Tabela2[[#Totals],[Total]]/A587</f>
        <v>#DIV/0!</v>
      </c>
    </row>
    <row r="289" spans="1:8">
      <c r="A289">
        <v>288</v>
      </c>
      <c r="B289" t="s">
        <v>1632</v>
      </c>
      <c r="C289" t="s">
        <v>180</v>
      </c>
      <c r="D289" t="s">
        <v>1176</v>
      </c>
      <c r="E289" s="1">
        <v>120000</v>
      </c>
      <c r="F289">
        <v>25000</v>
      </c>
      <c r="G289" s="1">
        <f t="shared" si="4"/>
        <v>145000</v>
      </c>
      <c r="H289" s="1" t="e">
        <f>Tabela2[[#Totals],[Total]]/A588</f>
        <v>#DIV/0!</v>
      </c>
    </row>
    <row r="290" spans="1:8">
      <c r="A290">
        <v>289</v>
      </c>
      <c r="B290" t="s">
        <v>1633</v>
      </c>
      <c r="C290" t="s">
        <v>873</v>
      </c>
      <c r="D290" t="s">
        <v>1176</v>
      </c>
      <c r="E290" s="1">
        <v>200000</v>
      </c>
      <c r="F290">
        <v>25000</v>
      </c>
      <c r="G290" s="1">
        <f t="shared" si="4"/>
        <v>225000</v>
      </c>
      <c r="H290" s="1" t="e">
        <f>Tabela2[[#Totals],[Total]]/A589</f>
        <v>#DIV/0!</v>
      </c>
    </row>
    <row r="291" spans="1:8">
      <c r="A291">
        <v>290</v>
      </c>
      <c r="B291" t="s">
        <v>1634</v>
      </c>
      <c r="C291" t="s">
        <v>1635</v>
      </c>
      <c r="D291" t="s">
        <v>1173</v>
      </c>
      <c r="E291" s="1">
        <v>120000</v>
      </c>
      <c r="F291">
        <v>25000</v>
      </c>
      <c r="G291" s="1">
        <f t="shared" si="4"/>
        <v>145000</v>
      </c>
      <c r="H291" s="1" t="e">
        <f>Tabela2[[#Totals],[Total]]/A590</f>
        <v>#DIV/0!</v>
      </c>
    </row>
    <row r="292" spans="1:8">
      <c r="A292">
        <v>291</v>
      </c>
      <c r="B292" t="s">
        <v>1636</v>
      </c>
      <c r="C292" t="s">
        <v>1637</v>
      </c>
      <c r="D292" t="s">
        <v>1176</v>
      </c>
      <c r="E292" s="1">
        <v>200000</v>
      </c>
      <c r="F292">
        <v>25000</v>
      </c>
      <c r="G292" s="1">
        <f t="shared" si="4"/>
        <v>225000</v>
      </c>
      <c r="H292" s="1" t="e">
        <f>Tabela2[[#Totals],[Total]]/A591</f>
        <v>#DIV/0!</v>
      </c>
    </row>
    <row r="293" spans="1:8">
      <c r="A293">
        <v>292</v>
      </c>
      <c r="B293" t="s">
        <v>1638</v>
      </c>
      <c r="C293" t="s">
        <v>332</v>
      </c>
      <c r="D293" t="s">
        <v>1176</v>
      </c>
      <c r="E293" s="1">
        <v>120000</v>
      </c>
      <c r="F293">
        <v>25000</v>
      </c>
      <c r="G293" s="1">
        <f t="shared" si="4"/>
        <v>145000</v>
      </c>
      <c r="H293" s="1" t="e">
        <f>Tabela2[[#Totals],[Total]]/A592</f>
        <v>#DIV/0!</v>
      </c>
    </row>
    <row r="294" spans="1:8">
      <c r="A294">
        <v>293</v>
      </c>
      <c r="B294" t="s">
        <v>1639</v>
      </c>
      <c r="C294" t="s">
        <v>74</v>
      </c>
      <c r="D294" t="s">
        <v>1173</v>
      </c>
      <c r="E294" s="1">
        <v>200000</v>
      </c>
      <c r="F294">
        <v>25000</v>
      </c>
      <c r="G294" s="1">
        <f t="shared" si="4"/>
        <v>225000</v>
      </c>
      <c r="H294" s="1" t="e">
        <f>Tabela2[[#Totals],[Total]]/A593</f>
        <v>#DIV/0!</v>
      </c>
    </row>
    <row r="295" spans="1:8">
      <c r="A295">
        <v>294</v>
      </c>
      <c r="B295" t="s">
        <v>1640</v>
      </c>
      <c r="C295" t="s">
        <v>1596</v>
      </c>
      <c r="D295" t="s">
        <v>1176</v>
      </c>
      <c r="E295" s="1">
        <v>200000</v>
      </c>
      <c r="F295">
        <v>25000</v>
      </c>
      <c r="G295" s="1">
        <f t="shared" si="4"/>
        <v>225000</v>
      </c>
      <c r="H295" s="1" t="e">
        <f>Tabela2[[#Totals],[Total]]/A594</f>
        <v>#DIV/0!</v>
      </c>
    </row>
    <row r="296" spans="1:8">
      <c r="A296">
        <v>295</v>
      </c>
      <c r="B296" t="s">
        <v>1641</v>
      </c>
      <c r="C296" t="s">
        <v>172</v>
      </c>
      <c r="D296" t="s">
        <v>1173</v>
      </c>
      <c r="E296" s="1">
        <v>120000</v>
      </c>
      <c r="F296">
        <v>25000</v>
      </c>
      <c r="G296" s="1">
        <f t="shared" si="4"/>
        <v>145000</v>
      </c>
      <c r="H296" s="1" t="e">
        <f>Tabela2[[#Totals],[Total]]/A595</f>
        <v>#DIV/0!</v>
      </c>
    </row>
    <row r="297" spans="1:8">
      <c r="A297">
        <v>296</v>
      </c>
      <c r="B297" t="s">
        <v>1642</v>
      </c>
      <c r="C297" t="s">
        <v>1643</v>
      </c>
      <c r="D297" t="s">
        <v>1176</v>
      </c>
      <c r="E297" s="1">
        <v>80000</v>
      </c>
      <c r="F297">
        <v>25000</v>
      </c>
      <c r="G297" s="1">
        <f t="shared" si="4"/>
        <v>105000</v>
      </c>
      <c r="H297" s="1" t="e">
        <f>Tabela2[[#Totals],[Total]]/A596</f>
        <v>#DIV/0!</v>
      </c>
    </row>
    <row r="298" spans="1:8">
      <c r="A298">
        <v>297</v>
      </c>
      <c r="B298" t="s">
        <v>1644</v>
      </c>
      <c r="C298" t="s">
        <v>1645</v>
      </c>
      <c r="D298" t="s">
        <v>1173</v>
      </c>
      <c r="E298" s="1">
        <v>200000</v>
      </c>
      <c r="F298">
        <v>25000</v>
      </c>
      <c r="G298" s="1">
        <f t="shared" si="4"/>
        <v>225000</v>
      </c>
      <c r="H298" s="1" t="e">
        <f>Tabela2[[#Totals],[Total]]/A597</f>
        <v>#DIV/0!</v>
      </c>
    </row>
    <row r="299" spans="1:8">
      <c r="A299">
        <v>298</v>
      </c>
      <c r="B299" t="s">
        <v>1646</v>
      </c>
      <c r="C299" t="s">
        <v>1647</v>
      </c>
      <c r="D299" t="s">
        <v>1179</v>
      </c>
      <c r="E299" s="1">
        <v>200000</v>
      </c>
      <c r="F299">
        <v>25000</v>
      </c>
      <c r="G299" s="1">
        <f t="shared" si="4"/>
        <v>225000</v>
      </c>
      <c r="H299" s="1" t="e">
        <f>Tabela2[[#Totals],[Total]]/A598</f>
        <v>#DIV/0!</v>
      </c>
    </row>
    <row r="300" spans="1:8">
      <c r="A300">
        <v>299</v>
      </c>
      <c r="B300" t="s">
        <v>1648</v>
      </c>
      <c r="C300" t="s">
        <v>434</v>
      </c>
      <c r="D300" t="s">
        <v>1176</v>
      </c>
      <c r="E300" s="1">
        <v>200000</v>
      </c>
      <c r="F300">
        <v>25000</v>
      </c>
      <c r="G300" s="1">
        <f t="shared" si="4"/>
        <v>225000</v>
      </c>
      <c r="H300" s="1" t="e">
        <f>Tabela2[[#Totals],[Total]]/A599</f>
        <v>#DIV/0!</v>
      </c>
    </row>
    <row r="301" spans="1:8">
      <c r="A301">
        <v>300</v>
      </c>
      <c r="B301" t="s">
        <v>1649</v>
      </c>
      <c r="C301" t="s">
        <v>1650</v>
      </c>
      <c r="D301" t="s">
        <v>1176</v>
      </c>
      <c r="E301" s="1">
        <v>120000</v>
      </c>
      <c r="F301">
        <v>25000</v>
      </c>
      <c r="G301" s="1">
        <f t="shared" si="4"/>
        <v>145000</v>
      </c>
      <c r="H301" s="1" t="e">
        <f>Tabela2[[#Totals],[Total]]/A600</f>
        <v>#DIV/0!</v>
      </c>
    </row>
    <row r="302" spans="1:8">
      <c r="E302"/>
      <c r="G302" s="13">
        <f>SUBTOTAL(109,Tabela2[Total])</f>
        <v>47140000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1"/>
  <sheetViews>
    <sheetView workbookViewId="0">
      <selection activeCell="I8" sqref="I8"/>
    </sheetView>
  </sheetViews>
  <sheetFormatPr defaultColWidth="9" defaultRowHeight="14.5"/>
  <cols>
    <col min="2" max="2" width="10.453125" customWidth="1"/>
    <col min="4" max="4" width="13" style="1" customWidth="1"/>
    <col min="9" max="9" width="13.90625" customWidth="1"/>
    <col min="10" max="10" width="14.81640625" bestFit="1" customWidth="1"/>
  </cols>
  <sheetData>
    <row r="1" spans="1:10">
      <c r="A1" s="2" t="s">
        <v>14</v>
      </c>
      <c r="B1" s="2" t="s">
        <v>1651</v>
      </c>
      <c r="C1" s="2" t="s">
        <v>1652</v>
      </c>
      <c r="D1" s="3" t="s">
        <v>1653</v>
      </c>
      <c r="E1" s="3"/>
    </row>
    <row r="2" spans="1:10">
      <c r="A2" t="s">
        <v>1654</v>
      </c>
      <c r="B2" t="s">
        <v>1655</v>
      </c>
      <c r="C2" t="s">
        <v>1656</v>
      </c>
      <c r="D2" s="16">
        <v>45610</v>
      </c>
    </row>
    <row r="3" spans="1:10">
      <c r="A3" t="s">
        <v>1657</v>
      </c>
      <c r="B3" t="s">
        <v>1655</v>
      </c>
      <c r="C3" t="s">
        <v>1658</v>
      </c>
      <c r="D3" s="16">
        <v>59337</v>
      </c>
    </row>
    <row r="4" spans="1:10">
      <c r="A4" t="s">
        <v>1659</v>
      </c>
      <c r="B4" t="s">
        <v>1655</v>
      </c>
      <c r="C4" t="s">
        <v>1658</v>
      </c>
      <c r="D4" s="16">
        <v>79201</v>
      </c>
    </row>
    <row r="5" spans="1:10">
      <c r="A5" t="s">
        <v>1660</v>
      </c>
      <c r="B5" t="s">
        <v>1655</v>
      </c>
      <c r="C5" t="s">
        <v>1656</v>
      </c>
      <c r="D5" s="16">
        <v>15918</v>
      </c>
    </row>
    <row r="6" spans="1:10">
      <c r="A6" t="s">
        <v>1661</v>
      </c>
      <c r="B6" t="s">
        <v>1655</v>
      </c>
      <c r="C6" t="s">
        <v>1658</v>
      </c>
      <c r="D6" s="16">
        <v>7763</v>
      </c>
      <c r="H6" s="18" t="s">
        <v>1652</v>
      </c>
      <c r="I6" s="19" t="s">
        <v>1653</v>
      </c>
      <c r="J6" s="19" t="s">
        <v>1170</v>
      </c>
    </row>
    <row r="7" spans="1:10">
      <c r="A7" t="s">
        <v>1662</v>
      </c>
      <c r="B7" t="s">
        <v>1655</v>
      </c>
      <c r="C7" t="s">
        <v>1656</v>
      </c>
      <c r="D7" s="16">
        <v>74836</v>
      </c>
      <c r="H7" s="11" t="s">
        <v>1656</v>
      </c>
      <c r="I7" s="20">
        <v>45610</v>
      </c>
      <c r="J7" s="16">
        <f>SUMIF(Tabela3[Tipo],H7,Tabela3[Valor (AKZ)])</f>
        <v>7735844</v>
      </c>
    </row>
    <row r="8" spans="1:10">
      <c r="A8" t="s">
        <v>1663</v>
      </c>
      <c r="B8" t="s">
        <v>1655</v>
      </c>
      <c r="C8" t="s">
        <v>1656</v>
      </c>
      <c r="D8" s="16">
        <v>46053</v>
      </c>
      <c r="H8" s="10" t="s">
        <v>1658</v>
      </c>
      <c r="I8" s="21">
        <v>59337</v>
      </c>
      <c r="J8" s="16">
        <f>SUMIF(Tabela3[Tipo],H8,Tabela3[Valor (AKZ)])</f>
        <v>7919145</v>
      </c>
    </row>
    <row r="9" spans="1:10">
      <c r="A9" t="s">
        <v>1664</v>
      </c>
      <c r="B9" t="s">
        <v>1655</v>
      </c>
      <c r="C9" t="s">
        <v>1656</v>
      </c>
      <c r="D9" s="16">
        <v>43100</v>
      </c>
    </row>
    <row r="10" spans="1:10">
      <c r="A10" t="s">
        <v>1665</v>
      </c>
      <c r="B10" t="s">
        <v>1655</v>
      </c>
      <c r="C10" t="s">
        <v>1658</v>
      </c>
      <c r="D10" s="16">
        <v>59435</v>
      </c>
    </row>
    <row r="11" spans="1:10">
      <c r="A11" t="s">
        <v>1666</v>
      </c>
      <c r="B11" t="s">
        <v>1655</v>
      </c>
      <c r="C11" t="s">
        <v>1656</v>
      </c>
      <c r="D11" s="16">
        <v>22561</v>
      </c>
    </row>
    <row r="12" spans="1:10">
      <c r="A12" t="s">
        <v>1667</v>
      </c>
      <c r="B12" t="s">
        <v>1655</v>
      </c>
      <c r="C12" t="s">
        <v>1658</v>
      </c>
      <c r="D12" s="16">
        <v>79504</v>
      </c>
    </row>
    <row r="13" spans="1:10">
      <c r="A13" t="s">
        <v>1668</v>
      </c>
      <c r="B13" t="s">
        <v>1655</v>
      </c>
      <c r="C13" t="s">
        <v>1658</v>
      </c>
      <c r="D13" s="16">
        <v>89879</v>
      </c>
    </row>
    <row r="14" spans="1:10">
      <c r="A14" t="s">
        <v>1669</v>
      </c>
      <c r="B14" t="s">
        <v>1655</v>
      </c>
      <c r="C14" t="s">
        <v>1658</v>
      </c>
      <c r="D14" s="16">
        <v>44421</v>
      </c>
    </row>
    <row r="15" spans="1:10">
      <c r="A15" t="s">
        <v>1670</v>
      </c>
      <c r="B15" t="s">
        <v>1655</v>
      </c>
      <c r="C15" t="s">
        <v>1658</v>
      </c>
      <c r="D15" s="16">
        <v>54815</v>
      </c>
    </row>
    <row r="16" spans="1:10">
      <c r="A16" t="s">
        <v>1671</v>
      </c>
      <c r="B16" t="s">
        <v>1655</v>
      </c>
      <c r="C16" t="s">
        <v>1656</v>
      </c>
      <c r="D16" s="16">
        <v>81963</v>
      </c>
    </row>
    <row r="17" spans="1:4">
      <c r="A17" t="s">
        <v>1672</v>
      </c>
      <c r="B17" t="s">
        <v>1655</v>
      </c>
      <c r="C17" t="s">
        <v>1656</v>
      </c>
      <c r="D17" s="16">
        <v>67757</v>
      </c>
    </row>
    <row r="18" spans="1:4">
      <c r="A18" t="s">
        <v>1673</v>
      </c>
      <c r="B18" t="s">
        <v>1655</v>
      </c>
      <c r="C18" t="s">
        <v>1658</v>
      </c>
      <c r="D18" s="16">
        <v>40697</v>
      </c>
    </row>
    <row r="19" spans="1:4">
      <c r="A19" t="s">
        <v>1674</v>
      </c>
      <c r="B19" t="s">
        <v>1655</v>
      </c>
      <c r="C19" t="s">
        <v>1658</v>
      </c>
      <c r="D19" s="16">
        <v>10414</v>
      </c>
    </row>
    <row r="20" spans="1:4">
      <c r="A20" t="s">
        <v>1675</v>
      </c>
      <c r="B20" t="s">
        <v>1655</v>
      </c>
      <c r="C20" t="s">
        <v>1656</v>
      </c>
      <c r="D20" s="16">
        <v>35840</v>
      </c>
    </row>
    <row r="21" spans="1:4">
      <c r="A21" t="s">
        <v>1676</v>
      </c>
      <c r="B21" t="s">
        <v>1655</v>
      </c>
      <c r="C21" t="s">
        <v>1656</v>
      </c>
      <c r="D21" s="16">
        <v>45833</v>
      </c>
    </row>
    <row r="22" spans="1:4">
      <c r="A22" t="s">
        <v>1677</v>
      </c>
      <c r="B22" t="s">
        <v>1655</v>
      </c>
      <c r="C22" t="s">
        <v>1656</v>
      </c>
      <c r="D22" s="16">
        <v>46155</v>
      </c>
    </row>
    <row r="23" spans="1:4">
      <c r="A23" t="s">
        <v>1678</v>
      </c>
      <c r="B23" t="s">
        <v>1655</v>
      </c>
      <c r="C23" t="s">
        <v>1658</v>
      </c>
      <c r="D23" s="16">
        <v>34641</v>
      </c>
    </row>
    <row r="24" spans="1:4">
      <c r="A24" t="s">
        <v>1679</v>
      </c>
      <c r="B24" t="s">
        <v>1655</v>
      </c>
      <c r="C24" t="s">
        <v>1656</v>
      </c>
      <c r="D24" s="16">
        <v>68853</v>
      </c>
    </row>
    <row r="25" spans="1:4">
      <c r="A25" t="s">
        <v>1680</v>
      </c>
      <c r="B25" t="s">
        <v>1655</v>
      </c>
      <c r="C25" t="s">
        <v>1658</v>
      </c>
      <c r="D25" s="16">
        <v>37081</v>
      </c>
    </row>
    <row r="26" spans="1:4">
      <c r="A26" t="s">
        <v>1681</v>
      </c>
      <c r="B26" t="s">
        <v>1655</v>
      </c>
      <c r="C26" t="s">
        <v>1658</v>
      </c>
      <c r="D26" s="16">
        <v>11710</v>
      </c>
    </row>
    <row r="27" spans="1:4">
      <c r="A27" t="s">
        <v>1682</v>
      </c>
      <c r="B27" t="s">
        <v>1655</v>
      </c>
      <c r="C27" t="s">
        <v>1658</v>
      </c>
      <c r="D27" s="16">
        <v>12372</v>
      </c>
    </row>
    <row r="28" spans="1:4">
      <c r="A28" t="s">
        <v>1683</v>
      </c>
      <c r="B28" t="s">
        <v>1655</v>
      </c>
      <c r="C28" t="s">
        <v>1658</v>
      </c>
      <c r="D28" s="16">
        <v>62343</v>
      </c>
    </row>
    <row r="29" spans="1:4">
      <c r="A29" t="s">
        <v>1684</v>
      </c>
      <c r="B29" t="s">
        <v>1655</v>
      </c>
      <c r="C29" t="s">
        <v>1658</v>
      </c>
      <c r="D29" s="16">
        <v>31361</v>
      </c>
    </row>
    <row r="30" spans="1:4">
      <c r="A30" t="s">
        <v>1685</v>
      </c>
      <c r="B30" t="s">
        <v>1655</v>
      </c>
      <c r="C30" t="s">
        <v>1656</v>
      </c>
      <c r="D30" s="16">
        <v>92189</v>
      </c>
    </row>
    <row r="31" spans="1:4">
      <c r="A31" t="s">
        <v>1686</v>
      </c>
      <c r="B31" t="s">
        <v>1655</v>
      </c>
      <c r="C31" t="s">
        <v>1658</v>
      </c>
      <c r="D31" s="16">
        <v>62449</v>
      </c>
    </row>
    <row r="32" spans="1:4">
      <c r="A32" t="s">
        <v>1687</v>
      </c>
      <c r="B32" t="s">
        <v>1655</v>
      </c>
      <c r="C32" t="s">
        <v>1656</v>
      </c>
      <c r="D32" s="16">
        <v>80674</v>
      </c>
    </row>
    <row r="33" spans="1:4">
      <c r="A33" t="s">
        <v>1688</v>
      </c>
      <c r="B33" t="s">
        <v>1655</v>
      </c>
      <c r="C33" t="s">
        <v>1658</v>
      </c>
      <c r="D33" s="16">
        <v>90090</v>
      </c>
    </row>
    <row r="34" spans="1:4">
      <c r="A34" t="s">
        <v>1689</v>
      </c>
      <c r="B34" t="s">
        <v>1655</v>
      </c>
      <c r="C34" t="s">
        <v>1658</v>
      </c>
      <c r="D34" s="16">
        <v>57095</v>
      </c>
    </row>
    <row r="35" spans="1:4">
      <c r="A35" t="s">
        <v>1690</v>
      </c>
      <c r="B35" t="s">
        <v>1655</v>
      </c>
      <c r="C35" t="s">
        <v>1656</v>
      </c>
      <c r="D35" s="16">
        <v>11792</v>
      </c>
    </row>
    <row r="36" spans="1:4">
      <c r="A36" t="s">
        <v>1691</v>
      </c>
      <c r="B36" t="s">
        <v>1655</v>
      </c>
      <c r="C36" t="s">
        <v>1658</v>
      </c>
      <c r="D36" s="16">
        <v>89251</v>
      </c>
    </row>
    <row r="37" spans="1:4">
      <c r="A37" t="s">
        <v>1692</v>
      </c>
      <c r="B37" t="s">
        <v>1655</v>
      </c>
      <c r="C37" t="s">
        <v>1658</v>
      </c>
      <c r="D37" s="16">
        <v>51313</v>
      </c>
    </row>
    <row r="38" spans="1:4">
      <c r="A38" t="s">
        <v>1693</v>
      </c>
      <c r="B38" t="s">
        <v>1655</v>
      </c>
      <c r="C38" t="s">
        <v>1656</v>
      </c>
      <c r="D38" s="16">
        <v>40534</v>
      </c>
    </row>
    <row r="39" spans="1:4">
      <c r="A39" t="s">
        <v>1694</v>
      </c>
      <c r="B39" t="s">
        <v>1655</v>
      </c>
      <c r="C39" t="s">
        <v>1658</v>
      </c>
      <c r="D39" s="16">
        <v>74046</v>
      </c>
    </row>
    <row r="40" spans="1:4">
      <c r="A40" t="s">
        <v>1695</v>
      </c>
      <c r="B40" t="s">
        <v>1655</v>
      </c>
      <c r="C40" t="s">
        <v>1658</v>
      </c>
      <c r="D40" s="16">
        <v>55851</v>
      </c>
    </row>
    <row r="41" spans="1:4">
      <c r="A41" t="s">
        <v>1696</v>
      </c>
      <c r="B41" t="s">
        <v>1655</v>
      </c>
      <c r="C41" t="s">
        <v>1656</v>
      </c>
      <c r="D41" s="16">
        <v>31448</v>
      </c>
    </row>
    <row r="42" spans="1:4">
      <c r="A42" t="s">
        <v>1697</v>
      </c>
      <c r="B42" t="s">
        <v>1655</v>
      </c>
      <c r="C42" t="s">
        <v>1658</v>
      </c>
      <c r="D42" s="16">
        <v>97856</v>
      </c>
    </row>
    <row r="43" spans="1:4">
      <c r="A43" t="s">
        <v>1698</v>
      </c>
      <c r="B43" t="s">
        <v>1655</v>
      </c>
      <c r="C43" t="s">
        <v>1656</v>
      </c>
      <c r="D43" s="16">
        <v>97111</v>
      </c>
    </row>
    <row r="44" spans="1:4">
      <c r="A44" t="s">
        <v>1699</v>
      </c>
      <c r="B44" t="s">
        <v>1655</v>
      </c>
      <c r="C44" t="s">
        <v>1658</v>
      </c>
      <c r="D44" s="16">
        <v>80374</v>
      </c>
    </row>
    <row r="45" spans="1:4">
      <c r="A45" t="s">
        <v>1700</v>
      </c>
      <c r="B45" t="s">
        <v>1655</v>
      </c>
      <c r="C45" t="s">
        <v>1658</v>
      </c>
      <c r="D45" s="16">
        <v>52410</v>
      </c>
    </row>
    <row r="46" spans="1:4">
      <c r="A46" t="s">
        <v>1701</v>
      </c>
      <c r="B46" t="s">
        <v>1655</v>
      </c>
      <c r="C46" t="s">
        <v>1658</v>
      </c>
      <c r="D46" s="16">
        <v>48308</v>
      </c>
    </row>
    <row r="47" spans="1:4">
      <c r="A47" t="s">
        <v>1702</v>
      </c>
      <c r="B47" t="s">
        <v>1655</v>
      </c>
      <c r="C47" t="s">
        <v>1658</v>
      </c>
      <c r="D47" s="16">
        <v>35521</v>
      </c>
    </row>
    <row r="48" spans="1:4">
      <c r="A48" t="s">
        <v>1703</v>
      </c>
      <c r="B48" t="s">
        <v>1655</v>
      </c>
      <c r="C48" t="s">
        <v>1658</v>
      </c>
      <c r="D48" s="16">
        <v>12474</v>
      </c>
    </row>
    <row r="49" spans="1:4">
      <c r="A49" t="s">
        <v>1704</v>
      </c>
      <c r="B49" t="s">
        <v>1655</v>
      </c>
      <c r="C49" t="s">
        <v>1656</v>
      </c>
      <c r="D49" s="16">
        <v>48623</v>
      </c>
    </row>
    <row r="50" spans="1:4">
      <c r="A50" t="s">
        <v>1705</v>
      </c>
      <c r="B50" t="s">
        <v>1655</v>
      </c>
      <c r="C50" t="s">
        <v>1658</v>
      </c>
      <c r="D50" s="16">
        <v>78441</v>
      </c>
    </row>
    <row r="51" spans="1:4">
      <c r="A51" t="s">
        <v>1706</v>
      </c>
      <c r="B51" t="s">
        <v>1655</v>
      </c>
      <c r="C51" t="s">
        <v>1656</v>
      </c>
      <c r="D51" s="16">
        <v>54775</v>
      </c>
    </row>
    <row r="52" spans="1:4">
      <c r="A52" t="s">
        <v>1707</v>
      </c>
      <c r="B52" t="s">
        <v>1655</v>
      </c>
      <c r="C52" t="s">
        <v>1658</v>
      </c>
      <c r="D52" s="16">
        <v>28227</v>
      </c>
    </row>
    <row r="53" spans="1:4">
      <c r="A53" t="s">
        <v>1708</v>
      </c>
      <c r="B53" t="s">
        <v>1655</v>
      </c>
      <c r="C53" t="s">
        <v>1658</v>
      </c>
      <c r="D53" s="16">
        <v>43075</v>
      </c>
    </row>
    <row r="54" spans="1:4">
      <c r="A54" t="s">
        <v>1709</v>
      </c>
      <c r="B54" t="s">
        <v>1655</v>
      </c>
      <c r="C54" t="s">
        <v>1656</v>
      </c>
      <c r="D54" s="16">
        <v>57931</v>
      </c>
    </row>
    <row r="55" spans="1:4">
      <c r="A55" t="s">
        <v>1710</v>
      </c>
      <c r="B55" t="s">
        <v>1655</v>
      </c>
      <c r="C55" t="s">
        <v>1656</v>
      </c>
      <c r="D55" s="16">
        <v>67518</v>
      </c>
    </row>
    <row r="56" spans="1:4">
      <c r="A56" t="s">
        <v>1711</v>
      </c>
      <c r="B56" t="s">
        <v>1655</v>
      </c>
      <c r="C56" t="s">
        <v>1658</v>
      </c>
      <c r="D56" s="16">
        <v>40882</v>
      </c>
    </row>
    <row r="57" spans="1:4">
      <c r="A57" t="s">
        <v>1712</v>
      </c>
      <c r="B57" t="s">
        <v>1655</v>
      </c>
      <c r="C57" t="s">
        <v>1656</v>
      </c>
      <c r="D57" s="16">
        <v>58232</v>
      </c>
    </row>
    <row r="58" spans="1:4">
      <c r="A58" t="s">
        <v>1713</v>
      </c>
      <c r="B58" t="s">
        <v>1655</v>
      </c>
      <c r="C58" t="s">
        <v>1658</v>
      </c>
      <c r="D58" s="16">
        <v>84411</v>
      </c>
    </row>
    <row r="59" spans="1:4">
      <c r="A59" t="s">
        <v>1714</v>
      </c>
      <c r="B59" t="s">
        <v>1655</v>
      </c>
      <c r="C59" t="s">
        <v>1656</v>
      </c>
      <c r="D59" s="16">
        <v>60465</v>
      </c>
    </row>
    <row r="60" spans="1:4">
      <c r="A60" t="s">
        <v>1715</v>
      </c>
      <c r="B60" t="s">
        <v>1655</v>
      </c>
      <c r="C60" t="s">
        <v>1656</v>
      </c>
      <c r="D60" s="16">
        <v>34658</v>
      </c>
    </row>
    <row r="61" spans="1:4">
      <c r="A61" t="s">
        <v>1716</v>
      </c>
      <c r="B61" t="s">
        <v>1655</v>
      </c>
      <c r="C61" t="s">
        <v>1658</v>
      </c>
      <c r="D61" s="16">
        <v>78856</v>
      </c>
    </row>
    <row r="62" spans="1:4">
      <c r="A62" t="s">
        <v>1717</v>
      </c>
      <c r="B62" t="s">
        <v>1655</v>
      </c>
      <c r="C62" t="s">
        <v>1656</v>
      </c>
      <c r="D62" s="16">
        <v>71384</v>
      </c>
    </row>
    <row r="63" spans="1:4">
      <c r="A63" t="s">
        <v>1718</v>
      </c>
      <c r="B63" t="s">
        <v>1655</v>
      </c>
      <c r="C63" t="s">
        <v>1656</v>
      </c>
      <c r="D63" s="16">
        <v>46970</v>
      </c>
    </row>
    <row r="64" spans="1:4">
      <c r="A64" t="s">
        <v>1719</v>
      </c>
      <c r="B64" t="s">
        <v>1655</v>
      </c>
      <c r="C64" t="s">
        <v>1658</v>
      </c>
      <c r="D64" s="16">
        <v>69716</v>
      </c>
    </row>
    <row r="65" spans="1:4">
      <c r="A65" t="s">
        <v>1720</v>
      </c>
      <c r="B65" t="s">
        <v>1655</v>
      </c>
      <c r="C65" t="s">
        <v>1658</v>
      </c>
      <c r="D65" s="16">
        <v>42065</v>
      </c>
    </row>
    <row r="66" spans="1:4">
      <c r="A66" t="s">
        <v>1721</v>
      </c>
      <c r="B66" t="s">
        <v>1655</v>
      </c>
      <c r="C66" t="s">
        <v>1656</v>
      </c>
      <c r="D66" s="16">
        <v>49386</v>
      </c>
    </row>
    <row r="67" spans="1:4">
      <c r="A67" t="s">
        <v>1722</v>
      </c>
      <c r="B67" t="s">
        <v>1655</v>
      </c>
      <c r="C67" t="s">
        <v>1658</v>
      </c>
      <c r="D67" s="16">
        <v>39287</v>
      </c>
    </row>
    <row r="68" spans="1:4">
      <c r="A68" t="s">
        <v>1723</v>
      </c>
      <c r="B68" t="s">
        <v>1655</v>
      </c>
      <c r="C68" t="s">
        <v>1658</v>
      </c>
      <c r="D68" s="16">
        <v>5241</v>
      </c>
    </row>
    <row r="69" spans="1:4">
      <c r="A69" t="s">
        <v>1724</v>
      </c>
      <c r="B69" t="s">
        <v>1655</v>
      </c>
      <c r="C69" t="s">
        <v>1658</v>
      </c>
      <c r="D69" s="16">
        <v>36699</v>
      </c>
    </row>
    <row r="70" spans="1:4">
      <c r="A70" t="s">
        <v>1725</v>
      </c>
      <c r="B70" t="s">
        <v>1655</v>
      </c>
      <c r="C70" t="s">
        <v>1656</v>
      </c>
      <c r="D70" s="16">
        <v>70192</v>
      </c>
    </row>
    <row r="71" spans="1:4">
      <c r="A71" t="s">
        <v>1726</v>
      </c>
      <c r="B71" t="s">
        <v>1655</v>
      </c>
      <c r="C71" t="s">
        <v>1658</v>
      </c>
      <c r="D71" s="16">
        <v>77958</v>
      </c>
    </row>
    <row r="72" spans="1:4">
      <c r="A72" t="s">
        <v>1727</v>
      </c>
      <c r="B72" t="s">
        <v>1655</v>
      </c>
      <c r="C72" t="s">
        <v>1656</v>
      </c>
      <c r="D72" s="16">
        <v>28910</v>
      </c>
    </row>
    <row r="73" spans="1:4">
      <c r="A73" t="s">
        <v>1728</v>
      </c>
      <c r="B73" t="s">
        <v>1655</v>
      </c>
      <c r="C73" t="s">
        <v>1656</v>
      </c>
      <c r="D73" s="16">
        <v>18820</v>
      </c>
    </row>
    <row r="74" spans="1:4">
      <c r="A74" t="s">
        <v>1729</v>
      </c>
      <c r="B74" t="s">
        <v>1655</v>
      </c>
      <c r="C74" t="s">
        <v>1656</v>
      </c>
      <c r="D74" s="16">
        <v>34883</v>
      </c>
    </row>
    <row r="75" spans="1:4">
      <c r="A75" t="s">
        <v>1730</v>
      </c>
      <c r="B75" t="s">
        <v>1655</v>
      </c>
      <c r="C75" t="s">
        <v>1656</v>
      </c>
      <c r="D75" s="16">
        <v>26804</v>
      </c>
    </row>
    <row r="76" spans="1:4">
      <c r="A76" t="s">
        <v>1731</v>
      </c>
      <c r="B76" t="s">
        <v>1655</v>
      </c>
      <c r="C76" t="s">
        <v>1656</v>
      </c>
      <c r="D76" s="16">
        <v>46949</v>
      </c>
    </row>
    <row r="77" spans="1:4">
      <c r="A77" t="s">
        <v>1732</v>
      </c>
      <c r="B77" t="s">
        <v>1655</v>
      </c>
      <c r="C77" t="s">
        <v>1656</v>
      </c>
      <c r="D77" s="16">
        <v>36321</v>
      </c>
    </row>
    <row r="78" spans="1:4">
      <c r="A78" t="s">
        <v>1733</v>
      </c>
      <c r="B78" t="s">
        <v>1655</v>
      </c>
      <c r="C78" t="s">
        <v>1656</v>
      </c>
      <c r="D78" s="16">
        <v>14738</v>
      </c>
    </row>
    <row r="79" spans="1:4">
      <c r="A79" t="s">
        <v>1734</v>
      </c>
      <c r="B79" t="s">
        <v>1655</v>
      </c>
      <c r="C79" t="s">
        <v>1658</v>
      </c>
      <c r="D79" s="16">
        <v>89456</v>
      </c>
    </row>
    <row r="80" spans="1:4">
      <c r="A80" t="s">
        <v>1735</v>
      </c>
      <c r="B80" t="s">
        <v>1655</v>
      </c>
      <c r="C80" t="s">
        <v>1658</v>
      </c>
      <c r="D80" s="16">
        <v>71962</v>
      </c>
    </row>
    <row r="81" spans="1:4">
      <c r="A81" t="s">
        <v>1736</v>
      </c>
      <c r="B81" t="s">
        <v>1655</v>
      </c>
      <c r="C81" t="s">
        <v>1658</v>
      </c>
      <c r="D81" s="16">
        <v>83322</v>
      </c>
    </row>
    <row r="82" spans="1:4">
      <c r="A82" t="s">
        <v>1737</v>
      </c>
      <c r="B82" t="s">
        <v>1655</v>
      </c>
      <c r="C82" t="s">
        <v>1658</v>
      </c>
      <c r="D82" s="16">
        <v>36456</v>
      </c>
    </row>
    <row r="83" spans="1:4">
      <c r="A83" t="s">
        <v>1738</v>
      </c>
      <c r="B83" t="s">
        <v>1655</v>
      </c>
      <c r="C83" t="s">
        <v>1656</v>
      </c>
      <c r="D83" s="16">
        <v>94404</v>
      </c>
    </row>
    <row r="84" spans="1:4">
      <c r="A84" t="s">
        <v>1739</v>
      </c>
      <c r="B84" t="s">
        <v>1655</v>
      </c>
      <c r="C84" t="s">
        <v>1656</v>
      </c>
      <c r="D84" s="16">
        <v>53558</v>
      </c>
    </row>
    <row r="85" spans="1:4">
      <c r="A85" t="s">
        <v>1740</v>
      </c>
      <c r="B85" t="s">
        <v>1655</v>
      </c>
      <c r="C85" t="s">
        <v>1658</v>
      </c>
      <c r="D85" s="16">
        <v>98801</v>
      </c>
    </row>
    <row r="86" spans="1:4">
      <c r="A86" t="s">
        <v>1741</v>
      </c>
      <c r="B86" t="s">
        <v>1655</v>
      </c>
      <c r="C86" t="s">
        <v>1656</v>
      </c>
      <c r="D86" s="16">
        <v>99918</v>
      </c>
    </row>
    <row r="87" spans="1:4">
      <c r="A87" t="s">
        <v>1742</v>
      </c>
      <c r="B87" t="s">
        <v>1655</v>
      </c>
      <c r="C87" t="s">
        <v>1656</v>
      </c>
      <c r="D87" s="16">
        <v>8516</v>
      </c>
    </row>
    <row r="88" spans="1:4">
      <c r="A88" t="s">
        <v>1743</v>
      </c>
      <c r="B88" t="s">
        <v>1655</v>
      </c>
      <c r="C88" t="s">
        <v>1656</v>
      </c>
      <c r="D88" s="16">
        <v>30485</v>
      </c>
    </row>
    <row r="89" spans="1:4">
      <c r="A89" t="s">
        <v>1744</v>
      </c>
      <c r="B89" t="s">
        <v>1655</v>
      </c>
      <c r="C89" t="s">
        <v>1656</v>
      </c>
      <c r="D89" s="16">
        <v>7180</v>
      </c>
    </row>
    <row r="90" spans="1:4">
      <c r="A90" t="s">
        <v>1745</v>
      </c>
      <c r="B90" t="s">
        <v>1655</v>
      </c>
      <c r="C90" t="s">
        <v>1656</v>
      </c>
      <c r="D90" s="16">
        <v>5209</v>
      </c>
    </row>
    <row r="91" spans="1:4">
      <c r="A91" t="s">
        <v>1746</v>
      </c>
      <c r="B91" t="s">
        <v>1655</v>
      </c>
      <c r="C91" t="s">
        <v>1656</v>
      </c>
      <c r="D91" s="16">
        <v>56608</v>
      </c>
    </row>
    <row r="92" spans="1:4">
      <c r="A92" t="s">
        <v>1747</v>
      </c>
      <c r="B92" t="s">
        <v>1655</v>
      </c>
      <c r="C92" t="s">
        <v>1656</v>
      </c>
      <c r="D92" s="16">
        <v>82414</v>
      </c>
    </row>
    <row r="93" spans="1:4">
      <c r="A93" t="s">
        <v>1748</v>
      </c>
      <c r="B93" t="s">
        <v>1655</v>
      </c>
      <c r="C93" t="s">
        <v>1656</v>
      </c>
      <c r="D93" s="16">
        <v>59346</v>
      </c>
    </row>
    <row r="94" spans="1:4">
      <c r="A94" t="s">
        <v>1749</v>
      </c>
      <c r="B94" t="s">
        <v>1655</v>
      </c>
      <c r="C94" t="s">
        <v>1658</v>
      </c>
      <c r="D94" s="16">
        <v>94139</v>
      </c>
    </row>
    <row r="95" spans="1:4">
      <c r="A95" t="s">
        <v>1750</v>
      </c>
      <c r="B95" t="s">
        <v>1655</v>
      </c>
      <c r="C95" t="s">
        <v>1658</v>
      </c>
      <c r="D95" s="16">
        <v>52948</v>
      </c>
    </row>
    <row r="96" spans="1:4">
      <c r="A96" t="s">
        <v>1751</v>
      </c>
      <c r="B96" t="s">
        <v>1655</v>
      </c>
      <c r="C96" t="s">
        <v>1656</v>
      </c>
      <c r="D96" s="16">
        <v>80039</v>
      </c>
    </row>
    <row r="97" spans="1:4">
      <c r="A97" t="s">
        <v>1752</v>
      </c>
      <c r="B97" t="s">
        <v>1655</v>
      </c>
      <c r="C97" t="s">
        <v>1656</v>
      </c>
      <c r="D97" s="16">
        <v>44495</v>
      </c>
    </row>
    <row r="98" spans="1:4">
      <c r="A98" t="s">
        <v>1753</v>
      </c>
      <c r="B98" t="s">
        <v>1655</v>
      </c>
      <c r="C98" t="s">
        <v>1656</v>
      </c>
      <c r="D98" s="16">
        <v>9116</v>
      </c>
    </row>
    <row r="99" spans="1:4">
      <c r="A99" t="s">
        <v>1754</v>
      </c>
      <c r="B99" t="s">
        <v>1655</v>
      </c>
      <c r="C99" t="s">
        <v>1656</v>
      </c>
      <c r="D99" s="16">
        <v>76541</v>
      </c>
    </row>
    <row r="100" spans="1:4">
      <c r="A100" t="s">
        <v>1755</v>
      </c>
      <c r="B100" t="s">
        <v>1655</v>
      </c>
      <c r="C100" t="s">
        <v>1658</v>
      </c>
      <c r="D100" s="16">
        <v>72486</v>
      </c>
    </row>
    <row r="101" spans="1:4">
      <c r="A101" t="s">
        <v>1756</v>
      </c>
      <c r="B101" t="s">
        <v>1655</v>
      </c>
      <c r="C101" t="s">
        <v>1658</v>
      </c>
      <c r="D101" s="16">
        <v>15694</v>
      </c>
    </row>
    <row r="102" spans="1:4">
      <c r="A102" t="s">
        <v>1757</v>
      </c>
      <c r="B102" t="s">
        <v>1655</v>
      </c>
      <c r="C102" t="s">
        <v>1658</v>
      </c>
      <c r="D102" s="16">
        <v>21499</v>
      </c>
    </row>
    <row r="103" spans="1:4">
      <c r="A103" t="s">
        <v>1758</v>
      </c>
      <c r="B103" t="s">
        <v>1655</v>
      </c>
      <c r="C103" t="s">
        <v>1658</v>
      </c>
      <c r="D103" s="16">
        <v>70820</v>
      </c>
    </row>
    <row r="104" spans="1:4">
      <c r="A104" t="s">
        <v>1759</v>
      </c>
      <c r="B104" t="s">
        <v>1655</v>
      </c>
      <c r="C104" t="s">
        <v>1656</v>
      </c>
      <c r="D104" s="16">
        <v>61533</v>
      </c>
    </row>
    <row r="105" spans="1:4">
      <c r="A105" t="s">
        <v>1760</v>
      </c>
      <c r="B105" t="s">
        <v>1655</v>
      </c>
      <c r="C105" t="s">
        <v>1656</v>
      </c>
      <c r="D105" s="16">
        <v>64000</v>
      </c>
    </row>
    <row r="106" spans="1:4">
      <c r="A106" t="s">
        <v>1761</v>
      </c>
      <c r="B106" t="s">
        <v>1655</v>
      </c>
      <c r="C106" t="s">
        <v>1658</v>
      </c>
      <c r="D106" s="16">
        <v>27396</v>
      </c>
    </row>
    <row r="107" spans="1:4">
      <c r="A107" t="s">
        <v>1762</v>
      </c>
      <c r="B107" t="s">
        <v>1655</v>
      </c>
      <c r="C107" t="s">
        <v>1656</v>
      </c>
      <c r="D107" s="16">
        <v>95215</v>
      </c>
    </row>
    <row r="108" spans="1:4">
      <c r="A108" t="s">
        <v>1763</v>
      </c>
      <c r="B108" t="s">
        <v>1655</v>
      </c>
      <c r="C108" t="s">
        <v>1656</v>
      </c>
      <c r="D108" s="16">
        <v>5081</v>
      </c>
    </row>
    <row r="109" spans="1:4">
      <c r="A109" t="s">
        <v>1764</v>
      </c>
      <c r="B109" t="s">
        <v>1655</v>
      </c>
      <c r="C109" t="s">
        <v>1658</v>
      </c>
      <c r="D109" s="16">
        <v>32874</v>
      </c>
    </row>
    <row r="110" spans="1:4">
      <c r="A110" t="s">
        <v>1765</v>
      </c>
      <c r="B110" t="s">
        <v>1655</v>
      </c>
      <c r="C110" t="s">
        <v>1658</v>
      </c>
      <c r="D110" s="16">
        <v>16078</v>
      </c>
    </row>
    <row r="111" spans="1:4">
      <c r="A111" t="s">
        <v>1766</v>
      </c>
      <c r="B111" t="s">
        <v>1655</v>
      </c>
      <c r="C111" t="s">
        <v>1656</v>
      </c>
      <c r="D111" s="16">
        <v>37956</v>
      </c>
    </row>
    <row r="112" spans="1:4">
      <c r="A112" t="s">
        <v>1767</v>
      </c>
      <c r="B112" t="s">
        <v>1655</v>
      </c>
      <c r="C112" t="s">
        <v>1656</v>
      </c>
      <c r="D112" s="16">
        <v>18920</v>
      </c>
    </row>
    <row r="113" spans="1:4">
      <c r="A113" t="s">
        <v>1768</v>
      </c>
      <c r="B113" t="s">
        <v>1655</v>
      </c>
      <c r="C113" t="s">
        <v>1658</v>
      </c>
      <c r="D113" s="16">
        <v>87043</v>
      </c>
    </row>
    <row r="114" spans="1:4">
      <c r="A114" t="s">
        <v>1769</v>
      </c>
      <c r="B114" t="s">
        <v>1655</v>
      </c>
      <c r="C114" t="s">
        <v>1656</v>
      </c>
      <c r="D114" s="16">
        <v>80701</v>
      </c>
    </row>
    <row r="115" spans="1:4">
      <c r="A115" t="s">
        <v>1770</v>
      </c>
      <c r="B115" t="s">
        <v>1655</v>
      </c>
      <c r="C115" t="s">
        <v>1658</v>
      </c>
      <c r="D115" s="16">
        <v>14373</v>
      </c>
    </row>
    <row r="116" spans="1:4">
      <c r="A116" t="s">
        <v>1771</v>
      </c>
      <c r="B116" t="s">
        <v>1655</v>
      </c>
      <c r="C116" t="s">
        <v>1656</v>
      </c>
      <c r="D116" s="16">
        <v>49505</v>
      </c>
    </row>
    <row r="117" spans="1:4">
      <c r="A117" t="s">
        <v>1772</v>
      </c>
      <c r="B117" t="s">
        <v>1655</v>
      </c>
      <c r="C117" t="s">
        <v>1656</v>
      </c>
      <c r="D117" s="16">
        <v>44788</v>
      </c>
    </row>
    <row r="118" spans="1:4">
      <c r="A118" t="s">
        <v>1773</v>
      </c>
      <c r="B118" t="s">
        <v>1655</v>
      </c>
      <c r="C118" t="s">
        <v>1656</v>
      </c>
      <c r="D118" s="16">
        <v>29351</v>
      </c>
    </row>
    <row r="119" spans="1:4">
      <c r="A119" t="s">
        <v>1774</v>
      </c>
      <c r="B119" t="s">
        <v>1655</v>
      </c>
      <c r="C119" t="s">
        <v>1658</v>
      </c>
      <c r="D119" s="16">
        <v>80906</v>
      </c>
    </row>
    <row r="120" spans="1:4">
      <c r="A120" t="s">
        <v>1775</v>
      </c>
      <c r="B120" t="s">
        <v>1655</v>
      </c>
      <c r="C120" t="s">
        <v>1656</v>
      </c>
      <c r="D120" s="16">
        <v>42393</v>
      </c>
    </row>
    <row r="121" spans="1:4">
      <c r="A121" t="s">
        <v>1776</v>
      </c>
      <c r="B121" t="s">
        <v>1655</v>
      </c>
      <c r="C121" t="s">
        <v>1656</v>
      </c>
      <c r="D121" s="16">
        <v>32975</v>
      </c>
    </row>
    <row r="122" spans="1:4">
      <c r="A122" t="s">
        <v>1777</v>
      </c>
      <c r="B122" t="s">
        <v>1655</v>
      </c>
      <c r="C122" t="s">
        <v>1656</v>
      </c>
      <c r="D122" s="16">
        <v>85644</v>
      </c>
    </row>
    <row r="123" spans="1:4">
      <c r="A123" t="s">
        <v>1778</v>
      </c>
      <c r="B123" t="s">
        <v>1655</v>
      </c>
      <c r="C123" t="s">
        <v>1656</v>
      </c>
      <c r="D123" s="16">
        <v>72587</v>
      </c>
    </row>
    <row r="124" spans="1:4">
      <c r="A124" t="s">
        <v>1779</v>
      </c>
      <c r="B124" t="s">
        <v>1655</v>
      </c>
      <c r="C124" t="s">
        <v>1656</v>
      </c>
      <c r="D124" s="16">
        <v>81894</v>
      </c>
    </row>
    <row r="125" spans="1:4">
      <c r="A125" t="s">
        <v>1780</v>
      </c>
      <c r="B125" t="s">
        <v>1655</v>
      </c>
      <c r="C125" t="s">
        <v>1658</v>
      </c>
      <c r="D125" s="16">
        <v>74932</v>
      </c>
    </row>
    <row r="126" spans="1:4">
      <c r="A126" t="s">
        <v>1781</v>
      </c>
      <c r="B126" t="s">
        <v>1655</v>
      </c>
      <c r="C126" t="s">
        <v>1658</v>
      </c>
      <c r="D126" s="16">
        <v>17757</v>
      </c>
    </row>
    <row r="127" spans="1:4">
      <c r="A127" t="s">
        <v>1782</v>
      </c>
      <c r="B127" t="s">
        <v>1655</v>
      </c>
      <c r="C127" t="s">
        <v>1658</v>
      </c>
      <c r="D127" s="16">
        <v>97996</v>
      </c>
    </row>
    <row r="128" spans="1:4">
      <c r="A128" t="s">
        <v>1783</v>
      </c>
      <c r="B128" t="s">
        <v>1655</v>
      </c>
      <c r="C128" t="s">
        <v>1656</v>
      </c>
      <c r="D128" s="16">
        <v>83751</v>
      </c>
    </row>
    <row r="129" spans="1:4">
      <c r="A129" t="s">
        <v>1784</v>
      </c>
      <c r="B129" t="s">
        <v>1655</v>
      </c>
      <c r="C129" t="s">
        <v>1658</v>
      </c>
      <c r="D129" s="16">
        <v>15750</v>
      </c>
    </row>
    <row r="130" spans="1:4">
      <c r="A130" t="s">
        <v>1785</v>
      </c>
      <c r="B130" t="s">
        <v>1655</v>
      </c>
      <c r="C130" t="s">
        <v>1658</v>
      </c>
      <c r="D130" s="16">
        <v>11584</v>
      </c>
    </row>
    <row r="131" spans="1:4">
      <c r="A131" t="s">
        <v>1786</v>
      </c>
      <c r="B131" t="s">
        <v>1655</v>
      </c>
      <c r="C131" t="s">
        <v>1658</v>
      </c>
      <c r="D131" s="16">
        <v>95130</v>
      </c>
    </row>
    <row r="132" spans="1:4">
      <c r="A132" t="s">
        <v>1787</v>
      </c>
      <c r="B132" t="s">
        <v>1655</v>
      </c>
      <c r="C132" t="s">
        <v>1658</v>
      </c>
      <c r="D132" s="16">
        <v>27792</v>
      </c>
    </row>
    <row r="133" spans="1:4">
      <c r="A133" t="s">
        <v>1788</v>
      </c>
      <c r="B133" t="s">
        <v>1655</v>
      </c>
      <c r="C133" t="s">
        <v>1658</v>
      </c>
      <c r="D133" s="16">
        <v>60775</v>
      </c>
    </row>
    <row r="134" spans="1:4">
      <c r="A134" t="s">
        <v>1789</v>
      </c>
      <c r="B134" t="s">
        <v>1655</v>
      </c>
      <c r="C134" t="s">
        <v>1658</v>
      </c>
      <c r="D134" s="16">
        <v>21993</v>
      </c>
    </row>
    <row r="135" spans="1:4">
      <c r="A135" t="s">
        <v>1790</v>
      </c>
      <c r="B135" t="s">
        <v>1655</v>
      </c>
      <c r="C135" t="s">
        <v>1656</v>
      </c>
      <c r="D135" s="16">
        <v>69693</v>
      </c>
    </row>
    <row r="136" spans="1:4">
      <c r="A136" t="s">
        <v>1791</v>
      </c>
      <c r="B136" t="s">
        <v>1655</v>
      </c>
      <c r="C136" t="s">
        <v>1658</v>
      </c>
      <c r="D136" s="16">
        <v>35924</v>
      </c>
    </row>
    <row r="137" spans="1:4">
      <c r="A137" t="s">
        <v>1792</v>
      </c>
      <c r="B137" t="s">
        <v>1655</v>
      </c>
      <c r="C137" t="s">
        <v>1658</v>
      </c>
      <c r="D137" s="16">
        <v>33846</v>
      </c>
    </row>
    <row r="138" spans="1:4">
      <c r="A138" t="s">
        <v>1793</v>
      </c>
      <c r="B138" t="s">
        <v>1655</v>
      </c>
      <c r="C138" t="s">
        <v>1658</v>
      </c>
      <c r="D138" s="16">
        <v>37794</v>
      </c>
    </row>
    <row r="139" spans="1:4">
      <c r="A139" t="s">
        <v>1794</v>
      </c>
      <c r="B139" t="s">
        <v>1655</v>
      </c>
      <c r="C139" t="s">
        <v>1658</v>
      </c>
      <c r="D139" s="16">
        <v>91686</v>
      </c>
    </row>
    <row r="140" spans="1:4">
      <c r="A140" t="s">
        <v>1795</v>
      </c>
      <c r="B140" t="s">
        <v>1655</v>
      </c>
      <c r="C140" t="s">
        <v>1656</v>
      </c>
      <c r="D140" s="16">
        <v>46387</v>
      </c>
    </row>
    <row r="141" spans="1:4">
      <c r="A141" t="s">
        <v>1796</v>
      </c>
      <c r="B141" t="s">
        <v>1655</v>
      </c>
      <c r="C141" t="s">
        <v>1656</v>
      </c>
      <c r="D141" s="16">
        <v>28547</v>
      </c>
    </row>
    <row r="142" spans="1:4">
      <c r="A142" t="s">
        <v>1797</v>
      </c>
      <c r="B142" t="s">
        <v>1655</v>
      </c>
      <c r="C142" t="s">
        <v>1656</v>
      </c>
      <c r="D142" s="16">
        <v>59786</v>
      </c>
    </row>
    <row r="143" spans="1:4">
      <c r="A143" t="s">
        <v>1798</v>
      </c>
      <c r="B143" t="s">
        <v>1655</v>
      </c>
      <c r="C143" t="s">
        <v>1658</v>
      </c>
      <c r="D143" s="16">
        <v>57777</v>
      </c>
    </row>
    <row r="144" spans="1:4">
      <c r="A144" t="s">
        <v>1799</v>
      </c>
      <c r="B144" t="s">
        <v>1655</v>
      </c>
      <c r="C144" t="s">
        <v>1656</v>
      </c>
      <c r="D144" s="16">
        <v>65571</v>
      </c>
    </row>
    <row r="145" spans="1:4">
      <c r="A145" t="s">
        <v>1800</v>
      </c>
      <c r="B145" t="s">
        <v>1655</v>
      </c>
      <c r="C145" t="s">
        <v>1658</v>
      </c>
      <c r="D145" s="16">
        <v>9727</v>
      </c>
    </row>
    <row r="146" spans="1:4">
      <c r="A146" t="s">
        <v>1801</v>
      </c>
      <c r="B146" t="s">
        <v>1655</v>
      </c>
      <c r="C146" t="s">
        <v>1656</v>
      </c>
      <c r="D146" s="16">
        <v>81376</v>
      </c>
    </row>
    <row r="147" spans="1:4">
      <c r="A147" t="s">
        <v>1802</v>
      </c>
      <c r="B147" t="s">
        <v>1655</v>
      </c>
      <c r="C147" t="s">
        <v>1656</v>
      </c>
      <c r="D147" s="16">
        <v>19749</v>
      </c>
    </row>
    <row r="148" spans="1:4">
      <c r="A148" t="s">
        <v>1803</v>
      </c>
      <c r="B148" t="s">
        <v>1655</v>
      </c>
      <c r="C148" t="s">
        <v>1656</v>
      </c>
      <c r="D148" s="16">
        <v>40444</v>
      </c>
    </row>
    <row r="149" spans="1:4">
      <c r="A149" t="s">
        <v>1804</v>
      </c>
      <c r="B149" t="s">
        <v>1655</v>
      </c>
      <c r="C149" t="s">
        <v>1656</v>
      </c>
      <c r="D149" s="16">
        <v>48172</v>
      </c>
    </row>
    <row r="150" spans="1:4">
      <c r="A150" t="s">
        <v>1805</v>
      </c>
      <c r="B150" t="s">
        <v>1655</v>
      </c>
      <c r="C150" t="s">
        <v>1656</v>
      </c>
      <c r="D150" s="16">
        <v>76095</v>
      </c>
    </row>
    <row r="151" spans="1:4">
      <c r="A151" t="s">
        <v>1806</v>
      </c>
      <c r="B151" t="s">
        <v>1655</v>
      </c>
      <c r="C151" t="s">
        <v>1656</v>
      </c>
      <c r="D151" s="16">
        <v>21557</v>
      </c>
    </row>
    <row r="152" spans="1:4">
      <c r="A152" t="s">
        <v>1807</v>
      </c>
      <c r="B152" t="s">
        <v>1655</v>
      </c>
      <c r="C152" t="s">
        <v>1656</v>
      </c>
      <c r="D152" s="16">
        <v>86125</v>
      </c>
    </row>
    <row r="153" spans="1:4">
      <c r="A153" t="s">
        <v>1808</v>
      </c>
      <c r="B153" t="s">
        <v>1655</v>
      </c>
      <c r="C153" t="s">
        <v>1656</v>
      </c>
      <c r="D153" s="16">
        <v>19365</v>
      </c>
    </row>
    <row r="154" spans="1:4">
      <c r="A154" t="s">
        <v>1809</v>
      </c>
      <c r="B154" t="s">
        <v>1655</v>
      </c>
      <c r="C154" t="s">
        <v>1658</v>
      </c>
      <c r="D154" s="16">
        <v>16566</v>
      </c>
    </row>
    <row r="155" spans="1:4">
      <c r="A155" t="s">
        <v>1810</v>
      </c>
      <c r="B155" t="s">
        <v>1655</v>
      </c>
      <c r="C155" t="s">
        <v>1656</v>
      </c>
      <c r="D155" s="16">
        <v>21950</v>
      </c>
    </row>
    <row r="156" spans="1:4">
      <c r="A156" t="s">
        <v>1811</v>
      </c>
      <c r="B156" t="s">
        <v>1655</v>
      </c>
      <c r="C156" t="s">
        <v>1658</v>
      </c>
      <c r="D156" s="16">
        <v>8757</v>
      </c>
    </row>
    <row r="157" spans="1:4">
      <c r="A157" t="s">
        <v>1812</v>
      </c>
      <c r="B157" t="s">
        <v>1655</v>
      </c>
      <c r="C157" t="s">
        <v>1656</v>
      </c>
      <c r="D157" s="16">
        <v>66758</v>
      </c>
    </row>
    <row r="158" spans="1:4">
      <c r="A158" t="s">
        <v>1813</v>
      </c>
      <c r="B158" t="s">
        <v>1655</v>
      </c>
      <c r="C158" t="s">
        <v>1656</v>
      </c>
      <c r="D158" s="16">
        <v>62233</v>
      </c>
    </row>
    <row r="159" spans="1:4">
      <c r="A159" t="s">
        <v>1814</v>
      </c>
      <c r="B159" t="s">
        <v>1655</v>
      </c>
      <c r="C159" t="s">
        <v>1656</v>
      </c>
      <c r="D159" s="16">
        <v>8103</v>
      </c>
    </row>
    <row r="160" spans="1:4">
      <c r="A160" t="s">
        <v>1815</v>
      </c>
      <c r="B160" t="s">
        <v>1655</v>
      </c>
      <c r="C160" t="s">
        <v>1658</v>
      </c>
      <c r="D160" s="16">
        <v>67743</v>
      </c>
    </row>
    <row r="161" spans="1:4">
      <c r="A161" t="s">
        <v>1816</v>
      </c>
      <c r="B161" t="s">
        <v>1655</v>
      </c>
      <c r="C161" t="s">
        <v>1658</v>
      </c>
      <c r="D161" s="16">
        <v>73442</v>
      </c>
    </row>
    <row r="162" spans="1:4">
      <c r="A162" t="s">
        <v>1817</v>
      </c>
      <c r="B162" t="s">
        <v>1655</v>
      </c>
      <c r="C162" t="s">
        <v>1656</v>
      </c>
      <c r="D162" s="16">
        <v>50060</v>
      </c>
    </row>
    <row r="163" spans="1:4">
      <c r="A163" t="s">
        <v>1818</v>
      </c>
      <c r="B163" t="s">
        <v>1655</v>
      </c>
      <c r="C163" t="s">
        <v>1656</v>
      </c>
      <c r="D163" s="16">
        <v>11172</v>
      </c>
    </row>
    <row r="164" spans="1:4">
      <c r="A164" t="s">
        <v>1819</v>
      </c>
      <c r="B164" t="s">
        <v>1655</v>
      </c>
      <c r="C164" t="s">
        <v>1656</v>
      </c>
      <c r="D164" s="16">
        <v>63318</v>
      </c>
    </row>
    <row r="165" spans="1:4">
      <c r="A165" t="s">
        <v>1820</v>
      </c>
      <c r="B165" t="s">
        <v>1655</v>
      </c>
      <c r="C165" t="s">
        <v>1658</v>
      </c>
      <c r="D165" s="16">
        <v>58577</v>
      </c>
    </row>
    <row r="166" spans="1:4">
      <c r="A166" t="s">
        <v>1821</v>
      </c>
      <c r="B166" t="s">
        <v>1655</v>
      </c>
      <c r="C166" t="s">
        <v>1656</v>
      </c>
      <c r="D166" s="16">
        <v>12412</v>
      </c>
    </row>
    <row r="167" spans="1:4">
      <c r="A167" t="s">
        <v>1822</v>
      </c>
      <c r="B167" t="s">
        <v>1655</v>
      </c>
      <c r="C167" t="s">
        <v>1658</v>
      </c>
      <c r="D167" s="16">
        <v>22389</v>
      </c>
    </row>
    <row r="168" spans="1:4">
      <c r="A168" t="s">
        <v>1823</v>
      </c>
      <c r="B168" t="s">
        <v>1655</v>
      </c>
      <c r="C168" t="s">
        <v>1656</v>
      </c>
      <c r="D168" s="16">
        <v>68001</v>
      </c>
    </row>
    <row r="169" spans="1:4">
      <c r="A169" t="s">
        <v>1824</v>
      </c>
      <c r="B169" t="s">
        <v>1655</v>
      </c>
      <c r="C169" t="s">
        <v>1656</v>
      </c>
      <c r="D169" s="16">
        <v>41638</v>
      </c>
    </row>
    <row r="170" spans="1:4">
      <c r="A170" t="s">
        <v>1825</v>
      </c>
      <c r="B170" t="s">
        <v>1655</v>
      </c>
      <c r="C170" t="s">
        <v>1658</v>
      </c>
      <c r="D170" s="16">
        <v>71235</v>
      </c>
    </row>
    <row r="171" spans="1:4">
      <c r="A171" t="s">
        <v>1826</v>
      </c>
      <c r="B171" t="s">
        <v>1655</v>
      </c>
      <c r="C171" t="s">
        <v>1658</v>
      </c>
      <c r="D171" s="16">
        <v>90158</v>
      </c>
    </row>
    <row r="172" spans="1:4">
      <c r="A172" t="s">
        <v>1827</v>
      </c>
      <c r="B172" t="s">
        <v>1655</v>
      </c>
      <c r="C172" t="s">
        <v>1658</v>
      </c>
      <c r="D172" s="16">
        <v>99186</v>
      </c>
    </row>
    <row r="173" spans="1:4">
      <c r="A173" t="s">
        <v>1828</v>
      </c>
      <c r="B173" t="s">
        <v>1655</v>
      </c>
      <c r="C173" t="s">
        <v>1658</v>
      </c>
      <c r="D173" s="16">
        <v>41646</v>
      </c>
    </row>
    <row r="174" spans="1:4">
      <c r="A174" t="s">
        <v>1829</v>
      </c>
      <c r="B174" t="s">
        <v>1655</v>
      </c>
      <c r="C174" t="s">
        <v>1658</v>
      </c>
      <c r="D174" s="16">
        <v>94443</v>
      </c>
    </row>
    <row r="175" spans="1:4">
      <c r="A175" t="s">
        <v>1830</v>
      </c>
      <c r="B175" t="s">
        <v>1655</v>
      </c>
      <c r="C175" t="s">
        <v>1656</v>
      </c>
      <c r="D175" s="16">
        <v>11648</v>
      </c>
    </row>
    <row r="176" spans="1:4">
      <c r="A176" t="s">
        <v>1831</v>
      </c>
      <c r="B176" t="s">
        <v>1655</v>
      </c>
      <c r="C176" t="s">
        <v>1656</v>
      </c>
      <c r="D176" s="16">
        <v>70279</v>
      </c>
    </row>
    <row r="177" spans="1:4">
      <c r="A177" t="s">
        <v>1832</v>
      </c>
      <c r="B177" t="s">
        <v>1655</v>
      </c>
      <c r="C177" t="s">
        <v>1658</v>
      </c>
      <c r="D177" s="16">
        <v>5038</v>
      </c>
    </row>
    <row r="178" spans="1:4">
      <c r="A178" t="s">
        <v>1833</v>
      </c>
      <c r="B178" t="s">
        <v>1655</v>
      </c>
      <c r="C178" t="s">
        <v>1656</v>
      </c>
      <c r="D178" s="16">
        <v>32874</v>
      </c>
    </row>
    <row r="179" spans="1:4">
      <c r="A179" t="s">
        <v>1834</v>
      </c>
      <c r="B179" t="s">
        <v>1655</v>
      </c>
      <c r="C179" t="s">
        <v>1656</v>
      </c>
      <c r="D179" s="16">
        <v>79766</v>
      </c>
    </row>
    <row r="180" spans="1:4">
      <c r="A180" t="s">
        <v>1835</v>
      </c>
      <c r="B180" t="s">
        <v>1655</v>
      </c>
      <c r="C180" t="s">
        <v>1656</v>
      </c>
      <c r="D180" s="16">
        <v>76810</v>
      </c>
    </row>
    <row r="181" spans="1:4">
      <c r="A181" t="s">
        <v>1836</v>
      </c>
      <c r="B181" t="s">
        <v>1655</v>
      </c>
      <c r="C181" t="s">
        <v>1656</v>
      </c>
      <c r="D181" s="16">
        <v>50226</v>
      </c>
    </row>
    <row r="182" spans="1:4">
      <c r="A182" t="s">
        <v>1837</v>
      </c>
      <c r="B182" t="s">
        <v>1655</v>
      </c>
      <c r="C182" t="s">
        <v>1656</v>
      </c>
      <c r="D182" s="16">
        <v>5690</v>
      </c>
    </row>
    <row r="183" spans="1:4">
      <c r="A183" t="s">
        <v>1838</v>
      </c>
      <c r="B183" t="s">
        <v>1655</v>
      </c>
      <c r="C183" t="s">
        <v>1658</v>
      </c>
      <c r="D183" s="16">
        <v>21373</v>
      </c>
    </row>
    <row r="184" spans="1:4">
      <c r="A184" t="s">
        <v>1839</v>
      </c>
      <c r="B184" t="s">
        <v>1655</v>
      </c>
      <c r="C184" t="s">
        <v>1656</v>
      </c>
      <c r="D184" s="16">
        <v>59669</v>
      </c>
    </row>
    <row r="185" spans="1:4">
      <c r="A185" t="s">
        <v>1840</v>
      </c>
      <c r="B185" t="s">
        <v>1655</v>
      </c>
      <c r="C185" t="s">
        <v>1656</v>
      </c>
      <c r="D185" s="16">
        <v>24641</v>
      </c>
    </row>
    <row r="186" spans="1:4">
      <c r="A186" t="s">
        <v>1841</v>
      </c>
      <c r="B186" t="s">
        <v>1655</v>
      </c>
      <c r="C186" t="s">
        <v>1658</v>
      </c>
      <c r="D186" s="16">
        <v>10556</v>
      </c>
    </row>
    <row r="187" spans="1:4">
      <c r="A187" t="s">
        <v>1842</v>
      </c>
      <c r="B187" t="s">
        <v>1655</v>
      </c>
      <c r="C187" t="s">
        <v>1656</v>
      </c>
      <c r="D187" s="16">
        <v>30297</v>
      </c>
    </row>
    <row r="188" spans="1:4">
      <c r="A188" t="s">
        <v>1843</v>
      </c>
      <c r="B188" t="s">
        <v>1655</v>
      </c>
      <c r="C188" t="s">
        <v>1656</v>
      </c>
      <c r="D188" s="16">
        <v>64283</v>
      </c>
    </row>
    <row r="189" spans="1:4">
      <c r="A189" t="s">
        <v>1844</v>
      </c>
      <c r="B189" t="s">
        <v>1655</v>
      </c>
      <c r="C189" t="s">
        <v>1656</v>
      </c>
      <c r="D189" s="16">
        <v>56649</v>
      </c>
    </row>
    <row r="190" spans="1:4">
      <c r="A190" t="s">
        <v>1845</v>
      </c>
      <c r="B190" t="s">
        <v>1655</v>
      </c>
      <c r="C190" t="s">
        <v>1656</v>
      </c>
      <c r="D190" s="16">
        <v>72718</v>
      </c>
    </row>
    <row r="191" spans="1:4">
      <c r="A191" t="s">
        <v>1846</v>
      </c>
      <c r="B191" t="s">
        <v>1655</v>
      </c>
      <c r="C191" t="s">
        <v>1658</v>
      </c>
      <c r="D191" s="16">
        <v>76002</v>
      </c>
    </row>
    <row r="192" spans="1:4">
      <c r="A192" t="s">
        <v>1847</v>
      </c>
      <c r="B192" t="s">
        <v>1655</v>
      </c>
      <c r="C192" t="s">
        <v>1656</v>
      </c>
      <c r="D192" s="16">
        <v>68764</v>
      </c>
    </row>
    <row r="193" spans="1:4">
      <c r="A193" t="s">
        <v>1848</v>
      </c>
      <c r="B193" t="s">
        <v>1655</v>
      </c>
      <c r="C193" t="s">
        <v>1656</v>
      </c>
      <c r="D193" s="16">
        <v>9248</v>
      </c>
    </row>
    <row r="194" spans="1:4">
      <c r="A194" t="s">
        <v>1849</v>
      </c>
      <c r="B194" t="s">
        <v>1655</v>
      </c>
      <c r="C194" t="s">
        <v>1656</v>
      </c>
      <c r="D194" s="16">
        <v>37566</v>
      </c>
    </row>
    <row r="195" spans="1:4">
      <c r="A195" t="s">
        <v>1850</v>
      </c>
      <c r="B195" t="s">
        <v>1655</v>
      </c>
      <c r="C195" t="s">
        <v>1656</v>
      </c>
      <c r="D195" s="16">
        <v>63843</v>
      </c>
    </row>
    <row r="196" spans="1:4">
      <c r="A196" t="s">
        <v>1851</v>
      </c>
      <c r="B196" t="s">
        <v>1655</v>
      </c>
      <c r="C196" t="s">
        <v>1658</v>
      </c>
      <c r="D196" s="16">
        <v>90324</v>
      </c>
    </row>
    <row r="197" spans="1:4">
      <c r="A197" t="s">
        <v>1852</v>
      </c>
      <c r="B197" t="s">
        <v>1655</v>
      </c>
      <c r="C197" t="s">
        <v>1658</v>
      </c>
      <c r="D197" s="16">
        <v>98554</v>
      </c>
    </row>
    <row r="198" spans="1:4">
      <c r="A198" t="s">
        <v>1853</v>
      </c>
      <c r="B198" t="s">
        <v>1655</v>
      </c>
      <c r="C198" t="s">
        <v>1658</v>
      </c>
      <c r="D198" s="16">
        <v>29254</v>
      </c>
    </row>
    <row r="199" spans="1:4">
      <c r="A199" t="s">
        <v>1854</v>
      </c>
      <c r="B199" t="s">
        <v>1655</v>
      </c>
      <c r="C199" t="s">
        <v>1658</v>
      </c>
      <c r="D199" s="16">
        <v>58970</v>
      </c>
    </row>
    <row r="200" spans="1:4">
      <c r="A200" t="s">
        <v>1855</v>
      </c>
      <c r="B200" t="s">
        <v>1655</v>
      </c>
      <c r="C200" t="s">
        <v>1658</v>
      </c>
      <c r="D200" s="16">
        <v>81235</v>
      </c>
    </row>
    <row r="201" spans="1:4">
      <c r="A201" t="s">
        <v>1856</v>
      </c>
      <c r="B201" t="s">
        <v>1655</v>
      </c>
      <c r="C201" t="s">
        <v>1658</v>
      </c>
      <c r="D201" s="16">
        <v>97727</v>
      </c>
    </row>
    <row r="202" spans="1:4">
      <c r="A202" t="s">
        <v>1857</v>
      </c>
      <c r="B202" t="s">
        <v>1655</v>
      </c>
      <c r="C202" t="s">
        <v>1658</v>
      </c>
      <c r="D202" s="16">
        <v>60504</v>
      </c>
    </row>
    <row r="203" spans="1:4">
      <c r="A203" t="s">
        <v>1858</v>
      </c>
      <c r="B203" t="s">
        <v>1655</v>
      </c>
      <c r="C203" t="s">
        <v>1656</v>
      </c>
      <c r="D203" s="16">
        <v>75546</v>
      </c>
    </row>
    <row r="204" spans="1:4">
      <c r="A204" t="s">
        <v>1859</v>
      </c>
      <c r="B204" t="s">
        <v>1655</v>
      </c>
      <c r="C204" t="s">
        <v>1656</v>
      </c>
      <c r="D204" s="16">
        <v>46456</v>
      </c>
    </row>
    <row r="205" spans="1:4">
      <c r="A205" t="s">
        <v>1860</v>
      </c>
      <c r="B205" t="s">
        <v>1655</v>
      </c>
      <c r="C205" t="s">
        <v>1658</v>
      </c>
      <c r="D205" s="16">
        <v>20299</v>
      </c>
    </row>
    <row r="206" spans="1:4">
      <c r="A206" t="s">
        <v>1861</v>
      </c>
      <c r="B206" t="s">
        <v>1655</v>
      </c>
      <c r="C206" t="s">
        <v>1658</v>
      </c>
      <c r="D206" s="16">
        <v>26869</v>
      </c>
    </row>
    <row r="207" spans="1:4">
      <c r="A207" t="s">
        <v>1862</v>
      </c>
      <c r="B207" t="s">
        <v>1655</v>
      </c>
      <c r="C207" t="s">
        <v>1658</v>
      </c>
      <c r="D207" s="16">
        <v>89092</v>
      </c>
    </row>
    <row r="208" spans="1:4">
      <c r="A208" t="s">
        <v>1863</v>
      </c>
      <c r="B208" t="s">
        <v>1655</v>
      </c>
      <c r="C208" t="s">
        <v>1658</v>
      </c>
      <c r="D208" s="16">
        <v>29345</v>
      </c>
    </row>
    <row r="209" spans="1:4">
      <c r="A209" t="s">
        <v>1864</v>
      </c>
      <c r="B209" t="s">
        <v>1655</v>
      </c>
      <c r="C209" t="s">
        <v>1656</v>
      </c>
      <c r="D209" s="16">
        <v>10857</v>
      </c>
    </row>
    <row r="210" spans="1:4">
      <c r="A210" t="s">
        <v>1865</v>
      </c>
      <c r="B210" t="s">
        <v>1655</v>
      </c>
      <c r="C210" t="s">
        <v>1658</v>
      </c>
      <c r="D210" s="16">
        <v>71009</v>
      </c>
    </row>
    <row r="211" spans="1:4">
      <c r="A211" t="s">
        <v>1866</v>
      </c>
      <c r="B211" t="s">
        <v>1655</v>
      </c>
      <c r="C211" t="s">
        <v>1658</v>
      </c>
      <c r="D211" s="16">
        <v>87605</v>
      </c>
    </row>
    <row r="212" spans="1:4">
      <c r="A212" t="s">
        <v>1867</v>
      </c>
      <c r="B212" t="s">
        <v>1655</v>
      </c>
      <c r="C212" t="s">
        <v>1658</v>
      </c>
      <c r="D212" s="16">
        <v>86979</v>
      </c>
    </row>
    <row r="213" spans="1:4">
      <c r="A213" t="s">
        <v>1868</v>
      </c>
      <c r="B213" t="s">
        <v>1655</v>
      </c>
      <c r="C213" t="s">
        <v>1658</v>
      </c>
      <c r="D213" s="16">
        <v>54213</v>
      </c>
    </row>
    <row r="214" spans="1:4">
      <c r="A214" t="s">
        <v>1869</v>
      </c>
      <c r="B214" t="s">
        <v>1655</v>
      </c>
      <c r="C214" t="s">
        <v>1658</v>
      </c>
      <c r="D214" s="16">
        <v>90236</v>
      </c>
    </row>
    <row r="215" spans="1:4">
      <c r="A215" t="s">
        <v>1870</v>
      </c>
      <c r="B215" t="s">
        <v>1655</v>
      </c>
      <c r="C215" t="s">
        <v>1656</v>
      </c>
      <c r="D215" s="16">
        <v>76951</v>
      </c>
    </row>
    <row r="216" spans="1:4">
      <c r="A216" t="s">
        <v>1871</v>
      </c>
      <c r="B216" t="s">
        <v>1655</v>
      </c>
      <c r="C216" t="s">
        <v>1658</v>
      </c>
      <c r="D216" s="16">
        <v>70832</v>
      </c>
    </row>
    <row r="217" spans="1:4">
      <c r="A217" t="s">
        <v>1872</v>
      </c>
      <c r="B217" t="s">
        <v>1655</v>
      </c>
      <c r="C217" t="s">
        <v>1656</v>
      </c>
      <c r="D217" s="16">
        <v>76798</v>
      </c>
    </row>
    <row r="218" spans="1:4">
      <c r="A218" t="s">
        <v>1873</v>
      </c>
      <c r="B218" t="s">
        <v>1655</v>
      </c>
      <c r="C218" t="s">
        <v>1658</v>
      </c>
      <c r="D218" s="16">
        <v>96650</v>
      </c>
    </row>
    <row r="219" spans="1:4">
      <c r="A219" t="s">
        <v>1874</v>
      </c>
      <c r="B219" t="s">
        <v>1655</v>
      </c>
      <c r="C219" t="s">
        <v>1658</v>
      </c>
      <c r="D219" s="16">
        <v>81993</v>
      </c>
    </row>
    <row r="220" spans="1:4">
      <c r="A220" t="s">
        <v>1875</v>
      </c>
      <c r="B220" t="s">
        <v>1655</v>
      </c>
      <c r="C220" t="s">
        <v>1658</v>
      </c>
      <c r="D220" s="16">
        <v>79958</v>
      </c>
    </row>
    <row r="221" spans="1:4">
      <c r="A221" t="s">
        <v>1876</v>
      </c>
      <c r="B221" t="s">
        <v>1655</v>
      </c>
      <c r="C221" t="s">
        <v>1658</v>
      </c>
      <c r="D221" s="16">
        <v>28669</v>
      </c>
    </row>
    <row r="222" spans="1:4">
      <c r="A222" t="s">
        <v>1877</v>
      </c>
      <c r="B222" t="s">
        <v>1655</v>
      </c>
      <c r="C222" t="s">
        <v>1658</v>
      </c>
      <c r="D222" s="16">
        <v>97407</v>
      </c>
    </row>
    <row r="223" spans="1:4">
      <c r="A223" t="s">
        <v>1878</v>
      </c>
      <c r="B223" t="s">
        <v>1655</v>
      </c>
      <c r="C223" t="s">
        <v>1656</v>
      </c>
      <c r="D223" s="16">
        <v>17429</v>
      </c>
    </row>
    <row r="224" spans="1:4">
      <c r="A224" t="s">
        <v>1879</v>
      </c>
      <c r="B224" t="s">
        <v>1655</v>
      </c>
      <c r="C224" t="s">
        <v>1656</v>
      </c>
      <c r="D224" s="16">
        <v>58733</v>
      </c>
    </row>
    <row r="225" spans="1:4">
      <c r="A225" t="s">
        <v>1880</v>
      </c>
      <c r="B225" t="s">
        <v>1655</v>
      </c>
      <c r="C225" t="s">
        <v>1656</v>
      </c>
      <c r="D225" s="16">
        <v>19406</v>
      </c>
    </row>
    <row r="226" spans="1:4">
      <c r="A226" t="s">
        <v>1881</v>
      </c>
      <c r="B226" t="s">
        <v>1655</v>
      </c>
      <c r="C226" t="s">
        <v>1658</v>
      </c>
      <c r="D226" s="16">
        <v>74353</v>
      </c>
    </row>
    <row r="227" spans="1:4">
      <c r="A227" t="s">
        <v>1882</v>
      </c>
      <c r="B227" t="s">
        <v>1655</v>
      </c>
      <c r="C227" t="s">
        <v>1658</v>
      </c>
      <c r="D227" s="16">
        <v>76112</v>
      </c>
    </row>
    <row r="228" spans="1:4">
      <c r="A228" t="s">
        <v>1883</v>
      </c>
      <c r="B228" t="s">
        <v>1655</v>
      </c>
      <c r="C228" t="s">
        <v>1658</v>
      </c>
      <c r="D228" s="16">
        <v>34017</v>
      </c>
    </row>
    <row r="229" spans="1:4">
      <c r="A229" t="s">
        <v>1884</v>
      </c>
      <c r="B229" t="s">
        <v>1655</v>
      </c>
      <c r="C229" t="s">
        <v>1658</v>
      </c>
      <c r="D229" s="16">
        <v>10890</v>
      </c>
    </row>
    <row r="230" spans="1:4">
      <c r="A230" t="s">
        <v>1885</v>
      </c>
      <c r="B230" t="s">
        <v>1655</v>
      </c>
      <c r="C230" t="s">
        <v>1656</v>
      </c>
      <c r="D230" s="16">
        <v>55145</v>
      </c>
    </row>
    <row r="231" spans="1:4">
      <c r="A231" t="s">
        <v>1886</v>
      </c>
      <c r="B231" t="s">
        <v>1655</v>
      </c>
      <c r="C231" t="s">
        <v>1656</v>
      </c>
      <c r="D231" s="16">
        <v>85546</v>
      </c>
    </row>
    <row r="232" spans="1:4">
      <c r="A232" t="s">
        <v>1887</v>
      </c>
      <c r="B232" t="s">
        <v>1655</v>
      </c>
      <c r="C232" t="s">
        <v>1658</v>
      </c>
      <c r="D232" s="16">
        <v>62568</v>
      </c>
    </row>
    <row r="233" spans="1:4">
      <c r="A233" t="s">
        <v>1888</v>
      </c>
      <c r="B233" t="s">
        <v>1655</v>
      </c>
      <c r="C233" t="s">
        <v>1656</v>
      </c>
      <c r="D233" s="16">
        <v>71574</v>
      </c>
    </row>
    <row r="234" spans="1:4">
      <c r="A234" t="s">
        <v>1889</v>
      </c>
      <c r="B234" t="s">
        <v>1655</v>
      </c>
      <c r="C234" t="s">
        <v>1658</v>
      </c>
      <c r="D234" s="16">
        <v>15021</v>
      </c>
    </row>
    <row r="235" spans="1:4">
      <c r="A235" t="s">
        <v>1890</v>
      </c>
      <c r="B235" t="s">
        <v>1655</v>
      </c>
      <c r="C235" t="s">
        <v>1658</v>
      </c>
      <c r="D235" s="16">
        <v>31859</v>
      </c>
    </row>
    <row r="236" spans="1:4">
      <c r="A236" t="s">
        <v>1891</v>
      </c>
      <c r="B236" t="s">
        <v>1655</v>
      </c>
      <c r="C236" t="s">
        <v>1656</v>
      </c>
      <c r="D236" s="16">
        <v>17180</v>
      </c>
    </row>
    <row r="237" spans="1:4">
      <c r="A237" t="s">
        <v>1892</v>
      </c>
      <c r="B237" t="s">
        <v>1655</v>
      </c>
      <c r="C237" t="s">
        <v>1656</v>
      </c>
      <c r="D237" s="16">
        <v>37321</v>
      </c>
    </row>
    <row r="238" spans="1:4">
      <c r="A238" t="s">
        <v>1893</v>
      </c>
      <c r="B238" t="s">
        <v>1655</v>
      </c>
      <c r="C238" t="s">
        <v>1658</v>
      </c>
      <c r="D238" s="16">
        <v>26559</v>
      </c>
    </row>
    <row r="239" spans="1:4">
      <c r="A239" t="s">
        <v>1894</v>
      </c>
      <c r="B239" t="s">
        <v>1655</v>
      </c>
      <c r="C239" t="s">
        <v>1656</v>
      </c>
      <c r="D239" s="16">
        <v>50577</v>
      </c>
    </row>
    <row r="240" spans="1:4">
      <c r="A240" t="s">
        <v>1895</v>
      </c>
      <c r="B240" t="s">
        <v>1655</v>
      </c>
      <c r="C240" t="s">
        <v>1658</v>
      </c>
      <c r="D240" s="16">
        <v>42722</v>
      </c>
    </row>
    <row r="241" spans="1:4">
      <c r="A241" t="s">
        <v>1896</v>
      </c>
      <c r="B241" t="s">
        <v>1655</v>
      </c>
      <c r="C241" t="s">
        <v>1658</v>
      </c>
      <c r="D241" s="16">
        <v>72697</v>
      </c>
    </row>
    <row r="242" spans="1:4">
      <c r="A242" t="s">
        <v>1897</v>
      </c>
      <c r="B242" t="s">
        <v>1655</v>
      </c>
      <c r="C242" t="s">
        <v>1658</v>
      </c>
      <c r="D242" s="16">
        <v>56491</v>
      </c>
    </row>
    <row r="243" spans="1:4">
      <c r="A243" t="s">
        <v>1898</v>
      </c>
      <c r="B243" t="s">
        <v>1655</v>
      </c>
      <c r="C243" t="s">
        <v>1656</v>
      </c>
      <c r="D243" s="16">
        <v>21475</v>
      </c>
    </row>
    <row r="244" spans="1:4">
      <c r="A244" t="s">
        <v>1899</v>
      </c>
      <c r="B244" t="s">
        <v>1655</v>
      </c>
      <c r="C244" t="s">
        <v>1656</v>
      </c>
      <c r="D244" s="16">
        <v>44603</v>
      </c>
    </row>
    <row r="245" spans="1:4">
      <c r="A245" t="s">
        <v>1900</v>
      </c>
      <c r="B245" t="s">
        <v>1655</v>
      </c>
      <c r="C245" t="s">
        <v>1658</v>
      </c>
      <c r="D245" s="16">
        <v>52945</v>
      </c>
    </row>
    <row r="246" spans="1:4">
      <c r="A246" t="s">
        <v>1901</v>
      </c>
      <c r="B246" t="s">
        <v>1655</v>
      </c>
      <c r="C246" t="s">
        <v>1658</v>
      </c>
      <c r="D246" s="16">
        <v>51574</v>
      </c>
    </row>
    <row r="247" spans="1:4">
      <c r="A247" t="s">
        <v>1902</v>
      </c>
      <c r="B247" t="s">
        <v>1655</v>
      </c>
      <c r="C247" t="s">
        <v>1656</v>
      </c>
      <c r="D247" s="16">
        <v>81108</v>
      </c>
    </row>
    <row r="248" spans="1:4">
      <c r="A248" t="s">
        <v>1903</v>
      </c>
      <c r="B248" t="s">
        <v>1655</v>
      </c>
      <c r="C248" t="s">
        <v>1658</v>
      </c>
      <c r="D248" s="16">
        <v>83489</v>
      </c>
    </row>
    <row r="249" spans="1:4">
      <c r="A249" t="s">
        <v>1904</v>
      </c>
      <c r="B249" t="s">
        <v>1655</v>
      </c>
      <c r="C249" t="s">
        <v>1656</v>
      </c>
      <c r="D249" s="16">
        <v>75630</v>
      </c>
    </row>
    <row r="250" spans="1:4">
      <c r="A250" t="s">
        <v>1905</v>
      </c>
      <c r="B250" t="s">
        <v>1655</v>
      </c>
      <c r="C250" t="s">
        <v>1656</v>
      </c>
      <c r="D250" s="16">
        <v>64877</v>
      </c>
    </row>
    <row r="251" spans="1:4">
      <c r="A251" t="s">
        <v>1906</v>
      </c>
      <c r="B251" t="s">
        <v>1655</v>
      </c>
      <c r="C251" t="s">
        <v>1656</v>
      </c>
      <c r="D251" s="16">
        <v>85838</v>
      </c>
    </row>
    <row r="252" spans="1:4">
      <c r="A252" t="s">
        <v>1907</v>
      </c>
      <c r="B252" t="s">
        <v>1655</v>
      </c>
      <c r="C252" t="s">
        <v>1656</v>
      </c>
      <c r="D252" s="16">
        <v>95552</v>
      </c>
    </row>
    <row r="253" spans="1:4">
      <c r="A253" t="s">
        <v>1908</v>
      </c>
      <c r="B253" t="s">
        <v>1655</v>
      </c>
      <c r="C253" t="s">
        <v>1656</v>
      </c>
      <c r="D253" s="16">
        <v>11185</v>
      </c>
    </row>
    <row r="254" spans="1:4">
      <c r="A254" t="s">
        <v>1909</v>
      </c>
      <c r="B254" t="s">
        <v>1655</v>
      </c>
      <c r="C254" t="s">
        <v>1656</v>
      </c>
      <c r="D254" s="16">
        <v>77325</v>
      </c>
    </row>
    <row r="255" spans="1:4">
      <c r="A255" t="s">
        <v>1910</v>
      </c>
      <c r="B255" t="s">
        <v>1655</v>
      </c>
      <c r="C255" t="s">
        <v>1658</v>
      </c>
      <c r="D255" s="16">
        <v>64067</v>
      </c>
    </row>
    <row r="256" spans="1:4">
      <c r="A256" t="s">
        <v>1911</v>
      </c>
      <c r="B256" t="s">
        <v>1655</v>
      </c>
      <c r="C256" t="s">
        <v>1656</v>
      </c>
      <c r="D256" s="16">
        <v>31292</v>
      </c>
    </row>
    <row r="257" spans="1:4">
      <c r="A257" t="s">
        <v>1912</v>
      </c>
      <c r="B257" t="s">
        <v>1655</v>
      </c>
      <c r="C257" t="s">
        <v>1656</v>
      </c>
      <c r="D257" s="16">
        <v>34368</v>
      </c>
    </row>
    <row r="258" spans="1:4">
      <c r="A258" t="s">
        <v>1913</v>
      </c>
      <c r="B258" t="s">
        <v>1655</v>
      </c>
      <c r="C258" t="s">
        <v>1656</v>
      </c>
      <c r="D258" s="16">
        <v>68063</v>
      </c>
    </row>
    <row r="259" spans="1:4">
      <c r="A259" t="s">
        <v>1914</v>
      </c>
      <c r="B259" t="s">
        <v>1655</v>
      </c>
      <c r="C259" t="s">
        <v>1656</v>
      </c>
      <c r="D259" s="16">
        <v>47066</v>
      </c>
    </row>
    <row r="260" spans="1:4">
      <c r="A260" t="s">
        <v>1915</v>
      </c>
      <c r="B260" t="s">
        <v>1655</v>
      </c>
      <c r="C260" t="s">
        <v>1658</v>
      </c>
      <c r="D260" s="16">
        <v>17737</v>
      </c>
    </row>
    <row r="261" spans="1:4">
      <c r="A261" t="s">
        <v>1916</v>
      </c>
      <c r="B261" t="s">
        <v>1655</v>
      </c>
      <c r="C261" t="s">
        <v>1658</v>
      </c>
      <c r="D261" s="16">
        <v>73788</v>
      </c>
    </row>
    <row r="262" spans="1:4">
      <c r="A262" t="s">
        <v>1917</v>
      </c>
      <c r="B262" t="s">
        <v>1655</v>
      </c>
      <c r="C262" t="s">
        <v>1658</v>
      </c>
      <c r="D262" s="16">
        <v>84885</v>
      </c>
    </row>
    <row r="263" spans="1:4">
      <c r="A263" t="s">
        <v>1918</v>
      </c>
      <c r="B263" t="s">
        <v>1655</v>
      </c>
      <c r="C263" t="s">
        <v>1658</v>
      </c>
      <c r="D263" s="16">
        <v>55070</v>
      </c>
    </row>
    <row r="264" spans="1:4">
      <c r="A264" t="s">
        <v>1919</v>
      </c>
      <c r="B264" t="s">
        <v>1655</v>
      </c>
      <c r="C264" t="s">
        <v>1658</v>
      </c>
      <c r="D264" s="16">
        <v>17131</v>
      </c>
    </row>
    <row r="265" spans="1:4">
      <c r="A265" t="s">
        <v>1920</v>
      </c>
      <c r="B265" t="s">
        <v>1655</v>
      </c>
      <c r="C265" t="s">
        <v>1658</v>
      </c>
      <c r="D265" s="16">
        <v>49754</v>
      </c>
    </row>
    <row r="266" spans="1:4">
      <c r="A266" t="s">
        <v>1921</v>
      </c>
      <c r="B266" t="s">
        <v>1655</v>
      </c>
      <c r="C266" t="s">
        <v>1656</v>
      </c>
      <c r="D266" s="16">
        <v>40652</v>
      </c>
    </row>
    <row r="267" spans="1:4">
      <c r="A267" t="s">
        <v>1922</v>
      </c>
      <c r="B267" t="s">
        <v>1655</v>
      </c>
      <c r="C267" t="s">
        <v>1658</v>
      </c>
      <c r="D267" s="16">
        <v>11226</v>
      </c>
    </row>
    <row r="268" spans="1:4">
      <c r="A268" t="s">
        <v>1923</v>
      </c>
      <c r="B268" t="s">
        <v>1655</v>
      </c>
      <c r="C268" t="s">
        <v>1656</v>
      </c>
      <c r="D268" s="16">
        <v>55673</v>
      </c>
    </row>
    <row r="269" spans="1:4">
      <c r="A269" t="s">
        <v>1924</v>
      </c>
      <c r="B269" t="s">
        <v>1655</v>
      </c>
      <c r="C269" t="s">
        <v>1658</v>
      </c>
      <c r="D269" s="16">
        <v>62881</v>
      </c>
    </row>
    <row r="270" spans="1:4">
      <c r="A270" t="s">
        <v>1925</v>
      </c>
      <c r="B270" t="s">
        <v>1655</v>
      </c>
      <c r="C270" t="s">
        <v>1656</v>
      </c>
      <c r="D270" s="16">
        <v>95455</v>
      </c>
    </row>
    <row r="271" spans="1:4">
      <c r="A271" t="s">
        <v>1926</v>
      </c>
      <c r="B271" t="s">
        <v>1655</v>
      </c>
      <c r="C271" t="s">
        <v>1656</v>
      </c>
      <c r="D271" s="16">
        <v>42221</v>
      </c>
    </row>
    <row r="272" spans="1:4">
      <c r="A272" t="s">
        <v>1927</v>
      </c>
      <c r="B272" t="s">
        <v>1655</v>
      </c>
      <c r="C272" t="s">
        <v>1658</v>
      </c>
      <c r="D272" s="16">
        <v>73463</v>
      </c>
    </row>
    <row r="273" spans="1:4">
      <c r="A273" t="s">
        <v>1928</v>
      </c>
      <c r="B273" t="s">
        <v>1655</v>
      </c>
      <c r="C273" t="s">
        <v>1658</v>
      </c>
      <c r="D273" s="16">
        <v>13333</v>
      </c>
    </row>
    <row r="274" spans="1:4">
      <c r="A274" t="s">
        <v>1929</v>
      </c>
      <c r="B274" t="s">
        <v>1655</v>
      </c>
      <c r="C274" t="s">
        <v>1658</v>
      </c>
      <c r="D274" s="16">
        <v>21059</v>
      </c>
    </row>
    <row r="275" spans="1:4">
      <c r="A275" t="s">
        <v>1930</v>
      </c>
      <c r="B275" t="s">
        <v>1655</v>
      </c>
      <c r="C275" t="s">
        <v>1656</v>
      </c>
      <c r="D275" s="16">
        <v>93801</v>
      </c>
    </row>
    <row r="276" spans="1:4">
      <c r="A276" t="s">
        <v>1931</v>
      </c>
      <c r="B276" t="s">
        <v>1655</v>
      </c>
      <c r="C276" t="s">
        <v>1656</v>
      </c>
      <c r="D276" s="16">
        <v>75988</v>
      </c>
    </row>
    <row r="277" spans="1:4">
      <c r="A277" t="s">
        <v>1932</v>
      </c>
      <c r="B277" t="s">
        <v>1655</v>
      </c>
      <c r="C277" t="s">
        <v>1658</v>
      </c>
      <c r="D277" s="16">
        <v>63769</v>
      </c>
    </row>
    <row r="278" spans="1:4">
      <c r="A278" t="s">
        <v>1933</v>
      </c>
      <c r="B278" t="s">
        <v>1655</v>
      </c>
      <c r="C278" t="s">
        <v>1658</v>
      </c>
      <c r="D278" s="16">
        <v>64291</v>
      </c>
    </row>
    <row r="279" spans="1:4">
      <c r="A279" t="s">
        <v>1934</v>
      </c>
      <c r="B279" t="s">
        <v>1655</v>
      </c>
      <c r="C279" t="s">
        <v>1656</v>
      </c>
      <c r="D279" s="16">
        <v>97984</v>
      </c>
    </row>
    <row r="280" spans="1:4">
      <c r="A280" t="s">
        <v>1935</v>
      </c>
      <c r="B280" t="s">
        <v>1655</v>
      </c>
      <c r="C280" t="s">
        <v>1656</v>
      </c>
      <c r="D280" s="16">
        <v>80617</v>
      </c>
    </row>
    <row r="281" spans="1:4">
      <c r="A281" t="s">
        <v>1936</v>
      </c>
      <c r="B281" t="s">
        <v>1655</v>
      </c>
      <c r="C281" t="s">
        <v>1658</v>
      </c>
      <c r="D281" s="16">
        <v>7829</v>
      </c>
    </row>
    <row r="282" spans="1:4">
      <c r="A282" t="s">
        <v>1937</v>
      </c>
      <c r="B282" t="s">
        <v>1655</v>
      </c>
      <c r="C282" t="s">
        <v>1658</v>
      </c>
      <c r="D282" s="16">
        <v>63974</v>
      </c>
    </row>
    <row r="283" spans="1:4">
      <c r="A283" t="s">
        <v>1938</v>
      </c>
      <c r="B283" t="s">
        <v>1655</v>
      </c>
      <c r="C283" t="s">
        <v>1656</v>
      </c>
      <c r="D283" s="16">
        <v>51927</v>
      </c>
    </row>
    <row r="284" spans="1:4">
      <c r="A284" t="s">
        <v>1939</v>
      </c>
      <c r="B284" t="s">
        <v>1655</v>
      </c>
      <c r="C284" t="s">
        <v>1658</v>
      </c>
      <c r="D284" s="16">
        <v>80980</v>
      </c>
    </row>
    <row r="285" spans="1:4">
      <c r="A285" t="s">
        <v>1940</v>
      </c>
      <c r="B285" t="s">
        <v>1655</v>
      </c>
      <c r="C285" t="s">
        <v>1656</v>
      </c>
      <c r="D285" s="16">
        <v>82276</v>
      </c>
    </row>
    <row r="286" spans="1:4">
      <c r="A286" t="s">
        <v>1941</v>
      </c>
      <c r="B286" t="s">
        <v>1655</v>
      </c>
      <c r="C286" t="s">
        <v>1656</v>
      </c>
      <c r="D286" s="16">
        <v>15793</v>
      </c>
    </row>
    <row r="287" spans="1:4">
      <c r="A287" t="s">
        <v>1942</v>
      </c>
      <c r="B287" t="s">
        <v>1655</v>
      </c>
      <c r="C287" t="s">
        <v>1656</v>
      </c>
      <c r="D287" s="16">
        <v>12647</v>
      </c>
    </row>
    <row r="288" spans="1:4">
      <c r="A288" t="s">
        <v>1943</v>
      </c>
      <c r="B288" t="s">
        <v>1655</v>
      </c>
      <c r="C288" t="s">
        <v>1658</v>
      </c>
      <c r="D288" s="16">
        <v>36369</v>
      </c>
    </row>
    <row r="289" spans="1:4">
      <c r="A289" t="s">
        <v>1944</v>
      </c>
      <c r="B289" t="s">
        <v>1655</v>
      </c>
      <c r="C289" t="s">
        <v>1656</v>
      </c>
      <c r="D289" s="16">
        <v>42489</v>
      </c>
    </row>
    <row r="290" spans="1:4">
      <c r="A290" t="s">
        <v>1945</v>
      </c>
      <c r="B290" t="s">
        <v>1655</v>
      </c>
      <c r="C290" t="s">
        <v>1656</v>
      </c>
      <c r="D290" s="16">
        <v>34577</v>
      </c>
    </row>
    <row r="291" spans="1:4">
      <c r="A291" t="s">
        <v>1946</v>
      </c>
      <c r="B291" t="s">
        <v>1655</v>
      </c>
      <c r="C291" t="s">
        <v>1658</v>
      </c>
      <c r="D291" s="16">
        <v>90094</v>
      </c>
    </row>
    <row r="292" spans="1:4">
      <c r="A292" t="s">
        <v>1947</v>
      </c>
      <c r="B292" t="s">
        <v>1655</v>
      </c>
      <c r="C292" t="s">
        <v>1658</v>
      </c>
      <c r="D292" s="16">
        <v>6326</v>
      </c>
    </row>
    <row r="293" spans="1:4">
      <c r="A293" t="s">
        <v>1948</v>
      </c>
      <c r="B293" t="s">
        <v>1655</v>
      </c>
      <c r="C293" t="s">
        <v>1658</v>
      </c>
      <c r="D293" s="16">
        <v>74269</v>
      </c>
    </row>
    <row r="294" spans="1:4">
      <c r="A294" t="s">
        <v>1949</v>
      </c>
      <c r="B294" t="s">
        <v>1655</v>
      </c>
      <c r="C294" t="s">
        <v>1656</v>
      </c>
      <c r="D294" s="16">
        <v>31516</v>
      </c>
    </row>
    <row r="295" spans="1:4">
      <c r="A295" t="s">
        <v>1950</v>
      </c>
      <c r="B295" t="s">
        <v>1655</v>
      </c>
      <c r="C295" t="s">
        <v>1658</v>
      </c>
      <c r="D295" s="16">
        <v>66038</v>
      </c>
    </row>
    <row r="296" spans="1:4">
      <c r="A296" t="s">
        <v>1951</v>
      </c>
      <c r="B296" t="s">
        <v>1655</v>
      </c>
      <c r="C296" t="s">
        <v>1658</v>
      </c>
      <c r="D296" s="16">
        <v>12692</v>
      </c>
    </row>
    <row r="297" spans="1:4">
      <c r="A297" t="s">
        <v>1952</v>
      </c>
      <c r="B297" t="s">
        <v>1655</v>
      </c>
      <c r="C297" t="s">
        <v>1658</v>
      </c>
      <c r="D297" s="16">
        <v>28402</v>
      </c>
    </row>
    <row r="298" spans="1:4">
      <c r="A298" t="s">
        <v>1953</v>
      </c>
      <c r="B298" t="s">
        <v>1655</v>
      </c>
      <c r="C298" t="s">
        <v>1656</v>
      </c>
      <c r="D298" s="16">
        <v>86474</v>
      </c>
    </row>
    <row r="299" spans="1:4">
      <c r="A299" t="s">
        <v>1954</v>
      </c>
      <c r="B299" t="s">
        <v>1655</v>
      </c>
      <c r="C299" t="s">
        <v>1656</v>
      </c>
      <c r="D299" s="16">
        <v>20374</v>
      </c>
    </row>
    <row r="300" spans="1:4">
      <c r="A300" t="s">
        <v>1955</v>
      </c>
      <c r="B300" t="s">
        <v>1655</v>
      </c>
      <c r="C300" t="s">
        <v>1656</v>
      </c>
      <c r="D300" s="16">
        <v>24450</v>
      </c>
    </row>
    <row r="301" spans="1:4">
      <c r="A301" t="s">
        <v>1956</v>
      </c>
      <c r="B301" t="s">
        <v>1655</v>
      </c>
      <c r="C301" t="s">
        <v>1656</v>
      </c>
      <c r="D301" s="16">
        <v>59637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0"/>
  <sheetViews>
    <sheetView workbookViewId="0">
      <selection activeCell="J3" sqref="J3"/>
    </sheetView>
  </sheetViews>
  <sheetFormatPr defaultColWidth="9" defaultRowHeight="14.5"/>
  <cols>
    <col min="1" max="1" width="9.7265625" customWidth="1"/>
    <col min="2" max="2" width="10.81640625" customWidth="1"/>
    <col min="3" max="3" width="6" customWidth="1"/>
    <col min="4" max="4" width="12.81640625" style="1" customWidth="1"/>
    <col min="9" max="9" width="10.81640625" customWidth="1"/>
    <col min="10" max="10" width="15.36328125" style="1" bestFit="1" customWidth="1"/>
  </cols>
  <sheetData>
    <row r="1" spans="1:10">
      <c r="A1" s="2" t="s">
        <v>1957</v>
      </c>
      <c r="B1" s="2" t="s">
        <v>1958</v>
      </c>
      <c r="C1" s="2" t="s">
        <v>1959</v>
      </c>
      <c r="D1" s="3" t="s">
        <v>1960</v>
      </c>
      <c r="I1" s="2" t="s">
        <v>1958</v>
      </c>
      <c r="J1" s="3" t="s">
        <v>1960</v>
      </c>
    </row>
    <row r="2" spans="1:10">
      <c r="A2" t="s">
        <v>1961</v>
      </c>
      <c r="B2" s="17" t="s">
        <v>1962</v>
      </c>
      <c r="C2">
        <v>25</v>
      </c>
      <c r="D2" s="1">
        <v>3086</v>
      </c>
      <c r="I2" t="s">
        <v>1962</v>
      </c>
      <c r="J2" s="1">
        <f>SUMIF(Tabela4[Categoria],I2,Tabela4[Preço Custo])</f>
        <v>963171</v>
      </c>
    </row>
    <row r="3" spans="1:10">
      <c r="A3" t="s">
        <v>1963</v>
      </c>
      <c r="B3" t="s">
        <v>1964</v>
      </c>
      <c r="C3">
        <v>40</v>
      </c>
      <c r="D3" s="1">
        <v>2290</v>
      </c>
      <c r="I3" t="s">
        <v>1964</v>
      </c>
      <c r="J3" s="1">
        <f>SUMIF(Tabela4[Categoria],I3,Tabela4[Preço Custo])</f>
        <v>839171</v>
      </c>
    </row>
    <row r="4" spans="1:10">
      <c r="A4" t="s">
        <v>1965</v>
      </c>
      <c r="B4" t="s">
        <v>1964</v>
      </c>
      <c r="C4">
        <v>9</v>
      </c>
      <c r="D4" s="1">
        <v>8198</v>
      </c>
      <c r="I4" s="4" t="s">
        <v>1958</v>
      </c>
      <c r="J4" s="1">
        <f>SUMIF(Tabela4[Categoria],I4,Tabela4[Preço Custo])</f>
        <v>0</v>
      </c>
    </row>
    <row r="5" spans="1:10">
      <c r="A5" t="s">
        <v>1966</v>
      </c>
      <c r="B5" t="s">
        <v>1962</v>
      </c>
      <c r="C5">
        <v>28</v>
      </c>
      <c r="D5" s="1">
        <v>7548</v>
      </c>
      <c r="J5"/>
    </row>
    <row r="6" spans="1:10">
      <c r="A6" t="s">
        <v>1967</v>
      </c>
      <c r="B6" t="s">
        <v>1962</v>
      </c>
      <c r="C6">
        <v>10</v>
      </c>
      <c r="D6" s="1">
        <v>5974</v>
      </c>
      <c r="J6"/>
    </row>
    <row r="7" spans="1:10">
      <c r="A7" t="s">
        <v>1968</v>
      </c>
      <c r="B7" t="s">
        <v>1964</v>
      </c>
      <c r="C7">
        <v>16</v>
      </c>
      <c r="D7" s="1">
        <v>3435</v>
      </c>
      <c r="J7"/>
    </row>
    <row r="8" spans="1:10">
      <c r="A8" t="s">
        <v>1969</v>
      </c>
      <c r="B8" t="s">
        <v>1964</v>
      </c>
      <c r="C8">
        <v>22</v>
      </c>
      <c r="D8" s="1">
        <v>9644</v>
      </c>
      <c r="J8"/>
    </row>
    <row r="9" spans="1:10">
      <c r="A9" t="s">
        <v>1970</v>
      </c>
      <c r="B9" t="s">
        <v>1962</v>
      </c>
      <c r="C9">
        <v>37</v>
      </c>
      <c r="D9" s="1">
        <v>3922</v>
      </c>
      <c r="J9"/>
    </row>
    <row r="10" spans="1:10">
      <c r="A10" t="s">
        <v>1971</v>
      </c>
      <c r="B10" t="s">
        <v>1964</v>
      </c>
      <c r="C10">
        <v>20</v>
      </c>
      <c r="D10" s="1">
        <v>7238</v>
      </c>
      <c r="I10" s="14"/>
      <c r="J10" s="14"/>
    </row>
    <row r="11" spans="1:10">
      <c r="A11" t="s">
        <v>1972</v>
      </c>
      <c r="B11" t="s">
        <v>1964</v>
      </c>
      <c r="C11">
        <v>17</v>
      </c>
      <c r="D11" s="1">
        <v>8781</v>
      </c>
      <c r="I11" s="14"/>
      <c r="J11" s="16"/>
    </row>
    <row r="12" spans="1:10">
      <c r="A12" t="s">
        <v>1973</v>
      </c>
      <c r="B12" t="s">
        <v>1962</v>
      </c>
      <c r="C12">
        <v>15</v>
      </c>
      <c r="D12" s="1">
        <v>8168</v>
      </c>
      <c r="I12" s="14"/>
      <c r="J12" s="16"/>
    </row>
    <row r="13" spans="1:10">
      <c r="A13" t="s">
        <v>1974</v>
      </c>
      <c r="B13" t="s">
        <v>1964</v>
      </c>
      <c r="C13">
        <v>37</v>
      </c>
      <c r="D13" s="1">
        <v>6635</v>
      </c>
      <c r="I13" s="14"/>
      <c r="J13" s="16"/>
    </row>
    <row r="14" spans="1:10">
      <c r="A14" t="s">
        <v>1975</v>
      </c>
      <c r="B14" t="s">
        <v>1962</v>
      </c>
      <c r="C14">
        <v>20</v>
      </c>
      <c r="D14" s="1">
        <v>5457</v>
      </c>
      <c r="J14"/>
    </row>
    <row r="15" spans="1:10">
      <c r="A15" t="s">
        <v>1976</v>
      </c>
      <c r="B15" t="s">
        <v>1964</v>
      </c>
      <c r="C15">
        <v>14</v>
      </c>
      <c r="D15" s="1">
        <v>4574</v>
      </c>
      <c r="J15"/>
    </row>
    <row r="16" spans="1:10">
      <c r="A16" t="s">
        <v>1977</v>
      </c>
      <c r="B16" t="s">
        <v>1962</v>
      </c>
      <c r="C16">
        <v>33</v>
      </c>
      <c r="D16" s="1">
        <v>8143</v>
      </c>
      <c r="J16"/>
    </row>
    <row r="17" spans="1:10">
      <c r="A17" t="s">
        <v>1978</v>
      </c>
      <c r="B17" t="s">
        <v>1964</v>
      </c>
      <c r="C17">
        <v>20</v>
      </c>
      <c r="D17" s="1">
        <v>7694</v>
      </c>
      <c r="J17"/>
    </row>
    <row r="18" spans="1:10">
      <c r="A18" t="s">
        <v>1979</v>
      </c>
      <c r="B18" t="s">
        <v>1964</v>
      </c>
      <c r="C18">
        <v>49</v>
      </c>
      <c r="D18" s="1">
        <v>7514</v>
      </c>
      <c r="J18"/>
    </row>
    <row r="19" spans="1:10">
      <c r="A19" t="s">
        <v>1980</v>
      </c>
      <c r="B19" t="s">
        <v>1962</v>
      </c>
      <c r="C19">
        <v>42</v>
      </c>
      <c r="D19" s="1">
        <v>6133</v>
      </c>
      <c r="J19"/>
    </row>
    <row r="20" spans="1:10">
      <c r="A20" t="s">
        <v>1981</v>
      </c>
      <c r="B20" t="s">
        <v>1964</v>
      </c>
      <c r="C20">
        <v>11</v>
      </c>
      <c r="D20" s="1">
        <v>6333</v>
      </c>
      <c r="J20"/>
    </row>
    <row r="21" spans="1:10">
      <c r="A21" t="s">
        <v>1982</v>
      </c>
      <c r="B21" t="s">
        <v>1962</v>
      </c>
      <c r="C21">
        <v>26</v>
      </c>
      <c r="D21" s="1">
        <v>5389</v>
      </c>
      <c r="J21"/>
    </row>
    <row r="22" spans="1:10">
      <c r="A22" t="s">
        <v>1983</v>
      </c>
      <c r="B22" t="s">
        <v>1962</v>
      </c>
      <c r="C22">
        <v>5</v>
      </c>
      <c r="D22" s="1">
        <v>9009</v>
      </c>
      <c r="J22"/>
    </row>
    <row r="23" spans="1:10">
      <c r="A23" t="s">
        <v>1984</v>
      </c>
      <c r="B23" t="s">
        <v>1964</v>
      </c>
      <c r="C23">
        <v>46</v>
      </c>
      <c r="D23" s="1">
        <v>3728</v>
      </c>
      <c r="J23"/>
    </row>
    <row r="24" spans="1:10">
      <c r="A24" t="s">
        <v>1985</v>
      </c>
      <c r="B24" t="s">
        <v>1962</v>
      </c>
      <c r="C24">
        <v>8</v>
      </c>
      <c r="D24" s="1">
        <v>6218</v>
      </c>
      <c r="J24"/>
    </row>
    <row r="25" spans="1:10">
      <c r="A25" t="s">
        <v>1986</v>
      </c>
      <c r="B25" t="s">
        <v>1962</v>
      </c>
      <c r="C25">
        <v>35</v>
      </c>
      <c r="D25" s="1">
        <v>8213</v>
      </c>
      <c r="J25"/>
    </row>
    <row r="26" spans="1:10">
      <c r="A26" t="s">
        <v>1987</v>
      </c>
      <c r="B26" t="s">
        <v>1962</v>
      </c>
      <c r="C26">
        <v>25</v>
      </c>
      <c r="D26" s="1">
        <v>5842</v>
      </c>
      <c r="J26"/>
    </row>
    <row r="27" spans="1:10">
      <c r="A27" t="s">
        <v>1988</v>
      </c>
      <c r="B27" t="s">
        <v>1962</v>
      </c>
      <c r="C27">
        <v>7</v>
      </c>
      <c r="D27" s="1">
        <v>9412</v>
      </c>
      <c r="J27"/>
    </row>
    <row r="28" spans="1:10">
      <c r="A28" t="s">
        <v>1989</v>
      </c>
      <c r="B28" t="s">
        <v>1964</v>
      </c>
      <c r="C28">
        <v>23</v>
      </c>
      <c r="D28" s="1">
        <v>9636</v>
      </c>
      <c r="J28"/>
    </row>
    <row r="29" spans="1:10">
      <c r="A29" t="s">
        <v>1990</v>
      </c>
      <c r="B29" t="s">
        <v>1964</v>
      </c>
      <c r="C29">
        <v>5</v>
      </c>
      <c r="D29" s="1">
        <v>2754</v>
      </c>
      <c r="J29"/>
    </row>
    <row r="30" spans="1:10">
      <c r="A30" t="s">
        <v>1991</v>
      </c>
      <c r="B30" t="s">
        <v>1964</v>
      </c>
      <c r="C30">
        <v>40</v>
      </c>
      <c r="D30" s="1">
        <v>5719</v>
      </c>
      <c r="J30"/>
    </row>
    <row r="31" spans="1:10">
      <c r="A31" t="s">
        <v>1992</v>
      </c>
      <c r="B31" t="s">
        <v>1962</v>
      </c>
      <c r="C31">
        <v>34</v>
      </c>
      <c r="D31" s="1">
        <v>8167</v>
      </c>
      <c r="J31"/>
    </row>
    <row r="32" spans="1:10">
      <c r="A32" t="s">
        <v>1993</v>
      </c>
      <c r="B32" t="s">
        <v>1962</v>
      </c>
      <c r="C32">
        <v>5</v>
      </c>
      <c r="D32" s="1">
        <v>5169</v>
      </c>
      <c r="J32"/>
    </row>
    <row r="33" spans="1:10">
      <c r="A33" t="s">
        <v>1994</v>
      </c>
      <c r="B33" t="s">
        <v>1964</v>
      </c>
      <c r="C33">
        <v>19</v>
      </c>
      <c r="D33" s="1">
        <v>2235</v>
      </c>
      <c r="J33"/>
    </row>
    <row r="34" spans="1:10">
      <c r="A34" t="s">
        <v>1995</v>
      </c>
      <c r="B34" t="s">
        <v>1962</v>
      </c>
      <c r="C34">
        <v>40</v>
      </c>
      <c r="D34" s="1">
        <v>9409</v>
      </c>
      <c r="J34"/>
    </row>
    <row r="35" spans="1:10">
      <c r="A35" t="s">
        <v>1996</v>
      </c>
      <c r="B35" t="s">
        <v>1962</v>
      </c>
      <c r="C35">
        <v>5</v>
      </c>
      <c r="D35" s="1">
        <v>3827</v>
      </c>
      <c r="J35"/>
    </row>
    <row r="36" spans="1:10">
      <c r="A36" t="s">
        <v>1997</v>
      </c>
      <c r="B36" t="s">
        <v>1964</v>
      </c>
      <c r="C36">
        <v>23</v>
      </c>
      <c r="D36" s="1">
        <v>7367</v>
      </c>
      <c r="J36"/>
    </row>
    <row r="37" spans="1:10">
      <c r="A37" t="s">
        <v>1998</v>
      </c>
      <c r="B37" t="s">
        <v>1962</v>
      </c>
      <c r="C37">
        <v>49</v>
      </c>
      <c r="D37" s="1">
        <v>8538</v>
      </c>
      <c r="J37"/>
    </row>
    <row r="38" spans="1:10">
      <c r="A38" t="s">
        <v>1999</v>
      </c>
      <c r="B38" t="s">
        <v>1964</v>
      </c>
      <c r="C38">
        <v>39</v>
      </c>
      <c r="D38" s="1">
        <v>9025</v>
      </c>
      <c r="J38"/>
    </row>
    <row r="39" spans="1:10">
      <c r="A39" t="s">
        <v>2000</v>
      </c>
      <c r="B39" t="s">
        <v>1962</v>
      </c>
      <c r="C39">
        <v>30</v>
      </c>
      <c r="D39" s="1">
        <v>6669</v>
      </c>
      <c r="J39"/>
    </row>
    <row r="40" spans="1:10">
      <c r="A40" t="s">
        <v>2001</v>
      </c>
      <c r="B40" t="s">
        <v>1964</v>
      </c>
      <c r="C40">
        <v>36</v>
      </c>
      <c r="D40" s="1">
        <v>9300</v>
      </c>
      <c r="J40"/>
    </row>
    <row r="41" spans="1:10">
      <c r="A41" t="s">
        <v>2002</v>
      </c>
      <c r="B41" t="s">
        <v>1962</v>
      </c>
      <c r="C41">
        <v>16</v>
      </c>
      <c r="D41" s="1">
        <v>9795</v>
      </c>
      <c r="J41"/>
    </row>
    <row r="42" spans="1:10">
      <c r="A42" t="s">
        <v>2003</v>
      </c>
      <c r="B42" t="s">
        <v>1962</v>
      </c>
      <c r="C42">
        <v>28</v>
      </c>
      <c r="D42" s="1">
        <v>9745</v>
      </c>
      <c r="J42"/>
    </row>
    <row r="43" spans="1:10">
      <c r="A43" t="s">
        <v>2004</v>
      </c>
      <c r="B43" t="s">
        <v>1964</v>
      </c>
      <c r="C43">
        <v>23</v>
      </c>
      <c r="D43" s="1">
        <v>9995</v>
      </c>
      <c r="J43"/>
    </row>
    <row r="44" spans="1:10">
      <c r="A44" t="s">
        <v>2005</v>
      </c>
      <c r="B44" t="s">
        <v>1964</v>
      </c>
      <c r="C44">
        <v>43</v>
      </c>
      <c r="D44" s="1">
        <v>7123</v>
      </c>
      <c r="J44"/>
    </row>
    <row r="45" spans="1:10">
      <c r="A45" t="s">
        <v>2006</v>
      </c>
      <c r="B45" t="s">
        <v>1962</v>
      </c>
      <c r="C45">
        <v>6</v>
      </c>
      <c r="D45" s="1">
        <v>8087</v>
      </c>
      <c r="J45"/>
    </row>
    <row r="46" spans="1:10">
      <c r="A46" t="s">
        <v>2007</v>
      </c>
      <c r="B46" t="s">
        <v>1964</v>
      </c>
      <c r="C46">
        <v>25</v>
      </c>
      <c r="D46" s="1">
        <v>8736</v>
      </c>
      <c r="J46"/>
    </row>
    <row r="47" spans="1:10">
      <c r="A47" t="s">
        <v>2008</v>
      </c>
      <c r="B47" t="s">
        <v>1962</v>
      </c>
      <c r="C47">
        <v>31</v>
      </c>
      <c r="D47" s="1">
        <v>7317</v>
      </c>
      <c r="J47"/>
    </row>
    <row r="48" spans="1:10">
      <c r="A48" t="s">
        <v>2009</v>
      </c>
      <c r="B48" t="s">
        <v>1962</v>
      </c>
      <c r="C48">
        <v>43</v>
      </c>
      <c r="D48" s="1">
        <v>9884</v>
      </c>
      <c r="J48"/>
    </row>
    <row r="49" spans="1:10">
      <c r="A49" t="s">
        <v>2010</v>
      </c>
      <c r="B49" t="s">
        <v>1962</v>
      </c>
      <c r="C49">
        <v>27</v>
      </c>
      <c r="D49" s="1">
        <v>5334</v>
      </c>
      <c r="J49"/>
    </row>
    <row r="50" spans="1:10">
      <c r="A50" t="s">
        <v>2011</v>
      </c>
      <c r="B50" t="s">
        <v>1962</v>
      </c>
      <c r="C50">
        <v>36</v>
      </c>
      <c r="D50" s="1">
        <v>4551</v>
      </c>
      <c r="J50"/>
    </row>
    <row r="51" spans="1:10">
      <c r="A51" t="s">
        <v>2012</v>
      </c>
      <c r="B51" t="s">
        <v>1962</v>
      </c>
      <c r="C51">
        <v>44</v>
      </c>
      <c r="D51" s="1">
        <v>6931</v>
      </c>
      <c r="J51"/>
    </row>
    <row r="52" spans="1:10">
      <c r="A52" t="s">
        <v>2013</v>
      </c>
      <c r="B52" t="s">
        <v>1964</v>
      </c>
      <c r="C52">
        <v>29</v>
      </c>
      <c r="D52" s="1">
        <v>4965</v>
      </c>
      <c r="J52"/>
    </row>
    <row r="53" spans="1:10">
      <c r="A53" t="s">
        <v>2014</v>
      </c>
      <c r="B53" t="s">
        <v>1962</v>
      </c>
      <c r="C53">
        <v>36</v>
      </c>
      <c r="D53" s="1">
        <v>6491</v>
      </c>
      <c r="J53"/>
    </row>
    <row r="54" spans="1:10">
      <c r="A54" t="s">
        <v>2015</v>
      </c>
      <c r="B54" t="s">
        <v>1964</v>
      </c>
      <c r="C54">
        <v>9</v>
      </c>
      <c r="D54" s="1">
        <v>8746</v>
      </c>
      <c r="J54"/>
    </row>
    <row r="55" spans="1:10">
      <c r="A55" t="s">
        <v>2016</v>
      </c>
      <c r="B55" t="s">
        <v>1962</v>
      </c>
      <c r="C55">
        <v>42</v>
      </c>
      <c r="D55" s="1">
        <v>7155</v>
      </c>
      <c r="J55"/>
    </row>
    <row r="56" spans="1:10">
      <c r="A56" t="s">
        <v>2017</v>
      </c>
      <c r="B56" t="s">
        <v>1962</v>
      </c>
      <c r="C56">
        <v>48</v>
      </c>
      <c r="D56" s="1">
        <v>2082</v>
      </c>
      <c r="J56"/>
    </row>
    <row r="57" spans="1:10">
      <c r="A57" t="s">
        <v>2018</v>
      </c>
      <c r="B57" t="s">
        <v>1962</v>
      </c>
      <c r="C57">
        <v>44</v>
      </c>
      <c r="D57" s="1">
        <v>9213</v>
      </c>
      <c r="J57"/>
    </row>
    <row r="58" spans="1:10">
      <c r="A58" t="s">
        <v>2019</v>
      </c>
      <c r="B58" t="s">
        <v>1964</v>
      </c>
      <c r="C58">
        <v>43</v>
      </c>
      <c r="D58" s="1">
        <v>4736</v>
      </c>
      <c r="J58"/>
    </row>
    <row r="59" spans="1:10">
      <c r="A59" t="s">
        <v>2020</v>
      </c>
      <c r="B59" t="s">
        <v>1962</v>
      </c>
      <c r="C59">
        <v>15</v>
      </c>
      <c r="D59" s="1">
        <v>7966</v>
      </c>
      <c r="J59"/>
    </row>
    <row r="60" spans="1:10">
      <c r="A60" t="s">
        <v>2021</v>
      </c>
      <c r="B60" t="s">
        <v>1962</v>
      </c>
      <c r="C60">
        <v>34</v>
      </c>
      <c r="D60" s="1">
        <v>6780</v>
      </c>
      <c r="J60"/>
    </row>
    <row r="61" spans="1:10">
      <c r="A61" t="s">
        <v>2022</v>
      </c>
      <c r="B61" t="s">
        <v>1962</v>
      </c>
      <c r="C61">
        <v>8</v>
      </c>
      <c r="D61" s="1">
        <v>6967</v>
      </c>
      <c r="J61"/>
    </row>
    <row r="62" spans="1:10">
      <c r="A62" t="s">
        <v>2023</v>
      </c>
      <c r="B62" t="s">
        <v>1964</v>
      </c>
      <c r="C62">
        <v>34</v>
      </c>
      <c r="D62" s="1">
        <v>8602</v>
      </c>
      <c r="J62"/>
    </row>
    <row r="63" spans="1:10">
      <c r="A63" t="s">
        <v>2024</v>
      </c>
      <c r="B63" t="s">
        <v>1962</v>
      </c>
      <c r="C63">
        <v>27</v>
      </c>
      <c r="D63" s="1">
        <v>6449</v>
      </c>
      <c r="J63"/>
    </row>
    <row r="64" spans="1:10">
      <c r="A64" t="s">
        <v>2025</v>
      </c>
      <c r="B64" t="s">
        <v>1962</v>
      </c>
      <c r="C64">
        <v>23</v>
      </c>
      <c r="D64" s="1">
        <v>4171</v>
      </c>
      <c r="J64"/>
    </row>
    <row r="65" spans="1:10">
      <c r="A65" t="s">
        <v>2026</v>
      </c>
      <c r="B65" t="s">
        <v>1964</v>
      </c>
      <c r="C65">
        <v>28</v>
      </c>
      <c r="D65" s="1">
        <v>3785</v>
      </c>
      <c r="J65"/>
    </row>
    <row r="66" spans="1:10">
      <c r="A66" t="s">
        <v>2027</v>
      </c>
      <c r="B66" t="s">
        <v>1964</v>
      </c>
      <c r="C66">
        <v>40</v>
      </c>
      <c r="D66" s="1">
        <v>2600</v>
      </c>
      <c r="J66"/>
    </row>
    <row r="67" spans="1:10">
      <c r="A67" t="s">
        <v>2028</v>
      </c>
      <c r="B67" t="s">
        <v>1964</v>
      </c>
      <c r="C67">
        <v>19</v>
      </c>
      <c r="D67" s="1">
        <v>5732</v>
      </c>
      <c r="J67"/>
    </row>
    <row r="68" spans="1:10">
      <c r="A68" t="s">
        <v>2029</v>
      </c>
      <c r="B68" t="s">
        <v>1962</v>
      </c>
      <c r="C68">
        <v>9</v>
      </c>
      <c r="D68" s="1">
        <v>9530</v>
      </c>
      <c r="J68"/>
    </row>
    <row r="69" spans="1:10">
      <c r="A69" t="s">
        <v>2030</v>
      </c>
      <c r="B69" t="s">
        <v>1964</v>
      </c>
      <c r="C69">
        <v>40</v>
      </c>
      <c r="D69" s="1">
        <v>3230</v>
      </c>
      <c r="J69"/>
    </row>
    <row r="70" spans="1:10">
      <c r="A70" t="s">
        <v>2031</v>
      </c>
      <c r="B70" t="s">
        <v>1964</v>
      </c>
      <c r="C70">
        <v>33</v>
      </c>
      <c r="D70" s="1">
        <v>6206</v>
      </c>
      <c r="J70"/>
    </row>
    <row r="71" spans="1:10">
      <c r="A71" t="s">
        <v>2032</v>
      </c>
      <c r="B71" t="s">
        <v>1962</v>
      </c>
      <c r="C71">
        <v>32</v>
      </c>
      <c r="D71" s="1">
        <v>9763</v>
      </c>
      <c r="J71"/>
    </row>
    <row r="72" spans="1:10">
      <c r="A72" t="s">
        <v>2033</v>
      </c>
      <c r="B72" t="s">
        <v>1962</v>
      </c>
      <c r="C72">
        <v>34</v>
      </c>
      <c r="D72" s="1">
        <v>7074</v>
      </c>
      <c r="J72"/>
    </row>
    <row r="73" spans="1:10">
      <c r="A73" t="s">
        <v>2034</v>
      </c>
      <c r="B73" t="s">
        <v>1962</v>
      </c>
      <c r="C73">
        <v>20</v>
      </c>
      <c r="D73" s="1">
        <v>4069</v>
      </c>
      <c r="J73"/>
    </row>
    <row r="74" spans="1:10">
      <c r="A74" t="s">
        <v>2035</v>
      </c>
      <c r="B74" t="s">
        <v>1964</v>
      </c>
      <c r="C74">
        <v>5</v>
      </c>
      <c r="D74" s="1">
        <v>3878</v>
      </c>
      <c r="J74"/>
    </row>
    <row r="75" spans="1:10">
      <c r="A75" t="s">
        <v>2036</v>
      </c>
      <c r="B75" t="s">
        <v>1962</v>
      </c>
      <c r="C75">
        <v>9</v>
      </c>
      <c r="D75" s="1">
        <v>3756</v>
      </c>
      <c r="J75"/>
    </row>
    <row r="76" spans="1:10">
      <c r="A76" t="s">
        <v>2037</v>
      </c>
      <c r="B76" t="s">
        <v>1962</v>
      </c>
      <c r="C76">
        <v>49</v>
      </c>
      <c r="D76" s="1">
        <v>4181</v>
      </c>
      <c r="J76"/>
    </row>
    <row r="77" spans="1:10">
      <c r="A77" t="s">
        <v>2038</v>
      </c>
      <c r="B77" t="s">
        <v>1964</v>
      </c>
      <c r="C77">
        <v>8</v>
      </c>
      <c r="D77" s="1">
        <v>6547</v>
      </c>
      <c r="J77"/>
    </row>
    <row r="78" spans="1:10">
      <c r="A78" t="s">
        <v>2039</v>
      </c>
      <c r="B78" t="s">
        <v>1962</v>
      </c>
      <c r="C78">
        <v>14</v>
      </c>
      <c r="D78" s="1">
        <v>5804</v>
      </c>
      <c r="J78"/>
    </row>
    <row r="79" spans="1:10">
      <c r="A79" t="s">
        <v>2040</v>
      </c>
      <c r="B79" t="s">
        <v>1964</v>
      </c>
      <c r="C79">
        <v>41</v>
      </c>
      <c r="D79" s="1">
        <v>7959</v>
      </c>
      <c r="J79"/>
    </row>
    <row r="80" spans="1:10">
      <c r="A80" t="s">
        <v>2041</v>
      </c>
      <c r="B80" t="s">
        <v>1964</v>
      </c>
      <c r="C80">
        <v>39</v>
      </c>
      <c r="D80" s="1">
        <v>8644</v>
      </c>
      <c r="J80"/>
    </row>
    <row r="81" spans="1:10">
      <c r="A81" t="s">
        <v>2042</v>
      </c>
      <c r="B81" t="s">
        <v>1962</v>
      </c>
      <c r="C81">
        <v>6</v>
      </c>
      <c r="D81" s="1">
        <v>9643</v>
      </c>
      <c r="J81"/>
    </row>
    <row r="82" spans="1:10">
      <c r="A82" t="s">
        <v>2043</v>
      </c>
      <c r="B82" t="s">
        <v>1962</v>
      </c>
      <c r="C82">
        <v>38</v>
      </c>
      <c r="D82" s="1">
        <v>8813</v>
      </c>
      <c r="J82"/>
    </row>
    <row r="83" spans="1:10">
      <c r="A83" t="s">
        <v>2044</v>
      </c>
      <c r="B83" t="s">
        <v>1962</v>
      </c>
      <c r="C83">
        <v>22</v>
      </c>
      <c r="D83" s="1">
        <v>3336</v>
      </c>
      <c r="J83"/>
    </row>
    <row r="84" spans="1:10">
      <c r="A84" t="s">
        <v>2045</v>
      </c>
      <c r="B84" t="s">
        <v>1962</v>
      </c>
      <c r="C84">
        <v>33</v>
      </c>
      <c r="D84" s="1">
        <v>4168</v>
      </c>
      <c r="J84"/>
    </row>
    <row r="85" spans="1:10">
      <c r="A85" t="s">
        <v>2046</v>
      </c>
      <c r="B85" t="s">
        <v>1962</v>
      </c>
      <c r="C85">
        <v>6</v>
      </c>
      <c r="D85" s="1">
        <v>2790</v>
      </c>
      <c r="J85"/>
    </row>
    <row r="86" spans="1:10">
      <c r="A86" t="s">
        <v>2047</v>
      </c>
      <c r="B86" t="s">
        <v>1964</v>
      </c>
      <c r="C86">
        <v>28</v>
      </c>
      <c r="D86" s="1">
        <v>9290</v>
      </c>
      <c r="J86"/>
    </row>
    <row r="87" spans="1:10">
      <c r="A87" t="s">
        <v>2048</v>
      </c>
      <c r="B87" t="s">
        <v>1964</v>
      </c>
      <c r="C87">
        <v>45</v>
      </c>
      <c r="D87" s="1">
        <v>2052</v>
      </c>
      <c r="J87"/>
    </row>
    <row r="88" spans="1:10">
      <c r="A88" t="s">
        <v>2049</v>
      </c>
      <c r="B88" t="s">
        <v>1964</v>
      </c>
      <c r="C88">
        <v>44</v>
      </c>
      <c r="D88" s="1">
        <v>8734</v>
      </c>
      <c r="J88"/>
    </row>
    <row r="89" spans="1:10">
      <c r="A89" t="s">
        <v>2050</v>
      </c>
      <c r="B89" t="s">
        <v>1962</v>
      </c>
      <c r="C89">
        <v>19</v>
      </c>
      <c r="D89" s="1">
        <v>2547</v>
      </c>
      <c r="J89"/>
    </row>
    <row r="90" spans="1:10">
      <c r="A90" t="s">
        <v>2051</v>
      </c>
      <c r="B90" t="s">
        <v>1964</v>
      </c>
      <c r="C90">
        <v>35</v>
      </c>
      <c r="D90" s="1">
        <v>2096</v>
      </c>
      <c r="J90"/>
    </row>
    <row r="91" spans="1:10">
      <c r="A91" t="s">
        <v>2052</v>
      </c>
      <c r="B91" t="s">
        <v>1962</v>
      </c>
      <c r="C91">
        <v>36</v>
      </c>
      <c r="D91" s="1">
        <v>2144</v>
      </c>
      <c r="J91"/>
    </row>
    <row r="92" spans="1:10">
      <c r="A92" t="s">
        <v>2053</v>
      </c>
      <c r="B92" t="s">
        <v>1964</v>
      </c>
      <c r="C92">
        <v>7</v>
      </c>
      <c r="D92" s="1">
        <v>3728</v>
      </c>
      <c r="J92"/>
    </row>
    <row r="93" spans="1:10">
      <c r="A93" t="s">
        <v>2054</v>
      </c>
      <c r="B93" t="s">
        <v>1962</v>
      </c>
      <c r="C93">
        <v>41</v>
      </c>
      <c r="D93" s="1">
        <v>6956</v>
      </c>
      <c r="J93"/>
    </row>
    <row r="94" spans="1:10">
      <c r="A94" t="s">
        <v>2055</v>
      </c>
      <c r="B94" t="s">
        <v>1962</v>
      </c>
      <c r="C94">
        <v>50</v>
      </c>
      <c r="D94" s="1">
        <v>9717</v>
      </c>
      <c r="J94"/>
    </row>
    <row r="95" spans="1:10">
      <c r="A95" t="s">
        <v>2056</v>
      </c>
      <c r="B95" t="s">
        <v>1962</v>
      </c>
      <c r="C95">
        <v>43</v>
      </c>
      <c r="D95" s="1">
        <v>8778</v>
      </c>
      <c r="J95"/>
    </row>
    <row r="96" spans="1:10">
      <c r="A96" t="s">
        <v>2057</v>
      </c>
      <c r="B96" t="s">
        <v>1962</v>
      </c>
      <c r="C96">
        <v>27</v>
      </c>
      <c r="D96" s="1">
        <v>6593</v>
      </c>
      <c r="J96"/>
    </row>
    <row r="97" spans="1:10">
      <c r="A97" t="s">
        <v>2058</v>
      </c>
      <c r="B97" t="s">
        <v>1962</v>
      </c>
      <c r="C97">
        <v>28</v>
      </c>
      <c r="D97" s="1">
        <v>6178</v>
      </c>
      <c r="J97"/>
    </row>
    <row r="98" spans="1:10">
      <c r="A98" t="s">
        <v>2059</v>
      </c>
      <c r="B98" t="s">
        <v>1962</v>
      </c>
      <c r="C98">
        <v>7</v>
      </c>
      <c r="D98" s="1">
        <v>7911</v>
      </c>
      <c r="J98"/>
    </row>
    <row r="99" spans="1:10">
      <c r="A99" t="s">
        <v>2060</v>
      </c>
      <c r="B99" t="s">
        <v>1964</v>
      </c>
      <c r="C99">
        <v>41</v>
      </c>
      <c r="D99" s="1">
        <v>6242</v>
      </c>
      <c r="J99"/>
    </row>
    <row r="100" spans="1:10">
      <c r="A100" t="s">
        <v>2061</v>
      </c>
      <c r="B100" t="s">
        <v>1962</v>
      </c>
      <c r="C100">
        <v>45</v>
      </c>
      <c r="D100" s="1">
        <v>7222</v>
      </c>
      <c r="J100"/>
    </row>
    <row r="101" spans="1:10">
      <c r="A101" t="s">
        <v>2062</v>
      </c>
      <c r="B101" t="s">
        <v>1964</v>
      </c>
      <c r="C101">
        <v>17</v>
      </c>
      <c r="D101" s="1">
        <v>6926</v>
      </c>
      <c r="J101"/>
    </row>
    <row r="102" spans="1:10">
      <c r="A102" t="s">
        <v>2063</v>
      </c>
      <c r="B102" t="s">
        <v>1964</v>
      </c>
      <c r="C102">
        <v>6</v>
      </c>
      <c r="D102" s="1">
        <v>6777</v>
      </c>
      <c r="J102"/>
    </row>
    <row r="103" spans="1:10">
      <c r="A103" t="s">
        <v>2064</v>
      </c>
      <c r="B103" t="s">
        <v>1962</v>
      </c>
      <c r="C103">
        <v>15</v>
      </c>
      <c r="D103" s="1">
        <v>8881</v>
      </c>
      <c r="J103"/>
    </row>
    <row r="104" spans="1:10">
      <c r="A104" t="s">
        <v>2065</v>
      </c>
      <c r="B104" t="s">
        <v>1962</v>
      </c>
      <c r="C104">
        <v>5</v>
      </c>
      <c r="D104" s="1">
        <v>9178</v>
      </c>
      <c r="J104"/>
    </row>
    <row r="105" spans="1:10">
      <c r="A105" t="s">
        <v>2066</v>
      </c>
      <c r="B105" t="s">
        <v>1964</v>
      </c>
      <c r="C105">
        <v>30</v>
      </c>
      <c r="D105" s="1">
        <v>6097</v>
      </c>
      <c r="J105"/>
    </row>
    <row r="106" spans="1:10">
      <c r="A106" t="s">
        <v>2067</v>
      </c>
      <c r="B106" t="s">
        <v>1964</v>
      </c>
      <c r="C106">
        <v>14</v>
      </c>
      <c r="D106" s="1">
        <v>8247</v>
      </c>
      <c r="J106"/>
    </row>
    <row r="107" spans="1:10">
      <c r="A107" t="s">
        <v>2068</v>
      </c>
      <c r="B107" t="s">
        <v>1962</v>
      </c>
      <c r="C107">
        <v>38</v>
      </c>
      <c r="D107" s="1">
        <v>6340</v>
      </c>
      <c r="J107"/>
    </row>
    <row r="108" spans="1:10">
      <c r="A108" t="s">
        <v>2069</v>
      </c>
      <c r="B108" t="s">
        <v>1962</v>
      </c>
      <c r="C108">
        <v>38</v>
      </c>
      <c r="D108" s="1">
        <v>7782</v>
      </c>
      <c r="J108"/>
    </row>
    <row r="109" spans="1:10">
      <c r="A109" t="s">
        <v>2070</v>
      </c>
      <c r="B109" t="s">
        <v>1962</v>
      </c>
      <c r="C109">
        <v>8</v>
      </c>
      <c r="D109" s="1">
        <v>3960</v>
      </c>
      <c r="J109"/>
    </row>
    <row r="110" spans="1:10">
      <c r="A110" t="s">
        <v>2071</v>
      </c>
      <c r="B110" t="s">
        <v>1964</v>
      </c>
      <c r="C110">
        <v>8</v>
      </c>
      <c r="D110" s="1">
        <v>7386</v>
      </c>
      <c r="J110"/>
    </row>
    <row r="111" spans="1:10">
      <c r="A111" t="s">
        <v>2072</v>
      </c>
      <c r="B111" t="s">
        <v>1962</v>
      </c>
      <c r="C111">
        <v>38</v>
      </c>
      <c r="D111" s="1">
        <v>5743</v>
      </c>
      <c r="J111"/>
    </row>
    <row r="112" spans="1:10">
      <c r="A112" t="s">
        <v>2073</v>
      </c>
      <c r="B112" t="s">
        <v>1964</v>
      </c>
      <c r="C112">
        <v>41</v>
      </c>
      <c r="D112" s="1">
        <v>5763</v>
      </c>
      <c r="J112"/>
    </row>
    <row r="113" spans="1:10">
      <c r="A113" t="s">
        <v>2074</v>
      </c>
      <c r="B113" t="s">
        <v>1962</v>
      </c>
      <c r="C113">
        <v>19</v>
      </c>
      <c r="D113" s="1">
        <v>8936</v>
      </c>
      <c r="J113"/>
    </row>
    <row r="114" spans="1:10">
      <c r="A114" t="s">
        <v>2075</v>
      </c>
      <c r="B114" t="s">
        <v>1962</v>
      </c>
      <c r="C114">
        <v>49</v>
      </c>
      <c r="D114" s="1">
        <v>4431</v>
      </c>
      <c r="J114"/>
    </row>
    <row r="115" spans="1:10">
      <c r="A115" t="s">
        <v>2076</v>
      </c>
      <c r="B115" t="s">
        <v>1964</v>
      </c>
      <c r="C115">
        <v>21</v>
      </c>
      <c r="D115" s="1">
        <v>9526</v>
      </c>
      <c r="J115"/>
    </row>
    <row r="116" spans="1:10">
      <c r="A116" t="s">
        <v>2077</v>
      </c>
      <c r="B116" t="s">
        <v>1962</v>
      </c>
      <c r="C116">
        <v>31</v>
      </c>
      <c r="D116" s="1">
        <v>4439</v>
      </c>
      <c r="J116"/>
    </row>
    <row r="117" spans="1:10">
      <c r="A117" t="s">
        <v>2078</v>
      </c>
      <c r="B117" t="s">
        <v>1962</v>
      </c>
      <c r="C117">
        <v>17</v>
      </c>
      <c r="D117" s="1">
        <v>9763</v>
      </c>
      <c r="J117"/>
    </row>
    <row r="118" spans="1:10">
      <c r="A118" t="s">
        <v>2079</v>
      </c>
      <c r="B118" t="s">
        <v>1964</v>
      </c>
      <c r="C118">
        <v>12</v>
      </c>
      <c r="D118" s="1">
        <v>3572</v>
      </c>
      <c r="J118"/>
    </row>
    <row r="119" spans="1:10">
      <c r="A119" t="s">
        <v>2080</v>
      </c>
      <c r="B119" t="s">
        <v>1962</v>
      </c>
      <c r="C119">
        <v>16</v>
      </c>
      <c r="D119" s="1">
        <v>4221</v>
      </c>
      <c r="J119"/>
    </row>
    <row r="120" spans="1:10">
      <c r="A120" t="s">
        <v>2081</v>
      </c>
      <c r="B120" t="s">
        <v>1962</v>
      </c>
      <c r="C120">
        <v>42</v>
      </c>
      <c r="D120" s="1">
        <v>3642</v>
      </c>
      <c r="J120"/>
    </row>
    <row r="121" spans="1:10">
      <c r="A121" t="s">
        <v>2082</v>
      </c>
      <c r="B121" t="s">
        <v>1962</v>
      </c>
      <c r="C121">
        <v>29</v>
      </c>
      <c r="D121" s="1">
        <v>6549</v>
      </c>
      <c r="J121"/>
    </row>
    <row r="122" spans="1:10">
      <c r="A122" t="s">
        <v>2083</v>
      </c>
      <c r="B122" t="s">
        <v>1964</v>
      </c>
      <c r="C122">
        <v>17</v>
      </c>
      <c r="D122" s="1">
        <v>2381</v>
      </c>
      <c r="J122"/>
    </row>
    <row r="123" spans="1:10">
      <c r="A123" t="s">
        <v>2084</v>
      </c>
      <c r="B123" t="s">
        <v>1962</v>
      </c>
      <c r="C123">
        <v>33</v>
      </c>
      <c r="D123" s="1">
        <v>5822</v>
      </c>
      <c r="J123"/>
    </row>
    <row r="124" spans="1:10">
      <c r="A124" t="s">
        <v>2085</v>
      </c>
      <c r="B124" t="s">
        <v>1964</v>
      </c>
      <c r="C124">
        <v>39</v>
      </c>
      <c r="D124" s="1">
        <v>7098</v>
      </c>
      <c r="J124"/>
    </row>
    <row r="125" spans="1:10">
      <c r="A125" t="s">
        <v>2086</v>
      </c>
      <c r="B125" t="s">
        <v>1964</v>
      </c>
      <c r="C125">
        <v>5</v>
      </c>
      <c r="D125" s="1">
        <v>2043</v>
      </c>
      <c r="J125"/>
    </row>
    <row r="126" spans="1:10">
      <c r="A126" t="s">
        <v>2087</v>
      </c>
      <c r="B126" t="s">
        <v>1962</v>
      </c>
      <c r="C126">
        <v>27</v>
      </c>
      <c r="D126" s="1">
        <v>4033</v>
      </c>
      <c r="J126"/>
    </row>
    <row r="127" spans="1:10">
      <c r="A127" t="s">
        <v>2088</v>
      </c>
      <c r="B127" t="s">
        <v>1962</v>
      </c>
      <c r="C127">
        <v>17</v>
      </c>
      <c r="D127" s="1">
        <v>6158</v>
      </c>
      <c r="J127"/>
    </row>
    <row r="128" spans="1:10">
      <c r="A128" t="s">
        <v>2089</v>
      </c>
      <c r="B128" t="s">
        <v>1964</v>
      </c>
      <c r="C128">
        <v>49</v>
      </c>
      <c r="D128" s="1">
        <v>4866</v>
      </c>
      <c r="J128"/>
    </row>
    <row r="129" spans="1:10">
      <c r="A129" t="s">
        <v>2090</v>
      </c>
      <c r="B129" t="s">
        <v>1962</v>
      </c>
      <c r="C129">
        <v>19</v>
      </c>
      <c r="D129" s="1">
        <v>5200</v>
      </c>
      <c r="J129"/>
    </row>
    <row r="130" spans="1:10">
      <c r="A130" t="s">
        <v>2091</v>
      </c>
      <c r="B130" t="s">
        <v>1962</v>
      </c>
      <c r="C130">
        <v>32</v>
      </c>
      <c r="D130" s="1">
        <v>5189</v>
      </c>
      <c r="J130"/>
    </row>
    <row r="131" spans="1:10">
      <c r="A131" t="s">
        <v>2092</v>
      </c>
      <c r="B131" t="s">
        <v>1962</v>
      </c>
      <c r="C131">
        <v>31</v>
      </c>
      <c r="D131" s="1">
        <v>7056</v>
      </c>
      <c r="J131"/>
    </row>
    <row r="132" spans="1:10">
      <c r="A132" t="s">
        <v>2093</v>
      </c>
      <c r="B132" t="s">
        <v>1964</v>
      </c>
      <c r="C132">
        <v>5</v>
      </c>
      <c r="D132" s="1">
        <v>9205</v>
      </c>
      <c r="J132"/>
    </row>
    <row r="133" spans="1:10">
      <c r="A133" t="s">
        <v>2094</v>
      </c>
      <c r="B133" t="s">
        <v>1964</v>
      </c>
      <c r="C133">
        <v>43</v>
      </c>
      <c r="D133" s="1">
        <v>8860</v>
      </c>
      <c r="J133"/>
    </row>
    <row r="134" spans="1:10">
      <c r="A134" t="s">
        <v>2095</v>
      </c>
      <c r="B134" t="s">
        <v>1964</v>
      </c>
      <c r="C134">
        <v>31</v>
      </c>
      <c r="D134" s="1">
        <v>6704</v>
      </c>
      <c r="J134"/>
    </row>
    <row r="135" spans="1:10">
      <c r="A135" t="s">
        <v>2096</v>
      </c>
      <c r="B135" t="s">
        <v>1964</v>
      </c>
      <c r="C135">
        <v>24</v>
      </c>
      <c r="D135" s="1">
        <v>2205</v>
      </c>
      <c r="J135"/>
    </row>
    <row r="136" spans="1:10">
      <c r="A136" t="s">
        <v>2097</v>
      </c>
      <c r="B136" t="s">
        <v>1964</v>
      </c>
      <c r="C136">
        <v>44</v>
      </c>
      <c r="D136" s="1">
        <v>5198</v>
      </c>
      <c r="J136"/>
    </row>
    <row r="137" spans="1:10">
      <c r="A137" t="s">
        <v>2098</v>
      </c>
      <c r="B137" t="s">
        <v>1964</v>
      </c>
      <c r="C137">
        <v>41</v>
      </c>
      <c r="D137" s="1">
        <v>9090</v>
      </c>
      <c r="J137"/>
    </row>
    <row r="138" spans="1:10">
      <c r="A138" t="s">
        <v>2099</v>
      </c>
      <c r="B138" t="s">
        <v>1964</v>
      </c>
      <c r="C138">
        <v>14</v>
      </c>
      <c r="D138" s="1">
        <v>3814</v>
      </c>
      <c r="J138"/>
    </row>
    <row r="139" spans="1:10">
      <c r="A139" t="s">
        <v>2100</v>
      </c>
      <c r="B139" t="s">
        <v>1964</v>
      </c>
      <c r="C139">
        <v>27</v>
      </c>
      <c r="D139" s="1">
        <v>2744</v>
      </c>
      <c r="J139"/>
    </row>
    <row r="140" spans="1:10">
      <c r="A140" t="s">
        <v>2101</v>
      </c>
      <c r="B140" t="s">
        <v>1964</v>
      </c>
      <c r="C140">
        <v>47</v>
      </c>
      <c r="D140" s="1">
        <v>9991</v>
      </c>
      <c r="J140"/>
    </row>
    <row r="141" spans="1:10">
      <c r="A141" t="s">
        <v>2102</v>
      </c>
      <c r="B141" t="s">
        <v>1964</v>
      </c>
      <c r="C141">
        <v>16</v>
      </c>
      <c r="D141" s="1">
        <v>2048</v>
      </c>
      <c r="J141"/>
    </row>
    <row r="142" spans="1:10">
      <c r="A142" t="s">
        <v>2103</v>
      </c>
      <c r="B142" t="s">
        <v>1964</v>
      </c>
      <c r="C142">
        <v>5</v>
      </c>
      <c r="D142" s="1">
        <v>5068</v>
      </c>
      <c r="J142"/>
    </row>
    <row r="143" spans="1:10">
      <c r="A143" t="s">
        <v>2104</v>
      </c>
      <c r="B143" t="s">
        <v>1962</v>
      </c>
      <c r="C143">
        <v>39</v>
      </c>
      <c r="D143" s="1">
        <v>4105</v>
      </c>
      <c r="J143"/>
    </row>
    <row r="144" spans="1:10">
      <c r="A144" t="s">
        <v>2105</v>
      </c>
      <c r="B144" t="s">
        <v>1962</v>
      </c>
      <c r="C144">
        <v>24</v>
      </c>
      <c r="D144" s="1">
        <v>3884</v>
      </c>
      <c r="J144"/>
    </row>
    <row r="145" spans="1:10">
      <c r="A145" t="s">
        <v>2106</v>
      </c>
      <c r="B145" t="s">
        <v>1964</v>
      </c>
      <c r="C145">
        <v>21</v>
      </c>
      <c r="D145" s="1">
        <v>2892</v>
      </c>
      <c r="J145"/>
    </row>
    <row r="146" spans="1:10">
      <c r="A146" t="s">
        <v>2107</v>
      </c>
      <c r="B146" t="s">
        <v>1962</v>
      </c>
      <c r="C146">
        <v>20</v>
      </c>
      <c r="D146" s="1">
        <v>7847</v>
      </c>
      <c r="J146"/>
    </row>
    <row r="147" spans="1:10">
      <c r="A147" t="s">
        <v>2108</v>
      </c>
      <c r="B147" t="s">
        <v>1964</v>
      </c>
      <c r="C147">
        <v>16</v>
      </c>
      <c r="D147" s="1">
        <v>5012</v>
      </c>
      <c r="J147"/>
    </row>
    <row r="148" spans="1:10">
      <c r="A148" t="s">
        <v>2109</v>
      </c>
      <c r="B148" t="s">
        <v>1964</v>
      </c>
      <c r="C148">
        <v>28</v>
      </c>
      <c r="D148" s="1">
        <v>3822</v>
      </c>
      <c r="J148"/>
    </row>
    <row r="149" spans="1:10">
      <c r="A149" t="s">
        <v>2110</v>
      </c>
      <c r="B149" t="s">
        <v>1962</v>
      </c>
      <c r="C149">
        <v>38</v>
      </c>
      <c r="D149" s="1">
        <v>7868</v>
      </c>
      <c r="J149"/>
    </row>
    <row r="150" spans="1:10">
      <c r="A150" t="s">
        <v>2111</v>
      </c>
      <c r="B150" t="s">
        <v>1962</v>
      </c>
      <c r="C150">
        <v>38</v>
      </c>
      <c r="D150" s="1">
        <v>4251</v>
      </c>
      <c r="J150"/>
    </row>
    <row r="151" spans="1:10">
      <c r="A151" t="s">
        <v>2112</v>
      </c>
      <c r="B151" t="s">
        <v>1964</v>
      </c>
      <c r="C151">
        <v>38</v>
      </c>
      <c r="D151" s="1">
        <v>9193</v>
      </c>
      <c r="J151"/>
    </row>
    <row r="152" spans="1:10">
      <c r="A152" t="s">
        <v>2113</v>
      </c>
      <c r="B152" t="s">
        <v>1962</v>
      </c>
      <c r="C152">
        <v>30</v>
      </c>
      <c r="D152" s="1">
        <v>5074</v>
      </c>
      <c r="J152"/>
    </row>
    <row r="153" spans="1:10">
      <c r="A153" t="s">
        <v>2114</v>
      </c>
      <c r="B153" t="s">
        <v>1962</v>
      </c>
      <c r="C153">
        <v>25</v>
      </c>
      <c r="D153" s="1">
        <v>3550</v>
      </c>
      <c r="J153"/>
    </row>
    <row r="154" spans="1:10">
      <c r="A154" t="s">
        <v>2115</v>
      </c>
      <c r="B154" t="s">
        <v>1964</v>
      </c>
      <c r="C154">
        <v>39</v>
      </c>
      <c r="D154" s="1">
        <v>9491</v>
      </c>
      <c r="J154"/>
    </row>
    <row r="155" spans="1:10">
      <c r="A155" t="s">
        <v>2116</v>
      </c>
      <c r="B155" t="s">
        <v>1964</v>
      </c>
      <c r="C155">
        <v>14</v>
      </c>
      <c r="D155" s="1">
        <v>3808</v>
      </c>
      <c r="J155"/>
    </row>
    <row r="156" spans="1:10">
      <c r="A156" t="s">
        <v>2117</v>
      </c>
      <c r="B156" t="s">
        <v>1964</v>
      </c>
      <c r="C156">
        <v>6</v>
      </c>
      <c r="D156" s="1">
        <v>2237</v>
      </c>
      <c r="J156"/>
    </row>
    <row r="157" spans="1:10">
      <c r="A157" t="s">
        <v>2118</v>
      </c>
      <c r="B157" t="s">
        <v>1964</v>
      </c>
      <c r="C157">
        <v>26</v>
      </c>
      <c r="D157" s="1">
        <v>5429</v>
      </c>
      <c r="J157"/>
    </row>
    <row r="158" spans="1:10">
      <c r="A158" t="s">
        <v>2119</v>
      </c>
      <c r="B158" t="s">
        <v>1962</v>
      </c>
      <c r="C158">
        <v>14</v>
      </c>
      <c r="D158" s="1">
        <v>4552</v>
      </c>
      <c r="J158"/>
    </row>
    <row r="159" spans="1:10">
      <c r="A159" t="s">
        <v>2120</v>
      </c>
      <c r="B159" t="s">
        <v>1964</v>
      </c>
      <c r="C159">
        <v>32</v>
      </c>
      <c r="D159" s="1">
        <v>7845</v>
      </c>
      <c r="J159"/>
    </row>
    <row r="160" spans="1:10">
      <c r="A160" t="s">
        <v>2121</v>
      </c>
      <c r="B160" t="s">
        <v>1962</v>
      </c>
      <c r="C160">
        <v>16</v>
      </c>
      <c r="D160" s="1">
        <v>7050</v>
      </c>
      <c r="J160"/>
    </row>
    <row r="161" spans="1:10">
      <c r="A161" t="s">
        <v>2122</v>
      </c>
      <c r="B161" t="s">
        <v>1964</v>
      </c>
      <c r="C161">
        <v>40</v>
      </c>
      <c r="D161" s="1">
        <v>2721</v>
      </c>
      <c r="J161"/>
    </row>
    <row r="162" spans="1:10">
      <c r="A162" t="s">
        <v>2123</v>
      </c>
      <c r="B162" t="s">
        <v>1962</v>
      </c>
      <c r="C162">
        <v>20</v>
      </c>
      <c r="D162" s="1">
        <v>9588</v>
      </c>
      <c r="J162"/>
    </row>
    <row r="163" spans="1:10">
      <c r="A163" t="s">
        <v>2124</v>
      </c>
      <c r="B163" t="s">
        <v>1964</v>
      </c>
      <c r="C163">
        <v>7</v>
      </c>
      <c r="D163" s="1">
        <v>4567</v>
      </c>
      <c r="J163"/>
    </row>
    <row r="164" spans="1:10">
      <c r="A164" t="s">
        <v>2125</v>
      </c>
      <c r="B164" t="s">
        <v>1962</v>
      </c>
      <c r="C164">
        <v>16</v>
      </c>
      <c r="D164" s="1">
        <v>4101</v>
      </c>
      <c r="J164"/>
    </row>
    <row r="165" spans="1:10">
      <c r="A165" t="s">
        <v>2126</v>
      </c>
      <c r="B165" t="s">
        <v>1964</v>
      </c>
      <c r="C165">
        <v>27</v>
      </c>
      <c r="D165" s="1">
        <v>9598</v>
      </c>
      <c r="J165"/>
    </row>
    <row r="166" spans="1:10">
      <c r="A166" t="s">
        <v>2127</v>
      </c>
      <c r="B166" t="s">
        <v>1964</v>
      </c>
      <c r="C166">
        <v>28</v>
      </c>
      <c r="D166" s="1">
        <v>3741</v>
      </c>
      <c r="J166"/>
    </row>
    <row r="167" spans="1:10">
      <c r="A167" t="s">
        <v>2128</v>
      </c>
      <c r="B167" t="s">
        <v>1964</v>
      </c>
      <c r="C167">
        <v>48</v>
      </c>
      <c r="D167" s="1">
        <v>9547</v>
      </c>
      <c r="J167"/>
    </row>
    <row r="168" spans="1:10">
      <c r="A168" t="s">
        <v>2129</v>
      </c>
      <c r="B168" t="s">
        <v>1964</v>
      </c>
      <c r="C168">
        <v>8</v>
      </c>
      <c r="D168" s="1">
        <v>7279</v>
      </c>
      <c r="J168"/>
    </row>
    <row r="169" spans="1:10">
      <c r="A169" t="s">
        <v>2130</v>
      </c>
      <c r="B169" t="s">
        <v>1962</v>
      </c>
      <c r="C169">
        <v>14</v>
      </c>
      <c r="D169" s="1">
        <v>4600</v>
      </c>
      <c r="J169"/>
    </row>
    <row r="170" spans="1:10">
      <c r="A170" t="s">
        <v>2131</v>
      </c>
      <c r="B170" t="s">
        <v>1964</v>
      </c>
      <c r="C170">
        <v>29</v>
      </c>
      <c r="D170" s="1">
        <v>7051</v>
      </c>
      <c r="J170"/>
    </row>
    <row r="171" spans="1:10">
      <c r="A171" t="s">
        <v>2132</v>
      </c>
      <c r="B171" t="s">
        <v>1964</v>
      </c>
      <c r="C171">
        <v>48</v>
      </c>
      <c r="D171" s="1">
        <v>8166</v>
      </c>
      <c r="J171"/>
    </row>
    <row r="172" spans="1:10">
      <c r="A172" t="s">
        <v>2133</v>
      </c>
      <c r="B172" t="s">
        <v>1962</v>
      </c>
      <c r="C172">
        <v>9</v>
      </c>
      <c r="D172" s="1">
        <v>9220</v>
      </c>
      <c r="J172"/>
    </row>
    <row r="173" spans="1:10">
      <c r="A173" t="s">
        <v>2134</v>
      </c>
      <c r="B173" t="s">
        <v>1962</v>
      </c>
      <c r="C173">
        <v>50</v>
      </c>
      <c r="D173" s="1">
        <v>3907</v>
      </c>
      <c r="J173"/>
    </row>
    <row r="174" spans="1:10">
      <c r="A174" t="s">
        <v>2135</v>
      </c>
      <c r="B174" t="s">
        <v>1964</v>
      </c>
      <c r="C174">
        <v>28</v>
      </c>
      <c r="D174" s="1">
        <v>4328</v>
      </c>
      <c r="J174"/>
    </row>
    <row r="175" spans="1:10">
      <c r="A175" t="s">
        <v>2136</v>
      </c>
      <c r="B175" t="s">
        <v>1962</v>
      </c>
      <c r="C175">
        <v>48</v>
      </c>
      <c r="D175" s="1">
        <v>5747</v>
      </c>
      <c r="J175"/>
    </row>
    <row r="176" spans="1:10">
      <c r="A176" t="s">
        <v>2137</v>
      </c>
      <c r="B176" t="s">
        <v>1962</v>
      </c>
      <c r="C176">
        <v>8</v>
      </c>
      <c r="D176" s="1">
        <v>2090</v>
      </c>
      <c r="J176"/>
    </row>
    <row r="177" spans="1:10">
      <c r="A177" t="s">
        <v>2138</v>
      </c>
      <c r="B177" t="s">
        <v>1962</v>
      </c>
      <c r="C177">
        <v>39</v>
      </c>
      <c r="D177" s="1">
        <v>3849</v>
      </c>
      <c r="J177"/>
    </row>
    <row r="178" spans="1:10">
      <c r="A178" t="s">
        <v>2139</v>
      </c>
      <c r="B178" t="s">
        <v>1962</v>
      </c>
      <c r="C178">
        <v>8</v>
      </c>
      <c r="D178" s="1">
        <v>3877</v>
      </c>
      <c r="J178"/>
    </row>
    <row r="179" spans="1:10">
      <c r="A179" t="s">
        <v>2140</v>
      </c>
      <c r="B179" t="s">
        <v>1962</v>
      </c>
      <c r="C179">
        <v>7</v>
      </c>
      <c r="D179" s="1">
        <v>8695</v>
      </c>
      <c r="J179"/>
    </row>
    <row r="180" spans="1:10">
      <c r="A180" t="s">
        <v>2141</v>
      </c>
      <c r="B180" t="s">
        <v>1962</v>
      </c>
      <c r="C180">
        <v>40</v>
      </c>
      <c r="D180" s="1">
        <v>6793</v>
      </c>
      <c r="J180"/>
    </row>
    <row r="181" spans="1:10">
      <c r="A181" t="s">
        <v>2142</v>
      </c>
      <c r="B181" t="s">
        <v>1964</v>
      </c>
      <c r="C181">
        <v>34</v>
      </c>
      <c r="D181" s="1">
        <v>2778</v>
      </c>
      <c r="J181"/>
    </row>
    <row r="182" spans="1:10">
      <c r="A182" t="s">
        <v>2143</v>
      </c>
      <c r="B182" t="s">
        <v>1964</v>
      </c>
      <c r="C182">
        <v>34</v>
      </c>
      <c r="D182" s="1">
        <v>7563</v>
      </c>
      <c r="J182"/>
    </row>
    <row r="183" spans="1:10">
      <c r="A183" t="s">
        <v>2144</v>
      </c>
      <c r="B183" t="s">
        <v>1962</v>
      </c>
      <c r="C183">
        <v>23</v>
      </c>
      <c r="D183" s="1">
        <v>7788</v>
      </c>
      <c r="J183"/>
    </row>
    <row r="184" spans="1:10">
      <c r="A184" t="s">
        <v>2145</v>
      </c>
      <c r="B184" t="s">
        <v>1962</v>
      </c>
      <c r="C184">
        <v>40</v>
      </c>
      <c r="D184" s="1">
        <v>3122</v>
      </c>
      <c r="J184"/>
    </row>
    <row r="185" spans="1:10">
      <c r="A185" t="s">
        <v>2146</v>
      </c>
      <c r="B185" t="s">
        <v>1964</v>
      </c>
      <c r="C185">
        <v>39</v>
      </c>
      <c r="D185" s="1">
        <v>5836</v>
      </c>
      <c r="J185"/>
    </row>
    <row r="186" spans="1:10">
      <c r="A186" t="s">
        <v>2147</v>
      </c>
      <c r="B186" t="s">
        <v>1964</v>
      </c>
      <c r="C186">
        <v>44</v>
      </c>
      <c r="D186" s="1">
        <v>9545</v>
      </c>
      <c r="J186"/>
    </row>
    <row r="187" spans="1:10">
      <c r="A187" t="s">
        <v>2148</v>
      </c>
      <c r="B187" t="s">
        <v>1964</v>
      </c>
      <c r="C187">
        <v>10</v>
      </c>
      <c r="D187" s="1">
        <v>3198</v>
      </c>
      <c r="J187"/>
    </row>
    <row r="188" spans="1:10">
      <c r="A188" t="s">
        <v>2149</v>
      </c>
      <c r="B188" t="s">
        <v>1964</v>
      </c>
      <c r="C188">
        <v>36</v>
      </c>
      <c r="D188" s="1">
        <v>7931</v>
      </c>
      <c r="J188"/>
    </row>
    <row r="189" spans="1:10">
      <c r="A189" t="s">
        <v>2150</v>
      </c>
      <c r="B189" t="s">
        <v>1964</v>
      </c>
      <c r="C189">
        <v>35</v>
      </c>
      <c r="D189" s="1">
        <v>4525</v>
      </c>
      <c r="J189"/>
    </row>
    <row r="190" spans="1:10">
      <c r="A190" t="s">
        <v>2151</v>
      </c>
      <c r="B190" t="s">
        <v>1964</v>
      </c>
      <c r="C190">
        <v>19</v>
      </c>
      <c r="D190" s="1">
        <v>7615</v>
      </c>
      <c r="J190"/>
    </row>
    <row r="191" spans="1:10">
      <c r="A191" t="s">
        <v>2152</v>
      </c>
      <c r="B191" t="s">
        <v>1964</v>
      </c>
      <c r="C191">
        <v>49</v>
      </c>
      <c r="D191" s="1">
        <v>5219</v>
      </c>
      <c r="J191"/>
    </row>
    <row r="192" spans="1:10">
      <c r="A192" t="s">
        <v>2153</v>
      </c>
      <c r="B192" t="s">
        <v>1964</v>
      </c>
      <c r="C192">
        <v>17</v>
      </c>
      <c r="D192" s="1">
        <v>2950</v>
      </c>
      <c r="J192"/>
    </row>
    <row r="193" spans="1:10">
      <c r="A193" t="s">
        <v>2154</v>
      </c>
      <c r="B193" t="s">
        <v>1962</v>
      </c>
      <c r="C193">
        <v>28</v>
      </c>
      <c r="D193" s="1">
        <v>8921</v>
      </c>
      <c r="J193"/>
    </row>
    <row r="194" spans="1:10">
      <c r="A194" t="s">
        <v>2155</v>
      </c>
      <c r="B194" t="s">
        <v>1964</v>
      </c>
      <c r="C194">
        <v>7</v>
      </c>
      <c r="D194" s="1">
        <v>6072</v>
      </c>
      <c r="J194"/>
    </row>
    <row r="195" spans="1:10">
      <c r="A195" t="s">
        <v>2156</v>
      </c>
      <c r="B195" t="s">
        <v>1964</v>
      </c>
      <c r="C195">
        <v>6</v>
      </c>
      <c r="D195" s="1">
        <v>5353</v>
      </c>
      <c r="J195"/>
    </row>
    <row r="196" spans="1:10">
      <c r="A196" t="s">
        <v>2157</v>
      </c>
      <c r="B196" t="s">
        <v>1962</v>
      </c>
      <c r="C196">
        <v>29</v>
      </c>
      <c r="D196" s="1">
        <v>2795</v>
      </c>
      <c r="J196"/>
    </row>
    <row r="197" spans="1:10">
      <c r="A197" t="s">
        <v>2158</v>
      </c>
      <c r="B197" t="s">
        <v>1962</v>
      </c>
      <c r="C197">
        <v>26</v>
      </c>
      <c r="D197" s="1">
        <v>8862</v>
      </c>
      <c r="J197"/>
    </row>
    <row r="198" spans="1:10">
      <c r="A198" t="s">
        <v>2159</v>
      </c>
      <c r="B198" t="s">
        <v>1964</v>
      </c>
      <c r="C198">
        <v>15</v>
      </c>
      <c r="D198" s="1">
        <v>8592</v>
      </c>
      <c r="J198"/>
    </row>
    <row r="199" spans="1:10">
      <c r="A199" t="s">
        <v>2160</v>
      </c>
      <c r="B199" t="s">
        <v>1962</v>
      </c>
      <c r="C199">
        <v>47</v>
      </c>
      <c r="D199" s="1">
        <v>8323</v>
      </c>
      <c r="J199"/>
    </row>
    <row r="200" spans="1:10">
      <c r="A200" t="s">
        <v>2161</v>
      </c>
      <c r="B200" t="s">
        <v>1964</v>
      </c>
      <c r="C200">
        <v>14</v>
      </c>
      <c r="D200" s="1">
        <v>5856</v>
      </c>
      <c r="J200"/>
    </row>
    <row r="201" spans="1:10">
      <c r="A201" t="s">
        <v>2162</v>
      </c>
      <c r="B201" t="s">
        <v>1962</v>
      </c>
      <c r="C201">
        <v>7</v>
      </c>
      <c r="D201" s="1">
        <v>3232</v>
      </c>
      <c r="J201"/>
    </row>
    <row r="202" spans="1:10">
      <c r="A202" t="s">
        <v>2163</v>
      </c>
      <c r="B202" t="s">
        <v>1962</v>
      </c>
      <c r="C202">
        <v>34</v>
      </c>
      <c r="D202" s="1">
        <v>4328</v>
      </c>
      <c r="J202"/>
    </row>
    <row r="203" spans="1:10">
      <c r="A203" t="s">
        <v>2164</v>
      </c>
      <c r="B203" t="s">
        <v>1964</v>
      </c>
      <c r="C203">
        <v>36</v>
      </c>
      <c r="D203" s="1">
        <v>7541</v>
      </c>
      <c r="J203"/>
    </row>
    <row r="204" spans="1:10">
      <c r="A204" t="s">
        <v>2165</v>
      </c>
      <c r="B204" t="s">
        <v>1964</v>
      </c>
      <c r="C204">
        <v>23</v>
      </c>
      <c r="D204" s="1">
        <v>2196</v>
      </c>
      <c r="J204"/>
    </row>
    <row r="205" spans="1:10">
      <c r="A205" t="s">
        <v>2166</v>
      </c>
      <c r="B205" t="s">
        <v>1964</v>
      </c>
      <c r="C205">
        <v>15</v>
      </c>
      <c r="D205" s="1">
        <v>6188</v>
      </c>
      <c r="J205"/>
    </row>
    <row r="206" spans="1:10">
      <c r="A206" t="s">
        <v>2167</v>
      </c>
      <c r="B206" t="s">
        <v>1964</v>
      </c>
      <c r="C206">
        <v>6</v>
      </c>
      <c r="D206" s="1">
        <v>6274</v>
      </c>
      <c r="J206"/>
    </row>
    <row r="207" spans="1:10">
      <c r="A207" t="s">
        <v>2168</v>
      </c>
      <c r="B207" t="s">
        <v>1962</v>
      </c>
      <c r="C207">
        <v>7</v>
      </c>
      <c r="D207" s="1">
        <v>8458</v>
      </c>
      <c r="J207"/>
    </row>
    <row r="208" spans="1:10">
      <c r="A208" t="s">
        <v>2169</v>
      </c>
      <c r="B208" t="s">
        <v>1964</v>
      </c>
      <c r="C208">
        <v>12</v>
      </c>
      <c r="D208" s="1">
        <v>4559</v>
      </c>
      <c r="J208"/>
    </row>
    <row r="209" spans="1:10">
      <c r="A209" t="s">
        <v>2170</v>
      </c>
      <c r="B209" t="s">
        <v>1962</v>
      </c>
      <c r="C209">
        <v>21</v>
      </c>
      <c r="D209" s="1">
        <v>2101</v>
      </c>
      <c r="J209"/>
    </row>
    <row r="210" spans="1:10">
      <c r="A210" t="s">
        <v>2171</v>
      </c>
      <c r="B210" t="s">
        <v>1964</v>
      </c>
      <c r="C210">
        <v>39</v>
      </c>
      <c r="D210" s="1">
        <v>2468</v>
      </c>
      <c r="J210"/>
    </row>
    <row r="211" spans="1:10">
      <c r="A211" t="s">
        <v>2172</v>
      </c>
      <c r="B211" t="s">
        <v>1964</v>
      </c>
      <c r="C211">
        <v>19</v>
      </c>
      <c r="D211" s="1">
        <v>3270</v>
      </c>
      <c r="J211"/>
    </row>
    <row r="212" spans="1:10">
      <c r="A212" t="s">
        <v>2173</v>
      </c>
      <c r="B212" t="s">
        <v>1962</v>
      </c>
      <c r="C212">
        <v>32</v>
      </c>
      <c r="D212" s="1">
        <v>4393</v>
      </c>
      <c r="J212"/>
    </row>
    <row r="213" spans="1:10">
      <c r="A213" t="s">
        <v>2174</v>
      </c>
      <c r="B213" t="s">
        <v>1964</v>
      </c>
      <c r="C213">
        <v>32</v>
      </c>
      <c r="D213" s="1">
        <v>9995</v>
      </c>
      <c r="J213"/>
    </row>
    <row r="214" spans="1:10">
      <c r="A214" t="s">
        <v>2175</v>
      </c>
      <c r="B214" t="s">
        <v>1962</v>
      </c>
      <c r="C214">
        <v>42</v>
      </c>
      <c r="D214" s="1">
        <v>6128</v>
      </c>
      <c r="J214"/>
    </row>
    <row r="215" spans="1:10">
      <c r="A215" t="s">
        <v>2176</v>
      </c>
      <c r="B215" t="s">
        <v>1964</v>
      </c>
      <c r="C215">
        <v>31</v>
      </c>
      <c r="D215" s="1">
        <v>8048</v>
      </c>
      <c r="J215"/>
    </row>
    <row r="216" spans="1:10">
      <c r="A216" t="s">
        <v>2177</v>
      </c>
      <c r="B216" t="s">
        <v>1964</v>
      </c>
      <c r="C216">
        <v>16</v>
      </c>
      <c r="D216" s="1">
        <v>3431</v>
      </c>
      <c r="J216"/>
    </row>
    <row r="217" spans="1:10">
      <c r="A217" t="s">
        <v>2178</v>
      </c>
      <c r="B217" t="s">
        <v>1964</v>
      </c>
      <c r="C217">
        <v>17</v>
      </c>
      <c r="D217" s="1">
        <v>3750</v>
      </c>
      <c r="J217"/>
    </row>
    <row r="218" spans="1:10">
      <c r="A218" t="s">
        <v>2179</v>
      </c>
      <c r="B218" t="s">
        <v>1964</v>
      </c>
      <c r="C218">
        <v>25</v>
      </c>
      <c r="D218" s="1">
        <v>6423</v>
      </c>
      <c r="J218"/>
    </row>
    <row r="219" spans="1:10">
      <c r="A219" t="s">
        <v>2180</v>
      </c>
      <c r="B219" t="s">
        <v>1962</v>
      </c>
      <c r="C219">
        <v>40</v>
      </c>
      <c r="D219" s="1">
        <v>8919</v>
      </c>
      <c r="J219"/>
    </row>
    <row r="220" spans="1:10">
      <c r="A220" t="s">
        <v>2181</v>
      </c>
      <c r="B220" t="s">
        <v>1962</v>
      </c>
      <c r="C220">
        <v>37</v>
      </c>
      <c r="D220" s="1">
        <v>7094</v>
      </c>
      <c r="J220"/>
    </row>
    <row r="221" spans="1:10">
      <c r="A221" t="s">
        <v>2182</v>
      </c>
      <c r="B221" t="s">
        <v>1962</v>
      </c>
      <c r="C221">
        <v>11</v>
      </c>
      <c r="D221" s="1">
        <v>7234</v>
      </c>
      <c r="J221"/>
    </row>
    <row r="222" spans="1:10">
      <c r="A222" t="s">
        <v>2183</v>
      </c>
      <c r="B222" t="s">
        <v>1962</v>
      </c>
      <c r="C222">
        <v>9</v>
      </c>
      <c r="D222" s="1">
        <v>9464</v>
      </c>
      <c r="J222"/>
    </row>
    <row r="223" spans="1:10">
      <c r="A223" t="s">
        <v>2184</v>
      </c>
      <c r="B223" t="s">
        <v>1964</v>
      </c>
      <c r="C223">
        <v>39</v>
      </c>
      <c r="D223" s="1">
        <v>5880</v>
      </c>
      <c r="J223"/>
    </row>
    <row r="224" spans="1:10">
      <c r="A224" t="s">
        <v>2185</v>
      </c>
      <c r="B224" t="s">
        <v>1964</v>
      </c>
      <c r="C224">
        <v>39</v>
      </c>
      <c r="D224" s="1">
        <v>8720</v>
      </c>
      <c r="J224"/>
    </row>
    <row r="225" spans="1:10">
      <c r="A225" t="s">
        <v>2186</v>
      </c>
      <c r="B225" t="s">
        <v>1964</v>
      </c>
      <c r="C225">
        <v>12</v>
      </c>
      <c r="D225" s="1">
        <v>8529</v>
      </c>
      <c r="J225"/>
    </row>
    <row r="226" spans="1:10">
      <c r="A226" t="s">
        <v>2187</v>
      </c>
      <c r="B226" t="s">
        <v>1962</v>
      </c>
      <c r="C226">
        <v>49</v>
      </c>
      <c r="D226" s="1">
        <v>5580</v>
      </c>
      <c r="J226"/>
    </row>
    <row r="227" spans="1:10">
      <c r="A227" t="s">
        <v>2188</v>
      </c>
      <c r="B227" t="s">
        <v>1962</v>
      </c>
      <c r="C227">
        <v>46</v>
      </c>
      <c r="D227" s="1">
        <v>5921</v>
      </c>
      <c r="J227"/>
    </row>
    <row r="228" spans="1:10">
      <c r="A228" t="s">
        <v>2189</v>
      </c>
      <c r="B228" t="s">
        <v>1962</v>
      </c>
      <c r="C228">
        <v>31</v>
      </c>
      <c r="D228" s="1">
        <v>3597</v>
      </c>
      <c r="J228"/>
    </row>
    <row r="229" spans="1:10">
      <c r="A229" t="s">
        <v>2190</v>
      </c>
      <c r="B229" t="s">
        <v>1962</v>
      </c>
      <c r="C229">
        <v>36</v>
      </c>
      <c r="D229" s="1">
        <v>7533</v>
      </c>
      <c r="J229"/>
    </row>
    <row r="230" spans="1:10">
      <c r="A230" t="s">
        <v>2191</v>
      </c>
      <c r="B230" t="s">
        <v>1964</v>
      </c>
      <c r="C230">
        <v>46</v>
      </c>
      <c r="D230" s="1">
        <v>4886</v>
      </c>
      <c r="J230"/>
    </row>
    <row r="231" spans="1:10">
      <c r="A231" t="s">
        <v>2192</v>
      </c>
      <c r="B231" t="s">
        <v>1964</v>
      </c>
      <c r="C231">
        <v>38</v>
      </c>
      <c r="D231" s="1">
        <v>2575</v>
      </c>
      <c r="J231"/>
    </row>
    <row r="232" spans="1:10">
      <c r="A232" t="s">
        <v>2193</v>
      </c>
      <c r="B232" t="s">
        <v>1962</v>
      </c>
      <c r="C232">
        <v>28</v>
      </c>
      <c r="D232" s="1">
        <v>5483</v>
      </c>
      <c r="J232"/>
    </row>
    <row r="233" spans="1:10">
      <c r="A233" t="s">
        <v>2194</v>
      </c>
      <c r="B233" t="s">
        <v>1964</v>
      </c>
      <c r="C233">
        <v>48</v>
      </c>
      <c r="D233" s="1">
        <v>5646</v>
      </c>
      <c r="J233"/>
    </row>
    <row r="234" spans="1:10">
      <c r="A234" t="s">
        <v>2195</v>
      </c>
      <c r="B234" t="s">
        <v>1962</v>
      </c>
      <c r="C234">
        <v>37</v>
      </c>
      <c r="D234" s="1">
        <v>8584</v>
      </c>
      <c r="J234"/>
    </row>
    <row r="235" spans="1:10">
      <c r="A235" t="s">
        <v>2196</v>
      </c>
      <c r="B235" t="s">
        <v>1964</v>
      </c>
      <c r="C235">
        <v>49</v>
      </c>
      <c r="D235" s="1">
        <v>4600</v>
      </c>
      <c r="J235"/>
    </row>
    <row r="236" spans="1:10">
      <c r="A236" t="s">
        <v>2197</v>
      </c>
      <c r="B236" t="s">
        <v>1962</v>
      </c>
      <c r="C236">
        <v>20</v>
      </c>
      <c r="D236" s="1">
        <v>5998</v>
      </c>
      <c r="J236"/>
    </row>
    <row r="237" spans="1:10">
      <c r="A237" t="s">
        <v>2198</v>
      </c>
      <c r="B237" t="s">
        <v>1964</v>
      </c>
      <c r="C237">
        <v>36</v>
      </c>
      <c r="D237" s="1">
        <v>2851</v>
      </c>
      <c r="J237"/>
    </row>
    <row r="238" spans="1:10">
      <c r="A238" t="s">
        <v>2199</v>
      </c>
      <c r="B238" t="s">
        <v>1962</v>
      </c>
      <c r="C238">
        <v>37</v>
      </c>
      <c r="D238" s="1">
        <v>4683</v>
      </c>
      <c r="J238"/>
    </row>
    <row r="239" spans="1:10">
      <c r="A239" t="s">
        <v>2200</v>
      </c>
      <c r="B239" t="s">
        <v>1962</v>
      </c>
      <c r="C239">
        <v>50</v>
      </c>
      <c r="D239" s="1">
        <v>2262</v>
      </c>
      <c r="J239"/>
    </row>
    <row r="240" spans="1:10">
      <c r="A240" t="s">
        <v>2201</v>
      </c>
      <c r="B240" t="s">
        <v>1962</v>
      </c>
      <c r="C240">
        <v>7</v>
      </c>
      <c r="D240" s="1">
        <v>8614</v>
      </c>
      <c r="J240"/>
    </row>
    <row r="241" spans="1:10">
      <c r="A241" t="s">
        <v>2202</v>
      </c>
      <c r="B241" t="s">
        <v>1964</v>
      </c>
      <c r="C241">
        <v>8</v>
      </c>
      <c r="D241" s="1">
        <v>3203</v>
      </c>
      <c r="J241"/>
    </row>
    <row r="242" spans="1:10">
      <c r="A242" t="s">
        <v>2203</v>
      </c>
      <c r="B242" t="s">
        <v>1962</v>
      </c>
      <c r="C242">
        <v>49</v>
      </c>
      <c r="D242" s="1">
        <v>6518</v>
      </c>
      <c r="J242"/>
    </row>
    <row r="243" spans="1:10">
      <c r="A243" t="s">
        <v>2204</v>
      </c>
      <c r="B243" t="s">
        <v>1962</v>
      </c>
      <c r="C243">
        <v>11</v>
      </c>
      <c r="D243" s="1">
        <v>6141</v>
      </c>
      <c r="J243"/>
    </row>
    <row r="244" spans="1:10">
      <c r="A244" t="s">
        <v>2205</v>
      </c>
      <c r="B244" t="s">
        <v>1962</v>
      </c>
      <c r="C244">
        <v>31</v>
      </c>
      <c r="D244" s="1">
        <v>7285</v>
      </c>
      <c r="J244"/>
    </row>
    <row r="245" spans="1:10">
      <c r="A245" t="s">
        <v>2206</v>
      </c>
      <c r="B245" t="s">
        <v>1962</v>
      </c>
      <c r="C245">
        <v>17</v>
      </c>
      <c r="D245" s="1">
        <v>6347</v>
      </c>
      <c r="J245"/>
    </row>
    <row r="246" spans="1:10">
      <c r="A246" t="s">
        <v>2207</v>
      </c>
      <c r="B246" t="s">
        <v>1964</v>
      </c>
      <c r="C246">
        <v>22</v>
      </c>
      <c r="D246" s="1">
        <v>4079</v>
      </c>
      <c r="J246"/>
    </row>
    <row r="247" spans="1:10">
      <c r="A247" t="s">
        <v>2208</v>
      </c>
      <c r="B247" t="s">
        <v>1962</v>
      </c>
      <c r="C247">
        <v>41</v>
      </c>
      <c r="D247" s="1">
        <v>4153</v>
      </c>
      <c r="J247"/>
    </row>
    <row r="248" spans="1:10">
      <c r="A248" t="s">
        <v>2209</v>
      </c>
      <c r="B248" t="s">
        <v>1962</v>
      </c>
      <c r="C248">
        <v>15</v>
      </c>
      <c r="D248" s="1">
        <v>2248</v>
      </c>
      <c r="J248"/>
    </row>
    <row r="249" spans="1:10">
      <c r="A249" t="s">
        <v>2210</v>
      </c>
      <c r="B249" t="s">
        <v>1962</v>
      </c>
      <c r="C249">
        <v>23</v>
      </c>
      <c r="D249" s="1">
        <v>7932</v>
      </c>
      <c r="J249"/>
    </row>
    <row r="250" spans="1:10">
      <c r="A250" t="s">
        <v>2211</v>
      </c>
      <c r="B250" t="s">
        <v>1962</v>
      </c>
      <c r="C250">
        <v>33</v>
      </c>
      <c r="D250" s="1">
        <v>3143</v>
      </c>
      <c r="J250"/>
    </row>
    <row r="251" spans="1:10">
      <c r="A251" t="s">
        <v>2212</v>
      </c>
      <c r="B251" t="s">
        <v>1962</v>
      </c>
      <c r="C251">
        <v>41</v>
      </c>
      <c r="D251" s="1">
        <v>8453</v>
      </c>
      <c r="J251"/>
    </row>
    <row r="252" spans="1:10">
      <c r="A252" t="s">
        <v>2213</v>
      </c>
      <c r="B252" t="s">
        <v>1962</v>
      </c>
      <c r="C252">
        <v>49</v>
      </c>
      <c r="D252" s="1">
        <v>6445</v>
      </c>
      <c r="J252"/>
    </row>
    <row r="253" spans="1:10">
      <c r="A253" t="s">
        <v>2214</v>
      </c>
      <c r="B253" t="s">
        <v>1964</v>
      </c>
      <c r="C253">
        <v>19</v>
      </c>
      <c r="D253" s="1">
        <v>6728</v>
      </c>
      <c r="J253"/>
    </row>
    <row r="254" spans="1:10">
      <c r="A254" t="s">
        <v>2215</v>
      </c>
      <c r="B254" t="s">
        <v>1964</v>
      </c>
      <c r="C254">
        <v>36</v>
      </c>
      <c r="D254" s="1">
        <v>7442</v>
      </c>
      <c r="J254"/>
    </row>
    <row r="255" spans="1:10">
      <c r="A255" t="s">
        <v>2216</v>
      </c>
      <c r="B255" t="s">
        <v>1964</v>
      </c>
      <c r="C255">
        <v>45</v>
      </c>
      <c r="D255" s="1">
        <v>5243</v>
      </c>
      <c r="J255"/>
    </row>
    <row r="256" spans="1:10">
      <c r="A256" t="s">
        <v>2217</v>
      </c>
      <c r="B256" t="s">
        <v>1964</v>
      </c>
      <c r="C256">
        <v>48</v>
      </c>
      <c r="D256" s="1">
        <v>7836</v>
      </c>
      <c r="J256"/>
    </row>
    <row r="257" spans="1:10">
      <c r="A257" t="s">
        <v>2218</v>
      </c>
      <c r="B257" t="s">
        <v>1964</v>
      </c>
      <c r="C257">
        <v>41</v>
      </c>
      <c r="D257" s="1">
        <v>3583</v>
      </c>
      <c r="J257"/>
    </row>
    <row r="258" spans="1:10">
      <c r="A258" t="s">
        <v>2219</v>
      </c>
      <c r="B258" t="s">
        <v>1964</v>
      </c>
      <c r="C258">
        <v>14</v>
      </c>
      <c r="D258" s="1">
        <v>7859</v>
      </c>
      <c r="J258"/>
    </row>
    <row r="259" spans="1:10">
      <c r="A259" t="s">
        <v>2220</v>
      </c>
      <c r="B259" t="s">
        <v>1964</v>
      </c>
      <c r="C259">
        <v>20</v>
      </c>
      <c r="D259" s="1">
        <v>5014</v>
      </c>
      <c r="J259"/>
    </row>
    <row r="260" spans="1:10">
      <c r="A260" t="s">
        <v>2221</v>
      </c>
      <c r="B260" t="s">
        <v>1962</v>
      </c>
      <c r="C260">
        <v>42</v>
      </c>
      <c r="D260" s="1">
        <v>3507</v>
      </c>
      <c r="J260"/>
    </row>
    <row r="261" spans="1:10">
      <c r="A261" t="s">
        <v>2222</v>
      </c>
      <c r="B261" t="s">
        <v>1962</v>
      </c>
      <c r="C261">
        <v>28</v>
      </c>
      <c r="D261" s="1">
        <v>2020</v>
      </c>
      <c r="J261"/>
    </row>
    <row r="262" spans="1:10">
      <c r="A262" t="s">
        <v>2223</v>
      </c>
      <c r="B262" t="s">
        <v>1962</v>
      </c>
      <c r="C262">
        <v>35</v>
      </c>
      <c r="D262" s="1">
        <v>3159</v>
      </c>
      <c r="J262"/>
    </row>
    <row r="263" spans="1:10">
      <c r="A263" t="s">
        <v>2224</v>
      </c>
      <c r="B263" t="s">
        <v>1964</v>
      </c>
      <c r="C263">
        <v>25</v>
      </c>
      <c r="D263" s="1">
        <v>5438</v>
      </c>
      <c r="J263"/>
    </row>
    <row r="264" spans="1:10">
      <c r="A264" t="s">
        <v>2225</v>
      </c>
      <c r="B264" t="s">
        <v>1962</v>
      </c>
      <c r="C264">
        <v>27</v>
      </c>
      <c r="D264" s="1">
        <v>9437</v>
      </c>
      <c r="J264"/>
    </row>
    <row r="265" spans="1:10">
      <c r="A265" t="s">
        <v>2226</v>
      </c>
      <c r="B265" t="s">
        <v>1962</v>
      </c>
      <c r="C265">
        <v>39</v>
      </c>
      <c r="D265" s="1">
        <v>6902</v>
      </c>
      <c r="J265"/>
    </row>
    <row r="266" spans="1:10">
      <c r="A266" t="s">
        <v>2227</v>
      </c>
      <c r="B266" t="s">
        <v>1964</v>
      </c>
      <c r="C266">
        <v>10</v>
      </c>
      <c r="D266" s="1">
        <v>9638</v>
      </c>
      <c r="J266"/>
    </row>
    <row r="267" spans="1:10">
      <c r="A267" t="s">
        <v>2228</v>
      </c>
      <c r="B267" t="s">
        <v>1964</v>
      </c>
      <c r="C267">
        <v>16</v>
      </c>
      <c r="D267" s="1">
        <v>4524</v>
      </c>
      <c r="J267"/>
    </row>
    <row r="268" spans="1:10">
      <c r="A268" t="s">
        <v>2229</v>
      </c>
      <c r="B268" t="s">
        <v>1964</v>
      </c>
      <c r="C268">
        <v>6</v>
      </c>
      <c r="D268" s="1">
        <v>6448</v>
      </c>
      <c r="J268"/>
    </row>
    <row r="269" spans="1:10">
      <c r="A269" t="s">
        <v>2230</v>
      </c>
      <c r="B269" t="s">
        <v>1964</v>
      </c>
      <c r="C269">
        <v>37</v>
      </c>
      <c r="D269" s="1">
        <v>2034</v>
      </c>
      <c r="J269"/>
    </row>
    <row r="270" spans="1:10">
      <c r="A270" t="s">
        <v>2231</v>
      </c>
      <c r="B270" t="s">
        <v>1964</v>
      </c>
      <c r="C270">
        <v>34</v>
      </c>
      <c r="D270" s="1">
        <v>9408</v>
      </c>
      <c r="J270"/>
    </row>
    <row r="271" spans="1:10">
      <c r="A271" t="s">
        <v>2232</v>
      </c>
      <c r="B271" t="s">
        <v>1962</v>
      </c>
      <c r="C271">
        <v>8</v>
      </c>
      <c r="D271" s="1">
        <v>5401</v>
      </c>
      <c r="J271"/>
    </row>
    <row r="272" spans="1:10">
      <c r="A272" t="s">
        <v>2233</v>
      </c>
      <c r="B272" t="s">
        <v>1962</v>
      </c>
      <c r="C272">
        <v>50</v>
      </c>
      <c r="D272" s="1">
        <v>6234</v>
      </c>
      <c r="J272"/>
    </row>
    <row r="273" spans="1:10">
      <c r="A273" t="s">
        <v>2234</v>
      </c>
      <c r="B273" t="s">
        <v>1962</v>
      </c>
      <c r="C273">
        <v>15</v>
      </c>
      <c r="D273" s="1">
        <v>4486</v>
      </c>
      <c r="J273"/>
    </row>
    <row r="274" spans="1:10">
      <c r="A274" t="s">
        <v>2235</v>
      </c>
      <c r="B274" t="s">
        <v>1962</v>
      </c>
      <c r="C274">
        <v>49</v>
      </c>
      <c r="D274" s="1">
        <v>9154</v>
      </c>
      <c r="J274"/>
    </row>
    <row r="275" spans="1:10">
      <c r="A275" t="s">
        <v>2236</v>
      </c>
      <c r="B275" t="s">
        <v>1964</v>
      </c>
      <c r="C275">
        <v>42</v>
      </c>
      <c r="D275" s="1">
        <v>9546</v>
      </c>
      <c r="J275"/>
    </row>
    <row r="276" spans="1:10">
      <c r="A276" t="s">
        <v>2237</v>
      </c>
      <c r="B276" t="s">
        <v>1962</v>
      </c>
      <c r="C276">
        <v>49</v>
      </c>
      <c r="D276" s="1">
        <v>6934</v>
      </c>
      <c r="J276"/>
    </row>
    <row r="277" spans="1:10">
      <c r="A277" t="s">
        <v>2238</v>
      </c>
      <c r="B277" t="s">
        <v>1964</v>
      </c>
      <c r="C277">
        <v>11</v>
      </c>
      <c r="D277" s="1">
        <v>5695</v>
      </c>
      <c r="J277"/>
    </row>
    <row r="278" spans="1:10">
      <c r="A278" t="s">
        <v>2239</v>
      </c>
      <c r="B278" t="s">
        <v>1962</v>
      </c>
      <c r="C278">
        <v>27</v>
      </c>
      <c r="D278" s="1">
        <v>5612</v>
      </c>
      <c r="J278"/>
    </row>
    <row r="279" spans="1:10">
      <c r="A279" t="s">
        <v>2240</v>
      </c>
      <c r="B279" t="s">
        <v>1962</v>
      </c>
      <c r="C279">
        <v>19</v>
      </c>
      <c r="D279" s="1">
        <v>3313</v>
      </c>
      <c r="J279"/>
    </row>
    <row r="280" spans="1:10">
      <c r="A280" t="s">
        <v>2241</v>
      </c>
      <c r="B280" t="s">
        <v>1962</v>
      </c>
      <c r="C280">
        <v>35</v>
      </c>
      <c r="D280" s="1">
        <v>6971</v>
      </c>
      <c r="J280"/>
    </row>
    <row r="281" spans="1:10">
      <c r="A281" t="s">
        <v>2242</v>
      </c>
      <c r="B281" t="s">
        <v>1962</v>
      </c>
      <c r="C281">
        <v>45</v>
      </c>
      <c r="D281" s="1">
        <v>3948</v>
      </c>
      <c r="J281"/>
    </row>
    <row r="282" spans="1:10">
      <c r="A282" t="s">
        <v>2243</v>
      </c>
      <c r="B282" t="s">
        <v>1964</v>
      </c>
      <c r="C282">
        <v>28</v>
      </c>
      <c r="D282" s="1">
        <v>4068</v>
      </c>
      <c r="J282"/>
    </row>
    <row r="283" spans="1:10">
      <c r="A283" t="s">
        <v>2244</v>
      </c>
      <c r="B283" t="s">
        <v>1962</v>
      </c>
      <c r="C283">
        <v>45</v>
      </c>
      <c r="D283" s="1">
        <v>5180</v>
      </c>
      <c r="J283"/>
    </row>
    <row r="284" spans="1:10">
      <c r="A284" t="s">
        <v>2245</v>
      </c>
      <c r="B284" t="s">
        <v>1962</v>
      </c>
      <c r="C284">
        <v>16</v>
      </c>
      <c r="D284" s="1">
        <v>6599</v>
      </c>
      <c r="J284"/>
    </row>
    <row r="285" spans="1:10">
      <c r="A285" t="s">
        <v>2246</v>
      </c>
      <c r="B285" t="s">
        <v>1964</v>
      </c>
      <c r="C285">
        <v>11</v>
      </c>
      <c r="D285" s="1">
        <v>4156</v>
      </c>
      <c r="J285"/>
    </row>
    <row r="286" spans="1:10">
      <c r="A286" t="s">
        <v>2247</v>
      </c>
      <c r="B286" t="s">
        <v>1962</v>
      </c>
      <c r="C286">
        <v>27</v>
      </c>
      <c r="D286" s="1">
        <v>3575</v>
      </c>
      <c r="J286"/>
    </row>
    <row r="287" spans="1:10">
      <c r="A287" t="s">
        <v>2248</v>
      </c>
      <c r="B287" t="s">
        <v>1962</v>
      </c>
      <c r="C287">
        <v>39</v>
      </c>
      <c r="D287" s="1">
        <v>6091</v>
      </c>
      <c r="J287"/>
    </row>
    <row r="288" spans="1:10">
      <c r="A288" t="s">
        <v>2249</v>
      </c>
      <c r="B288" t="s">
        <v>1962</v>
      </c>
      <c r="C288">
        <v>37</v>
      </c>
      <c r="D288" s="1">
        <v>7771</v>
      </c>
      <c r="J288"/>
    </row>
    <row r="289" spans="1:10">
      <c r="A289" t="s">
        <v>2250</v>
      </c>
      <c r="B289" t="s">
        <v>1964</v>
      </c>
      <c r="C289">
        <v>44</v>
      </c>
      <c r="D289" s="1">
        <v>9668</v>
      </c>
      <c r="J289"/>
    </row>
    <row r="290" spans="1:10">
      <c r="A290" t="s">
        <v>2251</v>
      </c>
      <c r="B290" t="s">
        <v>1962</v>
      </c>
      <c r="C290">
        <v>46</v>
      </c>
      <c r="D290" s="1">
        <v>4939</v>
      </c>
      <c r="J290"/>
    </row>
    <row r="291" spans="1:10">
      <c r="A291" t="s">
        <v>2252</v>
      </c>
      <c r="B291" t="s">
        <v>1964</v>
      </c>
      <c r="C291">
        <v>36</v>
      </c>
      <c r="D291" s="1">
        <v>4523</v>
      </c>
      <c r="J291"/>
    </row>
    <row r="292" spans="1:10">
      <c r="A292" t="s">
        <v>2253</v>
      </c>
      <c r="B292" t="s">
        <v>1962</v>
      </c>
      <c r="C292">
        <v>30</v>
      </c>
      <c r="D292" s="1">
        <v>6401</v>
      </c>
      <c r="J292"/>
    </row>
    <row r="293" spans="1:10">
      <c r="A293" t="s">
        <v>2254</v>
      </c>
      <c r="B293" t="s">
        <v>1962</v>
      </c>
      <c r="C293">
        <v>35</v>
      </c>
      <c r="D293" s="1">
        <v>6841</v>
      </c>
      <c r="J293"/>
    </row>
    <row r="294" spans="1:10">
      <c r="A294" t="s">
        <v>2255</v>
      </c>
      <c r="B294" t="s">
        <v>1964</v>
      </c>
      <c r="C294">
        <v>17</v>
      </c>
      <c r="D294" s="1">
        <v>4702</v>
      </c>
      <c r="J294"/>
    </row>
    <row r="295" spans="1:10">
      <c r="A295" t="s">
        <v>2256</v>
      </c>
      <c r="B295" t="s">
        <v>1964</v>
      </c>
      <c r="C295">
        <v>24</v>
      </c>
      <c r="D295" s="1">
        <v>9743</v>
      </c>
      <c r="J295"/>
    </row>
    <row r="296" spans="1:10">
      <c r="A296" t="s">
        <v>2257</v>
      </c>
      <c r="B296" t="s">
        <v>1962</v>
      </c>
      <c r="C296">
        <v>33</v>
      </c>
      <c r="D296" s="1">
        <v>3376</v>
      </c>
      <c r="J296"/>
    </row>
    <row r="297" spans="1:10">
      <c r="A297" t="s">
        <v>2258</v>
      </c>
      <c r="B297" t="s">
        <v>1964</v>
      </c>
      <c r="C297">
        <v>38</v>
      </c>
      <c r="D297" s="1">
        <v>3995</v>
      </c>
      <c r="J297"/>
    </row>
    <row r="298" spans="1:10">
      <c r="A298" t="s">
        <v>2259</v>
      </c>
      <c r="B298" t="s">
        <v>1962</v>
      </c>
      <c r="C298">
        <v>30.1724690792487</v>
      </c>
      <c r="D298" s="1">
        <v>5083</v>
      </c>
      <c r="J298"/>
    </row>
    <row r="299" spans="1:10">
      <c r="A299" t="s">
        <v>2260</v>
      </c>
      <c r="B299" t="s">
        <v>1964</v>
      </c>
      <c r="C299">
        <v>30.189669253228601</v>
      </c>
      <c r="D299" s="1">
        <v>2327</v>
      </c>
      <c r="J299"/>
    </row>
    <row r="300" spans="1:10">
      <c r="A300" t="s">
        <v>2261</v>
      </c>
      <c r="B300" t="s">
        <v>1964</v>
      </c>
      <c r="C300">
        <v>30.2068694272084</v>
      </c>
      <c r="D300" s="1">
        <v>3346</v>
      </c>
      <c r="J300"/>
    </row>
  </sheetData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AFEB-9926-424B-A3E5-85BA203139D5}">
  <dimension ref="A3:B7"/>
  <sheetViews>
    <sheetView workbookViewId="0">
      <selection activeCell="C22" sqref="C22"/>
    </sheetView>
  </sheetViews>
  <sheetFormatPr defaultRowHeight="14.5"/>
  <cols>
    <col min="1" max="1" width="17" bestFit="1" customWidth="1"/>
    <col min="2" max="2" width="18.6328125" bestFit="1" customWidth="1"/>
  </cols>
  <sheetData>
    <row r="3" spans="1:2">
      <c r="A3" s="25" t="s">
        <v>2264</v>
      </c>
      <c r="B3" t="s">
        <v>2267</v>
      </c>
    </row>
    <row r="4" spans="1:2">
      <c r="A4" s="26" t="s">
        <v>1964</v>
      </c>
      <c r="B4" s="1">
        <v>839171</v>
      </c>
    </row>
    <row r="5" spans="1:2">
      <c r="A5" s="26" t="s">
        <v>1958</v>
      </c>
      <c r="B5" s="1">
        <v>0</v>
      </c>
    </row>
    <row r="6" spans="1:2">
      <c r="A6" s="26" t="s">
        <v>1962</v>
      </c>
      <c r="B6" s="1">
        <v>963171</v>
      </c>
    </row>
    <row r="7" spans="1:2">
      <c r="A7" s="26" t="s">
        <v>2265</v>
      </c>
      <c r="B7" s="1">
        <v>1802342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A187-5770-441B-A48D-9DF0EF9E47E5}">
  <dimension ref="A3:K7"/>
  <sheetViews>
    <sheetView workbookViewId="0">
      <selection activeCell="J30" sqref="J30"/>
    </sheetView>
  </sheetViews>
  <sheetFormatPr defaultRowHeight="14.5"/>
  <cols>
    <col min="1" max="1" width="29.26953125" customWidth="1"/>
    <col min="2" max="2" width="33.90625" customWidth="1"/>
    <col min="5" max="5" width="22.6328125" customWidth="1"/>
    <col min="6" max="6" width="25.7265625" customWidth="1"/>
    <col min="7" max="7" width="24" customWidth="1"/>
    <col min="10" max="10" width="27.08984375" customWidth="1"/>
    <col min="11" max="11" width="36.90625" customWidth="1"/>
  </cols>
  <sheetData>
    <row r="3" spans="1:11">
      <c r="A3" s="25" t="s">
        <v>2264</v>
      </c>
      <c r="B3" t="s">
        <v>2263</v>
      </c>
      <c r="E3" s="25" t="s">
        <v>2264</v>
      </c>
      <c r="F3" s="25" t="s">
        <v>2263</v>
      </c>
      <c r="G3" t="s">
        <v>2266</v>
      </c>
      <c r="J3" s="25" t="s">
        <v>2264</v>
      </c>
      <c r="K3" t="s">
        <v>2267</v>
      </c>
    </row>
    <row r="4" spans="1:11">
      <c r="A4" s="26" t="s">
        <v>1179</v>
      </c>
      <c r="B4" s="1">
        <v>16410000</v>
      </c>
      <c r="E4" s="26" t="s">
        <v>1656</v>
      </c>
      <c r="F4" s="16">
        <v>7735844</v>
      </c>
      <c r="G4" s="1">
        <v>45610</v>
      </c>
      <c r="J4" s="26" t="s">
        <v>1964</v>
      </c>
      <c r="K4" s="1">
        <v>839171</v>
      </c>
    </row>
    <row r="5" spans="1:11">
      <c r="A5" s="26" t="s">
        <v>1173</v>
      </c>
      <c r="B5" s="1">
        <v>12905000</v>
      </c>
      <c r="E5" s="26" t="s">
        <v>1658</v>
      </c>
      <c r="F5" s="16">
        <v>7919145</v>
      </c>
      <c r="G5" s="1">
        <v>59337</v>
      </c>
      <c r="J5" s="26" t="s">
        <v>1958</v>
      </c>
      <c r="K5" s="1">
        <v>0</v>
      </c>
    </row>
    <row r="6" spans="1:11">
      <c r="A6" s="26" t="s">
        <v>1176</v>
      </c>
      <c r="B6" s="1">
        <v>17825000</v>
      </c>
      <c r="E6" s="26" t="s">
        <v>2265</v>
      </c>
      <c r="F6" s="16">
        <v>15654989</v>
      </c>
      <c r="G6" s="1">
        <v>104947</v>
      </c>
      <c r="J6" s="26" t="s">
        <v>1962</v>
      </c>
      <c r="K6" s="1">
        <v>963171</v>
      </c>
    </row>
    <row r="7" spans="1:11">
      <c r="A7" s="26" t="s">
        <v>2265</v>
      </c>
      <c r="B7" s="1">
        <v>47140000</v>
      </c>
      <c r="J7" s="26" t="s">
        <v>2265</v>
      </c>
      <c r="K7" s="1">
        <v>1802342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6:D10"/>
  <sheetViews>
    <sheetView workbookViewId="0">
      <selection activeCell="P27" sqref="P27"/>
    </sheetView>
  </sheetViews>
  <sheetFormatPr defaultColWidth="9" defaultRowHeight="14.5"/>
  <cols>
    <col min="3" max="3" width="17" bestFit="1" customWidth="1"/>
    <col min="4" max="4" width="18.6328125" bestFit="1" customWidth="1"/>
  </cols>
  <sheetData>
    <row r="6" spans="3:4">
      <c r="C6" s="25" t="s">
        <v>2264</v>
      </c>
      <c r="D6" t="s">
        <v>2267</v>
      </c>
    </row>
    <row r="7" spans="3:4">
      <c r="C7" s="26" t="s">
        <v>1964</v>
      </c>
      <c r="D7" s="1">
        <v>839171</v>
      </c>
    </row>
    <row r="8" spans="3:4">
      <c r="C8" s="26" t="s">
        <v>1958</v>
      </c>
      <c r="D8" s="1">
        <v>0</v>
      </c>
    </row>
    <row r="9" spans="3:4">
      <c r="C9" s="26" t="s">
        <v>1962</v>
      </c>
      <c r="D9" s="1">
        <v>963171</v>
      </c>
    </row>
    <row r="10" spans="3:4">
      <c r="C10" s="26" t="s">
        <v>2265</v>
      </c>
      <c r="D10" s="1">
        <v>1802342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1-Instrucoes</vt:lpstr>
      <vt:lpstr>Administracao</vt:lpstr>
      <vt:lpstr>RH</vt:lpstr>
      <vt:lpstr>Financas</vt:lpstr>
      <vt:lpstr>Stock</vt:lpstr>
      <vt:lpstr>Tabela Dinamica</vt:lpstr>
      <vt:lpstr>Tabela + Gráficos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Utilizador</cp:lastModifiedBy>
  <dcterms:created xsi:type="dcterms:W3CDTF">2026-05-03T17:59:00Z</dcterms:created>
  <dcterms:modified xsi:type="dcterms:W3CDTF">2026-06-06T08:52:57Z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56A34CC654CA40AEBD6F92037CFAD300_12</vt:lpwstr>
  </property>
  <property fmtid="{D5CDD505-2E9C-101B-9397-08002B2CF9AE}" pid="3" name="KSOProductBuildVer">
    <vt:lpwstr>2070-12.1.0.26372</vt:lpwstr>
  </property>
  <property fmtid="{D5CDD505-2E9C-101B-9397-08002B2CF9AE}" pid="4" name="CalculationRule">
    <vt:i4>0</vt:i4>
  </property>
</Properties>
</file>