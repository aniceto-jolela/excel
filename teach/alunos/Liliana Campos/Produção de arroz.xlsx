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sej\Documents\Git\excel\teach\alunos\Liliana Campos\"/>
    </mc:Choice>
  </mc:AlternateContent>
  <bookViews>
    <workbookView xWindow="0" yWindow="0" windowWidth="20490" windowHeight="7530" activeTab="5"/>
  </bookViews>
  <sheets>
    <sheet name="!" sheetId="6" r:id="rId1"/>
    <sheet name="A" sheetId="1" r:id="rId2"/>
    <sheet name="B" sheetId="2" r:id="rId3"/>
    <sheet name="C" sheetId="4" r:id="rId4"/>
    <sheet name="D" sheetId="5" r:id="rId5"/>
    <sheet name="E" sheetId="7" r:id="rId6"/>
  </sheets>
  <definedNames>
    <definedName name="SegmentaçãodeDados_Unidade">#N/A</definedName>
    <definedName name="SegmentaçãodeDados_Unidade1">#N/A</definedName>
    <definedName name="SegmentaçãodeDados_Unidade11">#N/A</definedName>
    <definedName name="SegmentaçãodeDados_Unidade111">#N/A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  <x14:slicerCache r:id="rId9"/>
        <x14:slicerCache r:id="rId10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7" l="1"/>
  <c r="M4" i="7"/>
  <c r="J4" i="7"/>
  <c r="G4" i="7"/>
  <c r="M3" i="7"/>
  <c r="M5" i="5"/>
  <c r="M4" i="5"/>
  <c r="M3" i="5"/>
  <c r="J4" i="5"/>
  <c r="G4" i="5"/>
  <c r="J4" i="4"/>
  <c r="G4" i="4"/>
</calcChain>
</file>

<file path=xl/sharedStrings.xml><?xml version="1.0" encoding="utf-8"?>
<sst xmlns="http://schemas.openxmlformats.org/spreadsheetml/2006/main" count="132" uniqueCount="25">
  <si>
    <t>Luanda</t>
  </si>
  <si>
    <t>Beguela</t>
  </si>
  <si>
    <t>Bié</t>
  </si>
  <si>
    <t>Huila</t>
  </si>
  <si>
    <t>Luanda-Norte</t>
  </si>
  <si>
    <t>Kwanza-Sul</t>
  </si>
  <si>
    <t>Huambo</t>
  </si>
  <si>
    <t>Cunene</t>
  </si>
  <si>
    <t>Produção</t>
  </si>
  <si>
    <t>Província</t>
  </si>
  <si>
    <t>Unidade</t>
  </si>
  <si>
    <t>LA</t>
  </si>
  <si>
    <t>BE</t>
  </si>
  <si>
    <t>BI</t>
  </si>
  <si>
    <t>HU</t>
  </si>
  <si>
    <t>LU</t>
  </si>
  <si>
    <t>KW</t>
  </si>
  <si>
    <t>CU</t>
  </si>
  <si>
    <t>Total</t>
  </si>
  <si>
    <t>Média</t>
  </si>
  <si>
    <t>Min</t>
  </si>
  <si>
    <t>Max</t>
  </si>
  <si>
    <t>Nº</t>
  </si>
  <si>
    <t>Visualização de Dados : Produção de saco de Arroz</t>
  </si>
  <si>
    <t>Visualização de Dados : Produção de sacos de Arroz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</si>
</sst>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4" fillId="2" borderId="0" xfId="0" applyFont="1" applyFill="1"/>
    <xf numFmtId="0" fontId="0" fillId="3" borderId="0" xfId="0" applyFill="1"/>
    <xf numFmtId="0" fontId="2" fillId="3" borderId="0" xfId="0" applyFont="1" applyFill="1"/>
    <xf numFmtId="0" fontId="1" fillId="4" borderId="0" xfId="0" applyFont="1" applyFill="1"/>
    <xf numFmtId="0" fontId="0" fillId="4" borderId="0" xfId="0" applyFill="1"/>
    <xf numFmtId="0" fontId="3" fillId="2" borderId="1" xfId="1" applyFont="1" applyFill="1"/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B!$D$7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B!$B$8:$B$15</c:f>
              <c:strCache>
                <c:ptCount val="8"/>
                <c:pt idx="0">
                  <c:v>LA</c:v>
                </c:pt>
                <c:pt idx="1">
                  <c:v>BE</c:v>
                </c:pt>
                <c:pt idx="2">
                  <c:v>BI</c:v>
                </c:pt>
                <c:pt idx="3">
                  <c:v>HU</c:v>
                </c:pt>
                <c:pt idx="4">
                  <c:v>LU</c:v>
                </c:pt>
                <c:pt idx="5">
                  <c:v>KW</c:v>
                </c:pt>
                <c:pt idx="6">
                  <c:v>HU</c:v>
                </c:pt>
                <c:pt idx="7">
                  <c:v>CU</c:v>
                </c:pt>
              </c:strCache>
            </c:strRef>
          </c:cat>
          <c:val>
            <c:numRef>
              <c:f>B!$D$8:$D$15</c:f>
              <c:numCache>
                <c:formatCode>General</c:formatCode>
                <c:ptCount val="8"/>
                <c:pt idx="0">
                  <c:v>3453453</c:v>
                </c:pt>
                <c:pt idx="1">
                  <c:v>2344534</c:v>
                </c:pt>
                <c:pt idx="2">
                  <c:v>354545</c:v>
                </c:pt>
                <c:pt idx="3">
                  <c:v>1335456</c:v>
                </c:pt>
                <c:pt idx="4">
                  <c:v>654546</c:v>
                </c:pt>
                <c:pt idx="5">
                  <c:v>565654</c:v>
                </c:pt>
                <c:pt idx="6">
                  <c:v>3254565</c:v>
                </c:pt>
                <c:pt idx="7">
                  <c:v>4346566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0-4B15-961D-C4E450DDE4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567296"/>
        <c:axId val="1943568544"/>
      </c:barChart>
      <c:catAx>
        <c:axId val="194356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3568544"/>
        <c:crosses val="autoZero"/>
        <c:auto val="1"/>
        <c:lblAlgn val="ctr"/>
        <c:lblOffset val="100"/>
        <c:noMultiLvlLbl val="0"/>
      </c:catAx>
      <c:valAx>
        <c:axId val="1943568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356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'C'!$D$7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'C'!$B$8:$B$15</c:f>
              <c:strCache>
                <c:ptCount val="8"/>
                <c:pt idx="0">
                  <c:v>LA</c:v>
                </c:pt>
                <c:pt idx="1">
                  <c:v>BE</c:v>
                </c:pt>
                <c:pt idx="2">
                  <c:v>BI</c:v>
                </c:pt>
                <c:pt idx="3">
                  <c:v>HU</c:v>
                </c:pt>
                <c:pt idx="4">
                  <c:v>LU</c:v>
                </c:pt>
                <c:pt idx="5">
                  <c:v>KW</c:v>
                </c:pt>
                <c:pt idx="6">
                  <c:v>HU</c:v>
                </c:pt>
                <c:pt idx="7">
                  <c:v>CU</c:v>
                </c:pt>
              </c:strCache>
            </c:strRef>
          </c:cat>
          <c:val>
            <c:numRef>
              <c:f>'C'!$D$8:$D$15</c:f>
              <c:numCache>
                <c:formatCode>General</c:formatCode>
                <c:ptCount val="8"/>
                <c:pt idx="0">
                  <c:v>3453453</c:v>
                </c:pt>
                <c:pt idx="1">
                  <c:v>2344534</c:v>
                </c:pt>
                <c:pt idx="2">
                  <c:v>354545</c:v>
                </c:pt>
                <c:pt idx="3">
                  <c:v>1335456</c:v>
                </c:pt>
                <c:pt idx="4">
                  <c:v>654546</c:v>
                </c:pt>
                <c:pt idx="5">
                  <c:v>565654</c:v>
                </c:pt>
                <c:pt idx="6">
                  <c:v>3254565</c:v>
                </c:pt>
                <c:pt idx="7">
                  <c:v>4346566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4-470F-AC29-EBA9182213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567296"/>
        <c:axId val="1943568544"/>
      </c:barChart>
      <c:catAx>
        <c:axId val="194356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3568544"/>
        <c:crosses val="autoZero"/>
        <c:auto val="1"/>
        <c:lblAlgn val="ctr"/>
        <c:lblOffset val="100"/>
        <c:noMultiLvlLbl val="0"/>
      </c:catAx>
      <c:valAx>
        <c:axId val="1943568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35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D!$D$7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D!$B$8:$B$15</c:f>
              <c:strCache>
                <c:ptCount val="8"/>
                <c:pt idx="0">
                  <c:v>LA</c:v>
                </c:pt>
                <c:pt idx="1">
                  <c:v>BE</c:v>
                </c:pt>
                <c:pt idx="2">
                  <c:v>BI</c:v>
                </c:pt>
                <c:pt idx="3">
                  <c:v>HU</c:v>
                </c:pt>
                <c:pt idx="4">
                  <c:v>LU</c:v>
                </c:pt>
                <c:pt idx="5">
                  <c:v>KW</c:v>
                </c:pt>
                <c:pt idx="6">
                  <c:v>HU</c:v>
                </c:pt>
                <c:pt idx="7">
                  <c:v>CU</c:v>
                </c:pt>
              </c:strCache>
            </c:strRef>
          </c:cat>
          <c:val>
            <c:numRef>
              <c:f>D!$D$8:$D$15</c:f>
              <c:numCache>
                <c:formatCode>General</c:formatCode>
                <c:ptCount val="8"/>
                <c:pt idx="0">
                  <c:v>3453453</c:v>
                </c:pt>
                <c:pt idx="1">
                  <c:v>2344534</c:v>
                </c:pt>
                <c:pt idx="2">
                  <c:v>354545</c:v>
                </c:pt>
                <c:pt idx="3">
                  <c:v>1335456</c:v>
                </c:pt>
                <c:pt idx="4">
                  <c:v>654546</c:v>
                </c:pt>
                <c:pt idx="5">
                  <c:v>565654</c:v>
                </c:pt>
                <c:pt idx="6">
                  <c:v>3254565</c:v>
                </c:pt>
                <c:pt idx="7">
                  <c:v>4346566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B0-4EF3-AB61-E3E37633CB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567296"/>
        <c:axId val="1943568544"/>
      </c:barChart>
      <c:catAx>
        <c:axId val="194356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3568544"/>
        <c:crosses val="autoZero"/>
        <c:auto val="1"/>
        <c:lblAlgn val="ctr"/>
        <c:lblOffset val="100"/>
        <c:noMultiLvlLbl val="0"/>
      </c:catAx>
      <c:valAx>
        <c:axId val="1943568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35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E!$D$7</c:f>
              <c:strCache>
                <c:ptCount val="1"/>
                <c:pt idx="0">
                  <c:v>Produção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E!$B$8:$B$15</c:f>
              <c:strCache>
                <c:ptCount val="8"/>
                <c:pt idx="0">
                  <c:v>LA</c:v>
                </c:pt>
                <c:pt idx="1">
                  <c:v>BE</c:v>
                </c:pt>
                <c:pt idx="2">
                  <c:v>BI</c:v>
                </c:pt>
                <c:pt idx="3">
                  <c:v>HU</c:v>
                </c:pt>
                <c:pt idx="4">
                  <c:v>LU</c:v>
                </c:pt>
                <c:pt idx="5">
                  <c:v>KW</c:v>
                </c:pt>
                <c:pt idx="6">
                  <c:v>HU</c:v>
                </c:pt>
                <c:pt idx="7">
                  <c:v>CU</c:v>
                </c:pt>
              </c:strCache>
            </c:strRef>
          </c:cat>
          <c:val>
            <c:numRef>
              <c:f>E!$D$8:$D$15</c:f>
              <c:numCache>
                <c:formatCode>General</c:formatCode>
                <c:ptCount val="8"/>
                <c:pt idx="0">
                  <c:v>3453453</c:v>
                </c:pt>
                <c:pt idx="1">
                  <c:v>2344534</c:v>
                </c:pt>
                <c:pt idx="2">
                  <c:v>354545</c:v>
                </c:pt>
                <c:pt idx="3">
                  <c:v>1335456</c:v>
                </c:pt>
                <c:pt idx="4">
                  <c:v>654546</c:v>
                </c:pt>
                <c:pt idx="5">
                  <c:v>565654</c:v>
                </c:pt>
                <c:pt idx="6">
                  <c:v>3254565</c:v>
                </c:pt>
                <c:pt idx="7">
                  <c:v>4346566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5-4D90-887F-7C542F20D4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43567296"/>
        <c:axId val="1943568544"/>
      </c:barChart>
      <c:catAx>
        <c:axId val="19435672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3568544"/>
        <c:crosses val="autoZero"/>
        <c:auto val="1"/>
        <c:lblAlgn val="ctr"/>
        <c:lblOffset val="100"/>
        <c:noMultiLvlLbl val="0"/>
      </c:catAx>
      <c:valAx>
        <c:axId val="19435685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4356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28575</xdr:rowOff>
    </xdr:from>
    <xdr:to>
      <xdr:col>4</xdr:col>
      <xdr:colOff>9525</xdr:colOff>
      <xdr:row>5</xdr:row>
      <xdr:rowOff>152400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Unida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1025"/>
              <a:ext cx="34004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295275</xdr:colOff>
      <xdr:row>5</xdr:row>
      <xdr:rowOff>119062</xdr:rowOff>
    </xdr:from>
    <xdr:to>
      <xdr:col>12</xdr:col>
      <xdr:colOff>600075</xdr:colOff>
      <xdr:row>20</xdr:row>
      <xdr:rowOff>4762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28575</xdr:rowOff>
    </xdr:from>
    <xdr:to>
      <xdr:col>4</xdr:col>
      <xdr:colOff>9525</xdr:colOff>
      <xdr:row>5</xdr:row>
      <xdr:rowOff>152400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Unidad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1025"/>
              <a:ext cx="34004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5</xdr:row>
      <xdr:rowOff>119062</xdr:rowOff>
    </xdr:from>
    <xdr:to>
      <xdr:col>12</xdr:col>
      <xdr:colOff>600075</xdr:colOff>
      <xdr:row>20</xdr:row>
      <xdr:rowOff>4762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38100</xdr:rowOff>
    </xdr:from>
    <xdr:to>
      <xdr:col>4</xdr:col>
      <xdr:colOff>9525</xdr:colOff>
      <xdr:row>5</xdr:row>
      <xdr:rowOff>161925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Unidade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1025"/>
              <a:ext cx="34004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5</xdr:row>
      <xdr:rowOff>119062</xdr:rowOff>
    </xdr:from>
    <xdr:to>
      <xdr:col>12</xdr:col>
      <xdr:colOff>600075</xdr:colOff>
      <xdr:row>20</xdr:row>
      <xdr:rowOff>4762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38100</xdr:rowOff>
    </xdr:from>
    <xdr:to>
      <xdr:col>4</xdr:col>
      <xdr:colOff>9525</xdr:colOff>
      <xdr:row>5</xdr:row>
      <xdr:rowOff>161925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Unidad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dade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581025"/>
              <a:ext cx="3400425" cy="695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5</xdr:row>
      <xdr:rowOff>119062</xdr:rowOff>
    </xdr:from>
    <xdr:to>
      <xdr:col>12</xdr:col>
      <xdr:colOff>600075</xdr:colOff>
      <xdr:row>20</xdr:row>
      <xdr:rowOff>4762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Unidade" sourceName="Unidade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Unidade1" sourceName="Unidade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Unidade11" sourceName="Unidade">
  <extLst>
    <x:ext xmlns:x15="http://schemas.microsoft.com/office/spreadsheetml/2010/11/main" uri="{2F2917AC-EB37-4324-AD4E-5DD8C200BD13}">
      <x15:tableSlicerCache tableId="5" column="1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Unidade111" sourceName="Unidade">
  <extLst>
    <x:ext xmlns:x15="http://schemas.microsoft.com/office/spreadsheetml/2010/11/main" uri="{2F2917AC-EB37-4324-AD4E-5DD8C200BD13}">
      <x15:tableSlicerCache tableId="8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dade" cache="SegmentaçãodeDados_Unidade" caption="Unidade" columnCount="7" style="SlicerStyleOther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dade 1" cache="SegmentaçãodeDados_Unidade1" caption="Unidade" columnCount="7" style="SlicerStyleOther2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dade 2" cache="SegmentaçãodeDados_Unidade11" caption="Unidade" columnCount="7" style="SlicerStyleOther2" rowHeight="2413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Unidade 3" cache="SegmentaçãodeDados_Unidade111" caption="Unidade" columnCount="7" style="SlicerStyleOther2" rowHeight="241300"/>
</slicers>
</file>

<file path=xl/tables/table1.xml><?xml version="1.0" encoding="utf-8"?>
<table xmlns="http://schemas.openxmlformats.org/spreadsheetml/2006/main" id="6" name="Tabela17" displayName="Tabela17" ref="A4:C12" totalsRowShown="0">
  <tableColumns count="3">
    <tableColumn id="1" name="Unidade"/>
    <tableColumn id="2" name="Província"/>
    <tableColumn id="3" name="Produção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A4:C12" totalsRowShown="0">
  <autoFilter ref="A4:C12"/>
  <tableColumns count="3">
    <tableColumn id="1" name="Unidade"/>
    <tableColumn id="2" name="Província"/>
    <tableColumn id="3" name="Produ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ela13" displayName="Tabela13" ref="B7:D15" totalsRowShown="0">
  <autoFilter ref="B7:D15"/>
  <tableColumns count="3">
    <tableColumn id="1" name="Unidade"/>
    <tableColumn id="2" name="Província"/>
    <tableColumn id="3" name="Produçã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ela135" displayName="Tabela135" ref="B7:D15" totalsRowShown="0">
  <autoFilter ref="B7:D15"/>
  <tableColumns count="3">
    <tableColumn id="1" name="Unidade"/>
    <tableColumn id="2" name="Província"/>
    <tableColumn id="3" name="Produçã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ela1356" displayName="Tabela1356" ref="B7:D15" totalsRowShown="0">
  <autoFilter ref="B7:D15"/>
  <tableColumns count="3">
    <tableColumn id="1" name="Unidade"/>
    <tableColumn id="2" name="Província"/>
    <tableColumn id="3" name="Produçã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8" name="Tabela13569" displayName="Tabela13569" ref="B7:D15" totalsRowShown="0">
  <autoFilter ref="B7:D15"/>
  <tableColumns count="3">
    <tableColumn id="1" name="Unidade"/>
    <tableColumn id="2" name="Província"/>
    <tableColumn id="3" name="Produ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7" sqref="F7"/>
    </sheetView>
  </sheetViews>
  <sheetFormatPr defaultRowHeight="15" x14ac:dyDescent="0.25"/>
  <cols>
    <col min="1" max="1" width="10.7109375" customWidth="1"/>
    <col min="2" max="2" width="11.28515625" customWidth="1"/>
    <col min="3" max="3" width="11.42578125" customWidth="1"/>
  </cols>
  <sheetData>
    <row r="1" spans="1:3" x14ac:dyDescent="0.25">
      <c r="A1" t="s">
        <v>24</v>
      </c>
    </row>
    <row r="4" spans="1:3" x14ac:dyDescent="0.25">
      <c r="A4" t="s">
        <v>10</v>
      </c>
      <c r="B4" t="s">
        <v>9</v>
      </c>
      <c r="C4" t="s">
        <v>8</v>
      </c>
    </row>
    <row r="5" spans="1:3" x14ac:dyDescent="0.25">
      <c r="A5" t="s">
        <v>11</v>
      </c>
      <c r="B5" t="s">
        <v>0</v>
      </c>
      <c r="C5">
        <v>3453453</v>
      </c>
    </row>
    <row r="6" spans="1:3" x14ac:dyDescent="0.25">
      <c r="A6" t="s">
        <v>12</v>
      </c>
      <c r="B6" t="s">
        <v>1</v>
      </c>
      <c r="C6">
        <v>343</v>
      </c>
    </row>
    <row r="7" spans="1:3" x14ac:dyDescent="0.25">
      <c r="A7" t="s">
        <v>13</v>
      </c>
      <c r="B7" t="s">
        <v>2</v>
      </c>
      <c r="C7">
        <v>52323</v>
      </c>
    </row>
    <row r="8" spans="1:3" x14ac:dyDescent="0.25">
      <c r="A8" t="s">
        <v>14</v>
      </c>
      <c r="B8" t="s">
        <v>3</v>
      </c>
      <c r="C8">
        <v>21444</v>
      </c>
    </row>
    <row r="9" spans="1:3" x14ac:dyDescent="0.25">
      <c r="A9" t="s">
        <v>15</v>
      </c>
      <c r="B9" t="s">
        <v>4</v>
      </c>
      <c r="C9">
        <v>23344</v>
      </c>
    </row>
    <row r="10" spans="1:3" x14ac:dyDescent="0.25">
      <c r="A10" t="s">
        <v>16</v>
      </c>
      <c r="B10" t="s">
        <v>5</v>
      </c>
      <c r="C10">
        <v>6442</v>
      </c>
    </row>
    <row r="11" spans="1:3" x14ac:dyDescent="0.25">
      <c r="A11" t="s">
        <v>14</v>
      </c>
      <c r="B11" t="s">
        <v>6</v>
      </c>
      <c r="C11">
        <v>3323</v>
      </c>
    </row>
    <row r="12" spans="1:3" x14ac:dyDescent="0.25">
      <c r="A12" t="s">
        <v>17</v>
      </c>
      <c r="B12" t="s">
        <v>7</v>
      </c>
      <c r="C12">
        <v>64534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H18" sqref="H18"/>
    </sheetView>
  </sheetViews>
  <sheetFormatPr defaultRowHeight="15" x14ac:dyDescent="0.25"/>
  <cols>
    <col min="1" max="1" width="10.7109375" customWidth="1"/>
    <col min="2" max="2" width="11.28515625" customWidth="1"/>
    <col min="3" max="3" width="11.42578125" customWidth="1"/>
  </cols>
  <sheetData>
    <row r="1" spans="1:11" ht="28.5" x14ac:dyDescent="0.4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spans="1:11" x14ac:dyDescent="0.25">
      <c r="A4" t="s">
        <v>10</v>
      </c>
      <c r="B4" t="s">
        <v>9</v>
      </c>
      <c r="C4" t="s">
        <v>8</v>
      </c>
    </row>
    <row r="5" spans="1:11" x14ac:dyDescent="0.25">
      <c r="A5" t="s">
        <v>11</v>
      </c>
      <c r="B5" t="s">
        <v>0</v>
      </c>
      <c r="C5">
        <v>3453453</v>
      </c>
    </row>
    <row r="6" spans="1:11" x14ac:dyDescent="0.25">
      <c r="A6" t="s">
        <v>12</v>
      </c>
      <c r="B6" t="s">
        <v>1</v>
      </c>
      <c r="C6">
        <v>343</v>
      </c>
    </row>
    <row r="7" spans="1:11" x14ac:dyDescent="0.25">
      <c r="A7" t="s">
        <v>13</v>
      </c>
      <c r="B7" t="s">
        <v>2</v>
      </c>
      <c r="C7">
        <v>52323</v>
      </c>
    </row>
    <row r="8" spans="1:11" x14ac:dyDescent="0.25">
      <c r="A8" t="s">
        <v>14</v>
      </c>
      <c r="B8" t="s">
        <v>3</v>
      </c>
      <c r="C8">
        <v>21444</v>
      </c>
    </row>
    <row r="9" spans="1:11" x14ac:dyDescent="0.25">
      <c r="A9" t="s">
        <v>15</v>
      </c>
      <c r="B9" t="s">
        <v>4</v>
      </c>
      <c r="C9">
        <v>23344</v>
      </c>
    </row>
    <row r="10" spans="1:11" x14ac:dyDescent="0.25">
      <c r="A10" t="s">
        <v>16</v>
      </c>
      <c r="B10" t="s">
        <v>5</v>
      </c>
      <c r="C10">
        <v>6442</v>
      </c>
    </row>
    <row r="11" spans="1:11" x14ac:dyDescent="0.25">
      <c r="A11" t="s">
        <v>14</v>
      </c>
      <c r="B11" t="s">
        <v>6</v>
      </c>
      <c r="C11">
        <v>3323</v>
      </c>
    </row>
    <row r="12" spans="1:11" x14ac:dyDescent="0.25">
      <c r="A12" t="s">
        <v>17</v>
      </c>
      <c r="B12" t="s">
        <v>7</v>
      </c>
      <c r="C12">
        <v>64534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workbookViewId="0">
      <selection activeCell="C20" sqref="C20"/>
    </sheetView>
  </sheetViews>
  <sheetFormatPr defaultRowHeight="15" x14ac:dyDescent="0.25"/>
  <cols>
    <col min="1" max="1" width="10.7109375" customWidth="1"/>
    <col min="2" max="2" width="11.28515625" customWidth="1"/>
    <col min="3" max="3" width="15.7109375" customWidth="1"/>
    <col min="4" max="4" width="13.140625" customWidth="1"/>
  </cols>
  <sheetData>
    <row r="1" spans="1:13" ht="28.5" x14ac:dyDescent="0.45">
      <c r="A1" s="1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7" spans="1:13" x14ac:dyDescent="0.25">
      <c r="B7" t="s">
        <v>10</v>
      </c>
      <c r="C7" t="s">
        <v>9</v>
      </c>
      <c r="D7" t="s">
        <v>8</v>
      </c>
    </row>
    <row r="8" spans="1:13" x14ac:dyDescent="0.25">
      <c r="B8" t="s">
        <v>11</v>
      </c>
      <c r="C8" t="s">
        <v>0</v>
      </c>
      <c r="D8">
        <v>3453453</v>
      </c>
    </row>
    <row r="9" spans="1:13" x14ac:dyDescent="0.25">
      <c r="B9" t="s">
        <v>12</v>
      </c>
      <c r="C9" t="s">
        <v>1</v>
      </c>
      <c r="D9">
        <v>2344534</v>
      </c>
    </row>
    <row r="10" spans="1:13" x14ac:dyDescent="0.25">
      <c r="B10" t="s">
        <v>13</v>
      </c>
      <c r="C10" t="s">
        <v>2</v>
      </c>
      <c r="D10">
        <v>354545</v>
      </c>
    </row>
    <row r="11" spans="1:13" x14ac:dyDescent="0.25">
      <c r="B11" t="s">
        <v>14</v>
      </c>
      <c r="C11" t="s">
        <v>3</v>
      </c>
      <c r="D11">
        <v>1335456</v>
      </c>
    </row>
    <row r="12" spans="1:13" x14ac:dyDescent="0.25">
      <c r="B12" t="s">
        <v>15</v>
      </c>
      <c r="C12" t="s">
        <v>4</v>
      </c>
      <c r="D12">
        <v>654546</v>
      </c>
    </row>
    <row r="13" spans="1:13" x14ac:dyDescent="0.25">
      <c r="B13" t="s">
        <v>16</v>
      </c>
      <c r="C13" t="s">
        <v>5</v>
      </c>
      <c r="D13">
        <v>565654</v>
      </c>
    </row>
    <row r="14" spans="1:13" x14ac:dyDescent="0.25">
      <c r="B14" t="s">
        <v>14</v>
      </c>
      <c r="C14" t="s">
        <v>6</v>
      </c>
      <c r="D14">
        <v>3254565</v>
      </c>
    </row>
    <row r="15" spans="1:13" x14ac:dyDescent="0.25">
      <c r="B15" t="s">
        <v>17</v>
      </c>
      <c r="C15" t="s">
        <v>7</v>
      </c>
      <c r="D15">
        <v>4346566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workbookViewId="0">
      <selection activeCell="A2" sqref="A2"/>
    </sheetView>
  </sheetViews>
  <sheetFormatPr defaultRowHeight="15" x14ac:dyDescent="0.25"/>
  <cols>
    <col min="1" max="1" width="10.7109375" customWidth="1"/>
    <col min="2" max="2" width="11.28515625" customWidth="1"/>
    <col min="3" max="3" width="15.7109375" customWidth="1"/>
    <col min="4" max="4" width="13.140625" customWidth="1"/>
  </cols>
  <sheetData>
    <row r="1" spans="1:13" ht="28.5" x14ac:dyDescent="0.45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F3" s="2"/>
      <c r="G3" s="2"/>
      <c r="H3" s="2"/>
      <c r="I3" s="2"/>
      <c r="J3" s="2"/>
      <c r="K3" s="2"/>
      <c r="L3" s="2"/>
      <c r="M3" s="2"/>
    </row>
    <row r="4" spans="1:13" x14ac:dyDescent="0.25">
      <c r="F4" s="2" t="s">
        <v>18</v>
      </c>
      <c r="G4" s="2">
        <f>SUBTOTAL(9,Tabela135[Produção])</f>
        <v>16309319</v>
      </c>
      <c r="H4" s="2"/>
      <c r="I4" s="2" t="s">
        <v>19</v>
      </c>
      <c r="J4" s="2">
        <f>SUBTOTAL(1,Tabela135[Produção])</f>
        <v>2038664.875</v>
      </c>
      <c r="K4" s="2"/>
      <c r="L4" s="2"/>
      <c r="M4" s="2"/>
    </row>
    <row r="5" spans="1:13" x14ac:dyDescent="0.25">
      <c r="F5" s="2"/>
      <c r="G5" s="2"/>
      <c r="H5" s="2"/>
      <c r="I5" s="2"/>
      <c r="J5" s="2"/>
      <c r="K5" s="2"/>
      <c r="L5" s="2"/>
      <c r="M5" s="2"/>
    </row>
    <row r="7" spans="1:13" x14ac:dyDescent="0.25">
      <c r="B7" t="s">
        <v>10</v>
      </c>
      <c r="C7" t="s">
        <v>9</v>
      </c>
      <c r="D7" t="s">
        <v>8</v>
      </c>
    </row>
    <row r="8" spans="1:13" x14ac:dyDescent="0.25">
      <c r="B8" t="s">
        <v>11</v>
      </c>
      <c r="C8" t="s">
        <v>0</v>
      </c>
      <c r="D8">
        <v>3453453</v>
      </c>
    </row>
    <row r="9" spans="1:13" x14ac:dyDescent="0.25">
      <c r="B9" t="s">
        <v>12</v>
      </c>
      <c r="C9" t="s">
        <v>1</v>
      </c>
      <c r="D9">
        <v>2344534</v>
      </c>
    </row>
    <row r="10" spans="1:13" x14ac:dyDescent="0.25">
      <c r="B10" t="s">
        <v>13</v>
      </c>
      <c r="C10" t="s">
        <v>2</v>
      </c>
      <c r="D10">
        <v>354545</v>
      </c>
    </row>
    <row r="11" spans="1:13" x14ac:dyDescent="0.25">
      <c r="B11" t="s">
        <v>14</v>
      </c>
      <c r="C11" t="s">
        <v>3</v>
      </c>
      <c r="D11">
        <v>1335456</v>
      </c>
    </row>
    <row r="12" spans="1:13" x14ac:dyDescent="0.25">
      <c r="B12" t="s">
        <v>15</v>
      </c>
      <c r="C12" t="s">
        <v>4</v>
      </c>
      <c r="D12">
        <v>654546</v>
      </c>
    </row>
    <row r="13" spans="1:13" x14ac:dyDescent="0.25">
      <c r="B13" t="s">
        <v>16</v>
      </c>
      <c r="C13" t="s">
        <v>5</v>
      </c>
      <c r="D13">
        <v>565654</v>
      </c>
    </row>
    <row r="14" spans="1:13" x14ac:dyDescent="0.25">
      <c r="B14" t="s">
        <v>14</v>
      </c>
      <c r="C14" t="s">
        <v>6</v>
      </c>
      <c r="D14">
        <v>3254565</v>
      </c>
    </row>
    <row r="15" spans="1:13" x14ac:dyDescent="0.25">
      <c r="B15" t="s">
        <v>17</v>
      </c>
      <c r="C15" t="s">
        <v>7</v>
      </c>
      <c r="D15">
        <v>4346566</v>
      </c>
    </row>
  </sheetData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workbookViewId="0">
      <selection activeCell="P11" sqref="P11"/>
    </sheetView>
  </sheetViews>
  <sheetFormatPr defaultRowHeight="15" x14ac:dyDescent="0.25"/>
  <cols>
    <col min="1" max="1" width="10.7109375" customWidth="1"/>
    <col min="2" max="2" width="11.28515625" customWidth="1"/>
    <col min="3" max="3" width="15.7109375" customWidth="1"/>
    <col min="4" max="4" width="13.140625" customWidth="1"/>
  </cols>
  <sheetData>
    <row r="1" spans="1:13" ht="27" thickBot="1" x14ac:dyDescent="0.4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75" thickTop="1" x14ac:dyDescent="0.25"/>
    <row r="3" spans="1:13" x14ac:dyDescent="0.25">
      <c r="F3" s="2"/>
      <c r="G3" s="2"/>
      <c r="H3" s="2"/>
      <c r="I3" s="2"/>
      <c r="J3" s="2"/>
      <c r="K3" s="2"/>
      <c r="L3" s="4" t="s">
        <v>20</v>
      </c>
      <c r="M3" s="5">
        <f>SUBTOTAL(5,Tabela1356[Produção])</f>
        <v>354545</v>
      </c>
    </row>
    <row r="4" spans="1:13" x14ac:dyDescent="0.25">
      <c r="F4" s="3" t="s">
        <v>18</v>
      </c>
      <c r="G4" s="2">
        <f>SUBTOTAL(9,Tabela1356[Produção])</f>
        <v>16309319</v>
      </c>
      <c r="H4" s="2"/>
      <c r="I4" s="3" t="s">
        <v>19</v>
      </c>
      <c r="J4" s="2">
        <f>SUBTOTAL(1,Tabela1356[Produção])</f>
        <v>2038664.875</v>
      </c>
      <c r="K4" s="2"/>
      <c r="L4" s="4" t="s">
        <v>21</v>
      </c>
      <c r="M4" s="5">
        <f>SUBTOTAL(4,Tabela1356[Produção])</f>
        <v>4346566</v>
      </c>
    </row>
    <row r="5" spans="1:13" x14ac:dyDescent="0.25">
      <c r="F5" s="2"/>
      <c r="G5" s="2"/>
      <c r="H5" s="2"/>
      <c r="I5" s="2"/>
      <c r="J5" s="2"/>
      <c r="K5" s="2"/>
      <c r="L5" s="4" t="s">
        <v>22</v>
      </c>
      <c r="M5" s="5">
        <f>SUBTOTAL(2,Tabela1356[])</f>
        <v>8</v>
      </c>
    </row>
    <row r="7" spans="1:13" x14ac:dyDescent="0.25">
      <c r="B7" t="s">
        <v>10</v>
      </c>
      <c r="C7" t="s">
        <v>9</v>
      </c>
      <c r="D7" t="s">
        <v>8</v>
      </c>
    </row>
    <row r="8" spans="1:13" x14ac:dyDescent="0.25">
      <c r="B8" t="s">
        <v>11</v>
      </c>
      <c r="C8" t="s">
        <v>0</v>
      </c>
      <c r="D8">
        <v>3453453</v>
      </c>
    </row>
    <row r="9" spans="1:13" x14ac:dyDescent="0.25">
      <c r="B9" t="s">
        <v>12</v>
      </c>
      <c r="C9" t="s">
        <v>1</v>
      </c>
      <c r="D9">
        <v>2344534</v>
      </c>
    </row>
    <row r="10" spans="1:13" x14ac:dyDescent="0.25">
      <c r="B10" t="s">
        <v>13</v>
      </c>
      <c r="C10" t="s">
        <v>2</v>
      </c>
      <c r="D10">
        <v>354545</v>
      </c>
    </row>
    <row r="11" spans="1:13" x14ac:dyDescent="0.25">
      <c r="B11" t="s">
        <v>14</v>
      </c>
      <c r="C11" t="s">
        <v>3</v>
      </c>
      <c r="D11">
        <v>1335456</v>
      </c>
    </row>
    <row r="12" spans="1:13" x14ac:dyDescent="0.25">
      <c r="B12" t="s">
        <v>15</v>
      </c>
      <c r="C12" t="s">
        <v>4</v>
      </c>
      <c r="D12">
        <v>654546</v>
      </c>
    </row>
    <row r="13" spans="1:13" x14ac:dyDescent="0.25">
      <c r="B13" t="s">
        <v>16</v>
      </c>
      <c r="C13" t="s">
        <v>5</v>
      </c>
      <c r="D13">
        <v>565654</v>
      </c>
    </row>
    <row r="14" spans="1:13" x14ac:dyDescent="0.25">
      <c r="B14" t="s">
        <v>14</v>
      </c>
      <c r="C14" t="s">
        <v>6</v>
      </c>
      <c r="D14">
        <v>3254565</v>
      </c>
    </row>
    <row r="15" spans="1:13" x14ac:dyDescent="0.25">
      <c r="B15" t="s">
        <v>17</v>
      </c>
      <c r="C15" t="s">
        <v>7</v>
      </c>
      <c r="D15">
        <v>4346566</v>
      </c>
    </row>
  </sheetData>
  <conditionalFormatting sqref="D8:D1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{898BC409-DEDF-423B-BD40-EF79C45AB148}</x14:id>
        </ext>
      </extLst>
    </cfRule>
  </conditionalFormatting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8BC409-DEDF-423B-BD40-EF79C45AB14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D8:D15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showGridLines="0" tabSelected="1" workbookViewId="0">
      <selection activeCell="R8" sqref="R8"/>
    </sheetView>
  </sheetViews>
  <sheetFormatPr defaultRowHeight="15" x14ac:dyDescent="0.25"/>
  <cols>
    <col min="1" max="1" width="10.7109375" customWidth="1"/>
    <col min="2" max="2" width="11.28515625" customWidth="1"/>
    <col min="3" max="3" width="15.7109375" customWidth="1"/>
    <col min="4" max="4" width="13.140625" customWidth="1"/>
  </cols>
  <sheetData>
    <row r="1" spans="1:13" ht="27" thickBot="1" x14ac:dyDescent="0.45">
      <c r="A1" s="6" t="s">
        <v>23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75" thickTop="1" x14ac:dyDescent="0.25"/>
    <row r="3" spans="1:13" x14ac:dyDescent="0.25">
      <c r="F3" s="2"/>
      <c r="G3" s="2"/>
      <c r="H3" s="2"/>
      <c r="I3" s="2"/>
      <c r="J3" s="2"/>
      <c r="K3" s="2"/>
      <c r="L3" s="4" t="s">
        <v>20</v>
      </c>
      <c r="M3" s="5">
        <f>SUBTOTAL(5,Tabela13569[Produção])</f>
        <v>354545</v>
      </c>
    </row>
    <row r="4" spans="1:13" x14ac:dyDescent="0.25">
      <c r="F4" s="3" t="s">
        <v>18</v>
      </c>
      <c r="G4" s="2">
        <f>SUBTOTAL(9,Tabela13569[Produção])</f>
        <v>16309319</v>
      </c>
      <c r="H4" s="2"/>
      <c r="I4" s="3" t="s">
        <v>19</v>
      </c>
      <c r="J4" s="2">
        <f>SUBTOTAL(1,Tabela13569[Produção])</f>
        <v>2038664.875</v>
      </c>
      <c r="K4" s="2"/>
      <c r="L4" s="4" t="s">
        <v>21</v>
      </c>
      <c r="M4" s="5">
        <f>SUBTOTAL(4,Tabela13569[Produção])</f>
        <v>4346566</v>
      </c>
    </row>
    <row r="5" spans="1:13" x14ac:dyDescent="0.25">
      <c r="F5" s="2"/>
      <c r="G5" s="2"/>
      <c r="H5" s="2"/>
      <c r="I5" s="2"/>
      <c r="J5" s="2"/>
      <c r="K5" s="2"/>
      <c r="L5" s="4" t="s">
        <v>22</v>
      </c>
      <c r="M5" s="5">
        <f>SUBTOTAL(2,Tabela13569[])</f>
        <v>8</v>
      </c>
    </row>
    <row r="7" spans="1:13" x14ac:dyDescent="0.25">
      <c r="B7" t="s">
        <v>10</v>
      </c>
      <c r="C7" t="s">
        <v>9</v>
      </c>
      <c r="D7" t="s">
        <v>8</v>
      </c>
    </row>
    <row r="8" spans="1:13" x14ac:dyDescent="0.25">
      <c r="B8" t="s">
        <v>11</v>
      </c>
      <c r="C8" t="s">
        <v>0</v>
      </c>
      <c r="D8">
        <v>3453453</v>
      </c>
    </row>
    <row r="9" spans="1:13" x14ac:dyDescent="0.25">
      <c r="B9" t="s">
        <v>12</v>
      </c>
      <c r="C9" t="s">
        <v>1</v>
      </c>
      <c r="D9">
        <v>2344534</v>
      </c>
    </row>
    <row r="10" spans="1:13" x14ac:dyDescent="0.25">
      <c r="B10" t="s">
        <v>13</v>
      </c>
      <c r="C10" t="s">
        <v>2</v>
      </c>
      <c r="D10">
        <v>354545</v>
      </c>
    </row>
    <row r="11" spans="1:13" x14ac:dyDescent="0.25">
      <c r="B11" t="s">
        <v>14</v>
      </c>
      <c r="C11" t="s">
        <v>3</v>
      </c>
      <c r="D11">
        <v>1335456</v>
      </c>
    </row>
    <row r="12" spans="1:13" x14ac:dyDescent="0.25">
      <c r="B12" t="s">
        <v>15</v>
      </c>
      <c r="C12" t="s">
        <v>4</v>
      </c>
      <c r="D12">
        <v>654546</v>
      </c>
    </row>
    <row r="13" spans="1:13" x14ac:dyDescent="0.25">
      <c r="B13" t="s">
        <v>16</v>
      </c>
      <c r="C13" t="s">
        <v>5</v>
      </c>
      <c r="D13">
        <v>565654</v>
      </c>
    </row>
    <row r="14" spans="1:13" x14ac:dyDescent="0.25">
      <c r="B14" t="s">
        <v>14</v>
      </c>
      <c r="C14" t="s">
        <v>6</v>
      </c>
      <c r="D14">
        <v>3254565</v>
      </c>
    </row>
    <row r="15" spans="1:13" x14ac:dyDescent="0.25">
      <c r="B15" t="s">
        <v>17</v>
      </c>
      <c r="C15" t="s">
        <v>7</v>
      </c>
      <c r="D15">
        <v>4346566</v>
      </c>
    </row>
  </sheetData>
  <conditionalFormatting sqref="D8:D1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{16B1B5CF-6D5F-41C9-8CF2-B89C6A50BD5F}</x14:id>
        </ext>
      </extLst>
    </cfRule>
  </conditionalFormatting>
  <pageMargins left="0.511811024" right="0.511811024" top="0.78740157499999996" bottom="0.78740157499999996" header="0.31496062000000002" footer="0.31496062000000002"/>
  <pageSetup paperSize="0" orientation="portrait" horizontalDpi="0" verticalDpi="0" copies="0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B1B5CF-6D5F-41C9-8CF2-B89C6A50BD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D8:D15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!</vt:lpstr>
      <vt:lpstr>A</vt:lpstr>
      <vt:lpstr>B</vt:lpstr>
      <vt:lpstr>C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Aniceto José Jolela</dc:creator>
  <cp:lastModifiedBy>Aniceto José Jolela</cp:lastModifiedBy>
  <dcterms:created xsi:type="dcterms:W3CDTF">2026-06-01T21:58:52Z</dcterms:created>
  <dcterms:modified xsi:type="dcterms:W3CDTF">2026-06-01T22:53:17Z</dcterms:modified>
</cp:coreProperties>
</file>