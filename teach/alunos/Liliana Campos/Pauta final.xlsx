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ula\Liliana Campos\"/>
    </mc:Choice>
  </mc:AlternateContent>
  <xr:revisionPtr revIDLastSave="0" documentId="13_ncr:1_{8C451887-92FB-45D2-8E2A-B7B6B9B81DC4}" xr6:coauthVersionLast="47" xr6:coauthVersionMax="47" xr10:uidLastSave="{00000000-0000-0000-0000-000000000000}"/>
  <bookViews>
    <workbookView xWindow="-120" yWindow="-120" windowWidth="29040" windowHeight="15840" activeTab="4" xr2:uid="{CDE1A54C-0180-488F-9D25-17CF9A0A40C1}"/>
  </bookViews>
  <sheets>
    <sheet name="Pauta final" sheetId="1" r:id="rId1"/>
    <sheet name="Tabela Dinamica" sheetId="11" r:id="rId2"/>
    <sheet name="Tabela Dinamica recomendada" sheetId="12" r:id="rId3"/>
    <sheet name="Tabelas" sheetId="8" r:id="rId4"/>
    <sheet name="Dashbord" sheetId="15" r:id="rId5"/>
  </sheets>
  <definedNames>
    <definedName name="_xlnm._FilterDatabase" localSheetId="3" hidden="1">Tabelas!$B$17:$H$17</definedName>
  </definedNames>
  <calcPr calcId="191029"/>
  <pivotCaches>
    <pivotCache cacheId="127" r:id="rId6"/>
    <pivotCache cacheId="13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" i="15" l="1"/>
  <c r="AA2" i="15"/>
  <c r="P15" i="8" l="1"/>
  <c r="Q15" i="8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B19" i="8"/>
  <c r="B20" i="8" s="1"/>
  <c r="B21" i="8" s="1"/>
  <c r="B22" i="8" s="1"/>
  <c r="B23" i="8" s="1"/>
  <c r="B24" i="8" s="1"/>
  <c r="B25" i="8" s="1"/>
  <c r="B26" i="8" s="1"/>
  <c r="B27" i="8" s="1"/>
  <c r="G18" i="8"/>
  <c r="H18" i="8" s="1"/>
  <c r="P14" i="8"/>
  <c r="Q14" i="8" s="1"/>
  <c r="P13" i="8"/>
  <c r="Q13" i="8" s="1"/>
  <c r="P12" i="8"/>
  <c r="Q12" i="8" s="1"/>
  <c r="P11" i="8"/>
  <c r="Q11" i="8" s="1"/>
  <c r="P10" i="8"/>
  <c r="Q10" i="8" s="1"/>
  <c r="P9" i="8"/>
  <c r="Q9" i="8" s="1"/>
  <c r="P8" i="8"/>
  <c r="Q8" i="8" s="1"/>
  <c r="P7" i="8"/>
  <c r="Q7" i="8" s="1"/>
  <c r="P6" i="8"/>
  <c r="Q6" i="8" s="1"/>
  <c r="J6" i="8"/>
  <c r="J7" i="8" s="1"/>
  <c r="J8" i="8" s="1"/>
  <c r="J9" i="8" s="1"/>
  <c r="J10" i="8" s="1"/>
  <c r="J11" i="8" s="1"/>
  <c r="J12" i="8" s="1"/>
  <c r="J13" i="8" s="1"/>
  <c r="J14" i="8" s="1"/>
  <c r="J15" i="8" s="1"/>
  <c r="P5" i="8"/>
  <c r="Q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B6" i="8"/>
  <c r="B7" i="8" s="1"/>
  <c r="B8" i="8" s="1"/>
  <c r="B9" i="8" s="1"/>
  <c r="B10" i="8" s="1"/>
  <c r="B11" i="8" s="1"/>
  <c r="B12" i="8" s="1"/>
  <c r="B13" i="8" s="1"/>
  <c r="B14" i="8" s="1"/>
  <c r="G5" i="8"/>
  <c r="H5" i="8" s="1"/>
  <c r="G7" i="1"/>
  <c r="G9" i="1"/>
  <c r="G6" i="1"/>
  <c r="G8" i="1"/>
  <c r="G10" i="1"/>
  <c r="G11" i="1"/>
  <c r="G12" i="1"/>
  <c r="G13" i="1"/>
  <c r="G14" i="1"/>
  <c r="I6" i="1"/>
  <c r="I7" i="1"/>
  <c r="I8" i="1"/>
  <c r="I9" i="1"/>
  <c r="I10" i="1"/>
  <c r="I11" i="1"/>
  <c r="I12" i="1"/>
  <c r="I13" i="1"/>
  <c r="I14" i="1"/>
  <c r="I5" i="1"/>
  <c r="H6" i="1"/>
  <c r="H7" i="1"/>
  <c r="H8" i="1"/>
  <c r="H9" i="1"/>
  <c r="H10" i="1"/>
  <c r="H11" i="1"/>
  <c r="H12" i="1"/>
  <c r="H13" i="1"/>
  <c r="H14" i="1"/>
  <c r="H5" i="1"/>
  <c r="G5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<sst xmlns="http://schemas.openxmlformats.org/spreadsheetml/2006/main" count="124" uniqueCount="42">
  <si>
    <t>PAUTA FINAL</t>
  </si>
  <si>
    <t>Nº</t>
  </si>
  <si>
    <t>NOME</t>
  </si>
  <si>
    <t>P1</t>
  </si>
  <si>
    <t>P2</t>
  </si>
  <si>
    <t>P3</t>
  </si>
  <si>
    <t>MÉDIA FINAL</t>
  </si>
  <si>
    <t>Alice Da Sílva</t>
  </si>
  <si>
    <t>Miguel Vitor</t>
  </si>
  <si>
    <t>Guilherme Da Sílva</t>
  </si>
  <si>
    <t>Junior</t>
  </si>
  <si>
    <t>Mauro Filipe</t>
  </si>
  <si>
    <t>Fernanda Manuel</t>
  </si>
  <si>
    <t>Liliane Gourgel</t>
  </si>
  <si>
    <t>Laercia Paiva</t>
  </si>
  <si>
    <t>Marcos Cassinda</t>
  </si>
  <si>
    <t>Esperança Carlos</t>
  </si>
  <si>
    <t>MÉDIA FINAL FORMULA</t>
  </si>
  <si>
    <t>RESULTADO</t>
  </si>
  <si>
    <t>DIFERENÇA DE TABELAS</t>
  </si>
  <si>
    <t>Soma de MÉDIA FINAL</t>
  </si>
  <si>
    <t>Rótulos de Coluna</t>
  </si>
  <si>
    <t>Rótulos de Linha</t>
  </si>
  <si>
    <t>Não Transita</t>
  </si>
  <si>
    <t>Transita</t>
  </si>
  <si>
    <t>Total Geral</t>
  </si>
  <si>
    <t>Soma de P1</t>
  </si>
  <si>
    <t>Soma de P2</t>
  </si>
  <si>
    <t>Soma de P3</t>
  </si>
  <si>
    <t>Nomes</t>
  </si>
  <si>
    <t>Julia Da Sílva</t>
  </si>
  <si>
    <t>Genero</t>
  </si>
  <si>
    <t>F</t>
  </si>
  <si>
    <t>M</t>
  </si>
  <si>
    <t>Não Transita Total</t>
  </si>
  <si>
    <t>Transita Total</t>
  </si>
  <si>
    <t>Total Soma de P1</t>
  </si>
  <si>
    <t>Total Soma de P2</t>
  </si>
  <si>
    <t>Total Soma de P3</t>
  </si>
  <si>
    <t>TOTAL GERAL</t>
  </si>
  <si>
    <t>TOTAL PADRÃO</t>
  </si>
  <si>
    <t xml:space="preserve">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</si>
</sst>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Fill="1" applyBorder="1"/>
    <xf numFmtId="1" fontId="0" fillId="0" borderId="1" xfId="0" applyNumberFormat="1" applyBorder="1"/>
    <xf numFmtId="0" fontId="3" fillId="2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4" borderId="1" xfId="0" applyFont="1" applyFill="1" applyBorder="1"/>
    <xf numFmtId="0" fontId="0" fillId="5" borderId="1" xfId="0" applyFont="1" applyFill="1" applyBorder="1"/>
    <xf numFmtId="0" fontId="0" fillId="0" borderId="0" xfId="0" applyNumberFormat="1"/>
    <xf numFmtId="0" fontId="2" fillId="6" borderId="0" xfId="0" applyFont="1" applyFill="1"/>
    <xf numFmtId="0" fontId="8" fillId="0" borderId="0" xfId="0" applyFont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Dinamica!Tabela dinâmica4</c:name>
    <c:fmtId val="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Dinamica'!$B$3:$B$5</c:f>
              <c:strCache>
                <c:ptCount val="1"/>
                <c:pt idx="0">
                  <c:v>Não Transita - F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Dinamica'!$A$6:$A$11</c:f>
              <c:strCache>
                <c:ptCount val="5"/>
                <c:pt idx="0">
                  <c:v>Alice Da Sílva</c:v>
                </c:pt>
                <c:pt idx="1">
                  <c:v>Esperança Carlos</c:v>
                </c:pt>
                <c:pt idx="2">
                  <c:v>Fernanda Manuel</c:v>
                </c:pt>
                <c:pt idx="3">
                  <c:v>Laercia Paiva</c:v>
                </c:pt>
                <c:pt idx="4">
                  <c:v>Julia Da Sílva</c:v>
                </c:pt>
              </c:strCache>
            </c:strRef>
          </c:cat>
          <c:val>
            <c:numRef>
              <c:f>'Tabela Dinamica'!$B$6:$B$11</c:f>
              <c:numCache>
                <c:formatCode>0</c:formatCode>
                <c:ptCount val="5"/>
                <c:pt idx="2">
                  <c:v>8.6666666666666661</c:v>
                </c:pt>
                <c:pt idx="3">
                  <c:v>6</c:v>
                </c:pt>
                <c:pt idx="4">
                  <c:v>8.6666666666666661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9-4914-8134-AE5D19D0C4C3}"/>
            </c:ext>
          </c:extLst>
        </c:ser>
        <c:ser>
          <c:idx val="1"/>
          <c:order val="1"/>
          <c:tx>
            <c:strRef>
              <c:f>'Tabela Dinamica'!$D$3:$D$5</c:f>
              <c:strCache>
                <c:ptCount val="1"/>
                <c:pt idx="0">
                  <c:v>Transita - F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Dinamica'!$A$6:$A$11</c:f>
              <c:strCache>
                <c:ptCount val="5"/>
                <c:pt idx="0">
                  <c:v>Alice Da Sílva</c:v>
                </c:pt>
                <c:pt idx="1">
                  <c:v>Esperança Carlos</c:v>
                </c:pt>
                <c:pt idx="2">
                  <c:v>Fernanda Manuel</c:v>
                </c:pt>
                <c:pt idx="3">
                  <c:v>Laercia Paiva</c:v>
                </c:pt>
                <c:pt idx="4">
                  <c:v>Julia Da Sílva</c:v>
                </c:pt>
              </c:strCache>
            </c:strRef>
          </c:cat>
          <c:val>
            <c:numRef>
              <c:f>'Tabela Dinamica'!$D$6:$D$11</c:f>
              <c:numCache>
                <c:formatCode>0</c:formatCode>
                <c:ptCount val="5"/>
                <c:pt idx="0">
                  <c:v>12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E9-4914-8134-AE5D19D0C4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1281983"/>
        <c:axId val="471295423"/>
      </c:barChart>
      <c:catAx>
        <c:axId val="471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1295423"/>
        <c:crosses val="autoZero"/>
        <c:auto val="1"/>
        <c:lblAlgn val="ctr"/>
        <c:lblOffset val="100"/>
        <c:noMultiLvlLbl val="0"/>
      </c:catAx>
      <c:valAx>
        <c:axId val="4712954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4712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Dinamica!Tabela dinâmica7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Dinamica'!$B$20:$B$22</c:f>
              <c:strCache>
                <c:ptCount val="1"/>
                <c:pt idx="0">
                  <c:v>F - Soma de P1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'Tabela Dinamica'!$A$23:$A$28</c:f>
              <c:strCache>
                <c:ptCount val="5"/>
                <c:pt idx="0">
                  <c:v>Alice Da Sílva</c:v>
                </c:pt>
                <c:pt idx="1">
                  <c:v>Esperança Carlos</c:v>
                </c:pt>
                <c:pt idx="2">
                  <c:v>Fernanda Manuel</c:v>
                </c:pt>
                <c:pt idx="3">
                  <c:v>Laercia Paiva</c:v>
                </c:pt>
                <c:pt idx="4">
                  <c:v>Julia Da Sílva</c:v>
                </c:pt>
              </c:strCache>
            </c:strRef>
          </c:cat>
          <c:val>
            <c:numRef>
              <c:f>'Tabela Dinamica'!$B$23:$B$28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1-4F8C-8ED9-B7140F17554F}"/>
            </c:ext>
          </c:extLst>
        </c:ser>
        <c:ser>
          <c:idx val="1"/>
          <c:order val="1"/>
          <c:tx>
            <c:strRef>
              <c:f>'Tabela Dinamica'!$C$20:$C$22</c:f>
              <c:strCache>
                <c:ptCount val="1"/>
                <c:pt idx="0">
                  <c:v>F - Soma de P2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'Tabela Dinamica'!$A$23:$A$28</c:f>
              <c:strCache>
                <c:ptCount val="5"/>
                <c:pt idx="0">
                  <c:v>Alice Da Sílva</c:v>
                </c:pt>
                <c:pt idx="1">
                  <c:v>Esperança Carlos</c:v>
                </c:pt>
                <c:pt idx="2">
                  <c:v>Fernanda Manuel</c:v>
                </c:pt>
                <c:pt idx="3">
                  <c:v>Laercia Paiva</c:v>
                </c:pt>
                <c:pt idx="4">
                  <c:v>Julia Da Sílva</c:v>
                </c:pt>
              </c:strCache>
            </c:strRef>
          </c:cat>
          <c:val>
            <c:numRef>
              <c:f>'Tabela Dinamica'!$C$23:$C$28</c:f>
              <c:numCache>
                <c:formatCode>General</c:formatCode>
                <c:ptCount val="5"/>
                <c:pt idx="0">
                  <c:v>10</c:v>
                </c:pt>
                <c:pt idx="1">
                  <c:v>19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1-4F8C-8ED9-B7140F17554F}"/>
            </c:ext>
          </c:extLst>
        </c:ser>
        <c:ser>
          <c:idx val="2"/>
          <c:order val="2"/>
          <c:tx>
            <c:strRef>
              <c:f>'Tabela Dinamica'!$D$20:$D$22</c:f>
              <c:strCache>
                <c:ptCount val="1"/>
                <c:pt idx="0">
                  <c:v>F - Soma de P3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'Tabela Dinamica'!$A$23:$A$28</c:f>
              <c:strCache>
                <c:ptCount val="5"/>
                <c:pt idx="0">
                  <c:v>Alice Da Sílva</c:v>
                </c:pt>
                <c:pt idx="1">
                  <c:v>Esperança Carlos</c:v>
                </c:pt>
                <c:pt idx="2">
                  <c:v>Fernanda Manuel</c:v>
                </c:pt>
                <c:pt idx="3">
                  <c:v>Laercia Paiva</c:v>
                </c:pt>
                <c:pt idx="4">
                  <c:v>Julia Da Sílva</c:v>
                </c:pt>
              </c:strCache>
            </c:strRef>
          </c:cat>
          <c:val>
            <c:numRef>
              <c:f>'Tabela Dinamica'!$D$23:$D$28</c:f>
              <c:numCache>
                <c:formatCode>General</c:formatCode>
                <c:ptCount val="5"/>
                <c:pt idx="0">
                  <c:v>16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01-4F8C-8ED9-B7140F1755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3295183"/>
        <c:axId val="863280783"/>
      </c:barChart>
      <c:catAx>
        <c:axId val="86329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3280783"/>
        <c:crosses val="autoZero"/>
        <c:auto val="1"/>
        <c:lblAlgn val="ctr"/>
        <c:lblOffset val="100"/>
        <c:noMultiLvlLbl val="0"/>
      </c:catAx>
      <c:valAx>
        <c:axId val="863280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32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66675</xdr:colOff>
      <xdr:row>30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1D6600-5A2C-4285-AF4F-BD0BAD741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0</xdr:row>
      <xdr:rowOff>19050</xdr:rowOff>
    </xdr:from>
    <xdr:to>
      <xdr:col>24</xdr:col>
      <xdr:colOff>409574</xdr:colOff>
      <xdr:row>30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1675A6-8066-4CAD-BE88-AF719D797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4.660904166667" createdVersion="8" refreshedVersion="8" minRefreshableVersion="3" recordCount="11" xr:uid="{EA51EA26-2B1C-4AB9-91FF-40F57DC9F99B}">
  <cacheSource type="worksheet">
    <worksheetSource name="Tabela1"/>
  </cacheSource>
  <cacheFields count="7">
    <cacheField name="Nº" numFmtId="0">
      <sharedItems containsSemiMixedTypes="0" containsString="0" containsNumber="1" containsInteger="1" minValue="1" maxValue="11"/>
    </cacheField>
    <cacheField name="NOME" numFmtId="0">
      <sharedItems/>
    </cacheField>
    <cacheField name="P1" numFmtId="0">
      <sharedItems containsSemiMixedTypes="0" containsString="0" containsNumber="1" containsInteger="1" minValue="4" maxValue="11" count="6">
        <n v="10"/>
        <n v="5"/>
        <n v="7"/>
        <n v="6"/>
        <n v="11"/>
        <n v="4"/>
      </sharedItems>
    </cacheField>
    <cacheField name="P2" numFmtId="0">
      <sharedItems containsSemiMixedTypes="0" containsString="0" containsNumber="1" containsInteger="1" minValue="6" maxValue="19"/>
    </cacheField>
    <cacheField name="P3" numFmtId="0">
      <sharedItems containsSemiMixedTypes="0" containsString="0" containsNumber="1" containsInteger="1" minValue="5" maxValue="16"/>
    </cacheField>
    <cacheField name="MÉDIA FINAL" numFmtId="1">
      <sharedItems containsSemiMixedTypes="0" containsString="0" containsNumber="1" minValue="6" maxValue="12"/>
    </cacheField>
    <cacheField name="RESULTADO" numFmtId="0">
      <sharedItems count="2">
        <s v="Transita"/>
        <s v="Não Transi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4.665759027775" createdVersion="8" refreshedVersion="8" minRefreshableVersion="3" recordCount="11" xr:uid="{484DE81F-8037-4F93-BF4A-226EF2886AD2}">
  <cacheSource type="worksheet">
    <worksheetSource name="Tabela1"/>
  </cacheSource>
  <cacheFields count="8">
    <cacheField name="Nº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NOME" numFmtId="0">
      <sharedItems containsBlank="1" count="12">
        <s v="Alice Da Sílva"/>
        <s v="Miguel Vitor"/>
        <s v="Guilherme Da Sílva"/>
        <s v="Junior"/>
        <s v="Mauro Filipe"/>
        <s v="Fernanda Manuel"/>
        <s v="Liliane Gourgel"/>
        <s v="Laercia Paiva"/>
        <s v="Marcos Cassinda"/>
        <s v="Esperança Carlos"/>
        <s v="Julia Da Sílva"/>
        <m u="1"/>
      </sharedItems>
    </cacheField>
    <cacheField name="P1" numFmtId="0">
      <sharedItems containsSemiMixedTypes="0" containsString="0" containsNumber="1" containsInteger="1" minValue="4" maxValue="11"/>
    </cacheField>
    <cacheField name="P2" numFmtId="0">
      <sharedItems containsSemiMixedTypes="0" containsString="0" containsNumber="1" containsInteger="1" minValue="6" maxValue="19"/>
    </cacheField>
    <cacheField name="P3" numFmtId="0">
      <sharedItems containsSemiMixedTypes="0" containsString="0" containsNumber="1" containsInteger="1" minValue="5" maxValue="16"/>
    </cacheField>
    <cacheField name="Genero" numFmtId="0">
      <sharedItems containsBlank="1" count="3">
        <s v="F"/>
        <s v="M"/>
        <m/>
      </sharedItems>
    </cacheField>
    <cacheField name="MÉDIA FINAL" numFmtId="1">
      <sharedItems containsSemiMixedTypes="0" containsString="0" containsNumber="1" minValue="6" maxValue="12"/>
    </cacheField>
    <cacheField name="RESULTADO" numFmtId="0">
      <sharedItems count="2">
        <s v="Transita"/>
        <s v="Não Transi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s v="Alice Da Sílva"/>
    <x v="0"/>
    <n v="10"/>
    <n v="16"/>
    <n v="12"/>
    <x v="0"/>
  </r>
  <r>
    <n v="2"/>
    <s v="Miguel Vitor"/>
    <x v="1"/>
    <n v="12"/>
    <n v="8"/>
    <n v="8.3333333333333339"/>
    <x v="1"/>
  </r>
  <r>
    <n v="3"/>
    <s v="Guilherme Da Sílva"/>
    <x v="0"/>
    <n v="7"/>
    <n v="5"/>
    <n v="7.333333333333333"/>
    <x v="1"/>
  </r>
  <r>
    <n v="4"/>
    <s v="Junior"/>
    <x v="2"/>
    <n v="12"/>
    <n v="11"/>
    <n v="10"/>
    <x v="0"/>
  </r>
  <r>
    <n v="5"/>
    <s v="Mauro Filipe"/>
    <x v="3"/>
    <n v="10"/>
    <n v="14"/>
    <n v="10"/>
    <x v="0"/>
  </r>
  <r>
    <n v="6"/>
    <s v="Fernanda Manuel"/>
    <x v="4"/>
    <n v="6"/>
    <n v="9"/>
    <n v="8.6666666666666661"/>
    <x v="1"/>
  </r>
  <r>
    <n v="7"/>
    <s v="Liliane Gourgel"/>
    <x v="0"/>
    <n v="7"/>
    <n v="13"/>
    <n v="10"/>
    <x v="0"/>
  </r>
  <r>
    <n v="8"/>
    <s v="Laercia Paiva"/>
    <x v="5"/>
    <n v="8"/>
    <n v="6"/>
    <n v="6"/>
    <x v="1"/>
  </r>
  <r>
    <n v="9"/>
    <s v="Marcos Cassinda"/>
    <x v="4"/>
    <n v="13"/>
    <n v="9"/>
    <n v="11"/>
    <x v="0"/>
  </r>
  <r>
    <n v="10"/>
    <s v="Esperança Carlos"/>
    <x v="0"/>
    <n v="19"/>
    <n v="7"/>
    <n v="12"/>
    <x v="0"/>
  </r>
  <r>
    <n v="11"/>
    <s v="Julia Da Sílva"/>
    <x v="2"/>
    <n v="10"/>
    <n v="9"/>
    <n v="8.666666666666666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10"/>
    <n v="10"/>
    <n v="16"/>
    <x v="0"/>
    <n v="12"/>
    <x v="0"/>
  </r>
  <r>
    <x v="1"/>
    <x v="1"/>
    <n v="5"/>
    <n v="12"/>
    <n v="8"/>
    <x v="1"/>
    <n v="8.3333333333333339"/>
    <x v="1"/>
  </r>
  <r>
    <x v="2"/>
    <x v="2"/>
    <n v="10"/>
    <n v="7"/>
    <n v="5"/>
    <x v="1"/>
    <n v="7.333333333333333"/>
    <x v="1"/>
  </r>
  <r>
    <x v="3"/>
    <x v="3"/>
    <n v="7"/>
    <n v="12"/>
    <n v="11"/>
    <x v="1"/>
    <n v="10"/>
    <x v="0"/>
  </r>
  <r>
    <x v="4"/>
    <x v="4"/>
    <n v="6"/>
    <n v="10"/>
    <n v="14"/>
    <x v="1"/>
    <n v="10"/>
    <x v="0"/>
  </r>
  <r>
    <x v="5"/>
    <x v="5"/>
    <n v="11"/>
    <n v="6"/>
    <n v="9"/>
    <x v="0"/>
    <n v="8.6666666666666661"/>
    <x v="1"/>
  </r>
  <r>
    <x v="6"/>
    <x v="6"/>
    <n v="10"/>
    <n v="7"/>
    <n v="13"/>
    <x v="2"/>
    <n v="10"/>
    <x v="0"/>
  </r>
  <r>
    <x v="7"/>
    <x v="7"/>
    <n v="4"/>
    <n v="8"/>
    <n v="6"/>
    <x v="0"/>
    <n v="6"/>
    <x v="1"/>
  </r>
  <r>
    <x v="8"/>
    <x v="8"/>
    <n v="11"/>
    <n v="13"/>
    <n v="9"/>
    <x v="1"/>
    <n v="11"/>
    <x v="0"/>
  </r>
  <r>
    <x v="9"/>
    <x v="9"/>
    <n v="10"/>
    <n v="19"/>
    <n v="7"/>
    <x v="0"/>
    <n v="12"/>
    <x v="0"/>
  </r>
  <r>
    <x v="10"/>
    <x v="10"/>
    <n v="7"/>
    <n v="10"/>
    <n v="9"/>
    <x v="0"/>
    <n v="8.666666666666666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F625A-6D1C-40B9-B5DD-3361B78AFEE3}" name="Tabela dinâmica7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Nomes">
  <location ref="A20:G28" firstHeaderRow="1" firstDataRow="3" firstDataCol="1"/>
  <pivotFields count="8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3">
        <item sd="0" x="0"/>
        <item sd="0" x="9"/>
        <item sd="0" x="5"/>
        <item x="2"/>
        <item x="3"/>
        <item x="7"/>
        <item x="6"/>
        <item x="8"/>
        <item x="4"/>
        <item x="1"/>
        <item m="1" x="11"/>
        <item x="10"/>
        <item t="default"/>
      </items>
    </pivotField>
    <pivotField dataField="1" showAll="0"/>
    <pivotField dataField="1" showAll="0"/>
    <pivotField dataField="1" showAll="0"/>
    <pivotField axis="axisCol" showAll="0">
      <items count="4">
        <item x="0"/>
        <item h="1" x="1"/>
        <item h="1" x="2"/>
        <item t="default"/>
      </items>
    </pivotField>
    <pivotField numFmtId="1"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5"/>
    </i>
    <i>
      <x v="11"/>
    </i>
    <i t="grand">
      <x/>
    </i>
  </rowItems>
  <colFields count="2">
    <field x="5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a de P1" fld="2" baseField="0" baseItem="0"/>
    <dataField name="Soma de P2" fld="3" baseField="0" baseItem="0"/>
    <dataField name="Soma de P3" fld="4" baseField="0" baseItem="0"/>
  </dataFields>
  <chartFormats count="1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6A7A9-CCE4-4FB1-BFD8-523869EBEA50}" name="Tabela dinâmica4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Nomes">
  <location ref="A3:F11" firstHeaderRow="1" firstDataRow="3" firstDataCol="1"/>
  <pivotFields count="8">
    <pivotField showAll="0"/>
    <pivotField axis="axisRow" showAll="0">
      <items count="13">
        <item sd="0" x="0"/>
        <item sd="0" x="9"/>
        <item sd="0" x="5"/>
        <item x="2"/>
        <item x="3"/>
        <item x="7"/>
        <item x="6"/>
        <item x="8"/>
        <item x="4"/>
        <item x="1"/>
        <item m="1" x="11"/>
        <item x="10"/>
        <item t="default"/>
      </items>
    </pivotField>
    <pivotField showAll="0"/>
    <pivotField showAll="0"/>
    <pivotField showAll="0"/>
    <pivotField axis="axisCol" showAll="0">
      <items count="4">
        <item x="0"/>
        <item h="1" x="1"/>
        <item h="1" x="2"/>
        <item t="default"/>
      </items>
    </pivotField>
    <pivotField dataField="1" numFmtI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5"/>
    </i>
    <i>
      <x v="11"/>
    </i>
    <i t="grand">
      <x/>
    </i>
  </rowItems>
  <colFields count="2">
    <field x="7"/>
    <field x="5"/>
  </colFields>
  <colItems count="5">
    <i>
      <x/>
      <x/>
    </i>
    <i t="default">
      <x/>
    </i>
    <i>
      <x v="1"/>
      <x/>
    </i>
    <i t="default">
      <x v="1"/>
    </i>
    <i t="grand">
      <x/>
    </i>
  </colItems>
  <dataFields count="1">
    <dataField name="Soma de MÉDIA FINAL" fld="6" baseField="0" baseItem="0" numFmtId="1"/>
  </dataFields>
  <chartFormats count="5">
    <chartFormat chart="5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5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5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5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5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9BE7-0A6D-4A6F-82A5-737689BAC7DC}" name="Tabela dinâmica6" cacheId="1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1" firstHeaderRow="1" firstDataRow="2" firstDataCol="1"/>
  <pivotFields count="7">
    <pivotField showAll="0"/>
    <pivotField showAll="0"/>
    <pivotField axis="axisRow" showAll="0">
      <items count="7">
        <item x="5"/>
        <item x="1"/>
        <item x="3"/>
        <item x="2"/>
        <item x="0"/>
        <item x="4"/>
        <item t="default"/>
      </items>
    </pivotField>
    <pivotField showAll="0"/>
    <pivotField showAll="0"/>
    <pivotField dataField="1" numFmtId="1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oma de MÉDIA FINAL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B733B-E5B5-45E9-9570-49408D413535}" name="Tabela1" displayName="Tabela1" ref="J4:Q15" totalsRowShown="0" headerRowDxfId="11" headerRowBorderDxfId="20" tableBorderDxfId="21" totalsRowBorderDxfId="19">
  <autoFilter ref="J4:Q15" xr:uid="{B8CB733B-E5B5-45E9-9570-49408D413535}">
    <filterColumn colId="1">
      <filters>
        <filter val="Fernanda Manuel"/>
        <filter val="Junior"/>
      </filters>
    </filterColumn>
  </autoFilter>
  <tableColumns count="8">
    <tableColumn id="1" xr3:uid="{451299EA-4999-48E5-8DB4-643B7FC39C54}" name="Nº" dataDxfId="18">
      <calculatedColumnFormula>J4+1</calculatedColumnFormula>
    </tableColumn>
    <tableColumn id="2" xr3:uid="{AD0E19AE-B64A-406D-B80A-A8C216F6B401}" name="NOME" dataDxfId="17"/>
    <tableColumn id="3" xr3:uid="{1EBA84AA-BE3C-4189-A469-F6E0BA6B6301}" name="P1" dataDxfId="16"/>
    <tableColumn id="4" xr3:uid="{DFDE9B11-807F-4C8F-8D96-4633E353AD08}" name="P2" dataDxfId="15"/>
    <tableColumn id="5" xr3:uid="{AC6A362C-C4C0-43A5-B39B-8181BC2BD84E}" name="P3" dataDxfId="14"/>
    <tableColumn id="8" xr3:uid="{2EE84872-F399-4187-885F-0BD6A39B4D06}" name="Genero" dataDxfId="0"/>
    <tableColumn id="6" xr3:uid="{DE37828B-7B22-41D8-8C6A-C2F334F994EA}" name="MÉDIA FINAL" dataDxfId="13">
      <calculatedColumnFormula>(L5+M5+N5)/3</calculatedColumnFormula>
    </tableColumn>
    <tableColumn id="7" xr3:uid="{47ACA395-6AE7-41B6-99EF-D1D618F392DA}" name="RESULTADO" dataDxfId="12">
      <calculatedColumnFormula>IF(P5&gt;=10,"Transita","Não Transita")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77D1-30A5-42D4-9431-FB4CD7C1DDA5}">
  <dimension ref="B1:I14"/>
  <sheetViews>
    <sheetView zoomScale="220" zoomScaleNormal="220" workbookViewId="0">
      <selection activeCell="A5" sqref="A5"/>
    </sheetView>
  </sheetViews>
  <sheetFormatPr defaultRowHeight="15" x14ac:dyDescent="0.25"/>
  <cols>
    <col min="3" max="3" width="17.85546875" bestFit="1" customWidth="1"/>
    <col min="7" max="7" width="12.42578125" bestFit="1" customWidth="1"/>
    <col min="8" max="8" width="22" bestFit="1" customWidth="1"/>
    <col min="9" max="9" width="11.28515625" bestFit="1" customWidth="1"/>
  </cols>
  <sheetData>
    <row r="1" spans="2:9" s="4" customFormat="1" ht="21" x14ac:dyDescent="0.35">
      <c r="B1" s="4" t="s">
        <v>0</v>
      </c>
    </row>
    <row r="2" spans="2:9" s="5" customFormat="1" ht="6" customHeight="1" x14ac:dyDescent="0.25"/>
    <row r="4" spans="2:9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17</v>
      </c>
      <c r="I4" s="2" t="s">
        <v>18</v>
      </c>
    </row>
    <row r="5" spans="2:9" x14ac:dyDescent="0.25">
      <c r="B5" s="1">
        <v>1</v>
      </c>
      <c r="C5" s="1" t="s">
        <v>7</v>
      </c>
      <c r="D5" s="1">
        <v>10</v>
      </c>
      <c r="E5" s="1">
        <v>10</v>
      </c>
      <c r="F5" s="1">
        <v>16</v>
      </c>
      <c r="G5" s="3">
        <f>(D5+E5+F5)/3</f>
        <v>12</v>
      </c>
      <c r="H5" s="3">
        <f>AVERAGE(D5:F5)</f>
        <v>12</v>
      </c>
      <c r="I5" s="1" t="str">
        <f>IF(G5&gt;=10,"Transita","Não Transita")</f>
        <v>Transita</v>
      </c>
    </row>
    <row r="6" spans="2:9" x14ac:dyDescent="0.25">
      <c r="B6" s="1">
        <f>B5+1</f>
        <v>2</v>
      </c>
      <c r="C6" s="1" t="s">
        <v>8</v>
      </c>
      <c r="D6" s="1">
        <v>5</v>
      </c>
      <c r="E6" s="1">
        <v>12</v>
      </c>
      <c r="F6" s="1">
        <v>8</v>
      </c>
      <c r="G6" s="3">
        <f t="shared" ref="G6:G14" si="0">(D6+E6+F6)/3</f>
        <v>8.3333333333333339</v>
      </c>
      <c r="H6" s="3">
        <f t="shared" ref="H6:H14" si="1">AVERAGE(D6:F6)</f>
        <v>8.3333333333333339</v>
      </c>
      <c r="I6" s="1" t="str">
        <f t="shared" ref="I6:I14" si="2">IF(G6&gt;=10,"Transita","Não Transita")</f>
        <v>Não Transita</v>
      </c>
    </row>
    <row r="7" spans="2:9" x14ac:dyDescent="0.25">
      <c r="B7" s="1">
        <f t="shared" ref="B7:B14" si="3">B6+1</f>
        <v>3</v>
      </c>
      <c r="C7" s="1" t="s">
        <v>9</v>
      </c>
      <c r="D7" s="1">
        <v>10</v>
      </c>
      <c r="E7" s="1">
        <v>7</v>
      </c>
      <c r="F7" s="1">
        <v>5</v>
      </c>
      <c r="G7" s="3">
        <f t="shared" si="0"/>
        <v>7.333333333333333</v>
      </c>
      <c r="H7" s="3">
        <f t="shared" si="1"/>
        <v>7.333333333333333</v>
      </c>
      <c r="I7" s="1" t="str">
        <f t="shared" si="2"/>
        <v>Não Transita</v>
      </c>
    </row>
    <row r="8" spans="2:9" x14ac:dyDescent="0.25">
      <c r="B8" s="1">
        <f t="shared" si="3"/>
        <v>4</v>
      </c>
      <c r="C8" s="1" t="s">
        <v>10</v>
      </c>
      <c r="D8" s="1">
        <v>7</v>
      </c>
      <c r="E8" s="1">
        <v>12</v>
      </c>
      <c r="F8" s="1">
        <v>11</v>
      </c>
      <c r="G8" s="3">
        <f t="shared" si="0"/>
        <v>10</v>
      </c>
      <c r="H8" s="3">
        <f t="shared" si="1"/>
        <v>10</v>
      </c>
      <c r="I8" s="1" t="str">
        <f t="shared" si="2"/>
        <v>Transita</v>
      </c>
    </row>
    <row r="9" spans="2:9" x14ac:dyDescent="0.25">
      <c r="B9" s="1">
        <f t="shared" si="3"/>
        <v>5</v>
      </c>
      <c r="C9" s="1" t="s">
        <v>11</v>
      </c>
      <c r="D9" s="1">
        <v>6</v>
      </c>
      <c r="E9" s="1">
        <v>10</v>
      </c>
      <c r="F9" s="1">
        <v>14</v>
      </c>
      <c r="G9" s="3">
        <f t="shared" si="0"/>
        <v>10</v>
      </c>
      <c r="H9" s="3">
        <f t="shared" si="1"/>
        <v>10</v>
      </c>
      <c r="I9" s="1" t="str">
        <f t="shared" si="2"/>
        <v>Transita</v>
      </c>
    </row>
    <row r="10" spans="2:9" x14ac:dyDescent="0.25">
      <c r="B10" s="1">
        <f t="shared" si="3"/>
        <v>6</v>
      </c>
      <c r="C10" s="1" t="s">
        <v>12</v>
      </c>
      <c r="D10" s="1">
        <v>11</v>
      </c>
      <c r="E10" s="1">
        <v>6</v>
      </c>
      <c r="F10" s="1">
        <v>9</v>
      </c>
      <c r="G10" s="3">
        <f t="shared" si="0"/>
        <v>8.6666666666666661</v>
      </c>
      <c r="H10" s="3">
        <f t="shared" si="1"/>
        <v>8.6666666666666661</v>
      </c>
      <c r="I10" s="1" t="str">
        <f t="shared" si="2"/>
        <v>Não Transita</v>
      </c>
    </row>
    <row r="11" spans="2:9" x14ac:dyDescent="0.25">
      <c r="B11" s="1">
        <f t="shared" si="3"/>
        <v>7</v>
      </c>
      <c r="C11" s="1" t="s">
        <v>13</v>
      </c>
      <c r="D11" s="1">
        <v>10</v>
      </c>
      <c r="E11" s="1">
        <v>7</v>
      </c>
      <c r="F11" s="1">
        <v>13</v>
      </c>
      <c r="G11" s="3">
        <f t="shared" si="0"/>
        <v>10</v>
      </c>
      <c r="H11" s="3">
        <f t="shared" si="1"/>
        <v>10</v>
      </c>
      <c r="I11" s="1" t="str">
        <f t="shared" si="2"/>
        <v>Transita</v>
      </c>
    </row>
    <row r="12" spans="2:9" x14ac:dyDescent="0.25">
      <c r="B12" s="1">
        <f t="shared" si="3"/>
        <v>8</v>
      </c>
      <c r="C12" s="1" t="s">
        <v>14</v>
      </c>
      <c r="D12" s="1">
        <v>4</v>
      </c>
      <c r="E12" s="1">
        <v>8</v>
      </c>
      <c r="F12" s="1">
        <v>6</v>
      </c>
      <c r="G12" s="3">
        <f t="shared" si="0"/>
        <v>6</v>
      </c>
      <c r="H12" s="3">
        <f t="shared" si="1"/>
        <v>6</v>
      </c>
      <c r="I12" s="1" t="str">
        <f t="shared" si="2"/>
        <v>Não Transita</v>
      </c>
    </row>
    <row r="13" spans="2:9" x14ac:dyDescent="0.25">
      <c r="B13" s="1">
        <f t="shared" si="3"/>
        <v>9</v>
      </c>
      <c r="C13" s="1" t="s">
        <v>15</v>
      </c>
      <c r="D13" s="1">
        <v>11</v>
      </c>
      <c r="E13" s="1">
        <v>13</v>
      </c>
      <c r="F13" s="1">
        <v>9</v>
      </c>
      <c r="G13" s="3">
        <f t="shared" si="0"/>
        <v>11</v>
      </c>
      <c r="H13" s="3">
        <f t="shared" si="1"/>
        <v>11</v>
      </c>
      <c r="I13" s="1" t="str">
        <f t="shared" si="2"/>
        <v>Transita</v>
      </c>
    </row>
    <row r="14" spans="2:9" x14ac:dyDescent="0.25">
      <c r="B14" s="1">
        <f t="shared" si="3"/>
        <v>10</v>
      </c>
      <c r="C14" s="1" t="s">
        <v>16</v>
      </c>
      <c r="D14" s="1">
        <v>10</v>
      </c>
      <c r="E14" s="1">
        <v>19</v>
      </c>
      <c r="F14" s="1">
        <v>7</v>
      </c>
      <c r="G14" s="3">
        <f t="shared" si="0"/>
        <v>12</v>
      </c>
      <c r="H14" s="3">
        <f t="shared" si="1"/>
        <v>12</v>
      </c>
      <c r="I14" s="1" t="str">
        <f t="shared" si="2"/>
        <v>Transita</v>
      </c>
    </row>
  </sheetData>
  <conditionalFormatting sqref="G5:G14">
    <cfRule type="cellIs" dxfId="10" priority="1" operator="lessThan">
      <formula>10</formula>
    </cfRule>
    <cfRule type="cellIs" dxfId="9" priority="2" operator="greaterThan">
      <formula>9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C089-C953-4F92-8E18-E51CED012D40}">
  <dimension ref="A3:G28"/>
  <sheetViews>
    <sheetView topLeftCell="A5" zoomScale="145" zoomScaleNormal="145" workbookViewId="0">
      <selection activeCell="B36" sqref="B36"/>
    </sheetView>
  </sheetViews>
  <sheetFormatPr defaultRowHeight="15" x14ac:dyDescent="0.25"/>
  <cols>
    <col min="1" max="1" width="20.85546875" bestFit="1" customWidth="1"/>
    <col min="2" max="2" width="19.5703125" bestFit="1" customWidth="1"/>
    <col min="3" max="3" width="17" bestFit="1" customWidth="1"/>
    <col min="4" max="4" width="10.28515625" bestFit="1" customWidth="1"/>
    <col min="5" max="5" width="12.85546875" bestFit="1" customWidth="1"/>
    <col min="6" max="6" width="10.7109375" bestFit="1" customWidth="1"/>
    <col min="7" max="8" width="16.140625" bestFit="1" customWidth="1"/>
    <col min="9" max="9" width="20.7109375" bestFit="1" customWidth="1"/>
    <col min="10" max="10" width="16.140625" bestFit="1" customWidth="1"/>
    <col min="13" max="13" width="12" bestFit="1" customWidth="1"/>
  </cols>
  <sheetData>
    <row r="3" spans="1:6" x14ac:dyDescent="0.25">
      <c r="A3" s="18" t="s">
        <v>20</v>
      </c>
      <c r="B3" s="18" t="s">
        <v>21</v>
      </c>
    </row>
    <row r="4" spans="1:6" x14ac:dyDescent="0.25">
      <c r="B4" t="s">
        <v>23</v>
      </c>
      <c r="C4" t="s">
        <v>34</v>
      </c>
      <c r="D4" t="s">
        <v>24</v>
      </c>
      <c r="E4" t="s">
        <v>35</v>
      </c>
      <c r="F4" t="s">
        <v>25</v>
      </c>
    </row>
    <row r="5" spans="1:6" x14ac:dyDescent="0.25">
      <c r="A5" s="18" t="s">
        <v>29</v>
      </c>
      <c r="B5" t="s">
        <v>32</v>
      </c>
      <c r="D5" t="s">
        <v>32</v>
      </c>
    </row>
    <row r="6" spans="1:6" x14ac:dyDescent="0.25">
      <c r="A6" s="19" t="s">
        <v>7</v>
      </c>
      <c r="B6" s="20"/>
      <c r="C6" s="20"/>
      <c r="D6" s="20">
        <v>12</v>
      </c>
      <c r="E6" s="20">
        <v>12</v>
      </c>
      <c r="F6" s="20">
        <v>12</v>
      </c>
    </row>
    <row r="7" spans="1:6" x14ac:dyDescent="0.25">
      <c r="A7" s="19" t="s">
        <v>16</v>
      </c>
      <c r="B7" s="20"/>
      <c r="C7" s="20"/>
      <c r="D7" s="20">
        <v>12</v>
      </c>
      <c r="E7" s="20">
        <v>12</v>
      </c>
      <c r="F7" s="20">
        <v>12</v>
      </c>
    </row>
    <row r="8" spans="1:6" x14ac:dyDescent="0.25">
      <c r="A8" s="19" t="s">
        <v>12</v>
      </c>
      <c r="B8" s="20">
        <v>8.6666666666666661</v>
      </c>
      <c r="C8" s="20">
        <v>8.6666666666666661</v>
      </c>
      <c r="D8" s="20"/>
      <c r="E8" s="20"/>
      <c r="F8" s="20">
        <v>8.6666666666666661</v>
      </c>
    </row>
    <row r="9" spans="1:6" x14ac:dyDescent="0.25">
      <c r="A9" s="19" t="s">
        <v>14</v>
      </c>
      <c r="B9" s="20">
        <v>6</v>
      </c>
      <c r="C9" s="20">
        <v>6</v>
      </c>
      <c r="D9" s="20"/>
      <c r="E9" s="20"/>
      <c r="F9" s="20">
        <v>6</v>
      </c>
    </row>
    <row r="10" spans="1:6" x14ac:dyDescent="0.25">
      <c r="A10" s="19" t="s">
        <v>30</v>
      </c>
      <c r="B10" s="20">
        <v>8.6666666666666661</v>
      </c>
      <c r="C10" s="20">
        <v>8.6666666666666661</v>
      </c>
      <c r="D10" s="20"/>
      <c r="E10" s="20"/>
      <c r="F10" s="20">
        <v>8.6666666666666661</v>
      </c>
    </row>
    <row r="11" spans="1:6" x14ac:dyDescent="0.25">
      <c r="A11" s="19" t="s">
        <v>25</v>
      </c>
      <c r="B11" s="20">
        <v>23.333333333333332</v>
      </c>
      <c r="C11" s="20">
        <v>23.333333333333332</v>
      </c>
      <c r="D11" s="20">
        <v>24</v>
      </c>
      <c r="E11" s="20">
        <v>24</v>
      </c>
      <c r="F11" s="20">
        <v>47.333333333333329</v>
      </c>
    </row>
    <row r="20" spans="1:7" x14ac:dyDescent="0.25">
      <c r="B20" s="18" t="s">
        <v>21</v>
      </c>
    </row>
    <row r="21" spans="1:7" x14ac:dyDescent="0.25">
      <c r="B21" t="s">
        <v>32</v>
      </c>
      <c r="E21" t="s">
        <v>36</v>
      </c>
      <c r="F21" t="s">
        <v>37</v>
      </c>
      <c r="G21" t="s">
        <v>38</v>
      </c>
    </row>
    <row r="22" spans="1:7" x14ac:dyDescent="0.25">
      <c r="A22" s="18" t="s">
        <v>29</v>
      </c>
      <c r="B22" t="s">
        <v>26</v>
      </c>
      <c r="C22" t="s">
        <v>27</v>
      </c>
      <c r="D22" t="s">
        <v>28</v>
      </c>
    </row>
    <row r="23" spans="1:7" x14ac:dyDescent="0.25">
      <c r="A23" s="19" t="s">
        <v>7</v>
      </c>
      <c r="B23" s="23">
        <v>10</v>
      </c>
      <c r="C23" s="23">
        <v>10</v>
      </c>
      <c r="D23" s="23">
        <v>16</v>
      </c>
      <c r="E23" s="23">
        <v>10</v>
      </c>
      <c r="F23" s="23">
        <v>10</v>
      </c>
      <c r="G23" s="23">
        <v>16</v>
      </c>
    </row>
    <row r="24" spans="1:7" x14ac:dyDescent="0.25">
      <c r="A24" s="19" t="s">
        <v>16</v>
      </c>
      <c r="B24" s="23">
        <v>10</v>
      </c>
      <c r="C24" s="23">
        <v>19</v>
      </c>
      <c r="D24" s="23">
        <v>7</v>
      </c>
      <c r="E24" s="23">
        <v>10</v>
      </c>
      <c r="F24" s="23">
        <v>19</v>
      </c>
      <c r="G24" s="23">
        <v>7</v>
      </c>
    </row>
    <row r="25" spans="1:7" x14ac:dyDescent="0.25">
      <c r="A25" s="19" t="s">
        <v>12</v>
      </c>
      <c r="B25" s="23">
        <v>11</v>
      </c>
      <c r="C25" s="23">
        <v>6</v>
      </c>
      <c r="D25" s="23">
        <v>9</v>
      </c>
      <c r="E25" s="23">
        <v>11</v>
      </c>
      <c r="F25" s="23">
        <v>6</v>
      </c>
      <c r="G25" s="23">
        <v>9</v>
      </c>
    </row>
    <row r="26" spans="1:7" x14ac:dyDescent="0.25">
      <c r="A26" s="19" t="s">
        <v>14</v>
      </c>
      <c r="B26" s="23">
        <v>4</v>
      </c>
      <c r="C26" s="23">
        <v>8</v>
      </c>
      <c r="D26" s="23">
        <v>6</v>
      </c>
      <c r="E26" s="23">
        <v>4</v>
      </c>
      <c r="F26" s="23">
        <v>8</v>
      </c>
      <c r="G26" s="23">
        <v>6</v>
      </c>
    </row>
    <row r="27" spans="1:7" x14ac:dyDescent="0.25">
      <c r="A27" s="19" t="s">
        <v>30</v>
      </c>
      <c r="B27" s="23">
        <v>7</v>
      </c>
      <c r="C27" s="23">
        <v>10</v>
      </c>
      <c r="D27" s="23">
        <v>9</v>
      </c>
      <c r="E27" s="23">
        <v>7</v>
      </c>
      <c r="F27" s="23">
        <v>10</v>
      </c>
      <c r="G27" s="23">
        <v>9</v>
      </c>
    </row>
    <row r="28" spans="1:7" x14ac:dyDescent="0.25">
      <c r="A28" s="19" t="s">
        <v>25</v>
      </c>
      <c r="B28" s="23">
        <v>42</v>
      </c>
      <c r="C28" s="23">
        <v>53</v>
      </c>
      <c r="D28" s="23">
        <v>47</v>
      </c>
      <c r="E28" s="23">
        <v>42</v>
      </c>
      <c r="F28" s="23">
        <v>53</v>
      </c>
      <c r="G28" s="23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A161-A2AD-4CB6-9096-F625DCF9DEC6}">
  <dimension ref="A3:D11"/>
  <sheetViews>
    <sheetView zoomScale="115" zoomScaleNormal="115" workbookViewId="0">
      <selection activeCell="B8" sqref="B8"/>
    </sheetView>
  </sheetViews>
  <sheetFormatPr defaultRowHeight="15" x14ac:dyDescent="0.25"/>
  <cols>
    <col min="1" max="1" width="21.140625" bestFit="1" customWidth="1"/>
    <col min="2" max="2" width="19.5703125" bestFit="1" customWidth="1"/>
    <col min="3" max="3" width="8.140625" bestFit="1" customWidth="1"/>
    <col min="4" max="4" width="10.7109375" bestFit="1" customWidth="1"/>
  </cols>
  <sheetData>
    <row r="3" spans="1:4" x14ac:dyDescent="0.25">
      <c r="A3" s="18" t="s">
        <v>20</v>
      </c>
      <c r="B3" s="18" t="s">
        <v>21</v>
      </c>
    </row>
    <row r="4" spans="1:4" x14ac:dyDescent="0.25">
      <c r="A4" s="18" t="s">
        <v>22</v>
      </c>
      <c r="B4" t="s">
        <v>23</v>
      </c>
      <c r="C4" t="s">
        <v>24</v>
      </c>
      <c r="D4" t="s">
        <v>25</v>
      </c>
    </row>
    <row r="5" spans="1:4" x14ac:dyDescent="0.25">
      <c r="A5" s="19">
        <v>4</v>
      </c>
      <c r="B5" s="20">
        <v>6</v>
      </c>
      <c r="C5" s="20"/>
      <c r="D5" s="20">
        <v>6</v>
      </c>
    </row>
    <row r="6" spans="1:4" x14ac:dyDescent="0.25">
      <c r="A6" s="19">
        <v>5</v>
      </c>
      <c r="B6" s="20">
        <v>8.3333333333333339</v>
      </c>
      <c r="C6" s="20"/>
      <c r="D6" s="20">
        <v>8.3333333333333339</v>
      </c>
    </row>
    <row r="7" spans="1:4" x14ac:dyDescent="0.25">
      <c r="A7" s="19">
        <v>6</v>
      </c>
      <c r="B7" s="20"/>
      <c r="C7" s="20">
        <v>10</v>
      </c>
      <c r="D7" s="20">
        <v>10</v>
      </c>
    </row>
    <row r="8" spans="1:4" x14ac:dyDescent="0.25">
      <c r="A8" s="19">
        <v>7</v>
      </c>
      <c r="B8" s="20">
        <v>8.6666666666666661</v>
      </c>
      <c r="C8" s="20">
        <v>10</v>
      </c>
      <c r="D8" s="20">
        <v>18.666666666666664</v>
      </c>
    </row>
    <row r="9" spans="1:4" x14ac:dyDescent="0.25">
      <c r="A9" s="19">
        <v>10</v>
      </c>
      <c r="B9" s="20">
        <v>7.333333333333333</v>
      </c>
      <c r="C9" s="20">
        <v>34</v>
      </c>
      <c r="D9" s="20">
        <v>41.333333333333336</v>
      </c>
    </row>
    <row r="10" spans="1:4" x14ac:dyDescent="0.25">
      <c r="A10" s="19">
        <v>11</v>
      </c>
      <c r="B10" s="20">
        <v>8.6666666666666661</v>
      </c>
      <c r="C10" s="20">
        <v>11</v>
      </c>
      <c r="D10" s="20">
        <v>19.666666666666664</v>
      </c>
    </row>
    <row r="11" spans="1:4" x14ac:dyDescent="0.25">
      <c r="A11" s="19" t="s">
        <v>25</v>
      </c>
      <c r="B11" s="20">
        <v>39</v>
      </c>
      <c r="C11" s="20">
        <v>65</v>
      </c>
      <c r="D11" s="20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1745-D6F4-440C-B7C8-D775AE748F59}">
  <dimension ref="B1:T27"/>
  <sheetViews>
    <sheetView topLeftCell="D1" zoomScale="130" zoomScaleNormal="130" workbookViewId="0">
      <selection activeCell="R5" sqref="R5:R15"/>
    </sheetView>
  </sheetViews>
  <sheetFormatPr defaultRowHeight="15" x14ac:dyDescent="0.25"/>
  <cols>
    <col min="3" max="3" width="17.85546875" bestFit="1" customWidth="1"/>
    <col min="7" max="7" width="14.85546875" bestFit="1" customWidth="1"/>
    <col min="8" max="8" width="11.85546875" customWidth="1"/>
    <col min="9" max="9" width="12" bestFit="1" customWidth="1"/>
    <col min="11" max="11" width="17.85546875" bestFit="1" customWidth="1"/>
    <col min="15" max="15" width="14" customWidth="1"/>
    <col min="16" max="16" width="14.85546875" bestFit="1" customWidth="1"/>
    <col min="17" max="17" width="13.7109375" bestFit="1" customWidth="1"/>
    <col min="19" max="19" width="17.85546875" bestFit="1" customWidth="1"/>
  </cols>
  <sheetData>
    <row r="1" spans="2:20" s="4" customFormat="1" ht="21" x14ac:dyDescent="0.35">
      <c r="B1" s="4" t="s">
        <v>19</v>
      </c>
    </row>
    <row r="2" spans="2:20" s="5" customFormat="1" ht="6" customHeight="1" x14ac:dyDescent="0.25"/>
    <row r="3" spans="2:20" ht="23.25" x14ac:dyDescent="0.35">
      <c r="D3" s="7">
        <v>1</v>
      </c>
      <c r="M3" s="8">
        <v>2</v>
      </c>
      <c r="T3" s="6"/>
    </row>
    <row r="4" spans="2:20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18</v>
      </c>
      <c r="J4" s="11" t="s">
        <v>1</v>
      </c>
      <c r="K4" s="12" t="s">
        <v>2</v>
      </c>
      <c r="L4" s="12" t="s">
        <v>3</v>
      </c>
      <c r="M4" s="12" t="s">
        <v>4</v>
      </c>
      <c r="N4" s="12" t="s">
        <v>5</v>
      </c>
      <c r="O4" s="12" t="s">
        <v>31</v>
      </c>
      <c r="P4" s="12" t="s">
        <v>6</v>
      </c>
      <c r="Q4" s="13" t="s">
        <v>18</v>
      </c>
    </row>
    <row r="5" spans="2:20" x14ac:dyDescent="0.25">
      <c r="B5" s="1">
        <v>1</v>
      </c>
      <c r="C5" s="1" t="s">
        <v>7</v>
      </c>
      <c r="D5" s="1">
        <v>10</v>
      </c>
      <c r="E5" s="1">
        <v>10</v>
      </c>
      <c r="F5" s="1">
        <v>16</v>
      </c>
      <c r="G5" s="3">
        <f>(D5+E5+F5)/3</f>
        <v>12</v>
      </c>
      <c r="H5" s="1" t="str">
        <f>IF(G5&gt;=10,"Transita","Não Transita")</f>
        <v>Transita</v>
      </c>
      <c r="J5" s="9">
        <v>1</v>
      </c>
      <c r="K5" s="1" t="s">
        <v>7</v>
      </c>
      <c r="L5" s="1">
        <v>10</v>
      </c>
      <c r="M5" s="1">
        <v>10</v>
      </c>
      <c r="N5" s="1">
        <v>16</v>
      </c>
      <c r="O5" s="1" t="s">
        <v>32</v>
      </c>
      <c r="P5" s="3">
        <f>(L5+M5+N5)/3</f>
        <v>12</v>
      </c>
      <c r="Q5" s="10" t="str">
        <f>IF(P5&gt;=10,"Transita","Não Transita")</f>
        <v>Transita</v>
      </c>
    </row>
    <row r="6" spans="2:20" x14ac:dyDescent="0.25">
      <c r="B6" s="1">
        <f>B5+1</f>
        <v>2</v>
      </c>
      <c r="C6" s="1" t="s">
        <v>8</v>
      </c>
      <c r="D6" s="1">
        <v>5</v>
      </c>
      <c r="E6" s="1">
        <v>12</v>
      </c>
      <c r="F6" s="1">
        <v>8</v>
      </c>
      <c r="G6" s="3">
        <f t="shared" ref="G6:G14" si="0">(D6+E6+F6)/3</f>
        <v>8.3333333333333339</v>
      </c>
      <c r="H6" s="1" t="str">
        <f>IF(G6&gt;=10,"Transita","Não Transita")</f>
        <v>Não Transita</v>
      </c>
      <c r="J6" s="9">
        <f>J5+1</f>
        <v>2</v>
      </c>
      <c r="K6" s="1" t="s">
        <v>8</v>
      </c>
      <c r="L6" s="1">
        <v>5</v>
      </c>
      <c r="M6" s="1">
        <v>12</v>
      </c>
      <c r="N6" s="1">
        <v>8</v>
      </c>
      <c r="O6" s="1" t="s">
        <v>33</v>
      </c>
      <c r="P6" s="3">
        <f t="shared" ref="P6:P14" si="1">(L6+M6+N6)/3</f>
        <v>8.3333333333333339</v>
      </c>
      <c r="Q6" s="10" t="str">
        <f>IF(P6&gt;=10,"Transita","Não Transita")</f>
        <v>Não Transita</v>
      </c>
    </row>
    <row r="7" spans="2:20" x14ac:dyDescent="0.25">
      <c r="B7" s="1">
        <f t="shared" ref="B7:B14" si="2">B6+1</f>
        <v>3</v>
      </c>
      <c r="C7" s="1" t="s">
        <v>9</v>
      </c>
      <c r="D7" s="1">
        <v>10</v>
      </c>
      <c r="E7" s="1">
        <v>7</v>
      </c>
      <c r="F7" s="1">
        <v>5</v>
      </c>
      <c r="G7" s="3">
        <f t="shared" si="0"/>
        <v>7.333333333333333</v>
      </c>
      <c r="H7" s="1" t="str">
        <f>IF(G7&gt;=10,"Transita","Não Transita")</f>
        <v>Não Transita</v>
      </c>
      <c r="J7" s="9">
        <f t="shared" ref="J7:J14" si="3">J6+1</f>
        <v>3</v>
      </c>
      <c r="K7" s="1" t="s">
        <v>9</v>
      </c>
      <c r="L7" s="1">
        <v>10</v>
      </c>
      <c r="M7" s="1">
        <v>7</v>
      </c>
      <c r="N7" s="1">
        <v>5</v>
      </c>
      <c r="O7" s="1" t="s">
        <v>33</v>
      </c>
      <c r="P7" s="3">
        <f t="shared" si="1"/>
        <v>7.333333333333333</v>
      </c>
      <c r="Q7" s="10" t="str">
        <f>IF(P7&gt;=10,"Transita","Não Transita")</f>
        <v>Não Transita</v>
      </c>
    </row>
    <row r="8" spans="2:20" x14ac:dyDescent="0.25">
      <c r="B8" s="1">
        <f t="shared" si="2"/>
        <v>4</v>
      </c>
      <c r="C8" s="1" t="s">
        <v>10</v>
      </c>
      <c r="D8" s="1">
        <v>7</v>
      </c>
      <c r="E8" s="1">
        <v>12</v>
      </c>
      <c r="F8" s="1">
        <v>11</v>
      </c>
      <c r="G8" s="3">
        <f t="shared" si="0"/>
        <v>10</v>
      </c>
      <c r="H8" s="1" t="str">
        <f>IF(G8&gt;=10,"Transita","Não Transita")</f>
        <v>Transita</v>
      </c>
      <c r="J8" s="9">
        <f t="shared" si="3"/>
        <v>4</v>
      </c>
      <c r="K8" s="1" t="s">
        <v>10</v>
      </c>
      <c r="L8" s="1">
        <v>7</v>
      </c>
      <c r="M8" s="1">
        <v>12</v>
      </c>
      <c r="N8" s="1">
        <v>11</v>
      </c>
      <c r="O8" s="1" t="s">
        <v>33</v>
      </c>
      <c r="P8" s="3">
        <f t="shared" si="1"/>
        <v>10</v>
      </c>
      <c r="Q8" s="10" t="str">
        <f>IF(P8&gt;=10,"Transita","Não Transita")</f>
        <v>Transita</v>
      </c>
    </row>
    <row r="9" spans="2:20" x14ac:dyDescent="0.25">
      <c r="B9" s="1">
        <f t="shared" si="2"/>
        <v>5</v>
      </c>
      <c r="C9" s="1" t="s">
        <v>11</v>
      </c>
      <c r="D9" s="1">
        <v>6</v>
      </c>
      <c r="E9" s="1">
        <v>10</v>
      </c>
      <c r="F9" s="1">
        <v>14</v>
      </c>
      <c r="G9" s="3">
        <f t="shared" si="0"/>
        <v>10</v>
      </c>
      <c r="H9" s="1" t="str">
        <f>IF(G9&gt;=10,"Transita","Não Transita")</f>
        <v>Transita</v>
      </c>
      <c r="J9" s="9">
        <f t="shared" si="3"/>
        <v>5</v>
      </c>
      <c r="K9" s="1" t="s">
        <v>11</v>
      </c>
      <c r="L9" s="1">
        <v>6</v>
      </c>
      <c r="M9" s="1">
        <v>10</v>
      </c>
      <c r="N9" s="1">
        <v>14</v>
      </c>
      <c r="O9" s="1" t="s">
        <v>33</v>
      </c>
      <c r="P9" s="3">
        <f t="shared" si="1"/>
        <v>10</v>
      </c>
      <c r="Q9" s="10" t="str">
        <f>IF(P9&gt;=10,"Transita","Não Transita")</f>
        <v>Transita</v>
      </c>
    </row>
    <row r="10" spans="2:20" x14ac:dyDescent="0.25">
      <c r="B10" s="1">
        <f t="shared" si="2"/>
        <v>6</v>
      </c>
      <c r="C10" s="1" t="s">
        <v>12</v>
      </c>
      <c r="D10" s="1">
        <v>11</v>
      </c>
      <c r="E10" s="1">
        <v>6</v>
      </c>
      <c r="F10" s="1">
        <v>9</v>
      </c>
      <c r="G10" s="3">
        <f t="shared" si="0"/>
        <v>8.6666666666666661</v>
      </c>
      <c r="H10" s="1" t="str">
        <f>IF(G10&gt;=10,"Transita","Não Transita")</f>
        <v>Não Transita</v>
      </c>
      <c r="J10" s="9">
        <f t="shared" si="3"/>
        <v>6</v>
      </c>
      <c r="K10" s="1" t="s">
        <v>12</v>
      </c>
      <c r="L10" s="1">
        <v>11</v>
      </c>
      <c r="M10" s="1">
        <v>6</v>
      </c>
      <c r="N10" s="1">
        <v>9</v>
      </c>
      <c r="O10" s="1" t="s">
        <v>32</v>
      </c>
      <c r="P10" s="3">
        <f t="shared" si="1"/>
        <v>8.6666666666666661</v>
      </c>
      <c r="Q10" s="10" t="str">
        <f>IF(P10&gt;=10,"Transita","Não Transita")</f>
        <v>Não Transita</v>
      </c>
    </row>
    <row r="11" spans="2:20" hidden="1" x14ac:dyDescent="0.25">
      <c r="B11" s="1">
        <f t="shared" si="2"/>
        <v>7</v>
      </c>
      <c r="C11" s="1" t="s">
        <v>13</v>
      </c>
      <c r="D11" s="1">
        <v>10</v>
      </c>
      <c r="E11" s="1">
        <v>7</v>
      </c>
      <c r="F11" s="1">
        <v>13</v>
      </c>
      <c r="G11" s="3">
        <f t="shared" si="0"/>
        <v>10</v>
      </c>
      <c r="H11" s="1" t="str">
        <f>IF(G11&gt;=10,"Transita","Não Transita")</f>
        <v>Transita</v>
      </c>
      <c r="J11" s="9">
        <f t="shared" si="3"/>
        <v>7</v>
      </c>
      <c r="K11" s="1" t="s">
        <v>13</v>
      </c>
      <c r="L11" s="1">
        <v>10</v>
      </c>
      <c r="M11" s="1">
        <v>7</v>
      </c>
      <c r="N11" s="1">
        <v>13</v>
      </c>
      <c r="O11" s="1"/>
      <c r="P11" s="3">
        <f t="shared" si="1"/>
        <v>10</v>
      </c>
      <c r="Q11" s="10" t="str">
        <f>IF(P11&gt;=10,"Transita","Não Transita")</f>
        <v>Transita</v>
      </c>
    </row>
    <row r="12" spans="2:20" x14ac:dyDescent="0.25">
      <c r="B12" s="1">
        <f t="shared" si="2"/>
        <v>8</v>
      </c>
      <c r="C12" s="1" t="s">
        <v>14</v>
      </c>
      <c r="D12" s="1">
        <v>4</v>
      </c>
      <c r="E12" s="1">
        <v>8</v>
      </c>
      <c r="F12" s="1">
        <v>6</v>
      </c>
      <c r="G12" s="3">
        <f t="shared" si="0"/>
        <v>6</v>
      </c>
      <c r="H12" s="1" t="str">
        <f>IF(G12&gt;=10,"Transita","Não Transita")</f>
        <v>Não Transita</v>
      </c>
      <c r="J12" s="9">
        <f t="shared" si="3"/>
        <v>8</v>
      </c>
      <c r="K12" s="1" t="s">
        <v>14</v>
      </c>
      <c r="L12" s="1">
        <v>4</v>
      </c>
      <c r="M12" s="1">
        <v>8</v>
      </c>
      <c r="N12" s="1">
        <v>6</v>
      </c>
      <c r="O12" s="1" t="s">
        <v>32</v>
      </c>
      <c r="P12" s="3">
        <f t="shared" si="1"/>
        <v>6</v>
      </c>
      <c r="Q12" s="10" t="str">
        <f>IF(P12&gt;=10,"Transita","Não Transita")</f>
        <v>Não Transita</v>
      </c>
    </row>
    <row r="13" spans="2:20" x14ac:dyDescent="0.25">
      <c r="B13" s="1">
        <f t="shared" si="2"/>
        <v>9</v>
      </c>
      <c r="C13" s="1" t="s">
        <v>15</v>
      </c>
      <c r="D13" s="1">
        <v>11</v>
      </c>
      <c r="E13" s="1">
        <v>13</v>
      </c>
      <c r="F13" s="1">
        <v>9</v>
      </c>
      <c r="G13" s="3">
        <f t="shared" si="0"/>
        <v>11</v>
      </c>
      <c r="H13" s="1" t="str">
        <f>IF(G13&gt;=10,"Transita","Não Transita")</f>
        <v>Transita</v>
      </c>
      <c r="J13" s="9">
        <f t="shared" si="3"/>
        <v>9</v>
      </c>
      <c r="K13" s="1" t="s">
        <v>15</v>
      </c>
      <c r="L13" s="1">
        <v>11</v>
      </c>
      <c r="M13" s="1">
        <v>13</v>
      </c>
      <c r="N13" s="1">
        <v>9</v>
      </c>
      <c r="O13" s="1" t="s">
        <v>33</v>
      </c>
      <c r="P13" s="3">
        <f t="shared" si="1"/>
        <v>11</v>
      </c>
      <c r="Q13" s="10" t="str">
        <f>IF(P13&gt;=10,"Transita","Não Transita")</f>
        <v>Transita</v>
      </c>
    </row>
    <row r="14" spans="2:20" x14ac:dyDescent="0.25">
      <c r="B14" s="1">
        <f t="shared" si="2"/>
        <v>10</v>
      </c>
      <c r="C14" s="1" t="s">
        <v>16</v>
      </c>
      <c r="D14" s="1">
        <v>10</v>
      </c>
      <c r="E14" s="1">
        <v>19</v>
      </c>
      <c r="F14" s="1">
        <v>7</v>
      </c>
      <c r="G14" s="3">
        <f t="shared" si="0"/>
        <v>12</v>
      </c>
      <c r="H14" s="1" t="str">
        <f>IF(G14&gt;=10,"Transita","Não Transita")</f>
        <v>Transita</v>
      </c>
      <c r="J14" s="14">
        <f t="shared" si="3"/>
        <v>10</v>
      </c>
      <c r="K14" s="15" t="s">
        <v>16</v>
      </c>
      <c r="L14" s="15">
        <v>10</v>
      </c>
      <c r="M14" s="15">
        <v>19</v>
      </c>
      <c r="N14" s="15">
        <v>7</v>
      </c>
      <c r="O14" s="15" t="s">
        <v>32</v>
      </c>
      <c r="P14" s="16">
        <f t="shared" si="1"/>
        <v>12</v>
      </c>
      <c r="Q14" s="17" t="str">
        <f>IF(P14&gt;=10,"Transita","Não Transita")</f>
        <v>Transita</v>
      </c>
    </row>
    <row r="15" spans="2:20" x14ac:dyDescent="0.25">
      <c r="J15" s="9">
        <f>J14+1</f>
        <v>11</v>
      </c>
      <c r="K15" s="1" t="s">
        <v>30</v>
      </c>
      <c r="L15" s="1">
        <v>7</v>
      </c>
      <c r="M15" s="1">
        <v>10</v>
      </c>
      <c r="N15" s="1">
        <v>9</v>
      </c>
      <c r="O15" s="1" t="s">
        <v>32</v>
      </c>
      <c r="P15" s="3">
        <f>(L15+M15+N15)/3</f>
        <v>8.6666666666666661</v>
      </c>
      <c r="Q15" s="10" t="str">
        <f>IF(P15&gt;=10,"Transita","Não Transita")</f>
        <v>Não Transita</v>
      </c>
    </row>
    <row r="16" spans="2:20" ht="21" x14ac:dyDescent="0.35">
      <c r="D16" s="8">
        <v>3</v>
      </c>
    </row>
    <row r="17" spans="2:8" x14ac:dyDescent="0.25">
      <c r="B17" s="21" t="s">
        <v>1</v>
      </c>
      <c r="C17" s="21" t="s">
        <v>2</v>
      </c>
      <c r="D17" s="21" t="s">
        <v>3</v>
      </c>
      <c r="E17" s="21" t="s">
        <v>4</v>
      </c>
      <c r="F17" s="21" t="s">
        <v>5</v>
      </c>
      <c r="G17" s="21" t="s">
        <v>6</v>
      </c>
      <c r="H17" s="21" t="s">
        <v>18</v>
      </c>
    </row>
    <row r="18" spans="2:8" x14ac:dyDescent="0.25">
      <c r="B18" s="22">
        <v>1</v>
      </c>
      <c r="C18" s="22" t="s">
        <v>7</v>
      </c>
      <c r="D18" s="22">
        <v>10</v>
      </c>
      <c r="E18" s="22">
        <v>10</v>
      </c>
      <c r="F18" s="22">
        <v>16</v>
      </c>
      <c r="G18" s="22">
        <f>(D18+E18+F18)/3</f>
        <v>12</v>
      </c>
      <c r="H18" s="22" t="str">
        <f>IF(G18&gt;=10,"Transita","Não Transita")</f>
        <v>Transita</v>
      </c>
    </row>
    <row r="19" spans="2:8" x14ac:dyDescent="0.25">
      <c r="B19" s="1">
        <f>B18+1</f>
        <v>2</v>
      </c>
      <c r="C19" s="1" t="s">
        <v>8</v>
      </c>
      <c r="D19" s="1">
        <v>5</v>
      </c>
      <c r="E19" s="1">
        <v>12</v>
      </c>
      <c r="F19" s="1">
        <v>8</v>
      </c>
      <c r="G19" s="3">
        <f t="shared" ref="G19:G26" si="4">(D19+E19+F19)/3</f>
        <v>8.3333333333333339</v>
      </c>
      <c r="H19" s="1" t="str">
        <f>IF(G19&gt;=10,"Transita","Não Transita")</f>
        <v>Não Transita</v>
      </c>
    </row>
    <row r="20" spans="2:8" x14ac:dyDescent="0.25">
      <c r="B20" s="22">
        <f t="shared" ref="B20:B25" si="5">B19+1</f>
        <v>3</v>
      </c>
      <c r="C20" s="22" t="s">
        <v>9</v>
      </c>
      <c r="D20" s="22">
        <v>10</v>
      </c>
      <c r="E20" s="22">
        <v>7</v>
      </c>
      <c r="F20" s="22">
        <v>5</v>
      </c>
      <c r="G20" s="22">
        <f t="shared" si="4"/>
        <v>7.333333333333333</v>
      </c>
      <c r="H20" s="22" t="str">
        <f>IF(G20&gt;=10,"Transita","Não Transita")</f>
        <v>Não Transita</v>
      </c>
    </row>
    <row r="21" spans="2:8" x14ac:dyDescent="0.25">
      <c r="B21" s="1">
        <f t="shared" si="5"/>
        <v>4</v>
      </c>
      <c r="C21" s="1" t="s">
        <v>10</v>
      </c>
      <c r="D21" s="1">
        <v>7</v>
      </c>
      <c r="E21" s="1">
        <v>12</v>
      </c>
      <c r="F21" s="1">
        <v>11</v>
      </c>
      <c r="G21" s="3">
        <f t="shared" si="4"/>
        <v>10</v>
      </c>
      <c r="H21" s="1" t="str">
        <f>IF(G21&gt;=10,"Transita","Não Transita")</f>
        <v>Transita</v>
      </c>
    </row>
    <row r="22" spans="2:8" x14ac:dyDescent="0.25">
      <c r="B22" s="22">
        <f t="shared" si="5"/>
        <v>5</v>
      </c>
      <c r="C22" s="22" t="s">
        <v>11</v>
      </c>
      <c r="D22" s="22">
        <v>6</v>
      </c>
      <c r="E22" s="22">
        <v>10</v>
      </c>
      <c r="F22" s="22">
        <v>14</v>
      </c>
      <c r="G22" s="22">
        <f t="shared" si="4"/>
        <v>10</v>
      </c>
      <c r="H22" s="22" t="str">
        <f>IF(G22&gt;=10,"Transita","Não Transita")</f>
        <v>Transita</v>
      </c>
    </row>
    <row r="23" spans="2:8" x14ac:dyDescent="0.25">
      <c r="B23" s="1">
        <f t="shared" si="5"/>
        <v>6</v>
      </c>
      <c r="C23" s="1" t="s">
        <v>12</v>
      </c>
      <c r="D23" s="1">
        <v>11</v>
      </c>
      <c r="E23" s="1">
        <v>6</v>
      </c>
      <c r="F23" s="1">
        <v>9</v>
      </c>
      <c r="G23" s="3">
        <f t="shared" si="4"/>
        <v>8.6666666666666661</v>
      </c>
      <c r="H23" s="1" t="str">
        <f>IF(G23&gt;=10,"Transita","Não Transita")</f>
        <v>Não Transita</v>
      </c>
    </row>
    <row r="24" spans="2:8" x14ac:dyDescent="0.25">
      <c r="B24" s="22">
        <f t="shared" si="5"/>
        <v>7</v>
      </c>
      <c r="C24" s="22" t="s">
        <v>13</v>
      </c>
      <c r="D24" s="22">
        <v>10</v>
      </c>
      <c r="E24" s="22">
        <v>7</v>
      </c>
      <c r="F24" s="22">
        <v>13</v>
      </c>
      <c r="G24" s="22">
        <f t="shared" si="4"/>
        <v>10</v>
      </c>
      <c r="H24" s="22" t="str">
        <f>IF(G24&gt;=10,"Transita","Não Transita")</f>
        <v>Transita</v>
      </c>
    </row>
    <row r="25" spans="2:8" x14ac:dyDescent="0.25">
      <c r="B25" s="1">
        <f t="shared" si="5"/>
        <v>8</v>
      </c>
      <c r="C25" s="1" t="s">
        <v>14</v>
      </c>
      <c r="D25" s="1">
        <v>4</v>
      </c>
      <c r="E25" s="1">
        <v>8</v>
      </c>
      <c r="F25" s="1">
        <v>6</v>
      </c>
      <c r="G25" s="3">
        <f t="shared" si="4"/>
        <v>6</v>
      </c>
      <c r="H25" s="1" t="str">
        <f>IF(G25&gt;=10,"Transita","Não Transita")</f>
        <v>Não Transita</v>
      </c>
    </row>
    <row r="26" spans="2:8" x14ac:dyDescent="0.25">
      <c r="B26" s="22">
        <f>B25+1</f>
        <v>9</v>
      </c>
      <c r="C26" s="22" t="s">
        <v>15</v>
      </c>
      <c r="D26" s="22">
        <v>11</v>
      </c>
      <c r="E26" s="22">
        <v>13</v>
      </c>
      <c r="F26" s="22">
        <v>9</v>
      </c>
      <c r="G26" s="22">
        <f t="shared" si="4"/>
        <v>11</v>
      </c>
      <c r="H26" s="22" t="str">
        <f>IF(G26&gt;=10,"Transita","Não Transita")</f>
        <v>Transita</v>
      </c>
    </row>
    <row r="27" spans="2:8" x14ac:dyDescent="0.25">
      <c r="B27" s="1">
        <f>B26+1</f>
        <v>10</v>
      </c>
      <c r="C27" s="1" t="s">
        <v>16</v>
      </c>
      <c r="D27" s="1">
        <v>10</v>
      </c>
      <c r="E27" s="1">
        <v>19</v>
      </c>
      <c r="F27" s="1">
        <v>7</v>
      </c>
      <c r="G27" s="3">
        <f>(D27+E27+F27)/3</f>
        <v>12</v>
      </c>
      <c r="H27" s="1" t="str">
        <f>IF(G27&gt;=10,"Transita","Não Transita")</f>
        <v>Transita</v>
      </c>
    </row>
  </sheetData>
  <autoFilter ref="B17:H17" xr:uid="{A7031745-D6F4-440C-B7C8-D775AE748F59}"/>
  <phoneticPr fontId="7" type="noConversion"/>
  <conditionalFormatting sqref="G5:G14 P15">
    <cfRule type="cellIs" dxfId="6" priority="5" operator="lessThan">
      <formula>10</formula>
    </cfRule>
    <cfRule type="cellIs" dxfId="5" priority="6" operator="greaterThan">
      <formula>9</formula>
    </cfRule>
  </conditionalFormatting>
  <conditionalFormatting sqref="P5:P15">
    <cfRule type="cellIs" dxfId="4" priority="3" operator="lessThan">
      <formula>10</formula>
    </cfRule>
    <cfRule type="cellIs" dxfId="3" priority="4" operator="greaterThan">
      <formula>9</formula>
    </cfRule>
  </conditionalFormatting>
  <conditionalFormatting sqref="G19 G21 G23 G25 G27">
    <cfRule type="cellIs" dxfId="2" priority="1" operator="lessThan">
      <formula>10</formula>
    </cfRule>
    <cfRule type="cellIs" dxfId="1" priority="2" operator="greaterThan">
      <formula>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E61A-1FE3-42C8-BE93-7D03D098347D}">
  <dimension ref="Y2:AA14"/>
  <sheetViews>
    <sheetView tabSelected="1" workbookViewId="0">
      <selection activeCell="Y14" sqref="Y14"/>
    </sheetView>
  </sheetViews>
  <sheetFormatPr defaultRowHeight="15" x14ac:dyDescent="0.25"/>
  <cols>
    <col min="26" max="26" width="18.42578125" bestFit="1" customWidth="1"/>
  </cols>
  <sheetData>
    <row r="2" spans="25:27" ht="21" x14ac:dyDescent="0.35">
      <c r="Z2" s="4" t="s">
        <v>39</v>
      </c>
      <c r="AA2" s="25">
        <f>COUNT(Tabela1[Nº])</f>
        <v>11</v>
      </c>
    </row>
    <row r="4" spans="25:27" ht="21" x14ac:dyDescent="0.35">
      <c r="Z4" s="24" t="s">
        <v>40</v>
      </c>
      <c r="AA4" s="25">
        <f>COUNTA('Tabela Dinamica'!A6:A15)</f>
        <v>6</v>
      </c>
    </row>
    <row r="14" spans="25:27" x14ac:dyDescent="0.25">
      <c r="Y14" t="s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Pauta final</vt:lpstr>
      <vt:lpstr>Tabela Dinamica</vt:lpstr>
      <vt:lpstr>Tabela Dinamica recomendada</vt:lpstr>
      <vt:lpstr>Tabelas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2026-05-02T12:23:55Z</dcterms:created>
  <dcterms:modified xsi:type="dcterms:W3CDTF">2026-05-02T15:25:42Z</dcterms:modified>
</cp:coreProperties>
</file>