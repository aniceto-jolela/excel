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uno EDJAI\Desktop\Aula 2 João Alberto\"/>
    </mc:Choice>
  </mc:AlternateContent>
  <xr:revisionPtr revIDLastSave="0" documentId="13_ncr:1_{57BEF886-CAAB-4859-8172-5A3E6B07558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0" sheetId="1" r:id="rId1"/>
    <sheet name="1" sheetId="4" r:id="rId2"/>
    <sheet name="2" sheetId="6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6" l="1"/>
  <c r="N7" i="6"/>
  <c r="O7" i="6"/>
  <c r="P7" i="6"/>
  <c r="Q7" i="6"/>
  <c r="L7" i="6"/>
  <c r="E6" i="4"/>
  <c r="E7" i="4"/>
  <c r="E8" i="4"/>
  <c r="E9" i="4"/>
  <c r="E10" i="4"/>
  <c r="E5" i="4"/>
  <c r="B6" i="6"/>
  <c r="B7" i="6" s="1"/>
  <c r="B8" i="6" s="1"/>
  <c r="B9" i="6" s="1"/>
  <c r="B10" i="6" s="1"/>
  <c r="B6" i="4"/>
  <c r="B7" i="4" s="1"/>
  <c r="B8" i="4" s="1"/>
  <c r="B9" i="4" s="1"/>
  <c r="B10" i="4" s="1"/>
  <c r="B6" i="1"/>
  <c r="B7" i="1" s="1"/>
  <c r="B8" i="1" s="1"/>
  <c r="B9" i="1" s="1"/>
  <c r="B10" i="1" s="1"/>
</calcChain>
</file>

<file path=xl/sharedStrings.xml><?xml version="1.0" encoding="utf-8"?>
<sst xmlns="http://schemas.openxmlformats.org/spreadsheetml/2006/main" count="62" uniqueCount="34">
  <si>
    <t>ID</t>
  </si>
  <si>
    <t>FUNÇÃO PROCV</t>
  </si>
  <si>
    <t>ANALISTA</t>
  </si>
  <si>
    <t>TEMPO</t>
  </si>
  <si>
    <t>NÍVEL</t>
  </si>
  <si>
    <t>Pedro</t>
  </si>
  <si>
    <t>Ana</t>
  </si>
  <si>
    <t>Lucas</t>
  </si>
  <si>
    <t>|</t>
  </si>
  <si>
    <t>||</t>
  </si>
  <si>
    <t>|||</t>
  </si>
  <si>
    <t>TURNO</t>
  </si>
  <si>
    <t>HORÁRIO</t>
  </si>
  <si>
    <t>Manhã</t>
  </si>
  <si>
    <t>Tarde</t>
  </si>
  <si>
    <t>Noite</t>
  </si>
  <si>
    <t>JAN</t>
  </si>
  <si>
    <t>FEV</t>
  </si>
  <si>
    <t>MAR</t>
  </si>
  <si>
    <t>ABR</t>
  </si>
  <si>
    <t>MAI</t>
  </si>
  <si>
    <t>JUN</t>
  </si>
  <si>
    <t>Analia</t>
  </si>
  <si>
    <t>Joana</t>
  </si>
  <si>
    <t>Wilma</t>
  </si>
  <si>
    <t>Liliana</t>
  </si>
  <si>
    <t>Daniel</t>
  </si>
  <si>
    <t>Guorgel</t>
  </si>
  <si>
    <t>Wyllionceto</t>
  </si>
  <si>
    <t>Rafael</t>
  </si>
  <si>
    <t>Telma</t>
  </si>
  <si>
    <t>Madrugada</t>
  </si>
  <si>
    <t>RELATORIOS DE DESEMPENHO</t>
  </si>
  <si>
    <t>ANALISTAS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</si>
</sst>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NumberFormat="1" applyAlignment="1">
      <alignment horizontal="center" vertical="center"/>
    </xf>
    <xf numFmtId="20" fontId="0" fillId="0" borderId="4" xfId="0" applyNumberFormat="1" applyBorder="1"/>
    <xf numFmtId="0" fontId="0" fillId="0" borderId="2" xfId="0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20" fontId="0" fillId="0" borderId="7" xfId="0" applyNumberFormat="1" applyBorder="1"/>
    <xf numFmtId="0" fontId="0" fillId="0" borderId="8" xfId="0" applyBorder="1"/>
    <xf numFmtId="0" fontId="2" fillId="0" borderId="0" xfId="0" applyFont="1"/>
    <xf numFmtId="0" fontId="2" fillId="4" borderId="0" xfId="0" applyFont="1" applyFill="1" applyBorder="1" applyAlignment="1">
      <alignment horizontal="left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'2'!$J$6:$O$6</c:f>
              <c:strCache>
                <c:ptCount val="6"/>
                <c:pt idx="2">
                  <c:v>JAN</c:v>
                </c:pt>
                <c:pt idx="3">
                  <c:v>FEV</c:v>
                </c:pt>
                <c:pt idx="4">
                  <c:v>MAR</c:v>
                </c:pt>
                <c:pt idx="5">
                  <c:v>ABR</c:v>
                </c:pt>
              </c:strCache>
            </c:strRef>
          </c:cat>
          <c:val>
            <c:numRef>
              <c:f>'2'!$J$7:$O$7</c:f>
              <c:numCache>
                <c:formatCode>General</c:formatCode>
                <c:ptCount val="6"/>
                <c:pt idx="2">
                  <c:v>456</c:v>
                </c:pt>
                <c:pt idx="3">
                  <c:v>235</c:v>
                </c:pt>
                <c:pt idx="4">
                  <c:v>186</c:v>
                </c:pt>
                <c:pt idx="5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91-491B-9641-AD13D939090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22087008"/>
        <c:axId val="522091688"/>
      </c:lineChart>
      <c:catAx>
        <c:axId val="52208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2091688"/>
        <c:crosses val="autoZero"/>
        <c:auto val="1"/>
        <c:lblAlgn val="ctr"/>
        <c:lblOffset val="100"/>
        <c:noMultiLvlLbl val="0"/>
      </c:catAx>
      <c:valAx>
        <c:axId val="5220916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2208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</xdr:colOff>
      <xdr:row>4</xdr:row>
      <xdr:rowOff>167640</xdr:rowOff>
    </xdr:from>
    <xdr:to>
      <xdr:col>20</xdr:col>
      <xdr:colOff>15240</xdr:colOff>
      <xdr:row>18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F24E6A-9731-38FB-B246-D525DA1863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DDE88D-0710-4C19-9A65-EA43BAA0C6E8}" name="Tabela1" displayName="Tabela1" ref="G4:H8" totalsRowShown="0" headerRowDxfId="0" headerRowBorderDxfId="4" tableBorderDxfId="5" totalsRowBorderDxfId="3">
  <autoFilter ref="G4:H8" xr:uid="{AEDDE88D-0710-4C19-9A65-EA43BAA0C6E8}"/>
  <tableColumns count="2">
    <tableColumn id="1" xr3:uid="{FCA192B3-686E-4573-909C-42546E7D0F50}" name="HORÁRIO" dataDxfId="2"/>
    <tableColumn id="2" xr3:uid="{DEC152C0-71FF-485B-8A61-1C23801AF482}" name="TURN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"/>
  <sheetViews>
    <sheetView workbookViewId="0">
      <selection activeCell="H6" sqref="H6"/>
    </sheetView>
  </sheetViews>
  <sheetFormatPr defaultRowHeight="14.4" x14ac:dyDescent="0.3"/>
  <cols>
    <col min="3" max="3" width="11.6640625" bestFit="1" customWidth="1"/>
    <col min="4" max="4" width="15.109375" bestFit="1" customWidth="1"/>
    <col min="5" max="5" width="10.6640625" bestFit="1" customWidth="1"/>
    <col min="6" max="6" width="8.88671875" customWidth="1"/>
    <col min="9" max="9" width="10.6640625" bestFit="1" customWidth="1"/>
    <col min="10" max="10" width="15.109375" bestFit="1" customWidth="1"/>
    <col min="13" max="13" width="12.44140625" bestFit="1" customWidth="1"/>
  </cols>
  <sheetData>
    <row r="1" spans="2:8" ht="16.5" customHeight="1" x14ac:dyDescent="0.3"/>
    <row r="2" spans="2:8" ht="14.25" customHeight="1" x14ac:dyDescent="0.3">
      <c r="B2" s="7" t="s">
        <v>1</v>
      </c>
      <c r="C2" s="8"/>
      <c r="D2" s="8"/>
      <c r="E2" s="9"/>
    </row>
    <row r="3" spans="2:8" x14ac:dyDescent="0.3">
      <c r="B3" s="11">
        <v>1</v>
      </c>
      <c r="C3" s="11">
        <v>2</v>
      </c>
      <c r="D3" s="11">
        <v>3</v>
      </c>
      <c r="E3" s="11">
        <v>4</v>
      </c>
    </row>
    <row r="4" spans="2:8" x14ac:dyDescent="0.3">
      <c r="B4" s="4" t="s">
        <v>0</v>
      </c>
      <c r="C4" s="4" t="s">
        <v>2</v>
      </c>
      <c r="D4" s="4" t="s">
        <v>3</v>
      </c>
      <c r="E4" s="4" t="s">
        <v>4</v>
      </c>
      <c r="G4" s="4" t="s">
        <v>0</v>
      </c>
      <c r="H4" s="1">
        <v>2</v>
      </c>
    </row>
    <row r="5" spans="2:8" x14ac:dyDescent="0.3">
      <c r="B5" s="2">
        <v>1</v>
      </c>
      <c r="C5" s="2" t="s">
        <v>5</v>
      </c>
      <c r="D5" s="3">
        <v>1.0416666666666666E-2</v>
      </c>
      <c r="E5" s="2" t="s">
        <v>8</v>
      </c>
      <c r="G5" s="5" t="s">
        <v>2</v>
      </c>
      <c r="H5" s="1">
        <v>3</v>
      </c>
    </row>
    <row r="6" spans="2:8" x14ac:dyDescent="0.3">
      <c r="B6" s="2">
        <f>B5+1</f>
        <v>2</v>
      </c>
      <c r="C6" s="2" t="s">
        <v>6</v>
      </c>
      <c r="D6" s="3">
        <v>8.3333333333333332E-3</v>
      </c>
      <c r="E6" s="2" t="s">
        <v>9</v>
      </c>
      <c r="G6" s="5" t="s">
        <v>3</v>
      </c>
      <c r="H6" s="1"/>
    </row>
    <row r="7" spans="2:8" x14ac:dyDescent="0.3">
      <c r="B7" s="2">
        <f t="shared" ref="B7:B9" si="0">B6+1</f>
        <v>3</v>
      </c>
      <c r="C7" s="2" t="s">
        <v>7</v>
      </c>
      <c r="D7" s="3">
        <v>6.9444444444444441E-3</v>
      </c>
      <c r="E7" s="2" t="s">
        <v>8</v>
      </c>
      <c r="G7" s="5" t="s">
        <v>4</v>
      </c>
      <c r="H7" s="1"/>
    </row>
    <row r="8" spans="2:8" x14ac:dyDescent="0.3">
      <c r="B8" s="2">
        <f t="shared" si="0"/>
        <v>4</v>
      </c>
      <c r="C8" s="2" t="s">
        <v>26</v>
      </c>
      <c r="D8" s="3">
        <v>6.9444444444444441E-3</v>
      </c>
      <c r="E8" s="2" t="s">
        <v>8</v>
      </c>
    </row>
    <row r="9" spans="2:8" x14ac:dyDescent="0.3">
      <c r="B9" s="2">
        <f t="shared" si="0"/>
        <v>5</v>
      </c>
      <c r="C9" s="2" t="s">
        <v>27</v>
      </c>
      <c r="D9" s="3">
        <v>6.2499999999999995E-3</v>
      </c>
      <c r="E9" s="2" t="s">
        <v>8</v>
      </c>
    </row>
    <row r="10" spans="2:8" x14ac:dyDescent="0.3">
      <c r="B10" s="2">
        <f>B9+1</f>
        <v>6</v>
      </c>
      <c r="C10" s="2" t="s">
        <v>28</v>
      </c>
      <c r="D10" s="3">
        <v>9.7222222222222224E-3</v>
      </c>
      <c r="E10" s="2" t="s">
        <v>10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0"/>
  <sheetViews>
    <sheetView workbookViewId="0">
      <selection activeCell="H6" sqref="H6"/>
    </sheetView>
  </sheetViews>
  <sheetFormatPr defaultRowHeight="14.4" x14ac:dyDescent="0.3"/>
  <cols>
    <col min="4" max="4" width="15.44140625" customWidth="1"/>
    <col min="5" max="5" width="19.5546875" customWidth="1"/>
    <col min="7" max="7" width="13.33203125" bestFit="1" customWidth="1"/>
    <col min="8" max="8" width="11.5546875" bestFit="1" customWidth="1"/>
  </cols>
  <sheetData>
    <row r="2" spans="2:8" x14ac:dyDescent="0.3">
      <c r="B2" s="7" t="s">
        <v>1</v>
      </c>
      <c r="C2" s="8"/>
      <c r="D2" s="8"/>
      <c r="E2" s="9"/>
    </row>
    <row r="4" spans="2:8" x14ac:dyDescent="0.3">
      <c r="B4" s="4" t="s">
        <v>0</v>
      </c>
      <c r="C4" s="4" t="s">
        <v>2</v>
      </c>
      <c r="D4" s="4" t="s">
        <v>12</v>
      </c>
      <c r="E4" s="4" t="s">
        <v>11</v>
      </c>
      <c r="G4" s="14" t="s">
        <v>12</v>
      </c>
      <c r="H4" s="15" t="s">
        <v>11</v>
      </c>
    </row>
    <row r="5" spans="2:8" x14ac:dyDescent="0.3">
      <c r="B5" s="2">
        <v>1</v>
      </c>
      <c r="C5" s="2" t="s">
        <v>5</v>
      </c>
      <c r="D5" s="3">
        <v>0.33333333333333331</v>
      </c>
      <c r="E5" s="2" t="str">
        <f>VLOOKUP(D5,G$4:H$8,2,TRUE)</f>
        <v>Manhã</v>
      </c>
      <c r="G5" s="12">
        <v>0</v>
      </c>
      <c r="H5" s="12" t="s">
        <v>31</v>
      </c>
    </row>
    <row r="6" spans="2:8" x14ac:dyDescent="0.3">
      <c r="B6" s="2">
        <f>B5+1</f>
        <v>2</v>
      </c>
      <c r="C6" s="2" t="s">
        <v>30</v>
      </c>
      <c r="D6" s="3">
        <v>0.25</v>
      </c>
      <c r="E6" s="2" t="str">
        <f>VLOOKUP(D6,G$4:H$8,2,TRUE)</f>
        <v>Madrugada</v>
      </c>
      <c r="G6" s="12">
        <v>0.29166666666666669</v>
      </c>
      <c r="H6" s="13" t="s">
        <v>13</v>
      </c>
    </row>
    <row r="7" spans="2:8" x14ac:dyDescent="0.3">
      <c r="B7" s="2">
        <f t="shared" ref="B7:B9" si="0">B6+1</f>
        <v>3</v>
      </c>
      <c r="C7" s="2" t="s">
        <v>7</v>
      </c>
      <c r="D7" s="3">
        <v>0.66666666666666663</v>
      </c>
      <c r="E7" s="2" t="str">
        <f>VLOOKUP(D7,G$4:H$8,2,TRUE)</f>
        <v>Tarde</v>
      </c>
      <c r="G7" s="12">
        <v>0.58333333333333337</v>
      </c>
      <c r="H7" s="13" t="s">
        <v>14</v>
      </c>
    </row>
    <row r="8" spans="2:8" x14ac:dyDescent="0.3">
      <c r="B8" s="2">
        <f t="shared" si="0"/>
        <v>4</v>
      </c>
      <c r="C8" s="2" t="s">
        <v>29</v>
      </c>
      <c r="D8" s="3">
        <v>0.79166666666666663</v>
      </c>
      <c r="E8" s="2" t="str">
        <f>VLOOKUP(D8,G$4:H$8,2,TRUE)</f>
        <v>Tarde</v>
      </c>
      <c r="G8" s="16">
        <v>0.91666666666666663</v>
      </c>
      <c r="H8" s="17" t="s">
        <v>15</v>
      </c>
    </row>
    <row r="9" spans="2:8" x14ac:dyDescent="0.3">
      <c r="B9" s="2">
        <f t="shared" si="0"/>
        <v>5</v>
      </c>
      <c r="C9" s="2" t="s">
        <v>6</v>
      </c>
      <c r="D9" s="3">
        <v>0.91666666666666663</v>
      </c>
      <c r="E9" s="2" t="str">
        <f>VLOOKUP(D9,G$4:H$8,2,TRUE)</f>
        <v>Noite</v>
      </c>
    </row>
    <row r="10" spans="2:8" x14ac:dyDescent="0.3">
      <c r="B10" s="2">
        <f>B9+1</f>
        <v>6</v>
      </c>
      <c r="C10" s="2" t="s">
        <v>25</v>
      </c>
      <c r="D10" s="3">
        <v>9.7222222222222224E-3</v>
      </c>
      <c r="E10" s="2" t="str">
        <f>VLOOKUP(D10,G$4:H$8,2,TRUE)</f>
        <v>Madrugada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10"/>
  <sheetViews>
    <sheetView tabSelected="1" workbookViewId="0">
      <selection activeCell="G15" sqref="G15"/>
    </sheetView>
  </sheetViews>
  <sheetFormatPr defaultRowHeight="14.4" x14ac:dyDescent="0.3"/>
  <cols>
    <col min="12" max="12" width="9.88671875" customWidth="1"/>
  </cols>
  <sheetData>
    <row r="2" spans="2:17" x14ac:dyDescent="0.3">
      <c r="B2" s="10" t="s">
        <v>1</v>
      </c>
      <c r="C2" s="10"/>
      <c r="D2" s="10"/>
      <c r="E2" s="10"/>
      <c r="F2" s="10"/>
      <c r="G2" s="10"/>
      <c r="H2" s="10"/>
      <c r="I2" s="10"/>
    </row>
    <row r="4" spans="2:17" x14ac:dyDescent="0.3">
      <c r="B4" s="4" t="s">
        <v>0</v>
      </c>
      <c r="C4" s="4" t="s">
        <v>2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L4" s="19" t="s">
        <v>32</v>
      </c>
      <c r="M4" s="19"/>
      <c r="N4" s="19"/>
      <c r="O4" s="19"/>
    </row>
    <row r="5" spans="2:17" x14ac:dyDescent="0.3">
      <c r="B5" s="2">
        <v>1</v>
      </c>
      <c r="C5" s="6" t="s">
        <v>5</v>
      </c>
      <c r="D5" s="6">
        <v>234</v>
      </c>
      <c r="E5" s="6">
        <v>186</v>
      </c>
      <c r="F5" s="6">
        <v>656</v>
      </c>
      <c r="G5" s="6">
        <v>667</v>
      </c>
      <c r="H5" s="6">
        <v>117</v>
      </c>
      <c r="I5" s="6">
        <v>124</v>
      </c>
      <c r="L5" s="18" t="s">
        <v>33</v>
      </c>
      <c r="M5" t="s">
        <v>7</v>
      </c>
    </row>
    <row r="6" spans="2:17" x14ac:dyDescent="0.3">
      <c r="B6" s="2">
        <f>B5+1</f>
        <v>2</v>
      </c>
      <c r="C6" s="6" t="s">
        <v>22</v>
      </c>
      <c r="D6" s="6">
        <v>124</v>
      </c>
      <c r="E6" s="6">
        <v>352</v>
      </c>
      <c r="F6" s="6">
        <v>147</v>
      </c>
      <c r="G6" s="6">
        <v>123</v>
      </c>
      <c r="H6" s="6">
        <v>234</v>
      </c>
      <c r="I6" s="6">
        <v>109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</row>
    <row r="7" spans="2:17" x14ac:dyDescent="0.3">
      <c r="B7" s="2">
        <f t="shared" ref="B7:B9" si="0">B6+1</f>
        <v>3</v>
      </c>
      <c r="C7" s="6" t="s">
        <v>7</v>
      </c>
      <c r="D7" s="6">
        <v>456</v>
      </c>
      <c r="E7" s="6">
        <v>235</v>
      </c>
      <c r="F7" s="6">
        <v>186</v>
      </c>
      <c r="G7" s="6">
        <v>86</v>
      </c>
      <c r="H7" s="6">
        <v>234</v>
      </c>
      <c r="I7" s="6">
        <v>325</v>
      </c>
      <c r="L7" s="6">
        <f>VLOOKUP($M$5,$C$4:$I$10,COLUMN(B2),0)</f>
        <v>456</v>
      </c>
      <c r="M7" s="6">
        <f t="shared" ref="M7:Q7" si="1">VLOOKUP($M$5,$C$4:$I$10,COLUMN(C2),0)</f>
        <v>235</v>
      </c>
      <c r="N7" s="6">
        <f t="shared" si="1"/>
        <v>186</v>
      </c>
      <c r="O7" s="6">
        <f t="shared" si="1"/>
        <v>86</v>
      </c>
      <c r="P7" s="6">
        <f t="shared" si="1"/>
        <v>234</v>
      </c>
      <c r="Q7" s="6">
        <f t="shared" si="1"/>
        <v>325</v>
      </c>
    </row>
    <row r="8" spans="2:17" x14ac:dyDescent="0.3">
      <c r="B8" s="2">
        <f t="shared" si="0"/>
        <v>4</v>
      </c>
      <c r="C8" s="6" t="s">
        <v>23</v>
      </c>
      <c r="D8" s="6">
        <v>234</v>
      </c>
      <c r="E8" s="6">
        <v>468</v>
      </c>
      <c r="F8" s="6">
        <v>124</v>
      </c>
      <c r="G8" s="6">
        <v>98</v>
      </c>
      <c r="H8" s="6">
        <v>357</v>
      </c>
      <c r="I8" s="6">
        <v>168</v>
      </c>
    </row>
    <row r="9" spans="2:17" x14ac:dyDescent="0.3">
      <c r="B9" s="2">
        <f t="shared" si="0"/>
        <v>5</v>
      </c>
      <c r="C9" s="6" t="s">
        <v>24</v>
      </c>
      <c r="D9" s="6">
        <v>110</v>
      </c>
      <c r="E9" s="6">
        <v>153</v>
      </c>
      <c r="F9" s="6">
        <v>879</v>
      </c>
      <c r="G9" s="6">
        <v>352</v>
      </c>
      <c r="H9" s="6">
        <v>436</v>
      </c>
      <c r="I9" s="6">
        <v>254</v>
      </c>
    </row>
    <row r="10" spans="2:17" x14ac:dyDescent="0.3">
      <c r="B10" s="2">
        <f>B9+1</f>
        <v>6</v>
      </c>
      <c r="C10" s="6" t="s">
        <v>25</v>
      </c>
      <c r="D10" s="6">
        <v>325</v>
      </c>
      <c r="E10" s="6">
        <v>257</v>
      </c>
      <c r="F10" s="6">
        <v>946</v>
      </c>
      <c r="G10" s="6">
        <v>543</v>
      </c>
      <c r="H10" s="6">
        <v>234</v>
      </c>
      <c r="I10" s="6">
        <v>298</v>
      </c>
    </row>
  </sheetData>
  <mergeCells count="2">
    <mergeCell ref="B2:I2"/>
    <mergeCell ref="L4:O4"/>
  </mergeCells>
  <dataValidations count="1">
    <dataValidation type="list" allowBlank="1" showInputMessage="1" showErrorMessage="1" sqref="M5" xr:uid="{7D9A57E7-1E4C-461C-AC0F-1C4E08FBD683}">
      <formula1>$C$5:$C$10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0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Aluno EDJAI</cp:lastModifiedBy>
  <dcterms:created xsi:type="dcterms:W3CDTF">2025-09-09T08:26:56Z</dcterms:created>
  <dcterms:modified xsi:type="dcterms:W3CDTF">2026-06-13T16:03:48Z</dcterms:modified>
</cp:coreProperties>
</file>