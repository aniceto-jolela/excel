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 EDJAI\Desktop\Aula 2 João Alberto\"/>
    </mc:Choice>
  </mc:AlternateContent>
  <xr:revisionPtr revIDLastSave="0" documentId="13_ncr:1_{7BF26142-97C3-45AE-84C2-57810604EB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ndando" sheetId="1" r:id="rId1"/>
  </sheets>
  <calcPr calcId="181029"/>
</workbook>
</file>

<file path=xl/calcChain.xml><?xml version="1.0" encoding="utf-8"?>
<calcChain xmlns="http://schemas.openxmlformats.org/spreadsheetml/2006/main">
  <c r="N17" i="1" l="1"/>
  <c r="M17" i="1"/>
  <c r="N16" i="1"/>
  <c r="M16" i="1"/>
  <c r="M12" i="1"/>
  <c r="M11" i="1"/>
  <c r="M10" i="1"/>
  <c r="M9" i="1"/>
  <c r="M8" i="1"/>
</calcChain>
</file>

<file path=xl/sharedStrings.xml><?xml version="1.0" encoding="utf-8"?>
<sst xmlns="http://schemas.openxmlformats.org/spreadsheetml/2006/main" count="1044" uniqueCount="40">
  <si>
    <t>Data</t>
  </si>
  <si>
    <t>Categoria</t>
  </si>
  <si>
    <t>Produto</t>
  </si>
  <si>
    <t>Quantidade</t>
  </si>
  <si>
    <t>Preço Unitário (Kz)</t>
  </si>
  <si>
    <t>Total (Kz)</t>
  </si>
  <si>
    <t>Alimentos</t>
  </si>
  <si>
    <t>Bebidas</t>
  </si>
  <si>
    <t>Roupas</t>
  </si>
  <si>
    <t>Higiene</t>
  </si>
  <si>
    <t>Eletrônicos</t>
  </si>
  <si>
    <t>Leite em pó</t>
  </si>
  <si>
    <t>Água mineral</t>
  </si>
  <si>
    <t>Cerveja</t>
  </si>
  <si>
    <t>Refrigerante</t>
  </si>
  <si>
    <t>Sumo</t>
  </si>
  <si>
    <t>Vestido</t>
  </si>
  <si>
    <t>Sabão</t>
  </si>
  <si>
    <t>Calça</t>
  </si>
  <si>
    <t>Vinho</t>
  </si>
  <si>
    <t>Boné</t>
  </si>
  <si>
    <t>Farinha de trigo</t>
  </si>
  <si>
    <t>Óleo de cozinha</t>
  </si>
  <si>
    <t>Pasta de dente</t>
  </si>
  <si>
    <t>Telemóvel</t>
  </si>
  <si>
    <t>Shampoo</t>
  </si>
  <si>
    <t>Televisor</t>
  </si>
  <si>
    <t>Rádio</t>
  </si>
  <si>
    <t>Sapato</t>
  </si>
  <si>
    <t>Camiseta</t>
  </si>
  <si>
    <t>Arroz</t>
  </si>
  <si>
    <t>Ventoinha</t>
  </si>
  <si>
    <t>Detergente</t>
  </si>
  <si>
    <t>Desinfetante</t>
  </si>
  <si>
    <t>Computador</t>
  </si>
  <si>
    <t>Milho</t>
  </si>
  <si>
    <t>Açúcar</t>
  </si>
  <si>
    <t>Feijão</t>
  </si>
  <si>
    <t>Nº</t>
  </si>
  <si>
    <t>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</si>
</sst>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[$Kz]" x16r2:formatCode16="#,##0.00\ [$Kz-pt-AO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4" fontId="1" fillId="0" borderId="3" xfId="0" applyNumberFormat="1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 applyAlignment="1">
      <alignment vertical="center"/>
    </xf>
    <xf numFmtId="49" fontId="0" fillId="3" borderId="5" xfId="0" applyNumberFormat="1" applyFont="1" applyFill="1" applyBorder="1"/>
    <xf numFmtId="49" fontId="0" fillId="4" borderId="5" xfId="0" applyNumberFormat="1" applyFont="1" applyFill="1" applyBorder="1"/>
    <xf numFmtId="49" fontId="0" fillId="3" borderId="4" xfId="0" applyNumberFormat="1" applyFont="1" applyFill="1" applyBorder="1"/>
    <xf numFmtId="49" fontId="0" fillId="4" borderId="4" xfId="0" applyNumberFormat="1" applyFont="1" applyFill="1" applyBorder="1"/>
    <xf numFmtId="0" fontId="0" fillId="0" borderId="0" xfId="0" applyAlignment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11">
    <dxf>
      <numFmt numFmtId="168" formatCode="#,##0.00\ [$Kz]" x16r2:formatCode16="#,##0.00\ [$Kz-pt-AO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30" formatCode="@"/>
    </dxf>
    <dxf>
      <numFmt numFmtId="0" formatCode="General"/>
    </dxf>
    <dxf>
      <numFmt numFmtId="168" formatCode="#,##0.00\ [$Kz]" x16r2:formatCode16="#,##0.00\ [$Kz-pt-AO]"/>
    </dxf>
    <dxf>
      <numFmt numFmtId="168" formatCode="#,##0.00\ [$Kz]" x16r2:formatCode16="#,##0.00\ [$Kz-pt-AO]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15240</xdr:rowOff>
    </xdr:from>
    <xdr:to>
      <xdr:col>2</xdr:col>
      <xdr:colOff>746761</xdr:colOff>
      <xdr:row>5</xdr:row>
      <xdr:rowOff>15240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1E1647-C32F-49CE-0DC6-BB612F16C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1" y="15240"/>
          <a:ext cx="204978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0EB85-8EE7-4FF3-9184-E597746BA69A}" name="Tabela1" displayName="Tabela1" ref="A7:G507" totalsRowShown="0" headerRowDxfId="10">
  <autoFilter ref="A7:G507" xr:uid="{A850EB85-8EE7-4FF3-9184-E597746BA69A}"/>
  <tableColumns count="7">
    <tableColumn id="1" xr3:uid="{16B249E3-ED3A-42D6-A122-6D37C981E4FA}" name="Nº" dataDxfId="3"/>
    <tableColumn id="2" xr3:uid="{C3820A7B-9D72-4713-843A-F6626FBA2735}" name="Data" dataDxfId="4"/>
    <tableColumn id="3" xr3:uid="{8A9E3192-5A5C-43FF-B958-35130D126DFC}" name="Categoria" dataDxfId="5"/>
    <tableColumn id="4" xr3:uid="{60471E0D-C7A2-4ACB-883E-CB8DE9FD3404}" name="Produto" dataDxfId="6"/>
    <tableColumn id="5" xr3:uid="{E1B70CB6-6239-4D72-B6CE-FC1983472DD1}" name="Quantidade" dataDxfId="7"/>
    <tableColumn id="6" xr3:uid="{7DB13F1E-B0D2-4C63-A0E0-BAEA596BBBB4}" name="Preço Unitário (Kz)" dataDxfId="9"/>
    <tableColumn id="7" xr3:uid="{C45E86D0-93FE-46E0-87AC-52792321B335}" name="Total (Kz)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7AC7B9-064B-4B76-A80C-DE46E20D85DB}" name="Tabela3" displayName="Tabela3" ref="L7:M12" totalsRowShown="0" tableBorderDxfId="2">
  <autoFilter ref="L7:M12" xr:uid="{BF7AC7B9-064B-4B76-A80C-DE46E20D85DB}"/>
  <tableColumns count="2">
    <tableColumn id="1" xr3:uid="{C4A05D16-35B1-4621-9516-364B426154BF}" name="Categoria" dataDxfId="1"/>
    <tableColumn id="2" xr3:uid="{716A488F-9041-44AD-94F0-0EBD16860FE9}" name="Preço unitá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8"/>
  <sheetViews>
    <sheetView tabSelected="1" workbookViewId="0">
      <selection activeCell="I15" sqref="I15"/>
    </sheetView>
  </sheetViews>
  <sheetFormatPr defaultRowHeight="14.4" x14ac:dyDescent="0.3"/>
  <cols>
    <col min="1" max="1" width="8.88671875" style="1"/>
    <col min="2" max="2" width="10.5546875" style="15" bestFit="1" customWidth="1"/>
    <col min="3" max="3" width="13.44140625" style="11" bestFit="1" customWidth="1"/>
    <col min="4" max="4" width="14.109375" style="11" bestFit="1" customWidth="1"/>
    <col min="5" max="5" width="15.33203125" style="9" bestFit="1" customWidth="1"/>
    <col min="6" max="6" width="21.21875" style="7" bestFit="1" customWidth="1"/>
    <col min="7" max="7" width="13.6640625" style="7" bestFit="1" customWidth="1"/>
    <col min="12" max="12" width="10.88671875" customWidth="1"/>
    <col min="13" max="13" width="15.88671875" customWidth="1"/>
    <col min="14" max="14" width="11" bestFit="1" customWidth="1"/>
  </cols>
  <sheetData>
    <row r="1" spans="1:21" x14ac:dyDescent="0.3">
      <c r="A1" s="16"/>
      <c r="B1" s="13"/>
      <c r="C1" s="1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3">
      <c r="A2" s="16"/>
      <c r="B2" s="13"/>
      <c r="C2" s="1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3">
      <c r="A3" s="16"/>
      <c r="B3" s="13"/>
      <c r="C3" s="1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3">
      <c r="A4" s="16"/>
      <c r="B4" s="13"/>
      <c r="C4" s="1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3">
      <c r="A5" s="16"/>
      <c r="B5" s="13"/>
      <c r="C5" s="1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" thickBo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" thickBot="1" x14ac:dyDescent="0.35">
      <c r="A7" s="2" t="s">
        <v>38</v>
      </c>
      <c r="B7" s="14" t="s">
        <v>0</v>
      </c>
      <c r="C7" s="10" t="s">
        <v>1</v>
      </c>
      <c r="D7" s="10" t="s">
        <v>2</v>
      </c>
      <c r="E7" s="8" t="s">
        <v>3</v>
      </c>
      <c r="F7" s="6" t="s">
        <v>4</v>
      </c>
      <c r="G7" s="6" t="s">
        <v>5</v>
      </c>
      <c r="L7" s="19" t="s">
        <v>1</v>
      </c>
      <c r="M7" s="22" t="s">
        <v>39</v>
      </c>
      <c r="N7" s="21"/>
    </row>
    <row r="8" spans="1:21" x14ac:dyDescent="0.3">
      <c r="A8" s="1">
        <v>1</v>
      </c>
      <c r="B8" s="15">
        <v>45728</v>
      </c>
      <c r="C8" s="11" t="s">
        <v>6</v>
      </c>
      <c r="D8" s="11" t="s">
        <v>11</v>
      </c>
      <c r="E8" s="9">
        <v>6</v>
      </c>
      <c r="F8" s="7">
        <v>29689.61</v>
      </c>
      <c r="G8" s="7">
        <v>178137.66</v>
      </c>
      <c r="L8" s="20" t="s">
        <v>7</v>
      </c>
      <c r="M8" s="7">
        <f>SUMIF(Tabela1[Categoria],L8,Tabela1[Preço Unitário (Kz)])</f>
        <v>5465155.629999999</v>
      </c>
    </row>
    <row r="9" spans="1:21" x14ac:dyDescent="0.3">
      <c r="A9" s="1">
        <v>2</v>
      </c>
      <c r="B9" s="15">
        <v>45763</v>
      </c>
      <c r="C9" s="11" t="s">
        <v>7</v>
      </c>
      <c r="D9" s="11" t="s">
        <v>12</v>
      </c>
      <c r="E9" s="9">
        <v>7</v>
      </c>
      <c r="F9" s="7">
        <v>35702.03</v>
      </c>
      <c r="G9" s="7">
        <v>249914.21</v>
      </c>
      <c r="L9" s="20" t="s">
        <v>8</v>
      </c>
      <c r="M9" s="7">
        <f>SUMIF(Tabela1[Categoria],C13,Tabela1[Preço Unitário (Kz)])</f>
        <v>5069862.96</v>
      </c>
    </row>
    <row r="10" spans="1:21" x14ac:dyDescent="0.3">
      <c r="A10" s="1">
        <v>3</v>
      </c>
      <c r="B10" s="15">
        <v>45797</v>
      </c>
      <c r="C10" s="11" t="s">
        <v>7</v>
      </c>
      <c r="D10" s="11" t="s">
        <v>13</v>
      </c>
      <c r="E10" s="9">
        <v>11</v>
      </c>
      <c r="F10" s="7">
        <v>85378.08</v>
      </c>
      <c r="G10" s="7">
        <v>939158.88</v>
      </c>
      <c r="L10" s="19" t="s">
        <v>9</v>
      </c>
      <c r="M10" s="7">
        <f>SUMIF(Tabela1[Categoria],C14,Tabela1[Preço Unitário (Kz)])</f>
        <v>5322121.1900000013</v>
      </c>
    </row>
    <row r="11" spans="1:21" x14ac:dyDescent="0.3">
      <c r="A11" s="1">
        <v>4</v>
      </c>
      <c r="B11" s="15">
        <v>45677</v>
      </c>
      <c r="C11" s="11" t="s">
        <v>7</v>
      </c>
      <c r="D11" s="11" t="s">
        <v>14</v>
      </c>
      <c r="E11" s="9">
        <v>7</v>
      </c>
      <c r="F11" s="7">
        <v>10038.19</v>
      </c>
      <c r="G11" s="7">
        <v>70267.33</v>
      </c>
      <c r="L11" s="20" t="s">
        <v>6</v>
      </c>
      <c r="M11" s="7">
        <f>SUMIF(Tabela1[Categoria],C21,Tabela1[Preço Unitário (Kz)])</f>
        <v>4610907.4199999981</v>
      </c>
    </row>
    <row r="12" spans="1:21" x14ac:dyDescent="0.3">
      <c r="A12" s="1">
        <v>5</v>
      </c>
      <c r="B12" s="15">
        <v>45757</v>
      </c>
      <c r="C12" s="11" t="s">
        <v>7</v>
      </c>
      <c r="D12" s="11" t="s">
        <v>15</v>
      </c>
      <c r="E12" s="9">
        <v>3</v>
      </c>
      <c r="F12" s="7">
        <v>26277.17</v>
      </c>
      <c r="G12" s="7">
        <v>78831.509999999995</v>
      </c>
      <c r="L12" s="19" t="s">
        <v>10</v>
      </c>
      <c r="M12" s="7">
        <f>SUMIF(Tabela1[Categoria],C26,Tabela1[Preço Unitário (Kz)])</f>
        <v>4735673.5000000009</v>
      </c>
    </row>
    <row r="13" spans="1:21" x14ac:dyDescent="0.3">
      <c r="A13" s="1">
        <v>6</v>
      </c>
      <c r="B13" s="15">
        <v>45813</v>
      </c>
      <c r="C13" s="11" t="s">
        <v>8</v>
      </c>
      <c r="D13" s="11" t="s">
        <v>16</v>
      </c>
      <c r="E13" s="9">
        <v>15</v>
      </c>
      <c r="F13" s="7">
        <v>61383.27</v>
      </c>
      <c r="G13" s="7">
        <v>920749.05</v>
      </c>
    </row>
    <row r="14" spans="1:21" x14ac:dyDescent="0.3">
      <c r="A14" s="1">
        <v>7</v>
      </c>
      <c r="B14" s="15">
        <v>45875</v>
      </c>
      <c r="C14" s="11" t="s">
        <v>9</v>
      </c>
      <c r="D14" s="11" t="s">
        <v>17</v>
      </c>
      <c r="E14" s="9">
        <v>6</v>
      </c>
      <c r="F14" s="7">
        <v>44794.48</v>
      </c>
      <c r="G14" s="7">
        <v>268766.88</v>
      </c>
    </row>
    <row r="15" spans="1:21" x14ac:dyDescent="0.3">
      <c r="A15" s="1">
        <v>8</v>
      </c>
      <c r="B15" s="15">
        <v>45902</v>
      </c>
      <c r="C15" s="11" t="s">
        <v>7</v>
      </c>
      <c r="D15" s="11" t="s">
        <v>14</v>
      </c>
      <c r="E15" s="9">
        <v>3</v>
      </c>
      <c r="F15" s="7">
        <v>53933.99</v>
      </c>
      <c r="G15" s="7">
        <v>161801.97</v>
      </c>
      <c r="L15" s="17" t="s">
        <v>2</v>
      </c>
      <c r="M15" t="s">
        <v>39</v>
      </c>
      <c r="N15" t="s">
        <v>5</v>
      </c>
    </row>
    <row r="16" spans="1:21" x14ac:dyDescent="0.3">
      <c r="A16" s="1">
        <v>9</v>
      </c>
      <c r="B16" s="15">
        <v>45796</v>
      </c>
      <c r="C16" s="11" t="s">
        <v>9</v>
      </c>
      <c r="D16" s="11" t="s">
        <v>17</v>
      </c>
      <c r="E16" s="9">
        <v>14</v>
      </c>
      <c r="F16" s="7">
        <v>82261.83</v>
      </c>
      <c r="G16" s="7">
        <v>1151665.6200000001</v>
      </c>
      <c r="L16" s="18" t="s">
        <v>12</v>
      </c>
      <c r="M16">
        <f>SUMIF(Tabela1[Produto],D9,Tabela1[Preço Unitário (Kz)])</f>
        <v>1183513.6799999997</v>
      </c>
      <c r="N16">
        <f>SUMIF(Tabela1[Produto],D9,Tabela1[Total (Kz)])</f>
        <v>11810302.550000001</v>
      </c>
    </row>
    <row r="17" spans="1:14" x14ac:dyDescent="0.3">
      <c r="A17" s="1">
        <v>10</v>
      </c>
      <c r="B17" s="15">
        <v>45883</v>
      </c>
      <c r="C17" s="11" t="s">
        <v>9</v>
      </c>
      <c r="D17" s="11" t="s">
        <v>17</v>
      </c>
      <c r="E17" s="9">
        <v>4</v>
      </c>
      <c r="F17" s="7">
        <v>17881.580000000002</v>
      </c>
      <c r="G17" s="7">
        <v>71526.320000000007</v>
      </c>
      <c r="L17" s="17" t="s">
        <v>13</v>
      </c>
      <c r="M17">
        <f>SUMIF(Tabela1[Produto],D10,Tabela1[Preço Unitário (Kz)])</f>
        <v>1249035.71</v>
      </c>
      <c r="N17">
        <f>SUMIF(Tabela1[Produto],D10,Tabela1[Total (Kz)])</f>
        <v>11899770.719999999</v>
      </c>
    </row>
    <row r="18" spans="1:14" x14ac:dyDescent="0.3">
      <c r="A18" s="1">
        <v>11</v>
      </c>
      <c r="B18" s="15">
        <v>45926</v>
      </c>
      <c r="C18" s="11" t="s">
        <v>8</v>
      </c>
      <c r="D18" s="11" t="s">
        <v>18</v>
      </c>
      <c r="E18" s="9">
        <v>1</v>
      </c>
      <c r="F18" s="7">
        <v>50501.21</v>
      </c>
      <c r="G18" s="7">
        <v>50501.21</v>
      </c>
      <c r="L18" s="18" t="s">
        <v>14</v>
      </c>
    </row>
    <row r="19" spans="1:14" x14ac:dyDescent="0.3">
      <c r="A19" s="1">
        <v>12</v>
      </c>
      <c r="B19" s="15">
        <v>45715</v>
      </c>
      <c r="C19" s="11" t="s">
        <v>7</v>
      </c>
      <c r="D19" s="11" t="s">
        <v>19</v>
      </c>
      <c r="E19" s="9">
        <v>13</v>
      </c>
      <c r="F19" s="7">
        <v>44230.48</v>
      </c>
      <c r="G19" s="7">
        <v>574996.24</v>
      </c>
      <c r="L19" s="17" t="s">
        <v>15</v>
      </c>
    </row>
    <row r="20" spans="1:14" x14ac:dyDescent="0.3">
      <c r="A20" s="1">
        <v>13</v>
      </c>
      <c r="B20" s="15">
        <v>45862</v>
      </c>
      <c r="C20" s="11" t="s">
        <v>8</v>
      </c>
      <c r="D20" s="11" t="s">
        <v>20</v>
      </c>
      <c r="E20" s="9">
        <v>8</v>
      </c>
      <c r="F20" s="7">
        <v>40719.01</v>
      </c>
      <c r="G20" s="7">
        <v>325752.08</v>
      </c>
      <c r="L20" s="18" t="s">
        <v>16</v>
      </c>
    </row>
    <row r="21" spans="1:14" x14ac:dyDescent="0.3">
      <c r="A21" s="1">
        <v>14</v>
      </c>
      <c r="B21" s="15">
        <v>45918</v>
      </c>
      <c r="C21" s="11" t="s">
        <v>6</v>
      </c>
      <c r="D21" s="11" t="s">
        <v>21</v>
      </c>
      <c r="E21" s="9">
        <v>2</v>
      </c>
      <c r="F21" s="7">
        <v>29699.46</v>
      </c>
      <c r="G21" s="7">
        <v>59398.92</v>
      </c>
      <c r="L21" s="17" t="s">
        <v>17</v>
      </c>
    </row>
    <row r="22" spans="1:14" x14ac:dyDescent="0.3">
      <c r="A22" s="1">
        <v>15</v>
      </c>
      <c r="B22" s="15">
        <v>45852</v>
      </c>
      <c r="C22" s="11" t="s">
        <v>6</v>
      </c>
      <c r="D22" s="11" t="s">
        <v>22</v>
      </c>
      <c r="E22" s="9">
        <v>9</v>
      </c>
      <c r="F22" s="7">
        <v>60042.11</v>
      </c>
      <c r="G22" s="7">
        <v>540378.99</v>
      </c>
      <c r="L22" s="17" t="s">
        <v>18</v>
      </c>
    </row>
    <row r="23" spans="1:14" x14ac:dyDescent="0.3">
      <c r="A23" s="1">
        <v>16</v>
      </c>
      <c r="B23" s="15">
        <v>45884</v>
      </c>
      <c r="C23" s="11" t="s">
        <v>8</v>
      </c>
      <c r="D23" s="11" t="s">
        <v>16</v>
      </c>
      <c r="E23" s="9">
        <v>19</v>
      </c>
      <c r="F23" s="7">
        <v>4526.41</v>
      </c>
      <c r="G23" s="7">
        <v>86001.79</v>
      </c>
      <c r="L23" s="18" t="s">
        <v>19</v>
      </c>
    </row>
    <row r="24" spans="1:14" x14ac:dyDescent="0.3">
      <c r="A24" s="1">
        <v>17</v>
      </c>
      <c r="B24" s="15">
        <v>45905</v>
      </c>
      <c r="C24" s="11" t="s">
        <v>9</v>
      </c>
      <c r="D24" s="11" t="s">
        <v>23</v>
      </c>
      <c r="E24" s="9">
        <v>6</v>
      </c>
      <c r="F24" s="7">
        <v>6573.74</v>
      </c>
      <c r="G24" s="7">
        <v>39442.44</v>
      </c>
      <c r="L24" s="17" t="s">
        <v>20</v>
      </c>
    </row>
    <row r="25" spans="1:14" x14ac:dyDescent="0.3">
      <c r="A25" s="1">
        <v>18</v>
      </c>
      <c r="B25" s="15">
        <v>45895</v>
      </c>
      <c r="C25" s="11" t="s">
        <v>7</v>
      </c>
      <c r="D25" s="11" t="s">
        <v>15</v>
      </c>
      <c r="E25" s="9">
        <v>12</v>
      </c>
      <c r="F25" s="7">
        <v>35713.1</v>
      </c>
      <c r="G25" s="7">
        <v>428557.2</v>
      </c>
      <c r="L25" s="18" t="s">
        <v>21</v>
      </c>
    </row>
    <row r="26" spans="1:14" x14ac:dyDescent="0.3">
      <c r="A26" s="1">
        <v>19</v>
      </c>
      <c r="B26" s="15">
        <v>45846</v>
      </c>
      <c r="C26" s="11" t="s">
        <v>10</v>
      </c>
      <c r="D26" s="11" t="s">
        <v>24</v>
      </c>
      <c r="E26" s="9">
        <v>16</v>
      </c>
      <c r="F26" s="7">
        <v>3864.85</v>
      </c>
      <c r="G26" s="7">
        <v>61837.599999999999</v>
      </c>
      <c r="L26" s="17" t="s">
        <v>22</v>
      </c>
    </row>
    <row r="27" spans="1:14" x14ac:dyDescent="0.3">
      <c r="A27" s="1">
        <v>20</v>
      </c>
      <c r="B27" s="15">
        <v>45781</v>
      </c>
      <c r="C27" s="11" t="s">
        <v>9</v>
      </c>
      <c r="D27" s="11" t="s">
        <v>25</v>
      </c>
      <c r="E27" s="9">
        <v>7</v>
      </c>
      <c r="F27" s="7">
        <v>58810.42</v>
      </c>
      <c r="G27" s="7">
        <v>411672.94</v>
      </c>
      <c r="L27" s="17" t="s">
        <v>23</v>
      </c>
    </row>
    <row r="28" spans="1:14" x14ac:dyDescent="0.3">
      <c r="A28" s="1">
        <v>21</v>
      </c>
      <c r="B28" s="15">
        <v>45834</v>
      </c>
      <c r="C28" s="11" t="s">
        <v>10</v>
      </c>
      <c r="D28" s="11" t="s">
        <v>26</v>
      </c>
      <c r="E28" s="9">
        <v>8</v>
      </c>
      <c r="F28" s="7">
        <v>41766.120000000003</v>
      </c>
      <c r="G28" s="7">
        <v>334128.96000000002</v>
      </c>
      <c r="L28" s="17" t="s">
        <v>24</v>
      </c>
    </row>
    <row r="29" spans="1:14" x14ac:dyDescent="0.3">
      <c r="A29" s="1">
        <v>22</v>
      </c>
      <c r="B29" s="15">
        <v>45710</v>
      </c>
      <c r="C29" s="11" t="s">
        <v>8</v>
      </c>
      <c r="D29" s="11" t="s">
        <v>18</v>
      </c>
      <c r="E29" s="9">
        <v>8</v>
      </c>
      <c r="F29" s="7">
        <v>76804.039999999994</v>
      </c>
      <c r="G29" s="7">
        <v>614432.31999999995</v>
      </c>
      <c r="L29" s="18" t="s">
        <v>25</v>
      </c>
    </row>
    <row r="30" spans="1:14" x14ac:dyDescent="0.3">
      <c r="A30" s="1">
        <v>23</v>
      </c>
      <c r="B30" s="15">
        <v>45736</v>
      </c>
      <c r="C30" s="11" t="s">
        <v>8</v>
      </c>
      <c r="D30" s="11" t="s">
        <v>20</v>
      </c>
      <c r="E30" s="9">
        <v>20</v>
      </c>
      <c r="F30" s="7">
        <v>5201.99</v>
      </c>
      <c r="G30" s="7">
        <v>104039.8</v>
      </c>
      <c r="L30" s="17" t="s">
        <v>26</v>
      </c>
    </row>
    <row r="31" spans="1:14" x14ac:dyDescent="0.3">
      <c r="A31" s="1">
        <v>24</v>
      </c>
      <c r="B31" s="15">
        <v>45888</v>
      </c>
      <c r="C31" s="11" t="s">
        <v>10</v>
      </c>
      <c r="D31" s="11" t="s">
        <v>27</v>
      </c>
      <c r="E31" s="9">
        <v>4</v>
      </c>
      <c r="F31" s="7">
        <v>86681.03</v>
      </c>
      <c r="G31" s="7">
        <v>346724.12</v>
      </c>
      <c r="L31" s="18" t="s">
        <v>27</v>
      </c>
    </row>
    <row r="32" spans="1:14" x14ac:dyDescent="0.3">
      <c r="A32" s="1">
        <v>25</v>
      </c>
      <c r="B32" s="15">
        <v>45768</v>
      </c>
      <c r="C32" s="11" t="s">
        <v>9</v>
      </c>
      <c r="D32" s="11" t="s">
        <v>17</v>
      </c>
      <c r="E32" s="9">
        <v>17</v>
      </c>
      <c r="F32" s="7">
        <v>25605.9</v>
      </c>
      <c r="G32" s="7">
        <v>435300.3</v>
      </c>
      <c r="L32" s="18" t="s">
        <v>28</v>
      </c>
    </row>
    <row r="33" spans="1:12" x14ac:dyDescent="0.3">
      <c r="A33" s="1">
        <v>26</v>
      </c>
      <c r="B33" s="15">
        <v>45823</v>
      </c>
      <c r="C33" s="11" t="s">
        <v>8</v>
      </c>
      <c r="D33" s="11" t="s">
        <v>28</v>
      </c>
      <c r="E33" s="9">
        <v>1</v>
      </c>
      <c r="F33" s="7">
        <v>48783.45</v>
      </c>
      <c r="G33" s="7">
        <v>48783.45</v>
      </c>
      <c r="L33" s="18" t="s">
        <v>29</v>
      </c>
    </row>
    <row r="34" spans="1:12" x14ac:dyDescent="0.3">
      <c r="A34" s="1">
        <v>27</v>
      </c>
      <c r="B34" s="15">
        <v>45658</v>
      </c>
      <c r="C34" s="11" t="s">
        <v>9</v>
      </c>
      <c r="D34" s="11" t="s">
        <v>25</v>
      </c>
      <c r="E34" s="9">
        <v>11</v>
      </c>
      <c r="F34" s="7">
        <v>64956.17</v>
      </c>
      <c r="G34" s="7">
        <v>714517.87</v>
      </c>
      <c r="L34" s="18" t="s">
        <v>30</v>
      </c>
    </row>
    <row r="35" spans="1:12" x14ac:dyDescent="0.3">
      <c r="A35" s="1">
        <v>28</v>
      </c>
      <c r="B35" s="15">
        <v>45880</v>
      </c>
      <c r="C35" s="11" t="s">
        <v>6</v>
      </c>
      <c r="D35" s="11" t="s">
        <v>21</v>
      </c>
      <c r="E35" s="9">
        <v>9</v>
      </c>
      <c r="F35" s="7">
        <v>35636.18</v>
      </c>
      <c r="G35" s="7">
        <v>320725.62</v>
      </c>
      <c r="L35" s="17" t="s">
        <v>31</v>
      </c>
    </row>
    <row r="36" spans="1:12" x14ac:dyDescent="0.3">
      <c r="A36" s="1">
        <v>29</v>
      </c>
      <c r="B36" s="15">
        <v>45786</v>
      </c>
      <c r="C36" s="11" t="s">
        <v>10</v>
      </c>
      <c r="D36" s="11" t="s">
        <v>26</v>
      </c>
      <c r="E36" s="9">
        <v>11</v>
      </c>
      <c r="F36" s="7">
        <v>27121.66</v>
      </c>
      <c r="G36" s="7">
        <v>298338.26</v>
      </c>
      <c r="L36" s="17" t="s">
        <v>32</v>
      </c>
    </row>
    <row r="37" spans="1:12" x14ac:dyDescent="0.3">
      <c r="A37" s="1">
        <v>30</v>
      </c>
      <c r="B37" s="15">
        <v>45877</v>
      </c>
      <c r="C37" s="11" t="s">
        <v>8</v>
      </c>
      <c r="D37" s="11" t="s">
        <v>29</v>
      </c>
      <c r="E37" s="9">
        <v>14</v>
      </c>
      <c r="F37" s="7">
        <v>10476.33</v>
      </c>
      <c r="G37" s="7">
        <v>146668.62</v>
      </c>
      <c r="L37" s="18" t="s">
        <v>33</v>
      </c>
    </row>
    <row r="38" spans="1:12" x14ac:dyDescent="0.3">
      <c r="A38" s="1">
        <v>31</v>
      </c>
      <c r="B38" s="15">
        <v>45901</v>
      </c>
      <c r="C38" s="11" t="s">
        <v>8</v>
      </c>
      <c r="D38" s="11" t="s">
        <v>20</v>
      </c>
      <c r="E38" s="9">
        <v>4</v>
      </c>
      <c r="F38" s="7">
        <v>94766.36</v>
      </c>
      <c r="G38" s="7">
        <v>379065.44</v>
      </c>
      <c r="L38" s="17" t="s">
        <v>11</v>
      </c>
    </row>
    <row r="39" spans="1:12" x14ac:dyDescent="0.3">
      <c r="A39" s="1">
        <v>32</v>
      </c>
      <c r="B39" s="15">
        <v>45880</v>
      </c>
      <c r="C39" s="11" t="s">
        <v>6</v>
      </c>
      <c r="D39" s="11" t="s">
        <v>30</v>
      </c>
      <c r="E39" s="9">
        <v>8</v>
      </c>
      <c r="F39" s="7">
        <v>27085.58</v>
      </c>
      <c r="G39" s="7">
        <v>216684.64</v>
      </c>
      <c r="L39" s="17" t="s">
        <v>34</v>
      </c>
    </row>
    <row r="40" spans="1:12" x14ac:dyDescent="0.3">
      <c r="A40" s="1">
        <v>33</v>
      </c>
      <c r="B40" s="15">
        <v>45926</v>
      </c>
      <c r="C40" s="11" t="s">
        <v>7</v>
      </c>
      <c r="D40" s="11" t="s">
        <v>13</v>
      </c>
      <c r="E40" s="9">
        <v>2</v>
      </c>
      <c r="F40" s="7">
        <v>6433.34</v>
      </c>
      <c r="G40" s="7">
        <v>12866.68</v>
      </c>
      <c r="L40" s="18" t="s">
        <v>35</v>
      </c>
    </row>
    <row r="41" spans="1:12" x14ac:dyDescent="0.3">
      <c r="A41" s="1">
        <v>34</v>
      </c>
      <c r="B41" s="15">
        <v>45909</v>
      </c>
      <c r="C41" s="11" t="s">
        <v>8</v>
      </c>
      <c r="D41" s="11" t="s">
        <v>20</v>
      </c>
      <c r="E41" s="9">
        <v>4</v>
      </c>
      <c r="F41" s="7">
        <v>76311.67</v>
      </c>
      <c r="G41" s="7">
        <v>305246.68</v>
      </c>
      <c r="L41" s="17" t="s">
        <v>36</v>
      </c>
    </row>
    <row r="42" spans="1:12" x14ac:dyDescent="0.3">
      <c r="A42" s="1">
        <v>35</v>
      </c>
      <c r="B42" s="15">
        <v>45734</v>
      </c>
      <c r="C42" s="11" t="s">
        <v>8</v>
      </c>
      <c r="D42" s="11" t="s">
        <v>28</v>
      </c>
      <c r="E42" s="9">
        <v>8</v>
      </c>
      <c r="F42" s="7">
        <v>17245.72</v>
      </c>
      <c r="G42" s="7">
        <v>137965.76000000001</v>
      </c>
      <c r="L42" s="17" t="s">
        <v>37</v>
      </c>
    </row>
    <row r="43" spans="1:12" x14ac:dyDescent="0.3">
      <c r="A43" s="1">
        <v>36</v>
      </c>
      <c r="B43" s="15">
        <v>45755</v>
      </c>
      <c r="C43" s="11" t="s">
        <v>7</v>
      </c>
      <c r="D43" s="11" t="s">
        <v>12</v>
      </c>
      <c r="E43" s="9">
        <v>5</v>
      </c>
      <c r="F43" s="7">
        <v>51295.79</v>
      </c>
      <c r="G43" s="7">
        <v>256478.95</v>
      </c>
    </row>
    <row r="44" spans="1:12" x14ac:dyDescent="0.3">
      <c r="A44" s="1">
        <v>37</v>
      </c>
      <c r="B44" s="15">
        <v>45905</v>
      </c>
      <c r="C44" s="11" t="s">
        <v>9</v>
      </c>
      <c r="D44" s="11" t="s">
        <v>17</v>
      </c>
      <c r="E44" s="9">
        <v>14</v>
      </c>
      <c r="F44" s="7">
        <v>68896.39</v>
      </c>
      <c r="G44" s="7">
        <v>964549.46</v>
      </c>
    </row>
    <row r="45" spans="1:12" x14ac:dyDescent="0.3">
      <c r="A45" s="1">
        <v>38</v>
      </c>
      <c r="B45" s="15">
        <v>45693</v>
      </c>
      <c r="C45" s="11" t="s">
        <v>7</v>
      </c>
      <c r="D45" s="11" t="s">
        <v>14</v>
      </c>
      <c r="E45" s="9">
        <v>20</v>
      </c>
      <c r="F45" s="7">
        <v>5817.14</v>
      </c>
      <c r="G45" s="7">
        <v>116342.8</v>
      </c>
    </row>
    <row r="46" spans="1:12" x14ac:dyDescent="0.3">
      <c r="A46" s="1">
        <v>39</v>
      </c>
      <c r="B46" s="15">
        <v>45684</v>
      </c>
      <c r="C46" s="11" t="s">
        <v>10</v>
      </c>
      <c r="D46" s="11" t="s">
        <v>31</v>
      </c>
      <c r="E46" s="9">
        <v>13</v>
      </c>
      <c r="F46" s="7">
        <v>75139.72</v>
      </c>
      <c r="G46" s="7">
        <v>976816.36</v>
      </c>
    </row>
    <row r="47" spans="1:12" x14ac:dyDescent="0.3">
      <c r="A47" s="1">
        <v>40</v>
      </c>
      <c r="B47" s="15">
        <v>45911</v>
      </c>
      <c r="C47" s="11" t="s">
        <v>7</v>
      </c>
      <c r="D47" s="11" t="s">
        <v>12</v>
      </c>
      <c r="E47" s="9">
        <v>1</v>
      </c>
      <c r="F47" s="7">
        <v>23603.74</v>
      </c>
      <c r="G47" s="7">
        <v>23603.74</v>
      </c>
    </row>
    <row r="48" spans="1:12" x14ac:dyDescent="0.3">
      <c r="A48" s="1">
        <v>41</v>
      </c>
      <c r="B48" s="15">
        <v>45905</v>
      </c>
      <c r="C48" s="11" t="s">
        <v>8</v>
      </c>
      <c r="D48" s="11" t="s">
        <v>16</v>
      </c>
      <c r="E48" s="9">
        <v>12</v>
      </c>
      <c r="F48" s="7">
        <v>18793.52</v>
      </c>
      <c r="G48" s="7">
        <v>225522.24</v>
      </c>
    </row>
    <row r="49" spans="1:7" x14ac:dyDescent="0.3">
      <c r="A49" s="1">
        <v>42</v>
      </c>
      <c r="B49" s="15">
        <v>45870</v>
      </c>
      <c r="C49" s="11" t="s">
        <v>7</v>
      </c>
      <c r="D49" s="11" t="s">
        <v>12</v>
      </c>
      <c r="E49" s="9">
        <v>14</v>
      </c>
      <c r="F49" s="7">
        <v>75278.39</v>
      </c>
      <c r="G49" s="7">
        <v>1053897.46</v>
      </c>
    </row>
    <row r="50" spans="1:7" x14ac:dyDescent="0.3">
      <c r="A50" s="1">
        <v>43</v>
      </c>
      <c r="B50" s="15">
        <v>45763</v>
      </c>
      <c r="C50" s="11" t="s">
        <v>9</v>
      </c>
      <c r="D50" s="11" t="s">
        <v>25</v>
      </c>
      <c r="E50" s="9">
        <v>1</v>
      </c>
      <c r="F50" s="7">
        <v>29179.73</v>
      </c>
      <c r="G50" s="7">
        <v>29179.73</v>
      </c>
    </row>
    <row r="51" spans="1:7" x14ac:dyDescent="0.3">
      <c r="A51" s="1">
        <v>44</v>
      </c>
      <c r="B51" s="15">
        <v>45782</v>
      </c>
      <c r="C51" s="11" t="s">
        <v>10</v>
      </c>
      <c r="D51" s="11" t="s">
        <v>26</v>
      </c>
      <c r="E51" s="9">
        <v>17</v>
      </c>
      <c r="F51" s="7">
        <v>71538.47</v>
      </c>
      <c r="G51" s="7">
        <v>1216153.99</v>
      </c>
    </row>
    <row r="52" spans="1:7" x14ac:dyDescent="0.3">
      <c r="A52" s="1">
        <v>45</v>
      </c>
      <c r="B52" s="15">
        <v>45734</v>
      </c>
      <c r="C52" s="11" t="s">
        <v>9</v>
      </c>
      <c r="D52" s="11" t="s">
        <v>32</v>
      </c>
      <c r="E52" s="9">
        <v>15</v>
      </c>
      <c r="F52" s="7">
        <v>78654.009999999995</v>
      </c>
      <c r="G52" s="7">
        <v>1179810.1499999999</v>
      </c>
    </row>
    <row r="53" spans="1:7" x14ac:dyDescent="0.3">
      <c r="A53" s="1">
        <v>46</v>
      </c>
      <c r="B53" s="15">
        <v>45880</v>
      </c>
      <c r="C53" s="11" t="s">
        <v>6</v>
      </c>
      <c r="D53" s="11" t="s">
        <v>21</v>
      </c>
      <c r="E53" s="9">
        <v>10</v>
      </c>
      <c r="F53" s="7">
        <v>49866.239999999998</v>
      </c>
      <c r="G53" s="7">
        <v>498662.40000000002</v>
      </c>
    </row>
    <row r="54" spans="1:7" x14ac:dyDescent="0.3">
      <c r="A54" s="1">
        <v>47</v>
      </c>
      <c r="B54" s="15">
        <v>45820</v>
      </c>
      <c r="C54" s="11" t="s">
        <v>10</v>
      </c>
      <c r="D54" s="11" t="s">
        <v>26</v>
      </c>
      <c r="E54" s="9">
        <v>7</v>
      </c>
      <c r="F54" s="7">
        <v>96503.360000000001</v>
      </c>
      <c r="G54" s="7">
        <v>675523.52</v>
      </c>
    </row>
    <row r="55" spans="1:7" x14ac:dyDescent="0.3">
      <c r="A55" s="1">
        <v>48</v>
      </c>
      <c r="B55" s="15">
        <v>45762</v>
      </c>
      <c r="C55" s="11" t="s">
        <v>9</v>
      </c>
      <c r="D55" s="11" t="s">
        <v>33</v>
      </c>
      <c r="E55" s="9">
        <v>3</v>
      </c>
      <c r="F55" s="7">
        <v>6441.9</v>
      </c>
      <c r="G55" s="7">
        <v>19325.7</v>
      </c>
    </row>
    <row r="56" spans="1:7" x14ac:dyDescent="0.3">
      <c r="A56" s="1">
        <v>49</v>
      </c>
      <c r="B56" s="15">
        <v>45685</v>
      </c>
      <c r="C56" s="11" t="s">
        <v>9</v>
      </c>
      <c r="D56" s="11" t="s">
        <v>23</v>
      </c>
      <c r="E56" s="9">
        <v>2</v>
      </c>
      <c r="F56" s="7">
        <v>33623.22</v>
      </c>
      <c r="G56" s="7">
        <v>67246.44</v>
      </c>
    </row>
    <row r="57" spans="1:7" x14ac:dyDescent="0.3">
      <c r="A57" s="1">
        <v>50</v>
      </c>
      <c r="B57" s="15">
        <v>45814</v>
      </c>
      <c r="C57" s="11" t="s">
        <v>9</v>
      </c>
      <c r="D57" s="11" t="s">
        <v>23</v>
      </c>
      <c r="E57" s="9">
        <v>9</v>
      </c>
      <c r="F57" s="7">
        <v>48427.37</v>
      </c>
      <c r="G57" s="7">
        <v>435846.33</v>
      </c>
    </row>
    <row r="58" spans="1:7" x14ac:dyDescent="0.3">
      <c r="A58" s="1">
        <v>51</v>
      </c>
      <c r="B58" s="15">
        <v>45925</v>
      </c>
      <c r="C58" s="11" t="s">
        <v>9</v>
      </c>
      <c r="D58" s="11" t="s">
        <v>32</v>
      </c>
      <c r="E58" s="9">
        <v>10</v>
      </c>
      <c r="F58" s="7">
        <v>45105.04</v>
      </c>
      <c r="G58" s="7">
        <v>451050.4</v>
      </c>
    </row>
    <row r="59" spans="1:7" x14ac:dyDescent="0.3">
      <c r="A59" s="1">
        <v>52</v>
      </c>
      <c r="B59" s="15">
        <v>45827</v>
      </c>
      <c r="C59" s="11" t="s">
        <v>10</v>
      </c>
      <c r="D59" s="11" t="s">
        <v>26</v>
      </c>
      <c r="E59" s="9">
        <v>16</v>
      </c>
      <c r="F59" s="7">
        <v>46383.58</v>
      </c>
      <c r="G59" s="7">
        <v>742137.28</v>
      </c>
    </row>
    <row r="60" spans="1:7" x14ac:dyDescent="0.3">
      <c r="A60" s="1">
        <v>53</v>
      </c>
      <c r="B60" s="15">
        <v>45817</v>
      </c>
      <c r="C60" s="11" t="s">
        <v>6</v>
      </c>
      <c r="D60" s="11" t="s">
        <v>11</v>
      </c>
      <c r="E60" s="9">
        <v>9</v>
      </c>
      <c r="F60" s="7">
        <v>98782.03</v>
      </c>
      <c r="G60" s="7">
        <v>889038.27</v>
      </c>
    </row>
    <row r="61" spans="1:7" x14ac:dyDescent="0.3">
      <c r="A61" s="1">
        <v>54</v>
      </c>
      <c r="B61" s="15">
        <v>45714</v>
      </c>
      <c r="C61" s="11" t="s">
        <v>10</v>
      </c>
      <c r="D61" s="11" t="s">
        <v>31</v>
      </c>
      <c r="E61" s="9">
        <v>11</v>
      </c>
      <c r="F61" s="7">
        <v>33367.89</v>
      </c>
      <c r="G61" s="7">
        <v>367046.79</v>
      </c>
    </row>
    <row r="62" spans="1:7" x14ac:dyDescent="0.3">
      <c r="A62" s="1">
        <v>55</v>
      </c>
      <c r="B62" s="15">
        <v>45761</v>
      </c>
      <c r="C62" s="11" t="s">
        <v>10</v>
      </c>
      <c r="D62" s="11" t="s">
        <v>34</v>
      </c>
      <c r="E62" s="9">
        <v>18</v>
      </c>
      <c r="F62" s="7">
        <v>25695.47</v>
      </c>
      <c r="G62" s="7">
        <v>462518.46</v>
      </c>
    </row>
    <row r="63" spans="1:7" x14ac:dyDescent="0.3">
      <c r="A63" s="1">
        <v>56</v>
      </c>
      <c r="B63" s="15">
        <v>45820</v>
      </c>
      <c r="C63" s="11" t="s">
        <v>6</v>
      </c>
      <c r="D63" s="11" t="s">
        <v>35</v>
      </c>
      <c r="E63" s="9">
        <v>18</v>
      </c>
      <c r="F63" s="7">
        <v>87747.24</v>
      </c>
      <c r="G63" s="7">
        <v>1579450.32</v>
      </c>
    </row>
    <row r="64" spans="1:7" x14ac:dyDescent="0.3">
      <c r="A64" s="1">
        <v>57</v>
      </c>
      <c r="B64" s="15">
        <v>45663</v>
      </c>
      <c r="C64" s="11" t="s">
        <v>8</v>
      </c>
      <c r="D64" s="11" t="s">
        <v>18</v>
      </c>
      <c r="E64" s="9">
        <v>3</v>
      </c>
      <c r="F64" s="7">
        <v>16125.72</v>
      </c>
      <c r="G64" s="7">
        <v>48377.16</v>
      </c>
    </row>
    <row r="65" spans="1:7" x14ac:dyDescent="0.3">
      <c r="A65" s="1">
        <v>58</v>
      </c>
      <c r="B65" s="15">
        <v>45882</v>
      </c>
      <c r="C65" s="11" t="s">
        <v>7</v>
      </c>
      <c r="D65" s="11" t="s">
        <v>14</v>
      </c>
      <c r="E65" s="9">
        <v>8</v>
      </c>
      <c r="F65" s="7">
        <v>7988.54</v>
      </c>
      <c r="G65" s="7">
        <v>63908.32</v>
      </c>
    </row>
    <row r="66" spans="1:7" x14ac:dyDescent="0.3">
      <c r="A66" s="1">
        <v>59</v>
      </c>
      <c r="B66" s="15">
        <v>45828</v>
      </c>
      <c r="C66" s="11" t="s">
        <v>7</v>
      </c>
      <c r="D66" s="11" t="s">
        <v>14</v>
      </c>
      <c r="E66" s="9">
        <v>5</v>
      </c>
      <c r="F66" s="7">
        <v>47202.49</v>
      </c>
      <c r="G66" s="7">
        <v>236012.45</v>
      </c>
    </row>
    <row r="67" spans="1:7" x14ac:dyDescent="0.3">
      <c r="A67" s="1">
        <v>60</v>
      </c>
      <c r="B67" s="15">
        <v>45660</v>
      </c>
      <c r="C67" s="11" t="s">
        <v>6</v>
      </c>
      <c r="D67" s="11" t="s">
        <v>35</v>
      </c>
      <c r="E67" s="9">
        <v>7</v>
      </c>
      <c r="F67" s="7">
        <v>37081.370000000003</v>
      </c>
      <c r="G67" s="7">
        <v>259569.59</v>
      </c>
    </row>
    <row r="68" spans="1:7" x14ac:dyDescent="0.3">
      <c r="A68" s="1">
        <v>61</v>
      </c>
      <c r="B68" s="15">
        <v>45815</v>
      </c>
      <c r="C68" s="11" t="s">
        <v>6</v>
      </c>
      <c r="D68" s="11" t="s">
        <v>36</v>
      </c>
      <c r="E68" s="9">
        <v>15</v>
      </c>
      <c r="F68" s="7">
        <v>41339.919999999998</v>
      </c>
      <c r="G68" s="7">
        <v>620098.80000000005</v>
      </c>
    </row>
    <row r="69" spans="1:7" x14ac:dyDescent="0.3">
      <c r="A69" s="1">
        <v>62</v>
      </c>
      <c r="B69" s="15">
        <v>45870</v>
      </c>
      <c r="C69" s="11" t="s">
        <v>10</v>
      </c>
      <c r="D69" s="11" t="s">
        <v>34</v>
      </c>
      <c r="E69" s="9">
        <v>1</v>
      </c>
      <c r="F69" s="7">
        <v>91457.18</v>
      </c>
      <c r="G69" s="7">
        <v>91457.18</v>
      </c>
    </row>
    <row r="70" spans="1:7" x14ac:dyDescent="0.3">
      <c r="A70" s="1">
        <v>63</v>
      </c>
      <c r="B70" s="15">
        <v>45886</v>
      </c>
      <c r="C70" s="11" t="s">
        <v>8</v>
      </c>
      <c r="D70" s="11" t="s">
        <v>20</v>
      </c>
      <c r="E70" s="9">
        <v>13</v>
      </c>
      <c r="F70" s="7">
        <v>64443.49</v>
      </c>
      <c r="G70" s="7">
        <v>837765.37</v>
      </c>
    </row>
    <row r="71" spans="1:7" x14ac:dyDescent="0.3">
      <c r="A71" s="1">
        <v>64</v>
      </c>
      <c r="B71" s="15">
        <v>45748</v>
      </c>
      <c r="C71" s="11" t="s">
        <v>6</v>
      </c>
      <c r="D71" s="11" t="s">
        <v>22</v>
      </c>
      <c r="E71" s="9">
        <v>10</v>
      </c>
      <c r="F71" s="7">
        <v>8697.2000000000007</v>
      </c>
      <c r="G71" s="7">
        <v>86972</v>
      </c>
    </row>
    <row r="72" spans="1:7" x14ac:dyDescent="0.3">
      <c r="A72" s="1">
        <v>65</v>
      </c>
      <c r="B72" s="15">
        <v>45875</v>
      </c>
      <c r="C72" s="11" t="s">
        <v>6</v>
      </c>
      <c r="D72" s="11" t="s">
        <v>22</v>
      </c>
      <c r="E72" s="9">
        <v>1</v>
      </c>
      <c r="F72" s="7">
        <v>80101.36</v>
      </c>
      <c r="G72" s="7">
        <v>80101.36</v>
      </c>
    </row>
    <row r="73" spans="1:7" x14ac:dyDescent="0.3">
      <c r="A73" s="1">
        <v>66</v>
      </c>
      <c r="B73" s="15">
        <v>45674</v>
      </c>
      <c r="C73" s="11" t="s">
        <v>7</v>
      </c>
      <c r="D73" s="11" t="s">
        <v>15</v>
      </c>
      <c r="E73" s="9">
        <v>6</v>
      </c>
      <c r="F73" s="7">
        <v>40326.980000000003</v>
      </c>
      <c r="G73" s="7">
        <v>241961.88</v>
      </c>
    </row>
    <row r="74" spans="1:7" x14ac:dyDescent="0.3">
      <c r="A74" s="1">
        <v>67</v>
      </c>
      <c r="B74" s="15">
        <v>45881</v>
      </c>
      <c r="C74" s="11" t="s">
        <v>9</v>
      </c>
      <c r="D74" s="11" t="s">
        <v>25</v>
      </c>
      <c r="E74" s="9">
        <v>10</v>
      </c>
      <c r="F74" s="7">
        <v>39724.410000000003</v>
      </c>
      <c r="G74" s="7">
        <v>397244.1</v>
      </c>
    </row>
    <row r="75" spans="1:7" x14ac:dyDescent="0.3">
      <c r="A75" s="1">
        <v>68</v>
      </c>
      <c r="B75" s="15">
        <v>45803</v>
      </c>
      <c r="C75" s="11" t="s">
        <v>8</v>
      </c>
      <c r="D75" s="11" t="s">
        <v>18</v>
      </c>
      <c r="E75" s="9">
        <v>20</v>
      </c>
      <c r="F75" s="7">
        <v>98719.97</v>
      </c>
      <c r="G75" s="7">
        <v>1974399.4</v>
      </c>
    </row>
    <row r="76" spans="1:7" x14ac:dyDescent="0.3">
      <c r="A76" s="1">
        <v>69</v>
      </c>
      <c r="B76" s="15">
        <v>45744</v>
      </c>
      <c r="C76" s="11" t="s">
        <v>10</v>
      </c>
      <c r="D76" s="11" t="s">
        <v>31</v>
      </c>
      <c r="E76" s="9">
        <v>20</v>
      </c>
      <c r="F76" s="7">
        <v>44372.22</v>
      </c>
      <c r="G76" s="7">
        <v>887444.4</v>
      </c>
    </row>
    <row r="77" spans="1:7" x14ac:dyDescent="0.3">
      <c r="A77" s="1">
        <v>70</v>
      </c>
      <c r="B77" s="15">
        <v>45796</v>
      </c>
      <c r="C77" s="11" t="s">
        <v>8</v>
      </c>
      <c r="D77" s="11" t="s">
        <v>16</v>
      </c>
      <c r="E77" s="9">
        <v>15</v>
      </c>
      <c r="F77" s="7">
        <v>42092.54</v>
      </c>
      <c r="G77" s="7">
        <v>631388.1</v>
      </c>
    </row>
    <row r="78" spans="1:7" x14ac:dyDescent="0.3">
      <c r="A78" s="1">
        <v>71</v>
      </c>
      <c r="B78" s="15">
        <v>45883</v>
      </c>
      <c r="C78" s="11" t="s">
        <v>6</v>
      </c>
      <c r="D78" s="11" t="s">
        <v>36</v>
      </c>
      <c r="E78" s="9">
        <v>5</v>
      </c>
      <c r="F78" s="7">
        <v>65355.69</v>
      </c>
      <c r="G78" s="7">
        <v>326778.45</v>
      </c>
    </row>
    <row r="79" spans="1:7" x14ac:dyDescent="0.3">
      <c r="A79" s="1">
        <v>72</v>
      </c>
      <c r="B79" s="15">
        <v>45754</v>
      </c>
      <c r="C79" s="11" t="s">
        <v>9</v>
      </c>
      <c r="D79" s="11" t="s">
        <v>25</v>
      </c>
      <c r="E79" s="9">
        <v>6</v>
      </c>
      <c r="F79" s="7">
        <v>31871</v>
      </c>
      <c r="G79" s="7">
        <v>191226</v>
      </c>
    </row>
    <row r="80" spans="1:7" x14ac:dyDescent="0.3">
      <c r="A80" s="1">
        <v>73</v>
      </c>
      <c r="B80" s="15">
        <v>45770</v>
      </c>
      <c r="C80" s="11" t="s">
        <v>6</v>
      </c>
      <c r="D80" s="11" t="s">
        <v>35</v>
      </c>
      <c r="E80" s="9">
        <v>8</v>
      </c>
      <c r="F80" s="7">
        <v>73195.22</v>
      </c>
      <c r="G80" s="7">
        <v>585561.76</v>
      </c>
    </row>
    <row r="81" spans="1:7" x14ac:dyDescent="0.3">
      <c r="A81" s="1">
        <v>74</v>
      </c>
      <c r="B81" s="15">
        <v>45674</v>
      </c>
      <c r="C81" s="11" t="s">
        <v>7</v>
      </c>
      <c r="D81" s="11" t="s">
        <v>14</v>
      </c>
      <c r="E81" s="9">
        <v>1</v>
      </c>
      <c r="F81" s="7">
        <v>42476.65</v>
      </c>
      <c r="G81" s="7">
        <v>42476.65</v>
      </c>
    </row>
    <row r="82" spans="1:7" x14ac:dyDescent="0.3">
      <c r="A82" s="1">
        <v>75</v>
      </c>
      <c r="B82" s="15">
        <v>45787</v>
      </c>
      <c r="C82" s="11" t="s">
        <v>8</v>
      </c>
      <c r="D82" s="11" t="s">
        <v>18</v>
      </c>
      <c r="E82" s="9">
        <v>2</v>
      </c>
      <c r="F82" s="7">
        <v>50201.69</v>
      </c>
      <c r="G82" s="7">
        <v>100403.38</v>
      </c>
    </row>
    <row r="83" spans="1:7" x14ac:dyDescent="0.3">
      <c r="A83" s="1">
        <v>76</v>
      </c>
      <c r="B83" s="15">
        <v>45669</v>
      </c>
      <c r="C83" s="11" t="s">
        <v>8</v>
      </c>
      <c r="D83" s="11" t="s">
        <v>18</v>
      </c>
      <c r="E83" s="9">
        <v>16</v>
      </c>
      <c r="F83" s="7">
        <v>48771</v>
      </c>
      <c r="G83" s="7">
        <v>780336</v>
      </c>
    </row>
    <row r="84" spans="1:7" x14ac:dyDescent="0.3">
      <c r="A84" s="1">
        <v>77</v>
      </c>
      <c r="B84" s="15">
        <v>45829</v>
      </c>
      <c r="C84" s="11" t="s">
        <v>6</v>
      </c>
      <c r="D84" s="11" t="s">
        <v>35</v>
      </c>
      <c r="E84" s="9">
        <v>19</v>
      </c>
      <c r="F84" s="7">
        <v>75350.929999999993</v>
      </c>
      <c r="G84" s="7">
        <v>1431667.67</v>
      </c>
    </row>
    <row r="85" spans="1:7" x14ac:dyDescent="0.3">
      <c r="A85" s="1">
        <v>78</v>
      </c>
      <c r="B85" s="15">
        <v>45661</v>
      </c>
      <c r="C85" s="11" t="s">
        <v>9</v>
      </c>
      <c r="D85" s="11" t="s">
        <v>33</v>
      </c>
      <c r="E85" s="9">
        <v>1</v>
      </c>
      <c r="F85" s="7">
        <v>34537.449999999997</v>
      </c>
      <c r="G85" s="7">
        <v>34537.449999999997</v>
      </c>
    </row>
    <row r="86" spans="1:7" x14ac:dyDescent="0.3">
      <c r="A86" s="1">
        <v>79</v>
      </c>
      <c r="B86" s="15">
        <v>45852</v>
      </c>
      <c r="C86" s="11" t="s">
        <v>7</v>
      </c>
      <c r="D86" s="11" t="s">
        <v>19</v>
      </c>
      <c r="E86" s="9">
        <v>9</v>
      </c>
      <c r="F86" s="7">
        <v>46439.68</v>
      </c>
      <c r="G86" s="7">
        <v>417957.12</v>
      </c>
    </row>
    <row r="87" spans="1:7" x14ac:dyDescent="0.3">
      <c r="A87" s="1">
        <v>80</v>
      </c>
      <c r="B87" s="15">
        <v>45926</v>
      </c>
      <c r="C87" s="11" t="s">
        <v>7</v>
      </c>
      <c r="D87" s="11" t="s">
        <v>14</v>
      </c>
      <c r="E87" s="9">
        <v>14</v>
      </c>
      <c r="F87" s="7">
        <v>20863.310000000001</v>
      </c>
      <c r="G87" s="7">
        <v>292086.34000000003</v>
      </c>
    </row>
    <row r="88" spans="1:7" x14ac:dyDescent="0.3">
      <c r="A88" s="1">
        <v>81</v>
      </c>
      <c r="B88" s="15">
        <v>45902</v>
      </c>
      <c r="C88" s="11" t="s">
        <v>7</v>
      </c>
      <c r="D88" s="11" t="s">
        <v>15</v>
      </c>
      <c r="E88" s="9">
        <v>15</v>
      </c>
      <c r="F88" s="7">
        <v>25131.55</v>
      </c>
      <c r="G88" s="7">
        <v>376973.25</v>
      </c>
    </row>
    <row r="89" spans="1:7" x14ac:dyDescent="0.3">
      <c r="A89" s="1">
        <v>82</v>
      </c>
      <c r="B89" s="15">
        <v>45822</v>
      </c>
      <c r="C89" s="11" t="s">
        <v>6</v>
      </c>
      <c r="D89" s="11" t="s">
        <v>36</v>
      </c>
      <c r="E89" s="9">
        <v>14</v>
      </c>
      <c r="F89" s="7">
        <v>30522.240000000002</v>
      </c>
      <c r="G89" s="7">
        <v>427311.35999999999</v>
      </c>
    </row>
    <row r="90" spans="1:7" x14ac:dyDescent="0.3">
      <c r="A90" s="1">
        <v>83</v>
      </c>
      <c r="B90" s="15">
        <v>45879</v>
      </c>
      <c r="C90" s="11" t="s">
        <v>8</v>
      </c>
      <c r="D90" s="11" t="s">
        <v>18</v>
      </c>
      <c r="E90" s="9">
        <v>2</v>
      </c>
      <c r="F90" s="7">
        <v>1156.44</v>
      </c>
      <c r="G90" s="7">
        <v>2312.88</v>
      </c>
    </row>
    <row r="91" spans="1:7" x14ac:dyDescent="0.3">
      <c r="A91" s="1">
        <v>84</v>
      </c>
      <c r="B91" s="15">
        <v>45734</v>
      </c>
      <c r="C91" s="11" t="s">
        <v>8</v>
      </c>
      <c r="D91" s="11" t="s">
        <v>29</v>
      </c>
      <c r="E91" s="9">
        <v>18</v>
      </c>
      <c r="F91" s="7">
        <v>91683.82</v>
      </c>
      <c r="G91" s="7">
        <v>1650308.76</v>
      </c>
    </row>
    <row r="92" spans="1:7" x14ac:dyDescent="0.3">
      <c r="A92" s="1">
        <v>85</v>
      </c>
      <c r="B92" s="15">
        <v>45871</v>
      </c>
      <c r="C92" s="11" t="s">
        <v>6</v>
      </c>
      <c r="D92" s="11" t="s">
        <v>35</v>
      </c>
      <c r="E92" s="9">
        <v>10</v>
      </c>
      <c r="F92" s="7">
        <v>23760.69</v>
      </c>
      <c r="G92" s="7">
        <v>237606.9</v>
      </c>
    </row>
    <row r="93" spans="1:7" x14ac:dyDescent="0.3">
      <c r="A93" s="1">
        <v>86</v>
      </c>
      <c r="B93" s="15">
        <v>45691</v>
      </c>
      <c r="C93" s="11" t="s">
        <v>6</v>
      </c>
      <c r="D93" s="11" t="s">
        <v>22</v>
      </c>
      <c r="E93" s="9">
        <v>17</v>
      </c>
      <c r="F93" s="7">
        <v>55833.75</v>
      </c>
      <c r="G93" s="7">
        <v>949173.75</v>
      </c>
    </row>
    <row r="94" spans="1:7" x14ac:dyDescent="0.3">
      <c r="A94" s="1">
        <v>87</v>
      </c>
      <c r="B94" s="15">
        <v>45915</v>
      </c>
      <c r="C94" s="11" t="s">
        <v>6</v>
      </c>
      <c r="D94" s="11" t="s">
        <v>37</v>
      </c>
      <c r="E94" s="9">
        <v>8</v>
      </c>
      <c r="F94" s="7">
        <v>12733.39</v>
      </c>
      <c r="G94" s="7">
        <v>101867.12</v>
      </c>
    </row>
    <row r="95" spans="1:7" x14ac:dyDescent="0.3">
      <c r="A95" s="1">
        <v>88</v>
      </c>
      <c r="B95" s="15">
        <v>45895</v>
      </c>
      <c r="C95" s="11" t="s">
        <v>6</v>
      </c>
      <c r="D95" s="11" t="s">
        <v>22</v>
      </c>
      <c r="E95" s="9">
        <v>12</v>
      </c>
      <c r="F95" s="7">
        <v>70684.179999999993</v>
      </c>
      <c r="G95" s="7">
        <v>848210.16</v>
      </c>
    </row>
    <row r="96" spans="1:7" x14ac:dyDescent="0.3">
      <c r="A96" s="1">
        <v>89</v>
      </c>
      <c r="B96" s="15">
        <v>45697</v>
      </c>
      <c r="C96" s="11" t="s">
        <v>9</v>
      </c>
      <c r="D96" s="11" t="s">
        <v>32</v>
      </c>
      <c r="E96" s="9">
        <v>12</v>
      </c>
      <c r="F96" s="7">
        <v>82552.570000000007</v>
      </c>
      <c r="G96" s="7">
        <v>990630.84</v>
      </c>
    </row>
    <row r="97" spans="1:7" x14ac:dyDescent="0.3">
      <c r="A97" s="1">
        <v>90</v>
      </c>
      <c r="B97" s="15">
        <v>45880</v>
      </c>
      <c r="C97" s="11" t="s">
        <v>8</v>
      </c>
      <c r="D97" s="11" t="s">
        <v>29</v>
      </c>
      <c r="E97" s="9">
        <v>10</v>
      </c>
      <c r="F97" s="7">
        <v>33635</v>
      </c>
      <c r="G97" s="7">
        <v>336350</v>
      </c>
    </row>
    <row r="98" spans="1:7" x14ac:dyDescent="0.3">
      <c r="A98" s="1">
        <v>91</v>
      </c>
      <c r="B98" s="15">
        <v>45773</v>
      </c>
      <c r="C98" s="11" t="s">
        <v>8</v>
      </c>
      <c r="D98" s="11" t="s">
        <v>20</v>
      </c>
      <c r="E98" s="9">
        <v>17</v>
      </c>
      <c r="F98" s="7">
        <v>45099.78</v>
      </c>
      <c r="G98" s="7">
        <v>766696.26</v>
      </c>
    </row>
    <row r="99" spans="1:7" x14ac:dyDescent="0.3">
      <c r="A99" s="1">
        <v>92</v>
      </c>
      <c r="B99" s="15">
        <v>45857</v>
      </c>
      <c r="C99" s="11" t="s">
        <v>6</v>
      </c>
      <c r="D99" s="11" t="s">
        <v>30</v>
      </c>
      <c r="E99" s="9">
        <v>12</v>
      </c>
      <c r="F99" s="7">
        <v>70555.53</v>
      </c>
      <c r="G99" s="7">
        <v>846666.36</v>
      </c>
    </row>
    <row r="100" spans="1:7" x14ac:dyDescent="0.3">
      <c r="A100" s="1">
        <v>93</v>
      </c>
      <c r="B100" s="15">
        <v>45877</v>
      </c>
      <c r="C100" s="11" t="s">
        <v>7</v>
      </c>
      <c r="D100" s="11" t="s">
        <v>19</v>
      </c>
      <c r="E100" s="9">
        <v>11</v>
      </c>
      <c r="F100" s="7">
        <v>35096.160000000003</v>
      </c>
      <c r="G100" s="7">
        <v>386057.76</v>
      </c>
    </row>
    <row r="101" spans="1:7" x14ac:dyDescent="0.3">
      <c r="A101" s="1">
        <v>94</v>
      </c>
      <c r="B101" s="15">
        <v>45750</v>
      </c>
      <c r="C101" s="11" t="s">
        <v>7</v>
      </c>
      <c r="D101" s="11" t="s">
        <v>19</v>
      </c>
      <c r="E101" s="9">
        <v>10</v>
      </c>
      <c r="F101" s="7">
        <v>5028.37</v>
      </c>
      <c r="G101" s="7">
        <v>50283.7</v>
      </c>
    </row>
    <row r="102" spans="1:7" x14ac:dyDescent="0.3">
      <c r="A102" s="1">
        <v>95</v>
      </c>
      <c r="B102" s="15">
        <v>45882</v>
      </c>
      <c r="C102" s="11" t="s">
        <v>7</v>
      </c>
      <c r="D102" s="11" t="s">
        <v>19</v>
      </c>
      <c r="E102" s="9">
        <v>4</v>
      </c>
      <c r="F102" s="7">
        <v>87571.54</v>
      </c>
      <c r="G102" s="7">
        <v>350286.16</v>
      </c>
    </row>
    <row r="103" spans="1:7" x14ac:dyDescent="0.3">
      <c r="A103" s="1">
        <v>96</v>
      </c>
      <c r="B103" s="15">
        <v>45834</v>
      </c>
      <c r="C103" s="11" t="s">
        <v>10</v>
      </c>
      <c r="D103" s="11" t="s">
        <v>31</v>
      </c>
      <c r="E103" s="9">
        <v>8</v>
      </c>
      <c r="F103" s="7">
        <v>97511.58</v>
      </c>
      <c r="G103" s="7">
        <v>780092.64</v>
      </c>
    </row>
    <row r="104" spans="1:7" x14ac:dyDescent="0.3">
      <c r="A104" s="1">
        <v>97</v>
      </c>
      <c r="B104" s="15">
        <v>45727</v>
      </c>
      <c r="C104" s="11" t="s">
        <v>10</v>
      </c>
      <c r="D104" s="11" t="s">
        <v>31</v>
      </c>
      <c r="E104" s="9">
        <v>2</v>
      </c>
      <c r="F104" s="7">
        <v>99893.3</v>
      </c>
      <c r="G104" s="7">
        <v>199786.6</v>
      </c>
    </row>
    <row r="105" spans="1:7" x14ac:dyDescent="0.3">
      <c r="A105" s="1">
        <v>98</v>
      </c>
      <c r="B105" s="15">
        <v>45886</v>
      </c>
      <c r="C105" s="11" t="s">
        <v>9</v>
      </c>
      <c r="D105" s="11" t="s">
        <v>32</v>
      </c>
      <c r="E105" s="9">
        <v>17</v>
      </c>
      <c r="F105" s="7">
        <v>51303.43</v>
      </c>
      <c r="G105" s="7">
        <v>872158.31</v>
      </c>
    </row>
    <row r="106" spans="1:7" x14ac:dyDescent="0.3">
      <c r="A106" s="1">
        <v>99</v>
      </c>
      <c r="B106" s="15">
        <v>45749</v>
      </c>
      <c r="C106" s="11" t="s">
        <v>8</v>
      </c>
      <c r="D106" s="11" t="s">
        <v>20</v>
      </c>
      <c r="E106" s="9">
        <v>17</v>
      </c>
      <c r="F106" s="7">
        <v>34975.620000000003</v>
      </c>
      <c r="G106" s="7">
        <v>594585.54</v>
      </c>
    </row>
    <row r="107" spans="1:7" x14ac:dyDescent="0.3">
      <c r="A107" s="1">
        <v>100</v>
      </c>
      <c r="B107" s="15">
        <v>45676</v>
      </c>
      <c r="C107" s="11" t="s">
        <v>7</v>
      </c>
      <c r="D107" s="11" t="s">
        <v>14</v>
      </c>
      <c r="E107" s="9">
        <v>9</v>
      </c>
      <c r="F107" s="7">
        <v>83916.34</v>
      </c>
      <c r="G107" s="7">
        <v>755247.06</v>
      </c>
    </row>
    <row r="108" spans="1:7" x14ac:dyDescent="0.3">
      <c r="A108" s="1">
        <v>101</v>
      </c>
      <c r="B108" s="15">
        <v>45781</v>
      </c>
      <c r="C108" s="11" t="s">
        <v>10</v>
      </c>
      <c r="D108" s="11" t="s">
        <v>34</v>
      </c>
      <c r="E108" s="9">
        <v>1</v>
      </c>
      <c r="F108" s="7">
        <v>1375.89</v>
      </c>
      <c r="G108" s="7">
        <v>1375.89</v>
      </c>
    </row>
    <row r="109" spans="1:7" x14ac:dyDescent="0.3">
      <c r="A109" s="1">
        <v>102</v>
      </c>
      <c r="B109" s="15">
        <v>45710</v>
      </c>
      <c r="C109" s="11" t="s">
        <v>10</v>
      </c>
      <c r="D109" s="11" t="s">
        <v>31</v>
      </c>
      <c r="E109" s="9">
        <v>9</v>
      </c>
      <c r="F109" s="7">
        <v>86266.62</v>
      </c>
      <c r="G109" s="7">
        <v>776399.58</v>
      </c>
    </row>
    <row r="110" spans="1:7" x14ac:dyDescent="0.3">
      <c r="A110" s="1">
        <v>103</v>
      </c>
      <c r="B110" s="15">
        <v>45802</v>
      </c>
      <c r="C110" s="11" t="s">
        <v>9</v>
      </c>
      <c r="D110" s="11" t="s">
        <v>17</v>
      </c>
      <c r="E110" s="9">
        <v>17</v>
      </c>
      <c r="F110" s="7">
        <v>18588.89</v>
      </c>
      <c r="G110" s="7">
        <v>316011.13</v>
      </c>
    </row>
    <row r="111" spans="1:7" x14ac:dyDescent="0.3">
      <c r="A111" s="1">
        <v>104</v>
      </c>
      <c r="B111" s="15">
        <v>45730</v>
      </c>
      <c r="C111" s="11" t="s">
        <v>7</v>
      </c>
      <c r="D111" s="11" t="s">
        <v>15</v>
      </c>
      <c r="E111" s="9">
        <v>3</v>
      </c>
      <c r="F111" s="7">
        <v>69998.039999999994</v>
      </c>
      <c r="G111" s="7">
        <v>209994.12</v>
      </c>
    </row>
    <row r="112" spans="1:7" x14ac:dyDescent="0.3">
      <c r="A112" s="1">
        <v>105</v>
      </c>
      <c r="B112" s="15">
        <v>45903</v>
      </c>
      <c r="C112" s="11" t="s">
        <v>9</v>
      </c>
      <c r="D112" s="11" t="s">
        <v>25</v>
      </c>
      <c r="E112" s="9">
        <v>7</v>
      </c>
      <c r="F112" s="7">
        <v>18738.5</v>
      </c>
      <c r="G112" s="7">
        <v>131169.5</v>
      </c>
    </row>
    <row r="113" spans="1:7" x14ac:dyDescent="0.3">
      <c r="A113" s="1">
        <v>106</v>
      </c>
      <c r="B113" s="15">
        <v>45738</v>
      </c>
      <c r="C113" s="11" t="s">
        <v>10</v>
      </c>
      <c r="D113" s="11" t="s">
        <v>26</v>
      </c>
      <c r="E113" s="9">
        <v>17</v>
      </c>
      <c r="F113" s="7">
        <v>31564.86</v>
      </c>
      <c r="G113" s="7">
        <v>536602.62</v>
      </c>
    </row>
    <row r="114" spans="1:7" x14ac:dyDescent="0.3">
      <c r="A114" s="1">
        <v>107</v>
      </c>
      <c r="B114" s="15">
        <v>45877</v>
      </c>
      <c r="C114" s="11" t="s">
        <v>8</v>
      </c>
      <c r="D114" s="11" t="s">
        <v>16</v>
      </c>
      <c r="E114" s="9">
        <v>7</v>
      </c>
      <c r="F114" s="7">
        <v>20611.64</v>
      </c>
      <c r="G114" s="7">
        <v>144281.48000000001</v>
      </c>
    </row>
    <row r="115" spans="1:7" x14ac:dyDescent="0.3">
      <c r="A115" s="1">
        <v>108</v>
      </c>
      <c r="B115" s="15">
        <v>45893</v>
      </c>
      <c r="C115" s="11" t="s">
        <v>9</v>
      </c>
      <c r="D115" s="11" t="s">
        <v>17</v>
      </c>
      <c r="E115" s="9">
        <v>18</v>
      </c>
      <c r="F115" s="7">
        <v>43003.38</v>
      </c>
      <c r="G115" s="7">
        <v>774060.84</v>
      </c>
    </row>
    <row r="116" spans="1:7" x14ac:dyDescent="0.3">
      <c r="A116" s="1">
        <v>109</v>
      </c>
      <c r="B116" s="15">
        <v>45765</v>
      </c>
      <c r="C116" s="11" t="s">
        <v>7</v>
      </c>
      <c r="D116" s="11" t="s">
        <v>12</v>
      </c>
      <c r="E116" s="9">
        <v>11</v>
      </c>
      <c r="F116" s="7">
        <v>93410.16</v>
      </c>
      <c r="G116" s="7">
        <v>1027511.76</v>
      </c>
    </row>
    <row r="117" spans="1:7" x14ac:dyDescent="0.3">
      <c r="A117" s="1">
        <v>110</v>
      </c>
      <c r="B117" s="15">
        <v>45843</v>
      </c>
      <c r="C117" s="11" t="s">
        <v>10</v>
      </c>
      <c r="D117" s="11" t="s">
        <v>34</v>
      </c>
      <c r="E117" s="9">
        <v>3</v>
      </c>
      <c r="F117" s="7">
        <v>26350.31</v>
      </c>
      <c r="G117" s="7">
        <v>79050.929999999993</v>
      </c>
    </row>
    <row r="118" spans="1:7" x14ac:dyDescent="0.3">
      <c r="A118" s="1">
        <v>111</v>
      </c>
      <c r="B118" s="15">
        <v>45902</v>
      </c>
      <c r="C118" s="11" t="s">
        <v>8</v>
      </c>
      <c r="D118" s="11" t="s">
        <v>29</v>
      </c>
      <c r="E118" s="9">
        <v>15</v>
      </c>
      <c r="F118" s="7">
        <v>42036</v>
      </c>
      <c r="G118" s="7">
        <v>630540</v>
      </c>
    </row>
    <row r="119" spans="1:7" x14ac:dyDescent="0.3">
      <c r="A119" s="1">
        <v>112</v>
      </c>
      <c r="B119" s="15">
        <v>45827</v>
      </c>
      <c r="C119" s="11" t="s">
        <v>6</v>
      </c>
      <c r="D119" s="11" t="s">
        <v>11</v>
      </c>
      <c r="E119" s="9">
        <v>9</v>
      </c>
      <c r="F119" s="7">
        <v>12155.31</v>
      </c>
      <c r="G119" s="7">
        <v>109397.79</v>
      </c>
    </row>
    <row r="120" spans="1:7" x14ac:dyDescent="0.3">
      <c r="A120" s="1">
        <v>113</v>
      </c>
      <c r="B120" s="15">
        <v>45915</v>
      </c>
      <c r="C120" s="11" t="s">
        <v>10</v>
      </c>
      <c r="D120" s="11" t="s">
        <v>26</v>
      </c>
      <c r="E120" s="9">
        <v>1</v>
      </c>
      <c r="F120" s="7">
        <v>73545.3</v>
      </c>
      <c r="G120" s="7">
        <v>73545.3</v>
      </c>
    </row>
    <row r="121" spans="1:7" x14ac:dyDescent="0.3">
      <c r="A121" s="1">
        <v>114</v>
      </c>
      <c r="B121" s="15">
        <v>45927</v>
      </c>
      <c r="C121" s="11" t="s">
        <v>9</v>
      </c>
      <c r="D121" s="11" t="s">
        <v>23</v>
      </c>
      <c r="E121" s="9">
        <v>2</v>
      </c>
      <c r="F121" s="7">
        <v>65437.34</v>
      </c>
      <c r="G121" s="7">
        <v>130874.68</v>
      </c>
    </row>
    <row r="122" spans="1:7" x14ac:dyDescent="0.3">
      <c r="A122" s="1">
        <v>115</v>
      </c>
      <c r="B122" s="15">
        <v>45786</v>
      </c>
      <c r="C122" s="11" t="s">
        <v>6</v>
      </c>
      <c r="D122" s="11" t="s">
        <v>30</v>
      </c>
      <c r="E122" s="9">
        <v>11</v>
      </c>
      <c r="F122" s="7">
        <v>29236.11</v>
      </c>
      <c r="G122" s="7">
        <v>321597.21000000002</v>
      </c>
    </row>
    <row r="123" spans="1:7" x14ac:dyDescent="0.3">
      <c r="A123" s="1">
        <v>116</v>
      </c>
      <c r="B123" s="15">
        <v>45751</v>
      </c>
      <c r="C123" s="11" t="s">
        <v>7</v>
      </c>
      <c r="D123" s="11" t="s">
        <v>14</v>
      </c>
      <c r="E123" s="9">
        <v>16</v>
      </c>
      <c r="F123" s="7">
        <v>77717.03</v>
      </c>
      <c r="G123" s="7">
        <v>1243472.48</v>
      </c>
    </row>
    <row r="124" spans="1:7" x14ac:dyDescent="0.3">
      <c r="A124" s="1">
        <v>117</v>
      </c>
      <c r="B124" s="15">
        <v>45928</v>
      </c>
      <c r="C124" s="11" t="s">
        <v>7</v>
      </c>
      <c r="D124" s="11" t="s">
        <v>14</v>
      </c>
      <c r="E124" s="9">
        <v>19</v>
      </c>
      <c r="F124" s="7">
        <v>98993.44</v>
      </c>
      <c r="G124" s="7">
        <v>1880875.36</v>
      </c>
    </row>
    <row r="125" spans="1:7" x14ac:dyDescent="0.3">
      <c r="A125" s="1">
        <v>118</v>
      </c>
      <c r="B125" s="15">
        <v>45892</v>
      </c>
      <c r="C125" s="11" t="s">
        <v>6</v>
      </c>
      <c r="D125" s="11" t="s">
        <v>11</v>
      </c>
      <c r="E125" s="9">
        <v>5</v>
      </c>
      <c r="F125" s="7">
        <v>60451.15</v>
      </c>
      <c r="G125" s="7">
        <v>302255.75</v>
      </c>
    </row>
    <row r="126" spans="1:7" x14ac:dyDescent="0.3">
      <c r="A126" s="1">
        <v>119</v>
      </c>
      <c r="B126" s="15">
        <v>45707</v>
      </c>
      <c r="C126" s="11" t="s">
        <v>9</v>
      </c>
      <c r="D126" s="11" t="s">
        <v>25</v>
      </c>
      <c r="E126" s="9">
        <v>6</v>
      </c>
      <c r="F126" s="7">
        <v>70122.73</v>
      </c>
      <c r="G126" s="7">
        <v>420736.38</v>
      </c>
    </row>
    <row r="127" spans="1:7" x14ac:dyDescent="0.3">
      <c r="A127" s="1">
        <v>120</v>
      </c>
      <c r="B127" s="15">
        <v>45877</v>
      </c>
      <c r="C127" s="11" t="s">
        <v>7</v>
      </c>
      <c r="D127" s="11" t="s">
        <v>12</v>
      </c>
      <c r="E127" s="9">
        <v>10</v>
      </c>
      <c r="F127" s="7">
        <v>47501.81</v>
      </c>
      <c r="G127" s="7">
        <v>475018.1</v>
      </c>
    </row>
    <row r="128" spans="1:7" x14ac:dyDescent="0.3">
      <c r="A128" s="1">
        <v>121</v>
      </c>
      <c r="B128" s="15">
        <v>45859</v>
      </c>
      <c r="C128" s="11" t="s">
        <v>7</v>
      </c>
      <c r="D128" s="11" t="s">
        <v>15</v>
      </c>
      <c r="E128" s="9">
        <v>6</v>
      </c>
      <c r="F128" s="7">
        <v>35873.550000000003</v>
      </c>
      <c r="G128" s="7">
        <v>215241.3</v>
      </c>
    </row>
    <row r="129" spans="1:7" x14ac:dyDescent="0.3">
      <c r="A129" s="1">
        <v>122</v>
      </c>
      <c r="B129" s="15">
        <v>45673</v>
      </c>
      <c r="C129" s="11" t="s">
        <v>9</v>
      </c>
      <c r="D129" s="11" t="s">
        <v>23</v>
      </c>
      <c r="E129" s="9">
        <v>16</v>
      </c>
      <c r="F129" s="7">
        <v>62912.28</v>
      </c>
      <c r="G129" s="7">
        <v>1006596.48</v>
      </c>
    </row>
    <row r="130" spans="1:7" x14ac:dyDescent="0.3">
      <c r="A130" s="1">
        <v>123</v>
      </c>
      <c r="B130" s="15">
        <v>45872</v>
      </c>
      <c r="C130" s="11" t="s">
        <v>9</v>
      </c>
      <c r="D130" s="11" t="s">
        <v>33</v>
      </c>
      <c r="E130" s="9">
        <v>8</v>
      </c>
      <c r="F130" s="7">
        <v>20243.98</v>
      </c>
      <c r="G130" s="7">
        <v>161951.84</v>
      </c>
    </row>
    <row r="131" spans="1:7" x14ac:dyDescent="0.3">
      <c r="A131" s="1">
        <v>124</v>
      </c>
      <c r="B131" s="15">
        <v>45739</v>
      </c>
      <c r="C131" s="11" t="s">
        <v>8</v>
      </c>
      <c r="D131" s="11" t="s">
        <v>16</v>
      </c>
      <c r="E131" s="9">
        <v>14</v>
      </c>
      <c r="F131" s="7">
        <v>58486.25</v>
      </c>
      <c r="G131" s="7">
        <v>818807.5</v>
      </c>
    </row>
    <row r="132" spans="1:7" x14ac:dyDescent="0.3">
      <c r="A132" s="1">
        <v>125</v>
      </c>
      <c r="B132" s="15">
        <v>45780</v>
      </c>
      <c r="C132" s="11" t="s">
        <v>9</v>
      </c>
      <c r="D132" s="11" t="s">
        <v>17</v>
      </c>
      <c r="E132" s="9">
        <v>11</v>
      </c>
      <c r="F132" s="7">
        <v>5649.77</v>
      </c>
      <c r="G132" s="7">
        <v>62147.47</v>
      </c>
    </row>
    <row r="133" spans="1:7" x14ac:dyDescent="0.3">
      <c r="A133" s="1">
        <v>126</v>
      </c>
      <c r="B133" s="15">
        <v>45891</v>
      </c>
      <c r="C133" s="11" t="s">
        <v>8</v>
      </c>
      <c r="D133" s="11" t="s">
        <v>20</v>
      </c>
      <c r="E133" s="9">
        <v>18</v>
      </c>
      <c r="F133" s="7">
        <v>38550.15</v>
      </c>
      <c r="G133" s="7">
        <v>693902.7</v>
      </c>
    </row>
    <row r="134" spans="1:7" x14ac:dyDescent="0.3">
      <c r="A134" s="1">
        <v>127</v>
      </c>
      <c r="B134" s="15">
        <v>45732</v>
      </c>
      <c r="C134" s="11" t="s">
        <v>6</v>
      </c>
      <c r="D134" s="11" t="s">
        <v>11</v>
      </c>
      <c r="E134" s="9">
        <v>12</v>
      </c>
      <c r="F134" s="7">
        <v>38396.300000000003</v>
      </c>
      <c r="G134" s="7">
        <v>460755.6</v>
      </c>
    </row>
    <row r="135" spans="1:7" x14ac:dyDescent="0.3">
      <c r="A135" s="1">
        <v>128</v>
      </c>
      <c r="B135" s="15">
        <v>45849</v>
      </c>
      <c r="C135" s="11" t="s">
        <v>8</v>
      </c>
      <c r="D135" s="11" t="s">
        <v>16</v>
      </c>
      <c r="E135" s="9">
        <v>14</v>
      </c>
      <c r="F135" s="7">
        <v>96426.95</v>
      </c>
      <c r="G135" s="7">
        <v>1349977.3</v>
      </c>
    </row>
    <row r="136" spans="1:7" x14ac:dyDescent="0.3">
      <c r="A136" s="1">
        <v>129</v>
      </c>
      <c r="B136" s="15">
        <v>45842</v>
      </c>
      <c r="C136" s="11" t="s">
        <v>8</v>
      </c>
      <c r="D136" s="11" t="s">
        <v>16</v>
      </c>
      <c r="E136" s="9">
        <v>5</v>
      </c>
      <c r="F136" s="7">
        <v>83716.06</v>
      </c>
      <c r="G136" s="7">
        <v>418580.3</v>
      </c>
    </row>
    <row r="137" spans="1:7" x14ac:dyDescent="0.3">
      <c r="A137" s="1">
        <v>130</v>
      </c>
      <c r="B137" s="15">
        <v>45877</v>
      </c>
      <c r="C137" s="11" t="s">
        <v>10</v>
      </c>
      <c r="D137" s="11" t="s">
        <v>26</v>
      </c>
      <c r="E137" s="9">
        <v>18</v>
      </c>
      <c r="F137" s="7">
        <v>69065.240000000005</v>
      </c>
      <c r="G137" s="7">
        <v>1243174.32</v>
      </c>
    </row>
    <row r="138" spans="1:7" x14ac:dyDescent="0.3">
      <c r="A138" s="1">
        <v>131</v>
      </c>
      <c r="B138" s="15">
        <v>45834</v>
      </c>
      <c r="C138" s="11" t="s">
        <v>8</v>
      </c>
      <c r="D138" s="11" t="s">
        <v>20</v>
      </c>
      <c r="E138" s="9">
        <v>7</v>
      </c>
      <c r="F138" s="7">
        <v>2576.31</v>
      </c>
      <c r="G138" s="7">
        <v>18034.169999999998</v>
      </c>
    </row>
    <row r="139" spans="1:7" x14ac:dyDescent="0.3">
      <c r="A139" s="1">
        <v>132</v>
      </c>
      <c r="B139" s="15">
        <v>45916</v>
      </c>
      <c r="C139" s="11" t="s">
        <v>6</v>
      </c>
      <c r="D139" s="11" t="s">
        <v>35</v>
      </c>
      <c r="E139" s="9">
        <v>4</v>
      </c>
      <c r="F139" s="7">
        <v>36686.379999999997</v>
      </c>
      <c r="G139" s="7">
        <v>146745.51999999999</v>
      </c>
    </row>
    <row r="140" spans="1:7" x14ac:dyDescent="0.3">
      <c r="A140" s="1">
        <v>133</v>
      </c>
      <c r="B140" s="15">
        <v>45729</v>
      </c>
      <c r="C140" s="11" t="s">
        <v>6</v>
      </c>
      <c r="D140" s="11" t="s">
        <v>35</v>
      </c>
      <c r="E140" s="9">
        <v>5</v>
      </c>
      <c r="F140" s="7">
        <v>7147.92</v>
      </c>
      <c r="G140" s="7">
        <v>35739.599999999999</v>
      </c>
    </row>
    <row r="141" spans="1:7" x14ac:dyDescent="0.3">
      <c r="A141" s="1">
        <v>134</v>
      </c>
      <c r="B141" s="15">
        <v>45732</v>
      </c>
      <c r="C141" s="11" t="s">
        <v>7</v>
      </c>
      <c r="D141" s="11" t="s">
        <v>15</v>
      </c>
      <c r="E141" s="9">
        <v>14</v>
      </c>
      <c r="F141" s="7">
        <v>32250.27</v>
      </c>
      <c r="G141" s="7">
        <v>451503.78</v>
      </c>
    </row>
    <row r="142" spans="1:7" x14ac:dyDescent="0.3">
      <c r="A142" s="1">
        <v>135</v>
      </c>
      <c r="B142" s="15">
        <v>45778</v>
      </c>
      <c r="C142" s="11" t="s">
        <v>9</v>
      </c>
      <c r="D142" s="11" t="s">
        <v>17</v>
      </c>
      <c r="E142" s="9">
        <v>12</v>
      </c>
      <c r="F142" s="7">
        <v>5947.92</v>
      </c>
      <c r="G142" s="7">
        <v>71375.039999999994</v>
      </c>
    </row>
    <row r="143" spans="1:7" x14ac:dyDescent="0.3">
      <c r="A143" s="1">
        <v>136</v>
      </c>
      <c r="B143" s="15">
        <v>45859</v>
      </c>
      <c r="C143" s="11" t="s">
        <v>10</v>
      </c>
      <c r="D143" s="11" t="s">
        <v>27</v>
      </c>
      <c r="E143" s="9">
        <v>2</v>
      </c>
      <c r="F143" s="7">
        <v>86539.04</v>
      </c>
      <c r="G143" s="7">
        <v>173078.08</v>
      </c>
    </row>
    <row r="144" spans="1:7" x14ac:dyDescent="0.3">
      <c r="A144" s="1">
        <v>137</v>
      </c>
      <c r="B144" s="15">
        <v>45749</v>
      </c>
      <c r="C144" s="11" t="s">
        <v>6</v>
      </c>
      <c r="D144" s="11" t="s">
        <v>35</v>
      </c>
      <c r="E144" s="9">
        <v>16</v>
      </c>
      <c r="F144" s="7">
        <v>28552.93</v>
      </c>
      <c r="G144" s="7">
        <v>456846.88</v>
      </c>
    </row>
    <row r="145" spans="1:7" x14ac:dyDescent="0.3">
      <c r="A145" s="1">
        <v>138</v>
      </c>
      <c r="B145" s="15">
        <v>45909</v>
      </c>
      <c r="C145" s="11" t="s">
        <v>6</v>
      </c>
      <c r="D145" s="11" t="s">
        <v>35</v>
      </c>
      <c r="E145" s="9">
        <v>19</v>
      </c>
      <c r="F145" s="7">
        <v>49708.38</v>
      </c>
      <c r="G145" s="7">
        <v>944459.22</v>
      </c>
    </row>
    <row r="146" spans="1:7" x14ac:dyDescent="0.3">
      <c r="A146" s="1">
        <v>139</v>
      </c>
      <c r="B146" s="15">
        <v>45875</v>
      </c>
      <c r="C146" s="11" t="s">
        <v>7</v>
      </c>
      <c r="D146" s="11" t="s">
        <v>14</v>
      </c>
      <c r="E146" s="9">
        <v>17</v>
      </c>
      <c r="F146" s="7">
        <v>43988.54</v>
      </c>
      <c r="G146" s="7">
        <v>747805.18</v>
      </c>
    </row>
    <row r="147" spans="1:7" x14ac:dyDescent="0.3">
      <c r="A147" s="1">
        <v>140</v>
      </c>
      <c r="B147" s="15">
        <v>45669</v>
      </c>
      <c r="C147" s="11" t="s">
        <v>8</v>
      </c>
      <c r="D147" s="11" t="s">
        <v>18</v>
      </c>
      <c r="E147" s="9">
        <v>10</v>
      </c>
      <c r="F147" s="7">
        <v>19795.46</v>
      </c>
      <c r="G147" s="7">
        <v>197954.6</v>
      </c>
    </row>
    <row r="148" spans="1:7" x14ac:dyDescent="0.3">
      <c r="A148" s="1">
        <v>141</v>
      </c>
      <c r="B148" s="15">
        <v>45705</v>
      </c>
      <c r="C148" s="11" t="s">
        <v>9</v>
      </c>
      <c r="D148" s="11" t="s">
        <v>23</v>
      </c>
      <c r="E148" s="9">
        <v>9</v>
      </c>
      <c r="F148" s="7">
        <v>35832.959999999999</v>
      </c>
      <c r="G148" s="7">
        <v>322496.64000000001</v>
      </c>
    </row>
    <row r="149" spans="1:7" x14ac:dyDescent="0.3">
      <c r="A149" s="1">
        <v>142</v>
      </c>
      <c r="B149" s="15">
        <v>45810</v>
      </c>
      <c r="C149" s="11" t="s">
        <v>8</v>
      </c>
      <c r="D149" s="11" t="s">
        <v>29</v>
      </c>
      <c r="E149" s="9">
        <v>12</v>
      </c>
      <c r="F149" s="7">
        <v>29118.2</v>
      </c>
      <c r="G149" s="7">
        <v>349418.4</v>
      </c>
    </row>
    <row r="150" spans="1:7" x14ac:dyDescent="0.3">
      <c r="A150" s="1">
        <v>143</v>
      </c>
      <c r="B150" s="15">
        <v>45764</v>
      </c>
      <c r="C150" s="11" t="s">
        <v>9</v>
      </c>
      <c r="D150" s="11" t="s">
        <v>33</v>
      </c>
      <c r="E150" s="9">
        <v>3</v>
      </c>
      <c r="F150" s="7">
        <v>63433.36</v>
      </c>
      <c r="G150" s="7">
        <v>190300.08</v>
      </c>
    </row>
    <row r="151" spans="1:7" x14ac:dyDescent="0.3">
      <c r="A151" s="1">
        <v>144</v>
      </c>
      <c r="B151" s="15">
        <v>45798</v>
      </c>
      <c r="C151" s="11" t="s">
        <v>7</v>
      </c>
      <c r="D151" s="11" t="s">
        <v>19</v>
      </c>
      <c r="E151" s="9">
        <v>16</v>
      </c>
      <c r="F151" s="7">
        <v>83793.710000000006</v>
      </c>
      <c r="G151" s="7">
        <v>1340699.3600000001</v>
      </c>
    </row>
    <row r="152" spans="1:7" x14ac:dyDescent="0.3">
      <c r="A152" s="1">
        <v>145</v>
      </c>
      <c r="B152" s="15">
        <v>45878</v>
      </c>
      <c r="C152" s="11" t="s">
        <v>10</v>
      </c>
      <c r="D152" s="11" t="s">
        <v>31</v>
      </c>
      <c r="E152" s="9">
        <v>3</v>
      </c>
      <c r="F152" s="7">
        <v>70205.5</v>
      </c>
      <c r="G152" s="7">
        <v>210616.5</v>
      </c>
    </row>
    <row r="153" spans="1:7" x14ac:dyDescent="0.3">
      <c r="A153" s="1">
        <v>146</v>
      </c>
      <c r="B153" s="15">
        <v>45667</v>
      </c>
      <c r="C153" s="11" t="s">
        <v>9</v>
      </c>
      <c r="D153" s="11" t="s">
        <v>17</v>
      </c>
      <c r="E153" s="9">
        <v>18</v>
      </c>
      <c r="F153" s="7">
        <v>75990.23</v>
      </c>
      <c r="G153" s="7">
        <v>1367824.14</v>
      </c>
    </row>
    <row r="154" spans="1:7" x14ac:dyDescent="0.3">
      <c r="A154" s="1">
        <v>147</v>
      </c>
      <c r="B154" s="15">
        <v>45883</v>
      </c>
      <c r="C154" s="11" t="s">
        <v>7</v>
      </c>
      <c r="D154" s="11" t="s">
        <v>14</v>
      </c>
      <c r="E154" s="9">
        <v>14</v>
      </c>
      <c r="F154" s="7">
        <v>17749.11</v>
      </c>
      <c r="G154" s="7">
        <v>248487.54</v>
      </c>
    </row>
    <row r="155" spans="1:7" x14ac:dyDescent="0.3">
      <c r="A155" s="1">
        <v>148</v>
      </c>
      <c r="B155" s="15">
        <v>45741</v>
      </c>
      <c r="C155" s="11" t="s">
        <v>8</v>
      </c>
      <c r="D155" s="11" t="s">
        <v>18</v>
      </c>
      <c r="E155" s="9">
        <v>9</v>
      </c>
      <c r="F155" s="7">
        <v>86841.67</v>
      </c>
      <c r="G155" s="7">
        <v>781575.03</v>
      </c>
    </row>
    <row r="156" spans="1:7" x14ac:dyDescent="0.3">
      <c r="A156" s="1">
        <v>149</v>
      </c>
      <c r="B156" s="15">
        <v>45880</v>
      </c>
      <c r="C156" s="11" t="s">
        <v>9</v>
      </c>
      <c r="D156" s="11" t="s">
        <v>23</v>
      </c>
      <c r="E156" s="9">
        <v>5</v>
      </c>
      <c r="F156" s="7">
        <v>1223.68</v>
      </c>
      <c r="G156" s="7">
        <v>6118.4</v>
      </c>
    </row>
    <row r="157" spans="1:7" x14ac:dyDescent="0.3">
      <c r="A157" s="1">
        <v>150</v>
      </c>
      <c r="B157" s="15">
        <v>45832</v>
      </c>
      <c r="C157" s="11" t="s">
        <v>8</v>
      </c>
      <c r="D157" s="11" t="s">
        <v>20</v>
      </c>
      <c r="E157" s="9">
        <v>3</v>
      </c>
      <c r="F157" s="7">
        <v>31587.77</v>
      </c>
      <c r="G157" s="7">
        <v>94763.31</v>
      </c>
    </row>
    <row r="158" spans="1:7" x14ac:dyDescent="0.3">
      <c r="A158" s="1">
        <v>151</v>
      </c>
      <c r="B158" s="15">
        <v>45674</v>
      </c>
      <c r="C158" s="11" t="s">
        <v>10</v>
      </c>
      <c r="D158" s="11" t="s">
        <v>27</v>
      </c>
      <c r="E158" s="9">
        <v>19</v>
      </c>
      <c r="F158" s="7">
        <v>41181.82</v>
      </c>
      <c r="G158" s="7">
        <v>782454.58</v>
      </c>
    </row>
    <row r="159" spans="1:7" x14ac:dyDescent="0.3">
      <c r="A159" s="1">
        <v>152</v>
      </c>
      <c r="B159" s="15">
        <v>45827</v>
      </c>
      <c r="C159" s="11" t="s">
        <v>6</v>
      </c>
      <c r="D159" s="11" t="s">
        <v>30</v>
      </c>
      <c r="E159" s="9">
        <v>7</v>
      </c>
      <c r="F159" s="7">
        <v>81570.649999999994</v>
      </c>
      <c r="G159" s="7">
        <v>570994.55000000005</v>
      </c>
    </row>
    <row r="160" spans="1:7" x14ac:dyDescent="0.3">
      <c r="A160" s="1">
        <v>153</v>
      </c>
      <c r="B160" s="15">
        <v>45706</v>
      </c>
      <c r="C160" s="11" t="s">
        <v>10</v>
      </c>
      <c r="D160" s="11" t="s">
        <v>26</v>
      </c>
      <c r="E160" s="9">
        <v>12</v>
      </c>
      <c r="F160" s="7">
        <v>55960.73</v>
      </c>
      <c r="G160" s="7">
        <v>671528.76</v>
      </c>
    </row>
    <row r="161" spans="1:7" x14ac:dyDescent="0.3">
      <c r="A161" s="1">
        <v>154</v>
      </c>
      <c r="B161" s="15">
        <v>45847</v>
      </c>
      <c r="C161" s="11" t="s">
        <v>7</v>
      </c>
      <c r="D161" s="11" t="s">
        <v>13</v>
      </c>
      <c r="E161" s="9">
        <v>12</v>
      </c>
      <c r="F161" s="7">
        <v>64714.74</v>
      </c>
      <c r="G161" s="7">
        <v>776576.88</v>
      </c>
    </row>
    <row r="162" spans="1:7" x14ac:dyDescent="0.3">
      <c r="A162" s="1">
        <v>155</v>
      </c>
      <c r="B162" s="15">
        <v>45818</v>
      </c>
      <c r="C162" s="11" t="s">
        <v>6</v>
      </c>
      <c r="D162" s="11" t="s">
        <v>11</v>
      </c>
      <c r="E162" s="9">
        <v>6</v>
      </c>
      <c r="F162" s="7">
        <v>76113.98</v>
      </c>
      <c r="G162" s="7">
        <v>456683.88</v>
      </c>
    </row>
    <row r="163" spans="1:7" x14ac:dyDescent="0.3">
      <c r="A163" s="1">
        <v>156</v>
      </c>
      <c r="B163" s="15">
        <v>45662</v>
      </c>
      <c r="C163" s="11" t="s">
        <v>8</v>
      </c>
      <c r="D163" s="11" t="s">
        <v>29</v>
      </c>
      <c r="E163" s="9">
        <v>13</v>
      </c>
      <c r="F163" s="7">
        <v>58780.23</v>
      </c>
      <c r="G163" s="7">
        <v>764142.99</v>
      </c>
    </row>
    <row r="164" spans="1:7" x14ac:dyDescent="0.3">
      <c r="A164" s="1">
        <v>157</v>
      </c>
      <c r="B164" s="15">
        <v>45926</v>
      </c>
      <c r="C164" s="11" t="s">
        <v>6</v>
      </c>
      <c r="D164" s="11" t="s">
        <v>30</v>
      </c>
      <c r="E164" s="9">
        <v>12</v>
      </c>
      <c r="F164" s="7">
        <v>48853.95</v>
      </c>
      <c r="G164" s="7">
        <v>586247.4</v>
      </c>
    </row>
    <row r="165" spans="1:7" x14ac:dyDescent="0.3">
      <c r="A165" s="1">
        <v>158</v>
      </c>
      <c r="B165" s="15">
        <v>45798</v>
      </c>
      <c r="C165" s="11" t="s">
        <v>9</v>
      </c>
      <c r="D165" s="11" t="s">
        <v>17</v>
      </c>
      <c r="E165" s="9">
        <v>8</v>
      </c>
      <c r="F165" s="7">
        <v>6023.73</v>
      </c>
      <c r="G165" s="7">
        <v>48189.84</v>
      </c>
    </row>
    <row r="166" spans="1:7" x14ac:dyDescent="0.3">
      <c r="A166" s="1">
        <v>159</v>
      </c>
      <c r="B166" s="15">
        <v>45810</v>
      </c>
      <c r="C166" s="11" t="s">
        <v>10</v>
      </c>
      <c r="D166" s="11" t="s">
        <v>34</v>
      </c>
      <c r="E166" s="9">
        <v>17</v>
      </c>
      <c r="F166" s="7">
        <v>71424.679999999993</v>
      </c>
      <c r="G166" s="7">
        <v>1214219.56</v>
      </c>
    </row>
    <row r="167" spans="1:7" x14ac:dyDescent="0.3">
      <c r="A167" s="1">
        <v>160</v>
      </c>
      <c r="B167" s="15">
        <v>45788</v>
      </c>
      <c r="C167" s="11" t="s">
        <v>7</v>
      </c>
      <c r="D167" s="11" t="s">
        <v>12</v>
      </c>
      <c r="E167" s="9">
        <v>12</v>
      </c>
      <c r="F167" s="7">
        <v>2211.31</v>
      </c>
      <c r="G167" s="7">
        <v>26535.72</v>
      </c>
    </row>
    <row r="168" spans="1:7" x14ac:dyDescent="0.3">
      <c r="A168" s="1">
        <v>161</v>
      </c>
      <c r="B168" s="15">
        <v>45728</v>
      </c>
      <c r="C168" s="11" t="s">
        <v>10</v>
      </c>
      <c r="D168" s="11" t="s">
        <v>34</v>
      </c>
      <c r="E168" s="9">
        <v>18</v>
      </c>
      <c r="F168" s="7">
        <v>99450.41</v>
      </c>
      <c r="G168" s="7">
        <v>1790107.38</v>
      </c>
    </row>
    <row r="169" spans="1:7" x14ac:dyDescent="0.3">
      <c r="A169" s="1">
        <v>162</v>
      </c>
      <c r="B169" s="15">
        <v>45814</v>
      </c>
      <c r="C169" s="11" t="s">
        <v>7</v>
      </c>
      <c r="D169" s="11" t="s">
        <v>12</v>
      </c>
      <c r="E169" s="9">
        <v>15</v>
      </c>
      <c r="F169" s="7">
        <v>20777.57</v>
      </c>
      <c r="G169" s="7">
        <v>311663.55</v>
      </c>
    </row>
    <row r="170" spans="1:7" x14ac:dyDescent="0.3">
      <c r="A170" s="1">
        <v>163</v>
      </c>
      <c r="B170" s="15">
        <v>45684</v>
      </c>
      <c r="C170" s="11" t="s">
        <v>10</v>
      </c>
      <c r="D170" s="11" t="s">
        <v>26</v>
      </c>
      <c r="E170" s="9">
        <v>8</v>
      </c>
      <c r="F170" s="7">
        <v>44130.63</v>
      </c>
      <c r="G170" s="7">
        <v>353045.04</v>
      </c>
    </row>
    <row r="171" spans="1:7" x14ac:dyDescent="0.3">
      <c r="A171" s="1">
        <v>164</v>
      </c>
      <c r="B171" s="15">
        <v>45670</v>
      </c>
      <c r="C171" s="11" t="s">
        <v>7</v>
      </c>
      <c r="D171" s="11" t="s">
        <v>13</v>
      </c>
      <c r="E171" s="9">
        <v>6</v>
      </c>
      <c r="F171" s="7">
        <v>42668.69</v>
      </c>
      <c r="G171" s="7">
        <v>256012.14</v>
      </c>
    </row>
    <row r="172" spans="1:7" x14ac:dyDescent="0.3">
      <c r="A172" s="1">
        <v>165</v>
      </c>
      <c r="B172" s="15">
        <v>45753</v>
      </c>
      <c r="C172" s="11" t="s">
        <v>8</v>
      </c>
      <c r="D172" s="11" t="s">
        <v>29</v>
      </c>
      <c r="E172" s="9">
        <v>3</v>
      </c>
      <c r="F172" s="7">
        <v>98866.78</v>
      </c>
      <c r="G172" s="7">
        <v>296600.34000000003</v>
      </c>
    </row>
    <row r="173" spans="1:7" x14ac:dyDescent="0.3">
      <c r="A173" s="1">
        <v>166</v>
      </c>
      <c r="B173" s="15">
        <v>45793</v>
      </c>
      <c r="C173" s="11" t="s">
        <v>7</v>
      </c>
      <c r="D173" s="11" t="s">
        <v>19</v>
      </c>
      <c r="E173" s="9">
        <v>18</v>
      </c>
      <c r="F173" s="7">
        <v>80608.509999999995</v>
      </c>
      <c r="G173" s="7">
        <v>1450953.18</v>
      </c>
    </row>
    <row r="174" spans="1:7" x14ac:dyDescent="0.3">
      <c r="A174" s="1">
        <v>167</v>
      </c>
      <c r="B174" s="15">
        <v>45735</v>
      </c>
      <c r="C174" s="11" t="s">
        <v>9</v>
      </c>
      <c r="D174" s="11" t="s">
        <v>32</v>
      </c>
      <c r="E174" s="9">
        <v>13</v>
      </c>
      <c r="F174" s="7">
        <v>85795.08</v>
      </c>
      <c r="G174" s="7">
        <v>1115336.04</v>
      </c>
    </row>
    <row r="175" spans="1:7" x14ac:dyDescent="0.3">
      <c r="A175" s="1">
        <v>168</v>
      </c>
      <c r="B175" s="15">
        <v>45821</v>
      </c>
      <c r="C175" s="11" t="s">
        <v>9</v>
      </c>
      <c r="D175" s="11" t="s">
        <v>23</v>
      </c>
      <c r="E175" s="9">
        <v>17</v>
      </c>
      <c r="F175" s="7">
        <v>84263.51</v>
      </c>
      <c r="G175" s="7">
        <v>1432479.67</v>
      </c>
    </row>
    <row r="176" spans="1:7" x14ac:dyDescent="0.3">
      <c r="A176" s="1">
        <v>169</v>
      </c>
      <c r="B176" s="15">
        <v>45664</v>
      </c>
      <c r="C176" s="11" t="s">
        <v>8</v>
      </c>
      <c r="D176" s="11" t="s">
        <v>16</v>
      </c>
      <c r="E176" s="9">
        <v>13</v>
      </c>
      <c r="F176" s="7">
        <v>54761.3</v>
      </c>
      <c r="G176" s="7">
        <v>711896.9</v>
      </c>
    </row>
    <row r="177" spans="1:7" x14ac:dyDescent="0.3">
      <c r="A177" s="1">
        <v>170</v>
      </c>
      <c r="B177" s="15">
        <v>45710</v>
      </c>
      <c r="C177" s="11" t="s">
        <v>6</v>
      </c>
      <c r="D177" s="11" t="s">
        <v>21</v>
      </c>
      <c r="E177" s="9">
        <v>1</v>
      </c>
      <c r="F177" s="7">
        <v>83119.149999999994</v>
      </c>
      <c r="G177" s="7">
        <v>83119.149999999994</v>
      </c>
    </row>
    <row r="178" spans="1:7" x14ac:dyDescent="0.3">
      <c r="A178" s="1">
        <v>171</v>
      </c>
      <c r="B178" s="15">
        <v>45906</v>
      </c>
      <c r="C178" s="11" t="s">
        <v>7</v>
      </c>
      <c r="D178" s="11" t="s">
        <v>12</v>
      </c>
      <c r="E178" s="9">
        <v>15</v>
      </c>
      <c r="F178" s="7">
        <v>58925.93</v>
      </c>
      <c r="G178" s="7">
        <v>883888.95</v>
      </c>
    </row>
    <row r="179" spans="1:7" x14ac:dyDescent="0.3">
      <c r="A179" s="1">
        <v>172</v>
      </c>
      <c r="B179" s="15">
        <v>45871</v>
      </c>
      <c r="C179" s="11" t="s">
        <v>6</v>
      </c>
      <c r="D179" s="11" t="s">
        <v>11</v>
      </c>
      <c r="E179" s="9">
        <v>18</v>
      </c>
      <c r="F179" s="7">
        <v>76046.34</v>
      </c>
      <c r="G179" s="7">
        <v>1368834.12</v>
      </c>
    </row>
    <row r="180" spans="1:7" x14ac:dyDescent="0.3">
      <c r="A180" s="1">
        <v>173</v>
      </c>
      <c r="B180" s="15">
        <v>45923</v>
      </c>
      <c r="C180" s="11" t="s">
        <v>6</v>
      </c>
      <c r="D180" s="11" t="s">
        <v>37</v>
      </c>
      <c r="E180" s="9">
        <v>1</v>
      </c>
      <c r="F180" s="7">
        <v>81566.53</v>
      </c>
      <c r="G180" s="7">
        <v>81566.53</v>
      </c>
    </row>
    <row r="181" spans="1:7" x14ac:dyDescent="0.3">
      <c r="A181" s="1">
        <v>174</v>
      </c>
      <c r="B181" s="15">
        <v>45860</v>
      </c>
      <c r="C181" s="11" t="s">
        <v>8</v>
      </c>
      <c r="D181" s="11" t="s">
        <v>28</v>
      </c>
      <c r="E181" s="9">
        <v>14</v>
      </c>
      <c r="F181" s="7">
        <v>61718.81</v>
      </c>
      <c r="G181" s="7">
        <v>864063.34</v>
      </c>
    </row>
    <row r="182" spans="1:7" x14ac:dyDescent="0.3">
      <c r="A182" s="1">
        <v>175</v>
      </c>
      <c r="B182" s="15">
        <v>45699</v>
      </c>
      <c r="C182" s="11" t="s">
        <v>6</v>
      </c>
      <c r="D182" s="11" t="s">
        <v>22</v>
      </c>
      <c r="E182" s="9">
        <v>3</v>
      </c>
      <c r="F182" s="7">
        <v>41773.29</v>
      </c>
      <c r="G182" s="7">
        <v>125319.87</v>
      </c>
    </row>
    <row r="183" spans="1:7" x14ac:dyDescent="0.3">
      <c r="A183" s="1">
        <v>176</v>
      </c>
      <c r="B183" s="15">
        <v>45789</v>
      </c>
      <c r="C183" s="11" t="s">
        <v>8</v>
      </c>
      <c r="D183" s="11" t="s">
        <v>18</v>
      </c>
      <c r="E183" s="9">
        <v>1</v>
      </c>
      <c r="F183" s="7">
        <v>2196.11</v>
      </c>
      <c r="G183" s="7">
        <v>2196.11</v>
      </c>
    </row>
    <row r="184" spans="1:7" x14ac:dyDescent="0.3">
      <c r="A184" s="1">
        <v>177</v>
      </c>
      <c r="B184" s="15">
        <v>45797</v>
      </c>
      <c r="C184" s="11" t="s">
        <v>10</v>
      </c>
      <c r="D184" s="11" t="s">
        <v>34</v>
      </c>
      <c r="E184" s="9">
        <v>10</v>
      </c>
      <c r="F184" s="7">
        <v>85941.28</v>
      </c>
      <c r="G184" s="7">
        <v>859412.8</v>
      </c>
    </row>
    <row r="185" spans="1:7" x14ac:dyDescent="0.3">
      <c r="A185" s="1">
        <v>178</v>
      </c>
      <c r="B185" s="15">
        <v>45914</v>
      </c>
      <c r="C185" s="11" t="s">
        <v>10</v>
      </c>
      <c r="D185" s="11" t="s">
        <v>24</v>
      </c>
      <c r="E185" s="9">
        <v>11</v>
      </c>
      <c r="F185" s="7">
        <v>69295.34</v>
      </c>
      <c r="G185" s="7">
        <v>762248.74</v>
      </c>
    </row>
    <row r="186" spans="1:7" x14ac:dyDescent="0.3">
      <c r="A186" s="1">
        <v>179</v>
      </c>
      <c r="B186" s="15">
        <v>45793</v>
      </c>
      <c r="C186" s="11" t="s">
        <v>6</v>
      </c>
      <c r="D186" s="11" t="s">
        <v>11</v>
      </c>
      <c r="E186" s="9">
        <v>18</v>
      </c>
      <c r="F186" s="7">
        <v>93929.27</v>
      </c>
      <c r="G186" s="7">
        <v>1690726.86</v>
      </c>
    </row>
    <row r="187" spans="1:7" x14ac:dyDescent="0.3">
      <c r="A187" s="1">
        <v>180</v>
      </c>
      <c r="B187" s="15">
        <v>45680</v>
      </c>
      <c r="C187" s="11" t="s">
        <v>7</v>
      </c>
      <c r="D187" s="11" t="s">
        <v>19</v>
      </c>
      <c r="E187" s="9">
        <v>17</v>
      </c>
      <c r="F187" s="7">
        <v>41616.97</v>
      </c>
      <c r="G187" s="7">
        <v>707488.49</v>
      </c>
    </row>
    <row r="188" spans="1:7" x14ac:dyDescent="0.3">
      <c r="A188" s="1">
        <v>181</v>
      </c>
      <c r="B188" s="15">
        <v>45704</v>
      </c>
      <c r="C188" s="11" t="s">
        <v>8</v>
      </c>
      <c r="D188" s="11" t="s">
        <v>28</v>
      </c>
      <c r="E188" s="9">
        <v>18</v>
      </c>
      <c r="F188" s="7">
        <v>50177.37</v>
      </c>
      <c r="G188" s="7">
        <v>903192.66</v>
      </c>
    </row>
    <row r="189" spans="1:7" x14ac:dyDescent="0.3">
      <c r="A189" s="1">
        <v>182</v>
      </c>
      <c r="B189" s="15">
        <v>45877</v>
      </c>
      <c r="C189" s="11" t="s">
        <v>6</v>
      </c>
      <c r="D189" s="11" t="s">
        <v>22</v>
      </c>
      <c r="E189" s="9">
        <v>9</v>
      </c>
      <c r="F189" s="7">
        <v>95143.23</v>
      </c>
      <c r="G189" s="7">
        <v>856289.07</v>
      </c>
    </row>
    <row r="190" spans="1:7" x14ac:dyDescent="0.3">
      <c r="A190" s="1">
        <v>183</v>
      </c>
      <c r="B190" s="15">
        <v>45714</v>
      </c>
      <c r="C190" s="11" t="s">
        <v>7</v>
      </c>
      <c r="D190" s="11" t="s">
        <v>15</v>
      </c>
      <c r="E190" s="9">
        <v>18</v>
      </c>
      <c r="F190" s="7">
        <v>6252.24</v>
      </c>
      <c r="G190" s="7">
        <v>112540.32</v>
      </c>
    </row>
    <row r="191" spans="1:7" x14ac:dyDescent="0.3">
      <c r="A191" s="1">
        <v>184</v>
      </c>
      <c r="B191" s="15">
        <v>45824</v>
      </c>
      <c r="C191" s="11" t="s">
        <v>6</v>
      </c>
      <c r="D191" s="11" t="s">
        <v>37</v>
      </c>
      <c r="E191" s="9">
        <v>12</v>
      </c>
      <c r="F191" s="7">
        <v>63431.29</v>
      </c>
      <c r="G191" s="7">
        <v>761175.48</v>
      </c>
    </row>
    <row r="192" spans="1:7" x14ac:dyDescent="0.3">
      <c r="A192" s="1">
        <v>185</v>
      </c>
      <c r="B192" s="15">
        <v>45793</v>
      </c>
      <c r="C192" s="11" t="s">
        <v>7</v>
      </c>
      <c r="D192" s="11" t="s">
        <v>13</v>
      </c>
      <c r="E192" s="9">
        <v>18</v>
      </c>
      <c r="F192" s="7">
        <v>62758.45</v>
      </c>
      <c r="G192" s="7">
        <v>1129652.1000000001</v>
      </c>
    </row>
    <row r="193" spans="1:7" x14ac:dyDescent="0.3">
      <c r="A193" s="1">
        <v>186</v>
      </c>
      <c r="B193" s="15">
        <v>45690</v>
      </c>
      <c r="C193" s="11" t="s">
        <v>7</v>
      </c>
      <c r="D193" s="11" t="s">
        <v>19</v>
      </c>
      <c r="E193" s="9">
        <v>15</v>
      </c>
      <c r="F193" s="7">
        <v>4619.1499999999996</v>
      </c>
      <c r="G193" s="7">
        <v>69287.25</v>
      </c>
    </row>
    <row r="194" spans="1:7" x14ac:dyDescent="0.3">
      <c r="A194" s="1">
        <v>187</v>
      </c>
      <c r="B194" s="15">
        <v>45714</v>
      </c>
      <c r="C194" s="11" t="s">
        <v>10</v>
      </c>
      <c r="D194" s="11" t="s">
        <v>24</v>
      </c>
      <c r="E194" s="9">
        <v>17</v>
      </c>
      <c r="F194" s="7">
        <v>83093.38</v>
      </c>
      <c r="G194" s="7">
        <v>1412587.46</v>
      </c>
    </row>
    <row r="195" spans="1:7" x14ac:dyDescent="0.3">
      <c r="A195" s="1">
        <v>188</v>
      </c>
      <c r="B195" s="15">
        <v>45667</v>
      </c>
      <c r="C195" s="11" t="s">
        <v>6</v>
      </c>
      <c r="D195" s="11" t="s">
        <v>36</v>
      </c>
      <c r="E195" s="9">
        <v>9</v>
      </c>
      <c r="F195" s="7">
        <v>98266.57</v>
      </c>
      <c r="G195" s="7">
        <v>884399.13</v>
      </c>
    </row>
    <row r="196" spans="1:7" x14ac:dyDescent="0.3">
      <c r="A196" s="1">
        <v>189</v>
      </c>
      <c r="B196" s="15">
        <v>45915</v>
      </c>
      <c r="C196" s="11" t="s">
        <v>9</v>
      </c>
      <c r="D196" s="11" t="s">
        <v>23</v>
      </c>
      <c r="E196" s="9">
        <v>16</v>
      </c>
      <c r="F196" s="7">
        <v>86799.42</v>
      </c>
      <c r="G196" s="7">
        <v>1388790.72</v>
      </c>
    </row>
    <row r="197" spans="1:7" x14ac:dyDescent="0.3">
      <c r="A197" s="1">
        <v>190</v>
      </c>
      <c r="B197" s="15">
        <v>45811</v>
      </c>
      <c r="C197" s="11" t="s">
        <v>6</v>
      </c>
      <c r="D197" s="11" t="s">
        <v>22</v>
      </c>
      <c r="E197" s="9">
        <v>5</v>
      </c>
      <c r="F197" s="7">
        <v>73037.03</v>
      </c>
      <c r="G197" s="7">
        <v>365185.15</v>
      </c>
    </row>
    <row r="198" spans="1:7" x14ac:dyDescent="0.3">
      <c r="A198" s="1">
        <v>191</v>
      </c>
      <c r="B198" s="15">
        <v>45818</v>
      </c>
      <c r="C198" s="11" t="s">
        <v>6</v>
      </c>
      <c r="D198" s="11" t="s">
        <v>37</v>
      </c>
      <c r="E198" s="9">
        <v>2</v>
      </c>
      <c r="F198" s="7">
        <v>67588.86</v>
      </c>
      <c r="G198" s="7">
        <v>135177.72</v>
      </c>
    </row>
    <row r="199" spans="1:7" x14ac:dyDescent="0.3">
      <c r="A199" s="1">
        <v>192</v>
      </c>
      <c r="B199" s="15">
        <v>45672</v>
      </c>
      <c r="C199" s="11" t="s">
        <v>8</v>
      </c>
      <c r="D199" s="11" t="s">
        <v>28</v>
      </c>
      <c r="E199" s="9">
        <v>8</v>
      </c>
      <c r="F199" s="7">
        <v>3249.6</v>
      </c>
      <c r="G199" s="7">
        <v>25996.799999999999</v>
      </c>
    </row>
    <row r="200" spans="1:7" x14ac:dyDescent="0.3">
      <c r="A200" s="1">
        <v>193</v>
      </c>
      <c r="B200" s="15">
        <v>45858</v>
      </c>
      <c r="C200" s="11" t="s">
        <v>10</v>
      </c>
      <c r="D200" s="11" t="s">
        <v>27</v>
      </c>
      <c r="E200" s="9">
        <v>6</v>
      </c>
      <c r="F200" s="7">
        <v>11717.99</v>
      </c>
      <c r="G200" s="7">
        <v>70307.94</v>
      </c>
    </row>
    <row r="201" spans="1:7" x14ac:dyDescent="0.3">
      <c r="A201" s="1">
        <v>194</v>
      </c>
      <c r="B201" s="15">
        <v>45911</v>
      </c>
      <c r="C201" s="11" t="s">
        <v>6</v>
      </c>
      <c r="D201" s="11" t="s">
        <v>36</v>
      </c>
      <c r="E201" s="9">
        <v>17</v>
      </c>
      <c r="F201" s="7">
        <v>60021.8</v>
      </c>
      <c r="G201" s="7">
        <v>1020370.6</v>
      </c>
    </row>
    <row r="202" spans="1:7" x14ac:dyDescent="0.3">
      <c r="A202" s="1">
        <v>195</v>
      </c>
      <c r="B202" s="15">
        <v>45713</v>
      </c>
      <c r="C202" s="11" t="s">
        <v>8</v>
      </c>
      <c r="D202" s="11" t="s">
        <v>18</v>
      </c>
      <c r="E202" s="9">
        <v>18</v>
      </c>
      <c r="F202" s="7">
        <v>18422.02</v>
      </c>
      <c r="G202" s="7">
        <v>331596.36</v>
      </c>
    </row>
    <row r="203" spans="1:7" x14ac:dyDescent="0.3">
      <c r="A203" s="1">
        <v>196</v>
      </c>
      <c r="B203" s="15">
        <v>45874</v>
      </c>
      <c r="C203" s="11" t="s">
        <v>6</v>
      </c>
      <c r="D203" s="11" t="s">
        <v>35</v>
      </c>
      <c r="E203" s="9">
        <v>3</v>
      </c>
      <c r="F203" s="7">
        <v>50347.01</v>
      </c>
      <c r="G203" s="7">
        <v>151041.03</v>
      </c>
    </row>
    <row r="204" spans="1:7" x14ac:dyDescent="0.3">
      <c r="A204" s="1">
        <v>197</v>
      </c>
      <c r="B204" s="15">
        <v>45827</v>
      </c>
      <c r="C204" s="11" t="s">
        <v>7</v>
      </c>
      <c r="D204" s="11" t="s">
        <v>12</v>
      </c>
      <c r="E204" s="9">
        <v>15</v>
      </c>
      <c r="F204" s="7">
        <v>44372.59</v>
      </c>
      <c r="G204" s="7">
        <v>665588.85</v>
      </c>
    </row>
    <row r="205" spans="1:7" x14ac:dyDescent="0.3">
      <c r="A205" s="1">
        <v>198</v>
      </c>
      <c r="B205" s="15">
        <v>45755</v>
      </c>
      <c r="C205" s="11" t="s">
        <v>8</v>
      </c>
      <c r="D205" s="11" t="s">
        <v>18</v>
      </c>
      <c r="E205" s="9">
        <v>15</v>
      </c>
      <c r="F205" s="7">
        <v>6174.78</v>
      </c>
      <c r="G205" s="7">
        <v>92621.7</v>
      </c>
    </row>
    <row r="206" spans="1:7" x14ac:dyDescent="0.3">
      <c r="A206" s="1">
        <v>199</v>
      </c>
      <c r="B206" s="15">
        <v>45864</v>
      </c>
      <c r="C206" s="11" t="s">
        <v>9</v>
      </c>
      <c r="D206" s="11" t="s">
        <v>23</v>
      </c>
      <c r="E206" s="9">
        <v>20</v>
      </c>
      <c r="F206" s="7">
        <v>25246.85</v>
      </c>
      <c r="G206" s="7">
        <v>504937</v>
      </c>
    </row>
    <row r="207" spans="1:7" x14ac:dyDescent="0.3">
      <c r="A207" s="1">
        <v>200</v>
      </c>
      <c r="B207" s="15">
        <v>45902</v>
      </c>
      <c r="C207" s="11" t="s">
        <v>10</v>
      </c>
      <c r="D207" s="11" t="s">
        <v>31</v>
      </c>
      <c r="E207" s="9">
        <v>2</v>
      </c>
      <c r="F207" s="7">
        <v>51570.91</v>
      </c>
      <c r="G207" s="7">
        <v>103141.82</v>
      </c>
    </row>
    <row r="208" spans="1:7" x14ac:dyDescent="0.3">
      <c r="A208" s="1">
        <v>201</v>
      </c>
      <c r="B208" s="15">
        <v>45734</v>
      </c>
      <c r="C208" s="11" t="s">
        <v>9</v>
      </c>
      <c r="D208" s="11" t="s">
        <v>32</v>
      </c>
      <c r="E208" s="9">
        <v>14</v>
      </c>
      <c r="F208" s="7">
        <v>33830.57</v>
      </c>
      <c r="G208" s="7">
        <v>473627.98</v>
      </c>
    </row>
    <row r="209" spans="1:7" x14ac:dyDescent="0.3">
      <c r="A209" s="1">
        <v>202</v>
      </c>
      <c r="B209" s="15">
        <v>45666</v>
      </c>
      <c r="C209" s="11" t="s">
        <v>7</v>
      </c>
      <c r="D209" s="11" t="s">
        <v>13</v>
      </c>
      <c r="E209" s="9">
        <v>4</v>
      </c>
      <c r="F209" s="7">
        <v>51463.1</v>
      </c>
      <c r="G209" s="7">
        <v>205852.4</v>
      </c>
    </row>
    <row r="210" spans="1:7" x14ac:dyDescent="0.3">
      <c r="A210" s="1">
        <v>203</v>
      </c>
      <c r="B210" s="15">
        <v>45894</v>
      </c>
      <c r="C210" s="11" t="s">
        <v>9</v>
      </c>
      <c r="D210" s="11" t="s">
        <v>17</v>
      </c>
      <c r="E210" s="9">
        <v>9</v>
      </c>
      <c r="F210" s="7">
        <v>64978.239999999998</v>
      </c>
      <c r="G210" s="7">
        <v>584804.16</v>
      </c>
    </row>
    <row r="211" spans="1:7" x14ac:dyDescent="0.3">
      <c r="A211" s="1">
        <v>204</v>
      </c>
      <c r="B211" s="15">
        <v>45822</v>
      </c>
      <c r="C211" s="11" t="s">
        <v>9</v>
      </c>
      <c r="D211" s="11" t="s">
        <v>17</v>
      </c>
      <c r="E211" s="9">
        <v>13</v>
      </c>
      <c r="F211" s="7">
        <v>31815.8</v>
      </c>
      <c r="G211" s="7">
        <v>413605.4</v>
      </c>
    </row>
    <row r="212" spans="1:7" x14ac:dyDescent="0.3">
      <c r="A212" s="1">
        <v>205</v>
      </c>
      <c r="B212" s="15">
        <v>45764</v>
      </c>
      <c r="C212" s="11" t="s">
        <v>10</v>
      </c>
      <c r="D212" s="11" t="s">
        <v>24</v>
      </c>
      <c r="E212" s="9">
        <v>9</v>
      </c>
      <c r="F212" s="7">
        <v>53494.34</v>
      </c>
      <c r="G212" s="7">
        <v>481449.06</v>
      </c>
    </row>
    <row r="213" spans="1:7" x14ac:dyDescent="0.3">
      <c r="A213" s="1">
        <v>206</v>
      </c>
      <c r="B213" s="15">
        <v>45910</v>
      </c>
      <c r="C213" s="11" t="s">
        <v>6</v>
      </c>
      <c r="D213" s="11" t="s">
        <v>30</v>
      </c>
      <c r="E213" s="9">
        <v>13</v>
      </c>
      <c r="F213" s="7">
        <v>77260</v>
      </c>
      <c r="G213" s="7">
        <v>1004380</v>
      </c>
    </row>
    <row r="214" spans="1:7" x14ac:dyDescent="0.3">
      <c r="A214" s="1">
        <v>207</v>
      </c>
      <c r="B214" s="15">
        <v>45665</v>
      </c>
      <c r="C214" s="11" t="s">
        <v>7</v>
      </c>
      <c r="D214" s="11" t="s">
        <v>14</v>
      </c>
      <c r="E214" s="9">
        <v>3</v>
      </c>
      <c r="F214" s="7">
        <v>65584.52</v>
      </c>
      <c r="G214" s="7">
        <v>196753.56</v>
      </c>
    </row>
    <row r="215" spans="1:7" x14ac:dyDescent="0.3">
      <c r="A215" s="1">
        <v>208</v>
      </c>
      <c r="B215" s="15">
        <v>45796</v>
      </c>
      <c r="C215" s="11" t="s">
        <v>9</v>
      </c>
      <c r="D215" s="11" t="s">
        <v>17</v>
      </c>
      <c r="E215" s="9">
        <v>14</v>
      </c>
      <c r="F215" s="7">
        <v>12066.19</v>
      </c>
      <c r="G215" s="7">
        <v>168926.66</v>
      </c>
    </row>
    <row r="216" spans="1:7" x14ac:dyDescent="0.3">
      <c r="A216" s="1">
        <v>209</v>
      </c>
      <c r="B216" s="15">
        <v>45721</v>
      </c>
      <c r="C216" s="11" t="s">
        <v>10</v>
      </c>
      <c r="D216" s="11" t="s">
        <v>24</v>
      </c>
      <c r="E216" s="9">
        <v>20</v>
      </c>
      <c r="F216" s="7">
        <v>43189.42</v>
      </c>
      <c r="G216" s="7">
        <v>863788.4</v>
      </c>
    </row>
    <row r="217" spans="1:7" x14ac:dyDescent="0.3">
      <c r="A217" s="1">
        <v>210</v>
      </c>
      <c r="B217" s="15">
        <v>45887</v>
      </c>
      <c r="C217" s="11" t="s">
        <v>6</v>
      </c>
      <c r="D217" s="11" t="s">
        <v>22</v>
      </c>
      <c r="E217" s="9">
        <v>14</v>
      </c>
      <c r="F217" s="7">
        <v>24670.61</v>
      </c>
      <c r="G217" s="7">
        <v>345388.54</v>
      </c>
    </row>
    <row r="218" spans="1:7" x14ac:dyDescent="0.3">
      <c r="A218" s="1">
        <v>211</v>
      </c>
      <c r="B218" s="15">
        <v>45924</v>
      </c>
      <c r="C218" s="11" t="s">
        <v>8</v>
      </c>
      <c r="D218" s="11" t="s">
        <v>28</v>
      </c>
      <c r="E218" s="9">
        <v>2</v>
      </c>
      <c r="F218" s="7">
        <v>33430.080000000002</v>
      </c>
      <c r="G218" s="7">
        <v>66860.160000000003</v>
      </c>
    </row>
    <row r="219" spans="1:7" x14ac:dyDescent="0.3">
      <c r="A219" s="1">
        <v>212</v>
      </c>
      <c r="B219" s="15">
        <v>45794</v>
      </c>
      <c r="C219" s="11" t="s">
        <v>9</v>
      </c>
      <c r="D219" s="11" t="s">
        <v>33</v>
      </c>
      <c r="E219" s="9">
        <v>20</v>
      </c>
      <c r="F219" s="7">
        <v>22190.37</v>
      </c>
      <c r="G219" s="7">
        <v>443807.4</v>
      </c>
    </row>
    <row r="220" spans="1:7" x14ac:dyDescent="0.3">
      <c r="A220" s="1">
        <v>213</v>
      </c>
      <c r="B220" s="15">
        <v>45676</v>
      </c>
      <c r="C220" s="11" t="s">
        <v>9</v>
      </c>
      <c r="D220" s="11" t="s">
        <v>32</v>
      </c>
      <c r="E220" s="9">
        <v>15</v>
      </c>
      <c r="F220" s="7">
        <v>95894.35</v>
      </c>
      <c r="G220" s="7">
        <v>1438415.25</v>
      </c>
    </row>
    <row r="221" spans="1:7" x14ac:dyDescent="0.3">
      <c r="A221" s="1">
        <v>214</v>
      </c>
      <c r="B221" s="15">
        <v>45731</v>
      </c>
      <c r="C221" s="11" t="s">
        <v>7</v>
      </c>
      <c r="D221" s="11" t="s">
        <v>14</v>
      </c>
      <c r="E221" s="9">
        <v>6</v>
      </c>
      <c r="F221" s="7">
        <v>1747.96</v>
      </c>
      <c r="G221" s="7">
        <v>10487.76</v>
      </c>
    </row>
    <row r="222" spans="1:7" x14ac:dyDescent="0.3">
      <c r="A222" s="1">
        <v>215</v>
      </c>
      <c r="B222" s="15">
        <v>45787</v>
      </c>
      <c r="C222" s="11" t="s">
        <v>6</v>
      </c>
      <c r="D222" s="11" t="s">
        <v>11</v>
      </c>
      <c r="E222" s="9">
        <v>4</v>
      </c>
      <c r="F222" s="7">
        <v>12285.73</v>
      </c>
      <c r="G222" s="7">
        <v>49142.92</v>
      </c>
    </row>
    <row r="223" spans="1:7" x14ac:dyDescent="0.3">
      <c r="A223" s="1">
        <v>216</v>
      </c>
      <c r="B223" s="15">
        <v>45903</v>
      </c>
      <c r="C223" s="11" t="s">
        <v>6</v>
      </c>
      <c r="D223" s="11" t="s">
        <v>37</v>
      </c>
      <c r="E223" s="9">
        <v>17</v>
      </c>
      <c r="F223" s="7">
        <v>83640.100000000006</v>
      </c>
      <c r="G223" s="7">
        <v>1421881.7</v>
      </c>
    </row>
    <row r="224" spans="1:7" x14ac:dyDescent="0.3">
      <c r="A224" s="1">
        <v>217</v>
      </c>
      <c r="B224" s="15">
        <v>45720</v>
      </c>
      <c r="C224" s="11" t="s">
        <v>7</v>
      </c>
      <c r="D224" s="11" t="s">
        <v>14</v>
      </c>
      <c r="E224" s="9">
        <v>4</v>
      </c>
      <c r="F224" s="7">
        <v>60962.07</v>
      </c>
      <c r="G224" s="7">
        <v>243848.28</v>
      </c>
    </row>
    <row r="225" spans="1:7" x14ac:dyDescent="0.3">
      <c r="A225" s="1">
        <v>218</v>
      </c>
      <c r="B225" s="15">
        <v>45717</v>
      </c>
      <c r="C225" s="11" t="s">
        <v>10</v>
      </c>
      <c r="D225" s="11" t="s">
        <v>31</v>
      </c>
      <c r="E225" s="9">
        <v>18</v>
      </c>
      <c r="F225" s="7">
        <v>52758.66</v>
      </c>
      <c r="G225" s="7">
        <v>949655.88</v>
      </c>
    </row>
    <row r="226" spans="1:7" x14ac:dyDescent="0.3">
      <c r="A226" s="1">
        <v>219</v>
      </c>
      <c r="B226" s="15">
        <v>45773</v>
      </c>
      <c r="C226" s="11" t="s">
        <v>10</v>
      </c>
      <c r="D226" s="11" t="s">
        <v>27</v>
      </c>
      <c r="E226" s="9">
        <v>3</v>
      </c>
      <c r="F226" s="7">
        <v>85497.39</v>
      </c>
      <c r="G226" s="7">
        <v>256492.17</v>
      </c>
    </row>
    <row r="227" spans="1:7" x14ac:dyDescent="0.3">
      <c r="A227" s="1">
        <v>220</v>
      </c>
      <c r="B227" s="15">
        <v>45764</v>
      </c>
      <c r="C227" s="11" t="s">
        <v>10</v>
      </c>
      <c r="D227" s="11" t="s">
        <v>34</v>
      </c>
      <c r="E227" s="9">
        <v>1</v>
      </c>
      <c r="F227" s="7">
        <v>2441.7199999999998</v>
      </c>
      <c r="G227" s="7">
        <v>2441.7199999999998</v>
      </c>
    </row>
    <row r="228" spans="1:7" x14ac:dyDescent="0.3">
      <c r="A228" s="1">
        <v>221</v>
      </c>
      <c r="B228" s="15">
        <v>45809</v>
      </c>
      <c r="C228" s="11" t="s">
        <v>8</v>
      </c>
      <c r="D228" s="11" t="s">
        <v>28</v>
      </c>
      <c r="E228" s="9">
        <v>13</v>
      </c>
      <c r="F228" s="7">
        <v>67317.539999999994</v>
      </c>
      <c r="G228" s="7">
        <v>875128.02</v>
      </c>
    </row>
    <row r="229" spans="1:7" x14ac:dyDescent="0.3">
      <c r="A229" s="1">
        <v>222</v>
      </c>
      <c r="B229" s="15">
        <v>45664</v>
      </c>
      <c r="C229" s="11" t="s">
        <v>6</v>
      </c>
      <c r="D229" s="11" t="s">
        <v>35</v>
      </c>
      <c r="E229" s="9">
        <v>13</v>
      </c>
      <c r="F229" s="7">
        <v>83671.75</v>
      </c>
      <c r="G229" s="7">
        <v>1087732.75</v>
      </c>
    </row>
    <row r="230" spans="1:7" x14ac:dyDescent="0.3">
      <c r="A230" s="1">
        <v>223</v>
      </c>
      <c r="B230" s="15">
        <v>45714</v>
      </c>
      <c r="C230" s="11" t="s">
        <v>10</v>
      </c>
      <c r="D230" s="11" t="s">
        <v>27</v>
      </c>
      <c r="E230" s="9">
        <v>19</v>
      </c>
      <c r="F230" s="7">
        <v>76211.48</v>
      </c>
      <c r="G230" s="7">
        <v>1448018.12</v>
      </c>
    </row>
    <row r="231" spans="1:7" x14ac:dyDescent="0.3">
      <c r="A231" s="1">
        <v>224</v>
      </c>
      <c r="B231" s="15">
        <v>45836</v>
      </c>
      <c r="C231" s="11" t="s">
        <v>10</v>
      </c>
      <c r="D231" s="11" t="s">
        <v>31</v>
      </c>
      <c r="E231" s="9">
        <v>16</v>
      </c>
      <c r="F231" s="7">
        <v>99704.47</v>
      </c>
      <c r="G231" s="7">
        <v>1595271.52</v>
      </c>
    </row>
    <row r="232" spans="1:7" x14ac:dyDescent="0.3">
      <c r="A232" s="1">
        <v>225</v>
      </c>
      <c r="B232" s="15">
        <v>45841</v>
      </c>
      <c r="C232" s="11" t="s">
        <v>10</v>
      </c>
      <c r="D232" s="11" t="s">
        <v>26</v>
      </c>
      <c r="E232" s="9">
        <v>12</v>
      </c>
      <c r="F232" s="7">
        <v>49562.27</v>
      </c>
      <c r="G232" s="7">
        <v>594747.24</v>
      </c>
    </row>
    <row r="233" spans="1:7" x14ac:dyDescent="0.3">
      <c r="A233" s="1">
        <v>226</v>
      </c>
      <c r="B233" s="15">
        <v>45815</v>
      </c>
      <c r="C233" s="11" t="s">
        <v>8</v>
      </c>
      <c r="D233" s="11" t="s">
        <v>28</v>
      </c>
      <c r="E233" s="9">
        <v>10</v>
      </c>
      <c r="F233" s="7">
        <v>11953.93</v>
      </c>
      <c r="G233" s="7">
        <v>119539.3</v>
      </c>
    </row>
    <row r="234" spans="1:7" x14ac:dyDescent="0.3">
      <c r="A234" s="1">
        <v>227</v>
      </c>
      <c r="B234" s="15">
        <v>45882</v>
      </c>
      <c r="C234" s="11" t="s">
        <v>7</v>
      </c>
      <c r="D234" s="11" t="s">
        <v>13</v>
      </c>
      <c r="E234" s="9">
        <v>14</v>
      </c>
      <c r="F234" s="7">
        <v>84160.62</v>
      </c>
      <c r="G234" s="7">
        <v>1178248.68</v>
      </c>
    </row>
    <row r="235" spans="1:7" x14ac:dyDescent="0.3">
      <c r="A235" s="1">
        <v>228</v>
      </c>
      <c r="B235" s="15">
        <v>45902</v>
      </c>
      <c r="C235" s="11" t="s">
        <v>8</v>
      </c>
      <c r="D235" s="11" t="s">
        <v>16</v>
      </c>
      <c r="E235" s="9">
        <v>13</v>
      </c>
      <c r="F235" s="7">
        <v>99205.45</v>
      </c>
      <c r="G235" s="7">
        <v>1289670.8500000001</v>
      </c>
    </row>
    <row r="236" spans="1:7" x14ac:dyDescent="0.3">
      <c r="A236" s="1">
        <v>229</v>
      </c>
      <c r="B236" s="15">
        <v>45694</v>
      </c>
      <c r="C236" s="11" t="s">
        <v>8</v>
      </c>
      <c r="D236" s="11" t="s">
        <v>18</v>
      </c>
      <c r="E236" s="9">
        <v>14</v>
      </c>
      <c r="F236" s="7">
        <v>15538.23</v>
      </c>
      <c r="G236" s="7">
        <v>217535.22</v>
      </c>
    </row>
    <row r="237" spans="1:7" x14ac:dyDescent="0.3">
      <c r="A237" s="1">
        <v>230</v>
      </c>
      <c r="B237" s="15">
        <v>45689</v>
      </c>
      <c r="C237" s="11" t="s">
        <v>7</v>
      </c>
      <c r="D237" s="11" t="s">
        <v>12</v>
      </c>
      <c r="E237" s="9">
        <v>19</v>
      </c>
      <c r="F237" s="7">
        <v>82512.77</v>
      </c>
      <c r="G237" s="7">
        <v>1567742.63</v>
      </c>
    </row>
    <row r="238" spans="1:7" x14ac:dyDescent="0.3">
      <c r="A238" s="1">
        <v>231</v>
      </c>
      <c r="B238" s="15">
        <v>45691</v>
      </c>
      <c r="C238" s="11" t="s">
        <v>7</v>
      </c>
      <c r="D238" s="11" t="s">
        <v>14</v>
      </c>
      <c r="E238" s="9">
        <v>7</v>
      </c>
      <c r="F238" s="7">
        <v>13694.54</v>
      </c>
      <c r="G238" s="7">
        <v>95861.78</v>
      </c>
    </row>
    <row r="239" spans="1:7" x14ac:dyDescent="0.3">
      <c r="A239" s="1">
        <v>232</v>
      </c>
      <c r="B239" s="15">
        <v>45854</v>
      </c>
      <c r="C239" s="11" t="s">
        <v>9</v>
      </c>
      <c r="D239" s="11" t="s">
        <v>33</v>
      </c>
      <c r="E239" s="9">
        <v>15</v>
      </c>
      <c r="F239" s="7">
        <v>17995.05</v>
      </c>
      <c r="G239" s="7">
        <v>269925.75</v>
      </c>
    </row>
    <row r="240" spans="1:7" x14ac:dyDescent="0.3">
      <c r="A240" s="1">
        <v>233</v>
      </c>
      <c r="B240" s="15">
        <v>45799</v>
      </c>
      <c r="C240" s="11" t="s">
        <v>7</v>
      </c>
      <c r="D240" s="11" t="s">
        <v>15</v>
      </c>
      <c r="E240" s="9">
        <v>14</v>
      </c>
      <c r="F240" s="7">
        <v>6064</v>
      </c>
      <c r="G240" s="7">
        <v>84896</v>
      </c>
    </row>
    <row r="241" spans="1:7" x14ac:dyDescent="0.3">
      <c r="A241" s="1">
        <v>234</v>
      </c>
      <c r="B241" s="15">
        <v>45667</v>
      </c>
      <c r="C241" s="11" t="s">
        <v>7</v>
      </c>
      <c r="D241" s="11" t="s">
        <v>15</v>
      </c>
      <c r="E241" s="9">
        <v>10</v>
      </c>
      <c r="F241" s="7">
        <v>81154.33</v>
      </c>
      <c r="G241" s="7">
        <v>811543.3</v>
      </c>
    </row>
    <row r="242" spans="1:7" x14ac:dyDescent="0.3">
      <c r="A242" s="1">
        <v>235</v>
      </c>
      <c r="B242" s="15">
        <v>45887</v>
      </c>
      <c r="C242" s="11" t="s">
        <v>8</v>
      </c>
      <c r="D242" s="11" t="s">
        <v>28</v>
      </c>
      <c r="E242" s="9">
        <v>18</v>
      </c>
      <c r="F242" s="7">
        <v>21601.06</v>
      </c>
      <c r="G242" s="7">
        <v>388819.08</v>
      </c>
    </row>
    <row r="243" spans="1:7" x14ac:dyDescent="0.3">
      <c r="A243" s="1">
        <v>236</v>
      </c>
      <c r="B243" s="15">
        <v>45818</v>
      </c>
      <c r="C243" s="11" t="s">
        <v>9</v>
      </c>
      <c r="D243" s="11" t="s">
        <v>25</v>
      </c>
      <c r="E243" s="9">
        <v>7</v>
      </c>
      <c r="F243" s="7">
        <v>95365.64</v>
      </c>
      <c r="G243" s="7">
        <v>667559.48</v>
      </c>
    </row>
    <row r="244" spans="1:7" x14ac:dyDescent="0.3">
      <c r="A244" s="1">
        <v>237</v>
      </c>
      <c r="B244" s="15">
        <v>45685</v>
      </c>
      <c r="C244" s="11" t="s">
        <v>7</v>
      </c>
      <c r="D244" s="11" t="s">
        <v>12</v>
      </c>
      <c r="E244" s="9">
        <v>9</v>
      </c>
      <c r="F244" s="7">
        <v>94534.95</v>
      </c>
      <c r="G244" s="7">
        <v>850814.55</v>
      </c>
    </row>
    <row r="245" spans="1:7" x14ac:dyDescent="0.3">
      <c r="A245" s="1">
        <v>238</v>
      </c>
      <c r="B245" s="15">
        <v>45725</v>
      </c>
      <c r="C245" s="11" t="s">
        <v>8</v>
      </c>
      <c r="D245" s="11" t="s">
        <v>18</v>
      </c>
      <c r="E245" s="9">
        <v>2</v>
      </c>
      <c r="F245" s="7">
        <v>44356.44</v>
      </c>
      <c r="G245" s="7">
        <v>88712.88</v>
      </c>
    </row>
    <row r="246" spans="1:7" x14ac:dyDescent="0.3">
      <c r="A246" s="1">
        <v>239</v>
      </c>
      <c r="B246" s="15">
        <v>45796</v>
      </c>
      <c r="C246" s="11" t="s">
        <v>7</v>
      </c>
      <c r="D246" s="11" t="s">
        <v>19</v>
      </c>
      <c r="E246" s="9">
        <v>2</v>
      </c>
      <c r="F246" s="7">
        <v>47787.61</v>
      </c>
      <c r="G246" s="7">
        <v>95575.22</v>
      </c>
    </row>
    <row r="247" spans="1:7" x14ac:dyDescent="0.3">
      <c r="A247" s="1">
        <v>240</v>
      </c>
      <c r="B247" s="15">
        <v>45870</v>
      </c>
      <c r="C247" s="11" t="s">
        <v>9</v>
      </c>
      <c r="D247" s="11" t="s">
        <v>32</v>
      </c>
      <c r="E247" s="9">
        <v>8</v>
      </c>
      <c r="F247" s="7">
        <v>53397.22</v>
      </c>
      <c r="G247" s="7">
        <v>427177.76</v>
      </c>
    </row>
    <row r="248" spans="1:7" x14ac:dyDescent="0.3">
      <c r="A248" s="1">
        <v>241</v>
      </c>
      <c r="B248" s="15">
        <v>45829</v>
      </c>
      <c r="C248" s="11" t="s">
        <v>8</v>
      </c>
      <c r="D248" s="11" t="s">
        <v>28</v>
      </c>
      <c r="E248" s="9">
        <v>3</v>
      </c>
      <c r="F248" s="7">
        <v>56879.26</v>
      </c>
      <c r="G248" s="7">
        <v>170637.78</v>
      </c>
    </row>
    <row r="249" spans="1:7" x14ac:dyDescent="0.3">
      <c r="A249" s="1">
        <v>242</v>
      </c>
      <c r="B249" s="15">
        <v>45874</v>
      </c>
      <c r="C249" s="11" t="s">
        <v>9</v>
      </c>
      <c r="D249" s="11" t="s">
        <v>23</v>
      </c>
      <c r="E249" s="9">
        <v>6</v>
      </c>
      <c r="F249" s="7">
        <v>85583.03</v>
      </c>
      <c r="G249" s="7">
        <v>513498.18</v>
      </c>
    </row>
    <row r="250" spans="1:7" x14ac:dyDescent="0.3">
      <c r="A250" s="1">
        <v>243</v>
      </c>
      <c r="B250" s="15">
        <v>45827</v>
      </c>
      <c r="C250" s="11" t="s">
        <v>9</v>
      </c>
      <c r="D250" s="11" t="s">
        <v>33</v>
      </c>
      <c r="E250" s="9">
        <v>8</v>
      </c>
      <c r="F250" s="7">
        <v>44980.24</v>
      </c>
      <c r="G250" s="7">
        <v>359841.92</v>
      </c>
    </row>
    <row r="251" spans="1:7" x14ac:dyDescent="0.3">
      <c r="A251" s="1">
        <v>244</v>
      </c>
      <c r="B251" s="15">
        <v>45778</v>
      </c>
      <c r="C251" s="11" t="s">
        <v>6</v>
      </c>
      <c r="D251" s="11" t="s">
        <v>22</v>
      </c>
      <c r="E251" s="9">
        <v>15</v>
      </c>
      <c r="F251" s="7">
        <v>67270.820000000007</v>
      </c>
      <c r="G251" s="7">
        <v>1009062.3</v>
      </c>
    </row>
    <row r="252" spans="1:7" x14ac:dyDescent="0.3">
      <c r="A252" s="1">
        <v>245</v>
      </c>
      <c r="B252" s="15">
        <v>45865</v>
      </c>
      <c r="C252" s="11" t="s">
        <v>9</v>
      </c>
      <c r="D252" s="11" t="s">
        <v>23</v>
      </c>
      <c r="E252" s="9">
        <v>2</v>
      </c>
      <c r="F252" s="7">
        <v>57081.77</v>
      </c>
      <c r="G252" s="7">
        <v>114163.54</v>
      </c>
    </row>
    <row r="253" spans="1:7" x14ac:dyDescent="0.3">
      <c r="A253" s="1">
        <v>246</v>
      </c>
      <c r="B253" s="15">
        <v>45817</v>
      </c>
      <c r="C253" s="11" t="s">
        <v>6</v>
      </c>
      <c r="D253" s="11" t="s">
        <v>35</v>
      </c>
      <c r="E253" s="9">
        <v>4</v>
      </c>
      <c r="F253" s="7">
        <v>6622.95</v>
      </c>
      <c r="G253" s="7">
        <v>26491.8</v>
      </c>
    </row>
    <row r="254" spans="1:7" x14ac:dyDescent="0.3">
      <c r="A254" s="1">
        <v>247</v>
      </c>
      <c r="B254" s="15">
        <v>45663</v>
      </c>
      <c r="C254" s="11" t="s">
        <v>10</v>
      </c>
      <c r="D254" s="11" t="s">
        <v>26</v>
      </c>
      <c r="E254" s="9">
        <v>10</v>
      </c>
      <c r="F254" s="7">
        <v>8590.4</v>
      </c>
      <c r="G254" s="7">
        <v>85904</v>
      </c>
    </row>
    <row r="255" spans="1:7" x14ac:dyDescent="0.3">
      <c r="A255" s="1">
        <v>248</v>
      </c>
      <c r="B255" s="15">
        <v>45831</v>
      </c>
      <c r="C255" s="11" t="s">
        <v>9</v>
      </c>
      <c r="D255" s="11" t="s">
        <v>25</v>
      </c>
      <c r="E255" s="9">
        <v>17</v>
      </c>
      <c r="F255" s="7">
        <v>63577.2</v>
      </c>
      <c r="G255" s="7">
        <v>1080812.3999999999</v>
      </c>
    </row>
    <row r="256" spans="1:7" x14ac:dyDescent="0.3">
      <c r="A256" s="1">
        <v>249</v>
      </c>
      <c r="B256" s="15">
        <v>45749</v>
      </c>
      <c r="C256" s="11" t="s">
        <v>8</v>
      </c>
      <c r="D256" s="11" t="s">
        <v>29</v>
      </c>
      <c r="E256" s="9">
        <v>2</v>
      </c>
      <c r="F256" s="7">
        <v>22629.02</v>
      </c>
      <c r="G256" s="7">
        <v>45258.04</v>
      </c>
    </row>
    <row r="257" spans="1:7" x14ac:dyDescent="0.3">
      <c r="A257" s="1">
        <v>250</v>
      </c>
      <c r="B257" s="15">
        <v>45821</v>
      </c>
      <c r="C257" s="11" t="s">
        <v>10</v>
      </c>
      <c r="D257" s="11" t="s">
        <v>26</v>
      </c>
      <c r="E257" s="9">
        <v>1</v>
      </c>
      <c r="F257" s="7">
        <v>50450.68</v>
      </c>
      <c r="G257" s="7">
        <v>50450.68</v>
      </c>
    </row>
    <row r="258" spans="1:7" x14ac:dyDescent="0.3">
      <c r="A258" s="1">
        <v>251</v>
      </c>
      <c r="B258" s="15">
        <v>45762</v>
      </c>
      <c r="C258" s="11" t="s">
        <v>7</v>
      </c>
      <c r="D258" s="11" t="s">
        <v>14</v>
      </c>
      <c r="E258" s="9">
        <v>19</v>
      </c>
      <c r="F258" s="7">
        <v>34372.160000000003</v>
      </c>
      <c r="G258" s="7">
        <v>653071.04</v>
      </c>
    </row>
    <row r="259" spans="1:7" x14ac:dyDescent="0.3">
      <c r="A259" s="1">
        <v>252</v>
      </c>
      <c r="B259" s="15">
        <v>45927</v>
      </c>
      <c r="C259" s="11" t="s">
        <v>9</v>
      </c>
      <c r="D259" s="11" t="s">
        <v>33</v>
      </c>
      <c r="E259" s="9">
        <v>7</v>
      </c>
      <c r="F259" s="7">
        <v>88404.51</v>
      </c>
      <c r="G259" s="7">
        <v>618831.56999999995</v>
      </c>
    </row>
    <row r="260" spans="1:7" x14ac:dyDescent="0.3">
      <c r="A260" s="1">
        <v>253</v>
      </c>
      <c r="B260" s="15">
        <v>45739</v>
      </c>
      <c r="C260" s="11" t="s">
        <v>10</v>
      </c>
      <c r="D260" s="11" t="s">
        <v>31</v>
      </c>
      <c r="E260" s="9">
        <v>14</v>
      </c>
      <c r="F260" s="7">
        <v>95276.99</v>
      </c>
      <c r="G260" s="7">
        <v>1333877.8600000001</v>
      </c>
    </row>
    <row r="261" spans="1:7" x14ac:dyDescent="0.3">
      <c r="A261" s="1">
        <v>254</v>
      </c>
      <c r="B261" s="15">
        <v>45737</v>
      </c>
      <c r="C261" s="11" t="s">
        <v>7</v>
      </c>
      <c r="D261" s="11" t="s">
        <v>12</v>
      </c>
      <c r="E261" s="9">
        <v>1</v>
      </c>
      <c r="F261" s="7">
        <v>63408.26</v>
      </c>
      <c r="G261" s="7">
        <v>63408.26</v>
      </c>
    </row>
    <row r="262" spans="1:7" x14ac:dyDescent="0.3">
      <c r="A262" s="1">
        <v>255</v>
      </c>
      <c r="B262" s="15">
        <v>45923</v>
      </c>
      <c r="C262" s="11" t="s">
        <v>9</v>
      </c>
      <c r="D262" s="11" t="s">
        <v>33</v>
      </c>
      <c r="E262" s="9">
        <v>17</v>
      </c>
      <c r="F262" s="7">
        <v>10866.12</v>
      </c>
      <c r="G262" s="7">
        <v>184724.04</v>
      </c>
    </row>
    <row r="263" spans="1:7" x14ac:dyDescent="0.3">
      <c r="A263" s="1">
        <v>256</v>
      </c>
      <c r="B263" s="15">
        <v>45891</v>
      </c>
      <c r="C263" s="11" t="s">
        <v>7</v>
      </c>
      <c r="D263" s="11" t="s">
        <v>12</v>
      </c>
      <c r="E263" s="9">
        <v>4</v>
      </c>
      <c r="F263" s="7">
        <v>68120.75</v>
      </c>
      <c r="G263" s="7">
        <v>272483</v>
      </c>
    </row>
    <row r="264" spans="1:7" x14ac:dyDescent="0.3">
      <c r="A264" s="1">
        <v>257</v>
      </c>
      <c r="B264" s="15">
        <v>45779</v>
      </c>
      <c r="C264" s="11" t="s">
        <v>7</v>
      </c>
      <c r="D264" s="11" t="s">
        <v>19</v>
      </c>
      <c r="E264" s="9">
        <v>2</v>
      </c>
      <c r="F264" s="7">
        <v>32685.53</v>
      </c>
      <c r="G264" s="7">
        <v>65371.06</v>
      </c>
    </row>
    <row r="265" spans="1:7" x14ac:dyDescent="0.3">
      <c r="A265" s="1">
        <v>258</v>
      </c>
      <c r="B265" s="15">
        <v>45680</v>
      </c>
      <c r="C265" s="11" t="s">
        <v>7</v>
      </c>
      <c r="D265" s="11" t="s">
        <v>15</v>
      </c>
      <c r="E265" s="9">
        <v>2</v>
      </c>
      <c r="F265" s="7">
        <v>35577.46</v>
      </c>
      <c r="G265" s="7">
        <v>71154.92</v>
      </c>
    </row>
    <row r="266" spans="1:7" x14ac:dyDescent="0.3">
      <c r="A266" s="1">
        <v>259</v>
      </c>
      <c r="B266" s="15">
        <v>45739</v>
      </c>
      <c r="C266" s="11" t="s">
        <v>9</v>
      </c>
      <c r="D266" s="11" t="s">
        <v>17</v>
      </c>
      <c r="E266" s="9">
        <v>10</v>
      </c>
      <c r="F266" s="7">
        <v>40468.589999999997</v>
      </c>
      <c r="G266" s="7">
        <v>404685.9</v>
      </c>
    </row>
    <row r="267" spans="1:7" x14ac:dyDescent="0.3">
      <c r="A267" s="1">
        <v>260</v>
      </c>
      <c r="B267" s="15">
        <v>45767</v>
      </c>
      <c r="C267" s="11" t="s">
        <v>7</v>
      </c>
      <c r="D267" s="11" t="s">
        <v>12</v>
      </c>
      <c r="E267" s="9">
        <v>20</v>
      </c>
      <c r="F267" s="7">
        <v>23762.33</v>
      </c>
      <c r="G267" s="7">
        <v>475246.6</v>
      </c>
    </row>
    <row r="268" spans="1:7" x14ac:dyDescent="0.3">
      <c r="A268" s="1">
        <v>261</v>
      </c>
      <c r="B268" s="15">
        <v>45920</v>
      </c>
      <c r="C268" s="11" t="s">
        <v>10</v>
      </c>
      <c r="D268" s="11" t="s">
        <v>31</v>
      </c>
      <c r="E268" s="9">
        <v>7</v>
      </c>
      <c r="F268" s="7">
        <v>42441.45</v>
      </c>
      <c r="G268" s="7">
        <v>297090.15000000002</v>
      </c>
    </row>
    <row r="269" spans="1:7" x14ac:dyDescent="0.3">
      <c r="A269" s="1">
        <v>262</v>
      </c>
      <c r="B269" s="15">
        <v>45871</v>
      </c>
      <c r="C269" s="11" t="s">
        <v>7</v>
      </c>
      <c r="D269" s="11" t="s">
        <v>14</v>
      </c>
      <c r="E269" s="9">
        <v>16</v>
      </c>
      <c r="F269" s="7">
        <v>17307.89</v>
      </c>
      <c r="G269" s="7">
        <v>276926.24</v>
      </c>
    </row>
    <row r="270" spans="1:7" x14ac:dyDescent="0.3">
      <c r="A270" s="1">
        <v>263</v>
      </c>
      <c r="B270" s="15">
        <v>45823</v>
      </c>
      <c r="C270" s="11" t="s">
        <v>8</v>
      </c>
      <c r="D270" s="11" t="s">
        <v>16</v>
      </c>
      <c r="E270" s="9">
        <v>20</v>
      </c>
      <c r="F270" s="7">
        <v>72460.899999999994</v>
      </c>
      <c r="G270" s="7">
        <v>1449218</v>
      </c>
    </row>
    <row r="271" spans="1:7" x14ac:dyDescent="0.3">
      <c r="A271" s="1">
        <v>264</v>
      </c>
      <c r="B271" s="15">
        <v>45726</v>
      </c>
      <c r="C271" s="11" t="s">
        <v>9</v>
      </c>
      <c r="D271" s="11" t="s">
        <v>23</v>
      </c>
      <c r="E271" s="9">
        <v>15</v>
      </c>
      <c r="F271" s="7">
        <v>89092.92</v>
      </c>
      <c r="G271" s="7">
        <v>1336393.8</v>
      </c>
    </row>
    <row r="272" spans="1:7" x14ac:dyDescent="0.3">
      <c r="A272" s="1">
        <v>265</v>
      </c>
      <c r="B272" s="15">
        <v>45863</v>
      </c>
      <c r="C272" s="11" t="s">
        <v>9</v>
      </c>
      <c r="D272" s="11" t="s">
        <v>32</v>
      </c>
      <c r="E272" s="9">
        <v>14</v>
      </c>
      <c r="F272" s="7">
        <v>79789.7</v>
      </c>
      <c r="G272" s="7">
        <v>1117055.8</v>
      </c>
    </row>
    <row r="273" spans="1:7" x14ac:dyDescent="0.3">
      <c r="A273" s="1">
        <v>266</v>
      </c>
      <c r="B273" s="15">
        <v>45786</v>
      </c>
      <c r="C273" s="11" t="s">
        <v>8</v>
      </c>
      <c r="D273" s="11" t="s">
        <v>20</v>
      </c>
      <c r="E273" s="9">
        <v>15</v>
      </c>
      <c r="F273" s="7">
        <v>58652.27</v>
      </c>
      <c r="G273" s="7">
        <v>879784.05</v>
      </c>
    </row>
    <row r="274" spans="1:7" x14ac:dyDescent="0.3">
      <c r="A274" s="1">
        <v>267</v>
      </c>
      <c r="B274" s="15">
        <v>45895</v>
      </c>
      <c r="C274" s="11" t="s">
        <v>9</v>
      </c>
      <c r="D274" s="11" t="s">
        <v>25</v>
      </c>
      <c r="E274" s="9">
        <v>17</v>
      </c>
      <c r="F274" s="7">
        <v>94901.13</v>
      </c>
      <c r="G274" s="7">
        <v>1613319.21</v>
      </c>
    </row>
    <row r="275" spans="1:7" x14ac:dyDescent="0.3">
      <c r="A275" s="1">
        <v>268</v>
      </c>
      <c r="B275" s="15">
        <v>45849</v>
      </c>
      <c r="C275" s="11" t="s">
        <v>8</v>
      </c>
      <c r="D275" s="11" t="s">
        <v>28</v>
      </c>
      <c r="E275" s="9">
        <v>17</v>
      </c>
      <c r="F275" s="7">
        <v>97570.14</v>
      </c>
      <c r="G275" s="7">
        <v>1658692.38</v>
      </c>
    </row>
    <row r="276" spans="1:7" x14ac:dyDescent="0.3">
      <c r="A276" s="1">
        <v>269</v>
      </c>
      <c r="B276" s="15">
        <v>45732</v>
      </c>
      <c r="C276" s="11" t="s">
        <v>6</v>
      </c>
      <c r="D276" s="11" t="s">
        <v>22</v>
      </c>
      <c r="E276" s="9">
        <v>5</v>
      </c>
      <c r="F276" s="7">
        <v>18932.439999999999</v>
      </c>
      <c r="G276" s="7">
        <v>94662.2</v>
      </c>
    </row>
    <row r="277" spans="1:7" x14ac:dyDescent="0.3">
      <c r="A277" s="1">
        <v>270</v>
      </c>
      <c r="B277" s="15">
        <v>45665</v>
      </c>
      <c r="C277" s="11" t="s">
        <v>10</v>
      </c>
      <c r="D277" s="11" t="s">
        <v>27</v>
      </c>
      <c r="E277" s="9">
        <v>14</v>
      </c>
      <c r="F277" s="7">
        <v>3856.16</v>
      </c>
      <c r="G277" s="7">
        <v>53986.239999999998</v>
      </c>
    </row>
    <row r="278" spans="1:7" x14ac:dyDescent="0.3">
      <c r="A278" s="1">
        <v>271</v>
      </c>
      <c r="B278" s="15">
        <v>45821</v>
      </c>
      <c r="C278" s="11" t="s">
        <v>9</v>
      </c>
      <c r="D278" s="11" t="s">
        <v>25</v>
      </c>
      <c r="E278" s="9">
        <v>15</v>
      </c>
      <c r="F278" s="7">
        <v>79288.100000000006</v>
      </c>
      <c r="G278" s="7">
        <v>1189321.5</v>
      </c>
    </row>
    <row r="279" spans="1:7" x14ac:dyDescent="0.3">
      <c r="A279" s="1">
        <v>272</v>
      </c>
      <c r="B279" s="15">
        <v>45683</v>
      </c>
      <c r="C279" s="11" t="s">
        <v>6</v>
      </c>
      <c r="D279" s="11" t="s">
        <v>35</v>
      </c>
      <c r="E279" s="9">
        <v>4</v>
      </c>
      <c r="F279" s="7">
        <v>32175.64</v>
      </c>
      <c r="G279" s="7">
        <v>128702.56</v>
      </c>
    </row>
    <row r="280" spans="1:7" x14ac:dyDescent="0.3">
      <c r="A280" s="1">
        <v>273</v>
      </c>
      <c r="B280" s="15">
        <v>45795</v>
      </c>
      <c r="C280" s="11" t="s">
        <v>6</v>
      </c>
      <c r="D280" s="11" t="s">
        <v>11</v>
      </c>
      <c r="E280" s="9">
        <v>15</v>
      </c>
      <c r="F280" s="7">
        <v>93873.69</v>
      </c>
      <c r="G280" s="7">
        <v>1408105.35</v>
      </c>
    </row>
    <row r="281" spans="1:7" x14ac:dyDescent="0.3">
      <c r="A281" s="1">
        <v>274</v>
      </c>
      <c r="B281" s="15">
        <v>45726</v>
      </c>
      <c r="C281" s="11" t="s">
        <v>10</v>
      </c>
      <c r="D281" s="11" t="s">
        <v>26</v>
      </c>
      <c r="E281" s="9">
        <v>17</v>
      </c>
      <c r="F281" s="7">
        <v>66850.89</v>
      </c>
      <c r="G281" s="7">
        <v>1136465.1299999999</v>
      </c>
    </row>
    <row r="282" spans="1:7" x14ac:dyDescent="0.3">
      <c r="A282" s="1">
        <v>275</v>
      </c>
      <c r="B282" s="15">
        <v>45731</v>
      </c>
      <c r="C282" s="11" t="s">
        <v>7</v>
      </c>
      <c r="D282" s="11" t="s">
        <v>14</v>
      </c>
      <c r="E282" s="9">
        <v>4</v>
      </c>
      <c r="F282" s="7">
        <v>76491.179999999993</v>
      </c>
      <c r="G282" s="7">
        <v>305964.71999999997</v>
      </c>
    </row>
    <row r="283" spans="1:7" x14ac:dyDescent="0.3">
      <c r="A283" s="1">
        <v>276</v>
      </c>
      <c r="B283" s="15">
        <v>45915</v>
      </c>
      <c r="C283" s="11" t="s">
        <v>8</v>
      </c>
      <c r="D283" s="11" t="s">
        <v>20</v>
      </c>
      <c r="E283" s="9">
        <v>7</v>
      </c>
      <c r="F283" s="7">
        <v>14691.87</v>
      </c>
      <c r="G283" s="7">
        <v>102843.09</v>
      </c>
    </row>
    <row r="284" spans="1:7" x14ac:dyDescent="0.3">
      <c r="A284" s="1">
        <v>277</v>
      </c>
      <c r="B284" s="15">
        <v>45915</v>
      </c>
      <c r="C284" s="11" t="s">
        <v>10</v>
      </c>
      <c r="D284" s="11" t="s">
        <v>31</v>
      </c>
      <c r="E284" s="9">
        <v>1</v>
      </c>
      <c r="F284" s="7">
        <v>85723.19</v>
      </c>
      <c r="G284" s="7">
        <v>85723.19</v>
      </c>
    </row>
    <row r="285" spans="1:7" x14ac:dyDescent="0.3">
      <c r="A285" s="1">
        <v>278</v>
      </c>
      <c r="B285" s="15">
        <v>45805</v>
      </c>
      <c r="C285" s="11" t="s">
        <v>7</v>
      </c>
      <c r="D285" s="11" t="s">
        <v>13</v>
      </c>
      <c r="E285" s="9">
        <v>4</v>
      </c>
      <c r="F285" s="7">
        <v>43007.61</v>
      </c>
      <c r="G285" s="7">
        <v>172030.44</v>
      </c>
    </row>
    <row r="286" spans="1:7" x14ac:dyDescent="0.3">
      <c r="A286" s="1">
        <v>279</v>
      </c>
      <c r="B286" s="15">
        <v>45811</v>
      </c>
      <c r="C286" s="11" t="s">
        <v>8</v>
      </c>
      <c r="D286" s="11" t="s">
        <v>16</v>
      </c>
      <c r="E286" s="9">
        <v>13</v>
      </c>
      <c r="F286" s="7">
        <v>76730.080000000002</v>
      </c>
      <c r="G286" s="7">
        <v>997491.04</v>
      </c>
    </row>
    <row r="287" spans="1:7" x14ac:dyDescent="0.3">
      <c r="A287" s="1">
        <v>280</v>
      </c>
      <c r="B287" s="15">
        <v>45692</v>
      </c>
      <c r="C287" s="11" t="s">
        <v>9</v>
      </c>
      <c r="D287" s="11" t="s">
        <v>25</v>
      </c>
      <c r="E287" s="9">
        <v>1</v>
      </c>
      <c r="F287" s="7">
        <v>39122.269999999997</v>
      </c>
      <c r="G287" s="7">
        <v>39122.269999999997</v>
      </c>
    </row>
    <row r="288" spans="1:7" x14ac:dyDescent="0.3">
      <c r="A288" s="1">
        <v>281</v>
      </c>
      <c r="B288" s="15">
        <v>45790</v>
      </c>
      <c r="C288" s="11" t="s">
        <v>7</v>
      </c>
      <c r="D288" s="11" t="s">
        <v>12</v>
      </c>
      <c r="E288" s="9">
        <v>3</v>
      </c>
      <c r="F288" s="7">
        <v>69239.59</v>
      </c>
      <c r="G288" s="7">
        <v>207718.77</v>
      </c>
    </row>
    <row r="289" spans="1:7" x14ac:dyDescent="0.3">
      <c r="A289" s="1">
        <v>282</v>
      </c>
      <c r="B289" s="15">
        <v>45671</v>
      </c>
      <c r="C289" s="11" t="s">
        <v>8</v>
      </c>
      <c r="D289" s="11" t="s">
        <v>28</v>
      </c>
      <c r="E289" s="9">
        <v>18</v>
      </c>
      <c r="F289" s="7">
        <v>70874.83</v>
      </c>
      <c r="G289" s="7">
        <v>1275746.94</v>
      </c>
    </row>
    <row r="290" spans="1:7" x14ac:dyDescent="0.3">
      <c r="A290" s="1">
        <v>283</v>
      </c>
      <c r="B290" s="15">
        <v>45844</v>
      </c>
      <c r="C290" s="11" t="s">
        <v>10</v>
      </c>
      <c r="D290" s="11" t="s">
        <v>26</v>
      </c>
      <c r="E290" s="9">
        <v>13</v>
      </c>
      <c r="F290" s="7">
        <v>86817.64</v>
      </c>
      <c r="G290" s="7">
        <v>1128629.32</v>
      </c>
    </row>
    <row r="291" spans="1:7" x14ac:dyDescent="0.3">
      <c r="A291" s="1">
        <v>284</v>
      </c>
      <c r="B291" s="15">
        <v>45734</v>
      </c>
      <c r="C291" s="11" t="s">
        <v>10</v>
      </c>
      <c r="D291" s="11" t="s">
        <v>24</v>
      </c>
      <c r="E291" s="9">
        <v>15</v>
      </c>
      <c r="F291" s="7">
        <v>17486.98</v>
      </c>
      <c r="G291" s="7">
        <v>262304.7</v>
      </c>
    </row>
    <row r="292" spans="1:7" x14ac:dyDescent="0.3">
      <c r="A292" s="1">
        <v>285</v>
      </c>
      <c r="B292" s="15">
        <v>45845</v>
      </c>
      <c r="C292" s="11" t="s">
        <v>10</v>
      </c>
      <c r="D292" s="11" t="s">
        <v>26</v>
      </c>
      <c r="E292" s="9">
        <v>14</v>
      </c>
      <c r="F292" s="7">
        <v>92313.07</v>
      </c>
      <c r="G292" s="7">
        <v>1292382.98</v>
      </c>
    </row>
    <row r="293" spans="1:7" x14ac:dyDescent="0.3">
      <c r="A293" s="1">
        <v>286</v>
      </c>
      <c r="B293" s="15">
        <v>45901</v>
      </c>
      <c r="C293" s="11" t="s">
        <v>10</v>
      </c>
      <c r="D293" s="11" t="s">
        <v>26</v>
      </c>
      <c r="E293" s="9">
        <v>20</v>
      </c>
      <c r="F293" s="7">
        <v>39609.85</v>
      </c>
      <c r="G293" s="7">
        <v>792197</v>
      </c>
    </row>
    <row r="294" spans="1:7" x14ac:dyDescent="0.3">
      <c r="A294" s="1">
        <v>287</v>
      </c>
      <c r="B294" s="15">
        <v>45711</v>
      </c>
      <c r="C294" s="11" t="s">
        <v>10</v>
      </c>
      <c r="D294" s="11" t="s">
        <v>34</v>
      </c>
      <c r="E294" s="9">
        <v>5</v>
      </c>
      <c r="F294" s="7">
        <v>25582.27</v>
      </c>
      <c r="G294" s="7">
        <v>127911.35</v>
      </c>
    </row>
    <row r="295" spans="1:7" x14ac:dyDescent="0.3">
      <c r="A295" s="1">
        <v>288</v>
      </c>
      <c r="B295" s="15">
        <v>45810</v>
      </c>
      <c r="C295" s="11" t="s">
        <v>7</v>
      </c>
      <c r="D295" s="11" t="s">
        <v>14</v>
      </c>
      <c r="E295" s="9">
        <v>3</v>
      </c>
      <c r="F295" s="7">
        <v>31601.48</v>
      </c>
      <c r="G295" s="7">
        <v>94804.44</v>
      </c>
    </row>
    <row r="296" spans="1:7" x14ac:dyDescent="0.3">
      <c r="A296" s="1">
        <v>289</v>
      </c>
      <c r="B296" s="15">
        <v>45789</v>
      </c>
      <c r="C296" s="11" t="s">
        <v>8</v>
      </c>
      <c r="D296" s="11" t="s">
        <v>18</v>
      </c>
      <c r="E296" s="9">
        <v>20</v>
      </c>
      <c r="F296" s="7">
        <v>90238.64</v>
      </c>
      <c r="G296" s="7">
        <v>1804772.8</v>
      </c>
    </row>
    <row r="297" spans="1:7" x14ac:dyDescent="0.3">
      <c r="A297" s="1">
        <v>290</v>
      </c>
      <c r="B297" s="15">
        <v>45669</v>
      </c>
      <c r="C297" s="11" t="s">
        <v>8</v>
      </c>
      <c r="D297" s="11" t="s">
        <v>20</v>
      </c>
      <c r="E297" s="9">
        <v>9</v>
      </c>
      <c r="F297" s="7">
        <v>86278.94</v>
      </c>
      <c r="G297" s="7">
        <v>776510.46</v>
      </c>
    </row>
    <row r="298" spans="1:7" x14ac:dyDescent="0.3">
      <c r="A298" s="1">
        <v>291</v>
      </c>
      <c r="B298" s="15">
        <v>45831</v>
      </c>
      <c r="C298" s="11" t="s">
        <v>7</v>
      </c>
      <c r="D298" s="11" t="s">
        <v>19</v>
      </c>
      <c r="E298" s="9">
        <v>5</v>
      </c>
      <c r="F298" s="7">
        <v>67458.12</v>
      </c>
      <c r="G298" s="7">
        <v>337290.6</v>
      </c>
    </row>
    <row r="299" spans="1:7" x14ac:dyDescent="0.3">
      <c r="A299" s="1">
        <v>292</v>
      </c>
      <c r="B299" s="15">
        <v>45739</v>
      </c>
      <c r="C299" s="11" t="s">
        <v>7</v>
      </c>
      <c r="D299" s="11" t="s">
        <v>13</v>
      </c>
      <c r="E299" s="9">
        <v>15</v>
      </c>
      <c r="F299" s="7">
        <v>48741.22</v>
      </c>
      <c r="G299" s="7">
        <v>731118.3</v>
      </c>
    </row>
    <row r="300" spans="1:7" x14ac:dyDescent="0.3">
      <c r="A300" s="1">
        <v>293</v>
      </c>
      <c r="B300" s="15">
        <v>45787</v>
      </c>
      <c r="C300" s="11" t="s">
        <v>8</v>
      </c>
      <c r="D300" s="11" t="s">
        <v>28</v>
      </c>
      <c r="E300" s="9">
        <v>20</v>
      </c>
      <c r="F300" s="7">
        <v>97104.01</v>
      </c>
      <c r="G300" s="7">
        <v>1942080.2</v>
      </c>
    </row>
    <row r="301" spans="1:7" x14ac:dyDescent="0.3">
      <c r="A301" s="1">
        <v>294</v>
      </c>
      <c r="B301" s="15">
        <v>45846</v>
      </c>
      <c r="C301" s="11" t="s">
        <v>8</v>
      </c>
      <c r="D301" s="11" t="s">
        <v>16</v>
      </c>
      <c r="E301" s="9">
        <v>19</v>
      </c>
      <c r="F301" s="7">
        <v>3293.87</v>
      </c>
      <c r="G301" s="7">
        <v>62583.53</v>
      </c>
    </row>
    <row r="302" spans="1:7" x14ac:dyDescent="0.3">
      <c r="A302" s="1">
        <v>295</v>
      </c>
      <c r="B302" s="15">
        <v>45742</v>
      </c>
      <c r="C302" s="11" t="s">
        <v>6</v>
      </c>
      <c r="D302" s="11" t="s">
        <v>21</v>
      </c>
      <c r="E302" s="9">
        <v>11</v>
      </c>
      <c r="F302" s="7">
        <v>25077.73</v>
      </c>
      <c r="G302" s="7">
        <v>275855.03000000003</v>
      </c>
    </row>
    <row r="303" spans="1:7" x14ac:dyDescent="0.3">
      <c r="A303" s="1">
        <v>296</v>
      </c>
      <c r="B303" s="15">
        <v>45760</v>
      </c>
      <c r="C303" s="11" t="s">
        <v>9</v>
      </c>
      <c r="D303" s="11" t="s">
        <v>25</v>
      </c>
      <c r="E303" s="9">
        <v>4</v>
      </c>
      <c r="F303" s="7">
        <v>78293.83</v>
      </c>
      <c r="G303" s="7">
        <v>313175.32</v>
      </c>
    </row>
    <row r="304" spans="1:7" x14ac:dyDescent="0.3">
      <c r="A304" s="1">
        <v>297</v>
      </c>
      <c r="B304" s="15">
        <v>45824</v>
      </c>
      <c r="C304" s="11" t="s">
        <v>6</v>
      </c>
      <c r="D304" s="11" t="s">
        <v>35</v>
      </c>
      <c r="E304" s="9">
        <v>14</v>
      </c>
      <c r="F304" s="7">
        <v>41896.629999999997</v>
      </c>
      <c r="G304" s="7">
        <v>586552.81999999995</v>
      </c>
    </row>
    <row r="305" spans="1:7" x14ac:dyDescent="0.3">
      <c r="A305" s="1">
        <v>298</v>
      </c>
      <c r="B305" s="15">
        <v>45875</v>
      </c>
      <c r="C305" s="11" t="s">
        <v>8</v>
      </c>
      <c r="D305" s="11" t="s">
        <v>28</v>
      </c>
      <c r="E305" s="9">
        <v>16</v>
      </c>
      <c r="F305" s="7">
        <v>87230.14</v>
      </c>
      <c r="G305" s="7">
        <v>1395682.24</v>
      </c>
    </row>
    <row r="306" spans="1:7" x14ac:dyDescent="0.3">
      <c r="A306" s="1">
        <v>299</v>
      </c>
      <c r="B306" s="15">
        <v>45789</v>
      </c>
      <c r="C306" s="11" t="s">
        <v>9</v>
      </c>
      <c r="D306" s="11" t="s">
        <v>33</v>
      </c>
      <c r="E306" s="9">
        <v>12</v>
      </c>
      <c r="F306" s="7">
        <v>64689.39</v>
      </c>
      <c r="G306" s="7">
        <v>776272.68</v>
      </c>
    </row>
    <row r="307" spans="1:7" x14ac:dyDescent="0.3">
      <c r="A307" s="1">
        <v>300</v>
      </c>
      <c r="B307" s="15">
        <v>45820</v>
      </c>
      <c r="C307" s="11" t="s">
        <v>6</v>
      </c>
      <c r="D307" s="11" t="s">
        <v>36</v>
      </c>
      <c r="E307" s="9">
        <v>9</v>
      </c>
      <c r="F307" s="7">
        <v>98487.53</v>
      </c>
      <c r="G307" s="7">
        <v>886387.77</v>
      </c>
    </row>
    <row r="308" spans="1:7" x14ac:dyDescent="0.3">
      <c r="A308" s="1">
        <v>301</v>
      </c>
      <c r="B308" s="15">
        <v>45836</v>
      </c>
      <c r="C308" s="11" t="s">
        <v>6</v>
      </c>
      <c r="D308" s="11" t="s">
        <v>35</v>
      </c>
      <c r="E308" s="9">
        <v>1</v>
      </c>
      <c r="F308" s="7">
        <v>41498.67</v>
      </c>
      <c r="G308" s="7">
        <v>41498.67</v>
      </c>
    </row>
    <row r="309" spans="1:7" x14ac:dyDescent="0.3">
      <c r="A309" s="1">
        <v>302</v>
      </c>
      <c r="B309" s="15">
        <v>45684</v>
      </c>
      <c r="C309" s="11" t="s">
        <v>9</v>
      </c>
      <c r="D309" s="11" t="s">
        <v>33</v>
      </c>
      <c r="E309" s="9">
        <v>14</v>
      </c>
      <c r="F309" s="7">
        <v>25275.81</v>
      </c>
      <c r="G309" s="7">
        <v>353861.34</v>
      </c>
    </row>
    <row r="310" spans="1:7" x14ac:dyDescent="0.3">
      <c r="A310" s="1">
        <v>303</v>
      </c>
      <c r="B310" s="15">
        <v>45879</v>
      </c>
      <c r="C310" s="11" t="s">
        <v>8</v>
      </c>
      <c r="D310" s="11" t="s">
        <v>18</v>
      </c>
      <c r="E310" s="9">
        <v>11</v>
      </c>
      <c r="F310" s="7">
        <v>26382.62</v>
      </c>
      <c r="G310" s="7">
        <v>290208.82</v>
      </c>
    </row>
    <row r="311" spans="1:7" x14ac:dyDescent="0.3">
      <c r="A311" s="1">
        <v>304</v>
      </c>
      <c r="B311" s="15">
        <v>45892</v>
      </c>
      <c r="C311" s="11" t="s">
        <v>8</v>
      </c>
      <c r="D311" s="11" t="s">
        <v>29</v>
      </c>
      <c r="E311" s="9">
        <v>7</v>
      </c>
      <c r="F311" s="7">
        <v>77070.070000000007</v>
      </c>
      <c r="G311" s="7">
        <v>539490.49</v>
      </c>
    </row>
    <row r="312" spans="1:7" x14ac:dyDescent="0.3">
      <c r="A312" s="1">
        <v>305</v>
      </c>
      <c r="B312" s="15">
        <v>45721</v>
      </c>
      <c r="C312" s="11" t="s">
        <v>9</v>
      </c>
      <c r="D312" s="11" t="s">
        <v>25</v>
      </c>
      <c r="E312" s="9">
        <v>16</v>
      </c>
      <c r="F312" s="7">
        <v>21496.12</v>
      </c>
      <c r="G312" s="7">
        <v>343937.92</v>
      </c>
    </row>
    <row r="313" spans="1:7" x14ac:dyDescent="0.3">
      <c r="A313" s="1">
        <v>306</v>
      </c>
      <c r="B313" s="15">
        <v>45875</v>
      </c>
      <c r="C313" s="11" t="s">
        <v>7</v>
      </c>
      <c r="D313" s="11" t="s">
        <v>12</v>
      </c>
      <c r="E313" s="9">
        <v>1</v>
      </c>
      <c r="F313" s="7">
        <v>20243.84</v>
      </c>
      <c r="G313" s="7">
        <v>20243.84</v>
      </c>
    </row>
    <row r="314" spans="1:7" x14ac:dyDescent="0.3">
      <c r="A314" s="1">
        <v>307</v>
      </c>
      <c r="B314" s="15">
        <v>45825</v>
      </c>
      <c r="C314" s="11" t="s">
        <v>8</v>
      </c>
      <c r="D314" s="11" t="s">
        <v>29</v>
      </c>
      <c r="E314" s="9">
        <v>10</v>
      </c>
      <c r="F314" s="7">
        <v>40672.79</v>
      </c>
      <c r="G314" s="7">
        <v>406727.9</v>
      </c>
    </row>
    <row r="315" spans="1:7" x14ac:dyDescent="0.3">
      <c r="A315" s="1">
        <v>308</v>
      </c>
      <c r="B315" s="15">
        <v>45848</v>
      </c>
      <c r="C315" s="11" t="s">
        <v>8</v>
      </c>
      <c r="D315" s="11" t="s">
        <v>28</v>
      </c>
      <c r="E315" s="9">
        <v>7</v>
      </c>
      <c r="F315" s="7">
        <v>27777.13</v>
      </c>
      <c r="G315" s="7">
        <v>194439.91</v>
      </c>
    </row>
    <row r="316" spans="1:7" x14ac:dyDescent="0.3">
      <c r="A316" s="1">
        <v>309</v>
      </c>
      <c r="B316" s="15">
        <v>45844</v>
      </c>
      <c r="C316" s="11" t="s">
        <v>7</v>
      </c>
      <c r="D316" s="11" t="s">
        <v>15</v>
      </c>
      <c r="E316" s="9">
        <v>14</v>
      </c>
      <c r="F316" s="7">
        <v>71729.679999999993</v>
      </c>
      <c r="G316" s="7">
        <v>1004215.52</v>
      </c>
    </row>
    <row r="317" spans="1:7" x14ac:dyDescent="0.3">
      <c r="A317" s="1">
        <v>310</v>
      </c>
      <c r="B317" s="15">
        <v>45659</v>
      </c>
      <c r="C317" s="11" t="s">
        <v>7</v>
      </c>
      <c r="D317" s="11" t="s">
        <v>19</v>
      </c>
      <c r="E317" s="9">
        <v>3</v>
      </c>
      <c r="F317" s="7">
        <v>66090.8</v>
      </c>
      <c r="G317" s="7">
        <v>198272.4</v>
      </c>
    </row>
    <row r="318" spans="1:7" x14ac:dyDescent="0.3">
      <c r="A318" s="1">
        <v>311</v>
      </c>
      <c r="B318" s="15">
        <v>45911</v>
      </c>
      <c r="C318" s="11" t="s">
        <v>10</v>
      </c>
      <c r="D318" s="11" t="s">
        <v>34</v>
      </c>
      <c r="E318" s="9">
        <v>20</v>
      </c>
      <c r="F318" s="7">
        <v>32747.759999999998</v>
      </c>
      <c r="G318" s="7">
        <v>654955.19999999995</v>
      </c>
    </row>
    <row r="319" spans="1:7" x14ac:dyDescent="0.3">
      <c r="A319" s="1">
        <v>312</v>
      </c>
      <c r="B319" s="15">
        <v>45794</v>
      </c>
      <c r="C319" s="11" t="s">
        <v>9</v>
      </c>
      <c r="D319" s="11" t="s">
        <v>33</v>
      </c>
      <c r="E319" s="9">
        <v>10</v>
      </c>
      <c r="F319" s="7">
        <v>63256.54</v>
      </c>
      <c r="G319" s="7">
        <v>632565.4</v>
      </c>
    </row>
    <row r="320" spans="1:7" x14ac:dyDescent="0.3">
      <c r="A320" s="1">
        <v>313</v>
      </c>
      <c r="B320" s="15">
        <v>45682</v>
      </c>
      <c r="C320" s="11" t="s">
        <v>10</v>
      </c>
      <c r="D320" s="11" t="s">
        <v>24</v>
      </c>
      <c r="E320" s="9">
        <v>11</v>
      </c>
      <c r="F320" s="7">
        <v>70563.47</v>
      </c>
      <c r="G320" s="7">
        <v>776198.17</v>
      </c>
    </row>
    <row r="321" spans="1:7" x14ac:dyDescent="0.3">
      <c r="A321" s="1">
        <v>314</v>
      </c>
      <c r="B321" s="15">
        <v>45927</v>
      </c>
      <c r="C321" s="11" t="s">
        <v>9</v>
      </c>
      <c r="D321" s="11" t="s">
        <v>32</v>
      </c>
      <c r="E321" s="9">
        <v>15</v>
      </c>
      <c r="F321" s="7">
        <v>43197.51</v>
      </c>
      <c r="G321" s="7">
        <v>647962.65</v>
      </c>
    </row>
    <row r="322" spans="1:7" x14ac:dyDescent="0.3">
      <c r="A322" s="1">
        <v>315</v>
      </c>
      <c r="B322" s="15">
        <v>45844</v>
      </c>
      <c r="C322" s="11" t="s">
        <v>8</v>
      </c>
      <c r="D322" s="11" t="s">
        <v>18</v>
      </c>
      <c r="E322" s="9">
        <v>13</v>
      </c>
      <c r="F322" s="7">
        <v>47998.97</v>
      </c>
      <c r="G322" s="7">
        <v>623986.61</v>
      </c>
    </row>
    <row r="323" spans="1:7" x14ac:dyDescent="0.3">
      <c r="A323" s="1">
        <v>316</v>
      </c>
      <c r="B323" s="15">
        <v>45852</v>
      </c>
      <c r="C323" s="11" t="s">
        <v>10</v>
      </c>
      <c r="D323" s="11" t="s">
        <v>34</v>
      </c>
      <c r="E323" s="9">
        <v>9</v>
      </c>
      <c r="F323" s="7">
        <v>1911.64</v>
      </c>
      <c r="G323" s="7">
        <v>17204.759999999998</v>
      </c>
    </row>
    <row r="324" spans="1:7" x14ac:dyDescent="0.3">
      <c r="A324" s="1">
        <v>317</v>
      </c>
      <c r="B324" s="15">
        <v>45829</v>
      </c>
      <c r="C324" s="11" t="s">
        <v>7</v>
      </c>
      <c r="D324" s="11" t="s">
        <v>12</v>
      </c>
      <c r="E324" s="9">
        <v>11</v>
      </c>
      <c r="F324" s="7">
        <v>9937.65</v>
      </c>
      <c r="G324" s="7">
        <v>109314.15</v>
      </c>
    </row>
    <row r="325" spans="1:7" x14ac:dyDescent="0.3">
      <c r="A325" s="1">
        <v>318</v>
      </c>
      <c r="B325" s="15">
        <v>45689</v>
      </c>
      <c r="C325" s="11" t="s">
        <v>9</v>
      </c>
      <c r="D325" s="11" t="s">
        <v>23</v>
      </c>
      <c r="E325" s="9">
        <v>6</v>
      </c>
      <c r="F325" s="7">
        <v>51187.23</v>
      </c>
      <c r="G325" s="7">
        <v>307123.38</v>
      </c>
    </row>
    <row r="326" spans="1:7" x14ac:dyDescent="0.3">
      <c r="A326" s="1">
        <v>319</v>
      </c>
      <c r="B326" s="15">
        <v>45676</v>
      </c>
      <c r="C326" s="11" t="s">
        <v>7</v>
      </c>
      <c r="D326" s="11" t="s">
        <v>12</v>
      </c>
      <c r="E326" s="9">
        <v>3</v>
      </c>
      <c r="F326" s="7">
        <v>40604.07</v>
      </c>
      <c r="G326" s="7">
        <v>121812.21</v>
      </c>
    </row>
    <row r="327" spans="1:7" x14ac:dyDescent="0.3">
      <c r="A327" s="1">
        <v>320</v>
      </c>
      <c r="B327" s="15">
        <v>45782</v>
      </c>
      <c r="C327" s="11" t="s">
        <v>7</v>
      </c>
      <c r="D327" s="11" t="s">
        <v>15</v>
      </c>
      <c r="E327" s="9">
        <v>4</v>
      </c>
      <c r="F327" s="7">
        <v>90229.69</v>
      </c>
      <c r="G327" s="7">
        <v>360918.76</v>
      </c>
    </row>
    <row r="328" spans="1:7" x14ac:dyDescent="0.3">
      <c r="A328" s="1">
        <v>321</v>
      </c>
      <c r="B328" s="15">
        <v>45726</v>
      </c>
      <c r="C328" s="11" t="s">
        <v>6</v>
      </c>
      <c r="D328" s="11" t="s">
        <v>37</v>
      </c>
      <c r="E328" s="9">
        <v>9</v>
      </c>
      <c r="F328" s="7">
        <v>90976.02</v>
      </c>
      <c r="G328" s="7">
        <v>818784.18</v>
      </c>
    </row>
    <row r="329" spans="1:7" x14ac:dyDescent="0.3">
      <c r="A329" s="1">
        <v>322</v>
      </c>
      <c r="B329" s="15">
        <v>45726</v>
      </c>
      <c r="C329" s="11" t="s">
        <v>6</v>
      </c>
      <c r="D329" s="11" t="s">
        <v>35</v>
      </c>
      <c r="E329" s="9">
        <v>13</v>
      </c>
      <c r="F329" s="7">
        <v>71739.39</v>
      </c>
      <c r="G329" s="7">
        <v>932612.07</v>
      </c>
    </row>
    <row r="330" spans="1:7" x14ac:dyDescent="0.3">
      <c r="A330" s="1">
        <v>323</v>
      </c>
      <c r="B330" s="15">
        <v>45724</v>
      </c>
      <c r="C330" s="11" t="s">
        <v>6</v>
      </c>
      <c r="D330" s="11" t="s">
        <v>30</v>
      </c>
      <c r="E330" s="9">
        <v>15</v>
      </c>
      <c r="F330" s="7">
        <v>30384.52</v>
      </c>
      <c r="G330" s="7">
        <v>455767.8</v>
      </c>
    </row>
    <row r="331" spans="1:7" x14ac:dyDescent="0.3">
      <c r="A331" s="1">
        <v>324</v>
      </c>
      <c r="B331" s="15">
        <v>45827</v>
      </c>
      <c r="C331" s="11" t="s">
        <v>10</v>
      </c>
      <c r="D331" s="11" t="s">
        <v>27</v>
      </c>
      <c r="E331" s="9">
        <v>13</v>
      </c>
      <c r="F331" s="7">
        <v>85435.18</v>
      </c>
      <c r="G331" s="7">
        <v>1110657.3400000001</v>
      </c>
    </row>
    <row r="332" spans="1:7" x14ac:dyDescent="0.3">
      <c r="A332" s="1">
        <v>325</v>
      </c>
      <c r="B332" s="15">
        <v>45788</v>
      </c>
      <c r="C332" s="11" t="s">
        <v>6</v>
      </c>
      <c r="D332" s="11" t="s">
        <v>11</v>
      </c>
      <c r="E332" s="9">
        <v>4</v>
      </c>
      <c r="F332" s="7">
        <v>24800.68</v>
      </c>
      <c r="G332" s="7">
        <v>99202.72</v>
      </c>
    </row>
    <row r="333" spans="1:7" x14ac:dyDescent="0.3">
      <c r="A333" s="1">
        <v>326</v>
      </c>
      <c r="B333" s="15">
        <v>45720</v>
      </c>
      <c r="C333" s="11" t="s">
        <v>7</v>
      </c>
      <c r="D333" s="11" t="s">
        <v>15</v>
      </c>
      <c r="E333" s="9">
        <v>6</v>
      </c>
      <c r="F333" s="7">
        <v>47952.32</v>
      </c>
      <c r="G333" s="7">
        <v>287713.91999999998</v>
      </c>
    </row>
    <row r="334" spans="1:7" x14ac:dyDescent="0.3">
      <c r="A334" s="1">
        <v>327</v>
      </c>
      <c r="B334" s="15">
        <v>45853</v>
      </c>
      <c r="C334" s="11" t="s">
        <v>9</v>
      </c>
      <c r="D334" s="11" t="s">
        <v>33</v>
      </c>
      <c r="E334" s="9">
        <v>18</v>
      </c>
      <c r="F334" s="7">
        <v>14865.57</v>
      </c>
      <c r="G334" s="7">
        <v>267580.26</v>
      </c>
    </row>
    <row r="335" spans="1:7" x14ac:dyDescent="0.3">
      <c r="A335" s="1">
        <v>328</v>
      </c>
      <c r="B335" s="15">
        <v>45860</v>
      </c>
      <c r="C335" s="11" t="s">
        <v>8</v>
      </c>
      <c r="D335" s="11" t="s">
        <v>20</v>
      </c>
      <c r="E335" s="9">
        <v>15</v>
      </c>
      <c r="F335" s="7">
        <v>99907.5</v>
      </c>
      <c r="G335" s="7">
        <v>1498612.5</v>
      </c>
    </row>
    <row r="336" spans="1:7" x14ac:dyDescent="0.3">
      <c r="A336" s="1">
        <v>329</v>
      </c>
      <c r="B336" s="15">
        <v>45849</v>
      </c>
      <c r="C336" s="11" t="s">
        <v>9</v>
      </c>
      <c r="D336" s="11" t="s">
        <v>32</v>
      </c>
      <c r="E336" s="9">
        <v>14</v>
      </c>
      <c r="F336" s="7">
        <v>79911.63</v>
      </c>
      <c r="G336" s="7">
        <v>1118762.82</v>
      </c>
    </row>
    <row r="337" spans="1:7" x14ac:dyDescent="0.3">
      <c r="A337" s="1">
        <v>330</v>
      </c>
      <c r="B337" s="15">
        <v>45820</v>
      </c>
      <c r="C337" s="11" t="s">
        <v>7</v>
      </c>
      <c r="D337" s="11" t="s">
        <v>13</v>
      </c>
      <c r="E337" s="9">
        <v>10</v>
      </c>
      <c r="F337" s="7">
        <v>86422.42</v>
      </c>
      <c r="G337" s="7">
        <v>864224.2</v>
      </c>
    </row>
    <row r="338" spans="1:7" x14ac:dyDescent="0.3">
      <c r="A338" s="1">
        <v>331</v>
      </c>
      <c r="B338" s="15">
        <v>45660</v>
      </c>
      <c r="C338" s="11" t="s">
        <v>8</v>
      </c>
      <c r="D338" s="11" t="s">
        <v>16</v>
      </c>
      <c r="E338" s="9">
        <v>19</v>
      </c>
      <c r="F338" s="7">
        <v>36128.9</v>
      </c>
      <c r="G338" s="7">
        <v>686449.1</v>
      </c>
    </row>
    <row r="339" spans="1:7" x14ac:dyDescent="0.3">
      <c r="A339" s="1">
        <v>332</v>
      </c>
      <c r="B339" s="15">
        <v>45846</v>
      </c>
      <c r="C339" s="11" t="s">
        <v>7</v>
      </c>
      <c r="D339" s="11" t="s">
        <v>14</v>
      </c>
      <c r="E339" s="9">
        <v>6</v>
      </c>
      <c r="F339" s="7">
        <v>41238.639999999999</v>
      </c>
      <c r="G339" s="7">
        <v>247431.84</v>
      </c>
    </row>
    <row r="340" spans="1:7" x14ac:dyDescent="0.3">
      <c r="A340" s="1">
        <v>333</v>
      </c>
      <c r="B340" s="15">
        <v>45771</v>
      </c>
      <c r="C340" s="11" t="s">
        <v>10</v>
      </c>
      <c r="D340" s="11" t="s">
        <v>26</v>
      </c>
      <c r="E340" s="9">
        <v>2</v>
      </c>
      <c r="F340" s="7">
        <v>10092.200000000001</v>
      </c>
      <c r="G340" s="7">
        <v>20184.400000000001</v>
      </c>
    </row>
    <row r="341" spans="1:7" x14ac:dyDescent="0.3">
      <c r="A341" s="1">
        <v>334</v>
      </c>
      <c r="B341" s="15">
        <v>45743</v>
      </c>
      <c r="C341" s="11" t="s">
        <v>10</v>
      </c>
      <c r="D341" s="11" t="s">
        <v>31</v>
      </c>
      <c r="E341" s="9">
        <v>7</v>
      </c>
      <c r="F341" s="7">
        <v>6558.21</v>
      </c>
      <c r="G341" s="7">
        <v>45907.47</v>
      </c>
    </row>
    <row r="342" spans="1:7" x14ac:dyDescent="0.3">
      <c r="A342" s="1">
        <v>335</v>
      </c>
      <c r="B342" s="15">
        <v>45796</v>
      </c>
      <c r="C342" s="11" t="s">
        <v>7</v>
      </c>
      <c r="D342" s="11" t="s">
        <v>13</v>
      </c>
      <c r="E342" s="9">
        <v>6</v>
      </c>
      <c r="F342" s="7">
        <v>67880.52</v>
      </c>
      <c r="G342" s="7">
        <v>407283.12</v>
      </c>
    </row>
    <row r="343" spans="1:7" x14ac:dyDescent="0.3">
      <c r="A343" s="1">
        <v>336</v>
      </c>
      <c r="B343" s="15">
        <v>45874</v>
      </c>
      <c r="C343" s="11" t="s">
        <v>6</v>
      </c>
      <c r="D343" s="11" t="s">
        <v>36</v>
      </c>
      <c r="E343" s="9">
        <v>6</v>
      </c>
      <c r="F343" s="7">
        <v>5698.73</v>
      </c>
      <c r="G343" s="7">
        <v>34192.379999999997</v>
      </c>
    </row>
    <row r="344" spans="1:7" x14ac:dyDescent="0.3">
      <c r="A344" s="1">
        <v>337</v>
      </c>
      <c r="B344" s="15">
        <v>45857</v>
      </c>
      <c r="C344" s="11" t="s">
        <v>9</v>
      </c>
      <c r="D344" s="11" t="s">
        <v>25</v>
      </c>
      <c r="E344" s="9">
        <v>15</v>
      </c>
      <c r="F344" s="7">
        <v>24247.35</v>
      </c>
      <c r="G344" s="7">
        <v>363710.25</v>
      </c>
    </row>
    <row r="345" spans="1:7" x14ac:dyDescent="0.3">
      <c r="A345" s="1">
        <v>338</v>
      </c>
      <c r="B345" s="15">
        <v>45857</v>
      </c>
      <c r="C345" s="11" t="s">
        <v>6</v>
      </c>
      <c r="D345" s="11" t="s">
        <v>21</v>
      </c>
      <c r="E345" s="9">
        <v>16</v>
      </c>
      <c r="F345" s="7">
        <v>26002.35</v>
      </c>
      <c r="G345" s="7">
        <v>416037.6</v>
      </c>
    </row>
    <row r="346" spans="1:7" x14ac:dyDescent="0.3">
      <c r="A346" s="1">
        <v>339</v>
      </c>
      <c r="B346" s="15">
        <v>45797</v>
      </c>
      <c r="C346" s="11" t="s">
        <v>10</v>
      </c>
      <c r="D346" s="11" t="s">
        <v>27</v>
      </c>
      <c r="E346" s="9">
        <v>20</v>
      </c>
      <c r="F346" s="7">
        <v>64444.5</v>
      </c>
      <c r="G346" s="7">
        <v>1288890</v>
      </c>
    </row>
    <row r="347" spans="1:7" x14ac:dyDescent="0.3">
      <c r="A347" s="1">
        <v>340</v>
      </c>
      <c r="B347" s="15">
        <v>45866</v>
      </c>
      <c r="C347" s="11" t="s">
        <v>10</v>
      </c>
      <c r="D347" s="11" t="s">
        <v>34</v>
      </c>
      <c r="E347" s="9">
        <v>14</v>
      </c>
      <c r="F347" s="7">
        <v>98846.2</v>
      </c>
      <c r="G347" s="7">
        <v>1383846.8</v>
      </c>
    </row>
    <row r="348" spans="1:7" x14ac:dyDescent="0.3">
      <c r="A348" s="1">
        <v>341</v>
      </c>
      <c r="B348" s="15">
        <v>45902</v>
      </c>
      <c r="C348" s="11" t="s">
        <v>9</v>
      </c>
      <c r="D348" s="11" t="s">
        <v>23</v>
      </c>
      <c r="E348" s="9">
        <v>19</v>
      </c>
      <c r="F348" s="7">
        <v>72708.92</v>
      </c>
      <c r="G348" s="7">
        <v>1381469.48</v>
      </c>
    </row>
    <row r="349" spans="1:7" x14ac:dyDescent="0.3">
      <c r="A349" s="1">
        <v>342</v>
      </c>
      <c r="B349" s="15">
        <v>45814</v>
      </c>
      <c r="C349" s="11" t="s">
        <v>8</v>
      </c>
      <c r="D349" s="11" t="s">
        <v>18</v>
      </c>
      <c r="E349" s="9">
        <v>8</v>
      </c>
      <c r="F349" s="7">
        <v>92494.42</v>
      </c>
      <c r="G349" s="7">
        <v>739955.36</v>
      </c>
    </row>
    <row r="350" spans="1:7" x14ac:dyDescent="0.3">
      <c r="A350" s="1">
        <v>343</v>
      </c>
      <c r="B350" s="15">
        <v>45711</v>
      </c>
      <c r="C350" s="11" t="s">
        <v>6</v>
      </c>
      <c r="D350" s="11" t="s">
        <v>22</v>
      </c>
      <c r="E350" s="9">
        <v>19</v>
      </c>
      <c r="F350" s="7">
        <v>36930.43</v>
      </c>
      <c r="G350" s="7">
        <v>701678.17</v>
      </c>
    </row>
    <row r="351" spans="1:7" x14ac:dyDescent="0.3">
      <c r="A351" s="1">
        <v>344</v>
      </c>
      <c r="B351" s="15">
        <v>45743</v>
      </c>
      <c r="C351" s="11" t="s">
        <v>7</v>
      </c>
      <c r="D351" s="11" t="s">
        <v>12</v>
      </c>
      <c r="E351" s="9">
        <v>20</v>
      </c>
      <c r="F351" s="7">
        <v>98514.18</v>
      </c>
      <c r="G351" s="7">
        <v>1970283.6</v>
      </c>
    </row>
    <row r="352" spans="1:7" x14ac:dyDescent="0.3">
      <c r="A352" s="1">
        <v>345</v>
      </c>
      <c r="B352" s="15">
        <v>45783</v>
      </c>
      <c r="C352" s="11" t="s">
        <v>9</v>
      </c>
      <c r="D352" s="11" t="s">
        <v>17</v>
      </c>
      <c r="E352" s="9">
        <v>6</v>
      </c>
      <c r="F352" s="7">
        <v>37290.629999999997</v>
      </c>
      <c r="G352" s="7">
        <v>223743.78</v>
      </c>
    </row>
    <row r="353" spans="1:7" x14ac:dyDescent="0.3">
      <c r="A353" s="1">
        <v>346</v>
      </c>
      <c r="B353" s="15">
        <v>45770</v>
      </c>
      <c r="C353" s="11" t="s">
        <v>6</v>
      </c>
      <c r="D353" s="11" t="s">
        <v>36</v>
      </c>
      <c r="E353" s="9">
        <v>17</v>
      </c>
      <c r="F353" s="7">
        <v>30065.3</v>
      </c>
      <c r="G353" s="7">
        <v>511110.1</v>
      </c>
    </row>
    <row r="354" spans="1:7" x14ac:dyDescent="0.3">
      <c r="A354" s="1">
        <v>347</v>
      </c>
      <c r="B354" s="15">
        <v>45851</v>
      </c>
      <c r="C354" s="11" t="s">
        <v>8</v>
      </c>
      <c r="D354" s="11" t="s">
        <v>16</v>
      </c>
      <c r="E354" s="9">
        <v>5</v>
      </c>
      <c r="F354" s="7">
        <v>78002.45</v>
      </c>
      <c r="G354" s="7">
        <v>390012.25</v>
      </c>
    </row>
    <row r="355" spans="1:7" x14ac:dyDescent="0.3">
      <c r="A355" s="1">
        <v>348</v>
      </c>
      <c r="B355" s="15">
        <v>45721</v>
      </c>
      <c r="C355" s="11" t="s">
        <v>10</v>
      </c>
      <c r="D355" s="11" t="s">
        <v>24</v>
      </c>
      <c r="E355" s="9">
        <v>4</v>
      </c>
      <c r="F355" s="7">
        <v>97826.17</v>
      </c>
      <c r="G355" s="7">
        <v>391304.68</v>
      </c>
    </row>
    <row r="356" spans="1:7" x14ac:dyDescent="0.3">
      <c r="A356" s="1">
        <v>349</v>
      </c>
      <c r="B356" s="15">
        <v>45690</v>
      </c>
      <c r="C356" s="11" t="s">
        <v>7</v>
      </c>
      <c r="D356" s="11" t="s">
        <v>14</v>
      </c>
      <c r="E356" s="9">
        <v>17</v>
      </c>
      <c r="F356" s="7">
        <v>10083.709999999999</v>
      </c>
      <c r="G356" s="7">
        <v>171423.07</v>
      </c>
    </row>
    <row r="357" spans="1:7" x14ac:dyDescent="0.3">
      <c r="A357" s="1">
        <v>350</v>
      </c>
      <c r="B357" s="15">
        <v>45730</v>
      </c>
      <c r="C357" s="11" t="s">
        <v>9</v>
      </c>
      <c r="D357" s="11" t="s">
        <v>32</v>
      </c>
      <c r="E357" s="9">
        <v>3</v>
      </c>
      <c r="F357" s="7">
        <v>64529.62</v>
      </c>
      <c r="G357" s="7">
        <v>193588.86</v>
      </c>
    </row>
    <row r="358" spans="1:7" x14ac:dyDescent="0.3">
      <c r="A358" s="1">
        <v>351</v>
      </c>
      <c r="B358" s="15">
        <v>45659</v>
      </c>
      <c r="C358" s="11" t="s">
        <v>10</v>
      </c>
      <c r="D358" s="11" t="s">
        <v>31</v>
      </c>
      <c r="E358" s="9">
        <v>20</v>
      </c>
      <c r="F358" s="7">
        <v>44269.279999999999</v>
      </c>
      <c r="G358" s="7">
        <v>885385.6</v>
      </c>
    </row>
    <row r="359" spans="1:7" x14ac:dyDescent="0.3">
      <c r="A359" s="1">
        <v>352</v>
      </c>
      <c r="B359" s="15">
        <v>45700</v>
      </c>
      <c r="C359" s="11" t="s">
        <v>8</v>
      </c>
      <c r="D359" s="11" t="s">
        <v>16</v>
      </c>
      <c r="E359" s="9">
        <v>13</v>
      </c>
      <c r="F359" s="7">
        <v>46866.99</v>
      </c>
      <c r="G359" s="7">
        <v>609270.87</v>
      </c>
    </row>
    <row r="360" spans="1:7" x14ac:dyDescent="0.3">
      <c r="A360" s="1">
        <v>353</v>
      </c>
      <c r="B360" s="15">
        <v>45758</v>
      </c>
      <c r="C360" s="11" t="s">
        <v>8</v>
      </c>
      <c r="D360" s="11" t="s">
        <v>18</v>
      </c>
      <c r="E360" s="9">
        <v>4</v>
      </c>
      <c r="F360" s="7">
        <v>73572.429999999993</v>
      </c>
      <c r="G360" s="7">
        <v>294289.71999999997</v>
      </c>
    </row>
    <row r="361" spans="1:7" x14ac:dyDescent="0.3">
      <c r="A361" s="1">
        <v>354</v>
      </c>
      <c r="B361" s="15">
        <v>45754</v>
      </c>
      <c r="C361" s="11" t="s">
        <v>9</v>
      </c>
      <c r="D361" s="11" t="s">
        <v>23</v>
      </c>
      <c r="E361" s="9">
        <v>5</v>
      </c>
      <c r="F361" s="7">
        <v>46079.199999999997</v>
      </c>
      <c r="G361" s="7">
        <v>230396</v>
      </c>
    </row>
    <row r="362" spans="1:7" x14ac:dyDescent="0.3">
      <c r="A362" s="1">
        <v>355</v>
      </c>
      <c r="B362" s="15">
        <v>45881</v>
      </c>
      <c r="C362" s="11" t="s">
        <v>9</v>
      </c>
      <c r="D362" s="11" t="s">
        <v>25</v>
      </c>
      <c r="E362" s="9">
        <v>4</v>
      </c>
      <c r="F362" s="7">
        <v>42861.7</v>
      </c>
      <c r="G362" s="7">
        <v>171446.8</v>
      </c>
    </row>
    <row r="363" spans="1:7" x14ac:dyDescent="0.3">
      <c r="A363" s="1">
        <v>356</v>
      </c>
      <c r="B363" s="15">
        <v>45810</v>
      </c>
      <c r="C363" s="11" t="s">
        <v>7</v>
      </c>
      <c r="D363" s="11" t="s">
        <v>13</v>
      </c>
      <c r="E363" s="9">
        <v>3</v>
      </c>
      <c r="F363" s="7">
        <v>34373.360000000001</v>
      </c>
      <c r="G363" s="7">
        <v>103120.08</v>
      </c>
    </row>
    <row r="364" spans="1:7" x14ac:dyDescent="0.3">
      <c r="A364" s="1">
        <v>357</v>
      </c>
      <c r="B364" s="15">
        <v>45754</v>
      </c>
      <c r="C364" s="11" t="s">
        <v>7</v>
      </c>
      <c r="D364" s="11" t="s">
        <v>12</v>
      </c>
      <c r="E364" s="9">
        <v>9</v>
      </c>
      <c r="F364" s="7">
        <v>45886.46</v>
      </c>
      <c r="G364" s="7">
        <v>412978.14</v>
      </c>
    </row>
    <row r="365" spans="1:7" x14ac:dyDescent="0.3">
      <c r="A365" s="1">
        <v>358</v>
      </c>
      <c r="B365" s="15">
        <v>45928</v>
      </c>
      <c r="C365" s="11" t="s">
        <v>8</v>
      </c>
      <c r="D365" s="11" t="s">
        <v>16</v>
      </c>
      <c r="E365" s="9">
        <v>18</v>
      </c>
      <c r="F365" s="7">
        <v>13450.03</v>
      </c>
      <c r="G365" s="7">
        <v>242100.54</v>
      </c>
    </row>
    <row r="366" spans="1:7" x14ac:dyDescent="0.3">
      <c r="A366" s="1">
        <v>359</v>
      </c>
      <c r="B366" s="15">
        <v>45901</v>
      </c>
      <c r="C366" s="11" t="s">
        <v>7</v>
      </c>
      <c r="D366" s="11" t="s">
        <v>19</v>
      </c>
      <c r="E366" s="9">
        <v>14</v>
      </c>
      <c r="F366" s="7">
        <v>30861.06</v>
      </c>
      <c r="G366" s="7">
        <v>432054.84</v>
      </c>
    </row>
    <row r="367" spans="1:7" x14ac:dyDescent="0.3">
      <c r="A367" s="1">
        <v>360</v>
      </c>
      <c r="B367" s="15">
        <v>45916</v>
      </c>
      <c r="C367" s="11" t="s">
        <v>7</v>
      </c>
      <c r="D367" s="11" t="s">
        <v>19</v>
      </c>
      <c r="E367" s="9">
        <v>9</v>
      </c>
      <c r="F367" s="7">
        <v>83502.78</v>
      </c>
      <c r="G367" s="7">
        <v>751525.02</v>
      </c>
    </row>
    <row r="368" spans="1:7" x14ac:dyDescent="0.3">
      <c r="A368" s="1">
        <v>361</v>
      </c>
      <c r="B368" s="15">
        <v>45888</v>
      </c>
      <c r="C368" s="11" t="s">
        <v>8</v>
      </c>
      <c r="D368" s="11" t="s">
        <v>16</v>
      </c>
      <c r="E368" s="9">
        <v>4</v>
      </c>
      <c r="F368" s="7">
        <v>21861.64</v>
      </c>
      <c r="G368" s="7">
        <v>87446.56</v>
      </c>
    </row>
    <row r="369" spans="1:7" x14ac:dyDescent="0.3">
      <c r="A369" s="1">
        <v>362</v>
      </c>
      <c r="B369" s="15">
        <v>45884</v>
      </c>
      <c r="C369" s="11" t="s">
        <v>10</v>
      </c>
      <c r="D369" s="11" t="s">
        <v>34</v>
      </c>
      <c r="E369" s="9">
        <v>12</v>
      </c>
      <c r="F369" s="7">
        <v>23678.7</v>
      </c>
      <c r="G369" s="7">
        <v>284144.40000000002</v>
      </c>
    </row>
    <row r="370" spans="1:7" x14ac:dyDescent="0.3">
      <c r="A370" s="1">
        <v>363</v>
      </c>
      <c r="B370" s="15">
        <v>45896</v>
      </c>
      <c r="C370" s="11" t="s">
        <v>7</v>
      </c>
      <c r="D370" s="11" t="s">
        <v>12</v>
      </c>
      <c r="E370" s="9">
        <v>7</v>
      </c>
      <c r="F370" s="7">
        <v>8788.0499999999993</v>
      </c>
      <c r="G370" s="7">
        <v>61516.35</v>
      </c>
    </row>
    <row r="371" spans="1:7" x14ac:dyDescent="0.3">
      <c r="A371" s="1">
        <v>364</v>
      </c>
      <c r="B371" s="15">
        <v>45680</v>
      </c>
      <c r="C371" s="11" t="s">
        <v>8</v>
      </c>
      <c r="D371" s="11" t="s">
        <v>16</v>
      </c>
      <c r="E371" s="9">
        <v>2</v>
      </c>
      <c r="F371" s="7">
        <v>91443.76</v>
      </c>
      <c r="G371" s="7">
        <v>182887.52</v>
      </c>
    </row>
    <row r="372" spans="1:7" x14ac:dyDescent="0.3">
      <c r="A372" s="1">
        <v>365</v>
      </c>
      <c r="B372" s="15">
        <v>45912</v>
      </c>
      <c r="C372" s="11" t="s">
        <v>6</v>
      </c>
      <c r="D372" s="11" t="s">
        <v>30</v>
      </c>
      <c r="E372" s="9">
        <v>11</v>
      </c>
      <c r="F372" s="7">
        <v>53364.79</v>
      </c>
      <c r="G372" s="7">
        <v>587012.68999999994</v>
      </c>
    </row>
    <row r="373" spans="1:7" x14ac:dyDescent="0.3">
      <c r="A373" s="1">
        <v>366</v>
      </c>
      <c r="B373" s="15">
        <v>45830</v>
      </c>
      <c r="C373" s="11" t="s">
        <v>6</v>
      </c>
      <c r="D373" s="11" t="s">
        <v>11</v>
      </c>
      <c r="E373" s="9">
        <v>5</v>
      </c>
      <c r="F373" s="7">
        <v>36676.53</v>
      </c>
      <c r="G373" s="7">
        <v>183382.65</v>
      </c>
    </row>
    <row r="374" spans="1:7" x14ac:dyDescent="0.3">
      <c r="A374" s="1">
        <v>367</v>
      </c>
      <c r="B374" s="15">
        <v>45791</v>
      </c>
      <c r="C374" s="11" t="s">
        <v>6</v>
      </c>
      <c r="D374" s="11" t="s">
        <v>36</v>
      </c>
      <c r="E374" s="9">
        <v>14</v>
      </c>
      <c r="F374" s="7">
        <v>2361.75</v>
      </c>
      <c r="G374" s="7">
        <v>33064.5</v>
      </c>
    </row>
    <row r="375" spans="1:7" x14ac:dyDescent="0.3">
      <c r="A375" s="1">
        <v>368</v>
      </c>
      <c r="B375" s="15">
        <v>45763</v>
      </c>
      <c r="C375" s="11" t="s">
        <v>8</v>
      </c>
      <c r="D375" s="11" t="s">
        <v>20</v>
      </c>
      <c r="E375" s="9">
        <v>13</v>
      </c>
      <c r="F375" s="7">
        <v>58227.42</v>
      </c>
      <c r="G375" s="7">
        <v>756956.46</v>
      </c>
    </row>
    <row r="376" spans="1:7" x14ac:dyDescent="0.3">
      <c r="A376" s="1">
        <v>369</v>
      </c>
      <c r="B376" s="15">
        <v>45781</v>
      </c>
      <c r="C376" s="11" t="s">
        <v>10</v>
      </c>
      <c r="D376" s="11" t="s">
        <v>31</v>
      </c>
      <c r="E376" s="9">
        <v>11</v>
      </c>
      <c r="F376" s="7">
        <v>58921.62</v>
      </c>
      <c r="G376" s="7">
        <v>648137.81999999995</v>
      </c>
    </row>
    <row r="377" spans="1:7" x14ac:dyDescent="0.3">
      <c r="A377" s="1">
        <v>370</v>
      </c>
      <c r="B377" s="15">
        <v>45877</v>
      </c>
      <c r="C377" s="11" t="s">
        <v>7</v>
      </c>
      <c r="D377" s="11" t="s">
        <v>14</v>
      </c>
      <c r="E377" s="9">
        <v>5</v>
      </c>
      <c r="F377" s="7">
        <v>26453.29</v>
      </c>
      <c r="G377" s="7">
        <v>132266.45000000001</v>
      </c>
    </row>
    <row r="378" spans="1:7" x14ac:dyDescent="0.3">
      <c r="A378" s="1">
        <v>371</v>
      </c>
      <c r="B378" s="15">
        <v>45809</v>
      </c>
      <c r="C378" s="11" t="s">
        <v>9</v>
      </c>
      <c r="D378" s="11" t="s">
        <v>25</v>
      </c>
      <c r="E378" s="9">
        <v>17</v>
      </c>
      <c r="F378" s="7">
        <v>45814.080000000002</v>
      </c>
      <c r="G378" s="7">
        <v>778839.36</v>
      </c>
    </row>
    <row r="379" spans="1:7" x14ac:dyDescent="0.3">
      <c r="A379" s="1">
        <v>372</v>
      </c>
      <c r="B379" s="15">
        <v>45710</v>
      </c>
      <c r="C379" s="11" t="s">
        <v>8</v>
      </c>
      <c r="D379" s="11" t="s">
        <v>18</v>
      </c>
      <c r="E379" s="9">
        <v>14</v>
      </c>
      <c r="F379" s="7">
        <v>58846.95</v>
      </c>
      <c r="G379" s="7">
        <v>823857.3</v>
      </c>
    </row>
    <row r="380" spans="1:7" x14ac:dyDescent="0.3">
      <c r="A380" s="1">
        <v>373</v>
      </c>
      <c r="B380" s="15">
        <v>45882</v>
      </c>
      <c r="C380" s="11" t="s">
        <v>10</v>
      </c>
      <c r="D380" s="11" t="s">
        <v>31</v>
      </c>
      <c r="E380" s="9">
        <v>13</v>
      </c>
      <c r="F380" s="7">
        <v>64491.34</v>
      </c>
      <c r="G380" s="7">
        <v>838387.42</v>
      </c>
    </row>
    <row r="381" spans="1:7" x14ac:dyDescent="0.3">
      <c r="A381" s="1">
        <v>374</v>
      </c>
      <c r="B381" s="15">
        <v>45759</v>
      </c>
      <c r="C381" s="11" t="s">
        <v>7</v>
      </c>
      <c r="D381" s="11" t="s">
        <v>19</v>
      </c>
      <c r="E381" s="9">
        <v>14</v>
      </c>
      <c r="F381" s="7">
        <v>11767.74</v>
      </c>
      <c r="G381" s="7">
        <v>164748.35999999999</v>
      </c>
    </row>
    <row r="382" spans="1:7" x14ac:dyDescent="0.3">
      <c r="A382" s="1">
        <v>375</v>
      </c>
      <c r="B382" s="15">
        <v>45711</v>
      </c>
      <c r="C382" s="11" t="s">
        <v>10</v>
      </c>
      <c r="D382" s="11" t="s">
        <v>27</v>
      </c>
      <c r="E382" s="9">
        <v>8</v>
      </c>
      <c r="F382" s="7">
        <v>91367.8</v>
      </c>
      <c r="G382" s="7">
        <v>730942.4</v>
      </c>
    </row>
    <row r="383" spans="1:7" x14ac:dyDescent="0.3">
      <c r="A383" s="1">
        <v>376</v>
      </c>
      <c r="B383" s="15">
        <v>45733</v>
      </c>
      <c r="C383" s="11" t="s">
        <v>9</v>
      </c>
      <c r="D383" s="11" t="s">
        <v>17</v>
      </c>
      <c r="E383" s="9">
        <v>15</v>
      </c>
      <c r="F383" s="7">
        <v>18506.5</v>
      </c>
      <c r="G383" s="7">
        <v>277597.5</v>
      </c>
    </row>
    <row r="384" spans="1:7" x14ac:dyDescent="0.3">
      <c r="A384" s="1">
        <v>377</v>
      </c>
      <c r="B384" s="15">
        <v>45892</v>
      </c>
      <c r="C384" s="11" t="s">
        <v>8</v>
      </c>
      <c r="D384" s="11" t="s">
        <v>20</v>
      </c>
      <c r="E384" s="9">
        <v>3</v>
      </c>
      <c r="F384" s="7">
        <v>6257.03</v>
      </c>
      <c r="G384" s="7">
        <v>18771.09</v>
      </c>
    </row>
    <row r="385" spans="1:7" x14ac:dyDescent="0.3">
      <c r="A385" s="1">
        <v>378</v>
      </c>
      <c r="B385" s="15">
        <v>45833</v>
      </c>
      <c r="C385" s="11" t="s">
        <v>9</v>
      </c>
      <c r="D385" s="11" t="s">
        <v>17</v>
      </c>
      <c r="E385" s="9">
        <v>12</v>
      </c>
      <c r="F385" s="7">
        <v>95791.54</v>
      </c>
      <c r="G385" s="7">
        <v>1149498.48</v>
      </c>
    </row>
    <row r="386" spans="1:7" x14ac:dyDescent="0.3">
      <c r="A386" s="1">
        <v>379</v>
      </c>
      <c r="B386" s="15">
        <v>45894</v>
      </c>
      <c r="C386" s="11" t="s">
        <v>9</v>
      </c>
      <c r="D386" s="11" t="s">
        <v>33</v>
      </c>
      <c r="E386" s="9">
        <v>1</v>
      </c>
      <c r="F386" s="7">
        <v>89167.039999999994</v>
      </c>
      <c r="G386" s="7">
        <v>89167.039999999994</v>
      </c>
    </row>
    <row r="387" spans="1:7" x14ac:dyDescent="0.3">
      <c r="A387" s="1">
        <v>380</v>
      </c>
      <c r="B387" s="15">
        <v>45669</v>
      </c>
      <c r="C387" s="11" t="s">
        <v>10</v>
      </c>
      <c r="D387" s="11" t="s">
        <v>24</v>
      </c>
      <c r="E387" s="9">
        <v>16</v>
      </c>
      <c r="F387" s="7">
        <v>53682.83</v>
      </c>
      <c r="G387" s="7">
        <v>858925.28</v>
      </c>
    </row>
    <row r="388" spans="1:7" x14ac:dyDescent="0.3">
      <c r="A388" s="1">
        <v>381</v>
      </c>
      <c r="B388" s="15">
        <v>45915</v>
      </c>
      <c r="C388" s="11" t="s">
        <v>7</v>
      </c>
      <c r="D388" s="11" t="s">
        <v>13</v>
      </c>
      <c r="E388" s="9">
        <v>18</v>
      </c>
      <c r="F388" s="7">
        <v>72631.570000000007</v>
      </c>
      <c r="G388" s="7">
        <v>1307368.26</v>
      </c>
    </row>
    <row r="389" spans="1:7" x14ac:dyDescent="0.3">
      <c r="A389" s="1">
        <v>382</v>
      </c>
      <c r="B389" s="15">
        <v>45917</v>
      </c>
      <c r="C389" s="11" t="s">
        <v>6</v>
      </c>
      <c r="D389" s="11" t="s">
        <v>22</v>
      </c>
      <c r="E389" s="9">
        <v>3</v>
      </c>
      <c r="F389" s="7">
        <v>61074.03</v>
      </c>
      <c r="G389" s="7">
        <v>183222.09</v>
      </c>
    </row>
    <row r="390" spans="1:7" x14ac:dyDescent="0.3">
      <c r="A390" s="1">
        <v>383</v>
      </c>
      <c r="B390" s="15">
        <v>45872</v>
      </c>
      <c r="C390" s="11" t="s">
        <v>10</v>
      </c>
      <c r="D390" s="11" t="s">
        <v>26</v>
      </c>
      <c r="E390" s="9">
        <v>11</v>
      </c>
      <c r="F390" s="7">
        <v>99195.47</v>
      </c>
      <c r="G390" s="7">
        <v>1091150.17</v>
      </c>
    </row>
    <row r="391" spans="1:7" x14ac:dyDescent="0.3">
      <c r="A391" s="1">
        <v>384</v>
      </c>
      <c r="B391" s="15">
        <v>45791</v>
      </c>
      <c r="C391" s="11" t="s">
        <v>9</v>
      </c>
      <c r="D391" s="11" t="s">
        <v>25</v>
      </c>
      <c r="E391" s="9">
        <v>7</v>
      </c>
      <c r="F391" s="7">
        <v>69736.23</v>
      </c>
      <c r="G391" s="7">
        <v>488153.61</v>
      </c>
    </row>
    <row r="392" spans="1:7" x14ac:dyDescent="0.3">
      <c r="A392" s="1">
        <v>385</v>
      </c>
      <c r="B392" s="15">
        <v>45794</v>
      </c>
      <c r="C392" s="11" t="s">
        <v>10</v>
      </c>
      <c r="D392" s="11" t="s">
        <v>26</v>
      </c>
      <c r="E392" s="9">
        <v>15</v>
      </c>
      <c r="F392" s="7">
        <v>91298.91</v>
      </c>
      <c r="G392" s="7">
        <v>1369483.65</v>
      </c>
    </row>
    <row r="393" spans="1:7" x14ac:dyDescent="0.3">
      <c r="A393" s="1">
        <v>386</v>
      </c>
      <c r="B393" s="15">
        <v>45883</v>
      </c>
      <c r="C393" s="11" t="s">
        <v>9</v>
      </c>
      <c r="D393" s="11" t="s">
        <v>23</v>
      </c>
      <c r="E393" s="9">
        <v>13</v>
      </c>
      <c r="F393" s="7">
        <v>35553.699999999997</v>
      </c>
      <c r="G393" s="7">
        <v>462198.1</v>
      </c>
    </row>
    <row r="394" spans="1:7" x14ac:dyDescent="0.3">
      <c r="A394" s="1">
        <v>387</v>
      </c>
      <c r="B394" s="15">
        <v>45927</v>
      </c>
      <c r="C394" s="11" t="s">
        <v>7</v>
      </c>
      <c r="D394" s="11" t="s">
        <v>13</v>
      </c>
      <c r="E394" s="9">
        <v>1</v>
      </c>
      <c r="F394" s="7">
        <v>94504.62</v>
      </c>
      <c r="G394" s="7">
        <v>94504.62</v>
      </c>
    </row>
    <row r="395" spans="1:7" x14ac:dyDescent="0.3">
      <c r="A395" s="1">
        <v>388</v>
      </c>
      <c r="B395" s="15">
        <v>45889</v>
      </c>
      <c r="C395" s="11" t="s">
        <v>10</v>
      </c>
      <c r="D395" s="11" t="s">
        <v>27</v>
      </c>
      <c r="E395" s="9">
        <v>11</v>
      </c>
      <c r="F395" s="7">
        <v>55660.86</v>
      </c>
      <c r="G395" s="7">
        <v>612269.46</v>
      </c>
    </row>
    <row r="396" spans="1:7" x14ac:dyDescent="0.3">
      <c r="A396" s="1">
        <v>389</v>
      </c>
      <c r="B396" s="15">
        <v>45927</v>
      </c>
      <c r="C396" s="11" t="s">
        <v>10</v>
      </c>
      <c r="D396" s="11" t="s">
        <v>27</v>
      </c>
      <c r="E396" s="9">
        <v>11</v>
      </c>
      <c r="F396" s="7">
        <v>82559.05</v>
      </c>
      <c r="G396" s="7">
        <v>908149.55</v>
      </c>
    </row>
    <row r="397" spans="1:7" x14ac:dyDescent="0.3">
      <c r="A397" s="1">
        <v>390</v>
      </c>
      <c r="B397" s="15">
        <v>45780</v>
      </c>
      <c r="C397" s="11" t="s">
        <v>9</v>
      </c>
      <c r="D397" s="11" t="s">
        <v>17</v>
      </c>
      <c r="E397" s="9">
        <v>15</v>
      </c>
      <c r="F397" s="7">
        <v>88919.46</v>
      </c>
      <c r="G397" s="7">
        <v>1333791.8999999999</v>
      </c>
    </row>
    <row r="398" spans="1:7" x14ac:dyDescent="0.3">
      <c r="A398" s="1">
        <v>391</v>
      </c>
      <c r="B398" s="15">
        <v>45863</v>
      </c>
      <c r="C398" s="11" t="s">
        <v>6</v>
      </c>
      <c r="D398" s="11" t="s">
        <v>21</v>
      </c>
      <c r="E398" s="9">
        <v>9</v>
      </c>
      <c r="F398" s="7">
        <v>27563.73</v>
      </c>
      <c r="G398" s="7">
        <v>248073.57</v>
      </c>
    </row>
    <row r="399" spans="1:7" x14ac:dyDescent="0.3">
      <c r="A399" s="1">
        <v>392</v>
      </c>
      <c r="B399" s="15">
        <v>45892</v>
      </c>
      <c r="C399" s="11" t="s">
        <v>8</v>
      </c>
      <c r="D399" s="11" t="s">
        <v>16</v>
      </c>
      <c r="E399" s="9">
        <v>1</v>
      </c>
      <c r="F399" s="7">
        <v>54422.36</v>
      </c>
      <c r="G399" s="7">
        <v>54422.36</v>
      </c>
    </row>
    <row r="400" spans="1:7" x14ac:dyDescent="0.3">
      <c r="A400" s="1">
        <v>393</v>
      </c>
      <c r="B400" s="15">
        <v>45671</v>
      </c>
      <c r="C400" s="11" t="s">
        <v>9</v>
      </c>
      <c r="D400" s="11" t="s">
        <v>33</v>
      </c>
      <c r="E400" s="9">
        <v>1</v>
      </c>
      <c r="F400" s="7">
        <v>95937.55</v>
      </c>
      <c r="G400" s="7">
        <v>95937.55</v>
      </c>
    </row>
    <row r="401" spans="1:7" x14ac:dyDescent="0.3">
      <c r="A401" s="1">
        <v>394</v>
      </c>
      <c r="B401" s="15">
        <v>45702</v>
      </c>
      <c r="C401" s="11" t="s">
        <v>10</v>
      </c>
      <c r="D401" s="11" t="s">
        <v>26</v>
      </c>
      <c r="E401" s="9">
        <v>9</v>
      </c>
      <c r="F401" s="7">
        <v>47159.839999999997</v>
      </c>
      <c r="G401" s="7">
        <v>424438.56</v>
      </c>
    </row>
    <row r="402" spans="1:7" x14ac:dyDescent="0.3">
      <c r="A402" s="1">
        <v>395</v>
      </c>
      <c r="B402" s="15">
        <v>45810</v>
      </c>
      <c r="C402" s="11" t="s">
        <v>6</v>
      </c>
      <c r="D402" s="11" t="s">
        <v>22</v>
      </c>
      <c r="E402" s="9">
        <v>15</v>
      </c>
      <c r="F402" s="7">
        <v>79974.39</v>
      </c>
      <c r="G402" s="7">
        <v>1199615.8500000001</v>
      </c>
    </row>
    <row r="403" spans="1:7" x14ac:dyDescent="0.3">
      <c r="A403" s="1">
        <v>396</v>
      </c>
      <c r="B403" s="15">
        <v>45737</v>
      </c>
      <c r="C403" s="11" t="s">
        <v>8</v>
      </c>
      <c r="D403" s="11" t="s">
        <v>29</v>
      </c>
      <c r="E403" s="9">
        <v>8</v>
      </c>
      <c r="F403" s="7">
        <v>43843.92</v>
      </c>
      <c r="G403" s="7">
        <v>350751.36</v>
      </c>
    </row>
    <row r="404" spans="1:7" x14ac:dyDescent="0.3">
      <c r="A404" s="1">
        <v>397</v>
      </c>
      <c r="B404" s="15">
        <v>45855</v>
      </c>
      <c r="C404" s="11" t="s">
        <v>9</v>
      </c>
      <c r="D404" s="11" t="s">
        <v>17</v>
      </c>
      <c r="E404" s="9">
        <v>14</v>
      </c>
      <c r="F404" s="7">
        <v>3314.61</v>
      </c>
      <c r="G404" s="7">
        <v>46404.54</v>
      </c>
    </row>
    <row r="405" spans="1:7" x14ac:dyDescent="0.3">
      <c r="A405" s="1">
        <v>398</v>
      </c>
      <c r="B405" s="15">
        <v>45884</v>
      </c>
      <c r="C405" s="11" t="s">
        <v>8</v>
      </c>
      <c r="D405" s="11" t="s">
        <v>18</v>
      </c>
      <c r="E405" s="9">
        <v>17</v>
      </c>
      <c r="F405" s="7">
        <v>54590.69</v>
      </c>
      <c r="G405" s="7">
        <v>928041.73</v>
      </c>
    </row>
    <row r="406" spans="1:7" x14ac:dyDescent="0.3">
      <c r="A406" s="1">
        <v>399</v>
      </c>
      <c r="B406" s="15">
        <v>45889</v>
      </c>
      <c r="C406" s="11" t="s">
        <v>6</v>
      </c>
      <c r="D406" s="11" t="s">
        <v>21</v>
      </c>
      <c r="E406" s="9">
        <v>14</v>
      </c>
      <c r="F406" s="7">
        <v>48175.71</v>
      </c>
      <c r="G406" s="7">
        <v>674459.94</v>
      </c>
    </row>
    <row r="407" spans="1:7" x14ac:dyDescent="0.3">
      <c r="A407" s="1">
        <v>400</v>
      </c>
      <c r="B407" s="15">
        <v>45700</v>
      </c>
      <c r="C407" s="11" t="s">
        <v>7</v>
      </c>
      <c r="D407" s="11" t="s">
        <v>19</v>
      </c>
      <c r="E407" s="9">
        <v>5</v>
      </c>
      <c r="F407" s="7">
        <v>68486.539999999994</v>
      </c>
      <c r="G407" s="7">
        <v>342432.7</v>
      </c>
    </row>
    <row r="408" spans="1:7" x14ac:dyDescent="0.3">
      <c r="A408" s="1">
        <v>401</v>
      </c>
      <c r="B408" s="15">
        <v>45782</v>
      </c>
      <c r="C408" s="11" t="s">
        <v>9</v>
      </c>
      <c r="D408" s="11" t="s">
        <v>17</v>
      </c>
      <c r="E408" s="9">
        <v>10</v>
      </c>
      <c r="F408" s="7">
        <v>51956.77</v>
      </c>
      <c r="G408" s="7">
        <v>519567.7</v>
      </c>
    </row>
    <row r="409" spans="1:7" x14ac:dyDescent="0.3">
      <c r="A409" s="1">
        <v>402</v>
      </c>
      <c r="B409" s="15">
        <v>45723</v>
      </c>
      <c r="C409" s="11" t="s">
        <v>6</v>
      </c>
      <c r="D409" s="11" t="s">
        <v>35</v>
      </c>
      <c r="E409" s="9">
        <v>6</v>
      </c>
      <c r="F409" s="7">
        <v>98001.88</v>
      </c>
      <c r="G409" s="7">
        <v>588011.28</v>
      </c>
    </row>
    <row r="410" spans="1:7" x14ac:dyDescent="0.3">
      <c r="A410" s="1">
        <v>403</v>
      </c>
      <c r="B410" s="15">
        <v>45841</v>
      </c>
      <c r="C410" s="11" t="s">
        <v>10</v>
      </c>
      <c r="D410" s="11" t="s">
        <v>34</v>
      </c>
      <c r="E410" s="9">
        <v>3</v>
      </c>
      <c r="F410" s="7">
        <v>16428.95</v>
      </c>
      <c r="G410" s="7">
        <v>49286.85</v>
      </c>
    </row>
    <row r="411" spans="1:7" x14ac:dyDescent="0.3">
      <c r="A411" s="1">
        <v>404</v>
      </c>
      <c r="B411" s="15">
        <v>45834</v>
      </c>
      <c r="C411" s="11" t="s">
        <v>6</v>
      </c>
      <c r="D411" s="11" t="s">
        <v>37</v>
      </c>
      <c r="E411" s="9">
        <v>8</v>
      </c>
      <c r="F411" s="7">
        <v>69834.070000000007</v>
      </c>
      <c r="G411" s="7">
        <v>558672.56000000006</v>
      </c>
    </row>
    <row r="412" spans="1:7" x14ac:dyDescent="0.3">
      <c r="A412" s="1">
        <v>405</v>
      </c>
      <c r="B412" s="15">
        <v>45848</v>
      </c>
      <c r="C412" s="11" t="s">
        <v>8</v>
      </c>
      <c r="D412" s="11" t="s">
        <v>20</v>
      </c>
      <c r="E412" s="9">
        <v>16</v>
      </c>
      <c r="F412" s="7">
        <v>92575.32</v>
      </c>
      <c r="G412" s="7">
        <v>1481205.12</v>
      </c>
    </row>
    <row r="413" spans="1:7" x14ac:dyDescent="0.3">
      <c r="A413" s="1">
        <v>406</v>
      </c>
      <c r="B413" s="15">
        <v>45694</v>
      </c>
      <c r="C413" s="11" t="s">
        <v>7</v>
      </c>
      <c r="D413" s="11" t="s">
        <v>12</v>
      </c>
      <c r="E413" s="9">
        <v>18</v>
      </c>
      <c r="F413" s="7">
        <v>20222.38</v>
      </c>
      <c r="G413" s="7">
        <v>364002.84</v>
      </c>
    </row>
    <row r="414" spans="1:7" x14ac:dyDescent="0.3">
      <c r="A414" s="1">
        <v>407</v>
      </c>
      <c r="B414" s="15">
        <v>45848</v>
      </c>
      <c r="C414" s="11" t="s">
        <v>8</v>
      </c>
      <c r="D414" s="11" t="s">
        <v>29</v>
      </c>
      <c r="E414" s="9">
        <v>20</v>
      </c>
      <c r="F414" s="7">
        <v>31048.82</v>
      </c>
      <c r="G414" s="7">
        <v>620976.4</v>
      </c>
    </row>
    <row r="415" spans="1:7" x14ac:dyDescent="0.3">
      <c r="A415" s="1">
        <v>408</v>
      </c>
      <c r="B415" s="15">
        <v>45798</v>
      </c>
      <c r="C415" s="11" t="s">
        <v>10</v>
      </c>
      <c r="D415" s="11" t="s">
        <v>24</v>
      </c>
      <c r="E415" s="9">
        <v>19</v>
      </c>
      <c r="F415" s="7">
        <v>5384.49</v>
      </c>
      <c r="G415" s="7">
        <v>102305.31</v>
      </c>
    </row>
    <row r="416" spans="1:7" x14ac:dyDescent="0.3">
      <c r="A416" s="1">
        <v>409</v>
      </c>
      <c r="B416" s="15">
        <v>45903</v>
      </c>
      <c r="C416" s="11" t="s">
        <v>9</v>
      </c>
      <c r="D416" s="11" t="s">
        <v>23</v>
      </c>
      <c r="E416" s="9">
        <v>5</v>
      </c>
      <c r="F416" s="7">
        <v>1118.26</v>
      </c>
      <c r="G416" s="7">
        <v>5591.3</v>
      </c>
    </row>
    <row r="417" spans="1:7" x14ac:dyDescent="0.3">
      <c r="A417" s="1">
        <v>410</v>
      </c>
      <c r="B417" s="15">
        <v>45711</v>
      </c>
      <c r="C417" s="11" t="s">
        <v>9</v>
      </c>
      <c r="D417" s="11" t="s">
        <v>32</v>
      </c>
      <c r="E417" s="9">
        <v>16</v>
      </c>
      <c r="F417" s="7">
        <v>520.23</v>
      </c>
      <c r="G417" s="7">
        <v>8323.68</v>
      </c>
    </row>
    <row r="418" spans="1:7" x14ac:dyDescent="0.3">
      <c r="A418" s="1">
        <v>411</v>
      </c>
      <c r="B418" s="15">
        <v>45864</v>
      </c>
      <c r="C418" s="11" t="s">
        <v>6</v>
      </c>
      <c r="D418" s="11" t="s">
        <v>37</v>
      </c>
      <c r="E418" s="9">
        <v>16</v>
      </c>
      <c r="F418" s="7">
        <v>8984.66</v>
      </c>
      <c r="G418" s="7">
        <v>143754.56</v>
      </c>
    </row>
    <row r="419" spans="1:7" x14ac:dyDescent="0.3">
      <c r="A419" s="1">
        <v>412</v>
      </c>
      <c r="B419" s="15">
        <v>45850</v>
      </c>
      <c r="C419" s="11" t="s">
        <v>9</v>
      </c>
      <c r="D419" s="11" t="s">
        <v>32</v>
      </c>
      <c r="E419" s="9">
        <v>5</v>
      </c>
      <c r="F419" s="7">
        <v>51345.87</v>
      </c>
      <c r="G419" s="7">
        <v>256729.35</v>
      </c>
    </row>
    <row r="420" spans="1:7" x14ac:dyDescent="0.3">
      <c r="A420" s="1">
        <v>413</v>
      </c>
      <c r="B420" s="15">
        <v>45722</v>
      </c>
      <c r="C420" s="11" t="s">
        <v>8</v>
      </c>
      <c r="D420" s="11" t="s">
        <v>16</v>
      </c>
      <c r="E420" s="9">
        <v>16</v>
      </c>
      <c r="F420" s="7">
        <v>8339.0300000000007</v>
      </c>
      <c r="G420" s="7">
        <v>133424.48000000001</v>
      </c>
    </row>
    <row r="421" spans="1:7" x14ac:dyDescent="0.3">
      <c r="A421" s="1">
        <v>414</v>
      </c>
      <c r="B421" s="15">
        <v>45895</v>
      </c>
      <c r="C421" s="11" t="s">
        <v>9</v>
      </c>
      <c r="D421" s="11" t="s">
        <v>23</v>
      </c>
      <c r="E421" s="9">
        <v>12</v>
      </c>
      <c r="F421" s="7">
        <v>49298.42</v>
      </c>
      <c r="G421" s="7">
        <v>591581.04</v>
      </c>
    </row>
    <row r="422" spans="1:7" x14ac:dyDescent="0.3">
      <c r="A422" s="1">
        <v>415</v>
      </c>
      <c r="B422" s="15">
        <v>45729</v>
      </c>
      <c r="C422" s="11" t="s">
        <v>6</v>
      </c>
      <c r="D422" s="11" t="s">
        <v>21</v>
      </c>
      <c r="E422" s="9">
        <v>9</v>
      </c>
      <c r="F422" s="7">
        <v>28828.080000000002</v>
      </c>
      <c r="G422" s="7">
        <v>259452.72</v>
      </c>
    </row>
    <row r="423" spans="1:7" x14ac:dyDescent="0.3">
      <c r="A423" s="1">
        <v>416</v>
      </c>
      <c r="B423" s="15">
        <v>45814</v>
      </c>
      <c r="C423" s="11" t="s">
        <v>8</v>
      </c>
      <c r="D423" s="11" t="s">
        <v>29</v>
      </c>
      <c r="E423" s="9">
        <v>3</v>
      </c>
      <c r="F423" s="7">
        <v>15352.34</v>
      </c>
      <c r="G423" s="7">
        <v>46057.02</v>
      </c>
    </row>
    <row r="424" spans="1:7" x14ac:dyDescent="0.3">
      <c r="A424" s="1">
        <v>417</v>
      </c>
      <c r="B424" s="15">
        <v>45698</v>
      </c>
      <c r="C424" s="11" t="s">
        <v>9</v>
      </c>
      <c r="D424" s="11" t="s">
        <v>17</v>
      </c>
      <c r="E424" s="9">
        <v>14</v>
      </c>
      <c r="F424" s="7">
        <v>53960.71</v>
      </c>
      <c r="G424" s="7">
        <v>755449.94</v>
      </c>
    </row>
    <row r="425" spans="1:7" x14ac:dyDescent="0.3">
      <c r="A425" s="1">
        <v>418</v>
      </c>
      <c r="B425" s="15">
        <v>45815</v>
      </c>
      <c r="C425" s="11" t="s">
        <v>6</v>
      </c>
      <c r="D425" s="11" t="s">
        <v>30</v>
      </c>
      <c r="E425" s="9">
        <v>16</v>
      </c>
      <c r="F425" s="7">
        <v>56024.19</v>
      </c>
      <c r="G425" s="7">
        <v>896387.04</v>
      </c>
    </row>
    <row r="426" spans="1:7" x14ac:dyDescent="0.3">
      <c r="A426" s="1">
        <v>419</v>
      </c>
      <c r="B426" s="15">
        <v>45660</v>
      </c>
      <c r="C426" s="11" t="s">
        <v>6</v>
      </c>
      <c r="D426" s="11" t="s">
        <v>37</v>
      </c>
      <c r="E426" s="9">
        <v>19</v>
      </c>
      <c r="F426" s="7">
        <v>48199.94</v>
      </c>
      <c r="G426" s="7">
        <v>915798.86</v>
      </c>
    </row>
    <row r="427" spans="1:7" x14ac:dyDescent="0.3">
      <c r="A427" s="1">
        <v>420</v>
      </c>
      <c r="B427" s="15">
        <v>45735</v>
      </c>
      <c r="C427" s="11" t="s">
        <v>10</v>
      </c>
      <c r="D427" s="11" t="s">
        <v>34</v>
      </c>
      <c r="E427" s="9">
        <v>12</v>
      </c>
      <c r="F427" s="7">
        <v>2239.63</v>
      </c>
      <c r="G427" s="7">
        <v>26875.56</v>
      </c>
    </row>
    <row r="428" spans="1:7" x14ac:dyDescent="0.3">
      <c r="A428" s="1">
        <v>421</v>
      </c>
      <c r="B428" s="15">
        <v>45928</v>
      </c>
      <c r="C428" s="11" t="s">
        <v>9</v>
      </c>
      <c r="D428" s="11" t="s">
        <v>23</v>
      </c>
      <c r="E428" s="9">
        <v>4</v>
      </c>
      <c r="F428" s="7">
        <v>92300.44</v>
      </c>
      <c r="G428" s="7">
        <v>369201.76</v>
      </c>
    </row>
    <row r="429" spans="1:7" x14ac:dyDescent="0.3">
      <c r="A429" s="1">
        <v>422</v>
      </c>
      <c r="B429" s="15">
        <v>45703</v>
      </c>
      <c r="C429" s="11" t="s">
        <v>9</v>
      </c>
      <c r="D429" s="11" t="s">
        <v>32</v>
      </c>
      <c r="E429" s="9">
        <v>6</v>
      </c>
      <c r="F429" s="7">
        <v>40152.93</v>
      </c>
      <c r="G429" s="7">
        <v>240917.58</v>
      </c>
    </row>
    <row r="430" spans="1:7" x14ac:dyDescent="0.3">
      <c r="A430" s="1">
        <v>423</v>
      </c>
      <c r="B430" s="15">
        <v>45762</v>
      </c>
      <c r="C430" s="11" t="s">
        <v>6</v>
      </c>
      <c r="D430" s="11" t="s">
        <v>37</v>
      </c>
      <c r="E430" s="9">
        <v>15</v>
      </c>
      <c r="F430" s="7">
        <v>92522.240000000005</v>
      </c>
      <c r="G430" s="7">
        <v>1387833.6</v>
      </c>
    </row>
    <row r="431" spans="1:7" x14ac:dyDescent="0.3">
      <c r="A431" s="1">
        <v>424</v>
      </c>
      <c r="B431" s="15">
        <v>45766</v>
      </c>
      <c r="C431" s="11" t="s">
        <v>10</v>
      </c>
      <c r="D431" s="11" t="s">
        <v>26</v>
      </c>
      <c r="E431" s="9">
        <v>16</v>
      </c>
      <c r="F431" s="7">
        <v>76156.23</v>
      </c>
      <c r="G431" s="7">
        <v>1218499.68</v>
      </c>
    </row>
    <row r="432" spans="1:7" x14ac:dyDescent="0.3">
      <c r="A432" s="1">
        <v>425</v>
      </c>
      <c r="B432" s="15">
        <v>45829</v>
      </c>
      <c r="C432" s="11" t="s">
        <v>8</v>
      </c>
      <c r="D432" s="11" t="s">
        <v>16</v>
      </c>
      <c r="E432" s="9">
        <v>5</v>
      </c>
      <c r="F432" s="7">
        <v>82529.3</v>
      </c>
      <c r="G432" s="7">
        <v>412646.5</v>
      </c>
    </row>
    <row r="433" spans="1:7" x14ac:dyDescent="0.3">
      <c r="A433" s="1">
        <v>426</v>
      </c>
      <c r="B433" s="15">
        <v>45833</v>
      </c>
      <c r="C433" s="11" t="s">
        <v>6</v>
      </c>
      <c r="D433" s="11" t="s">
        <v>22</v>
      </c>
      <c r="E433" s="9">
        <v>11</v>
      </c>
      <c r="F433" s="7">
        <v>33170.559999999998</v>
      </c>
      <c r="G433" s="7">
        <v>364876.16</v>
      </c>
    </row>
    <row r="434" spans="1:7" x14ac:dyDescent="0.3">
      <c r="A434" s="1">
        <v>427</v>
      </c>
      <c r="B434" s="15">
        <v>45794</v>
      </c>
      <c r="C434" s="11" t="s">
        <v>7</v>
      </c>
      <c r="D434" s="11" t="s">
        <v>13</v>
      </c>
      <c r="E434" s="9">
        <v>9</v>
      </c>
      <c r="F434" s="7">
        <v>22777.03</v>
      </c>
      <c r="G434" s="7">
        <v>204993.27</v>
      </c>
    </row>
    <row r="435" spans="1:7" x14ac:dyDescent="0.3">
      <c r="A435" s="1">
        <v>428</v>
      </c>
      <c r="B435" s="15">
        <v>45659</v>
      </c>
      <c r="C435" s="11" t="s">
        <v>9</v>
      </c>
      <c r="D435" s="11" t="s">
        <v>23</v>
      </c>
      <c r="E435" s="9">
        <v>2</v>
      </c>
      <c r="F435" s="7">
        <v>99935.32</v>
      </c>
      <c r="G435" s="7">
        <v>199870.64</v>
      </c>
    </row>
    <row r="436" spans="1:7" x14ac:dyDescent="0.3">
      <c r="A436" s="1">
        <v>429</v>
      </c>
      <c r="B436" s="15">
        <v>45729</v>
      </c>
      <c r="C436" s="11" t="s">
        <v>8</v>
      </c>
      <c r="D436" s="11" t="s">
        <v>20</v>
      </c>
      <c r="E436" s="9">
        <v>5</v>
      </c>
      <c r="F436" s="7">
        <v>99141.37</v>
      </c>
      <c r="G436" s="7">
        <v>495706.85</v>
      </c>
    </row>
    <row r="437" spans="1:7" x14ac:dyDescent="0.3">
      <c r="A437" s="1">
        <v>430</v>
      </c>
      <c r="B437" s="15">
        <v>45772</v>
      </c>
      <c r="C437" s="11" t="s">
        <v>9</v>
      </c>
      <c r="D437" s="11" t="s">
        <v>33</v>
      </c>
      <c r="E437" s="9">
        <v>15</v>
      </c>
      <c r="F437" s="7">
        <v>31010.86</v>
      </c>
      <c r="G437" s="7">
        <v>465162.9</v>
      </c>
    </row>
    <row r="438" spans="1:7" x14ac:dyDescent="0.3">
      <c r="A438" s="1">
        <v>431</v>
      </c>
      <c r="B438" s="15">
        <v>45884</v>
      </c>
      <c r="C438" s="11" t="s">
        <v>7</v>
      </c>
      <c r="D438" s="11" t="s">
        <v>19</v>
      </c>
      <c r="E438" s="9">
        <v>19</v>
      </c>
      <c r="F438" s="7">
        <v>83606.77</v>
      </c>
      <c r="G438" s="7">
        <v>1588528.63</v>
      </c>
    </row>
    <row r="439" spans="1:7" x14ac:dyDescent="0.3">
      <c r="A439" s="1">
        <v>432</v>
      </c>
      <c r="B439" s="15">
        <v>45768</v>
      </c>
      <c r="C439" s="11" t="s">
        <v>7</v>
      </c>
      <c r="D439" s="11" t="s">
        <v>13</v>
      </c>
      <c r="E439" s="9">
        <v>14</v>
      </c>
      <c r="F439" s="7">
        <v>98917.58</v>
      </c>
      <c r="G439" s="7">
        <v>1384846.12</v>
      </c>
    </row>
    <row r="440" spans="1:7" x14ac:dyDescent="0.3">
      <c r="A440" s="1">
        <v>433</v>
      </c>
      <c r="B440" s="15">
        <v>45674</v>
      </c>
      <c r="C440" s="11" t="s">
        <v>7</v>
      </c>
      <c r="D440" s="11" t="s">
        <v>13</v>
      </c>
      <c r="E440" s="9">
        <v>3</v>
      </c>
      <c r="F440" s="7">
        <v>58882.52</v>
      </c>
      <c r="G440" s="7">
        <v>176647.56</v>
      </c>
    </row>
    <row r="441" spans="1:7" x14ac:dyDescent="0.3">
      <c r="A441" s="1">
        <v>434</v>
      </c>
      <c r="B441" s="15">
        <v>45693</v>
      </c>
      <c r="C441" s="11" t="s">
        <v>10</v>
      </c>
      <c r="D441" s="11" t="s">
        <v>27</v>
      </c>
      <c r="E441" s="9">
        <v>7</v>
      </c>
      <c r="F441" s="7">
        <v>20367.349999999999</v>
      </c>
      <c r="G441" s="7">
        <v>142571.45000000001</v>
      </c>
    </row>
    <row r="442" spans="1:7" x14ac:dyDescent="0.3">
      <c r="A442" s="1">
        <v>435</v>
      </c>
      <c r="B442" s="15">
        <v>45854</v>
      </c>
      <c r="C442" s="11" t="s">
        <v>7</v>
      </c>
      <c r="D442" s="11" t="s">
        <v>14</v>
      </c>
      <c r="E442" s="9">
        <v>4</v>
      </c>
      <c r="F442" s="7">
        <v>59684.959999999999</v>
      </c>
      <c r="G442" s="7">
        <v>238739.84</v>
      </c>
    </row>
    <row r="443" spans="1:7" x14ac:dyDescent="0.3">
      <c r="A443" s="1">
        <v>436</v>
      </c>
      <c r="B443" s="15">
        <v>45661</v>
      </c>
      <c r="C443" s="11" t="s">
        <v>9</v>
      </c>
      <c r="D443" s="11" t="s">
        <v>17</v>
      </c>
      <c r="E443" s="9">
        <v>8</v>
      </c>
      <c r="F443" s="7">
        <v>98640.41</v>
      </c>
      <c r="G443" s="7">
        <v>789123.28</v>
      </c>
    </row>
    <row r="444" spans="1:7" x14ac:dyDescent="0.3">
      <c r="A444" s="1">
        <v>437</v>
      </c>
      <c r="B444" s="15">
        <v>45783</v>
      </c>
      <c r="C444" s="11" t="s">
        <v>7</v>
      </c>
      <c r="D444" s="11" t="s">
        <v>14</v>
      </c>
      <c r="E444" s="9">
        <v>4</v>
      </c>
      <c r="F444" s="7">
        <v>88927.24</v>
      </c>
      <c r="G444" s="7">
        <v>355708.96</v>
      </c>
    </row>
    <row r="445" spans="1:7" x14ac:dyDescent="0.3">
      <c r="A445" s="1">
        <v>438</v>
      </c>
      <c r="B445" s="15">
        <v>45812</v>
      </c>
      <c r="C445" s="11" t="s">
        <v>7</v>
      </c>
      <c r="D445" s="11" t="s">
        <v>13</v>
      </c>
      <c r="E445" s="9">
        <v>18</v>
      </c>
      <c r="F445" s="7">
        <v>31756.19</v>
      </c>
      <c r="G445" s="7">
        <v>571611.42000000004</v>
      </c>
    </row>
    <row r="446" spans="1:7" x14ac:dyDescent="0.3">
      <c r="A446" s="1">
        <v>439</v>
      </c>
      <c r="B446" s="15">
        <v>45832</v>
      </c>
      <c r="C446" s="11" t="s">
        <v>6</v>
      </c>
      <c r="D446" s="11" t="s">
        <v>36</v>
      </c>
      <c r="E446" s="9">
        <v>6</v>
      </c>
      <c r="F446" s="7">
        <v>20128.14</v>
      </c>
      <c r="G446" s="7">
        <v>120768.84</v>
      </c>
    </row>
    <row r="447" spans="1:7" x14ac:dyDescent="0.3">
      <c r="A447" s="1">
        <v>440</v>
      </c>
      <c r="B447" s="15">
        <v>45703</v>
      </c>
      <c r="C447" s="11" t="s">
        <v>8</v>
      </c>
      <c r="D447" s="11" t="s">
        <v>29</v>
      </c>
      <c r="E447" s="9">
        <v>5</v>
      </c>
      <c r="F447" s="7">
        <v>61653.599999999999</v>
      </c>
      <c r="G447" s="7">
        <v>308268</v>
      </c>
    </row>
    <row r="448" spans="1:7" x14ac:dyDescent="0.3">
      <c r="A448" s="1">
        <v>441</v>
      </c>
      <c r="B448" s="15">
        <v>45888</v>
      </c>
      <c r="C448" s="11" t="s">
        <v>7</v>
      </c>
      <c r="D448" s="11" t="s">
        <v>14</v>
      </c>
      <c r="E448" s="9">
        <v>19</v>
      </c>
      <c r="F448" s="7">
        <v>47737.34</v>
      </c>
      <c r="G448" s="7">
        <v>907009.46</v>
      </c>
    </row>
    <row r="449" spans="1:7" x14ac:dyDescent="0.3">
      <c r="A449" s="1">
        <v>442</v>
      </c>
      <c r="B449" s="15">
        <v>45718</v>
      </c>
      <c r="C449" s="11" t="s">
        <v>7</v>
      </c>
      <c r="D449" s="11" t="s">
        <v>14</v>
      </c>
      <c r="E449" s="9">
        <v>10</v>
      </c>
      <c r="F449" s="7">
        <v>22991.37</v>
      </c>
      <c r="G449" s="7">
        <v>229913.7</v>
      </c>
    </row>
    <row r="450" spans="1:7" x14ac:dyDescent="0.3">
      <c r="A450" s="1">
        <v>443</v>
      </c>
      <c r="B450" s="15">
        <v>45809</v>
      </c>
      <c r="C450" s="11" t="s">
        <v>8</v>
      </c>
      <c r="D450" s="11" t="s">
        <v>16</v>
      </c>
      <c r="E450" s="9">
        <v>15</v>
      </c>
      <c r="F450" s="7">
        <v>57697.03</v>
      </c>
      <c r="G450" s="7">
        <v>865455.45</v>
      </c>
    </row>
    <row r="451" spans="1:7" x14ac:dyDescent="0.3">
      <c r="A451" s="1">
        <v>444</v>
      </c>
      <c r="B451" s="15">
        <v>45928</v>
      </c>
      <c r="C451" s="11" t="s">
        <v>8</v>
      </c>
      <c r="D451" s="11" t="s">
        <v>18</v>
      </c>
      <c r="E451" s="9">
        <v>7</v>
      </c>
      <c r="F451" s="7">
        <v>6205.59</v>
      </c>
      <c r="G451" s="7">
        <v>43439.13</v>
      </c>
    </row>
    <row r="452" spans="1:7" x14ac:dyDescent="0.3">
      <c r="A452" s="1">
        <v>445</v>
      </c>
      <c r="B452" s="15">
        <v>45671</v>
      </c>
      <c r="C452" s="11" t="s">
        <v>8</v>
      </c>
      <c r="D452" s="11" t="s">
        <v>20</v>
      </c>
      <c r="E452" s="9">
        <v>2</v>
      </c>
      <c r="F452" s="7">
        <v>10842.65</v>
      </c>
      <c r="G452" s="7">
        <v>21685.3</v>
      </c>
    </row>
    <row r="453" spans="1:7" x14ac:dyDescent="0.3">
      <c r="A453" s="1">
        <v>446</v>
      </c>
      <c r="B453" s="15">
        <v>45666</v>
      </c>
      <c r="C453" s="11" t="s">
        <v>9</v>
      </c>
      <c r="D453" s="11" t="s">
        <v>25</v>
      </c>
      <c r="E453" s="9">
        <v>15</v>
      </c>
      <c r="F453" s="7">
        <v>45894.73</v>
      </c>
      <c r="G453" s="7">
        <v>688420.95</v>
      </c>
    </row>
    <row r="454" spans="1:7" x14ac:dyDescent="0.3">
      <c r="A454" s="1">
        <v>447</v>
      </c>
      <c r="B454" s="15">
        <v>45749</v>
      </c>
      <c r="C454" s="11" t="s">
        <v>6</v>
      </c>
      <c r="D454" s="11" t="s">
        <v>22</v>
      </c>
      <c r="E454" s="9">
        <v>1</v>
      </c>
      <c r="F454" s="7">
        <v>7436.74</v>
      </c>
      <c r="G454" s="7">
        <v>7436.74</v>
      </c>
    </row>
    <row r="455" spans="1:7" x14ac:dyDescent="0.3">
      <c r="A455" s="1">
        <v>448</v>
      </c>
      <c r="B455" s="15">
        <v>45678</v>
      </c>
      <c r="C455" s="11" t="s">
        <v>8</v>
      </c>
      <c r="D455" s="11" t="s">
        <v>29</v>
      </c>
      <c r="E455" s="9">
        <v>7</v>
      </c>
      <c r="F455" s="7">
        <v>53321.07</v>
      </c>
      <c r="G455" s="7">
        <v>373247.49</v>
      </c>
    </row>
    <row r="456" spans="1:7" x14ac:dyDescent="0.3">
      <c r="A456" s="1">
        <v>449</v>
      </c>
      <c r="B456" s="15">
        <v>45756</v>
      </c>
      <c r="C456" s="11" t="s">
        <v>7</v>
      </c>
      <c r="D456" s="11" t="s">
        <v>13</v>
      </c>
      <c r="E456" s="9">
        <v>11</v>
      </c>
      <c r="F456" s="7">
        <v>49677.79</v>
      </c>
      <c r="G456" s="7">
        <v>546455.68999999994</v>
      </c>
    </row>
    <row r="457" spans="1:7" x14ac:dyDescent="0.3">
      <c r="A457" s="1">
        <v>450</v>
      </c>
      <c r="B457" s="15">
        <v>45811</v>
      </c>
      <c r="C457" s="11" t="s">
        <v>9</v>
      </c>
      <c r="D457" s="11" t="s">
        <v>25</v>
      </c>
      <c r="E457" s="9">
        <v>7</v>
      </c>
      <c r="F457" s="7">
        <v>1285.6600000000001</v>
      </c>
      <c r="G457" s="7">
        <v>8999.6200000000008</v>
      </c>
    </row>
    <row r="458" spans="1:7" x14ac:dyDescent="0.3">
      <c r="A458" s="1">
        <v>451</v>
      </c>
      <c r="B458" s="15">
        <v>45785</v>
      </c>
      <c r="C458" s="11" t="s">
        <v>8</v>
      </c>
      <c r="D458" s="11" t="s">
        <v>20</v>
      </c>
      <c r="E458" s="9">
        <v>14</v>
      </c>
      <c r="F458" s="7">
        <v>73065.039999999994</v>
      </c>
      <c r="G458" s="7">
        <v>1022910.56</v>
      </c>
    </row>
    <row r="459" spans="1:7" x14ac:dyDescent="0.3">
      <c r="A459" s="1">
        <v>452</v>
      </c>
      <c r="B459" s="15">
        <v>45904</v>
      </c>
      <c r="C459" s="11" t="s">
        <v>6</v>
      </c>
      <c r="D459" s="11" t="s">
        <v>11</v>
      </c>
      <c r="E459" s="9">
        <v>3</v>
      </c>
      <c r="F459" s="7">
        <v>99459.67</v>
      </c>
      <c r="G459" s="7">
        <v>298379.01</v>
      </c>
    </row>
    <row r="460" spans="1:7" x14ac:dyDescent="0.3">
      <c r="A460" s="1">
        <v>453</v>
      </c>
      <c r="B460" s="15">
        <v>45826</v>
      </c>
      <c r="C460" s="11" t="s">
        <v>9</v>
      </c>
      <c r="D460" s="11" t="s">
        <v>17</v>
      </c>
      <c r="E460" s="9">
        <v>17</v>
      </c>
      <c r="F460" s="7">
        <v>42245.43</v>
      </c>
      <c r="G460" s="7">
        <v>718172.31</v>
      </c>
    </row>
    <row r="461" spans="1:7" x14ac:dyDescent="0.3">
      <c r="A461" s="1">
        <v>454</v>
      </c>
      <c r="B461" s="15">
        <v>45764</v>
      </c>
      <c r="C461" s="11" t="s">
        <v>7</v>
      </c>
      <c r="D461" s="11" t="s">
        <v>19</v>
      </c>
      <c r="E461" s="9">
        <v>10</v>
      </c>
      <c r="F461" s="7">
        <v>65630</v>
      </c>
      <c r="G461" s="7">
        <v>656300</v>
      </c>
    </row>
    <row r="462" spans="1:7" x14ac:dyDescent="0.3">
      <c r="A462" s="1">
        <v>455</v>
      </c>
      <c r="B462" s="15">
        <v>45856</v>
      </c>
      <c r="C462" s="11" t="s">
        <v>8</v>
      </c>
      <c r="D462" s="11" t="s">
        <v>20</v>
      </c>
      <c r="E462" s="9">
        <v>3</v>
      </c>
      <c r="F462" s="7">
        <v>74341.52</v>
      </c>
      <c r="G462" s="7">
        <v>223024.56</v>
      </c>
    </row>
    <row r="463" spans="1:7" x14ac:dyDescent="0.3">
      <c r="A463" s="1">
        <v>456</v>
      </c>
      <c r="B463" s="15">
        <v>45878</v>
      </c>
      <c r="C463" s="11" t="s">
        <v>7</v>
      </c>
      <c r="D463" s="11" t="s">
        <v>19</v>
      </c>
      <c r="E463" s="9">
        <v>3</v>
      </c>
      <c r="F463" s="7">
        <v>85519.05</v>
      </c>
      <c r="G463" s="7">
        <v>256557.15</v>
      </c>
    </row>
    <row r="464" spans="1:7" x14ac:dyDescent="0.3">
      <c r="A464" s="1">
        <v>457</v>
      </c>
      <c r="B464" s="15">
        <v>45911</v>
      </c>
      <c r="C464" s="11" t="s">
        <v>9</v>
      </c>
      <c r="D464" s="11" t="s">
        <v>23</v>
      </c>
      <c r="E464" s="9">
        <v>14</v>
      </c>
      <c r="F464" s="7">
        <v>25130.26</v>
      </c>
      <c r="G464" s="7">
        <v>351823.64</v>
      </c>
    </row>
    <row r="465" spans="1:7" x14ac:dyDescent="0.3">
      <c r="A465" s="1">
        <v>458</v>
      </c>
      <c r="B465" s="15">
        <v>45742</v>
      </c>
      <c r="C465" s="11" t="s">
        <v>10</v>
      </c>
      <c r="D465" s="11" t="s">
        <v>27</v>
      </c>
      <c r="E465" s="9">
        <v>15</v>
      </c>
      <c r="F465" s="7">
        <v>43217.73</v>
      </c>
      <c r="G465" s="7">
        <v>648265.94999999995</v>
      </c>
    </row>
    <row r="466" spans="1:7" x14ac:dyDescent="0.3">
      <c r="A466" s="1">
        <v>459</v>
      </c>
      <c r="B466" s="15">
        <v>45911</v>
      </c>
      <c r="C466" s="11" t="s">
        <v>9</v>
      </c>
      <c r="D466" s="11" t="s">
        <v>33</v>
      </c>
      <c r="E466" s="9">
        <v>19</v>
      </c>
      <c r="F466" s="7">
        <v>11627.17</v>
      </c>
      <c r="G466" s="7">
        <v>220916.23</v>
      </c>
    </row>
    <row r="467" spans="1:7" x14ac:dyDescent="0.3">
      <c r="A467" s="1">
        <v>460</v>
      </c>
      <c r="B467" s="15">
        <v>45757</v>
      </c>
      <c r="C467" s="11" t="s">
        <v>8</v>
      </c>
      <c r="D467" s="11" t="s">
        <v>20</v>
      </c>
      <c r="E467" s="9">
        <v>2</v>
      </c>
      <c r="F467" s="7">
        <v>46438.34</v>
      </c>
      <c r="G467" s="7">
        <v>92876.68</v>
      </c>
    </row>
    <row r="468" spans="1:7" x14ac:dyDescent="0.3">
      <c r="A468" s="1">
        <v>461</v>
      </c>
      <c r="B468" s="15">
        <v>45820</v>
      </c>
      <c r="C468" s="11" t="s">
        <v>10</v>
      </c>
      <c r="D468" s="11" t="s">
        <v>27</v>
      </c>
      <c r="E468" s="9">
        <v>1</v>
      </c>
      <c r="F468" s="7">
        <v>57263.38</v>
      </c>
      <c r="G468" s="7">
        <v>57263.38</v>
      </c>
    </row>
    <row r="469" spans="1:7" x14ac:dyDescent="0.3">
      <c r="A469" s="1">
        <v>462</v>
      </c>
      <c r="B469" s="15">
        <v>45797</v>
      </c>
      <c r="C469" s="11" t="s">
        <v>10</v>
      </c>
      <c r="D469" s="11" t="s">
        <v>27</v>
      </c>
      <c r="E469" s="9">
        <v>8</v>
      </c>
      <c r="F469" s="7">
        <v>36407.06</v>
      </c>
      <c r="G469" s="7">
        <v>291256.48</v>
      </c>
    </row>
    <row r="470" spans="1:7" x14ac:dyDescent="0.3">
      <c r="A470" s="1">
        <v>463</v>
      </c>
      <c r="B470" s="15">
        <v>45795</v>
      </c>
      <c r="C470" s="11" t="s">
        <v>9</v>
      </c>
      <c r="D470" s="11" t="s">
        <v>32</v>
      </c>
      <c r="E470" s="9">
        <v>20</v>
      </c>
      <c r="F470" s="7">
        <v>39734.92</v>
      </c>
      <c r="G470" s="7">
        <v>794698.4</v>
      </c>
    </row>
    <row r="471" spans="1:7" x14ac:dyDescent="0.3">
      <c r="A471" s="1">
        <v>464</v>
      </c>
      <c r="B471" s="15">
        <v>45770</v>
      </c>
      <c r="C471" s="11" t="s">
        <v>10</v>
      </c>
      <c r="D471" s="11" t="s">
        <v>34</v>
      </c>
      <c r="E471" s="9">
        <v>18</v>
      </c>
      <c r="F471" s="7">
        <v>18203.919999999998</v>
      </c>
      <c r="G471" s="7">
        <v>327670.56</v>
      </c>
    </row>
    <row r="472" spans="1:7" x14ac:dyDescent="0.3">
      <c r="A472" s="1">
        <v>465</v>
      </c>
      <c r="B472" s="15">
        <v>45854</v>
      </c>
      <c r="C472" s="11" t="s">
        <v>9</v>
      </c>
      <c r="D472" s="11" t="s">
        <v>32</v>
      </c>
      <c r="E472" s="9">
        <v>15</v>
      </c>
      <c r="F472" s="7">
        <v>31006.47</v>
      </c>
      <c r="G472" s="7">
        <v>465097.05</v>
      </c>
    </row>
    <row r="473" spans="1:7" x14ac:dyDescent="0.3">
      <c r="A473" s="1">
        <v>466</v>
      </c>
      <c r="B473" s="15">
        <v>45880</v>
      </c>
      <c r="C473" s="11" t="s">
        <v>9</v>
      </c>
      <c r="D473" s="11" t="s">
        <v>32</v>
      </c>
      <c r="E473" s="9">
        <v>8</v>
      </c>
      <c r="F473" s="7">
        <v>2167.21</v>
      </c>
      <c r="G473" s="7">
        <v>17337.68</v>
      </c>
    </row>
    <row r="474" spans="1:7" x14ac:dyDescent="0.3">
      <c r="A474" s="1">
        <v>467</v>
      </c>
      <c r="B474" s="15">
        <v>45827</v>
      </c>
      <c r="C474" s="11" t="s">
        <v>7</v>
      </c>
      <c r="D474" s="11" t="s">
        <v>19</v>
      </c>
      <c r="E474" s="9">
        <v>1</v>
      </c>
      <c r="F474" s="7">
        <v>59536.13</v>
      </c>
      <c r="G474" s="7">
        <v>59536.13</v>
      </c>
    </row>
    <row r="475" spans="1:7" x14ac:dyDescent="0.3">
      <c r="A475" s="1">
        <v>468</v>
      </c>
      <c r="B475" s="15">
        <v>45734</v>
      </c>
      <c r="C475" s="11" t="s">
        <v>8</v>
      </c>
      <c r="D475" s="11" t="s">
        <v>18</v>
      </c>
      <c r="E475" s="9">
        <v>18</v>
      </c>
      <c r="F475" s="7">
        <v>18657.21</v>
      </c>
      <c r="G475" s="7">
        <v>335829.78</v>
      </c>
    </row>
    <row r="476" spans="1:7" x14ac:dyDescent="0.3">
      <c r="A476" s="1">
        <v>469</v>
      </c>
      <c r="B476" s="15">
        <v>45811</v>
      </c>
      <c r="C476" s="11" t="s">
        <v>10</v>
      </c>
      <c r="D476" s="11" t="s">
        <v>27</v>
      </c>
      <c r="E476" s="9">
        <v>19</v>
      </c>
      <c r="F476" s="7">
        <v>54156.83</v>
      </c>
      <c r="G476" s="7">
        <v>1028979.77</v>
      </c>
    </row>
    <row r="477" spans="1:7" x14ac:dyDescent="0.3">
      <c r="A477" s="1">
        <v>470</v>
      </c>
      <c r="B477" s="15">
        <v>45680</v>
      </c>
      <c r="C477" s="11" t="s">
        <v>7</v>
      </c>
      <c r="D477" s="11" t="s">
        <v>15</v>
      </c>
      <c r="E477" s="9">
        <v>5</v>
      </c>
      <c r="F477" s="7">
        <v>70084.240000000005</v>
      </c>
      <c r="G477" s="7">
        <v>350421.2</v>
      </c>
    </row>
    <row r="478" spans="1:7" x14ac:dyDescent="0.3">
      <c r="A478" s="1">
        <v>471</v>
      </c>
      <c r="B478" s="15">
        <v>45730</v>
      </c>
      <c r="C478" s="11" t="s">
        <v>10</v>
      </c>
      <c r="D478" s="11" t="s">
        <v>31</v>
      </c>
      <c r="E478" s="9">
        <v>17</v>
      </c>
      <c r="F478" s="7">
        <v>83664.56</v>
      </c>
      <c r="G478" s="7">
        <v>1422297.52</v>
      </c>
    </row>
    <row r="479" spans="1:7" x14ac:dyDescent="0.3">
      <c r="A479" s="1">
        <v>472</v>
      </c>
      <c r="B479" s="15">
        <v>45879</v>
      </c>
      <c r="C479" s="11" t="s">
        <v>9</v>
      </c>
      <c r="D479" s="11" t="s">
        <v>32</v>
      </c>
      <c r="E479" s="9">
        <v>3</v>
      </c>
      <c r="F479" s="7">
        <v>68634.39</v>
      </c>
      <c r="G479" s="7">
        <v>205903.17</v>
      </c>
    </row>
    <row r="480" spans="1:7" x14ac:dyDescent="0.3">
      <c r="A480" s="1">
        <v>473</v>
      </c>
      <c r="B480" s="15">
        <v>45852</v>
      </c>
      <c r="C480" s="11" t="s">
        <v>6</v>
      </c>
      <c r="D480" s="11" t="s">
        <v>21</v>
      </c>
      <c r="E480" s="9">
        <v>2</v>
      </c>
      <c r="F480" s="7">
        <v>34872.959999999999</v>
      </c>
      <c r="G480" s="7">
        <v>69745.919999999998</v>
      </c>
    </row>
    <row r="481" spans="1:7" x14ac:dyDescent="0.3">
      <c r="A481" s="1">
        <v>474</v>
      </c>
      <c r="B481" s="15">
        <v>45809</v>
      </c>
      <c r="C481" s="11" t="s">
        <v>10</v>
      </c>
      <c r="D481" s="11" t="s">
        <v>34</v>
      </c>
      <c r="E481" s="9">
        <v>14</v>
      </c>
      <c r="F481" s="7">
        <v>4323.46</v>
      </c>
      <c r="G481" s="7">
        <v>60528.44</v>
      </c>
    </row>
    <row r="482" spans="1:7" x14ac:dyDescent="0.3">
      <c r="A482" s="1">
        <v>475</v>
      </c>
      <c r="B482" s="15">
        <v>45709</v>
      </c>
      <c r="C482" s="11" t="s">
        <v>6</v>
      </c>
      <c r="D482" s="11" t="s">
        <v>35</v>
      </c>
      <c r="E482" s="9">
        <v>10</v>
      </c>
      <c r="F482" s="7">
        <v>80735.88</v>
      </c>
      <c r="G482" s="7">
        <v>807358.8</v>
      </c>
    </row>
    <row r="483" spans="1:7" x14ac:dyDescent="0.3">
      <c r="A483" s="1">
        <v>476</v>
      </c>
      <c r="B483" s="15">
        <v>45713</v>
      </c>
      <c r="C483" s="11" t="s">
        <v>8</v>
      </c>
      <c r="D483" s="11" t="s">
        <v>29</v>
      </c>
      <c r="E483" s="9">
        <v>20</v>
      </c>
      <c r="F483" s="7">
        <v>61525.65</v>
      </c>
      <c r="G483" s="7">
        <v>1230513</v>
      </c>
    </row>
    <row r="484" spans="1:7" x14ac:dyDescent="0.3">
      <c r="A484" s="1">
        <v>477</v>
      </c>
      <c r="B484" s="15">
        <v>45675</v>
      </c>
      <c r="C484" s="11" t="s">
        <v>6</v>
      </c>
      <c r="D484" s="11" t="s">
        <v>37</v>
      </c>
      <c r="E484" s="9">
        <v>20</v>
      </c>
      <c r="F484" s="7">
        <v>865.91</v>
      </c>
      <c r="G484" s="7">
        <v>17318.2</v>
      </c>
    </row>
    <row r="485" spans="1:7" x14ac:dyDescent="0.3">
      <c r="A485" s="1">
        <v>478</v>
      </c>
      <c r="B485" s="15">
        <v>45820</v>
      </c>
      <c r="C485" s="11" t="s">
        <v>6</v>
      </c>
      <c r="D485" s="11" t="s">
        <v>37</v>
      </c>
      <c r="E485" s="9">
        <v>7</v>
      </c>
      <c r="F485" s="7">
        <v>64806.67</v>
      </c>
      <c r="G485" s="7">
        <v>453646.69</v>
      </c>
    </row>
    <row r="486" spans="1:7" x14ac:dyDescent="0.3">
      <c r="A486" s="1">
        <v>479</v>
      </c>
      <c r="B486" s="15">
        <v>45895</v>
      </c>
      <c r="C486" s="11" t="s">
        <v>7</v>
      </c>
      <c r="D486" s="11" t="s">
        <v>13</v>
      </c>
      <c r="E486" s="9">
        <v>7</v>
      </c>
      <c r="F486" s="7">
        <v>63884.29</v>
      </c>
      <c r="G486" s="7">
        <v>447190.03</v>
      </c>
    </row>
    <row r="487" spans="1:7" x14ac:dyDescent="0.3">
      <c r="A487" s="1">
        <v>480</v>
      </c>
      <c r="B487" s="15">
        <v>45692</v>
      </c>
      <c r="C487" s="11" t="s">
        <v>10</v>
      </c>
      <c r="D487" s="11" t="s">
        <v>31</v>
      </c>
      <c r="E487" s="9">
        <v>11</v>
      </c>
      <c r="F487" s="7">
        <v>41403.54</v>
      </c>
      <c r="G487" s="7">
        <v>455438.94</v>
      </c>
    </row>
    <row r="488" spans="1:7" x14ac:dyDescent="0.3">
      <c r="A488" s="1">
        <v>481</v>
      </c>
      <c r="B488" s="15">
        <v>45920</v>
      </c>
      <c r="C488" s="11" t="s">
        <v>7</v>
      </c>
      <c r="D488" s="11" t="s">
        <v>14</v>
      </c>
      <c r="E488" s="9">
        <v>6</v>
      </c>
      <c r="F488" s="7">
        <v>88530.25</v>
      </c>
      <c r="G488" s="7">
        <v>531181.5</v>
      </c>
    </row>
    <row r="489" spans="1:7" x14ac:dyDescent="0.3">
      <c r="A489" s="1">
        <v>482</v>
      </c>
      <c r="B489" s="15">
        <v>45695</v>
      </c>
      <c r="C489" s="11" t="s">
        <v>9</v>
      </c>
      <c r="D489" s="11" t="s">
        <v>23</v>
      </c>
      <c r="E489" s="9">
        <v>17</v>
      </c>
      <c r="F489" s="7">
        <v>26687.75</v>
      </c>
      <c r="G489" s="7">
        <v>453691.75</v>
      </c>
    </row>
    <row r="490" spans="1:7" x14ac:dyDescent="0.3">
      <c r="A490" s="1">
        <v>483</v>
      </c>
      <c r="B490" s="15">
        <v>45782</v>
      </c>
      <c r="C490" s="11" t="s">
        <v>6</v>
      </c>
      <c r="D490" s="11" t="s">
        <v>22</v>
      </c>
      <c r="E490" s="9">
        <v>19</v>
      </c>
      <c r="F490" s="7">
        <v>41596.51</v>
      </c>
      <c r="G490" s="7">
        <v>790333.69</v>
      </c>
    </row>
    <row r="491" spans="1:7" x14ac:dyDescent="0.3">
      <c r="A491" s="1">
        <v>484</v>
      </c>
      <c r="B491" s="15">
        <v>45863</v>
      </c>
      <c r="C491" s="11" t="s">
        <v>9</v>
      </c>
      <c r="D491" s="11" t="s">
        <v>25</v>
      </c>
      <c r="E491" s="9">
        <v>19</v>
      </c>
      <c r="F491" s="7">
        <v>78045.08</v>
      </c>
      <c r="G491" s="7">
        <v>1482856.52</v>
      </c>
    </row>
    <row r="492" spans="1:7" x14ac:dyDescent="0.3">
      <c r="A492" s="1">
        <v>485</v>
      </c>
      <c r="B492" s="15">
        <v>45729</v>
      </c>
      <c r="C492" s="11" t="s">
        <v>9</v>
      </c>
      <c r="D492" s="11" t="s">
        <v>23</v>
      </c>
      <c r="E492" s="9">
        <v>1</v>
      </c>
      <c r="F492" s="7">
        <v>96338.22</v>
      </c>
      <c r="G492" s="7">
        <v>96338.22</v>
      </c>
    </row>
    <row r="493" spans="1:7" x14ac:dyDescent="0.3">
      <c r="A493" s="1">
        <v>486</v>
      </c>
      <c r="B493" s="15">
        <v>45835</v>
      </c>
      <c r="C493" s="11" t="s">
        <v>7</v>
      </c>
      <c r="D493" s="11" t="s">
        <v>13</v>
      </c>
      <c r="E493" s="9">
        <v>5</v>
      </c>
      <c r="F493" s="7">
        <v>78001.97</v>
      </c>
      <c r="G493" s="7">
        <v>390009.85</v>
      </c>
    </row>
    <row r="494" spans="1:7" x14ac:dyDescent="0.3">
      <c r="A494" s="1">
        <v>487</v>
      </c>
      <c r="B494" s="15">
        <v>45660</v>
      </c>
      <c r="C494" s="11" t="s">
        <v>7</v>
      </c>
      <c r="D494" s="11" t="s">
        <v>12</v>
      </c>
      <c r="E494" s="9">
        <v>4</v>
      </c>
      <c r="F494" s="7">
        <v>84659.08</v>
      </c>
      <c r="G494" s="7">
        <v>338636.32</v>
      </c>
    </row>
    <row r="495" spans="1:7" x14ac:dyDescent="0.3">
      <c r="A495" s="1">
        <v>488</v>
      </c>
      <c r="B495" s="15">
        <v>45774</v>
      </c>
      <c r="C495" s="11" t="s">
        <v>10</v>
      </c>
      <c r="D495" s="11" t="s">
        <v>24</v>
      </c>
      <c r="E495" s="9">
        <v>16</v>
      </c>
      <c r="F495" s="7">
        <v>11721.33</v>
      </c>
      <c r="G495" s="7">
        <v>187541.28</v>
      </c>
    </row>
    <row r="496" spans="1:7" x14ac:dyDescent="0.3">
      <c r="A496" s="1">
        <v>489</v>
      </c>
      <c r="B496" s="15">
        <v>45852</v>
      </c>
      <c r="C496" s="11" t="s">
        <v>6</v>
      </c>
      <c r="D496" s="11" t="s">
        <v>35</v>
      </c>
      <c r="E496" s="9">
        <v>10</v>
      </c>
      <c r="F496" s="7">
        <v>75383.33</v>
      </c>
      <c r="G496" s="7">
        <v>753833.3</v>
      </c>
    </row>
    <row r="497" spans="1:7" x14ac:dyDescent="0.3">
      <c r="A497" s="1">
        <v>490</v>
      </c>
      <c r="B497" s="15">
        <v>45790</v>
      </c>
      <c r="C497" s="11" t="s">
        <v>8</v>
      </c>
      <c r="D497" s="11" t="s">
        <v>16</v>
      </c>
      <c r="E497" s="9">
        <v>7</v>
      </c>
      <c r="F497" s="7">
        <v>60128.83</v>
      </c>
      <c r="G497" s="7">
        <v>420901.81</v>
      </c>
    </row>
    <row r="498" spans="1:7" x14ac:dyDescent="0.3">
      <c r="A498" s="1">
        <v>491</v>
      </c>
      <c r="B498" s="15">
        <v>45908</v>
      </c>
      <c r="C498" s="11" t="s">
        <v>9</v>
      </c>
      <c r="D498" s="11" t="s">
        <v>33</v>
      </c>
      <c r="E498" s="9">
        <v>16</v>
      </c>
      <c r="F498" s="7">
        <v>59759.11</v>
      </c>
      <c r="G498" s="7">
        <v>956145.76</v>
      </c>
    </row>
    <row r="499" spans="1:7" x14ac:dyDescent="0.3">
      <c r="A499" s="1">
        <v>492</v>
      </c>
      <c r="B499" s="15">
        <v>45854</v>
      </c>
      <c r="C499" s="11" t="s">
        <v>8</v>
      </c>
      <c r="D499" s="11" t="s">
        <v>28</v>
      </c>
      <c r="E499" s="9">
        <v>13</v>
      </c>
      <c r="F499" s="7">
        <v>21423.599999999999</v>
      </c>
      <c r="G499" s="7">
        <v>278506.8</v>
      </c>
    </row>
    <row r="500" spans="1:7" x14ac:dyDescent="0.3">
      <c r="A500" s="1">
        <v>493</v>
      </c>
      <c r="B500" s="15">
        <v>45726</v>
      </c>
      <c r="C500" s="11" t="s">
        <v>10</v>
      </c>
      <c r="D500" s="11" t="s">
        <v>26</v>
      </c>
      <c r="E500" s="9">
        <v>17</v>
      </c>
      <c r="F500" s="7">
        <v>87251.95</v>
      </c>
      <c r="G500" s="7">
        <v>1483283.15</v>
      </c>
    </row>
    <row r="501" spans="1:7" x14ac:dyDescent="0.3">
      <c r="A501" s="1">
        <v>494</v>
      </c>
      <c r="B501" s="15">
        <v>45724</v>
      </c>
      <c r="C501" s="11" t="s">
        <v>8</v>
      </c>
      <c r="D501" s="11" t="s">
        <v>29</v>
      </c>
      <c r="E501" s="9">
        <v>16</v>
      </c>
      <c r="F501" s="7">
        <v>73298.210000000006</v>
      </c>
      <c r="G501" s="7">
        <v>1172771.3600000001</v>
      </c>
    </row>
    <row r="502" spans="1:7" x14ac:dyDescent="0.3">
      <c r="A502" s="1">
        <v>495</v>
      </c>
      <c r="B502" s="15">
        <v>45710</v>
      </c>
      <c r="C502" s="11" t="s">
        <v>9</v>
      </c>
      <c r="D502" s="11" t="s">
        <v>23</v>
      </c>
      <c r="E502" s="9">
        <v>14</v>
      </c>
      <c r="F502" s="7">
        <v>85881.279999999999</v>
      </c>
      <c r="G502" s="7">
        <v>1202337.92</v>
      </c>
    </row>
    <row r="503" spans="1:7" x14ac:dyDescent="0.3">
      <c r="A503" s="1">
        <v>496</v>
      </c>
      <c r="B503" s="15">
        <v>45744</v>
      </c>
      <c r="C503" s="11" t="s">
        <v>8</v>
      </c>
      <c r="D503" s="11" t="s">
        <v>20</v>
      </c>
      <c r="E503" s="9">
        <v>1</v>
      </c>
      <c r="F503" s="7">
        <v>47912.160000000003</v>
      </c>
      <c r="G503" s="7">
        <v>47912.160000000003</v>
      </c>
    </row>
    <row r="504" spans="1:7" x14ac:dyDescent="0.3">
      <c r="A504" s="1">
        <v>497</v>
      </c>
      <c r="B504" s="15">
        <v>45763</v>
      </c>
      <c r="C504" s="11" t="s">
        <v>9</v>
      </c>
      <c r="D504" s="11" t="s">
        <v>33</v>
      </c>
      <c r="E504" s="9">
        <v>8</v>
      </c>
      <c r="F504" s="7">
        <v>13492.99</v>
      </c>
      <c r="G504" s="7">
        <v>107943.92</v>
      </c>
    </row>
    <row r="505" spans="1:7" x14ac:dyDescent="0.3">
      <c r="A505" s="1">
        <v>498</v>
      </c>
      <c r="B505" s="15">
        <v>45809</v>
      </c>
      <c r="C505" s="11" t="s">
        <v>9</v>
      </c>
      <c r="D505" s="11" t="s">
        <v>32</v>
      </c>
      <c r="E505" s="9">
        <v>14</v>
      </c>
      <c r="F505" s="7">
        <v>24175.279999999999</v>
      </c>
      <c r="G505" s="7">
        <v>338453.92</v>
      </c>
    </row>
    <row r="506" spans="1:7" x14ac:dyDescent="0.3">
      <c r="A506" s="1">
        <v>499</v>
      </c>
      <c r="B506" s="15">
        <v>45856</v>
      </c>
      <c r="C506" s="11" t="s">
        <v>7</v>
      </c>
      <c r="D506" s="11" t="s">
        <v>19</v>
      </c>
      <c r="E506" s="9">
        <v>5</v>
      </c>
      <c r="F506" s="7">
        <v>27961.55</v>
      </c>
      <c r="G506" s="7">
        <v>139807.75</v>
      </c>
    </row>
    <row r="507" spans="1:7" x14ac:dyDescent="0.3">
      <c r="A507" s="1">
        <v>500</v>
      </c>
      <c r="B507" s="15">
        <v>45792</v>
      </c>
      <c r="C507" s="11" t="s">
        <v>10</v>
      </c>
      <c r="D507" s="11" t="s">
        <v>24</v>
      </c>
      <c r="E507" s="9">
        <v>9</v>
      </c>
      <c r="F507" s="7">
        <v>18936.38</v>
      </c>
      <c r="G507" s="7">
        <v>170427.42</v>
      </c>
    </row>
    <row r="508" spans="1:7" x14ac:dyDescent="0.3">
      <c r="A508" s="3"/>
    </row>
  </sheetData>
  <mergeCells count="2">
    <mergeCell ref="A6:U6"/>
    <mergeCell ref="D1:U5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F7AD4-09DF-447B-9D46-53C83D330C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Candando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Aluno EDJAI</cp:lastModifiedBy>
  <dcterms:created xsi:type="dcterms:W3CDTF">2025-09-13T13:14:30Z</dcterms:created>
  <dcterms:modified xsi:type="dcterms:W3CDTF">2026-06-13T14:36:20Z</dcterms:modified>
</cp:coreProperties>
</file>