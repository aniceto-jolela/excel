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j\Downloads\"/>
    </mc:Choice>
  </mc:AlternateContent>
  <bookViews>
    <workbookView xWindow="0" yWindow="0" windowWidth="20490" windowHeight="7530" activeTab="3"/>
  </bookViews>
  <sheets>
    <sheet name="Enunciado" sheetId="1" r:id="rId1"/>
    <sheet name="Base_Vendas" sheetId="2" r:id="rId2"/>
    <sheet name="Metas" sheetId="3" r:id="rId3"/>
    <sheet name="Dashboard_Modelo" sheetId="4" r:id="rId4"/>
    <sheet name="Dicionario" sheetId="5" r:id="rId5"/>
  </sheets>
  <calcPr calcId="162913"/>
</workbook>
</file>

<file path=xl/calcChain.xml><?xml version="1.0" encoding="utf-8"?>
<calcChain xmlns="http://schemas.openxmlformats.org/spreadsheetml/2006/main">
  <c r="F15" i="4" l="1"/>
  <c r="D15" i="4"/>
  <c r="F14" i="4"/>
  <c r="D14" i="4"/>
  <c r="F13" i="4"/>
  <c r="D13" i="4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B6" i="4"/>
  <c r="F5" i="4"/>
  <c r="D5" i="4"/>
  <c r="B5" i="4"/>
  <c r="B10" i="4" s="1"/>
  <c r="F4" i="4"/>
  <c r="D4" i="4"/>
  <c r="T601" i="2"/>
  <c r="S601" i="2"/>
  <c r="U601" i="2" s="1"/>
  <c r="V601" i="2" s="1"/>
  <c r="R601" i="2"/>
  <c r="Q601" i="2"/>
  <c r="O601" i="2"/>
  <c r="P601" i="2" s="1"/>
  <c r="T600" i="2"/>
  <c r="S600" i="2"/>
  <c r="U600" i="2" s="1"/>
  <c r="V600" i="2" s="1"/>
  <c r="R600" i="2"/>
  <c r="Q600" i="2"/>
  <c r="O600" i="2"/>
  <c r="P600" i="2" s="1"/>
  <c r="U599" i="2"/>
  <c r="V599" i="2" s="1"/>
  <c r="T599" i="2"/>
  <c r="S599" i="2"/>
  <c r="R599" i="2"/>
  <c r="Q599" i="2"/>
  <c r="O599" i="2"/>
  <c r="P599" i="2" s="1"/>
  <c r="V598" i="2"/>
  <c r="U598" i="2"/>
  <c r="T598" i="2"/>
  <c r="S598" i="2"/>
  <c r="R598" i="2"/>
  <c r="Q598" i="2"/>
  <c r="O598" i="2"/>
  <c r="P598" i="2" s="1"/>
  <c r="T597" i="2"/>
  <c r="S597" i="2"/>
  <c r="U597" i="2" s="1"/>
  <c r="V597" i="2" s="1"/>
  <c r="R597" i="2"/>
  <c r="Q597" i="2"/>
  <c r="O597" i="2"/>
  <c r="P597" i="2" s="1"/>
  <c r="V596" i="2"/>
  <c r="U596" i="2"/>
  <c r="T596" i="2"/>
  <c r="S596" i="2"/>
  <c r="R596" i="2"/>
  <c r="Q596" i="2"/>
  <c r="O596" i="2"/>
  <c r="P596" i="2" s="1"/>
  <c r="U595" i="2"/>
  <c r="V595" i="2" s="1"/>
  <c r="T595" i="2"/>
  <c r="S595" i="2"/>
  <c r="R595" i="2"/>
  <c r="Q595" i="2"/>
  <c r="O595" i="2"/>
  <c r="P595" i="2" s="1"/>
  <c r="T594" i="2"/>
  <c r="S594" i="2"/>
  <c r="U594" i="2" s="1"/>
  <c r="V594" i="2" s="1"/>
  <c r="R594" i="2"/>
  <c r="Q594" i="2"/>
  <c r="O594" i="2"/>
  <c r="P594" i="2" s="1"/>
  <c r="T593" i="2"/>
  <c r="S593" i="2"/>
  <c r="U593" i="2" s="1"/>
  <c r="V593" i="2" s="1"/>
  <c r="R593" i="2"/>
  <c r="Q593" i="2"/>
  <c r="O593" i="2"/>
  <c r="P593" i="2" s="1"/>
  <c r="T592" i="2"/>
  <c r="S592" i="2"/>
  <c r="U592" i="2" s="1"/>
  <c r="V592" i="2" s="1"/>
  <c r="R592" i="2"/>
  <c r="Q592" i="2"/>
  <c r="O592" i="2"/>
  <c r="P592" i="2" s="1"/>
  <c r="U591" i="2"/>
  <c r="V591" i="2" s="1"/>
  <c r="T591" i="2"/>
  <c r="S591" i="2"/>
  <c r="R591" i="2"/>
  <c r="Q591" i="2"/>
  <c r="O591" i="2"/>
  <c r="P591" i="2" s="1"/>
  <c r="T590" i="2"/>
  <c r="U590" i="2" s="1"/>
  <c r="V590" i="2" s="1"/>
  <c r="S590" i="2"/>
  <c r="R590" i="2"/>
  <c r="Q590" i="2"/>
  <c r="O590" i="2"/>
  <c r="P590" i="2" s="1"/>
  <c r="V589" i="2"/>
  <c r="T589" i="2"/>
  <c r="S589" i="2"/>
  <c r="U589" i="2" s="1"/>
  <c r="R589" i="2"/>
  <c r="Q589" i="2"/>
  <c r="O589" i="2"/>
  <c r="P589" i="2" s="1"/>
  <c r="U588" i="2"/>
  <c r="V588" i="2" s="1"/>
  <c r="T588" i="2"/>
  <c r="S588" i="2"/>
  <c r="R588" i="2"/>
  <c r="Q588" i="2"/>
  <c r="O588" i="2"/>
  <c r="P588" i="2" s="1"/>
  <c r="T587" i="2"/>
  <c r="U587" i="2" s="1"/>
  <c r="V587" i="2" s="1"/>
  <c r="S587" i="2"/>
  <c r="R587" i="2"/>
  <c r="Q587" i="2"/>
  <c r="O587" i="2"/>
  <c r="P587" i="2" s="1"/>
  <c r="T586" i="2"/>
  <c r="S586" i="2"/>
  <c r="U586" i="2" s="1"/>
  <c r="V586" i="2" s="1"/>
  <c r="R586" i="2"/>
  <c r="Q586" i="2"/>
  <c r="O586" i="2"/>
  <c r="P586" i="2" s="1"/>
  <c r="T585" i="2"/>
  <c r="S585" i="2"/>
  <c r="U585" i="2" s="1"/>
  <c r="V585" i="2" s="1"/>
  <c r="R585" i="2"/>
  <c r="Q585" i="2"/>
  <c r="O585" i="2"/>
  <c r="P585" i="2" s="1"/>
  <c r="T584" i="2"/>
  <c r="S584" i="2"/>
  <c r="U584" i="2" s="1"/>
  <c r="V584" i="2" s="1"/>
  <c r="R584" i="2"/>
  <c r="Q584" i="2"/>
  <c r="O584" i="2"/>
  <c r="P584" i="2" s="1"/>
  <c r="U583" i="2"/>
  <c r="V583" i="2" s="1"/>
  <c r="T583" i="2"/>
  <c r="S583" i="2"/>
  <c r="R583" i="2"/>
  <c r="Q583" i="2"/>
  <c r="O583" i="2"/>
  <c r="P583" i="2" s="1"/>
  <c r="T582" i="2"/>
  <c r="U582" i="2" s="1"/>
  <c r="V582" i="2" s="1"/>
  <c r="S582" i="2"/>
  <c r="R582" i="2"/>
  <c r="Q582" i="2"/>
  <c r="O582" i="2"/>
  <c r="P582" i="2" s="1"/>
  <c r="T581" i="2"/>
  <c r="S581" i="2"/>
  <c r="U581" i="2" s="1"/>
  <c r="V581" i="2" s="1"/>
  <c r="R581" i="2"/>
  <c r="Q581" i="2"/>
  <c r="O581" i="2"/>
  <c r="P581" i="2" s="1"/>
  <c r="U580" i="2"/>
  <c r="V580" i="2" s="1"/>
  <c r="T580" i="2"/>
  <c r="S580" i="2"/>
  <c r="R580" i="2"/>
  <c r="Q580" i="2"/>
  <c r="O580" i="2"/>
  <c r="P580" i="2" s="1"/>
  <c r="U579" i="2"/>
  <c r="V579" i="2" s="1"/>
  <c r="T579" i="2"/>
  <c r="S579" i="2"/>
  <c r="R579" i="2"/>
  <c r="Q579" i="2"/>
  <c r="O579" i="2"/>
  <c r="P579" i="2" s="1"/>
  <c r="T578" i="2"/>
  <c r="S578" i="2"/>
  <c r="R578" i="2"/>
  <c r="Q578" i="2"/>
  <c r="O578" i="2"/>
  <c r="P578" i="2" s="1"/>
  <c r="T577" i="2"/>
  <c r="S577" i="2"/>
  <c r="U577" i="2" s="1"/>
  <c r="V577" i="2" s="1"/>
  <c r="R577" i="2"/>
  <c r="Q577" i="2"/>
  <c r="O577" i="2"/>
  <c r="P577" i="2" s="1"/>
  <c r="T576" i="2"/>
  <c r="S576" i="2"/>
  <c r="U576" i="2" s="1"/>
  <c r="V576" i="2" s="1"/>
  <c r="R576" i="2"/>
  <c r="Q576" i="2"/>
  <c r="O576" i="2"/>
  <c r="P576" i="2" s="1"/>
  <c r="U575" i="2"/>
  <c r="V575" i="2" s="1"/>
  <c r="T575" i="2"/>
  <c r="S575" i="2"/>
  <c r="R575" i="2"/>
  <c r="Q575" i="2"/>
  <c r="O575" i="2"/>
  <c r="P575" i="2" s="1"/>
  <c r="T574" i="2"/>
  <c r="S574" i="2"/>
  <c r="U574" i="2" s="1"/>
  <c r="V574" i="2" s="1"/>
  <c r="R574" i="2"/>
  <c r="Q574" i="2"/>
  <c r="O574" i="2"/>
  <c r="P574" i="2" s="1"/>
  <c r="T573" i="2"/>
  <c r="S573" i="2"/>
  <c r="U573" i="2" s="1"/>
  <c r="V573" i="2" s="1"/>
  <c r="R573" i="2"/>
  <c r="Q573" i="2"/>
  <c r="O573" i="2"/>
  <c r="P573" i="2" s="1"/>
  <c r="V572" i="2"/>
  <c r="U572" i="2"/>
  <c r="T572" i="2"/>
  <c r="S572" i="2"/>
  <c r="R572" i="2"/>
  <c r="Q572" i="2"/>
  <c r="O572" i="2"/>
  <c r="P572" i="2" s="1"/>
  <c r="U571" i="2"/>
  <c r="V571" i="2" s="1"/>
  <c r="T571" i="2"/>
  <c r="S571" i="2"/>
  <c r="R571" i="2"/>
  <c r="Q571" i="2"/>
  <c r="O571" i="2"/>
  <c r="P571" i="2" s="1"/>
  <c r="T570" i="2"/>
  <c r="S570" i="2"/>
  <c r="U570" i="2" s="1"/>
  <c r="V570" i="2" s="1"/>
  <c r="R570" i="2"/>
  <c r="Q570" i="2"/>
  <c r="O570" i="2"/>
  <c r="P570" i="2" s="1"/>
  <c r="T569" i="2"/>
  <c r="S569" i="2"/>
  <c r="U569" i="2" s="1"/>
  <c r="V569" i="2" s="1"/>
  <c r="R569" i="2"/>
  <c r="Q569" i="2"/>
  <c r="O569" i="2"/>
  <c r="P569" i="2" s="1"/>
  <c r="T568" i="2"/>
  <c r="S568" i="2"/>
  <c r="U568" i="2" s="1"/>
  <c r="V568" i="2" s="1"/>
  <c r="R568" i="2"/>
  <c r="Q568" i="2"/>
  <c r="O568" i="2"/>
  <c r="P568" i="2" s="1"/>
  <c r="U567" i="2"/>
  <c r="V567" i="2" s="1"/>
  <c r="T567" i="2"/>
  <c r="S567" i="2"/>
  <c r="R567" i="2"/>
  <c r="Q567" i="2"/>
  <c r="O567" i="2"/>
  <c r="P567" i="2" s="1"/>
  <c r="T566" i="2"/>
  <c r="S566" i="2"/>
  <c r="U566" i="2" s="1"/>
  <c r="V566" i="2" s="1"/>
  <c r="R566" i="2"/>
  <c r="Q566" i="2"/>
  <c r="O566" i="2"/>
  <c r="P566" i="2" s="1"/>
  <c r="V565" i="2"/>
  <c r="T565" i="2"/>
  <c r="S565" i="2"/>
  <c r="U565" i="2" s="1"/>
  <c r="R565" i="2"/>
  <c r="Q565" i="2"/>
  <c r="O565" i="2"/>
  <c r="P565" i="2" s="1"/>
  <c r="T564" i="2"/>
  <c r="R564" i="2"/>
  <c r="S564" i="2" s="1"/>
  <c r="U564" i="2" s="1"/>
  <c r="V564" i="2" s="1"/>
  <c r="Q564" i="2"/>
  <c r="O564" i="2"/>
  <c r="P564" i="2" s="1"/>
  <c r="T563" i="2"/>
  <c r="U563" i="2" s="1"/>
  <c r="V563" i="2" s="1"/>
  <c r="S563" i="2"/>
  <c r="R563" i="2"/>
  <c r="Q563" i="2"/>
  <c r="O563" i="2"/>
  <c r="P563" i="2" s="1"/>
  <c r="T562" i="2"/>
  <c r="S562" i="2"/>
  <c r="R562" i="2"/>
  <c r="Q562" i="2"/>
  <c r="O562" i="2"/>
  <c r="P562" i="2" s="1"/>
  <c r="T561" i="2"/>
  <c r="S561" i="2"/>
  <c r="U561" i="2" s="1"/>
  <c r="V561" i="2" s="1"/>
  <c r="R561" i="2"/>
  <c r="Q561" i="2"/>
  <c r="O561" i="2"/>
  <c r="P561" i="2" s="1"/>
  <c r="T560" i="2"/>
  <c r="R560" i="2"/>
  <c r="S560" i="2" s="1"/>
  <c r="U560" i="2" s="1"/>
  <c r="V560" i="2" s="1"/>
  <c r="Q560" i="2"/>
  <c r="O560" i="2"/>
  <c r="P560" i="2" s="1"/>
  <c r="T559" i="2"/>
  <c r="R559" i="2"/>
  <c r="S559" i="2" s="1"/>
  <c r="U559" i="2" s="1"/>
  <c r="V559" i="2" s="1"/>
  <c r="Q559" i="2"/>
  <c r="O559" i="2"/>
  <c r="P559" i="2" s="1"/>
  <c r="T558" i="2"/>
  <c r="R558" i="2"/>
  <c r="S558" i="2" s="1"/>
  <c r="U558" i="2" s="1"/>
  <c r="V558" i="2" s="1"/>
  <c r="Q558" i="2"/>
  <c r="O558" i="2"/>
  <c r="P558" i="2" s="1"/>
  <c r="V557" i="2"/>
  <c r="T557" i="2"/>
  <c r="S557" i="2"/>
  <c r="U557" i="2" s="1"/>
  <c r="R557" i="2"/>
  <c r="Q557" i="2"/>
  <c r="O557" i="2"/>
  <c r="P557" i="2" s="1"/>
  <c r="T556" i="2"/>
  <c r="R556" i="2"/>
  <c r="S556" i="2" s="1"/>
  <c r="U556" i="2" s="1"/>
  <c r="V556" i="2" s="1"/>
  <c r="Q556" i="2"/>
  <c r="O556" i="2"/>
  <c r="P556" i="2" s="1"/>
  <c r="T555" i="2"/>
  <c r="U555" i="2" s="1"/>
  <c r="V555" i="2" s="1"/>
  <c r="S555" i="2"/>
  <c r="R555" i="2"/>
  <c r="Q555" i="2"/>
  <c r="O555" i="2"/>
  <c r="P555" i="2" s="1"/>
  <c r="T554" i="2"/>
  <c r="S554" i="2"/>
  <c r="R554" i="2"/>
  <c r="Q554" i="2"/>
  <c r="O554" i="2"/>
  <c r="P554" i="2" s="1"/>
  <c r="T553" i="2"/>
  <c r="S553" i="2"/>
  <c r="U553" i="2" s="1"/>
  <c r="V553" i="2" s="1"/>
  <c r="R553" i="2"/>
  <c r="Q553" i="2"/>
  <c r="O553" i="2"/>
  <c r="P553" i="2" s="1"/>
  <c r="T552" i="2"/>
  <c r="R552" i="2"/>
  <c r="S552" i="2" s="1"/>
  <c r="U552" i="2" s="1"/>
  <c r="V552" i="2" s="1"/>
  <c r="Q552" i="2"/>
  <c r="O552" i="2"/>
  <c r="P552" i="2" s="1"/>
  <c r="U551" i="2"/>
  <c r="V551" i="2" s="1"/>
  <c r="T551" i="2"/>
  <c r="R551" i="2"/>
  <c r="S551" i="2" s="1"/>
  <c r="Q551" i="2"/>
  <c r="O551" i="2"/>
  <c r="P551" i="2" s="1"/>
  <c r="T550" i="2"/>
  <c r="S550" i="2"/>
  <c r="U550" i="2" s="1"/>
  <c r="V550" i="2" s="1"/>
  <c r="R550" i="2"/>
  <c r="Q550" i="2"/>
  <c r="O550" i="2"/>
  <c r="P550" i="2" s="1"/>
  <c r="T549" i="2"/>
  <c r="S549" i="2"/>
  <c r="U549" i="2" s="1"/>
  <c r="V549" i="2" s="1"/>
  <c r="R549" i="2"/>
  <c r="Q549" i="2"/>
  <c r="O549" i="2"/>
  <c r="P549" i="2" s="1"/>
  <c r="V548" i="2"/>
  <c r="U548" i="2"/>
  <c r="T548" i="2"/>
  <c r="R548" i="2"/>
  <c r="S548" i="2" s="1"/>
  <c r="Q548" i="2"/>
  <c r="O548" i="2"/>
  <c r="P548" i="2" s="1"/>
  <c r="T547" i="2"/>
  <c r="U547" i="2" s="1"/>
  <c r="V547" i="2" s="1"/>
  <c r="S547" i="2"/>
  <c r="R547" i="2"/>
  <c r="Q547" i="2"/>
  <c r="O547" i="2"/>
  <c r="P547" i="2" s="1"/>
  <c r="T546" i="2"/>
  <c r="S546" i="2"/>
  <c r="R546" i="2"/>
  <c r="Q546" i="2"/>
  <c r="O546" i="2"/>
  <c r="P546" i="2" s="1"/>
  <c r="T545" i="2"/>
  <c r="S545" i="2"/>
  <c r="U545" i="2" s="1"/>
  <c r="V545" i="2" s="1"/>
  <c r="R545" i="2"/>
  <c r="Q545" i="2"/>
  <c r="O545" i="2"/>
  <c r="P545" i="2" s="1"/>
  <c r="T544" i="2"/>
  <c r="R544" i="2"/>
  <c r="S544" i="2" s="1"/>
  <c r="U544" i="2" s="1"/>
  <c r="V544" i="2" s="1"/>
  <c r="Q544" i="2"/>
  <c r="O544" i="2"/>
  <c r="P544" i="2" s="1"/>
  <c r="U543" i="2"/>
  <c r="V543" i="2" s="1"/>
  <c r="T543" i="2"/>
  <c r="S543" i="2"/>
  <c r="R543" i="2"/>
  <c r="Q543" i="2"/>
  <c r="O543" i="2"/>
  <c r="P543" i="2" s="1"/>
  <c r="T542" i="2"/>
  <c r="S542" i="2"/>
  <c r="R542" i="2"/>
  <c r="Q542" i="2"/>
  <c r="O542" i="2"/>
  <c r="P542" i="2" s="1"/>
  <c r="T541" i="2"/>
  <c r="S541" i="2"/>
  <c r="U541" i="2" s="1"/>
  <c r="V541" i="2" s="1"/>
  <c r="R541" i="2"/>
  <c r="Q541" i="2"/>
  <c r="O541" i="2"/>
  <c r="P541" i="2" s="1"/>
  <c r="T540" i="2"/>
  <c r="R540" i="2"/>
  <c r="S540" i="2" s="1"/>
  <c r="U540" i="2" s="1"/>
  <c r="V540" i="2" s="1"/>
  <c r="Q540" i="2"/>
  <c r="O540" i="2"/>
  <c r="P540" i="2" s="1"/>
  <c r="U539" i="2"/>
  <c r="V539" i="2" s="1"/>
  <c r="T539" i="2"/>
  <c r="S539" i="2"/>
  <c r="R539" i="2"/>
  <c r="Q539" i="2"/>
  <c r="O539" i="2"/>
  <c r="P539" i="2" s="1"/>
  <c r="T538" i="2"/>
  <c r="S538" i="2"/>
  <c r="R538" i="2"/>
  <c r="Q538" i="2"/>
  <c r="O538" i="2"/>
  <c r="P538" i="2" s="1"/>
  <c r="T537" i="2"/>
  <c r="S537" i="2"/>
  <c r="U537" i="2" s="1"/>
  <c r="V537" i="2" s="1"/>
  <c r="R537" i="2"/>
  <c r="Q537" i="2"/>
  <c r="O537" i="2"/>
  <c r="P537" i="2" s="1"/>
  <c r="T536" i="2"/>
  <c r="S536" i="2"/>
  <c r="U536" i="2" s="1"/>
  <c r="V536" i="2" s="1"/>
  <c r="R536" i="2"/>
  <c r="Q536" i="2"/>
  <c r="O536" i="2"/>
  <c r="P536" i="2" s="1"/>
  <c r="U535" i="2"/>
  <c r="V535" i="2" s="1"/>
  <c r="T535" i="2"/>
  <c r="R535" i="2"/>
  <c r="S535" i="2" s="1"/>
  <c r="Q535" i="2"/>
  <c r="O535" i="2"/>
  <c r="P535" i="2" s="1"/>
  <c r="T534" i="2"/>
  <c r="R534" i="2"/>
  <c r="S534" i="2" s="1"/>
  <c r="U534" i="2" s="1"/>
  <c r="V534" i="2" s="1"/>
  <c r="Q534" i="2"/>
  <c r="O534" i="2"/>
  <c r="P534" i="2" s="1"/>
  <c r="T533" i="2"/>
  <c r="S533" i="2"/>
  <c r="U533" i="2" s="1"/>
  <c r="V533" i="2" s="1"/>
  <c r="R533" i="2"/>
  <c r="Q533" i="2"/>
  <c r="O533" i="2"/>
  <c r="P533" i="2" s="1"/>
  <c r="T532" i="2"/>
  <c r="R532" i="2"/>
  <c r="S532" i="2" s="1"/>
  <c r="U532" i="2" s="1"/>
  <c r="V532" i="2" s="1"/>
  <c r="Q532" i="2"/>
  <c r="O532" i="2"/>
  <c r="P532" i="2" s="1"/>
  <c r="U531" i="2"/>
  <c r="V531" i="2" s="1"/>
  <c r="T531" i="2"/>
  <c r="S531" i="2"/>
  <c r="R531" i="2"/>
  <c r="Q531" i="2"/>
  <c r="O531" i="2"/>
  <c r="P531" i="2" s="1"/>
  <c r="T530" i="2"/>
  <c r="S530" i="2"/>
  <c r="U530" i="2" s="1"/>
  <c r="V530" i="2" s="1"/>
  <c r="R530" i="2"/>
  <c r="Q530" i="2"/>
  <c r="O530" i="2"/>
  <c r="P530" i="2" s="1"/>
  <c r="T529" i="2"/>
  <c r="S529" i="2"/>
  <c r="R529" i="2"/>
  <c r="Q529" i="2"/>
  <c r="O529" i="2"/>
  <c r="P529" i="2" s="1"/>
  <c r="T528" i="2"/>
  <c r="R528" i="2"/>
  <c r="Q528" i="2"/>
  <c r="S528" i="2" s="1"/>
  <c r="U528" i="2" s="1"/>
  <c r="V528" i="2" s="1"/>
  <c r="O528" i="2"/>
  <c r="P528" i="2" s="1"/>
  <c r="U527" i="2"/>
  <c r="V527" i="2" s="1"/>
  <c r="T527" i="2"/>
  <c r="S527" i="2"/>
  <c r="R527" i="2"/>
  <c r="Q527" i="2"/>
  <c r="O527" i="2"/>
  <c r="P527" i="2" s="1"/>
  <c r="T526" i="2"/>
  <c r="S526" i="2"/>
  <c r="U526" i="2" s="1"/>
  <c r="V526" i="2" s="1"/>
  <c r="Q526" i="2"/>
  <c r="R526" i="2" s="1"/>
  <c r="O526" i="2"/>
  <c r="P526" i="2" s="1"/>
  <c r="T525" i="2"/>
  <c r="Q525" i="2"/>
  <c r="R525" i="2" s="1"/>
  <c r="S525" i="2" s="1"/>
  <c r="U525" i="2" s="1"/>
  <c r="V525" i="2" s="1"/>
  <c r="O525" i="2"/>
  <c r="P525" i="2" s="1"/>
  <c r="V524" i="2"/>
  <c r="U524" i="2"/>
  <c r="T524" i="2"/>
  <c r="R524" i="2"/>
  <c r="S524" i="2" s="1"/>
  <c r="Q524" i="2"/>
  <c r="O524" i="2"/>
  <c r="P524" i="2" s="1"/>
  <c r="T523" i="2"/>
  <c r="U523" i="2" s="1"/>
  <c r="V523" i="2" s="1"/>
  <c r="S523" i="2"/>
  <c r="Q523" i="2"/>
  <c r="R523" i="2" s="1"/>
  <c r="O523" i="2"/>
  <c r="P523" i="2" s="1"/>
  <c r="T522" i="2"/>
  <c r="R522" i="2"/>
  <c r="S522" i="2" s="1"/>
  <c r="U522" i="2" s="1"/>
  <c r="V522" i="2" s="1"/>
  <c r="Q522" i="2"/>
  <c r="P522" i="2"/>
  <c r="O522" i="2"/>
  <c r="T521" i="2"/>
  <c r="S521" i="2"/>
  <c r="U521" i="2" s="1"/>
  <c r="V521" i="2" s="1"/>
  <c r="R521" i="2"/>
  <c r="Q521" i="2"/>
  <c r="P521" i="2"/>
  <c r="O521" i="2"/>
  <c r="T520" i="2"/>
  <c r="S520" i="2"/>
  <c r="U520" i="2" s="1"/>
  <c r="V520" i="2" s="1"/>
  <c r="R520" i="2"/>
  <c r="Q520" i="2"/>
  <c r="P520" i="2"/>
  <c r="O520" i="2"/>
  <c r="T519" i="2"/>
  <c r="R519" i="2"/>
  <c r="S519" i="2" s="1"/>
  <c r="U519" i="2" s="1"/>
  <c r="V519" i="2" s="1"/>
  <c r="Q519" i="2"/>
  <c r="P519" i="2"/>
  <c r="O519" i="2"/>
  <c r="U518" i="2"/>
  <c r="V518" i="2" s="1"/>
  <c r="T518" i="2"/>
  <c r="S518" i="2"/>
  <c r="R518" i="2"/>
  <c r="Q518" i="2"/>
  <c r="P518" i="2"/>
  <c r="O518" i="2"/>
  <c r="U517" i="2"/>
  <c r="V517" i="2" s="1"/>
  <c r="T517" i="2"/>
  <c r="S517" i="2"/>
  <c r="R517" i="2"/>
  <c r="Q517" i="2"/>
  <c r="P517" i="2"/>
  <c r="O517" i="2"/>
  <c r="T516" i="2"/>
  <c r="S516" i="2"/>
  <c r="R516" i="2"/>
  <c r="Q516" i="2"/>
  <c r="P516" i="2"/>
  <c r="O516" i="2"/>
  <c r="T515" i="2"/>
  <c r="R515" i="2"/>
  <c r="S515" i="2" s="1"/>
  <c r="U515" i="2" s="1"/>
  <c r="V515" i="2" s="1"/>
  <c r="Q515" i="2"/>
  <c r="P515" i="2"/>
  <c r="O515" i="2"/>
  <c r="T514" i="2"/>
  <c r="S514" i="2"/>
  <c r="U514" i="2" s="1"/>
  <c r="V514" i="2" s="1"/>
  <c r="R514" i="2"/>
  <c r="Q514" i="2"/>
  <c r="P514" i="2"/>
  <c r="O514" i="2"/>
  <c r="T513" i="2"/>
  <c r="S513" i="2"/>
  <c r="U513" i="2" s="1"/>
  <c r="V513" i="2" s="1"/>
  <c r="R513" i="2"/>
  <c r="Q513" i="2"/>
  <c r="P513" i="2"/>
  <c r="O513" i="2"/>
  <c r="T512" i="2"/>
  <c r="S512" i="2"/>
  <c r="U512" i="2" s="1"/>
  <c r="V512" i="2" s="1"/>
  <c r="R512" i="2"/>
  <c r="Q512" i="2"/>
  <c r="P512" i="2"/>
  <c r="O512" i="2"/>
  <c r="T511" i="2"/>
  <c r="R511" i="2"/>
  <c r="S511" i="2" s="1"/>
  <c r="U511" i="2" s="1"/>
  <c r="V511" i="2" s="1"/>
  <c r="Q511" i="2"/>
  <c r="P511" i="2"/>
  <c r="O511" i="2"/>
  <c r="U510" i="2"/>
  <c r="V510" i="2" s="1"/>
  <c r="T510" i="2"/>
  <c r="S510" i="2"/>
  <c r="R510" i="2"/>
  <c r="Q510" i="2"/>
  <c r="P510" i="2"/>
  <c r="O510" i="2"/>
  <c r="U509" i="2"/>
  <c r="V509" i="2" s="1"/>
  <c r="T509" i="2"/>
  <c r="S509" i="2"/>
  <c r="R509" i="2"/>
  <c r="Q509" i="2"/>
  <c r="P509" i="2"/>
  <c r="O509" i="2"/>
  <c r="T508" i="2"/>
  <c r="S508" i="2"/>
  <c r="R508" i="2"/>
  <c r="Q508" i="2"/>
  <c r="P508" i="2"/>
  <c r="O508" i="2"/>
  <c r="T507" i="2"/>
  <c r="R507" i="2"/>
  <c r="S507" i="2" s="1"/>
  <c r="U507" i="2" s="1"/>
  <c r="V507" i="2" s="1"/>
  <c r="Q507" i="2"/>
  <c r="P507" i="2"/>
  <c r="O507" i="2"/>
  <c r="T506" i="2"/>
  <c r="R506" i="2"/>
  <c r="S506" i="2" s="1"/>
  <c r="U506" i="2" s="1"/>
  <c r="V506" i="2" s="1"/>
  <c r="Q506" i="2"/>
  <c r="P506" i="2"/>
  <c r="O506" i="2"/>
  <c r="T505" i="2"/>
  <c r="R505" i="2"/>
  <c r="S505" i="2" s="1"/>
  <c r="U505" i="2" s="1"/>
  <c r="V505" i="2" s="1"/>
  <c r="Q505" i="2"/>
  <c r="P505" i="2"/>
  <c r="O505" i="2"/>
  <c r="T504" i="2"/>
  <c r="S504" i="2"/>
  <c r="U504" i="2" s="1"/>
  <c r="V504" i="2" s="1"/>
  <c r="R504" i="2"/>
  <c r="Q504" i="2"/>
  <c r="P504" i="2"/>
  <c r="O504" i="2"/>
  <c r="T503" i="2"/>
  <c r="R503" i="2"/>
  <c r="S503" i="2" s="1"/>
  <c r="U503" i="2" s="1"/>
  <c r="V503" i="2" s="1"/>
  <c r="Q503" i="2"/>
  <c r="P503" i="2"/>
  <c r="O503" i="2"/>
  <c r="U502" i="2"/>
  <c r="V502" i="2" s="1"/>
  <c r="T502" i="2"/>
  <c r="S502" i="2"/>
  <c r="R502" i="2"/>
  <c r="Q502" i="2"/>
  <c r="P502" i="2"/>
  <c r="O502" i="2"/>
  <c r="U501" i="2"/>
  <c r="V501" i="2" s="1"/>
  <c r="T501" i="2"/>
  <c r="S501" i="2"/>
  <c r="R501" i="2"/>
  <c r="Q501" i="2"/>
  <c r="P501" i="2"/>
  <c r="O501" i="2"/>
  <c r="T500" i="2"/>
  <c r="S500" i="2"/>
  <c r="U500" i="2" s="1"/>
  <c r="V500" i="2" s="1"/>
  <c r="R500" i="2"/>
  <c r="Q500" i="2"/>
  <c r="P500" i="2"/>
  <c r="O500" i="2"/>
  <c r="T499" i="2"/>
  <c r="R499" i="2"/>
  <c r="S499" i="2" s="1"/>
  <c r="U499" i="2" s="1"/>
  <c r="V499" i="2" s="1"/>
  <c r="Q499" i="2"/>
  <c r="P499" i="2"/>
  <c r="O499" i="2"/>
  <c r="T498" i="2"/>
  <c r="S498" i="2"/>
  <c r="U498" i="2" s="1"/>
  <c r="V498" i="2" s="1"/>
  <c r="R498" i="2"/>
  <c r="Q498" i="2"/>
  <c r="P498" i="2"/>
  <c r="O498" i="2"/>
  <c r="T497" i="2"/>
  <c r="R497" i="2"/>
  <c r="S497" i="2" s="1"/>
  <c r="U497" i="2" s="1"/>
  <c r="V497" i="2" s="1"/>
  <c r="Q497" i="2"/>
  <c r="P497" i="2"/>
  <c r="O497" i="2"/>
  <c r="T496" i="2"/>
  <c r="S496" i="2"/>
  <c r="U496" i="2" s="1"/>
  <c r="V496" i="2" s="1"/>
  <c r="R496" i="2"/>
  <c r="Q496" i="2"/>
  <c r="P496" i="2"/>
  <c r="O496" i="2"/>
  <c r="T495" i="2"/>
  <c r="R495" i="2"/>
  <c r="S495" i="2" s="1"/>
  <c r="U495" i="2" s="1"/>
  <c r="V495" i="2" s="1"/>
  <c r="Q495" i="2"/>
  <c r="P495" i="2"/>
  <c r="O495" i="2"/>
  <c r="U494" i="2"/>
  <c r="V494" i="2" s="1"/>
  <c r="T494" i="2"/>
  <c r="S494" i="2"/>
  <c r="R494" i="2"/>
  <c r="Q494" i="2"/>
  <c r="P494" i="2"/>
  <c r="O494" i="2"/>
  <c r="U493" i="2"/>
  <c r="V493" i="2" s="1"/>
  <c r="T493" i="2"/>
  <c r="S493" i="2"/>
  <c r="R493" i="2"/>
  <c r="Q493" i="2"/>
  <c r="P493" i="2"/>
  <c r="O493" i="2"/>
  <c r="T492" i="2"/>
  <c r="S492" i="2"/>
  <c r="U492" i="2" s="1"/>
  <c r="V492" i="2" s="1"/>
  <c r="R492" i="2"/>
  <c r="Q492" i="2"/>
  <c r="O492" i="2"/>
  <c r="P492" i="2" s="1"/>
  <c r="T491" i="2"/>
  <c r="R491" i="2"/>
  <c r="S491" i="2" s="1"/>
  <c r="U491" i="2" s="1"/>
  <c r="V491" i="2" s="1"/>
  <c r="Q491" i="2"/>
  <c r="P491" i="2"/>
  <c r="O491" i="2"/>
  <c r="T490" i="2"/>
  <c r="S490" i="2"/>
  <c r="U490" i="2" s="1"/>
  <c r="V490" i="2" s="1"/>
  <c r="R490" i="2"/>
  <c r="Q490" i="2"/>
  <c r="P490" i="2"/>
  <c r="O490" i="2"/>
  <c r="T489" i="2"/>
  <c r="R489" i="2"/>
  <c r="S489" i="2" s="1"/>
  <c r="U489" i="2" s="1"/>
  <c r="V489" i="2" s="1"/>
  <c r="Q489" i="2"/>
  <c r="P489" i="2"/>
  <c r="O489" i="2"/>
  <c r="T488" i="2"/>
  <c r="S488" i="2"/>
  <c r="U488" i="2" s="1"/>
  <c r="V488" i="2" s="1"/>
  <c r="R488" i="2"/>
  <c r="Q488" i="2"/>
  <c r="P488" i="2"/>
  <c r="O488" i="2"/>
  <c r="U487" i="2"/>
  <c r="V487" i="2" s="1"/>
  <c r="T487" i="2"/>
  <c r="S487" i="2"/>
  <c r="R487" i="2"/>
  <c r="Q487" i="2"/>
  <c r="O487" i="2"/>
  <c r="P487" i="2" s="1"/>
  <c r="U486" i="2"/>
  <c r="V486" i="2" s="1"/>
  <c r="T486" i="2"/>
  <c r="S486" i="2"/>
  <c r="R486" i="2"/>
  <c r="Q486" i="2"/>
  <c r="O486" i="2"/>
  <c r="P486" i="2" s="1"/>
  <c r="T485" i="2"/>
  <c r="U485" i="2" s="1"/>
  <c r="V485" i="2" s="1"/>
  <c r="S485" i="2"/>
  <c r="R485" i="2"/>
  <c r="Q485" i="2"/>
  <c r="P485" i="2"/>
  <c r="O485" i="2"/>
  <c r="T484" i="2"/>
  <c r="S484" i="2"/>
  <c r="U484" i="2" s="1"/>
  <c r="V484" i="2" s="1"/>
  <c r="R484" i="2"/>
  <c r="Q484" i="2"/>
  <c r="O484" i="2"/>
  <c r="P484" i="2" s="1"/>
  <c r="T483" i="2"/>
  <c r="R483" i="2"/>
  <c r="S483" i="2" s="1"/>
  <c r="U483" i="2" s="1"/>
  <c r="V483" i="2" s="1"/>
  <c r="Q483" i="2"/>
  <c r="P483" i="2"/>
  <c r="O483" i="2"/>
  <c r="T482" i="2"/>
  <c r="R482" i="2"/>
  <c r="S482" i="2" s="1"/>
  <c r="U482" i="2" s="1"/>
  <c r="V482" i="2" s="1"/>
  <c r="Q482" i="2"/>
  <c r="P482" i="2"/>
  <c r="O482" i="2"/>
  <c r="T481" i="2"/>
  <c r="R481" i="2"/>
  <c r="S481" i="2" s="1"/>
  <c r="U481" i="2" s="1"/>
  <c r="V481" i="2" s="1"/>
  <c r="Q481" i="2"/>
  <c r="P481" i="2"/>
  <c r="O481" i="2"/>
  <c r="T480" i="2"/>
  <c r="S480" i="2"/>
  <c r="U480" i="2" s="1"/>
  <c r="V480" i="2" s="1"/>
  <c r="R480" i="2"/>
  <c r="Q480" i="2"/>
  <c r="P480" i="2"/>
  <c r="O480" i="2"/>
  <c r="T479" i="2"/>
  <c r="R479" i="2"/>
  <c r="S479" i="2" s="1"/>
  <c r="U479" i="2" s="1"/>
  <c r="V479" i="2" s="1"/>
  <c r="Q479" i="2"/>
  <c r="O479" i="2"/>
  <c r="P479" i="2" s="1"/>
  <c r="U478" i="2"/>
  <c r="V478" i="2" s="1"/>
  <c r="T478" i="2"/>
  <c r="S478" i="2"/>
  <c r="R478" i="2"/>
  <c r="Q478" i="2"/>
  <c r="O478" i="2"/>
  <c r="P478" i="2" s="1"/>
  <c r="U477" i="2"/>
  <c r="V477" i="2" s="1"/>
  <c r="T477" i="2"/>
  <c r="S477" i="2"/>
  <c r="R477" i="2"/>
  <c r="Q477" i="2"/>
  <c r="P477" i="2"/>
  <c r="O477" i="2"/>
  <c r="T476" i="2"/>
  <c r="S476" i="2"/>
  <c r="U476" i="2" s="1"/>
  <c r="V476" i="2" s="1"/>
  <c r="R476" i="2"/>
  <c r="Q476" i="2"/>
  <c r="O476" i="2"/>
  <c r="P476" i="2" s="1"/>
  <c r="T475" i="2"/>
  <c r="S475" i="2"/>
  <c r="U475" i="2" s="1"/>
  <c r="V475" i="2" s="1"/>
  <c r="R475" i="2"/>
  <c r="Q475" i="2"/>
  <c r="P475" i="2"/>
  <c r="O475" i="2"/>
  <c r="T474" i="2"/>
  <c r="R474" i="2"/>
  <c r="S474" i="2" s="1"/>
  <c r="U474" i="2" s="1"/>
  <c r="V474" i="2" s="1"/>
  <c r="Q474" i="2"/>
  <c r="P474" i="2"/>
  <c r="O474" i="2"/>
  <c r="T473" i="2"/>
  <c r="R473" i="2"/>
  <c r="S473" i="2" s="1"/>
  <c r="U473" i="2" s="1"/>
  <c r="V473" i="2" s="1"/>
  <c r="Q473" i="2"/>
  <c r="P473" i="2"/>
  <c r="O473" i="2"/>
  <c r="T472" i="2"/>
  <c r="S472" i="2"/>
  <c r="U472" i="2" s="1"/>
  <c r="V472" i="2" s="1"/>
  <c r="R472" i="2"/>
  <c r="Q472" i="2"/>
  <c r="P472" i="2"/>
  <c r="O472" i="2"/>
  <c r="T471" i="2"/>
  <c r="R471" i="2"/>
  <c r="Q471" i="2"/>
  <c r="S471" i="2" s="1"/>
  <c r="U471" i="2" s="1"/>
  <c r="V471" i="2" s="1"/>
  <c r="O471" i="2"/>
  <c r="P471" i="2" s="1"/>
  <c r="T470" i="2"/>
  <c r="Q470" i="2"/>
  <c r="O470" i="2"/>
  <c r="P470" i="2" s="1"/>
  <c r="T469" i="2"/>
  <c r="U469" i="2" s="1"/>
  <c r="V469" i="2" s="1"/>
  <c r="S469" i="2"/>
  <c r="R469" i="2"/>
  <c r="Q469" i="2"/>
  <c r="P469" i="2"/>
  <c r="O469" i="2"/>
  <c r="T468" i="2"/>
  <c r="S468" i="2"/>
  <c r="U468" i="2" s="1"/>
  <c r="V468" i="2" s="1"/>
  <c r="R468" i="2"/>
  <c r="Q468" i="2"/>
  <c r="O468" i="2"/>
  <c r="P468" i="2" s="1"/>
  <c r="T467" i="2"/>
  <c r="R467" i="2"/>
  <c r="S467" i="2" s="1"/>
  <c r="U467" i="2" s="1"/>
  <c r="V467" i="2" s="1"/>
  <c r="Q467" i="2"/>
  <c r="P467" i="2"/>
  <c r="O467" i="2"/>
  <c r="T466" i="2"/>
  <c r="R466" i="2"/>
  <c r="Q466" i="2"/>
  <c r="P466" i="2"/>
  <c r="O466" i="2"/>
  <c r="T465" i="2"/>
  <c r="Q465" i="2"/>
  <c r="P465" i="2"/>
  <c r="O465" i="2"/>
  <c r="T464" i="2"/>
  <c r="S464" i="2"/>
  <c r="U464" i="2" s="1"/>
  <c r="V464" i="2" s="1"/>
  <c r="Q464" i="2"/>
  <c r="R464" i="2" s="1"/>
  <c r="P464" i="2"/>
  <c r="O464" i="2"/>
  <c r="T463" i="2"/>
  <c r="R463" i="2"/>
  <c r="Q463" i="2"/>
  <c r="S463" i="2" s="1"/>
  <c r="U463" i="2" s="1"/>
  <c r="V463" i="2" s="1"/>
  <c r="O463" i="2"/>
  <c r="P463" i="2" s="1"/>
  <c r="V462" i="2"/>
  <c r="T462" i="2"/>
  <c r="R462" i="2"/>
  <c r="Q462" i="2"/>
  <c r="S462" i="2" s="1"/>
  <c r="U462" i="2" s="1"/>
  <c r="O462" i="2"/>
  <c r="P462" i="2" s="1"/>
  <c r="V461" i="2"/>
  <c r="U461" i="2"/>
  <c r="T461" i="2"/>
  <c r="S461" i="2"/>
  <c r="R461" i="2"/>
  <c r="Q461" i="2"/>
  <c r="O461" i="2"/>
  <c r="P461" i="2" s="1"/>
  <c r="T460" i="2"/>
  <c r="R460" i="2"/>
  <c r="Q460" i="2"/>
  <c r="S460" i="2" s="1"/>
  <c r="U460" i="2" s="1"/>
  <c r="V460" i="2" s="1"/>
  <c r="O460" i="2"/>
  <c r="P460" i="2" s="1"/>
  <c r="T459" i="2"/>
  <c r="R459" i="2"/>
  <c r="Q459" i="2"/>
  <c r="S459" i="2" s="1"/>
  <c r="U459" i="2" s="1"/>
  <c r="V459" i="2" s="1"/>
  <c r="O459" i="2"/>
  <c r="P459" i="2" s="1"/>
  <c r="V458" i="2"/>
  <c r="T458" i="2"/>
  <c r="R458" i="2"/>
  <c r="Q458" i="2"/>
  <c r="S458" i="2" s="1"/>
  <c r="U458" i="2" s="1"/>
  <c r="O458" i="2"/>
  <c r="P458" i="2" s="1"/>
  <c r="T457" i="2"/>
  <c r="R457" i="2"/>
  <c r="Q457" i="2"/>
  <c r="S457" i="2" s="1"/>
  <c r="U457" i="2" s="1"/>
  <c r="V457" i="2" s="1"/>
  <c r="O457" i="2"/>
  <c r="P457" i="2" s="1"/>
  <c r="V456" i="2"/>
  <c r="T456" i="2"/>
  <c r="R456" i="2"/>
  <c r="Q456" i="2"/>
  <c r="S456" i="2" s="1"/>
  <c r="U456" i="2" s="1"/>
  <c r="O456" i="2"/>
  <c r="P456" i="2" s="1"/>
  <c r="V455" i="2"/>
  <c r="U455" i="2"/>
  <c r="T455" i="2"/>
  <c r="S455" i="2"/>
  <c r="R455" i="2"/>
  <c r="Q455" i="2"/>
  <c r="O455" i="2"/>
  <c r="P455" i="2" s="1"/>
  <c r="V454" i="2"/>
  <c r="U454" i="2"/>
  <c r="T454" i="2"/>
  <c r="S454" i="2"/>
  <c r="R454" i="2"/>
  <c r="Q454" i="2"/>
  <c r="O454" i="2"/>
  <c r="P454" i="2" s="1"/>
  <c r="V453" i="2"/>
  <c r="U453" i="2"/>
  <c r="T453" i="2"/>
  <c r="S453" i="2"/>
  <c r="R453" i="2"/>
  <c r="Q453" i="2"/>
  <c r="O453" i="2"/>
  <c r="P453" i="2" s="1"/>
  <c r="T452" i="2"/>
  <c r="R452" i="2"/>
  <c r="Q452" i="2"/>
  <c r="S452" i="2" s="1"/>
  <c r="U452" i="2" s="1"/>
  <c r="V452" i="2" s="1"/>
  <c r="O452" i="2"/>
  <c r="P452" i="2" s="1"/>
  <c r="V451" i="2"/>
  <c r="U451" i="2"/>
  <c r="T451" i="2"/>
  <c r="S451" i="2"/>
  <c r="R451" i="2"/>
  <c r="Q451" i="2"/>
  <c r="O451" i="2"/>
  <c r="P451" i="2" s="1"/>
  <c r="V450" i="2"/>
  <c r="T450" i="2"/>
  <c r="R450" i="2"/>
  <c r="Q450" i="2"/>
  <c r="S450" i="2" s="1"/>
  <c r="U450" i="2" s="1"/>
  <c r="O450" i="2"/>
  <c r="P450" i="2" s="1"/>
  <c r="T449" i="2"/>
  <c r="R449" i="2"/>
  <c r="S449" i="2" s="1"/>
  <c r="U449" i="2" s="1"/>
  <c r="V449" i="2" s="1"/>
  <c r="Q449" i="2"/>
  <c r="O449" i="2"/>
  <c r="P449" i="2" s="1"/>
  <c r="T448" i="2"/>
  <c r="R448" i="2"/>
  <c r="S448" i="2" s="1"/>
  <c r="U448" i="2" s="1"/>
  <c r="V448" i="2" s="1"/>
  <c r="Q448" i="2"/>
  <c r="O448" i="2"/>
  <c r="P448" i="2" s="1"/>
  <c r="T447" i="2"/>
  <c r="R447" i="2"/>
  <c r="S447" i="2" s="1"/>
  <c r="U447" i="2" s="1"/>
  <c r="V447" i="2" s="1"/>
  <c r="Q447" i="2"/>
  <c r="O447" i="2"/>
  <c r="P447" i="2" s="1"/>
  <c r="V446" i="2"/>
  <c r="U446" i="2"/>
  <c r="T446" i="2"/>
  <c r="S446" i="2"/>
  <c r="R446" i="2"/>
  <c r="Q446" i="2"/>
  <c r="O446" i="2"/>
  <c r="P446" i="2" s="1"/>
  <c r="T445" i="2"/>
  <c r="R445" i="2"/>
  <c r="S445" i="2" s="1"/>
  <c r="U445" i="2" s="1"/>
  <c r="V445" i="2" s="1"/>
  <c r="Q445" i="2"/>
  <c r="O445" i="2"/>
  <c r="P445" i="2" s="1"/>
  <c r="V444" i="2"/>
  <c r="T444" i="2"/>
  <c r="R444" i="2"/>
  <c r="S444" i="2" s="1"/>
  <c r="U444" i="2" s="1"/>
  <c r="Q444" i="2"/>
  <c r="O444" i="2"/>
  <c r="P444" i="2" s="1"/>
  <c r="T443" i="2"/>
  <c r="R443" i="2"/>
  <c r="S443" i="2" s="1"/>
  <c r="U443" i="2" s="1"/>
  <c r="V443" i="2" s="1"/>
  <c r="Q443" i="2"/>
  <c r="O443" i="2"/>
  <c r="P443" i="2" s="1"/>
  <c r="V442" i="2"/>
  <c r="U442" i="2"/>
  <c r="T442" i="2"/>
  <c r="S442" i="2"/>
  <c r="R442" i="2"/>
  <c r="Q442" i="2"/>
  <c r="O442" i="2"/>
  <c r="P442" i="2" s="1"/>
  <c r="V441" i="2"/>
  <c r="T441" i="2"/>
  <c r="R441" i="2"/>
  <c r="S441" i="2" s="1"/>
  <c r="U441" i="2" s="1"/>
  <c r="Q441" i="2"/>
  <c r="O441" i="2"/>
  <c r="P441" i="2" s="1"/>
  <c r="T440" i="2"/>
  <c r="R440" i="2"/>
  <c r="S440" i="2" s="1"/>
  <c r="U440" i="2" s="1"/>
  <c r="V440" i="2" s="1"/>
  <c r="Q440" i="2"/>
  <c r="O440" i="2"/>
  <c r="P440" i="2" s="1"/>
  <c r="V439" i="2"/>
  <c r="U439" i="2"/>
  <c r="T439" i="2"/>
  <c r="S439" i="2"/>
  <c r="R439" i="2"/>
  <c r="Q439" i="2"/>
  <c r="O439" i="2"/>
  <c r="P439" i="2" s="1"/>
  <c r="T438" i="2"/>
  <c r="R438" i="2"/>
  <c r="S438" i="2" s="1"/>
  <c r="U438" i="2" s="1"/>
  <c r="V438" i="2" s="1"/>
  <c r="Q438" i="2"/>
  <c r="O438" i="2"/>
  <c r="P438" i="2" s="1"/>
  <c r="V437" i="2"/>
  <c r="U437" i="2"/>
  <c r="T437" i="2"/>
  <c r="S437" i="2"/>
  <c r="R437" i="2"/>
  <c r="Q437" i="2"/>
  <c r="O437" i="2"/>
  <c r="P437" i="2" s="1"/>
  <c r="T436" i="2"/>
  <c r="R436" i="2"/>
  <c r="S436" i="2" s="1"/>
  <c r="U436" i="2" s="1"/>
  <c r="V436" i="2" s="1"/>
  <c r="Q436" i="2"/>
  <c r="O436" i="2"/>
  <c r="P436" i="2" s="1"/>
  <c r="T435" i="2"/>
  <c r="R435" i="2"/>
  <c r="S435" i="2" s="1"/>
  <c r="U435" i="2" s="1"/>
  <c r="V435" i="2" s="1"/>
  <c r="Q435" i="2"/>
  <c r="O435" i="2"/>
  <c r="P435" i="2" s="1"/>
  <c r="V434" i="2"/>
  <c r="T434" i="2"/>
  <c r="R434" i="2"/>
  <c r="S434" i="2" s="1"/>
  <c r="U434" i="2" s="1"/>
  <c r="Q434" i="2"/>
  <c r="O434" i="2"/>
  <c r="P434" i="2" s="1"/>
  <c r="T433" i="2"/>
  <c r="R433" i="2"/>
  <c r="S433" i="2" s="1"/>
  <c r="U433" i="2" s="1"/>
  <c r="V433" i="2" s="1"/>
  <c r="Q433" i="2"/>
  <c r="O433" i="2"/>
  <c r="P433" i="2" s="1"/>
  <c r="T432" i="2"/>
  <c r="R432" i="2"/>
  <c r="S432" i="2" s="1"/>
  <c r="U432" i="2" s="1"/>
  <c r="V432" i="2" s="1"/>
  <c r="Q432" i="2"/>
  <c r="O432" i="2"/>
  <c r="P432" i="2" s="1"/>
  <c r="T431" i="2"/>
  <c r="R431" i="2"/>
  <c r="S431" i="2" s="1"/>
  <c r="U431" i="2" s="1"/>
  <c r="V431" i="2" s="1"/>
  <c r="Q431" i="2"/>
  <c r="O431" i="2"/>
  <c r="P431" i="2" s="1"/>
  <c r="V430" i="2"/>
  <c r="T430" i="2"/>
  <c r="R430" i="2"/>
  <c r="S430" i="2" s="1"/>
  <c r="U430" i="2" s="1"/>
  <c r="Q430" i="2"/>
  <c r="O430" i="2"/>
  <c r="P430" i="2" s="1"/>
  <c r="V429" i="2"/>
  <c r="T429" i="2"/>
  <c r="R429" i="2"/>
  <c r="S429" i="2" s="1"/>
  <c r="U429" i="2" s="1"/>
  <c r="Q429" i="2"/>
  <c r="O429" i="2"/>
  <c r="P429" i="2" s="1"/>
  <c r="V428" i="2"/>
  <c r="U428" i="2"/>
  <c r="T428" i="2"/>
  <c r="S428" i="2"/>
  <c r="R428" i="2"/>
  <c r="Q428" i="2"/>
  <c r="O428" i="2"/>
  <c r="P428" i="2" s="1"/>
  <c r="V427" i="2"/>
  <c r="U427" i="2"/>
  <c r="T427" i="2"/>
  <c r="S427" i="2"/>
  <c r="R427" i="2"/>
  <c r="Q427" i="2"/>
  <c r="O427" i="2"/>
  <c r="P427" i="2" s="1"/>
  <c r="V426" i="2"/>
  <c r="U426" i="2"/>
  <c r="T426" i="2"/>
  <c r="S426" i="2"/>
  <c r="R426" i="2"/>
  <c r="Q426" i="2"/>
  <c r="O426" i="2"/>
  <c r="P426" i="2" s="1"/>
  <c r="V425" i="2"/>
  <c r="U425" i="2"/>
  <c r="T425" i="2"/>
  <c r="S425" i="2"/>
  <c r="R425" i="2"/>
  <c r="Q425" i="2"/>
  <c r="O425" i="2"/>
  <c r="P425" i="2" s="1"/>
  <c r="V424" i="2"/>
  <c r="U424" i="2"/>
  <c r="T424" i="2"/>
  <c r="S424" i="2"/>
  <c r="R424" i="2"/>
  <c r="Q424" i="2"/>
  <c r="O424" i="2"/>
  <c r="P424" i="2" s="1"/>
  <c r="V423" i="2"/>
  <c r="U423" i="2"/>
  <c r="T423" i="2"/>
  <c r="S423" i="2"/>
  <c r="R423" i="2"/>
  <c r="Q423" i="2"/>
  <c r="O423" i="2"/>
  <c r="P423" i="2" s="1"/>
  <c r="V422" i="2"/>
  <c r="U422" i="2"/>
  <c r="T422" i="2"/>
  <c r="S422" i="2"/>
  <c r="R422" i="2"/>
  <c r="Q422" i="2"/>
  <c r="O422" i="2"/>
  <c r="P422" i="2" s="1"/>
  <c r="V421" i="2"/>
  <c r="U421" i="2"/>
  <c r="T421" i="2"/>
  <c r="S421" i="2"/>
  <c r="R421" i="2"/>
  <c r="Q421" i="2"/>
  <c r="O421" i="2"/>
  <c r="P421" i="2" s="1"/>
  <c r="V420" i="2"/>
  <c r="U420" i="2"/>
  <c r="T420" i="2"/>
  <c r="S420" i="2"/>
  <c r="R420" i="2"/>
  <c r="Q420" i="2"/>
  <c r="O420" i="2"/>
  <c r="P420" i="2" s="1"/>
  <c r="V419" i="2"/>
  <c r="U419" i="2"/>
  <c r="T419" i="2"/>
  <c r="S419" i="2"/>
  <c r="R419" i="2"/>
  <c r="Q419" i="2"/>
  <c r="O419" i="2"/>
  <c r="P419" i="2" s="1"/>
  <c r="V418" i="2"/>
  <c r="U418" i="2"/>
  <c r="T418" i="2"/>
  <c r="S418" i="2"/>
  <c r="R418" i="2"/>
  <c r="Q418" i="2"/>
  <c r="O418" i="2"/>
  <c r="P418" i="2" s="1"/>
  <c r="V417" i="2"/>
  <c r="U417" i="2"/>
  <c r="T417" i="2"/>
  <c r="S417" i="2"/>
  <c r="R417" i="2"/>
  <c r="Q417" i="2"/>
  <c r="O417" i="2"/>
  <c r="P417" i="2" s="1"/>
  <c r="V416" i="2"/>
  <c r="T416" i="2"/>
  <c r="U416" i="2" s="1"/>
  <c r="S416" i="2"/>
  <c r="R416" i="2"/>
  <c r="Q416" i="2"/>
  <c r="O416" i="2"/>
  <c r="P416" i="2" s="1"/>
  <c r="T415" i="2"/>
  <c r="U415" i="2" s="1"/>
  <c r="V415" i="2" s="1"/>
  <c r="S415" i="2"/>
  <c r="R415" i="2"/>
  <c r="Q415" i="2"/>
  <c r="O415" i="2"/>
  <c r="P415" i="2" s="1"/>
  <c r="T414" i="2"/>
  <c r="U414" i="2" s="1"/>
  <c r="V414" i="2" s="1"/>
  <c r="S414" i="2"/>
  <c r="R414" i="2"/>
  <c r="Q414" i="2"/>
  <c r="O414" i="2"/>
  <c r="P414" i="2" s="1"/>
  <c r="V413" i="2"/>
  <c r="T413" i="2"/>
  <c r="U413" i="2" s="1"/>
  <c r="S413" i="2"/>
  <c r="R413" i="2"/>
  <c r="Q413" i="2"/>
  <c r="O413" i="2"/>
  <c r="P413" i="2" s="1"/>
  <c r="V412" i="2"/>
  <c r="T412" i="2"/>
  <c r="U412" i="2" s="1"/>
  <c r="S412" i="2"/>
  <c r="R412" i="2"/>
  <c r="Q412" i="2"/>
  <c r="O412" i="2"/>
  <c r="P412" i="2" s="1"/>
  <c r="T411" i="2"/>
  <c r="U411" i="2" s="1"/>
  <c r="V411" i="2" s="1"/>
  <c r="S411" i="2"/>
  <c r="R411" i="2"/>
  <c r="Q411" i="2"/>
  <c r="O411" i="2"/>
  <c r="P411" i="2" s="1"/>
  <c r="T410" i="2"/>
  <c r="U410" i="2" s="1"/>
  <c r="V410" i="2" s="1"/>
  <c r="S410" i="2"/>
  <c r="R410" i="2"/>
  <c r="Q410" i="2"/>
  <c r="O410" i="2"/>
  <c r="P410" i="2" s="1"/>
  <c r="V409" i="2"/>
  <c r="T409" i="2"/>
  <c r="U409" i="2" s="1"/>
  <c r="S409" i="2"/>
  <c r="R409" i="2"/>
  <c r="Q409" i="2"/>
  <c r="O409" i="2"/>
  <c r="P409" i="2" s="1"/>
  <c r="T408" i="2"/>
  <c r="S408" i="2"/>
  <c r="U408" i="2" s="1"/>
  <c r="V408" i="2" s="1"/>
  <c r="R408" i="2"/>
  <c r="Q408" i="2"/>
  <c r="O408" i="2"/>
  <c r="P408" i="2" s="1"/>
  <c r="V407" i="2"/>
  <c r="T407" i="2"/>
  <c r="S407" i="2"/>
  <c r="U407" i="2" s="1"/>
  <c r="R407" i="2"/>
  <c r="Q407" i="2"/>
  <c r="O407" i="2"/>
  <c r="P407" i="2" s="1"/>
  <c r="T406" i="2"/>
  <c r="S406" i="2"/>
  <c r="U406" i="2" s="1"/>
  <c r="V406" i="2" s="1"/>
  <c r="R406" i="2"/>
  <c r="Q406" i="2"/>
  <c r="O406" i="2"/>
  <c r="P406" i="2" s="1"/>
  <c r="V405" i="2"/>
  <c r="T405" i="2"/>
  <c r="S405" i="2"/>
  <c r="U405" i="2" s="1"/>
  <c r="R405" i="2"/>
  <c r="Q405" i="2"/>
  <c r="O405" i="2"/>
  <c r="P405" i="2" s="1"/>
  <c r="T404" i="2"/>
  <c r="S404" i="2"/>
  <c r="U404" i="2" s="1"/>
  <c r="V404" i="2" s="1"/>
  <c r="R404" i="2"/>
  <c r="Q404" i="2"/>
  <c r="O404" i="2"/>
  <c r="P404" i="2" s="1"/>
  <c r="V403" i="2"/>
  <c r="T403" i="2"/>
  <c r="S403" i="2"/>
  <c r="U403" i="2" s="1"/>
  <c r="R403" i="2"/>
  <c r="Q403" i="2"/>
  <c r="O403" i="2"/>
  <c r="P403" i="2" s="1"/>
  <c r="T402" i="2"/>
  <c r="S402" i="2"/>
  <c r="U402" i="2" s="1"/>
  <c r="V402" i="2" s="1"/>
  <c r="R402" i="2"/>
  <c r="Q402" i="2"/>
  <c r="O402" i="2"/>
  <c r="P402" i="2" s="1"/>
  <c r="T401" i="2"/>
  <c r="S401" i="2"/>
  <c r="U401" i="2" s="1"/>
  <c r="V401" i="2" s="1"/>
  <c r="R401" i="2"/>
  <c r="Q401" i="2"/>
  <c r="P401" i="2"/>
  <c r="O401" i="2"/>
  <c r="V400" i="2"/>
  <c r="T400" i="2"/>
  <c r="S400" i="2"/>
  <c r="U400" i="2" s="1"/>
  <c r="R400" i="2"/>
  <c r="Q400" i="2"/>
  <c r="P400" i="2"/>
  <c r="O400" i="2"/>
  <c r="T399" i="2"/>
  <c r="S399" i="2"/>
  <c r="U399" i="2" s="1"/>
  <c r="V399" i="2" s="1"/>
  <c r="R399" i="2"/>
  <c r="Q399" i="2"/>
  <c r="P399" i="2"/>
  <c r="O399" i="2"/>
  <c r="T398" i="2"/>
  <c r="S398" i="2"/>
  <c r="U398" i="2" s="1"/>
  <c r="V398" i="2" s="1"/>
  <c r="R398" i="2"/>
  <c r="Q398" i="2"/>
  <c r="O398" i="2"/>
  <c r="P398" i="2" s="1"/>
  <c r="V397" i="2"/>
  <c r="T397" i="2"/>
  <c r="S397" i="2"/>
  <c r="U397" i="2" s="1"/>
  <c r="R397" i="2"/>
  <c r="Q397" i="2"/>
  <c r="O397" i="2"/>
  <c r="P397" i="2" s="1"/>
  <c r="V396" i="2"/>
  <c r="T396" i="2"/>
  <c r="S396" i="2"/>
  <c r="U396" i="2" s="1"/>
  <c r="R396" i="2"/>
  <c r="Q396" i="2"/>
  <c r="P396" i="2"/>
  <c r="O396" i="2"/>
  <c r="T395" i="2"/>
  <c r="S395" i="2"/>
  <c r="U395" i="2" s="1"/>
  <c r="V395" i="2" s="1"/>
  <c r="R395" i="2"/>
  <c r="Q395" i="2"/>
  <c r="P395" i="2"/>
  <c r="O395" i="2"/>
  <c r="T394" i="2"/>
  <c r="S394" i="2"/>
  <c r="U394" i="2" s="1"/>
  <c r="V394" i="2" s="1"/>
  <c r="R394" i="2"/>
  <c r="Q394" i="2"/>
  <c r="O394" i="2"/>
  <c r="P394" i="2" s="1"/>
  <c r="T393" i="2"/>
  <c r="S393" i="2"/>
  <c r="U393" i="2" s="1"/>
  <c r="V393" i="2" s="1"/>
  <c r="R393" i="2"/>
  <c r="Q393" i="2"/>
  <c r="P393" i="2"/>
  <c r="O393" i="2"/>
  <c r="V392" i="2"/>
  <c r="T392" i="2"/>
  <c r="S392" i="2"/>
  <c r="U392" i="2" s="1"/>
  <c r="R392" i="2"/>
  <c r="Q392" i="2"/>
  <c r="P392" i="2"/>
  <c r="O392" i="2"/>
  <c r="T391" i="2"/>
  <c r="S391" i="2"/>
  <c r="U391" i="2" s="1"/>
  <c r="V391" i="2" s="1"/>
  <c r="R391" i="2"/>
  <c r="Q391" i="2"/>
  <c r="P391" i="2"/>
  <c r="O391" i="2"/>
  <c r="T390" i="2"/>
  <c r="S390" i="2"/>
  <c r="U390" i="2" s="1"/>
  <c r="V390" i="2" s="1"/>
  <c r="R390" i="2"/>
  <c r="Q390" i="2"/>
  <c r="O390" i="2"/>
  <c r="P390" i="2" s="1"/>
  <c r="V389" i="2"/>
  <c r="T389" i="2"/>
  <c r="S389" i="2"/>
  <c r="U389" i="2" s="1"/>
  <c r="R389" i="2"/>
  <c r="Q389" i="2"/>
  <c r="O389" i="2"/>
  <c r="P389" i="2" s="1"/>
  <c r="V388" i="2"/>
  <c r="T388" i="2"/>
  <c r="S388" i="2"/>
  <c r="U388" i="2" s="1"/>
  <c r="R388" i="2"/>
  <c r="Q388" i="2"/>
  <c r="P388" i="2"/>
  <c r="O388" i="2"/>
  <c r="T387" i="2"/>
  <c r="S387" i="2"/>
  <c r="U387" i="2" s="1"/>
  <c r="V387" i="2" s="1"/>
  <c r="R387" i="2"/>
  <c r="Q387" i="2"/>
  <c r="P387" i="2"/>
  <c r="O387" i="2"/>
  <c r="T386" i="2"/>
  <c r="S386" i="2"/>
  <c r="U386" i="2" s="1"/>
  <c r="V386" i="2" s="1"/>
  <c r="R386" i="2"/>
  <c r="Q386" i="2"/>
  <c r="O386" i="2"/>
  <c r="P386" i="2" s="1"/>
  <c r="T385" i="2"/>
  <c r="S385" i="2"/>
  <c r="U385" i="2" s="1"/>
  <c r="V385" i="2" s="1"/>
  <c r="R385" i="2"/>
  <c r="Q385" i="2"/>
  <c r="P385" i="2"/>
  <c r="O385" i="2"/>
  <c r="V384" i="2"/>
  <c r="T384" i="2"/>
  <c r="S384" i="2"/>
  <c r="U384" i="2" s="1"/>
  <c r="R384" i="2"/>
  <c r="Q384" i="2"/>
  <c r="P384" i="2"/>
  <c r="O384" i="2"/>
  <c r="T383" i="2"/>
  <c r="S383" i="2"/>
  <c r="U383" i="2" s="1"/>
  <c r="V383" i="2" s="1"/>
  <c r="R383" i="2"/>
  <c r="Q383" i="2"/>
  <c r="P383" i="2"/>
  <c r="O383" i="2"/>
  <c r="T382" i="2"/>
  <c r="S382" i="2"/>
  <c r="U382" i="2" s="1"/>
  <c r="V382" i="2" s="1"/>
  <c r="R382" i="2"/>
  <c r="Q382" i="2"/>
  <c r="O382" i="2"/>
  <c r="P382" i="2" s="1"/>
  <c r="V381" i="2"/>
  <c r="T381" i="2"/>
  <c r="S381" i="2"/>
  <c r="U381" i="2" s="1"/>
  <c r="R381" i="2"/>
  <c r="Q381" i="2"/>
  <c r="O381" i="2"/>
  <c r="P381" i="2" s="1"/>
  <c r="V380" i="2"/>
  <c r="T380" i="2"/>
  <c r="S380" i="2"/>
  <c r="U380" i="2" s="1"/>
  <c r="R380" i="2"/>
  <c r="Q380" i="2"/>
  <c r="P380" i="2"/>
  <c r="O380" i="2"/>
  <c r="T379" i="2"/>
  <c r="S379" i="2"/>
  <c r="U379" i="2" s="1"/>
  <c r="V379" i="2" s="1"/>
  <c r="R379" i="2"/>
  <c r="Q379" i="2"/>
  <c r="P379" i="2"/>
  <c r="O379" i="2"/>
  <c r="T378" i="2"/>
  <c r="S378" i="2"/>
  <c r="U378" i="2" s="1"/>
  <c r="V378" i="2" s="1"/>
  <c r="R378" i="2"/>
  <c r="Q378" i="2"/>
  <c r="O378" i="2"/>
  <c r="P378" i="2" s="1"/>
  <c r="T377" i="2"/>
  <c r="S377" i="2"/>
  <c r="U377" i="2" s="1"/>
  <c r="V377" i="2" s="1"/>
  <c r="R377" i="2"/>
  <c r="Q377" i="2"/>
  <c r="P377" i="2"/>
  <c r="O377" i="2"/>
  <c r="V376" i="2"/>
  <c r="T376" i="2"/>
  <c r="S376" i="2"/>
  <c r="U376" i="2" s="1"/>
  <c r="R376" i="2"/>
  <c r="Q376" i="2"/>
  <c r="P376" i="2"/>
  <c r="O376" i="2"/>
  <c r="T375" i="2"/>
  <c r="S375" i="2"/>
  <c r="U375" i="2" s="1"/>
  <c r="V375" i="2" s="1"/>
  <c r="R375" i="2"/>
  <c r="Q375" i="2"/>
  <c r="P375" i="2"/>
  <c r="O375" i="2"/>
  <c r="T374" i="2"/>
  <c r="S374" i="2"/>
  <c r="U374" i="2" s="1"/>
  <c r="V374" i="2" s="1"/>
  <c r="R374" i="2"/>
  <c r="Q374" i="2"/>
  <c r="O374" i="2"/>
  <c r="P374" i="2" s="1"/>
  <c r="V373" i="2"/>
  <c r="T373" i="2"/>
  <c r="S373" i="2"/>
  <c r="U373" i="2" s="1"/>
  <c r="R373" i="2"/>
  <c r="Q373" i="2"/>
  <c r="O373" i="2"/>
  <c r="P373" i="2" s="1"/>
  <c r="V372" i="2"/>
  <c r="T372" i="2"/>
  <c r="S372" i="2"/>
  <c r="U372" i="2" s="1"/>
  <c r="R372" i="2"/>
  <c r="Q372" i="2"/>
  <c r="P372" i="2"/>
  <c r="O372" i="2"/>
  <c r="T371" i="2"/>
  <c r="S371" i="2"/>
  <c r="U371" i="2" s="1"/>
  <c r="V371" i="2" s="1"/>
  <c r="R371" i="2"/>
  <c r="Q371" i="2"/>
  <c r="P371" i="2"/>
  <c r="O371" i="2"/>
  <c r="T370" i="2"/>
  <c r="S370" i="2"/>
  <c r="U370" i="2" s="1"/>
  <c r="V370" i="2" s="1"/>
  <c r="R370" i="2"/>
  <c r="Q370" i="2"/>
  <c r="O370" i="2"/>
  <c r="P370" i="2" s="1"/>
  <c r="T369" i="2"/>
  <c r="S369" i="2"/>
  <c r="U369" i="2" s="1"/>
  <c r="V369" i="2" s="1"/>
  <c r="R369" i="2"/>
  <c r="Q369" i="2"/>
  <c r="P369" i="2"/>
  <c r="O369" i="2"/>
  <c r="V368" i="2"/>
  <c r="T368" i="2"/>
  <c r="S368" i="2"/>
  <c r="U368" i="2" s="1"/>
  <c r="R368" i="2"/>
  <c r="Q368" i="2"/>
  <c r="P368" i="2"/>
  <c r="O368" i="2"/>
  <c r="T367" i="2"/>
  <c r="S367" i="2"/>
  <c r="U367" i="2" s="1"/>
  <c r="V367" i="2" s="1"/>
  <c r="R367" i="2"/>
  <c r="Q367" i="2"/>
  <c r="P367" i="2"/>
  <c r="O367" i="2"/>
  <c r="T366" i="2"/>
  <c r="S366" i="2"/>
  <c r="U366" i="2" s="1"/>
  <c r="V366" i="2" s="1"/>
  <c r="R366" i="2"/>
  <c r="Q366" i="2"/>
  <c r="O366" i="2"/>
  <c r="P366" i="2" s="1"/>
  <c r="V365" i="2"/>
  <c r="T365" i="2"/>
  <c r="S365" i="2"/>
  <c r="U365" i="2" s="1"/>
  <c r="R365" i="2"/>
  <c r="Q365" i="2"/>
  <c r="O365" i="2"/>
  <c r="P365" i="2" s="1"/>
  <c r="V364" i="2"/>
  <c r="T364" i="2"/>
  <c r="S364" i="2"/>
  <c r="U364" i="2" s="1"/>
  <c r="R364" i="2"/>
  <c r="Q364" i="2"/>
  <c r="P364" i="2"/>
  <c r="O364" i="2"/>
  <c r="T363" i="2"/>
  <c r="S363" i="2"/>
  <c r="U363" i="2" s="1"/>
  <c r="V363" i="2" s="1"/>
  <c r="R363" i="2"/>
  <c r="Q363" i="2"/>
  <c r="P363" i="2"/>
  <c r="O363" i="2"/>
  <c r="T362" i="2"/>
  <c r="S362" i="2"/>
  <c r="U362" i="2" s="1"/>
  <c r="V362" i="2" s="1"/>
  <c r="R362" i="2"/>
  <c r="Q362" i="2"/>
  <c r="O362" i="2"/>
  <c r="P362" i="2" s="1"/>
  <c r="T361" i="2"/>
  <c r="S361" i="2"/>
  <c r="U361" i="2" s="1"/>
  <c r="V361" i="2" s="1"/>
  <c r="R361" i="2"/>
  <c r="Q361" i="2"/>
  <c r="P361" i="2"/>
  <c r="O361" i="2"/>
  <c r="T360" i="2"/>
  <c r="S360" i="2"/>
  <c r="R360" i="2"/>
  <c r="Q360" i="2"/>
  <c r="P360" i="2"/>
  <c r="O360" i="2"/>
  <c r="T359" i="2"/>
  <c r="S359" i="2"/>
  <c r="R359" i="2"/>
  <c r="Q359" i="2"/>
  <c r="P359" i="2"/>
  <c r="O359" i="2"/>
  <c r="T358" i="2"/>
  <c r="S358" i="2"/>
  <c r="U358" i="2" s="1"/>
  <c r="V358" i="2" s="1"/>
  <c r="R358" i="2"/>
  <c r="Q358" i="2"/>
  <c r="O358" i="2"/>
  <c r="P358" i="2" s="1"/>
  <c r="T357" i="2"/>
  <c r="S357" i="2"/>
  <c r="R357" i="2"/>
  <c r="Q357" i="2"/>
  <c r="O357" i="2"/>
  <c r="P357" i="2" s="1"/>
  <c r="T356" i="2"/>
  <c r="S356" i="2"/>
  <c r="R356" i="2"/>
  <c r="Q356" i="2"/>
  <c r="P356" i="2"/>
  <c r="O356" i="2"/>
  <c r="T355" i="2"/>
  <c r="S355" i="2"/>
  <c r="R355" i="2"/>
  <c r="Q355" i="2"/>
  <c r="P355" i="2"/>
  <c r="O355" i="2"/>
  <c r="T354" i="2"/>
  <c r="S354" i="2"/>
  <c r="U354" i="2" s="1"/>
  <c r="V354" i="2" s="1"/>
  <c r="R354" i="2"/>
  <c r="Q354" i="2"/>
  <c r="O354" i="2"/>
  <c r="P354" i="2" s="1"/>
  <c r="T353" i="2"/>
  <c r="S353" i="2"/>
  <c r="U353" i="2" s="1"/>
  <c r="V353" i="2" s="1"/>
  <c r="R353" i="2"/>
  <c r="Q353" i="2"/>
  <c r="P353" i="2"/>
  <c r="O353" i="2"/>
  <c r="T352" i="2"/>
  <c r="S352" i="2"/>
  <c r="R352" i="2"/>
  <c r="Q352" i="2"/>
  <c r="P352" i="2"/>
  <c r="O352" i="2"/>
  <c r="T351" i="2"/>
  <c r="S351" i="2"/>
  <c r="R351" i="2"/>
  <c r="Q351" i="2"/>
  <c r="O351" i="2"/>
  <c r="P351" i="2" s="1"/>
  <c r="T350" i="2"/>
  <c r="S350" i="2"/>
  <c r="U350" i="2" s="1"/>
  <c r="V350" i="2" s="1"/>
  <c r="R350" i="2"/>
  <c r="Q350" i="2"/>
  <c r="O350" i="2"/>
  <c r="P350" i="2" s="1"/>
  <c r="T349" i="2"/>
  <c r="S349" i="2"/>
  <c r="R349" i="2"/>
  <c r="Q349" i="2"/>
  <c r="O349" i="2"/>
  <c r="P349" i="2" s="1"/>
  <c r="T348" i="2"/>
  <c r="S348" i="2"/>
  <c r="R348" i="2"/>
  <c r="Q348" i="2"/>
  <c r="P348" i="2"/>
  <c r="O348" i="2"/>
  <c r="V347" i="2"/>
  <c r="T347" i="2"/>
  <c r="S347" i="2"/>
  <c r="U347" i="2" s="1"/>
  <c r="R347" i="2"/>
  <c r="Q347" i="2"/>
  <c r="P347" i="2"/>
  <c r="O347" i="2"/>
  <c r="T346" i="2"/>
  <c r="S346" i="2"/>
  <c r="U346" i="2" s="1"/>
  <c r="V346" i="2" s="1"/>
  <c r="R346" i="2"/>
  <c r="Q346" i="2"/>
  <c r="O346" i="2"/>
  <c r="P346" i="2" s="1"/>
  <c r="T345" i="2"/>
  <c r="S345" i="2"/>
  <c r="U345" i="2" s="1"/>
  <c r="V345" i="2" s="1"/>
  <c r="R345" i="2"/>
  <c r="Q345" i="2"/>
  <c r="P345" i="2"/>
  <c r="O345" i="2"/>
  <c r="T344" i="2"/>
  <c r="S344" i="2"/>
  <c r="R344" i="2"/>
  <c r="Q344" i="2"/>
  <c r="P344" i="2"/>
  <c r="O344" i="2"/>
  <c r="T343" i="2"/>
  <c r="S343" i="2"/>
  <c r="R343" i="2"/>
  <c r="Q343" i="2"/>
  <c r="P343" i="2"/>
  <c r="O343" i="2"/>
  <c r="T342" i="2"/>
  <c r="S342" i="2"/>
  <c r="U342" i="2" s="1"/>
  <c r="V342" i="2" s="1"/>
  <c r="R342" i="2"/>
  <c r="Q342" i="2"/>
  <c r="O342" i="2"/>
  <c r="P342" i="2" s="1"/>
  <c r="T341" i="2"/>
  <c r="S341" i="2"/>
  <c r="R341" i="2"/>
  <c r="Q341" i="2"/>
  <c r="O341" i="2"/>
  <c r="P341" i="2" s="1"/>
  <c r="T340" i="2"/>
  <c r="S340" i="2"/>
  <c r="R340" i="2"/>
  <c r="Q340" i="2"/>
  <c r="P340" i="2"/>
  <c r="O340" i="2"/>
  <c r="T339" i="2"/>
  <c r="S339" i="2"/>
  <c r="U339" i="2" s="1"/>
  <c r="V339" i="2" s="1"/>
  <c r="R339" i="2"/>
  <c r="Q339" i="2"/>
  <c r="P339" i="2"/>
  <c r="O339" i="2"/>
  <c r="T338" i="2"/>
  <c r="S338" i="2"/>
  <c r="R338" i="2"/>
  <c r="Q338" i="2"/>
  <c r="O338" i="2"/>
  <c r="P338" i="2" s="1"/>
  <c r="T337" i="2"/>
  <c r="S337" i="2"/>
  <c r="U337" i="2" s="1"/>
  <c r="V337" i="2" s="1"/>
  <c r="R337" i="2"/>
  <c r="Q337" i="2"/>
  <c r="P337" i="2"/>
  <c r="O337" i="2"/>
  <c r="T336" i="2"/>
  <c r="S336" i="2"/>
  <c r="R336" i="2"/>
  <c r="Q336" i="2"/>
  <c r="P336" i="2"/>
  <c r="O336" i="2"/>
  <c r="T335" i="2"/>
  <c r="S335" i="2"/>
  <c r="R335" i="2"/>
  <c r="Q335" i="2"/>
  <c r="P335" i="2"/>
  <c r="O335" i="2"/>
  <c r="T334" i="2"/>
  <c r="S334" i="2"/>
  <c r="U334" i="2" s="1"/>
  <c r="V334" i="2" s="1"/>
  <c r="R334" i="2"/>
  <c r="Q334" i="2"/>
  <c r="O334" i="2"/>
  <c r="P334" i="2" s="1"/>
  <c r="T333" i="2"/>
  <c r="S333" i="2"/>
  <c r="R333" i="2"/>
  <c r="Q333" i="2"/>
  <c r="O333" i="2"/>
  <c r="P333" i="2" s="1"/>
  <c r="T332" i="2"/>
  <c r="S332" i="2"/>
  <c r="R332" i="2"/>
  <c r="Q332" i="2"/>
  <c r="P332" i="2"/>
  <c r="O332" i="2"/>
  <c r="T331" i="2"/>
  <c r="S331" i="2"/>
  <c r="U331" i="2" s="1"/>
  <c r="V331" i="2" s="1"/>
  <c r="R331" i="2"/>
  <c r="Q331" i="2"/>
  <c r="P331" i="2"/>
  <c r="O331" i="2"/>
  <c r="T330" i="2"/>
  <c r="S330" i="2"/>
  <c r="U330" i="2" s="1"/>
  <c r="V330" i="2" s="1"/>
  <c r="R330" i="2"/>
  <c r="Q330" i="2"/>
  <c r="O330" i="2"/>
  <c r="P330" i="2" s="1"/>
  <c r="T329" i="2"/>
  <c r="S329" i="2"/>
  <c r="U329" i="2" s="1"/>
  <c r="V329" i="2" s="1"/>
  <c r="R329" i="2"/>
  <c r="Q329" i="2"/>
  <c r="P329" i="2"/>
  <c r="O329" i="2"/>
  <c r="T328" i="2"/>
  <c r="S328" i="2"/>
  <c r="R328" i="2"/>
  <c r="Q328" i="2"/>
  <c r="P328" i="2"/>
  <c r="O328" i="2"/>
  <c r="T327" i="2"/>
  <c r="S327" i="2"/>
  <c r="R327" i="2"/>
  <c r="Q327" i="2"/>
  <c r="O327" i="2"/>
  <c r="P327" i="2" s="1"/>
  <c r="T326" i="2"/>
  <c r="S326" i="2"/>
  <c r="U326" i="2" s="1"/>
  <c r="V326" i="2" s="1"/>
  <c r="R326" i="2"/>
  <c r="Q326" i="2"/>
  <c r="P326" i="2"/>
  <c r="O326" i="2"/>
  <c r="T325" i="2"/>
  <c r="S325" i="2"/>
  <c r="R325" i="2"/>
  <c r="Q325" i="2"/>
  <c r="O325" i="2"/>
  <c r="P325" i="2" s="1"/>
  <c r="T324" i="2"/>
  <c r="S324" i="2"/>
  <c r="R324" i="2"/>
  <c r="Q324" i="2"/>
  <c r="P324" i="2"/>
  <c r="O324" i="2"/>
  <c r="T323" i="2"/>
  <c r="S323" i="2"/>
  <c r="R323" i="2"/>
  <c r="Q323" i="2"/>
  <c r="P323" i="2"/>
  <c r="O323" i="2"/>
  <c r="T322" i="2"/>
  <c r="S322" i="2"/>
  <c r="U322" i="2" s="1"/>
  <c r="V322" i="2" s="1"/>
  <c r="R322" i="2"/>
  <c r="Q322" i="2"/>
  <c r="O322" i="2"/>
  <c r="P322" i="2" s="1"/>
  <c r="T321" i="2"/>
  <c r="S321" i="2"/>
  <c r="U321" i="2" s="1"/>
  <c r="V321" i="2" s="1"/>
  <c r="R321" i="2"/>
  <c r="Q321" i="2"/>
  <c r="P321" i="2"/>
  <c r="O321" i="2"/>
  <c r="T320" i="2"/>
  <c r="R320" i="2"/>
  <c r="S320" i="2" s="1"/>
  <c r="U320" i="2" s="1"/>
  <c r="V320" i="2" s="1"/>
  <c r="Q320" i="2"/>
  <c r="P320" i="2"/>
  <c r="O320" i="2"/>
  <c r="T319" i="2"/>
  <c r="S319" i="2"/>
  <c r="R319" i="2"/>
  <c r="Q319" i="2"/>
  <c r="O319" i="2"/>
  <c r="P319" i="2" s="1"/>
  <c r="T318" i="2"/>
  <c r="S318" i="2"/>
  <c r="U318" i="2" s="1"/>
  <c r="V318" i="2" s="1"/>
  <c r="R318" i="2"/>
  <c r="Q318" i="2"/>
  <c r="P318" i="2"/>
  <c r="O318" i="2"/>
  <c r="T317" i="2"/>
  <c r="R317" i="2"/>
  <c r="S317" i="2" s="1"/>
  <c r="U317" i="2" s="1"/>
  <c r="V317" i="2" s="1"/>
  <c r="Q317" i="2"/>
  <c r="O317" i="2"/>
  <c r="P317" i="2" s="1"/>
  <c r="T316" i="2"/>
  <c r="S316" i="2"/>
  <c r="R316" i="2"/>
  <c r="Q316" i="2"/>
  <c r="P316" i="2"/>
  <c r="O316" i="2"/>
  <c r="T315" i="2"/>
  <c r="S315" i="2"/>
  <c r="U315" i="2" s="1"/>
  <c r="V315" i="2" s="1"/>
  <c r="R315" i="2"/>
  <c r="Q315" i="2"/>
  <c r="P315" i="2"/>
  <c r="O315" i="2"/>
  <c r="T314" i="2"/>
  <c r="S314" i="2"/>
  <c r="U314" i="2" s="1"/>
  <c r="V314" i="2" s="1"/>
  <c r="R314" i="2"/>
  <c r="Q314" i="2"/>
  <c r="O314" i="2"/>
  <c r="P314" i="2" s="1"/>
  <c r="T313" i="2"/>
  <c r="R313" i="2"/>
  <c r="S313" i="2" s="1"/>
  <c r="U313" i="2" s="1"/>
  <c r="V313" i="2" s="1"/>
  <c r="Q313" i="2"/>
  <c r="P313" i="2"/>
  <c r="O313" i="2"/>
  <c r="T312" i="2"/>
  <c r="S312" i="2"/>
  <c r="R312" i="2"/>
  <c r="Q312" i="2"/>
  <c r="P312" i="2"/>
  <c r="O312" i="2"/>
  <c r="T311" i="2"/>
  <c r="S311" i="2"/>
  <c r="R311" i="2"/>
  <c r="Q311" i="2"/>
  <c r="O311" i="2"/>
  <c r="P311" i="2" s="1"/>
  <c r="T310" i="2"/>
  <c r="S310" i="2"/>
  <c r="U310" i="2" s="1"/>
  <c r="V310" i="2" s="1"/>
  <c r="R310" i="2"/>
  <c r="Q310" i="2"/>
  <c r="P310" i="2"/>
  <c r="O310" i="2"/>
  <c r="T309" i="2"/>
  <c r="S309" i="2"/>
  <c r="R309" i="2"/>
  <c r="Q309" i="2"/>
  <c r="O309" i="2"/>
  <c r="P309" i="2" s="1"/>
  <c r="T308" i="2"/>
  <c r="S308" i="2"/>
  <c r="R308" i="2"/>
  <c r="Q308" i="2"/>
  <c r="P308" i="2"/>
  <c r="O308" i="2"/>
  <c r="T307" i="2"/>
  <c r="S307" i="2"/>
  <c r="R307" i="2"/>
  <c r="Q307" i="2"/>
  <c r="P307" i="2"/>
  <c r="O307" i="2"/>
  <c r="T306" i="2"/>
  <c r="S306" i="2"/>
  <c r="U306" i="2" s="1"/>
  <c r="V306" i="2" s="1"/>
  <c r="R306" i="2"/>
  <c r="Q306" i="2"/>
  <c r="O306" i="2"/>
  <c r="P306" i="2" s="1"/>
  <c r="T305" i="2"/>
  <c r="S305" i="2"/>
  <c r="U305" i="2" s="1"/>
  <c r="V305" i="2" s="1"/>
  <c r="R305" i="2"/>
  <c r="Q305" i="2"/>
  <c r="P305" i="2"/>
  <c r="O305" i="2"/>
  <c r="T304" i="2"/>
  <c r="S304" i="2"/>
  <c r="R304" i="2"/>
  <c r="Q304" i="2"/>
  <c r="P304" i="2"/>
  <c r="O304" i="2"/>
  <c r="T303" i="2"/>
  <c r="S303" i="2"/>
  <c r="R303" i="2"/>
  <c r="Q303" i="2"/>
  <c r="O303" i="2"/>
  <c r="P303" i="2" s="1"/>
  <c r="T302" i="2"/>
  <c r="S302" i="2"/>
  <c r="U302" i="2" s="1"/>
  <c r="V302" i="2" s="1"/>
  <c r="R302" i="2"/>
  <c r="Q302" i="2"/>
  <c r="P302" i="2"/>
  <c r="O302" i="2"/>
  <c r="V301" i="2"/>
  <c r="T301" i="2"/>
  <c r="R301" i="2"/>
  <c r="S301" i="2" s="1"/>
  <c r="U301" i="2" s="1"/>
  <c r="Q301" i="2"/>
  <c r="O301" i="2"/>
  <c r="P301" i="2" s="1"/>
  <c r="T300" i="2"/>
  <c r="S300" i="2"/>
  <c r="R300" i="2"/>
  <c r="Q300" i="2"/>
  <c r="P300" i="2"/>
  <c r="O300" i="2"/>
  <c r="T299" i="2"/>
  <c r="S299" i="2"/>
  <c r="R299" i="2"/>
  <c r="Q299" i="2"/>
  <c r="P299" i="2"/>
  <c r="O299" i="2"/>
  <c r="T298" i="2"/>
  <c r="S298" i="2"/>
  <c r="U298" i="2" s="1"/>
  <c r="V298" i="2" s="1"/>
  <c r="R298" i="2"/>
  <c r="Q298" i="2"/>
  <c r="O298" i="2"/>
  <c r="P298" i="2" s="1"/>
  <c r="T297" i="2"/>
  <c r="S297" i="2"/>
  <c r="U297" i="2" s="1"/>
  <c r="V297" i="2" s="1"/>
  <c r="R297" i="2"/>
  <c r="Q297" i="2"/>
  <c r="P297" i="2"/>
  <c r="O297" i="2"/>
  <c r="T296" i="2"/>
  <c r="R296" i="2"/>
  <c r="S296" i="2" s="1"/>
  <c r="U296" i="2" s="1"/>
  <c r="V296" i="2" s="1"/>
  <c r="Q296" i="2"/>
  <c r="P296" i="2"/>
  <c r="O296" i="2"/>
  <c r="T295" i="2"/>
  <c r="S295" i="2"/>
  <c r="R295" i="2"/>
  <c r="Q295" i="2"/>
  <c r="O295" i="2"/>
  <c r="P295" i="2" s="1"/>
  <c r="T294" i="2"/>
  <c r="S294" i="2"/>
  <c r="U294" i="2" s="1"/>
  <c r="V294" i="2" s="1"/>
  <c r="R294" i="2"/>
  <c r="Q294" i="2"/>
  <c r="P294" i="2"/>
  <c r="O294" i="2"/>
  <c r="T293" i="2"/>
  <c r="R293" i="2"/>
  <c r="S293" i="2" s="1"/>
  <c r="U293" i="2" s="1"/>
  <c r="V293" i="2" s="1"/>
  <c r="Q293" i="2"/>
  <c r="O293" i="2"/>
  <c r="P293" i="2" s="1"/>
  <c r="T292" i="2"/>
  <c r="S292" i="2"/>
  <c r="R292" i="2"/>
  <c r="Q292" i="2"/>
  <c r="P292" i="2"/>
  <c r="O292" i="2"/>
  <c r="T291" i="2"/>
  <c r="S291" i="2"/>
  <c r="U291" i="2" s="1"/>
  <c r="V291" i="2" s="1"/>
  <c r="R291" i="2"/>
  <c r="Q291" i="2"/>
  <c r="P291" i="2"/>
  <c r="O291" i="2"/>
  <c r="T290" i="2"/>
  <c r="R290" i="2"/>
  <c r="S290" i="2" s="1"/>
  <c r="U290" i="2" s="1"/>
  <c r="V290" i="2" s="1"/>
  <c r="Q290" i="2"/>
  <c r="O290" i="2"/>
  <c r="P290" i="2" s="1"/>
  <c r="T289" i="2"/>
  <c r="R289" i="2"/>
  <c r="S289" i="2" s="1"/>
  <c r="U289" i="2" s="1"/>
  <c r="V289" i="2" s="1"/>
  <c r="Q289" i="2"/>
  <c r="P289" i="2"/>
  <c r="O289" i="2"/>
  <c r="T288" i="2"/>
  <c r="R288" i="2"/>
  <c r="Q288" i="2"/>
  <c r="P288" i="2"/>
  <c r="O288" i="2"/>
  <c r="T287" i="2"/>
  <c r="Q287" i="2"/>
  <c r="O287" i="2"/>
  <c r="P287" i="2" s="1"/>
  <c r="T286" i="2"/>
  <c r="S286" i="2"/>
  <c r="U286" i="2" s="1"/>
  <c r="V286" i="2" s="1"/>
  <c r="R286" i="2"/>
  <c r="Q286" i="2"/>
  <c r="O286" i="2"/>
  <c r="P286" i="2" s="1"/>
  <c r="V285" i="2"/>
  <c r="T285" i="2"/>
  <c r="R285" i="2"/>
  <c r="Q285" i="2"/>
  <c r="S285" i="2" s="1"/>
  <c r="U285" i="2" s="1"/>
  <c r="O285" i="2"/>
  <c r="P285" i="2" s="1"/>
  <c r="T284" i="2"/>
  <c r="Q284" i="2"/>
  <c r="R284" i="2" s="1"/>
  <c r="P284" i="2"/>
  <c r="O284" i="2"/>
  <c r="V283" i="2"/>
  <c r="T283" i="2"/>
  <c r="S283" i="2"/>
  <c r="U283" i="2" s="1"/>
  <c r="R283" i="2"/>
  <c r="Q283" i="2"/>
  <c r="P283" i="2"/>
  <c r="O283" i="2"/>
  <c r="U282" i="2"/>
  <c r="V282" i="2" s="1"/>
  <c r="T282" i="2"/>
  <c r="S282" i="2"/>
  <c r="R282" i="2"/>
  <c r="Q282" i="2"/>
  <c r="P282" i="2"/>
  <c r="O282" i="2"/>
  <c r="T281" i="2"/>
  <c r="S281" i="2"/>
  <c r="U281" i="2" s="1"/>
  <c r="V281" i="2" s="1"/>
  <c r="R281" i="2"/>
  <c r="Q281" i="2"/>
  <c r="P281" i="2"/>
  <c r="O281" i="2"/>
  <c r="T280" i="2"/>
  <c r="S280" i="2"/>
  <c r="U280" i="2" s="1"/>
  <c r="V280" i="2" s="1"/>
  <c r="R280" i="2"/>
  <c r="Q280" i="2"/>
  <c r="P280" i="2"/>
  <c r="O280" i="2"/>
  <c r="T279" i="2"/>
  <c r="S279" i="2"/>
  <c r="U279" i="2" s="1"/>
  <c r="V279" i="2" s="1"/>
  <c r="R279" i="2"/>
  <c r="Q279" i="2"/>
  <c r="P279" i="2"/>
  <c r="O279" i="2"/>
  <c r="U278" i="2"/>
  <c r="V278" i="2" s="1"/>
  <c r="T278" i="2"/>
  <c r="S278" i="2"/>
  <c r="R278" i="2"/>
  <c r="Q278" i="2"/>
  <c r="P278" i="2"/>
  <c r="O278" i="2"/>
  <c r="T277" i="2"/>
  <c r="U277" i="2" s="1"/>
  <c r="V277" i="2" s="1"/>
  <c r="S277" i="2"/>
  <c r="R277" i="2"/>
  <c r="Q277" i="2"/>
  <c r="P277" i="2"/>
  <c r="O277" i="2"/>
  <c r="T276" i="2"/>
  <c r="S276" i="2"/>
  <c r="U276" i="2" s="1"/>
  <c r="V276" i="2" s="1"/>
  <c r="R276" i="2"/>
  <c r="Q276" i="2"/>
  <c r="P276" i="2"/>
  <c r="O276" i="2"/>
  <c r="U275" i="2"/>
  <c r="V275" i="2" s="1"/>
  <c r="T275" i="2"/>
  <c r="S275" i="2"/>
  <c r="R275" i="2"/>
  <c r="Q275" i="2"/>
  <c r="P275" i="2"/>
  <c r="O275" i="2"/>
  <c r="U274" i="2"/>
  <c r="V274" i="2" s="1"/>
  <c r="T274" i="2"/>
  <c r="S274" i="2"/>
  <c r="R274" i="2"/>
  <c r="Q274" i="2"/>
  <c r="P274" i="2"/>
  <c r="O274" i="2"/>
  <c r="T273" i="2"/>
  <c r="S273" i="2"/>
  <c r="U273" i="2" s="1"/>
  <c r="V273" i="2" s="1"/>
  <c r="R273" i="2"/>
  <c r="Q273" i="2"/>
  <c r="P273" i="2"/>
  <c r="O273" i="2"/>
  <c r="T272" i="2"/>
  <c r="S272" i="2"/>
  <c r="U272" i="2" s="1"/>
  <c r="V272" i="2" s="1"/>
  <c r="R272" i="2"/>
  <c r="Q272" i="2"/>
  <c r="P272" i="2"/>
  <c r="O272" i="2"/>
  <c r="T271" i="2"/>
  <c r="S271" i="2"/>
  <c r="U271" i="2" s="1"/>
  <c r="V271" i="2" s="1"/>
  <c r="R271" i="2"/>
  <c r="Q271" i="2"/>
  <c r="P271" i="2"/>
  <c r="O271" i="2"/>
  <c r="U270" i="2"/>
  <c r="V270" i="2" s="1"/>
  <c r="T270" i="2"/>
  <c r="S270" i="2"/>
  <c r="R270" i="2"/>
  <c r="Q270" i="2"/>
  <c r="P270" i="2"/>
  <c r="O270" i="2"/>
  <c r="T269" i="2"/>
  <c r="U269" i="2" s="1"/>
  <c r="V269" i="2" s="1"/>
  <c r="S269" i="2"/>
  <c r="R269" i="2"/>
  <c r="Q269" i="2"/>
  <c r="P269" i="2"/>
  <c r="O269" i="2"/>
  <c r="T268" i="2"/>
  <c r="S268" i="2"/>
  <c r="U268" i="2" s="1"/>
  <c r="V268" i="2" s="1"/>
  <c r="R268" i="2"/>
  <c r="Q268" i="2"/>
  <c r="P268" i="2"/>
  <c r="O268" i="2"/>
  <c r="U267" i="2"/>
  <c r="V267" i="2" s="1"/>
  <c r="T267" i="2"/>
  <c r="S267" i="2"/>
  <c r="R267" i="2"/>
  <c r="Q267" i="2"/>
  <c r="P267" i="2"/>
  <c r="O267" i="2"/>
  <c r="U266" i="2"/>
  <c r="V266" i="2" s="1"/>
  <c r="T266" i="2"/>
  <c r="S266" i="2"/>
  <c r="R266" i="2"/>
  <c r="Q266" i="2"/>
  <c r="P266" i="2"/>
  <c r="O266" i="2"/>
  <c r="T265" i="2"/>
  <c r="S265" i="2"/>
  <c r="U265" i="2" s="1"/>
  <c r="V265" i="2" s="1"/>
  <c r="R265" i="2"/>
  <c r="Q265" i="2"/>
  <c r="P265" i="2"/>
  <c r="O265" i="2"/>
  <c r="T264" i="2"/>
  <c r="S264" i="2"/>
  <c r="U264" i="2" s="1"/>
  <c r="V264" i="2" s="1"/>
  <c r="R264" i="2"/>
  <c r="Q264" i="2"/>
  <c r="P264" i="2"/>
  <c r="O264" i="2"/>
  <c r="T263" i="2"/>
  <c r="S263" i="2"/>
  <c r="U263" i="2" s="1"/>
  <c r="V263" i="2" s="1"/>
  <c r="R263" i="2"/>
  <c r="Q263" i="2"/>
  <c r="P263" i="2"/>
  <c r="O263" i="2"/>
  <c r="U262" i="2"/>
  <c r="V262" i="2" s="1"/>
  <c r="T262" i="2"/>
  <c r="S262" i="2"/>
  <c r="R262" i="2"/>
  <c r="Q262" i="2"/>
  <c r="P262" i="2"/>
  <c r="O262" i="2"/>
  <c r="T261" i="2"/>
  <c r="U261" i="2" s="1"/>
  <c r="V261" i="2" s="1"/>
  <c r="S261" i="2"/>
  <c r="R261" i="2"/>
  <c r="Q261" i="2"/>
  <c r="P261" i="2"/>
  <c r="O261" i="2"/>
  <c r="T260" i="2"/>
  <c r="S260" i="2"/>
  <c r="U260" i="2" s="1"/>
  <c r="V260" i="2" s="1"/>
  <c r="R260" i="2"/>
  <c r="Q260" i="2"/>
  <c r="P260" i="2"/>
  <c r="O260" i="2"/>
  <c r="U259" i="2"/>
  <c r="V259" i="2" s="1"/>
  <c r="T259" i="2"/>
  <c r="S259" i="2"/>
  <c r="R259" i="2"/>
  <c r="Q259" i="2"/>
  <c r="P259" i="2"/>
  <c r="O259" i="2"/>
  <c r="U258" i="2"/>
  <c r="V258" i="2" s="1"/>
  <c r="T258" i="2"/>
  <c r="S258" i="2"/>
  <c r="R258" i="2"/>
  <c r="Q258" i="2"/>
  <c r="P258" i="2"/>
  <c r="O258" i="2"/>
  <c r="T257" i="2"/>
  <c r="S257" i="2"/>
  <c r="U257" i="2" s="1"/>
  <c r="V257" i="2" s="1"/>
  <c r="R257" i="2"/>
  <c r="Q257" i="2"/>
  <c r="P257" i="2"/>
  <c r="O257" i="2"/>
  <c r="T256" i="2"/>
  <c r="S256" i="2"/>
  <c r="U256" i="2" s="1"/>
  <c r="V256" i="2" s="1"/>
  <c r="R256" i="2"/>
  <c r="Q256" i="2"/>
  <c r="P256" i="2"/>
  <c r="O256" i="2"/>
  <c r="T255" i="2"/>
  <c r="S255" i="2"/>
  <c r="U255" i="2" s="1"/>
  <c r="V255" i="2" s="1"/>
  <c r="R255" i="2"/>
  <c r="Q255" i="2"/>
  <c r="P255" i="2"/>
  <c r="O255" i="2"/>
  <c r="U254" i="2"/>
  <c r="V254" i="2" s="1"/>
  <c r="T254" i="2"/>
  <c r="S254" i="2"/>
  <c r="R254" i="2"/>
  <c r="Q254" i="2"/>
  <c r="P254" i="2"/>
  <c r="O254" i="2"/>
  <c r="T253" i="2"/>
  <c r="U253" i="2" s="1"/>
  <c r="V253" i="2" s="1"/>
  <c r="S253" i="2"/>
  <c r="R253" i="2"/>
  <c r="Q253" i="2"/>
  <c r="P253" i="2"/>
  <c r="O253" i="2"/>
  <c r="T252" i="2"/>
  <c r="S252" i="2"/>
  <c r="U252" i="2" s="1"/>
  <c r="V252" i="2" s="1"/>
  <c r="R252" i="2"/>
  <c r="Q252" i="2"/>
  <c r="P252" i="2"/>
  <c r="O252" i="2"/>
  <c r="U251" i="2"/>
  <c r="V251" i="2" s="1"/>
  <c r="T251" i="2"/>
  <c r="S251" i="2"/>
  <c r="R251" i="2"/>
  <c r="Q251" i="2"/>
  <c r="P251" i="2"/>
  <c r="O251" i="2"/>
  <c r="U250" i="2"/>
  <c r="V250" i="2" s="1"/>
  <c r="T250" i="2"/>
  <c r="S250" i="2"/>
  <c r="R250" i="2"/>
  <c r="Q250" i="2"/>
  <c r="O250" i="2"/>
  <c r="P250" i="2" s="1"/>
  <c r="T249" i="2"/>
  <c r="S249" i="2"/>
  <c r="R249" i="2"/>
  <c r="Q249" i="2"/>
  <c r="P249" i="2"/>
  <c r="O249" i="2"/>
  <c r="T248" i="2"/>
  <c r="S248" i="2"/>
  <c r="U248" i="2" s="1"/>
  <c r="V248" i="2" s="1"/>
  <c r="R248" i="2"/>
  <c r="Q248" i="2"/>
  <c r="O248" i="2"/>
  <c r="P248" i="2" s="1"/>
  <c r="T247" i="2"/>
  <c r="S247" i="2"/>
  <c r="U247" i="2" s="1"/>
  <c r="V247" i="2" s="1"/>
  <c r="R247" i="2"/>
  <c r="Q247" i="2"/>
  <c r="O247" i="2"/>
  <c r="P247" i="2" s="1"/>
  <c r="U246" i="2"/>
  <c r="V246" i="2" s="1"/>
  <c r="T246" i="2"/>
  <c r="S246" i="2"/>
  <c r="R246" i="2"/>
  <c r="Q246" i="2"/>
  <c r="P246" i="2"/>
  <c r="O246" i="2"/>
  <c r="T245" i="2"/>
  <c r="R245" i="2"/>
  <c r="S245" i="2" s="1"/>
  <c r="U245" i="2" s="1"/>
  <c r="V245" i="2" s="1"/>
  <c r="Q245" i="2"/>
  <c r="P245" i="2"/>
  <c r="O245" i="2"/>
  <c r="T244" i="2"/>
  <c r="S244" i="2"/>
  <c r="U244" i="2" s="1"/>
  <c r="V244" i="2" s="1"/>
  <c r="R244" i="2"/>
  <c r="Q244" i="2"/>
  <c r="O244" i="2"/>
  <c r="P244" i="2" s="1"/>
  <c r="U243" i="2"/>
  <c r="V243" i="2" s="1"/>
  <c r="T243" i="2"/>
  <c r="S243" i="2"/>
  <c r="R243" i="2"/>
  <c r="Q243" i="2"/>
  <c r="O243" i="2"/>
  <c r="P243" i="2" s="1"/>
  <c r="U242" i="2"/>
  <c r="V242" i="2" s="1"/>
  <c r="T242" i="2"/>
  <c r="S242" i="2"/>
  <c r="R242" i="2"/>
  <c r="Q242" i="2"/>
  <c r="O242" i="2"/>
  <c r="P242" i="2" s="1"/>
  <c r="T241" i="2"/>
  <c r="S241" i="2"/>
  <c r="R241" i="2"/>
  <c r="Q241" i="2"/>
  <c r="P241" i="2"/>
  <c r="O241" i="2"/>
  <c r="T240" i="2"/>
  <c r="S240" i="2"/>
  <c r="U240" i="2" s="1"/>
  <c r="V240" i="2" s="1"/>
  <c r="R240" i="2"/>
  <c r="Q240" i="2"/>
  <c r="O240" i="2"/>
  <c r="P240" i="2" s="1"/>
  <c r="T239" i="2"/>
  <c r="R239" i="2"/>
  <c r="S239" i="2" s="1"/>
  <c r="U239" i="2" s="1"/>
  <c r="V239" i="2" s="1"/>
  <c r="Q239" i="2"/>
  <c r="O239" i="2"/>
  <c r="P239" i="2" s="1"/>
  <c r="U238" i="2"/>
  <c r="V238" i="2" s="1"/>
  <c r="T238" i="2"/>
  <c r="R238" i="2"/>
  <c r="S238" i="2" s="1"/>
  <c r="Q238" i="2"/>
  <c r="P238" i="2"/>
  <c r="O238" i="2"/>
  <c r="T237" i="2"/>
  <c r="R237" i="2"/>
  <c r="S237" i="2" s="1"/>
  <c r="U237" i="2" s="1"/>
  <c r="V237" i="2" s="1"/>
  <c r="Q237" i="2"/>
  <c r="P237" i="2"/>
  <c r="O237" i="2"/>
  <c r="T236" i="2"/>
  <c r="S236" i="2"/>
  <c r="U236" i="2" s="1"/>
  <c r="V236" i="2" s="1"/>
  <c r="R236" i="2"/>
  <c r="Q236" i="2"/>
  <c r="O236" i="2"/>
  <c r="P236" i="2" s="1"/>
  <c r="U235" i="2"/>
  <c r="V235" i="2" s="1"/>
  <c r="T235" i="2"/>
  <c r="S235" i="2"/>
  <c r="R235" i="2"/>
  <c r="Q235" i="2"/>
  <c r="O235" i="2"/>
  <c r="P235" i="2" s="1"/>
  <c r="T234" i="2"/>
  <c r="R234" i="2"/>
  <c r="S234" i="2" s="1"/>
  <c r="U234" i="2" s="1"/>
  <c r="V234" i="2" s="1"/>
  <c r="Q234" i="2"/>
  <c r="O234" i="2"/>
  <c r="P234" i="2" s="1"/>
  <c r="T233" i="2"/>
  <c r="S233" i="2"/>
  <c r="U233" i="2" s="1"/>
  <c r="V233" i="2" s="1"/>
  <c r="R233" i="2"/>
  <c r="Q233" i="2"/>
  <c r="P233" i="2"/>
  <c r="O233" i="2"/>
  <c r="T232" i="2"/>
  <c r="S232" i="2"/>
  <c r="U232" i="2" s="1"/>
  <c r="V232" i="2" s="1"/>
  <c r="R232" i="2"/>
  <c r="Q232" i="2"/>
  <c r="O232" i="2"/>
  <c r="P232" i="2" s="1"/>
  <c r="T231" i="2"/>
  <c r="R231" i="2"/>
  <c r="S231" i="2" s="1"/>
  <c r="U231" i="2" s="1"/>
  <c r="V231" i="2" s="1"/>
  <c r="Q231" i="2"/>
  <c r="O231" i="2"/>
  <c r="P231" i="2" s="1"/>
  <c r="T230" i="2"/>
  <c r="R230" i="2"/>
  <c r="S230" i="2" s="1"/>
  <c r="U230" i="2" s="1"/>
  <c r="V230" i="2" s="1"/>
  <c r="Q230" i="2"/>
  <c r="P230" i="2"/>
  <c r="O230" i="2"/>
  <c r="T229" i="2"/>
  <c r="S229" i="2"/>
  <c r="R229" i="2"/>
  <c r="Q229" i="2"/>
  <c r="P229" i="2"/>
  <c r="O229" i="2"/>
  <c r="T228" i="2"/>
  <c r="S228" i="2"/>
  <c r="U228" i="2" s="1"/>
  <c r="V228" i="2" s="1"/>
  <c r="R228" i="2"/>
  <c r="Q228" i="2"/>
  <c r="O228" i="2"/>
  <c r="P228" i="2" s="1"/>
  <c r="T227" i="2"/>
  <c r="R227" i="2"/>
  <c r="S227" i="2" s="1"/>
  <c r="U227" i="2" s="1"/>
  <c r="V227" i="2" s="1"/>
  <c r="Q227" i="2"/>
  <c r="O227" i="2"/>
  <c r="P227" i="2" s="1"/>
  <c r="U226" i="2"/>
  <c r="V226" i="2" s="1"/>
  <c r="T226" i="2"/>
  <c r="S226" i="2"/>
  <c r="R226" i="2"/>
  <c r="Q226" i="2"/>
  <c r="P226" i="2"/>
  <c r="O226" i="2"/>
  <c r="T225" i="2"/>
  <c r="S225" i="2"/>
  <c r="U225" i="2" s="1"/>
  <c r="V225" i="2" s="1"/>
  <c r="R225" i="2"/>
  <c r="Q225" i="2"/>
  <c r="P225" i="2"/>
  <c r="O225" i="2"/>
  <c r="T224" i="2"/>
  <c r="S224" i="2"/>
  <c r="U224" i="2" s="1"/>
  <c r="V224" i="2" s="1"/>
  <c r="R224" i="2"/>
  <c r="Q224" i="2"/>
  <c r="O224" i="2"/>
  <c r="P224" i="2" s="1"/>
  <c r="T223" i="2"/>
  <c r="R223" i="2"/>
  <c r="S223" i="2" s="1"/>
  <c r="U223" i="2" s="1"/>
  <c r="V223" i="2" s="1"/>
  <c r="Q223" i="2"/>
  <c r="O223" i="2"/>
  <c r="P223" i="2" s="1"/>
  <c r="T222" i="2"/>
  <c r="R222" i="2"/>
  <c r="S222" i="2" s="1"/>
  <c r="U222" i="2" s="1"/>
  <c r="V222" i="2" s="1"/>
  <c r="Q222" i="2"/>
  <c r="P222" i="2"/>
  <c r="O222" i="2"/>
  <c r="T221" i="2"/>
  <c r="S221" i="2"/>
  <c r="U221" i="2" s="1"/>
  <c r="V221" i="2" s="1"/>
  <c r="R221" i="2"/>
  <c r="Q221" i="2"/>
  <c r="P221" i="2"/>
  <c r="O221" i="2"/>
  <c r="T220" i="2"/>
  <c r="S220" i="2"/>
  <c r="U220" i="2" s="1"/>
  <c r="V220" i="2" s="1"/>
  <c r="R220" i="2"/>
  <c r="Q220" i="2"/>
  <c r="O220" i="2"/>
  <c r="P220" i="2" s="1"/>
  <c r="U219" i="2"/>
  <c r="V219" i="2" s="1"/>
  <c r="T219" i="2"/>
  <c r="S219" i="2"/>
  <c r="R219" i="2"/>
  <c r="Q219" i="2"/>
  <c r="O219" i="2"/>
  <c r="P219" i="2" s="1"/>
  <c r="U218" i="2"/>
  <c r="V218" i="2" s="1"/>
  <c r="T218" i="2"/>
  <c r="S218" i="2"/>
  <c r="R218" i="2"/>
  <c r="Q218" i="2"/>
  <c r="P218" i="2"/>
  <c r="O218" i="2"/>
  <c r="T217" i="2"/>
  <c r="S217" i="2"/>
  <c r="U217" i="2" s="1"/>
  <c r="V217" i="2" s="1"/>
  <c r="R217" i="2"/>
  <c r="Q217" i="2"/>
  <c r="P217" i="2"/>
  <c r="O217" i="2"/>
  <c r="T216" i="2"/>
  <c r="S216" i="2"/>
  <c r="U216" i="2" s="1"/>
  <c r="V216" i="2" s="1"/>
  <c r="R216" i="2"/>
  <c r="Q216" i="2"/>
  <c r="O216" i="2"/>
  <c r="P216" i="2" s="1"/>
  <c r="T215" i="2"/>
  <c r="R215" i="2"/>
  <c r="S215" i="2" s="1"/>
  <c r="U215" i="2" s="1"/>
  <c r="V215" i="2" s="1"/>
  <c r="Q215" i="2"/>
  <c r="O215" i="2"/>
  <c r="P215" i="2" s="1"/>
  <c r="T214" i="2"/>
  <c r="R214" i="2"/>
  <c r="S214" i="2" s="1"/>
  <c r="U214" i="2" s="1"/>
  <c r="V214" i="2" s="1"/>
  <c r="Q214" i="2"/>
  <c r="P214" i="2"/>
  <c r="O214" i="2"/>
  <c r="T213" i="2"/>
  <c r="S213" i="2"/>
  <c r="R213" i="2"/>
  <c r="Q213" i="2"/>
  <c r="P213" i="2"/>
  <c r="O213" i="2"/>
  <c r="T212" i="2"/>
  <c r="S212" i="2"/>
  <c r="U212" i="2" s="1"/>
  <c r="V212" i="2" s="1"/>
  <c r="R212" i="2"/>
  <c r="Q212" i="2"/>
  <c r="O212" i="2"/>
  <c r="P212" i="2" s="1"/>
  <c r="U211" i="2"/>
  <c r="V211" i="2" s="1"/>
  <c r="T211" i="2"/>
  <c r="S211" i="2"/>
  <c r="R211" i="2"/>
  <c r="Q211" i="2"/>
  <c r="O211" i="2"/>
  <c r="P211" i="2" s="1"/>
  <c r="U210" i="2"/>
  <c r="V210" i="2" s="1"/>
  <c r="T210" i="2"/>
  <c r="S210" i="2"/>
  <c r="R210" i="2"/>
  <c r="Q210" i="2"/>
  <c r="P210" i="2"/>
  <c r="O210" i="2"/>
  <c r="T209" i="2"/>
  <c r="S209" i="2"/>
  <c r="R209" i="2"/>
  <c r="Q209" i="2"/>
  <c r="P209" i="2"/>
  <c r="O209" i="2"/>
  <c r="T208" i="2"/>
  <c r="S208" i="2"/>
  <c r="U208" i="2" s="1"/>
  <c r="V208" i="2" s="1"/>
  <c r="R208" i="2"/>
  <c r="Q208" i="2"/>
  <c r="O208" i="2"/>
  <c r="P208" i="2" s="1"/>
  <c r="T207" i="2"/>
  <c r="R207" i="2"/>
  <c r="S207" i="2" s="1"/>
  <c r="U207" i="2" s="1"/>
  <c r="V207" i="2" s="1"/>
  <c r="Q207" i="2"/>
  <c r="O207" i="2"/>
  <c r="P207" i="2" s="1"/>
  <c r="U206" i="2"/>
  <c r="V206" i="2" s="1"/>
  <c r="T206" i="2"/>
  <c r="R206" i="2"/>
  <c r="S206" i="2" s="1"/>
  <c r="Q206" i="2"/>
  <c r="P206" i="2"/>
  <c r="O206" i="2"/>
  <c r="T205" i="2"/>
  <c r="S205" i="2"/>
  <c r="R205" i="2"/>
  <c r="Q205" i="2"/>
  <c r="P205" i="2"/>
  <c r="O205" i="2"/>
  <c r="T204" i="2"/>
  <c r="S204" i="2"/>
  <c r="U204" i="2" s="1"/>
  <c r="V204" i="2" s="1"/>
  <c r="R204" i="2"/>
  <c r="Q204" i="2"/>
  <c r="O204" i="2"/>
  <c r="P204" i="2" s="1"/>
  <c r="T203" i="2"/>
  <c r="R203" i="2"/>
  <c r="S203" i="2" s="1"/>
  <c r="U203" i="2" s="1"/>
  <c r="V203" i="2" s="1"/>
  <c r="Q203" i="2"/>
  <c r="O203" i="2"/>
  <c r="P203" i="2" s="1"/>
  <c r="U202" i="2"/>
  <c r="V202" i="2" s="1"/>
  <c r="T202" i="2"/>
  <c r="R202" i="2"/>
  <c r="S202" i="2" s="1"/>
  <c r="Q202" i="2"/>
  <c r="P202" i="2"/>
  <c r="O202" i="2"/>
  <c r="T201" i="2"/>
  <c r="S201" i="2"/>
  <c r="U201" i="2" s="1"/>
  <c r="V201" i="2" s="1"/>
  <c r="R201" i="2"/>
  <c r="Q201" i="2"/>
  <c r="P201" i="2"/>
  <c r="O201" i="2"/>
  <c r="T200" i="2"/>
  <c r="S200" i="2"/>
  <c r="U200" i="2" s="1"/>
  <c r="V200" i="2" s="1"/>
  <c r="R200" i="2"/>
  <c r="Q200" i="2"/>
  <c r="O200" i="2"/>
  <c r="P200" i="2" s="1"/>
  <c r="T199" i="2"/>
  <c r="R199" i="2"/>
  <c r="S199" i="2" s="1"/>
  <c r="U199" i="2" s="1"/>
  <c r="V199" i="2" s="1"/>
  <c r="Q199" i="2"/>
  <c r="O199" i="2"/>
  <c r="P199" i="2" s="1"/>
  <c r="T198" i="2"/>
  <c r="R198" i="2"/>
  <c r="S198" i="2" s="1"/>
  <c r="U198" i="2" s="1"/>
  <c r="V198" i="2" s="1"/>
  <c r="Q198" i="2"/>
  <c r="P198" i="2"/>
  <c r="O198" i="2"/>
  <c r="T197" i="2"/>
  <c r="S197" i="2"/>
  <c r="R197" i="2"/>
  <c r="Q197" i="2"/>
  <c r="P197" i="2"/>
  <c r="O197" i="2"/>
  <c r="T196" i="2"/>
  <c r="S196" i="2"/>
  <c r="U196" i="2" s="1"/>
  <c r="V196" i="2" s="1"/>
  <c r="R196" i="2"/>
  <c r="Q196" i="2"/>
  <c r="O196" i="2"/>
  <c r="P196" i="2" s="1"/>
  <c r="U195" i="2"/>
  <c r="V195" i="2" s="1"/>
  <c r="T195" i="2"/>
  <c r="S195" i="2"/>
  <c r="R195" i="2"/>
  <c r="Q195" i="2"/>
  <c r="O195" i="2"/>
  <c r="P195" i="2" s="1"/>
  <c r="U194" i="2"/>
  <c r="V194" i="2" s="1"/>
  <c r="T194" i="2"/>
  <c r="S194" i="2"/>
  <c r="R194" i="2"/>
  <c r="Q194" i="2"/>
  <c r="P194" i="2"/>
  <c r="O194" i="2"/>
  <c r="T193" i="2"/>
  <c r="S193" i="2"/>
  <c r="R193" i="2"/>
  <c r="Q193" i="2"/>
  <c r="P193" i="2"/>
  <c r="O193" i="2"/>
  <c r="T192" i="2"/>
  <c r="S192" i="2"/>
  <c r="U192" i="2" s="1"/>
  <c r="V192" i="2" s="1"/>
  <c r="R192" i="2"/>
  <c r="Q192" i="2"/>
  <c r="O192" i="2"/>
  <c r="P192" i="2" s="1"/>
  <c r="T191" i="2"/>
  <c r="Q191" i="2"/>
  <c r="O191" i="2"/>
  <c r="P191" i="2" s="1"/>
  <c r="T190" i="2"/>
  <c r="Q190" i="2"/>
  <c r="P190" i="2"/>
  <c r="O190" i="2"/>
  <c r="T189" i="2"/>
  <c r="Q189" i="2"/>
  <c r="R189" i="2" s="1"/>
  <c r="S189" i="2" s="1"/>
  <c r="U189" i="2" s="1"/>
  <c r="V189" i="2" s="1"/>
  <c r="P189" i="2"/>
  <c r="O189" i="2"/>
  <c r="T188" i="2"/>
  <c r="S188" i="2"/>
  <c r="U188" i="2" s="1"/>
  <c r="V188" i="2" s="1"/>
  <c r="R188" i="2"/>
  <c r="Q188" i="2"/>
  <c r="O188" i="2"/>
  <c r="P188" i="2" s="1"/>
  <c r="T187" i="2"/>
  <c r="R187" i="2"/>
  <c r="Q187" i="2"/>
  <c r="S187" i="2" s="1"/>
  <c r="U187" i="2" s="1"/>
  <c r="V187" i="2" s="1"/>
  <c r="O187" i="2"/>
  <c r="P187" i="2" s="1"/>
  <c r="U186" i="2"/>
  <c r="V186" i="2" s="1"/>
  <c r="T186" i="2"/>
  <c r="S186" i="2"/>
  <c r="Q186" i="2"/>
  <c r="R186" i="2" s="1"/>
  <c r="P186" i="2"/>
  <c r="O186" i="2"/>
  <c r="T185" i="2"/>
  <c r="S185" i="2"/>
  <c r="U185" i="2" s="1"/>
  <c r="V185" i="2" s="1"/>
  <c r="Q185" i="2"/>
  <c r="R185" i="2" s="1"/>
  <c r="P185" i="2"/>
  <c r="O185" i="2"/>
  <c r="T184" i="2"/>
  <c r="S184" i="2"/>
  <c r="U184" i="2" s="1"/>
  <c r="V184" i="2" s="1"/>
  <c r="R184" i="2"/>
  <c r="Q184" i="2"/>
  <c r="O184" i="2"/>
  <c r="P184" i="2" s="1"/>
  <c r="T183" i="2"/>
  <c r="Q183" i="2"/>
  <c r="O183" i="2"/>
  <c r="P183" i="2" s="1"/>
  <c r="U182" i="2"/>
  <c r="V182" i="2" s="1"/>
  <c r="T182" i="2"/>
  <c r="S182" i="2"/>
  <c r="Q182" i="2"/>
  <c r="R182" i="2" s="1"/>
  <c r="P182" i="2"/>
  <c r="O182" i="2"/>
  <c r="T181" i="2"/>
  <c r="S181" i="2"/>
  <c r="U181" i="2" s="1"/>
  <c r="V181" i="2" s="1"/>
  <c r="Q181" i="2"/>
  <c r="R181" i="2" s="1"/>
  <c r="O181" i="2"/>
  <c r="P181" i="2" s="1"/>
  <c r="T180" i="2"/>
  <c r="S180" i="2"/>
  <c r="U180" i="2" s="1"/>
  <c r="V180" i="2" s="1"/>
  <c r="R180" i="2"/>
  <c r="Q180" i="2"/>
  <c r="O180" i="2"/>
  <c r="P180" i="2" s="1"/>
  <c r="T179" i="2"/>
  <c r="R179" i="2"/>
  <c r="Q179" i="2"/>
  <c r="O179" i="2"/>
  <c r="P179" i="2" s="1"/>
  <c r="T178" i="2"/>
  <c r="Q178" i="2"/>
  <c r="P178" i="2"/>
  <c r="O178" i="2"/>
  <c r="T177" i="2"/>
  <c r="S177" i="2"/>
  <c r="U177" i="2" s="1"/>
  <c r="V177" i="2" s="1"/>
  <c r="Q177" i="2"/>
  <c r="R177" i="2" s="1"/>
  <c r="P177" i="2"/>
  <c r="O177" i="2"/>
  <c r="T176" i="2"/>
  <c r="S176" i="2"/>
  <c r="U176" i="2" s="1"/>
  <c r="V176" i="2" s="1"/>
  <c r="R176" i="2"/>
  <c r="Q176" i="2"/>
  <c r="O176" i="2"/>
  <c r="P176" i="2" s="1"/>
  <c r="U175" i="2"/>
  <c r="V175" i="2" s="1"/>
  <c r="T175" i="2"/>
  <c r="S175" i="2"/>
  <c r="R175" i="2"/>
  <c r="Q175" i="2"/>
  <c r="O175" i="2"/>
  <c r="P175" i="2" s="1"/>
  <c r="U174" i="2"/>
  <c r="V174" i="2" s="1"/>
  <c r="T174" i="2"/>
  <c r="S174" i="2"/>
  <c r="Q174" i="2"/>
  <c r="R174" i="2" s="1"/>
  <c r="P174" i="2"/>
  <c r="O174" i="2"/>
  <c r="T173" i="2"/>
  <c r="Q173" i="2"/>
  <c r="R173" i="2" s="1"/>
  <c r="S173" i="2" s="1"/>
  <c r="O173" i="2"/>
  <c r="P173" i="2" s="1"/>
  <c r="T172" i="2"/>
  <c r="S172" i="2"/>
  <c r="U172" i="2" s="1"/>
  <c r="V172" i="2" s="1"/>
  <c r="R172" i="2"/>
  <c r="Q172" i="2"/>
  <c r="O172" i="2"/>
  <c r="P172" i="2" s="1"/>
  <c r="T171" i="2"/>
  <c r="R171" i="2"/>
  <c r="Q171" i="2"/>
  <c r="O171" i="2"/>
  <c r="P171" i="2" s="1"/>
  <c r="T170" i="2"/>
  <c r="Q170" i="2"/>
  <c r="P170" i="2"/>
  <c r="O170" i="2"/>
  <c r="T169" i="2"/>
  <c r="S169" i="2"/>
  <c r="Q169" i="2"/>
  <c r="R169" i="2" s="1"/>
  <c r="P169" i="2"/>
  <c r="O169" i="2"/>
  <c r="T168" i="2"/>
  <c r="R168" i="2"/>
  <c r="S168" i="2" s="1"/>
  <c r="U168" i="2" s="1"/>
  <c r="V168" i="2" s="1"/>
  <c r="Q168" i="2"/>
  <c r="O168" i="2"/>
  <c r="P168" i="2" s="1"/>
  <c r="T167" i="2"/>
  <c r="R167" i="2"/>
  <c r="Q167" i="2"/>
  <c r="O167" i="2"/>
  <c r="P167" i="2" s="1"/>
  <c r="T166" i="2"/>
  <c r="Q166" i="2"/>
  <c r="P166" i="2"/>
  <c r="O166" i="2"/>
  <c r="T165" i="2"/>
  <c r="S165" i="2"/>
  <c r="Q165" i="2"/>
  <c r="R165" i="2" s="1"/>
  <c r="O165" i="2"/>
  <c r="P165" i="2" s="1"/>
  <c r="T164" i="2"/>
  <c r="S164" i="2"/>
  <c r="U164" i="2" s="1"/>
  <c r="V164" i="2" s="1"/>
  <c r="R164" i="2"/>
  <c r="Q164" i="2"/>
  <c r="O164" i="2"/>
  <c r="P164" i="2" s="1"/>
  <c r="T163" i="2"/>
  <c r="R163" i="2"/>
  <c r="Q163" i="2"/>
  <c r="O163" i="2"/>
  <c r="P163" i="2" s="1"/>
  <c r="T162" i="2"/>
  <c r="Q162" i="2"/>
  <c r="P162" i="2"/>
  <c r="O162" i="2"/>
  <c r="U161" i="2"/>
  <c r="V161" i="2" s="1"/>
  <c r="T161" i="2"/>
  <c r="S161" i="2"/>
  <c r="Q161" i="2"/>
  <c r="R161" i="2" s="1"/>
  <c r="P161" i="2"/>
  <c r="O161" i="2"/>
  <c r="T160" i="2"/>
  <c r="U160" i="2" s="1"/>
  <c r="V160" i="2" s="1"/>
  <c r="S160" i="2"/>
  <c r="Q160" i="2"/>
  <c r="R160" i="2" s="1"/>
  <c r="P160" i="2"/>
  <c r="O160" i="2"/>
  <c r="T159" i="2"/>
  <c r="Q159" i="2"/>
  <c r="P159" i="2"/>
  <c r="O159" i="2"/>
  <c r="U158" i="2"/>
  <c r="V158" i="2" s="1"/>
  <c r="T158" i="2"/>
  <c r="S158" i="2"/>
  <c r="Q158" i="2"/>
  <c r="R158" i="2" s="1"/>
  <c r="P158" i="2"/>
  <c r="O158" i="2"/>
  <c r="T157" i="2"/>
  <c r="Q157" i="2"/>
  <c r="P157" i="2"/>
  <c r="O157" i="2"/>
  <c r="T156" i="2"/>
  <c r="Q156" i="2"/>
  <c r="P156" i="2"/>
  <c r="O156" i="2"/>
  <c r="U155" i="2"/>
  <c r="V155" i="2" s="1"/>
  <c r="T155" i="2"/>
  <c r="S155" i="2"/>
  <c r="Q155" i="2"/>
  <c r="R155" i="2" s="1"/>
  <c r="P155" i="2"/>
  <c r="O155" i="2"/>
  <c r="T154" i="2"/>
  <c r="Q154" i="2"/>
  <c r="P154" i="2"/>
  <c r="O154" i="2"/>
  <c r="U153" i="2"/>
  <c r="V153" i="2" s="1"/>
  <c r="T153" i="2"/>
  <c r="S153" i="2"/>
  <c r="Q153" i="2"/>
  <c r="R153" i="2" s="1"/>
  <c r="P153" i="2"/>
  <c r="O153" i="2"/>
  <c r="T152" i="2"/>
  <c r="Q152" i="2"/>
  <c r="P152" i="2"/>
  <c r="O152" i="2"/>
  <c r="T151" i="2"/>
  <c r="Q151" i="2"/>
  <c r="P151" i="2"/>
  <c r="O151" i="2"/>
  <c r="T150" i="2"/>
  <c r="Q150" i="2"/>
  <c r="P150" i="2"/>
  <c r="O150" i="2"/>
  <c r="T149" i="2"/>
  <c r="Q149" i="2"/>
  <c r="P149" i="2"/>
  <c r="O149" i="2"/>
  <c r="T148" i="2"/>
  <c r="U148" i="2" s="1"/>
  <c r="V148" i="2" s="1"/>
  <c r="S148" i="2"/>
  <c r="Q148" i="2"/>
  <c r="R148" i="2" s="1"/>
  <c r="P148" i="2"/>
  <c r="O148" i="2"/>
  <c r="T147" i="2"/>
  <c r="Q147" i="2"/>
  <c r="P147" i="2"/>
  <c r="O147" i="2"/>
  <c r="U146" i="2"/>
  <c r="V146" i="2" s="1"/>
  <c r="T146" i="2"/>
  <c r="S146" i="2"/>
  <c r="Q146" i="2"/>
  <c r="R146" i="2" s="1"/>
  <c r="P146" i="2"/>
  <c r="O146" i="2"/>
  <c r="T145" i="2"/>
  <c r="Q145" i="2"/>
  <c r="P145" i="2"/>
  <c r="O145" i="2"/>
  <c r="T144" i="2"/>
  <c r="Q144" i="2"/>
  <c r="P144" i="2"/>
  <c r="O144" i="2"/>
  <c r="U143" i="2"/>
  <c r="V143" i="2" s="1"/>
  <c r="T143" i="2"/>
  <c r="S143" i="2"/>
  <c r="Q143" i="2"/>
  <c r="R143" i="2" s="1"/>
  <c r="P143" i="2"/>
  <c r="O143" i="2"/>
  <c r="U142" i="2"/>
  <c r="V142" i="2" s="1"/>
  <c r="T142" i="2"/>
  <c r="S142" i="2"/>
  <c r="Q142" i="2"/>
  <c r="R142" i="2" s="1"/>
  <c r="O142" i="2"/>
  <c r="P142" i="2" s="1"/>
  <c r="T141" i="2"/>
  <c r="Q141" i="2"/>
  <c r="P141" i="2"/>
  <c r="O141" i="2"/>
  <c r="T140" i="2"/>
  <c r="Q140" i="2"/>
  <c r="P140" i="2"/>
  <c r="O140" i="2"/>
  <c r="T139" i="2"/>
  <c r="Q139" i="2"/>
  <c r="O139" i="2"/>
  <c r="P139" i="2" s="1"/>
  <c r="T138" i="2"/>
  <c r="Q138" i="2"/>
  <c r="O138" i="2"/>
  <c r="P138" i="2" s="1"/>
  <c r="T137" i="2"/>
  <c r="Q137" i="2"/>
  <c r="P137" i="2"/>
  <c r="O137" i="2"/>
  <c r="T136" i="2"/>
  <c r="Q136" i="2"/>
  <c r="P136" i="2"/>
  <c r="O136" i="2"/>
  <c r="T135" i="2"/>
  <c r="Q135" i="2"/>
  <c r="O135" i="2"/>
  <c r="P135" i="2" s="1"/>
  <c r="T134" i="2"/>
  <c r="Q134" i="2"/>
  <c r="O134" i="2"/>
  <c r="P134" i="2" s="1"/>
  <c r="T133" i="2"/>
  <c r="S133" i="2"/>
  <c r="U133" i="2" s="1"/>
  <c r="V133" i="2" s="1"/>
  <c r="Q133" i="2"/>
  <c r="R133" i="2" s="1"/>
  <c r="P133" i="2"/>
  <c r="O133" i="2"/>
  <c r="T132" i="2"/>
  <c r="S132" i="2"/>
  <c r="U132" i="2" s="1"/>
  <c r="V132" i="2" s="1"/>
  <c r="Q132" i="2"/>
  <c r="R132" i="2" s="1"/>
  <c r="P132" i="2"/>
  <c r="O132" i="2"/>
  <c r="T131" i="2"/>
  <c r="Q131" i="2"/>
  <c r="P131" i="2"/>
  <c r="O131" i="2"/>
  <c r="T130" i="2"/>
  <c r="U130" i="2" s="1"/>
  <c r="V130" i="2" s="1"/>
  <c r="S130" i="2"/>
  <c r="Q130" i="2"/>
  <c r="R130" i="2" s="1"/>
  <c r="O130" i="2"/>
  <c r="P130" i="2" s="1"/>
  <c r="T129" i="2"/>
  <c r="S129" i="2"/>
  <c r="U129" i="2" s="1"/>
  <c r="V129" i="2" s="1"/>
  <c r="Q129" i="2"/>
  <c r="R129" i="2" s="1"/>
  <c r="P129" i="2"/>
  <c r="O129" i="2"/>
  <c r="T128" i="2"/>
  <c r="S128" i="2"/>
  <c r="Q128" i="2"/>
  <c r="R128" i="2" s="1"/>
  <c r="P128" i="2"/>
  <c r="O128" i="2"/>
  <c r="T127" i="2"/>
  <c r="Q127" i="2"/>
  <c r="P127" i="2"/>
  <c r="O127" i="2"/>
  <c r="T126" i="2"/>
  <c r="Q126" i="2"/>
  <c r="P126" i="2"/>
  <c r="O126" i="2"/>
  <c r="T125" i="2"/>
  <c r="Q125" i="2"/>
  <c r="P125" i="2"/>
  <c r="O125" i="2"/>
  <c r="U124" i="2"/>
  <c r="V124" i="2" s="1"/>
  <c r="T124" i="2"/>
  <c r="S124" i="2"/>
  <c r="Q124" i="2"/>
  <c r="R124" i="2" s="1"/>
  <c r="P124" i="2"/>
  <c r="O124" i="2"/>
  <c r="T123" i="2"/>
  <c r="Q123" i="2"/>
  <c r="P123" i="2"/>
  <c r="O123" i="2"/>
  <c r="U122" i="2"/>
  <c r="V122" i="2" s="1"/>
  <c r="T122" i="2"/>
  <c r="S122" i="2"/>
  <c r="Q122" i="2"/>
  <c r="R122" i="2" s="1"/>
  <c r="P122" i="2"/>
  <c r="O122" i="2"/>
  <c r="T121" i="2"/>
  <c r="Q121" i="2"/>
  <c r="P121" i="2"/>
  <c r="O121" i="2"/>
  <c r="T120" i="2"/>
  <c r="Q120" i="2"/>
  <c r="P120" i="2"/>
  <c r="O120" i="2"/>
  <c r="T119" i="2"/>
  <c r="Q119" i="2"/>
  <c r="P119" i="2"/>
  <c r="O119" i="2"/>
  <c r="V118" i="2"/>
  <c r="U118" i="2"/>
  <c r="T118" i="2"/>
  <c r="S118" i="2"/>
  <c r="Q118" i="2"/>
  <c r="R118" i="2" s="1"/>
  <c r="P118" i="2"/>
  <c r="O118" i="2"/>
  <c r="T117" i="2"/>
  <c r="Q117" i="2"/>
  <c r="P117" i="2"/>
  <c r="O117" i="2"/>
  <c r="T116" i="2"/>
  <c r="Q116" i="2"/>
  <c r="P116" i="2"/>
  <c r="O116" i="2"/>
  <c r="T115" i="2"/>
  <c r="Q115" i="2"/>
  <c r="P115" i="2"/>
  <c r="O115" i="2"/>
  <c r="T114" i="2"/>
  <c r="Q114" i="2"/>
  <c r="P114" i="2"/>
  <c r="O114" i="2"/>
  <c r="T113" i="2"/>
  <c r="Q113" i="2"/>
  <c r="P113" i="2"/>
  <c r="O113" i="2"/>
  <c r="T112" i="2"/>
  <c r="Q112" i="2"/>
  <c r="P112" i="2"/>
  <c r="O112" i="2"/>
  <c r="U111" i="2"/>
  <c r="V111" i="2" s="1"/>
  <c r="T111" i="2"/>
  <c r="S111" i="2"/>
  <c r="Q111" i="2"/>
  <c r="R111" i="2" s="1"/>
  <c r="P111" i="2"/>
  <c r="O111" i="2"/>
  <c r="T110" i="2"/>
  <c r="Q110" i="2"/>
  <c r="P110" i="2"/>
  <c r="O110" i="2"/>
  <c r="T109" i="2"/>
  <c r="Q109" i="2"/>
  <c r="P109" i="2"/>
  <c r="O109" i="2"/>
  <c r="T108" i="2"/>
  <c r="Q108" i="2"/>
  <c r="P108" i="2"/>
  <c r="O108" i="2"/>
  <c r="T107" i="2"/>
  <c r="Q107" i="2"/>
  <c r="P107" i="2"/>
  <c r="O107" i="2"/>
  <c r="T106" i="2"/>
  <c r="Q106" i="2"/>
  <c r="P106" i="2"/>
  <c r="O106" i="2"/>
  <c r="T105" i="2"/>
  <c r="Q105" i="2"/>
  <c r="P105" i="2"/>
  <c r="O105" i="2"/>
  <c r="T104" i="2"/>
  <c r="Q104" i="2"/>
  <c r="P104" i="2"/>
  <c r="O104" i="2"/>
  <c r="T103" i="2"/>
  <c r="Q103" i="2"/>
  <c r="P103" i="2"/>
  <c r="O103" i="2"/>
  <c r="T102" i="2"/>
  <c r="Q102" i="2"/>
  <c r="P102" i="2"/>
  <c r="O102" i="2"/>
  <c r="T101" i="2"/>
  <c r="Q101" i="2"/>
  <c r="P101" i="2"/>
  <c r="O101" i="2"/>
  <c r="T100" i="2"/>
  <c r="Q100" i="2"/>
  <c r="P100" i="2"/>
  <c r="O100" i="2"/>
  <c r="T99" i="2"/>
  <c r="Q99" i="2"/>
  <c r="P99" i="2"/>
  <c r="O99" i="2"/>
  <c r="T98" i="2"/>
  <c r="Q98" i="2"/>
  <c r="P98" i="2"/>
  <c r="O98" i="2"/>
  <c r="T97" i="2"/>
  <c r="Q97" i="2"/>
  <c r="P97" i="2"/>
  <c r="O97" i="2"/>
  <c r="T96" i="2"/>
  <c r="Q96" i="2"/>
  <c r="P96" i="2"/>
  <c r="O96" i="2"/>
  <c r="T95" i="2"/>
  <c r="Q95" i="2"/>
  <c r="P95" i="2"/>
  <c r="O95" i="2"/>
  <c r="U94" i="2"/>
  <c r="V94" i="2" s="1"/>
  <c r="T94" i="2"/>
  <c r="S94" i="2"/>
  <c r="Q94" i="2"/>
  <c r="R94" i="2" s="1"/>
  <c r="P94" i="2"/>
  <c r="O94" i="2"/>
  <c r="T93" i="2"/>
  <c r="Q93" i="2"/>
  <c r="P93" i="2"/>
  <c r="O93" i="2"/>
  <c r="U92" i="2"/>
  <c r="V92" i="2" s="1"/>
  <c r="T92" i="2"/>
  <c r="S92" i="2"/>
  <c r="Q92" i="2"/>
  <c r="R92" i="2" s="1"/>
  <c r="P92" i="2"/>
  <c r="O92" i="2"/>
  <c r="T91" i="2"/>
  <c r="Q91" i="2"/>
  <c r="P91" i="2"/>
  <c r="O91" i="2"/>
  <c r="U90" i="2"/>
  <c r="V90" i="2" s="1"/>
  <c r="T90" i="2"/>
  <c r="S90" i="2"/>
  <c r="Q90" i="2"/>
  <c r="R90" i="2" s="1"/>
  <c r="P90" i="2"/>
  <c r="O90" i="2"/>
  <c r="T89" i="2"/>
  <c r="Q89" i="2"/>
  <c r="P89" i="2"/>
  <c r="O89" i="2"/>
  <c r="V88" i="2"/>
  <c r="U88" i="2"/>
  <c r="T88" i="2"/>
  <c r="S88" i="2"/>
  <c r="Q88" i="2"/>
  <c r="R88" i="2" s="1"/>
  <c r="P88" i="2"/>
  <c r="O88" i="2"/>
  <c r="T87" i="2"/>
  <c r="Q87" i="2"/>
  <c r="P87" i="2"/>
  <c r="O87" i="2"/>
  <c r="T86" i="2"/>
  <c r="Q86" i="2"/>
  <c r="P86" i="2"/>
  <c r="O86" i="2"/>
  <c r="T85" i="2"/>
  <c r="Q85" i="2"/>
  <c r="P85" i="2"/>
  <c r="O85" i="2"/>
  <c r="U84" i="2"/>
  <c r="V84" i="2" s="1"/>
  <c r="T84" i="2"/>
  <c r="S84" i="2"/>
  <c r="Q84" i="2"/>
  <c r="R84" i="2" s="1"/>
  <c r="P84" i="2"/>
  <c r="O84" i="2"/>
  <c r="T83" i="2"/>
  <c r="Q83" i="2"/>
  <c r="P83" i="2"/>
  <c r="O83" i="2"/>
  <c r="T82" i="2"/>
  <c r="Q82" i="2"/>
  <c r="P82" i="2"/>
  <c r="O82" i="2"/>
  <c r="T81" i="2"/>
  <c r="Q81" i="2"/>
  <c r="P81" i="2"/>
  <c r="O81" i="2"/>
  <c r="T80" i="2"/>
  <c r="Q80" i="2"/>
  <c r="P80" i="2"/>
  <c r="O80" i="2"/>
  <c r="V79" i="2"/>
  <c r="U79" i="2"/>
  <c r="T79" i="2"/>
  <c r="S79" i="2"/>
  <c r="Q79" i="2"/>
  <c r="R79" i="2" s="1"/>
  <c r="P79" i="2"/>
  <c r="O79" i="2"/>
  <c r="V78" i="2"/>
  <c r="U78" i="2"/>
  <c r="T78" i="2"/>
  <c r="S78" i="2"/>
  <c r="Q78" i="2"/>
  <c r="R78" i="2" s="1"/>
  <c r="P78" i="2"/>
  <c r="O78" i="2"/>
  <c r="U77" i="2"/>
  <c r="V77" i="2" s="1"/>
  <c r="T77" i="2"/>
  <c r="S77" i="2"/>
  <c r="Q77" i="2"/>
  <c r="R77" i="2" s="1"/>
  <c r="P77" i="2"/>
  <c r="O77" i="2"/>
  <c r="V76" i="2"/>
  <c r="U76" i="2"/>
  <c r="T76" i="2"/>
  <c r="S76" i="2"/>
  <c r="Q76" i="2"/>
  <c r="R76" i="2" s="1"/>
  <c r="P76" i="2"/>
  <c r="O76" i="2"/>
  <c r="T75" i="2"/>
  <c r="Q75" i="2"/>
  <c r="P75" i="2"/>
  <c r="O75" i="2"/>
  <c r="T74" i="2"/>
  <c r="Q74" i="2"/>
  <c r="P74" i="2"/>
  <c r="O74" i="2"/>
  <c r="T73" i="2"/>
  <c r="Q73" i="2"/>
  <c r="P73" i="2"/>
  <c r="O73" i="2"/>
  <c r="T72" i="2"/>
  <c r="Q72" i="2"/>
  <c r="P72" i="2"/>
  <c r="O72" i="2"/>
  <c r="T71" i="2"/>
  <c r="Q71" i="2"/>
  <c r="P71" i="2"/>
  <c r="O71" i="2"/>
  <c r="T70" i="2"/>
  <c r="Q70" i="2"/>
  <c r="P70" i="2"/>
  <c r="O70" i="2"/>
  <c r="V69" i="2"/>
  <c r="U69" i="2"/>
  <c r="T69" i="2"/>
  <c r="S69" i="2"/>
  <c r="Q69" i="2"/>
  <c r="R69" i="2" s="1"/>
  <c r="P69" i="2"/>
  <c r="O69" i="2"/>
  <c r="T68" i="2"/>
  <c r="Q68" i="2"/>
  <c r="P68" i="2"/>
  <c r="O68" i="2"/>
  <c r="T67" i="2"/>
  <c r="Q67" i="2"/>
  <c r="P67" i="2"/>
  <c r="O67" i="2"/>
  <c r="T66" i="2"/>
  <c r="Q66" i="2"/>
  <c r="P66" i="2"/>
  <c r="O66" i="2"/>
  <c r="U65" i="2"/>
  <c r="V65" i="2" s="1"/>
  <c r="T65" i="2"/>
  <c r="S65" i="2"/>
  <c r="Q65" i="2"/>
  <c r="R65" i="2" s="1"/>
  <c r="P65" i="2"/>
  <c r="O65" i="2"/>
  <c r="T64" i="2"/>
  <c r="Q64" i="2"/>
  <c r="P64" i="2"/>
  <c r="O64" i="2"/>
  <c r="T63" i="2"/>
  <c r="Q63" i="2"/>
  <c r="P63" i="2"/>
  <c r="O63" i="2"/>
  <c r="T62" i="2"/>
  <c r="Q62" i="2"/>
  <c r="P62" i="2"/>
  <c r="O62" i="2"/>
  <c r="T61" i="2"/>
  <c r="Q61" i="2"/>
  <c r="P61" i="2"/>
  <c r="O61" i="2"/>
  <c r="V60" i="2"/>
  <c r="U60" i="2"/>
  <c r="T60" i="2"/>
  <c r="S60" i="2"/>
  <c r="Q60" i="2"/>
  <c r="R60" i="2" s="1"/>
  <c r="P60" i="2"/>
  <c r="O60" i="2"/>
  <c r="T59" i="2"/>
  <c r="Q59" i="2"/>
  <c r="P59" i="2"/>
  <c r="O59" i="2"/>
  <c r="V58" i="2"/>
  <c r="U58" i="2"/>
  <c r="T58" i="2"/>
  <c r="S58" i="2"/>
  <c r="Q58" i="2"/>
  <c r="R58" i="2" s="1"/>
  <c r="P58" i="2"/>
  <c r="O58" i="2"/>
  <c r="V57" i="2"/>
  <c r="U57" i="2"/>
  <c r="T57" i="2"/>
  <c r="S57" i="2"/>
  <c r="Q57" i="2"/>
  <c r="R57" i="2" s="1"/>
  <c r="P57" i="2"/>
  <c r="O57" i="2"/>
  <c r="T56" i="2"/>
  <c r="Q56" i="2"/>
  <c r="P56" i="2"/>
  <c r="O56" i="2"/>
  <c r="T55" i="2"/>
  <c r="U55" i="2" s="1"/>
  <c r="V55" i="2" s="1"/>
  <c r="S55" i="2"/>
  <c r="Q55" i="2"/>
  <c r="R55" i="2" s="1"/>
  <c r="P55" i="2"/>
  <c r="O55" i="2"/>
  <c r="T54" i="2"/>
  <c r="U54" i="2" s="1"/>
  <c r="V54" i="2" s="1"/>
  <c r="S54" i="2"/>
  <c r="Q54" i="2"/>
  <c r="R54" i="2" s="1"/>
  <c r="P54" i="2"/>
  <c r="O54" i="2"/>
  <c r="T53" i="2"/>
  <c r="Q53" i="2"/>
  <c r="P53" i="2"/>
  <c r="O53" i="2"/>
  <c r="T52" i="2"/>
  <c r="Q52" i="2"/>
  <c r="P52" i="2"/>
  <c r="O52" i="2"/>
  <c r="U51" i="2"/>
  <c r="V51" i="2" s="1"/>
  <c r="T51" i="2"/>
  <c r="S51" i="2"/>
  <c r="Q51" i="2"/>
  <c r="R51" i="2" s="1"/>
  <c r="P51" i="2"/>
  <c r="O51" i="2"/>
  <c r="T50" i="2"/>
  <c r="Q50" i="2"/>
  <c r="P50" i="2"/>
  <c r="O50" i="2"/>
  <c r="T49" i="2"/>
  <c r="U49" i="2" s="1"/>
  <c r="V49" i="2" s="1"/>
  <c r="S49" i="2"/>
  <c r="Q49" i="2"/>
  <c r="R49" i="2" s="1"/>
  <c r="P49" i="2"/>
  <c r="O49" i="2"/>
  <c r="T48" i="2"/>
  <c r="Q48" i="2"/>
  <c r="P48" i="2"/>
  <c r="O48" i="2"/>
  <c r="T47" i="2"/>
  <c r="Q47" i="2"/>
  <c r="P47" i="2"/>
  <c r="O47" i="2"/>
  <c r="U46" i="2"/>
  <c r="V46" i="2" s="1"/>
  <c r="T46" i="2"/>
  <c r="S46" i="2"/>
  <c r="Q46" i="2"/>
  <c r="R46" i="2" s="1"/>
  <c r="P46" i="2"/>
  <c r="O46" i="2"/>
  <c r="T45" i="2"/>
  <c r="U45" i="2" s="1"/>
  <c r="V45" i="2" s="1"/>
  <c r="S45" i="2"/>
  <c r="Q45" i="2"/>
  <c r="R45" i="2" s="1"/>
  <c r="P45" i="2"/>
  <c r="O45" i="2"/>
  <c r="T44" i="2"/>
  <c r="U44" i="2" s="1"/>
  <c r="V44" i="2" s="1"/>
  <c r="S44" i="2"/>
  <c r="Q44" i="2"/>
  <c r="R44" i="2" s="1"/>
  <c r="P44" i="2"/>
  <c r="O44" i="2"/>
  <c r="T43" i="2"/>
  <c r="U43" i="2" s="1"/>
  <c r="V43" i="2" s="1"/>
  <c r="S43" i="2"/>
  <c r="Q43" i="2"/>
  <c r="R43" i="2" s="1"/>
  <c r="P43" i="2"/>
  <c r="O43" i="2"/>
  <c r="T42" i="2"/>
  <c r="Q42" i="2"/>
  <c r="P42" i="2"/>
  <c r="O42" i="2"/>
  <c r="T41" i="2"/>
  <c r="Q41" i="2"/>
  <c r="P41" i="2"/>
  <c r="O41" i="2"/>
  <c r="U40" i="2"/>
  <c r="V40" i="2" s="1"/>
  <c r="T40" i="2"/>
  <c r="S40" i="2"/>
  <c r="Q40" i="2"/>
  <c r="R40" i="2" s="1"/>
  <c r="P40" i="2"/>
  <c r="O40" i="2"/>
  <c r="T39" i="2"/>
  <c r="U39" i="2" s="1"/>
  <c r="V39" i="2" s="1"/>
  <c r="S39" i="2"/>
  <c r="Q39" i="2"/>
  <c r="R39" i="2" s="1"/>
  <c r="P39" i="2"/>
  <c r="O39" i="2"/>
  <c r="T38" i="2"/>
  <c r="Q38" i="2"/>
  <c r="P38" i="2"/>
  <c r="O38" i="2"/>
  <c r="V37" i="2"/>
  <c r="U37" i="2"/>
  <c r="T37" i="2"/>
  <c r="S37" i="2"/>
  <c r="Q37" i="2"/>
  <c r="R37" i="2" s="1"/>
  <c r="P37" i="2"/>
  <c r="O37" i="2"/>
  <c r="T36" i="2"/>
  <c r="Q36" i="2"/>
  <c r="P36" i="2"/>
  <c r="O36" i="2"/>
  <c r="T35" i="2"/>
  <c r="Q35" i="2"/>
  <c r="P35" i="2"/>
  <c r="O35" i="2"/>
  <c r="T34" i="2"/>
  <c r="Q34" i="2"/>
  <c r="P34" i="2"/>
  <c r="O34" i="2"/>
  <c r="T33" i="2"/>
  <c r="Q33" i="2"/>
  <c r="P33" i="2"/>
  <c r="O33" i="2"/>
  <c r="T32" i="2"/>
  <c r="Q32" i="2"/>
  <c r="P32" i="2"/>
  <c r="O32" i="2"/>
  <c r="T31" i="2"/>
  <c r="U31" i="2" s="1"/>
  <c r="V31" i="2" s="1"/>
  <c r="S31" i="2"/>
  <c r="Q31" i="2"/>
  <c r="R31" i="2" s="1"/>
  <c r="P31" i="2"/>
  <c r="O31" i="2"/>
  <c r="U30" i="2"/>
  <c r="V30" i="2" s="1"/>
  <c r="T30" i="2"/>
  <c r="S30" i="2"/>
  <c r="Q30" i="2"/>
  <c r="R30" i="2" s="1"/>
  <c r="P30" i="2"/>
  <c r="O30" i="2"/>
  <c r="T29" i="2"/>
  <c r="U29" i="2" s="1"/>
  <c r="V29" i="2" s="1"/>
  <c r="S29" i="2"/>
  <c r="Q29" i="2"/>
  <c r="R29" i="2" s="1"/>
  <c r="P29" i="2"/>
  <c r="O29" i="2"/>
  <c r="T28" i="2"/>
  <c r="U28" i="2" s="1"/>
  <c r="V28" i="2" s="1"/>
  <c r="S28" i="2"/>
  <c r="Q28" i="2"/>
  <c r="R28" i="2" s="1"/>
  <c r="P28" i="2"/>
  <c r="O28" i="2"/>
  <c r="T27" i="2"/>
  <c r="Q27" i="2"/>
  <c r="P27" i="2"/>
  <c r="O27" i="2"/>
  <c r="T26" i="2"/>
  <c r="Q26" i="2"/>
  <c r="O26" i="2"/>
  <c r="P26" i="2" s="1"/>
  <c r="T25" i="2"/>
  <c r="Q25" i="2"/>
  <c r="P25" i="2"/>
  <c r="O25" i="2"/>
  <c r="T24" i="2"/>
  <c r="Q24" i="2"/>
  <c r="P24" i="2"/>
  <c r="O24" i="2"/>
  <c r="T23" i="2"/>
  <c r="U23" i="2" s="1"/>
  <c r="V23" i="2" s="1"/>
  <c r="S23" i="2"/>
  <c r="Q23" i="2"/>
  <c r="R23" i="2" s="1"/>
  <c r="O23" i="2"/>
  <c r="P23" i="2" s="1"/>
  <c r="T22" i="2"/>
  <c r="Q22" i="2"/>
  <c r="O22" i="2"/>
  <c r="P22" i="2" s="1"/>
  <c r="T21" i="2"/>
  <c r="Q21" i="2"/>
  <c r="O21" i="2"/>
  <c r="P21" i="2" s="1"/>
  <c r="T20" i="2"/>
  <c r="Q20" i="2"/>
  <c r="P20" i="2"/>
  <c r="O20" i="2"/>
  <c r="T19" i="2"/>
  <c r="U19" i="2" s="1"/>
  <c r="V19" i="2" s="1"/>
  <c r="S19" i="2"/>
  <c r="Q19" i="2"/>
  <c r="R19" i="2" s="1"/>
  <c r="P19" i="2"/>
  <c r="O19" i="2"/>
  <c r="T18" i="2"/>
  <c r="Q18" i="2"/>
  <c r="P18" i="2"/>
  <c r="O18" i="2"/>
  <c r="T17" i="2"/>
  <c r="Q17" i="2"/>
  <c r="O17" i="2"/>
  <c r="P17" i="2" s="1"/>
  <c r="T16" i="2"/>
  <c r="Q16" i="2"/>
  <c r="P16" i="2"/>
  <c r="O16" i="2"/>
  <c r="T15" i="2"/>
  <c r="Q15" i="2"/>
  <c r="R15" i="2" s="1"/>
  <c r="P15" i="2"/>
  <c r="O15" i="2"/>
  <c r="T14" i="2"/>
  <c r="S14" i="2"/>
  <c r="U14" i="2" s="1"/>
  <c r="V14" i="2" s="1"/>
  <c r="Q14" i="2"/>
  <c r="R14" i="2" s="1"/>
  <c r="P14" i="2"/>
  <c r="O14" i="2"/>
  <c r="T13" i="2"/>
  <c r="S13" i="2"/>
  <c r="U13" i="2" s="1"/>
  <c r="V13" i="2" s="1"/>
  <c r="Q13" i="2"/>
  <c r="R13" i="2" s="1"/>
  <c r="O13" i="2"/>
  <c r="P13" i="2" s="1"/>
  <c r="T12" i="2"/>
  <c r="Q12" i="2"/>
  <c r="R12" i="2" s="1"/>
  <c r="P12" i="2"/>
  <c r="O12" i="2"/>
  <c r="V11" i="2"/>
  <c r="U11" i="2"/>
  <c r="T11" i="2"/>
  <c r="S11" i="2"/>
  <c r="Q11" i="2"/>
  <c r="R11" i="2" s="1"/>
  <c r="O11" i="2"/>
  <c r="P11" i="2" s="1"/>
  <c r="U10" i="2"/>
  <c r="V10" i="2" s="1"/>
  <c r="T10" i="2"/>
  <c r="S10" i="2"/>
  <c r="Q10" i="2"/>
  <c r="R10" i="2" s="1"/>
  <c r="O10" i="2"/>
  <c r="P10" i="2" s="1"/>
  <c r="T9" i="2"/>
  <c r="S9" i="2"/>
  <c r="U9" i="2" s="1"/>
  <c r="V9" i="2" s="1"/>
  <c r="Q9" i="2"/>
  <c r="R9" i="2" s="1"/>
  <c r="O9" i="2"/>
  <c r="P9" i="2" s="1"/>
  <c r="U8" i="2"/>
  <c r="V8" i="2" s="1"/>
  <c r="T8" i="2"/>
  <c r="S8" i="2"/>
  <c r="Q8" i="2"/>
  <c r="R8" i="2" s="1"/>
  <c r="P8" i="2"/>
  <c r="O8" i="2"/>
  <c r="T7" i="2"/>
  <c r="Q7" i="2"/>
  <c r="R7" i="2" s="1"/>
  <c r="O7" i="2"/>
  <c r="P7" i="2" s="1"/>
  <c r="T6" i="2"/>
  <c r="S6" i="2"/>
  <c r="U6" i="2" s="1"/>
  <c r="V6" i="2" s="1"/>
  <c r="Q6" i="2"/>
  <c r="R6" i="2" s="1"/>
  <c r="P6" i="2"/>
  <c r="O6" i="2"/>
  <c r="T5" i="2"/>
  <c r="Q5" i="2"/>
  <c r="R5" i="2" s="1"/>
  <c r="O5" i="2"/>
  <c r="P5" i="2" s="1"/>
  <c r="T4" i="2"/>
  <c r="Q4" i="2"/>
  <c r="R4" i="2" s="1"/>
  <c r="P4" i="2"/>
  <c r="O4" i="2"/>
  <c r="T3" i="2"/>
  <c r="Q3" i="2"/>
  <c r="R3" i="2" s="1"/>
  <c r="O3" i="2"/>
  <c r="P3" i="2" s="1"/>
  <c r="U2" i="2"/>
  <c r="T2" i="2"/>
  <c r="S2" i="2"/>
  <c r="Q2" i="2"/>
  <c r="R2" i="2" s="1"/>
  <c r="O2" i="2"/>
  <c r="S106" i="2" l="1"/>
  <c r="U106" i="2" s="1"/>
  <c r="V106" i="2" s="1"/>
  <c r="R106" i="2"/>
  <c r="R190" i="2"/>
  <c r="S190" i="2" s="1"/>
  <c r="U190" i="2" s="1"/>
  <c r="V190" i="2" s="1"/>
  <c r="S27" i="2"/>
  <c r="U27" i="2" s="1"/>
  <c r="V27" i="2" s="1"/>
  <c r="R27" i="2"/>
  <c r="S123" i="2"/>
  <c r="U123" i="2" s="1"/>
  <c r="V123" i="2" s="1"/>
  <c r="R123" i="2"/>
  <c r="S20" i="2"/>
  <c r="U20" i="2" s="1"/>
  <c r="V20" i="2" s="1"/>
  <c r="R20" i="2"/>
  <c r="V2" i="2"/>
  <c r="S7" i="2"/>
  <c r="U7" i="2" s="1"/>
  <c r="V7" i="2" s="1"/>
  <c r="S15" i="2"/>
  <c r="U15" i="2" s="1"/>
  <c r="V15" i="2" s="1"/>
  <c r="S24" i="2"/>
  <c r="U24" i="2" s="1"/>
  <c r="V24" i="2" s="1"/>
  <c r="R24" i="2"/>
  <c r="R34" i="2"/>
  <c r="S34" i="2" s="1"/>
  <c r="U34" i="2" s="1"/>
  <c r="V34" i="2" s="1"/>
  <c r="R50" i="2"/>
  <c r="S50" i="2" s="1"/>
  <c r="U50" i="2" s="1"/>
  <c r="V50" i="2" s="1"/>
  <c r="S61" i="2"/>
  <c r="U61" i="2" s="1"/>
  <c r="V61" i="2" s="1"/>
  <c r="R61" i="2"/>
  <c r="S70" i="2"/>
  <c r="U70" i="2" s="1"/>
  <c r="V70" i="2" s="1"/>
  <c r="R70" i="2"/>
  <c r="R74" i="2"/>
  <c r="S74" i="2" s="1"/>
  <c r="U74" i="2" s="1"/>
  <c r="V74" i="2" s="1"/>
  <c r="R80" i="2"/>
  <c r="S80" i="2" s="1"/>
  <c r="U80" i="2" s="1"/>
  <c r="V80" i="2" s="1"/>
  <c r="S89" i="2"/>
  <c r="U89" i="2" s="1"/>
  <c r="V89" i="2" s="1"/>
  <c r="R89" i="2"/>
  <c r="S115" i="2"/>
  <c r="U115" i="2" s="1"/>
  <c r="V115" i="2" s="1"/>
  <c r="R115" i="2"/>
  <c r="U128" i="2"/>
  <c r="V128" i="2" s="1"/>
  <c r="S141" i="2"/>
  <c r="U141" i="2" s="1"/>
  <c r="V141" i="2" s="1"/>
  <c r="R141" i="2"/>
  <c r="S73" i="2"/>
  <c r="U73" i="2" s="1"/>
  <c r="V73" i="2" s="1"/>
  <c r="R73" i="2"/>
  <c r="R93" i="2"/>
  <c r="S93" i="2" s="1"/>
  <c r="U93" i="2" s="1"/>
  <c r="V93" i="2" s="1"/>
  <c r="P2" i="2"/>
  <c r="R42" i="2"/>
  <c r="S42" i="2" s="1"/>
  <c r="U42" i="2" s="1"/>
  <c r="V42" i="2" s="1"/>
  <c r="R48" i="2"/>
  <c r="S48" i="2" s="1"/>
  <c r="U48" i="2" s="1"/>
  <c r="V48" i="2" s="1"/>
  <c r="S53" i="2"/>
  <c r="U53" i="2" s="1"/>
  <c r="V53" i="2" s="1"/>
  <c r="R53" i="2"/>
  <c r="S59" i="2"/>
  <c r="U59" i="2" s="1"/>
  <c r="V59" i="2" s="1"/>
  <c r="R59" i="2"/>
  <c r="R68" i="2"/>
  <c r="S68" i="2" s="1"/>
  <c r="U68" i="2" s="1"/>
  <c r="V68" i="2" s="1"/>
  <c r="R87" i="2"/>
  <c r="S87" i="2" s="1"/>
  <c r="U87" i="2" s="1"/>
  <c r="V87" i="2" s="1"/>
  <c r="S97" i="2"/>
  <c r="U97" i="2" s="1"/>
  <c r="V97" i="2" s="1"/>
  <c r="R97" i="2"/>
  <c r="S101" i="2"/>
  <c r="U101" i="2" s="1"/>
  <c r="V101" i="2" s="1"/>
  <c r="R101" i="2"/>
  <c r="R105" i="2"/>
  <c r="S105" i="2" s="1"/>
  <c r="U105" i="2" s="1"/>
  <c r="V105" i="2" s="1"/>
  <c r="R109" i="2"/>
  <c r="S109" i="2" s="1"/>
  <c r="U109" i="2" s="1"/>
  <c r="V109" i="2" s="1"/>
  <c r="R127" i="2"/>
  <c r="S127" i="2" s="1"/>
  <c r="U127" i="2" s="1"/>
  <c r="V127" i="2" s="1"/>
  <c r="S136" i="2"/>
  <c r="U136" i="2" s="1"/>
  <c r="V136" i="2" s="1"/>
  <c r="R136" i="2"/>
  <c r="R38" i="2"/>
  <c r="S38" i="2" s="1"/>
  <c r="U38" i="2" s="1"/>
  <c r="V38" i="2" s="1"/>
  <c r="R98" i="2"/>
  <c r="S98" i="2" s="1"/>
  <c r="U98" i="2" s="1"/>
  <c r="V98" i="2" s="1"/>
  <c r="S4" i="2"/>
  <c r="U4" i="2" s="1"/>
  <c r="V4" i="2" s="1"/>
  <c r="S3" i="2"/>
  <c r="U3" i="2" s="1"/>
  <c r="V3" i="2" s="1"/>
  <c r="S17" i="2"/>
  <c r="U17" i="2" s="1"/>
  <c r="V17" i="2" s="1"/>
  <c r="R17" i="2"/>
  <c r="S26" i="2"/>
  <c r="U26" i="2" s="1"/>
  <c r="V26" i="2" s="1"/>
  <c r="R26" i="2"/>
  <c r="S32" i="2"/>
  <c r="U32" i="2" s="1"/>
  <c r="V32" i="2" s="1"/>
  <c r="R32" i="2"/>
  <c r="R36" i="2"/>
  <c r="S36" i="2" s="1"/>
  <c r="U36" i="2" s="1"/>
  <c r="V36" i="2" s="1"/>
  <c r="S63" i="2"/>
  <c r="U63" i="2" s="1"/>
  <c r="V63" i="2" s="1"/>
  <c r="R63" i="2"/>
  <c r="S72" i="2"/>
  <c r="U72" i="2" s="1"/>
  <c r="V72" i="2" s="1"/>
  <c r="R72" i="2"/>
  <c r="S82" i="2"/>
  <c r="U82" i="2" s="1"/>
  <c r="V82" i="2" s="1"/>
  <c r="R82" i="2"/>
  <c r="R113" i="2"/>
  <c r="S113" i="2" s="1"/>
  <c r="U113" i="2" s="1"/>
  <c r="V113" i="2" s="1"/>
  <c r="S117" i="2"/>
  <c r="U117" i="2" s="1"/>
  <c r="V117" i="2" s="1"/>
  <c r="R117" i="2"/>
  <c r="S64" i="2"/>
  <c r="U64" i="2" s="1"/>
  <c r="V64" i="2" s="1"/>
  <c r="R64" i="2"/>
  <c r="S83" i="2"/>
  <c r="U83" i="2" s="1"/>
  <c r="V83" i="2" s="1"/>
  <c r="R83" i="2"/>
  <c r="S21" i="2"/>
  <c r="U21" i="2" s="1"/>
  <c r="V21" i="2" s="1"/>
  <c r="R21" i="2"/>
  <c r="R41" i="2"/>
  <c r="S41" i="2" s="1"/>
  <c r="U41" i="2" s="1"/>
  <c r="V41" i="2" s="1"/>
  <c r="R47" i="2"/>
  <c r="S47" i="2" s="1"/>
  <c r="R52" i="2"/>
  <c r="S52" i="2" s="1"/>
  <c r="U52" i="2" s="1"/>
  <c r="V52" i="2" s="1"/>
  <c r="S67" i="2"/>
  <c r="U67" i="2" s="1"/>
  <c r="V67" i="2" s="1"/>
  <c r="R67" i="2"/>
  <c r="R86" i="2"/>
  <c r="S86" i="2" s="1"/>
  <c r="U86" i="2" s="1"/>
  <c r="V86" i="2" s="1"/>
  <c r="R91" i="2"/>
  <c r="S91" i="2" s="1"/>
  <c r="U91" i="2" s="1"/>
  <c r="V91" i="2" s="1"/>
  <c r="R96" i="2"/>
  <c r="S96" i="2" s="1"/>
  <c r="U96" i="2" s="1"/>
  <c r="V96" i="2" s="1"/>
  <c r="S100" i="2"/>
  <c r="U100" i="2" s="1"/>
  <c r="V100" i="2" s="1"/>
  <c r="R100" i="2"/>
  <c r="R104" i="2"/>
  <c r="S104" i="2" s="1"/>
  <c r="U104" i="2" s="1"/>
  <c r="V104" i="2" s="1"/>
  <c r="R108" i="2"/>
  <c r="S108" i="2" s="1"/>
  <c r="U108" i="2" s="1"/>
  <c r="V108" i="2" s="1"/>
  <c r="R121" i="2"/>
  <c r="S121" i="2" s="1"/>
  <c r="U121" i="2" s="1"/>
  <c r="V121" i="2" s="1"/>
  <c r="S126" i="2"/>
  <c r="U126" i="2" s="1"/>
  <c r="V126" i="2" s="1"/>
  <c r="R126" i="2"/>
  <c r="S179" i="2"/>
  <c r="U179" i="2" s="1"/>
  <c r="V179" i="2" s="1"/>
  <c r="S110" i="2"/>
  <c r="U110" i="2" s="1"/>
  <c r="V110" i="2" s="1"/>
  <c r="R110" i="2"/>
  <c r="S119" i="2"/>
  <c r="U119" i="2" s="1"/>
  <c r="V119" i="2" s="1"/>
  <c r="R119" i="2"/>
  <c r="S5" i="2"/>
  <c r="U5" i="2" s="1"/>
  <c r="V5" i="2" s="1"/>
  <c r="S18" i="2"/>
  <c r="U18" i="2" s="1"/>
  <c r="V18" i="2" s="1"/>
  <c r="R18" i="2"/>
  <c r="B11" i="4" s="1"/>
  <c r="R33" i="2"/>
  <c r="S33" i="2" s="1"/>
  <c r="R114" i="2"/>
  <c r="S114" i="2" s="1"/>
  <c r="S12" i="2"/>
  <c r="U12" i="2" s="1"/>
  <c r="V12" i="2" s="1"/>
  <c r="R22" i="2"/>
  <c r="S22" i="2" s="1"/>
  <c r="S16" i="2"/>
  <c r="U16" i="2" s="1"/>
  <c r="V16" i="2" s="1"/>
  <c r="R16" i="2"/>
  <c r="S25" i="2"/>
  <c r="U25" i="2" s="1"/>
  <c r="V25" i="2" s="1"/>
  <c r="R25" i="2"/>
  <c r="S35" i="2"/>
  <c r="U35" i="2" s="1"/>
  <c r="V35" i="2" s="1"/>
  <c r="R35" i="2"/>
  <c r="R62" i="2"/>
  <c r="S62" i="2" s="1"/>
  <c r="U62" i="2" s="1"/>
  <c r="V62" i="2" s="1"/>
  <c r="S71" i="2"/>
  <c r="U71" i="2" s="1"/>
  <c r="V71" i="2" s="1"/>
  <c r="R71" i="2"/>
  <c r="S75" i="2"/>
  <c r="U75" i="2" s="1"/>
  <c r="V75" i="2" s="1"/>
  <c r="R75" i="2"/>
  <c r="S81" i="2"/>
  <c r="U81" i="2" s="1"/>
  <c r="V81" i="2" s="1"/>
  <c r="R81" i="2"/>
  <c r="R112" i="2"/>
  <c r="S112" i="2" s="1"/>
  <c r="U112" i="2" s="1"/>
  <c r="V112" i="2" s="1"/>
  <c r="S116" i="2"/>
  <c r="U116" i="2" s="1"/>
  <c r="V116" i="2" s="1"/>
  <c r="R116" i="2"/>
  <c r="R131" i="2"/>
  <c r="S131" i="2" s="1"/>
  <c r="U131" i="2" s="1"/>
  <c r="V131" i="2" s="1"/>
  <c r="S102" i="2"/>
  <c r="U102" i="2" s="1"/>
  <c r="V102" i="2" s="1"/>
  <c r="R102" i="2"/>
  <c r="R56" i="2"/>
  <c r="S56" i="2" s="1"/>
  <c r="U56" i="2" s="1"/>
  <c r="V56" i="2" s="1"/>
  <c r="S66" i="2"/>
  <c r="U66" i="2" s="1"/>
  <c r="V66" i="2" s="1"/>
  <c r="R66" i="2"/>
  <c r="S85" i="2"/>
  <c r="U85" i="2" s="1"/>
  <c r="V85" i="2" s="1"/>
  <c r="R85" i="2"/>
  <c r="S95" i="2"/>
  <c r="U95" i="2" s="1"/>
  <c r="V95" i="2" s="1"/>
  <c r="R95" i="2"/>
  <c r="R99" i="2"/>
  <c r="S99" i="2" s="1"/>
  <c r="U99" i="2" s="1"/>
  <c r="V99" i="2" s="1"/>
  <c r="S103" i="2"/>
  <c r="U103" i="2" s="1"/>
  <c r="V103" i="2" s="1"/>
  <c r="R103" i="2"/>
  <c r="S107" i="2"/>
  <c r="U107" i="2" s="1"/>
  <c r="V107" i="2" s="1"/>
  <c r="R107" i="2"/>
  <c r="S120" i="2"/>
  <c r="U120" i="2" s="1"/>
  <c r="V120" i="2" s="1"/>
  <c r="R120" i="2"/>
  <c r="R125" i="2"/>
  <c r="S125" i="2" s="1"/>
  <c r="U125" i="2" s="1"/>
  <c r="V125" i="2" s="1"/>
  <c r="U193" i="2"/>
  <c r="V193" i="2" s="1"/>
  <c r="U197" i="2"/>
  <c r="V197" i="2" s="1"/>
  <c r="S139" i="2"/>
  <c r="U139" i="2" s="1"/>
  <c r="V139" i="2" s="1"/>
  <c r="R139" i="2"/>
  <c r="S145" i="2"/>
  <c r="U145" i="2" s="1"/>
  <c r="V145" i="2" s="1"/>
  <c r="R145" i="2"/>
  <c r="R151" i="2"/>
  <c r="S151" i="2" s="1"/>
  <c r="U151" i="2" s="1"/>
  <c r="V151" i="2" s="1"/>
  <c r="S154" i="2"/>
  <c r="U154" i="2" s="1"/>
  <c r="V154" i="2" s="1"/>
  <c r="R154" i="2"/>
  <c r="S157" i="2"/>
  <c r="U157" i="2" s="1"/>
  <c r="V157" i="2" s="1"/>
  <c r="R157" i="2"/>
  <c r="S163" i="2"/>
  <c r="U163" i="2" s="1"/>
  <c r="V163" i="2" s="1"/>
  <c r="R166" i="2"/>
  <c r="S166" i="2" s="1"/>
  <c r="U166" i="2" s="1"/>
  <c r="V166" i="2" s="1"/>
  <c r="U169" i="2"/>
  <c r="V169" i="2" s="1"/>
  <c r="S171" i="2"/>
  <c r="U171" i="2" s="1"/>
  <c r="V171" i="2" s="1"/>
  <c r="U209" i="2"/>
  <c r="V209" i="2" s="1"/>
  <c r="U213" i="2"/>
  <c r="V213" i="2" s="1"/>
  <c r="U229" i="2"/>
  <c r="V229" i="2" s="1"/>
  <c r="S138" i="2"/>
  <c r="U138" i="2" s="1"/>
  <c r="V138" i="2" s="1"/>
  <c r="R138" i="2"/>
  <c r="R144" i="2"/>
  <c r="S144" i="2" s="1"/>
  <c r="U144" i="2" s="1"/>
  <c r="V144" i="2" s="1"/>
  <c r="S147" i="2"/>
  <c r="U147" i="2" s="1"/>
  <c r="V147" i="2" s="1"/>
  <c r="R147" i="2"/>
  <c r="S150" i="2"/>
  <c r="U150" i="2" s="1"/>
  <c r="V150" i="2" s="1"/>
  <c r="R150" i="2"/>
  <c r="S156" i="2"/>
  <c r="U156" i="2" s="1"/>
  <c r="V156" i="2" s="1"/>
  <c r="R156" i="2"/>
  <c r="R159" i="2"/>
  <c r="S159" i="2" s="1"/>
  <c r="U159" i="2" s="1"/>
  <c r="V159" i="2" s="1"/>
  <c r="U173" i="2"/>
  <c r="V173" i="2" s="1"/>
  <c r="U205" i="2"/>
  <c r="V205" i="2" s="1"/>
  <c r="S135" i="2"/>
  <c r="U135" i="2" s="1"/>
  <c r="V135" i="2" s="1"/>
  <c r="R135" i="2"/>
  <c r="S162" i="2"/>
  <c r="U162" i="2" s="1"/>
  <c r="V162" i="2" s="1"/>
  <c r="R162" i="2"/>
  <c r="U165" i="2"/>
  <c r="V165" i="2" s="1"/>
  <c r="S167" i="2"/>
  <c r="U167" i="2" s="1"/>
  <c r="V167" i="2" s="1"/>
  <c r="S170" i="2"/>
  <c r="U170" i="2" s="1"/>
  <c r="V170" i="2" s="1"/>
  <c r="R170" i="2"/>
  <c r="U249" i="2"/>
  <c r="V249" i="2" s="1"/>
  <c r="R152" i="2"/>
  <c r="S152" i="2" s="1"/>
  <c r="U152" i="2" s="1"/>
  <c r="V152" i="2" s="1"/>
  <c r="R140" i="2"/>
  <c r="S140" i="2" s="1"/>
  <c r="U140" i="2" s="1"/>
  <c r="V140" i="2" s="1"/>
  <c r="S178" i="2"/>
  <c r="U178" i="2" s="1"/>
  <c r="V178" i="2" s="1"/>
  <c r="R178" i="2"/>
  <c r="S137" i="2"/>
  <c r="U137" i="2" s="1"/>
  <c r="V137" i="2" s="1"/>
  <c r="R137" i="2"/>
  <c r="S149" i="2"/>
  <c r="U149" i="2" s="1"/>
  <c r="V149" i="2" s="1"/>
  <c r="R149" i="2"/>
  <c r="R191" i="2"/>
  <c r="S191" i="2" s="1"/>
  <c r="U191" i="2" s="1"/>
  <c r="V191" i="2" s="1"/>
  <c r="S134" i="2"/>
  <c r="U134" i="2" s="1"/>
  <c r="V134" i="2" s="1"/>
  <c r="R134" i="2"/>
  <c r="R183" i="2"/>
  <c r="S183" i="2" s="1"/>
  <c r="U183" i="2" s="1"/>
  <c r="V183" i="2" s="1"/>
  <c r="U241" i="2"/>
  <c r="V241" i="2" s="1"/>
  <c r="U338" i="2"/>
  <c r="V338" i="2" s="1"/>
  <c r="U355" i="2"/>
  <c r="V355" i="2" s="1"/>
  <c r="S288" i="2"/>
  <c r="U288" i="2" s="1"/>
  <c r="V288" i="2" s="1"/>
  <c r="U516" i="2"/>
  <c r="V516" i="2" s="1"/>
  <c r="U299" i="2"/>
  <c r="V299" i="2" s="1"/>
  <c r="U307" i="2"/>
  <c r="V307" i="2" s="1"/>
  <c r="U323" i="2"/>
  <c r="V323" i="2" s="1"/>
  <c r="R287" i="2"/>
  <c r="S287" i="2" s="1"/>
  <c r="U287" i="2" s="1"/>
  <c r="V287" i="2" s="1"/>
  <c r="S284" i="2"/>
  <c r="U284" i="2" s="1"/>
  <c r="V284" i="2" s="1"/>
  <c r="U292" i="2"/>
  <c r="V292" i="2" s="1"/>
  <c r="U300" i="2"/>
  <c r="V300" i="2" s="1"/>
  <c r="U308" i="2"/>
  <c r="V308" i="2" s="1"/>
  <c r="U316" i="2"/>
  <c r="V316" i="2" s="1"/>
  <c r="U324" i="2"/>
  <c r="V324" i="2" s="1"/>
  <c r="U332" i="2"/>
  <c r="V332" i="2" s="1"/>
  <c r="U340" i="2"/>
  <c r="V340" i="2" s="1"/>
  <c r="U348" i="2"/>
  <c r="V348" i="2" s="1"/>
  <c r="U356" i="2"/>
  <c r="V356" i="2" s="1"/>
  <c r="S466" i="2"/>
  <c r="U466" i="2" s="1"/>
  <c r="V466" i="2" s="1"/>
  <c r="U508" i="2"/>
  <c r="V508" i="2" s="1"/>
  <c r="U304" i="2"/>
  <c r="V304" i="2" s="1"/>
  <c r="U312" i="2"/>
  <c r="V312" i="2" s="1"/>
  <c r="U328" i="2"/>
  <c r="V328" i="2" s="1"/>
  <c r="U336" i="2"/>
  <c r="V336" i="2" s="1"/>
  <c r="U344" i="2"/>
  <c r="V344" i="2" s="1"/>
  <c r="U352" i="2"/>
  <c r="V352" i="2" s="1"/>
  <c r="U360" i="2"/>
  <c r="V360" i="2" s="1"/>
  <c r="S465" i="2"/>
  <c r="U465" i="2" s="1"/>
  <c r="V465" i="2" s="1"/>
  <c r="R465" i="2"/>
  <c r="U295" i="2"/>
  <c r="V295" i="2" s="1"/>
  <c r="U303" i="2"/>
  <c r="V303" i="2" s="1"/>
  <c r="U311" i="2"/>
  <c r="V311" i="2" s="1"/>
  <c r="U319" i="2"/>
  <c r="V319" i="2" s="1"/>
  <c r="U327" i="2"/>
  <c r="V327" i="2" s="1"/>
  <c r="U335" i="2"/>
  <c r="V335" i="2" s="1"/>
  <c r="U343" i="2"/>
  <c r="V343" i="2" s="1"/>
  <c r="U351" i="2"/>
  <c r="V351" i="2" s="1"/>
  <c r="U359" i="2"/>
  <c r="V359" i="2" s="1"/>
  <c r="U309" i="2"/>
  <c r="V309" i="2" s="1"/>
  <c r="U325" i="2"/>
  <c r="V325" i="2" s="1"/>
  <c r="U333" i="2"/>
  <c r="V333" i="2" s="1"/>
  <c r="U341" i="2"/>
  <c r="V341" i="2" s="1"/>
  <c r="U349" i="2"/>
  <c r="V349" i="2" s="1"/>
  <c r="U357" i="2"/>
  <c r="V357" i="2" s="1"/>
  <c r="U538" i="2"/>
  <c r="V538" i="2" s="1"/>
  <c r="U578" i="2"/>
  <c r="V578" i="2" s="1"/>
  <c r="U529" i="2"/>
  <c r="V529" i="2" s="1"/>
  <c r="U546" i="2"/>
  <c r="V546" i="2" s="1"/>
  <c r="R470" i="2"/>
  <c r="S470" i="2" s="1"/>
  <c r="U470" i="2" s="1"/>
  <c r="V470" i="2" s="1"/>
  <c r="U542" i="2"/>
  <c r="V542" i="2" s="1"/>
  <c r="U554" i="2"/>
  <c r="V554" i="2" s="1"/>
  <c r="U562" i="2"/>
  <c r="V562" i="2" s="1"/>
  <c r="U22" i="2" l="1"/>
  <c r="V22" i="2" s="1"/>
  <c r="C14" i="3"/>
  <c r="U47" i="2"/>
  <c r="V47" i="2" s="1"/>
  <c r="C6" i="3"/>
  <c r="U114" i="2"/>
  <c r="V114" i="2" s="1"/>
  <c r="C13" i="3"/>
  <c r="U33" i="2"/>
  <c r="V33" i="2" s="1"/>
  <c r="C5" i="3"/>
  <c r="C12" i="3"/>
  <c r="C11" i="3"/>
  <c r="C8" i="3"/>
  <c r="C4" i="3"/>
  <c r="C9" i="3"/>
  <c r="C7" i="3"/>
  <c r="C15" i="3"/>
  <c r="B4" i="4"/>
  <c r="C10" i="3"/>
  <c r="E15" i="4" l="1"/>
  <c r="E15" i="3"/>
  <c r="D15" i="3"/>
  <c r="E5" i="3"/>
  <c r="E5" i="4"/>
  <c r="D5" i="3"/>
  <c r="E13" i="3"/>
  <c r="E13" i="4"/>
  <c r="D13" i="3"/>
  <c r="E9" i="4"/>
  <c r="E9" i="3"/>
  <c r="D9" i="3"/>
  <c r="E4" i="4"/>
  <c r="E4" i="3"/>
  <c r="D4" i="3"/>
  <c r="E7" i="3"/>
  <c r="E7" i="4"/>
  <c r="D7" i="3"/>
  <c r="B8" i="4"/>
  <c r="B9" i="4" s="1"/>
  <c r="E6" i="4"/>
  <c r="E6" i="3"/>
  <c r="D6" i="3"/>
  <c r="E8" i="4"/>
  <c r="D8" i="3"/>
  <c r="E8" i="3"/>
  <c r="E11" i="3"/>
  <c r="E11" i="4"/>
  <c r="D11" i="3"/>
  <c r="D14" i="3"/>
  <c r="E14" i="4"/>
  <c r="E14" i="3"/>
  <c r="E10" i="4"/>
  <c r="D10" i="3"/>
  <c r="E10" i="3"/>
  <c r="B12" i="4"/>
  <c r="B7" i="4"/>
  <c r="E12" i="4"/>
  <c r="E12" i="3"/>
  <c r="D12" i="3"/>
</calcChain>
</file>

<file path=xl/sharedStrings.xml><?xml version="1.0" encoding="utf-8"?>
<sst xmlns="http://schemas.openxmlformats.org/spreadsheetml/2006/main" count="5544" uniqueCount="1007">
  <si>
    <t>EDJAI ACADEMIC | PROJECTO FINAL DE EXCEL</t>
  </si>
  <si>
    <t>TEMA</t>
  </si>
  <si>
    <t>Análise de desempenho comercial e KPIs de vendas</t>
  </si>
  <si>
    <t>CONTEXTO</t>
  </si>
  <si>
    <t>BASE DE DADOS</t>
  </si>
  <si>
    <t>600 registos totalmente sintéticos, de Janeiro a Dezembro de 2025. Nenhum cliente ou resultado representa uma entidade real.</t>
  </si>
  <si>
    <t>MISSÃO</t>
  </si>
  <si>
    <t>Transformar os registos de vendas em informação de gestão e apresentar um dashboard interactivo para a Direcção Comercial.</t>
  </si>
  <si>
    <t>ETAPA 1 | PREPARAÇÃO</t>
  </si>
  <si>
    <t>Verificar tipos de dados, datas, duplicados, consistência de preços, quantidades, custos, descontos e estados. Não alterar os dados originais sem justificação.</t>
  </si>
  <si>
    <t>ETAPA 2 | CÁLCULOS</t>
  </si>
  <si>
    <t>Criar colunas auxiliares para mês, trimestre, receita bruta, desconto em Kz, receita líquida, custo total, lucro bruto e margem bruta. Contabilizar facturação apenas para negócios Ganhos.</t>
  </si>
  <si>
    <t>ETAPA 3 | KPIs</t>
  </si>
  <si>
    <t>Calcular: receita líquida; vendas ganhas; unidades vendidas; ticket médio; lucro bruto; margem bruta; taxa de conversão; taxa de desconto; cumprimento da meta; variação mensal; vendas por vendedor, categoria, canal e província.</t>
  </si>
  <si>
    <t>ETAPA 4 | ANÁLISE</t>
  </si>
  <si>
    <t>Construir tabelas dinâmicas por mês, vendedor, província, canal e categoria. Comparar receita realizada com as metas mensais e analisar os desvios.</t>
  </si>
  <si>
    <t>ETAPA 5 | DASHBOARD</t>
  </si>
  <si>
    <t>Criar painel com cartões KPI, evolução mensal, ranking dos vendedores, receita por categoria, vendas por província e filtros/segmentações por mês, vendedor, canal e estado.</t>
  </si>
  <si>
    <t>ETAPA 6 | DECISÕES</t>
  </si>
  <si>
    <t>Apresentar pelo menos 5 conclusões fundamentadas em números e 5 recomendações comerciais concretas.</t>
  </si>
  <si>
    <t>ENTREGÁVEIS</t>
  </si>
  <si>
    <t>Ficheiro Excel final com base tratada, cálculos, tabelas dinâmicas, dashboard e folha de conclusões. Apresentação oral de 8 a 12 minutos.</t>
  </si>
  <si>
    <t>CRITÉRIOS DE AVALIAÇÃO</t>
  </si>
  <si>
    <t>Qualidade e consistência dos dados 15%; fórmulas e KPIs 30%; tabelas dinâmicas 20%; dashboard 25%; interpretação e recomendações 10%.</t>
  </si>
  <si>
    <t>REGRAS IMPORTANTES</t>
  </si>
  <si>
    <t>Negócios Perdidos ou Em negociação não geram receita realizada. Metas são mensais e referem-se apenas à receita líquida de negócios Ganhos. Evitar dupla contagem.</t>
  </si>
  <si>
    <t>FÓRMULAS SUGERIDAS</t>
  </si>
  <si>
    <t>SOMASES, CONT.SES, SE, SEERRO, SOMA, MÉDIA, MÊS, ANO e tabelas dinâmicas. Pode usar equivalentes em inglês conforme a versão do Excel.</t>
  </si>
  <si>
    <t>ID_Oportunidade</t>
  </si>
  <si>
    <t>Data</t>
  </si>
  <si>
    <t>Vendedor</t>
  </si>
  <si>
    <t>Provincia</t>
  </si>
  <si>
    <t>Canal</t>
  </si>
  <si>
    <t>Cliente_Ficticio</t>
  </si>
  <si>
    <t>Categoria</t>
  </si>
  <si>
    <t>Produto</t>
  </si>
  <si>
    <t>Quantidade</t>
  </si>
  <si>
    <t>Preco_Unitario_Kz</t>
  </si>
  <si>
    <t>Custo_Unitario_Kz</t>
  </si>
  <si>
    <t>Desconto_Pct</t>
  </si>
  <si>
    <t>Estado</t>
  </si>
  <si>
    <t>Origem_Lead</t>
  </si>
  <si>
    <t>Mes</t>
  </si>
  <si>
    <t>Trimestre</t>
  </si>
  <si>
    <t>Receita_Bruta_Kz</t>
  </si>
  <si>
    <t>Desconto_Kz</t>
  </si>
  <si>
    <t>Receita_Liquida_Kz</t>
  </si>
  <si>
    <t>Custo_Total_Kz</t>
  </si>
  <si>
    <t>Lucro_Bruto_Kz</t>
  </si>
  <si>
    <t>Margem_Bruta_Pct</t>
  </si>
  <si>
    <t>OP-0001</t>
  </si>
  <si>
    <t>Ana Manuel</t>
  </si>
  <si>
    <t>Cabinda</t>
  </si>
  <si>
    <t>Telefone</t>
  </si>
  <si>
    <t>Cliente Simulado 034</t>
  </si>
  <si>
    <t>Escritório</t>
  </si>
  <si>
    <t>Secretária de escritório</t>
  </si>
  <si>
    <t>Ganho</t>
  </si>
  <si>
    <t>Cliente recorrente</t>
  </si>
  <si>
    <t>OP-0002</t>
  </si>
  <si>
    <t>Carla Domingos</t>
  </si>
  <si>
    <t>Luanda</t>
  </si>
  <si>
    <t>Cliente Simulado 001</t>
  </si>
  <si>
    <t>Redes sociais</t>
  </si>
  <si>
    <t>OP-0003</t>
  </si>
  <si>
    <t>Huambo</t>
  </si>
  <si>
    <t>WhatsApp</t>
  </si>
  <si>
    <t>Cliente Simulado 159</t>
  </si>
  <si>
    <t>Informática</t>
  </si>
  <si>
    <t>Monitor 24 polegadas</t>
  </si>
  <si>
    <t>Prospecção</t>
  </si>
  <si>
    <t>OP-0004</t>
  </si>
  <si>
    <t>Benguela</t>
  </si>
  <si>
    <t>Website</t>
  </si>
  <si>
    <t>Cliente Simulado 201</t>
  </si>
  <si>
    <t>Campanha digital</t>
  </si>
  <si>
    <t>OP-0005</t>
  </si>
  <si>
    <t>Bruno Costa</t>
  </si>
  <si>
    <t>Cliente Simulado 213</t>
  </si>
  <si>
    <t>Teclado e rato</t>
  </si>
  <si>
    <t>Perdido</t>
  </si>
  <si>
    <t>Recomendação</t>
  </si>
  <si>
    <t>OP-0006</t>
  </si>
  <si>
    <t>Filipe Afonso</t>
  </si>
  <si>
    <t>Loja</t>
  </si>
  <si>
    <t>Cliente Simulado 267</t>
  </si>
  <si>
    <t>Cadeira ergonómica</t>
  </si>
  <si>
    <t>OP-0007</t>
  </si>
  <si>
    <t>Cliente Simulado 160</t>
  </si>
  <si>
    <t>Consumíveis</t>
  </si>
  <si>
    <t>Resma A4</t>
  </si>
  <si>
    <t>OP-0008</t>
  </si>
  <si>
    <t>Graça Miguel</t>
  </si>
  <si>
    <t>Cuanza Sul</t>
  </si>
  <si>
    <t>Visita comercial</t>
  </si>
  <si>
    <t>Toner compatível</t>
  </si>
  <si>
    <t>OP-0009</t>
  </si>
  <si>
    <t>Cliente Simulado 089</t>
  </si>
  <si>
    <t>Kit de papelaria</t>
  </si>
  <si>
    <t>OP-0010</t>
  </si>
  <si>
    <t>Cliente Simulado 134</t>
  </si>
  <si>
    <t>OP-0011</t>
  </si>
  <si>
    <t>Elsa Joaquim</t>
  </si>
  <si>
    <t>Cliente Simulado 235</t>
  </si>
  <si>
    <t>Portátil empresarial</t>
  </si>
  <si>
    <t>OP-0012</t>
  </si>
  <si>
    <t>Huíla</t>
  </si>
  <si>
    <t>Cliente Simulado 076</t>
  </si>
  <si>
    <t>Impressora multifunções</t>
  </si>
  <si>
    <t>Em negociação</t>
  </si>
  <si>
    <t>OP-0013</t>
  </si>
  <si>
    <t>Hélder Mateus</t>
  </si>
  <si>
    <t>Cliente Simulado 279</t>
  </si>
  <si>
    <t>OP-0014</t>
  </si>
  <si>
    <t>Cliente Simulado 204</t>
  </si>
  <si>
    <t>Arquivo metálico</t>
  </si>
  <si>
    <t>OP-0015</t>
  </si>
  <si>
    <t>OP-0016</t>
  </si>
  <si>
    <t>Cliente Simulado 003</t>
  </si>
  <si>
    <t>OP-0017</t>
  </si>
  <si>
    <t>Daniel Pedro</t>
  </si>
  <si>
    <t>Cliente Simulado 182</t>
  </si>
  <si>
    <t>OP-0018</t>
  </si>
  <si>
    <t>Cliente Simulado 165</t>
  </si>
  <si>
    <t>OP-0019</t>
  </si>
  <si>
    <t>Cliente Simulado 203</t>
  </si>
  <si>
    <t>OP-0020</t>
  </si>
  <si>
    <t>Cliente Simulado 050</t>
  </si>
  <si>
    <t>OP-0021</t>
  </si>
  <si>
    <t>Cliente Simulado 161</t>
  </si>
  <si>
    <t>OP-0022</t>
  </si>
  <si>
    <t>Cliente Simulado 027</t>
  </si>
  <si>
    <t>OP-0023</t>
  </si>
  <si>
    <t>Cliente Simulado 086</t>
  </si>
  <si>
    <t>OP-0024</t>
  </si>
  <si>
    <t>Cliente Simulado 041</t>
  </si>
  <si>
    <t>OP-0025</t>
  </si>
  <si>
    <t>Cliente Simulado 243</t>
  </si>
  <si>
    <t>OP-0026</t>
  </si>
  <si>
    <t>Cliente Simulado 073</t>
  </si>
  <si>
    <t>OP-0027</t>
  </si>
  <si>
    <t>Cliente Simulado 205</t>
  </si>
  <si>
    <t>OP-0028</t>
  </si>
  <si>
    <t>OP-0029</t>
  </si>
  <si>
    <t>Cliente Simulado 095</t>
  </si>
  <si>
    <t>OP-0030</t>
  </si>
  <si>
    <t>Cliente Simulado 162</t>
  </si>
  <si>
    <t>OP-0031</t>
  </si>
  <si>
    <t>Cliente Simulado 054</t>
  </si>
  <si>
    <t>OP-0032</t>
  </si>
  <si>
    <t>OP-0033</t>
  </si>
  <si>
    <t>Cliente Simulado 231</t>
  </si>
  <si>
    <t>OP-0034</t>
  </si>
  <si>
    <t>Cliente Simulado 274</t>
  </si>
  <si>
    <t>OP-0035</t>
  </si>
  <si>
    <t>Cliente Simulado 218</t>
  </si>
  <si>
    <t>OP-0036</t>
  </si>
  <si>
    <t>Cliente Simulado 075</t>
  </si>
  <si>
    <t>OP-0037</t>
  </si>
  <si>
    <t>Cliente Simulado 037</t>
  </si>
  <si>
    <t>OP-0038</t>
  </si>
  <si>
    <t>OP-0039</t>
  </si>
  <si>
    <t>Cliente Simulado 149</t>
  </si>
  <si>
    <t>OP-0040</t>
  </si>
  <si>
    <t>Cliente Simulado 266</t>
  </si>
  <si>
    <t>OP-0041</t>
  </si>
  <si>
    <t>Cliente Simulado 130</t>
  </si>
  <si>
    <t>OP-0042</t>
  </si>
  <si>
    <t>Cliente Simulado 148</t>
  </si>
  <si>
    <t>OP-0043</t>
  </si>
  <si>
    <t>Cliente Simulado 171</t>
  </si>
  <si>
    <t>OP-0044</t>
  </si>
  <si>
    <t>Cliente Simulado 242</t>
  </si>
  <si>
    <t>OP-0045</t>
  </si>
  <si>
    <t>Cliente Simulado 094</t>
  </si>
  <si>
    <t>OP-0046</t>
  </si>
  <si>
    <t>Cliente Simulado 030</t>
  </si>
  <si>
    <t>OP-0047</t>
  </si>
  <si>
    <t>Cliente Simulado 002</t>
  </si>
  <si>
    <t>OP-0048</t>
  </si>
  <si>
    <t>OP-0049</t>
  </si>
  <si>
    <t>Cliente Simulado 153</t>
  </si>
  <si>
    <t>OP-0050</t>
  </si>
  <si>
    <t>Cliente Simulado 137</t>
  </si>
  <si>
    <t>OP-0051</t>
  </si>
  <si>
    <t>Cliente Simulado 184</t>
  </si>
  <si>
    <t>OP-0052</t>
  </si>
  <si>
    <t>Cliente Simulado 254</t>
  </si>
  <si>
    <t>OP-0053</t>
  </si>
  <si>
    <t>Cliente Simulado 185</t>
  </si>
  <si>
    <t>OP-0054</t>
  </si>
  <si>
    <t>Cliente Simulado 088</t>
  </si>
  <si>
    <t>OP-0055</t>
  </si>
  <si>
    <t>Cliente Simulado 202</t>
  </si>
  <si>
    <t>OP-0056</t>
  </si>
  <si>
    <t>Cliente Simulado 082</t>
  </si>
  <si>
    <t>OP-0057</t>
  </si>
  <si>
    <t>Cliente Simulado 186</t>
  </si>
  <si>
    <t>OP-0058</t>
  </si>
  <si>
    <t>Cliente Simulado 114</t>
  </si>
  <si>
    <t>OP-0059</t>
  </si>
  <si>
    <t>OP-0060</t>
  </si>
  <si>
    <t>Cliente Simulado 053</t>
  </si>
  <si>
    <t>OP-0061</t>
  </si>
  <si>
    <t>Cliente Simulado 105</t>
  </si>
  <si>
    <t>OP-0062</t>
  </si>
  <si>
    <t>Cliente Simulado 115</t>
  </si>
  <si>
    <t>OP-0063</t>
  </si>
  <si>
    <t>Cliente Simulado 232</t>
  </si>
  <si>
    <t>OP-0064</t>
  </si>
  <si>
    <t>Cliente Simulado 245</t>
  </si>
  <si>
    <t>OP-0065</t>
  </si>
  <si>
    <t>Cliente Simulado 163</t>
  </si>
  <si>
    <t>OP-0066</t>
  </si>
  <si>
    <t>Cliente Simulado 255</t>
  </si>
  <si>
    <t>OP-0067</t>
  </si>
  <si>
    <t>Cliente Simulado 210</t>
  </si>
  <si>
    <t>OP-0068</t>
  </si>
  <si>
    <t>Cliente Simulado 170</t>
  </si>
  <si>
    <t>OP-0069</t>
  </si>
  <si>
    <t>Cliente Simulado 021</t>
  </si>
  <si>
    <t>OP-0070</t>
  </si>
  <si>
    <t>Cliente Simulado 209</t>
  </si>
  <si>
    <t>OP-0071</t>
  </si>
  <si>
    <t>Cliente Simulado 063</t>
  </si>
  <si>
    <t>OP-0072</t>
  </si>
  <si>
    <t>Cliente Simulado 212</t>
  </si>
  <si>
    <t>OP-0073</t>
  </si>
  <si>
    <t>Cliente Simulado 058</t>
  </si>
  <si>
    <t>OP-0074</t>
  </si>
  <si>
    <t>Cliente Simulado 152</t>
  </si>
  <si>
    <t>OP-0075</t>
  </si>
  <si>
    <t>Cliente Simulado 207</t>
  </si>
  <si>
    <t>OP-0076</t>
  </si>
  <si>
    <t>Cliente Simulado 264</t>
  </si>
  <si>
    <t>OP-0077</t>
  </si>
  <si>
    <t>Cliente Simulado 052</t>
  </si>
  <si>
    <t>OP-0078</t>
  </si>
  <si>
    <t>Cliente Simulado 004</t>
  </si>
  <si>
    <t>OP-0079</t>
  </si>
  <si>
    <t>Cliente Simulado 071</t>
  </si>
  <si>
    <t>OP-0080</t>
  </si>
  <si>
    <t>OP-0081</t>
  </si>
  <si>
    <t>OP-0082</t>
  </si>
  <si>
    <t>Cliente Simulado 008</t>
  </si>
  <si>
    <t>OP-0083</t>
  </si>
  <si>
    <t>Cliente Simulado 276</t>
  </si>
  <si>
    <t>OP-0084</t>
  </si>
  <si>
    <t>Cliente Simulado 104</t>
  </si>
  <si>
    <t>OP-0085</t>
  </si>
  <si>
    <t>Cliente Simulado 189</t>
  </si>
  <si>
    <t>OP-0086</t>
  </si>
  <si>
    <t>Cliente Simulado 057</t>
  </si>
  <si>
    <t>OP-0087</t>
  </si>
  <si>
    <t>Cliente Simulado 101</t>
  </si>
  <si>
    <t>OP-0088</t>
  </si>
  <si>
    <t>Cliente Simulado 121</t>
  </si>
  <si>
    <t>OP-0089</t>
  </si>
  <si>
    <t>Cliente Simulado 014</t>
  </si>
  <si>
    <t>OP-0090</t>
  </si>
  <si>
    <t>Cliente Simulado 077</t>
  </si>
  <si>
    <t>OP-0091</t>
  </si>
  <si>
    <t>Cliente Simulado 146</t>
  </si>
  <si>
    <t>OP-0092</t>
  </si>
  <si>
    <t>Cliente Simulado 013</t>
  </si>
  <si>
    <t>OP-0093</t>
  </si>
  <si>
    <t>Cliente Simulado 252</t>
  </si>
  <si>
    <t>OP-0094</t>
  </si>
  <si>
    <t>Cliente Simulado 092</t>
  </si>
  <si>
    <t>OP-0095</t>
  </si>
  <si>
    <t>Cliente Simulado 048</t>
  </si>
  <si>
    <t>OP-0096</t>
  </si>
  <si>
    <t>Cliente Simulado 268</t>
  </si>
  <si>
    <t>OP-0097</t>
  </si>
  <si>
    <t>Cliente Simulado 012</t>
  </si>
  <si>
    <t>OP-0098</t>
  </si>
  <si>
    <t>OP-0099</t>
  </si>
  <si>
    <t>Cliente Simulado 192</t>
  </si>
  <si>
    <t>OP-0100</t>
  </si>
  <si>
    <t>OP-0101</t>
  </si>
  <si>
    <t>Cliente Simulado 176</t>
  </si>
  <si>
    <t>OP-0102</t>
  </si>
  <si>
    <t>Cliente Simulado 124</t>
  </si>
  <si>
    <t>OP-0103</t>
  </si>
  <si>
    <t>Cliente Simulado 195</t>
  </si>
  <si>
    <t>OP-0104</t>
  </si>
  <si>
    <t>OP-0105</t>
  </si>
  <si>
    <t>Cliente Simulado 110</t>
  </si>
  <si>
    <t>OP-0106</t>
  </si>
  <si>
    <t>Cliente Simulado 060</t>
  </si>
  <si>
    <t>OP-0107</t>
  </si>
  <si>
    <t>Cliente Simulado 144</t>
  </si>
  <si>
    <t>OP-0108</t>
  </si>
  <si>
    <t>Cliente Simulado 045</t>
  </si>
  <si>
    <t>OP-0109</t>
  </si>
  <si>
    <t>Cliente Simulado 220</t>
  </si>
  <si>
    <t>OP-0110</t>
  </si>
  <si>
    <t>OP-0111</t>
  </si>
  <si>
    <t>OP-0112</t>
  </si>
  <si>
    <t>OP-0113</t>
  </si>
  <si>
    <t>OP-0114</t>
  </si>
  <si>
    <t>Cliente Simulado 106</t>
  </si>
  <si>
    <t>OP-0115</t>
  </si>
  <si>
    <t>OP-0116</t>
  </si>
  <si>
    <t>Cliente Simulado 023</t>
  </si>
  <si>
    <t>OP-0117</t>
  </si>
  <si>
    <t>OP-0118</t>
  </si>
  <si>
    <t>OP-0119</t>
  </si>
  <si>
    <t>OP-0120</t>
  </si>
  <si>
    <t>Cliente Simulado 049</t>
  </si>
  <si>
    <t>OP-0121</t>
  </si>
  <si>
    <t>Cliente Simulado 227</t>
  </si>
  <si>
    <t>OP-0122</t>
  </si>
  <si>
    <t>OP-0123</t>
  </si>
  <si>
    <t>OP-0124</t>
  </si>
  <si>
    <t>OP-0125</t>
  </si>
  <si>
    <t>OP-0126</t>
  </si>
  <si>
    <t>Cliente Simulado 031</t>
  </si>
  <si>
    <t>OP-0127</t>
  </si>
  <si>
    <t>Cliente Simulado 265</t>
  </si>
  <si>
    <t>OP-0128</t>
  </si>
  <si>
    <t>Cliente Simulado 145</t>
  </si>
  <si>
    <t>OP-0129</t>
  </si>
  <si>
    <t>OP-0130</t>
  </si>
  <si>
    <t>OP-0131</t>
  </si>
  <si>
    <t>Cliente Simulado 251</t>
  </si>
  <si>
    <t>OP-0132</t>
  </si>
  <si>
    <t>Cliente Simulado 158</t>
  </si>
  <si>
    <t>OP-0133</t>
  </si>
  <si>
    <t>Cliente Simulado 236</t>
  </si>
  <si>
    <t>OP-0134</t>
  </si>
  <si>
    <t>Cliente Simulado 222</t>
  </si>
  <si>
    <t>OP-0135</t>
  </si>
  <si>
    <t>OP-0136</t>
  </si>
  <si>
    <t>OP-0137</t>
  </si>
  <si>
    <t>Cliente Simulado 177</t>
  </si>
  <si>
    <t>OP-0138</t>
  </si>
  <si>
    <t>Cliente Simulado 211</t>
  </si>
  <si>
    <t>OP-0139</t>
  </si>
  <si>
    <t>OP-0140</t>
  </si>
  <si>
    <t>OP-0141</t>
  </si>
  <si>
    <t>Cliente Simulado 029</t>
  </si>
  <si>
    <t>OP-0142</t>
  </si>
  <si>
    <t>OP-0143</t>
  </si>
  <si>
    <t>Cliente Simulado 020</t>
  </si>
  <si>
    <t>OP-0144</t>
  </si>
  <si>
    <t>Cliente Simulado 180</t>
  </si>
  <si>
    <t>OP-0145</t>
  </si>
  <si>
    <t>OP-0146</t>
  </si>
  <si>
    <t>Cliente Simulado 238</t>
  </si>
  <si>
    <t>OP-0147</t>
  </si>
  <si>
    <t>Cliente Simulado 127</t>
  </si>
  <si>
    <t>OP-0148</t>
  </si>
  <si>
    <t>Cliente Simulado 070</t>
  </si>
  <si>
    <t>OP-0149</t>
  </si>
  <si>
    <t>Cliente Simulado 200</t>
  </si>
  <si>
    <t>OP-0150</t>
  </si>
  <si>
    <t>Cliente Simulado 250</t>
  </si>
  <si>
    <t>OP-0151</t>
  </si>
  <si>
    <t>OP-0152</t>
  </si>
  <si>
    <t>OP-0153</t>
  </si>
  <si>
    <t>Cliente Simulado 133</t>
  </si>
  <si>
    <t>OP-0154</t>
  </si>
  <si>
    <t>Cliente Simulado 155</t>
  </si>
  <si>
    <t>OP-0155</t>
  </si>
  <si>
    <t>Cliente Simulado 120</t>
  </si>
  <si>
    <t>OP-0156</t>
  </si>
  <si>
    <t>Cliente Simulado 028</t>
  </si>
  <si>
    <t>OP-0157</t>
  </si>
  <si>
    <t>Cliente Simulado 199</t>
  </si>
  <si>
    <t>OP-0158</t>
  </si>
  <si>
    <t>Cliente Simulado 187</t>
  </si>
  <si>
    <t>OP-0159</t>
  </si>
  <si>
    <t>OP-0160</t>
  </si>
  <si>
    <t>Cliente Simulado 263</t>
  </si>
  <si>
    <t>OP-0161</t>
  </si>
  <si>
    <t>Cliente Simulado 164</t>
  </si>
  <si>
    <t>OP-0162</t>
  </si>
  <si>
    <t>Cliente Simulado 278</t>
  </si>
  <si>
    <t>OP-0163</t>
  </si>
  <si>
    <t>Cliente Simulado 100</t>
  </si>
  <si>
    <t>OP-0164</t>
  </si>
  <si>
    <t>OP-0165</t>
  </si>
  <si>
    <t>Cliente Simulado 061</t>
  </si>
  <si>
    <t>OP-0166</t>
  </si>
  <si>
    <t>OP-0167</t>
  </si>
  <si>
    <t>OP-0168</t>
  </si>
  <si>
    <t>Cliente Simulado 135</t>
  </si>
  <si>
    <t>OP-0169</t>
  </si>
  <si>
    <t>Cliente Simulado 055</t>
  </si>
  <si>
    <t>OP-0170</t>
  </si>
  <si>
    <t>OP-0171</t>
  </si>
  <si>
    <t>Cliente Simulado 033</t>
  </si>
  <si>
    <t>OP-0172</t>
  </si>
  <si>
    <t>OP-0173</t>
  </si>
  <si>
    <t>OP-0174</t>
  </si>
  <si>
    <t>Cliente Simulado 260</t>
  </si>
  <si>
    <t>OP-0175</t>
  </si>
  <si>
    <t>Cliente Simulado 214</t>
  </si>
  <si>
    <t>OP-0176</t>
  </si>
  <si>
    <t>Cliente Simulado 258</t>
  </si>
  <si>
    <t>OP-0177</t>
  </si>
  <si>
    <t>OP-0178</t>
  </si>
  <si>
    <t>Cliente Simulado 062</t>
  </si>
  <si>
    <t>OP-0179</t>
  </si>
  <si>
    <t>Cliente Simulado 066</t>
  </si>
  <si>
    <t>OP-0180</t>
  </si>
  <si>
    <t>OP-0181</t>
  </si>
  <si>
    <t>OP-0182</t>
  </si>
  <si>
    <t>Cliente Simulado 011</t>
  </si>
  <si>
    <t>OP-0183</t>
  </si>
  <si>
    <t>Cliente Simulado 046</t>
  </si>
  <si>
    <t>OP-0184</t>
  </si>
  <si>
    <t>OP-0185</t>
  </si>
  <si>
    <t>Cliente Simulado 197</t>
  </si>
  <si>
    <t>OP-0186</t>
  </si>
  <si>
    <t>Cliente Simulado 167</t>
  </si>
  <si>
    <t>OP-0187</t>
  </si>
  <si>
    <t>Cliente Simulado 139</t>
  </si>
  <si>
    <t>OP-0188</t>
  </si>
  <si>
    <t>Cliente Simulado 181</t>
  </si>
  <si>
    <t>OP-0189</t>
  </si>
  <si>
    <t>Cliente Simulado 269</t>
  </si>
  <si>
    <t>OP-0190</t>
  </si>
  <si>
    <t>OP-0191</t>
  </si>
  <si>
    <t>OP-0192</t>
  </si>
  <si>
    <t>OP-0193</t>
  </si>
  <si>
    <t>Cliente Simulado 016</t>
  </si>
  <si>
    <t>OP-0194</t>
  </si>
  <si>
    <t>OP-0195</t>
  </si>
  <si>
    <t>OP-0196</t>
  </si>
  <si>
    <t>OP-0197</t>
  </si>
  <si>
    <t>OP-0198</t>
  </si>
  <si>
    <t>OP-0199</t>
  </si>
  <si>
    <t>Cliente Simulado 017</t>
  </si>
  <si>
    <t>OP-0200</t>
  </si>
  <si>
    <t>Cliente Simulado 191</t>
  </si>
  <si>
    <t>OP-0201</t>
  </si>
  <si>
    <t>Cliente Simulado 234</t>
  </si>
  <si>
    <t>OP-0202</t>
  </si>
  <si>
    <t>OP-0203</t>
  </si>
  <si>
    <t>Cliente Simulado 224</t>
  </si>
  <si>
    <t>OP-0204</t>
  </si>
  <si>
    <t>OP-0205</t>
  </si>
  <si>
    <t>OP-0206</t>
  </si>
  <si>
    <t>OP-0207</t>
  </si>
  <si>
    <t>OP-0208</t>
  </si>
  <si>
    <t>Cliente Simulado 091</t>
  </si>
  <si>
    <t>OP-0209</t>
  </si>
  <si>
    <t>Cliente Simulado 083</t>
  </si>
  <si>
    <t>OP-0210</t>
  </si>
  <si>
    <t>Cliente Simulado 103</t>
  </si>
  <si>
    <t>OP-0211</t>
  </si>
  <si>
    <t>OP-0212</t>
  </si>
  <si>
    <t>Cliente Simulado 247</t>
  </si>
  <si>
    <t>OP-0213</t>
  </si>
  <si>
    <t>OP-0214</t>
  </si>
  <si>
    <t>Cliente Simulado 249</t>
  </si>
  <si>
    <t>OP-0215</t>
  </si>
  <si>
    <t>OP-0216</t>
  </si>
  <si>
    <t>OP-0217</t>
  </si>
  <si>
    <t>Cliente Simulado 219</t>
  </si>
  <si>
    <t>OP-0218</t>
  </si>
  <si>
    <t>Cliente Simulado 080</t>
  </si>
  <si>
    <t>OP-0219</t>
  </si>
  <si>
    <t>OP-0220</t>
  </si>
  <si>
    <t>Cliente Simulado 035</t>
  </si>
  <si>
    <t>OP-0221</t>
  </si>
  <si>
    <t>Cliente Simulado 270</t>
  </si>
  <si>
    <t>OP-0222</t>
  </si>
  <si>
    <t>OP-0223</t>
  </si>
  <si>
    <t>Cliente Simulado 166</t>
  </si>
  <si>
    <t>OP-0224</t>
  </si>
  <si>
    <t>OP-0225</t>
  </si>
  <si>
    <t>OP-0226</t>
  </si>
  <si>
    <t>Cliente Simulado 113</t>
  </si>
  <si>
    <t>OP-0227</t>
  </si>
  <si>
    <t>Cliente Simulado 173</t>
  </si>
  <si>
    <t>OP-0228</t>
  </si>
  <si>
    <t>OP-0229</t>
  </si>
  <si>
    <t>Cliente Simulado 237</t>
  </si>
  <si>
    <t>OP-0230</t>
  </si>
  <si>
    <t>OP-0231</t>
  </si>
  <si>
    <t>OP-0232</t>
  </si>
  <si>
    <t>OP-0233</t>
  </si>
  <si>
    <t>Cliente Simulado 178</t>
  </si>
  <si>
    <t>OP-0234</t>
  </si>
  <si>
    <t>Cliente Simulado 271</t>
  </si>
  <si>
    <t>OP-0235</t>
  </si>
  <si>
    <t>Cliente Simulado 256</t>
  </si>
  <si>
    <t>OP-0236</t>
  </si>
  <si>
    <t>OP-0237</t>
  </si>
  <si>
    <t>OP-0238</t>
  </si>
  <si>
    <t>OP-0239</t>
  </si>
  <si>
    <t>OP-0240</t>
  </si>
  <si>
    <t>Cliente Simulado 143</t>
  </si>
  <si>
    <t>OP-0241</t>
  </si>
  <si>
    <t>OP-0242</t>
  </si>
  <si>
    <t>Cliente Simulado 150</t>
  </si>
  <si>
    <t>OP-0243</t>
  </si>
  <si>
    <t>Cliente Simulado 042</t>
  </si>
  <si>
    <t>OP-0244</t>
  </si>
  <si>
    <t>Cliente Simulado 074</t>
  </si>
  <si>
    <t>OP-0245</t>
  </si>
  <si>
    <t>Cliente Simulado 109</t>
  </si>
  <si>
    <t>OP-0246</t>
  </si>
  <si>
    <t>OP-0247</t>
  </si>
  <si>
    <t>OP-0248</t>
  </si>
  <si>
    <t>Cliente Simulado 005</t>
  </si>
  <si>
    <t>OP-0249</t>
  </si>
  <si>
    <t>Cliente Simulado 226</t>
  </si>
  <si>
    <t>OP-0250</t>
  </si>
  <si>
    <t>Cliente Simulado 233</t>
  </si>
  <si>
    <t>OP-0251</t>
  </si>
  <si>
    <t>OP-0252</t>
  </si>
  <si>
    <t>OP-0253</t>
  </si>
  <si>
    <t>Cliente Simulado 123</t>
  </si>
  <si>
    <t>OP-0254</t>
  </si>
  <si>
    <t>OP-0255</t>
  </si>
  <si>
    <t>OP-0256</t>
  </si>
  <si>
    <t>OP-0257</t>
  </si>
  <si>
    <t>OP-0258</t>
  </si>
  <si>
    <t>OP-0259</t>
  </si>
  <si>
    <t>OP-0260</t>
  </si>
  <si>
    <t>Cliente Simulado 009</t>
  </si>
  <si>
    <t>OP-0261</t>
  </si>
  <si>
    <t>Cliente Simulado 223</t>
  </si>
  <si>
    <t>OP-0262</t>
  </si>
  <si>
    <t>Cliente Simulado 098</t>
  </si>
  <si>
    <t>OP-0263</t>
  </si>
  <si>
    <t>OP-0264</t>
  </si>
  <si>
    <t>OP-0265</t>
  </si>
  <si>
    <t>OP-0266</t>
  </si>
  <si>
    <t>Cliente Simulado 117</t>
  </si>
  <si>
    <t>OP-0267</t>
  </si>
  <si>
    <t>Cliente Simulado 131</t>
  </si>
  <si>
    <t>OP-0268</t>
  </si>
  <si>
    <t>Cliente Simulado 179</t>
  </si>
  <si>
    <t>OP-0269</t>
  </si>
  <si>
    <t>OP-0270</t>
  </si>
  <si>
    <t>OP-0271</t>
  </si>
  <si>
    <t>Cliente Simulado 111</t>
  </si>
  <si>
    <t>OP-0272</t>
  </si>
  <si>
    <t>OP-0273</t>
  </si>
  <si>
    <t>OP-0274</t>
  </si>
  <si>
    <t>Cliente Simulado 229</t>
  </si>
  <si>
    <t>OP-0275</t>
  </si>
  <si>
    <t>Cliente Simulado 275</t>
  </si>
  <si>
    <t>OP-0276</t>
  </si>
  <si>
    <t>OP-0277</t>
  </si>
  <si>
    <t>Cliente Simulado 085</t>
  </si>
  <si>
    <t>OP-0278</t>
  </si>
  <si>
    <t>OP-0279</t>
  </si>
  <si>
    <t>Cliente Simulado 156</t>
  </si>
  <si>
    <t>OP-0280</t>
  </si>
  <si>
    <t>OP-0281</t>
  </si>
  <si>
    <t>OP-0282</t>
  </si>
  <si>
    <t>OP-0283</t>
  </si>
  <si>
    <t>OP-0284</t>
  </si>
  <si>
    <t>OP-0285</t>
  </si>
  <si>
    <t>Cliente Simulado 142</t>
  </si>
  <si>
    <t>OP-0286</t>
  </si>
  <si>
    <t>OP-0287</t>
  </si>
  <si>
    <t>OP-0288</t>
  </si>
  <si>
    <t>Cliente Simulado 188</t>
  </si>
  <si>
    <t>OP-0289</t>
  </si>
  <si>
    <t>Cliente Simulado 022</t>
  </si>
  <si>
    <t>OP-0290</t>
  </si>
  <si>
    <t>Cliente Simulado 018</t>
  </si>
  <si>
    <t>OP-0291</t>
  </si>
  <si>
    <t>OP-0292</t>
  </si>
  <si>
    <t>Cliente Simulado 172</t>
  </si>
  <si>
    <t>OP-0293</t>
  </si>
  <si>
    <t>Cliente Simulado 215</t>
  </si>
  <si>
    <t>OP-0294</t>
  </si>
  <si>
    <t>OP-0295</t>
  </si>
  <si>
    <t>OP-0296</t>
  </si>
  <si>
    <t>Cliente Simulado 193</t>
  </si>
  <si>
    <t>OP-0297</t>
  </si>
  <si>
    <t>OP-0298</t>
  </si>
  <si>
    <t>OP-0299</t>
  </si>
  <si>
    <t>OP-0300</t>
  </si>
  <si>
    <t>Cliente Simulado 069</t>
  </si>
  <si>
    <t>OP-0301</t>
  </si>
  <si>
    <t>OP-0302</t>
  </si>
  <si>
    <t>OP-0303</t>
  </si>
  <si>
    <t>OP-0304</t>
  </si>
  <si>
    <t>OP-0305</t>
  </si>
  <si>
    <t>Cliente Simulado 280</t>
  </si>
  <si>
    <t>OP-0306</t>
  </si>
  <si>
    <t>OP-0307</t>
  </si>
  <si>
    <t>OP-0308</t>
  </si>
  <si>
    <t>OP-0309</t>
  </si>
  <si>
    <t>Cliente Simulado 090</t>
  </si>
  <si>
    <t>OP-0310</t>
  </si>
  <si>
    <t>OP-0311</t>
  </si>
  <si>
    <t>OP-0312</t>
  </si>
  <si>
    <t>OP-0313</t>
  </si>
  <si>
    <t>OP-0314</t>
  </si>
  <si>
    <t>Cliente Simulado 044</t>
  </si>
  <si>
    <t>OP-0315</t>
  </si>
  <si>
    <t>OP-0316</t>
  </si>
  <si>
    <t>OP-0317</t>
  </si>
  <si>
    <t>OP-0318</t>
  </si>
  <si>
    <t>OP-0319</t>
  </si>
  <si>
    <t>OP-0320</t>
  </si>
  <si>
    <t>OP-0321</t>
  </si>
  <si>
    <t>OP-0322</t>
  </si>
  <si>
    <t>OP-0323</t>
  </si>
  <si>
    <t>OP-0324</t>
  </si>
  <si>
    <t>OP-0325</t>
  </si>
  <si>
    <t>OP-0326</t>
  </si>
  <si>
    <t>OP-0327</t>
  </si>
  <si>
    <t>OP-0328</t>
  </si>
  <si>
    <t>Cliente Simulado 038</t>
  </si>
  <si>
    <t>OP-0329</t>
  </si>
  <si>
    <t>OP-0330</t>
  </si>
  <si>
    <t>Cliente Simulado 257</t>
  </si>
  <si>
    <t>OP-0331</t>
  </si>
  <si>
    <t>Cliente Simulado 087</t>
  </si>
  <si>
    <t>OP-0332</t>
  </si>
  <si>
    <t>Cliente Simulado 102</t>
  </si>
  <si>
    <t>OP-0333</t>
  </si>
  <si>
    <t>Cliente Simulado 078</t>
  </si>
  <si>
    <t>OP-0334</t>
  </si>
  <si>
    <t>Cliente Simulado 015</t>
  </si>
  <si>
    <t>OP-0335</t>
  </si>
  <si>
    <t>OP-0336</t>
  </si>
  <si>
    <t>OP-0337</t>
  </si>
  <si>
    <t>OP-0338</t>
  </si>
  <si>
    <t>OP-0339</t>
  </si>
  <si>
    <t>OP-0340</t>
  </si>
  <si>
    <t>OP-0341</t>
  </si>
  <si>
    <t>OP-0342</t>
  </si>
  <si>
    <t>OP-0343</t>
  </si>
  <si>
    <t>OP-0344</t>
  </si>
  <si>
    <t>Cliente Simulado 174</t>
  </si>
  <si>
    <t>OP-0345</t>
  </si>
  <si>
    <t>Cliente Simulado 277</t>
  </si>
  <si>
    <t>OP-0346</t>
  </si>
  <si>
    <t>OP-0347</t>
  </si>
  <si>
    <t>OP-0348</t>
  </si>
  <si>
    <t>OP-0349</t>
  </si>
  <si>
    <t>OP-0350</t>
  </si>
  <si>
    <t>OP-0351</t>
  </si>
  <si>
    <t>Cliente Simulado 190</t>
  </si>
  <si>
    <t>OP-0352</t>
  </si>
  <si>
    <t>OP-0353</t>
  </si>
  <si>
    <t>OP-0354</t>
  </si>
  <si>
    <t>Cliente Simulado 040</t>
  </si>
  <si>
    <t>OP-0355</t>
  </si>
  <si>
    <t>Cliente Simulado 154</t>
  </si>
  <si>
    <t>OP-0356</t>
  </si>
  <si>
    <t>OP-0357</t>
  </si>
  <si>
    <t>OP-0358</t>
  </si>
  <si>
    <t>OP-0359</t>
  </si>
  <si>
    <t>OP-0360</t>
  </si>
  <si>
    <t>OP-0361</t>
  </si>
  <si>
    <t>OP-0362</t>
  </si>
  <si>
    <t>Cliente Simulado 108</t>
  </si>
  <si>
    <t>OP-0363</t>
  </si>
  <si>
    <t>OP-0364</t>
  </si>
  <si>
    <t>OP-0365</t>
  </si>
  <si>
    <t>OP-0366</t>
  </si>
  <si>
    <t>OP-0367</t>
  </si>
  <si>
    <t>OP-0368</t>
  </si>
  <si>
    <t>OP-0369</t>
  </si>
  <si>
    <t>OP-0370</t>
  </si>
  <si>
    <t>OP-0371</t>
  </si>
  <si>
    <t>Cliente Simulado 116</t>
  </si>
  <si>
    <t>OP-0372</t>
  </si>
  <si>
    <t>OP-0373</t>
  </si>
  <si>
    <t>OP-0374</t>
  </si>
  <si>
    <t>OP-0375</t>
  </si>
  <si>
    <t>OP-0376</t>
  </si>
  <si>
    <t>Cliente Simulado 024</t>
  </si>
  <si>
    <t>OP-0377</t>
  </si>
  <si>
    <t>OP-0378</t>
  </si>
  <si>
    <t>OP-0379</t>
  </si>
  <si>
    <t>Cliente Simulado 175</t>
  </si>
  <si>
    <t>OP-0380</t>
  </si>
  <si>
    <t>Cliente Simulado 241</t>
  </si>
  <si>
    <t>OP-0381</t>
  </si>
  <si>
    <t>OP-0382</t>
  </si>
  <si>
    <t>Cliente Simulado 244</t>
  </si>
  <si>
    <t>OP-0383</t>
  </si>
  <si>
    <t>OP-0384</t>
  </si>
  <si>
    <t>OP-0385</t>
  </si>
  <si>
    <t>OP-0386</t>
  </si>
  <si>
    <t>Cliente Simulado 208</t>
  </si>
  <si>
    <t>OP-0387</t>
  </si>
  <si>
    <t>OP-0388</t>
  </si>
  <si>
    <t>OP-0389</t>
  </si>
  <si>
    <t>Cliente Simulado 246</t>
  </si>
  <si>
    <t>OP-0390</t>
  </si>
  <si>
    <t>Cliente Simulado 240</t>
  </si>
  <si>
    <t>OP-0391</t>
  </si>
  <si>
    <t>OP-0392</t>
  </si>
  <si>
    <t>Cliente Simulado 151</t>
  </si>
  <si>
    <t>OP-0393</t>
  </si>
  <si>
    <t>OP-0394</t>
  </si>
  <si>
    <t>OP-0395</t>
  </si>
  <si>
    <t>OP-0396</t>
  </si>
  <si>
    <t>OP-0397</t>
  </si>
  <si>
    <t>OP-0398</t>
  </si>
  <si>
    <t>Cliente Simulado 096</t>
  </si>
  <si>
    <t>OP-0399</t>
  </si>
  <si>
    <t>OP-0400</t>
  </si>
  <si>
    <t>OP-0401</t>
  </si>
  <si>
    <t>Cliente Simulado 068</t>
  </si>
  <si>
    <t>OP-0402</t>
  </si>
  <si>
    <t>OP-0403</t>
  </si>
  <si>
    <t>OP-0404</t>
  </si>
  <si>
    <t>OP-0405</t>
  </si>
  <si>
    <t>OP-0406</t>
  </si>
  <si>
    <t>OP-0407</t>
  </si>
  <si>
    <t>OP-0408</t>
  </si>
  <si>
    <t>OP-0409</t>
  </si>
  <si>
    <t>OP-0410</t>
  </si>
  <si>
    <t>OP-0411</t>
  </si>
  <si>
    <t>OP-0412</t>
  </si>
  <si>
    <t>OP-0413</t>
  </si>
  <si>
    <t>OP-0414</t>
  </si>
  <si>
    <t>OP-0415</t>
  </si>
  <si>
    <t>OP-0416</t>
  </si>
  <si>
    <t>OP-0417</t>
  </si>
  <si>
    <t>OP-0418</t>
  </si>
  <si>
    <t>OP-0419</t>
  </si>
  <si>
    <t>OP-0420</t>
  </si>
  <si>
    <t>OP-0421</t>
  </si>
  <si>
    <t>OP-0422</t>
  </si>
  <si>
    <t>Cliente Simulado 047</t>
  </si>
  <si>
    <t>OP-0423</t>
  </si>
  <si>
    <t>OP-0424</t>
  </si>
  <si>
    <t>OP-0425</t>
  </si>
  <si>
    <t>OP-0426</t>
  </si>
  <si>
    <t>OP-0427</t>
  </si>
  <si>
    <t>Cliente Simulado 026</t>
  </si>
  <si>
    <t>OP-0428</t>
  </si>
  <si>
    <t>OP-0429</t>
  </si>
  <si>
    <t>OP-0430</t>
  </si>
  <si>
    <t>OP-0431</t>
  </si>
  <si>
    <t>OP-0432</t>
  </si>
  <si>
    <t>OP-0433</t>
  </si>
  <si>
    <t>OP-0434</t>
  </si>
  <si>
    <t>OP-0435</t>
  </si>
  <si>
    <t>Cliente Simulado 056</t>
  </si>
  <si>
    <t>OP-0436</t>
  </si>
  <si>
    <t>OP-0437</t>
  </si>
  <si>
    <t>OP-0438</t>
  </si>
  <si>
    <t>OP-0439</t>
  </si>
  <si>
    <t>OP-0440</t>
  </si>
  <si>
    <t>OP-0441</t>
  </si>
  <si>
    <t>OP-0442</t>
  </si>
  <si>
    <t>OP-0443</t>
  </si>
  <si>
    <t>OP-0444</t>
  </si>
  <si>
    <t>OP-0445</t>
  </si>
  <si>
    <t>OP-0446</t>
  </si>
  <si>
    <t>OP-0447</t>
  </si>
  <si>
    <t>OP-0448</t>
  </si>
  <si>
    <t>OP-0449</t>
  </si>
  <si>
    <t>OP-0450</t>
  </si>
  <si>
    <t>OP-0451</t>
  </si>
  <si>
    <t>OP-0452</t>
  </si>
  <si>
    <t>OP-0453</t>
  </si>
  <si>
    <t>OP-0454</t>
  </si>
  <si>
    <t>OP-0455</t>
  </si>
  <si>
    <t>Cliente Simulado 169</t>
  </si>
  <si>
    <t>OP-0456</t>
  </si>
  <si>
    <t>OP-0457</t>
  </si>
  <si>
    <t>Cliente Simulado 225</t>
  </si>
  <si>
    <t>OP-0458</t>
  </si>
  <si>
    <t>Cliente Simulado 253</t>
  </si>
  <si>
    <t>OP-0459</t>
  </si>
  <si>
    <t>OP-0460</t>
  </si>
  <si>
    <t>OP-0461</t>
  </si>
  <si>
    <t>OP-0462</t>
  </si>
  <si>
    <t>OP-0463</t>
  </si>
  <si>
    <t>OP-0464</t>
  </si>
  <si>
    <t>OP-0465</t>
  </si>
  <si>
    <t>OP-0466</t>
  </si>
  <si>
    <t>OP-0467</t>
  </si>
  <si>
    <t>OP-0468</t>
  </si>
  <si>
    <t>OP-0469</t>
  </si>
  <si>
    <t>Cliente Simulado 118</t>
  </si>
  <si>
    <t>OP-0470</t>
  </si>
  <si>
    <t>Cliente Simulado 198</t>
  </si>
  <si>
    <t>OP-0471</t>
  </si>
  <si>
    <t>Cliente Simulado 112</t>
  </si>
  <si>
    <t>OP-0472</t>
  </si>
  <si>
    <t>Cliente Simulado 065</t>
  </si>
  <si>
    <t>OP-0473</t>
  </si>
  <si>
    <t>OP-0474</t>
  </si>
  <si>
    <t>OP-0475</t>
  </si>
  <si>
    <t>Cliente Simulado 248</t>
  </si>
  <si>
    <t>OP-0476</t>
  </si>
  <si>
    <t>OP-0477</t>
  </si>
  <si>
    <t>OP-0478</t>
  </si>
  <si>
    <t>OP-0479</t>
  </si>
  <si>
    <t>Cliente Simulado 122</t>
  </si>
  <si>
    <t>OP-0480</t>
  </si>
  <si>
    <t>OP-0481</t>
  </si>
  <si>
    <t>OP-0482</t>
  </si>
  <si>
    <t>OP-0483</t>
  </si>
  <si>
    <t>OP-0484</t>
  </si>
  <si>
    <t>OP-0485</t>
  </si>
  <si>
    <t>Cliente Simulado 093</t>
  </si>
  <si>
    <t>OP-0486</t>
  </si>
  <si>
    <t>OP-0487</t>
  </si>
  <si>
    <t>OP-0488</t>
  </si>
  <si>
    <t>OP-0489</t>
  </si>
  <si>
    <t>Cliente Simulado 059</t>
  </si>
  <si>
    <t>OP-0490</t>
  </si>
  <si>
    <t>OP-0491</t>
  </si>
  <si>
    <t>Cliente Simulado 107</t>
  </si>
  <si>
    <t>OP-0492</t>
  </si>
  <si>
    <t>OP-0493</t>
  </si>
  <si>
    <t>Cliente Simulado 194</t>
  </si>
  <si>
    <t>OP-0494</t>
  </si>
  <si>
    <t>OP-0495</t>
  </si>
  <si>
    <t>OP-0496</t>
  </si>
  <si>
    <t>OP-0497</t>
  </si>
  <si>
    <t>OP-0498</t>
  </si>
  <si>
    <t>Cliente Simulado 262</t>
  </si>
  <si>
    <t>OP-0499</t>
  </si>
  <si>
    <t>OP-0500</t>
  </si>
  <si>
    <t>OP-0501</t>
  </si>
  <si>
    <t>OP-0502</t>
  </si>
  <si>
    <t>OP-0503</t>
  </si>
  <si>
    <t>OP-0504</t>
  </si>
  <si>
    <t>OP-0505</t>
  </si>
  <si>
    <t>OP-0506</t>
  </si>
  <si>
    <t>OP-0507</t>
  </si>
  <si>
    <t>OP-0508</t>
  </si>
  <si>
    <t>OP-0509</t>
  </si>
  <si>
    <t>OP-0510</t>
  </si>
  <si>
    <t>Cliente Simulado 081</t>
  </si>
  <si>
    <t>OP-0511</t>
  </si>
  <si>
    <t>OP-0512</t>
  </si>
  <si>
    <t>OP-0513</t>
  </si>
  <si>
    <t>OP-0514</t>
  </si>
  <si>
    <t>OP-0515</t>
  </si>
  <si>
    <t>OP-0516</t>
  </si>
  <si>
    <t>OP-0517</t>
  </si>
  <si>
    <t>OP-0518</t>
  </si>
  <si>
    <t>OP-0519</t>
  </si>
  <si>
    <t>OP-0520</t>
  </si>
  <si>
    <t>OP-0521</t>
  </si>
  <si>
    <t>OP-0522</t>
  </si>
  <si>
    <t>OP-0523</t>
  </si>
  <si>
    <t>Cliente Simulado 230</t>
  </si>
  <si>
    <t>OP-0524</t>
  </si>
  <si>
    <t>OP-0525</t>
  </si>
  <si>
    <t>OP-0526</t>
  </si>
  <si>
    <t>OP-0527</t>
  </si>
  <si>
    <t>OP-0528</t>
  </si>
  <si>
    <t>OP-0529</t>
  </si>
  <si>
    <t>Cliente Simulado 239</t>
  </si>
  <si>
    <t>OP-0530</t>
  </si>
  <si>
    <t>Cliente Simulado 025</t>
  </si>
  <si>
    <t>OP-0531</t>
  </si>
  <si>
    <t>OP-0532</t>
  </si>
  <si>
    <t>Cliente Simulado 273</t>
  </si>
  <si>
    <t>OP-0533</t>
  </si>
  <si>
    <t>OP-0534</t>
  </si>
  <si>
    <t>Cliente Simulado 006</t>
  </si>
  <si>
    <t>OP-0535</t>
  </si>
  <si>
    <t>OP-0536</t>
  </si>
  <si>
    <t>Cliente Simulado 039</t>
  </si>
  <si>
    <t>OP-0537</t>
  </si>
  <si>
    <t>OP-0538</t>
  </si>
  <si>
    <t>OP-0539</t>
  </si>
  <si>
    <t>OP-0540</t>
  </si>
  <si>
    <t>OP-0541</t>
  </si>
  <si>
    <t>OP-0542</t>
  </si>
  <si>
    <t>OP-0543</t>
  </si>
  <si>
    <t>Cliente Simulado 206</t>
  </si>
  <si>
    <t>OP-0544</t>
  </si>
  <si>
    <t>OP-0545</t>
  </si>
  <si>
    <t>OP-0546</t>
  </si>
  <si>
    <t>OP-0547</t>
  </si>
  <si>
    <t>OP-0548</t>
  </si>
  <si>
    <t>OP-0549</t>
  </si>
  <si>
    <t>OP-0550</t>
  </si>
  <si>
    <t>OP-0551</t>
  </si>
  <si>
    <t>OP-0552</t>
  </si>
  <si>
    <t>OP-0553</t>
  </si>
  <si>
    <t>Cliente Simulado 140</t>
  </si>
  <si>
    <t>OP-0554</t>
  </si>
  <si>
    <t>OP-0555</t>
  </si>
  <si>
    <t>OP-0556</t>
  </si>
  <si>
    <t>OP-0557</t>
  </si>
  <si>
    <t>OP-0558</t>
  </si>
  <si>
    <t>OP-0559</t>
  </si>
  <si>
    <t>OP-0560</t>
  </si>
  <si>
    <t>OP-0561</t>
  </si>
  <si>
    <t>OP-0562</t>
  </si>
  <si>
    <t>OP-0563</t>
  </si>
  <si>
    <t>OP-0564</t>
  </si>
  <si>
    <t>Cliente Simulado 036</t>
  </si>
  <si>
    <t>OP-0565</t>
  </si>
  <si>
    <t>OP-0566</t>
  </si>
  <si>
    <t>OP-0567</t>
  </si>
  <si>
    <t>Cliente Simulado 072</t>
  </si>
  <si>
    <t>OP-0568</t>
  </si>
  <si>
    <t>OP-0569</t>
  </si>
  <si>
    <t>OP-0570</t>
  </si>
  <si>
    <t>OP-0571</t>
  </si>
  <si>
    <t>OP-0572</t>
  </si>
  <si>
    <t>OP-0573</t>
  </si>
  <si>
    <t>Cliente Simulado 261</t>
  </si>
  <si>
    <t>OP-0574</t>
  </si>
  <si>
    <t>OP-0575</t>
  </si>
  <si>
    <t>OP-0576</t>
  </si>
  <si>
    <t>OP-0577</t>
  </si>
  <si>
    <t>OP-0578</t>
  </si>
  <si>
    <t>Cliente Simulado 097</t>
  </si>
  <si>
    <t>OP-0579</t>
  </si>
  <si>
    <t>OP-0580</t>
  </si>
  <si>
    <t>OP-0581</t>
  </si>
  <si>
    <t>Cliente Simulado 259</t>
  </si>
  <si>
    <t>OP-0582</t>
  </si>
  <si>
    <t>OP-0583</t>
  </si>
  <si>
    <t>OP-0584</t>
  </si>
  <si>
    <t>OP-0585</t>
  </si>
  <si>
    <t>OP-0586</t>
  </si>
  <si>
    <t>OP-0587</t>
  </si>
  <si>
    <t>OP-0588</t>
  </si>
  <si>
    <t>OP-0589</t>
  </si>
  <si>
    <t>OP-0590</t>
  </si>
  <si>
    <t>Cliente Simulado 119</t>
  </si>
  <si>
    <t>OP-0591</t>
  </si>
  <si>
    <t>OP-0592</t>
  </si>
  <si>
    <t>OP-0593</t>
  </si>
  <si>
    <t>OP-0594</t>
  </si>
  <si>
    <t>OP-0595</t>
  </si>
  <si>
    <t>OP-0596</t>
  </si>
  <si>
    <t>Cliente Simulado 064</t>
  </si>
  <si>
    <t>OP-0597</t>
  </si>
  <si>
    <t>OP-0598</t>
  </si>
  <si>
    <t>OP-0599</t>
  </si>
  <si>
    <t>OP-0600</t>
  </si>
  <si>
    <t>Cliente Simulado 019</t>
  </si>
  <si>
    <t>METAS COMERCIAIS | 2025 (SINTÉTICAS)</t>
  </si>
  <si>
    <t>Mês</t>
  </si>
  <si>
    <t>Meta_Receita_Kz</t>
  </si>
  <si>
    <t>Receita_Realizada_Kz</t>
  </si>
  <si>
    <t>Cumprimento_Pct</t>
  </si>
  <si>
    <t>Desvio_Kz</t>
  </si>
  <si>
    <t>PAINEL DE REFERÊNCIA | KPIs COMERCIAIS</t>
  </si>
  <si>
    <t>Receita líquida</t>
  </si>
  <si>
    <t>Meta</t>
  </si>
  <si>
    <t>Receita líquida (Kz)</t>
  </si>
  <si>
    <t>Negócios ganhos</t>
  </si>
  <si>
    <t>Unidades vendidas</t>
  </si>
  <si>
    <t>Ticket médio (Kz)</t>
  </si>
  <si>
    <t>Lucro bruto (Kz)</t>
  </si>
  <si>
    <t>Margem bruta</t>
  </si>
  <si>
    <t>Taxa de conversão</t>
  </si>
  <si>
    <t>Desconto médio ponderado</t>
  </si>
  <si>
    <t>Cumprimento anual da meta</t>
  </si>
  <si>
    <t>DESAFIO: recriar e expandir este painel com tabelas dinâmicas, gráficos e segmentações.</t>
  </si>
  <si>
    <t>DICIONÁRIO DE DADOS E REGRAS</t>
  </si>
  <si>
    <t>Campo / KPI</t>
  </si>
  <si>
    <t>Definição</t>
  </si>
  <si>
    <t>Tipo</t>
  </si>
  <si>
    <t>Observações</t>
  </si>
  <si>
    <t>Identificador único de cada oportunidade</t>
  </si>
  <si>
    <t>Texto</t>
  </si>
  <si>
    <t>600 oportunidades, incluindo as não concluídas</t>
  </si>
  <si>
    <t>Data de registo da oportunidade</t>
  </si>
  <si>
    <t>Ano 2025</t>
  </si>
  <si>
    <t>Responsável comercial</t>
  </si>
  <si>
    <t>Nomes fictícios</t>
  </si>
  <si>
    <t>Província da operação</t>
  </si>
  <si>
    <t>Contexto Angola</t>
  </si>
  <si>
    <t>Canal de contacto comercial</t>
  </si>
  <si>
    <t>Loja, WhatsApp, Telefone, Visita, Website</t>
  </si>
  <si>
    <t>Identificação anonimizada e inventada</t>
  </si>
  <si>
    <t>Pode repetir-se</t>
  </si>
  <si>
    <t>Categoria / Produto</t>
  </si>
  <si>
    <t>Artigo comercializado</t>
  </si>
  <si>
    <t>Catálogo fictício</t>
  </si>
  <si>
    <t>Unidades por oportunidade</t>
  </si>
  <si>
    <t>Número</t>
  </si>
  <si>
    <t>Só contar como vendidas se Ganho</t>
  </si>
  <si>
    <t>Preço unitário antes do desconto</t>
  </si>
  <si>
    <t>Kz</t>
  </si>
  <si>
    <t>Valor inventado</t>
  </si>
  <si>
    <t>Custo unitário estimado</t>
  </si>
  <si>
    <t>Percentagem de desconto</t>
  </si>
  <si>
    <t>Percentagem</t>
  </si>
  <si>
    <t>Aplica-se sobre receita bruta</t>
  </si>
  <si>
    <t>Situação da oportunidade</t>
  </si>
  <si>
    <t>Ganho / Perdido / Em negociação</t>
  </si>
  <si>
    <t>Origem da oportunidade</t>
  </si>
  <si>
    <t>Fonte sintética</t>
  </si>
  <si>
    <t>Facturação líquida realizada</t>
  </si>
  <si>
    <t>Zero quando não Ganho</t>
  </si>
  <si>
    <t>Receita líquida menos custo</t>
  </si>
  <si>
    <t>Não equivale a lucro líquido</t>
  </si>
  <si>
    <t>Ganhos / total de oportunidades</t>
  </si>
  <si>
    <t>Todas as oportunidades na base</t>
  </si>
  <si>
    <t>Cumprimento da meta</t>
  </si>
  <si>
    <t>Receita líquida / meta mensal</t>
  </si>
  <si>
    <t>Metas fictícias por mês</t>
  </si>
  <si>
    <r>
      <t>Assuma a função de Técnico de Vendas da empresa fictícia</t>
    </r>
    <r>
      <rPr>
        <b/>
        <sz val="11"/>
        <color rgb="FFFF0000"/>
        <rFont val="Carlito"/>
      </rPr>
      <t xml:space="preserve"> Kwanza Comercial</t>
    </r>
    <r>
      <rPr>
        <sz val="11"/>
        <rFont val="Carlito"/>
      </rPr>
      <t>, que comercializa equipamentos e material de escritório em Angola.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</si>
</sst>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0.0%"/>
    <numFmt numFmtId="166" formatCode="#,##0\ &quot;Kz&quot;"/>
  </numFmts>
  <fonts count="6">
    <font>
      <sz val="11"/>
      <name val="Carlito"/>
    </font>
    <font>
      <b/>
      <sz val="15"/>
      <color rgb="FFFFFFFF"/>
      <name val="Carlito"/>
    </font>
    <font>
      <b/>
      <sz val="11"/>
      <color rgb="FF15345A"/>
      <name val="Carlito"/>
    </font>
    <font>
      <b/>
      <sz val="11"/>
      <color rgb="FFFFFFFF"/>
      <name val="Carlito"/>
    </font>
    <font>
      <sz val="11"/>
      <color rgb="FF087E91"/>
      <name val="Carlito"/>
    </font>
    <font>
      <b/>
      <sz val="11"/>
      <color rgb="FFFF000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345A"/>
      </patternFill>
    </fill>
    <fill>
      <patternFill patternType="solid">
        <fgColor rgb="FF087E91"/>
      </patternFill>
    </fill>
    <fill>
      <patternFill patternType="solid">
        <fgColor rgb="FFFFFF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3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166" fontId="0" fillId="0" borderId="0" xfId="0" applyNumberFormat="1" applyFont="1" applyFill="1" applyBorder="1"/>
    <xf numFmtId="0" fontId="4" fillId="0" borderId="0" xfId="0" applyNumberFormat="1" applyFont="1" applyFill="1" applyBorder="1"/>
    <xf numFmtId="0" fontId="1" fillId="2" borderId="0" xfId="0" applyNumberFormat="1" applyFont="1" applyFill="1" applyBorder="1"/>
    <xf numFmtId="0" fontId="0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en-US"/>
              <a:t>Evolução mensal: realizado vs meta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Receita líquida</c:v>
          </c:tx>
          <c:marker>
            <c:symbol val="none"/>
          </c:marker>
          <c:cat>
            <c:numRef>
              <c:f>Dashboard_Modelo!$D$4:$D$15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Dashboard_Modelo!$E$4:$E$15</c:f>
              <c:numCache>
                <c:formatCode>General</c:formatCode>
                <c:ptCount val="12"/>
                <c:pt idx="0">
                  <c:v>16665223</c:v>
                </c:pt>
                <c:pt idx="1">
                  <c:v>13995946</c:v>
                </c:pt>
                <c:pt idx="2">
                  <c:v>14582310</c:v>
                </c:pt>
                <c:pt idx="3">
                  <c:v>14525823</c:v>
                </c:pt>
                <c:pt idx="4">
                  <c:v>9597740</c:v>
                </c:pt>
                <c:pt idx="5">
                  <c:v>12004764</c:v>
                </c:pt>
                <c:pt idx="6">
                  <c:v>13976404</c:v>
                </c:pt>
                <c:pt idx="7">
                  <c:v>15764706</c:v>
                </c:pt>
                <c:pt idx="8">
                  <c:v>10649043</c:v>
                </c:pt>
                <c:pt idx="9">
                  <c:v>13958937</c:v>
                </c:pt>
                <c:pt idx="10">
                  <c:v>11237946</c:v>
                </c:pt>
                <c:pt idx="11">
                  <c:v>12684684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0-430B-A95D-732A36CA5FEA}"/>
            </c:ext>
          </c:extLst>
        </c:ser>
        <c:ser>
          <c:idx val="1"/>
          <c:order val="1"/>
          <c:tx>
            <c:v>Meta</c:v>
          </c:tx>
          <c:marker>
            <c:symbol val="none"/>
          </c:marker>
          <c:cat>
            <c:numRef>
              <c:f>Dashboard_Modelo!$D$4:$D$15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Dashboard_Modelo!$F$4:$F$15</c:f>
              <c:numCache>
                <c:formatCode>General</c:formatCode>
                <c:ptCount val="12"/>
                <c:pt idx="0">
                  <c:v>16000000</c:v>
                </c:pt>
                <c:pt idx="1">
                  <c:v>16500000</c:v>
                </c:pt>
                <c:pt idx="2">
                  <c:v>18000000</c:v>
                </c:pt>
                <c:pt idx="3">
                  <c:v>18000000</c:v>
                </c:pt>
                <c:pt idx="4">
                  <c:v>19000000</c:v>
                </c:pt>
                <c:pt idx="5">
                  <c:v>17000000</c:v>
                </c:pt>
                <c:pt idx="6">
                  <c:v>18000000</c:v>
                </c:pt>
                <c:pt idx="7">
                  <c:v>19000000</c:v>
                </c:pt>
                <c:pt idx="8">
                  <c:v>19000000</c:v>
                </c:pt>
                <c:pt idx="9">
                  <c:v>13500000</c:v>
                </c:pt>
                <c:pt idx="10">
                  <c:v>19000000</c:v>
                </c:pt>
                <c:pt idx="11">
                  <c:v>19500000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E0-430B-A95D-732A36CA5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layout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17</xdr:col>
      <xdr:colOff>0</xdr:colOff>
      <xdr:row>19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Vendas" displayName="TabelaVendas" ref="A1:V601" totalsRowShown="0">
  <tableColumns count="22">
    <tableColumn id="1" name="ID_Oportunidade"/>
    <tableColumn id="2" name="Data"/>
    <tableColumn id="3" name="Vendedor"/>
    <tableColumn id="4" name="Provincia"/>
    <tableColumn id="5" name="Canal"/>
    <tableColumn id="6" name="Cliente_Ficticio"/>
    <tableColumn id="7" name="Categoria"/>
    <tableColumn id="8" name="Produto"/>
    <tableColumn id="9" name="Quantidade"/>
    <tableColumn id="10" name="Preco_Unitario_Kz"/>
    <tableColumn id="11" name="Custo_Unitario_Kz"/>
    <tableColumn id="12" name="Desconto_Pct"/>
    <tableColumn id="13" name="Estado"/>
    <tableColumn id="14" name="Origem_Lead"/>
    <tableColumn id="15" name="Mes"/>
    <tableColumn id="16" name="Trimestre"/>
    <tableColumn id="17" name="Receita_Bruta_Kz"/>
    <tableColumn id="18" name="Desconto_Kz"/>
    <tableColumn id="19" name="Receita_Liquida_Kz"/>
    <tableColumn id="20" name="Custo_Total_Kz"/>
    <tableColumn id="21" name="Lucro_Bruto_Kz"/>
    <tableColumn id="22" name="Margem_Bruta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opLeftCell="A13" workbookViewId="0">
      <selection activeCell="A7" sqref="A7:XFD7"/>
    </sheetView>
  </sheetViews>
  <sheetFormatPr defaultRowHeight="14.25"/>
  <cols>
    <col min="1" max="1" width="29" customWidth="1"/>
    <col min="2" max="2" width="105" customWidth="1"/>
  </cols>
  <sheetData>
    <row r="1" spans="1:8" ht="32.1" customHeight="1">
      <c r="A1" s="8" t="s">
        <v>0</v>
      </c>
      <c r="B1" s="8"/>
      <c r="C1" s="8"/>
      <c r="D1" s="8"/>
      <c r="E1" s="8"/>
      <c r="F1" s="8"/>
      <c r="G1" s="8"/>
      <c r="H1" s="8"/>
    </row>
    <row r="3" spans="1:8" ht="47.1" customHeight="1">
      <c r="A3" s="1" t="s">
        <v>1</v>
      </c>
      <c r="B3" s="2" t="s">
        <v>2</v>
      </c>
    </row>
    <row r="4" spans="1:8" ht="47.1" customHeight="1">
      <c r="A4" s="1" t="s">
        <v>3</v>
      </c>
      <c r="B4" s="2" t="s">
        <v>1006</v>
      </c>
    </row>
    <row r="5" spans="1:8" ht="47.1" customHeight="1">
      <c r="A5" s="1" t="s">
        <v>4</v>
      </c>
      <c r="B5" s="2" t="s">
        <v>5</v>
      </c>
    </row>
    <row r="6" spans="1:8" ht="47.1" customHeight="1">
      <c r="A6" s="1" t="s">
        <v>6</v>
      </c>
      <c r="B6" s="9" t="s">
        <v>7</v>
      </c>
    </row>
    <row r="7" spans="1:8" ht="47.1" customHeight="1">
      <c r="A7" s="1" t="s">
        <v>8</v>
      </c>
      <c r="B7" s="2" t="s">
        <v>9</v>
      </c>
    </row>
    <row r="8" spans="1:8" ht="47.1" customHeight="1">
      <c r="A8" s="1" t="s">
        <v>10</v>
      </c>
      <c r="B8" s="2" t="s">
        <v>11</v>
      </c>
    </row>
    <row r="9" spans="1:8" ht="47.1" customHeight="1">
      <c r="A9" s="1" t="s">
        <v>12</v>
      </c>
      <c r="B9" s="2" t="s">
        <v>13</v>
      </c>
    </row>
    <row r="10" spans="1:8" ht="47.1" customHeight="1">
      <c r="A10" s="1" t="s">
        <v>14</v>
      </c>
      <c r="B10" s="2" t="s">
        <v>15</v>
      </c>
    </row>
    <row r="11" spans="1:8" ht="47.1" customHeight="1">
      <c r="A11" s="1" t="s">
        <v>16</v>
      </c>
      <c r="B11" s="2" t="s">
        <v>17</v>
      </c>
    </row>
    <row r="12" spans="1:8" ht="47.1" customHeight="1">
      <c r="A12" s="1" t="s">
        <v>18</v>
      </c>
      <c r="B12" s="2" t="s">
        <v>19</v>
      </c>
    </row>
    <row r="13" spans="1:8" ht="47.1" customHeight="1">
      <c r="A13" s="1" t="s">
        <v>20</v>
      </c>
      <c r="B13" s="2" t="s">
        <v>21</v>
      </c>
    </row>
    <row r="14" spans="1:8" ht="47.1" customHeight="1">
      <c r="A14" s="1" t="s">
        <v>22</v>
      </c>
      <c r="B14" s="2" t="s">
        <v>23</v>
      </c>
    </row>
    <row r="15" spans="1:8" ht="47.1" customHeight="1">
      <c r="A15" s="1" t="s">
        <v>24</v>
      </c>
      <c r="B15" s="2" t="s">
        <v>25</v>
      </c>
    </row>
    <row r="16" spans="1:8" ht="47.1" customHeight="1">
      <c r="A16" s="1" t="s">
        <v>26</v>
      </c>
      <c r="B16" s="2" t="s">
        <v>27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01"/>
  <sheetViews>
    <sheetView topLeftCell="O1" workbookViewId="0">
      <pane ySplit="1" topLeftCell="A2" activePane="bottomLeft" state="frozen"/>
      <selection pane="bottomLeft" activeCell="B38" sqref="B38"/>
    </sheetView>
  </sheetViews>
  <sheetFormatPr defaultRowHeight="14.25"/>
  <cols>
    <col min="1" max="1" width="19" customWidth="1"/>
    <col min="2" max="2" width="15" customWidth="1"/>
    <col min="3" max="8" width="23" customWidth="1"/>
    <col min="9" max="22" width="19" customWidth="1"/>
  </cols>
  <sheetData>
    <row r="1" spans="1:22" ht="27" customHeight="1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  <c r="I1" s="3" t="s">
        <v>36</v>
      </c>
      <c r="J1" s="3" t="s">
        <v>37</v>
      </c>
      <c r="K1" s="3" t="s">
        <v>38</v>
      </c>
      <c r="L1" s="3" t="s">
        <v>39</v>
      </c>
      <c r="M1" s="3" t="s">
        <v>40</v>
      </c>
      <c r="N1" s="3" t="s">
        <v>41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</row>
    <row r="2" spans="1:22">
      <c r="A2" t="s">
        <v>50</v>
      </c>
      <c r="B2" s="4">
        <v>45928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>
        <v>1</v>
      </c>
      <c r="J2" s="6">
        <v>138000</v>
      </c>
      <c r="K2" s="6">
        <v>99000</v>
      </c>
      <c r="L2" s="5">
        <v>0.12</v>
      </c>
      <c r="M2" t="s">
        <v>57</v>
      </c>
      <c r="N2" t="s">
        <v>58</v>
      </c>
      <c r="O2">
        <f t="shared" ref="O2:O65" si="0">MONTH(B2)</f>
        <v>9</v>
      </c>
      <c r="P2">
        <f t="shared" ref="P2:P65" si="1">ROUNDUP(O2/3,0)</f>
        <v>3</v>
      </c>
      <c r="Q2" s="6">
        <f t="shared" ref="Q2:Q65" si="2">I2*J2</f>
        <v>138000</v>
      </c>
      <c r="R2" s="6">
        <f t="shared" ref="R2:R65" si="3">Q2*L2</f>
        <v>16560</v>
      </c>
      <c r="S2" s="6">
        <f t="shared" ref="S2:S65" si="4">IF(M2="Ganho",Q2-R2,0)</f>
        <v>121440</v>
      </c>
      <c r="T2" s="6">
        <f t="shared" ref="T2:T65" si="5">IF(M2="Ganho",I2*K2,0)</f>
        <v>99000</v>
      </c>
      <c r="U2" s="6">
        <f t="shared" ref="U2:U65" si="6">S2-T2</f>
        <v>22440</v>
      </c>
      <c r="V2" s="5">
        <f t="shared" ref="V2:V65" si="7">IFERROR(U2/S2,0)</f>
        <v>0.18478260869565216</v>
      </c>
    </row>
    <row r="3" spans="1:22">
      <c r="A3" t="s">
        <v>59</v>
      </c>
      <c r="B3" s="4">
        <v>45814</v>
      </c>
      <c r="C3" t="s">
        <v>60</v>
      </c>
      <c r="D3" t="s">
        <v>61</v>
      </c>
      <c r="E3" t="s">
        <v>53</v>
      </c>
      <c r="F3" t="s">
        <v>62</v>
      </c>
      <c r="G3" t="s">
        <v>55</v>
      </c>
      <c r="H3" t="s">
        <v>56</v>
      </c>
      <c r="I3">
        <v>2</v>
      </c>
      <c r="J3" s="6">
        <v>138000</v>
      </c>
      <c r="K3" s="6">
        <v>99000</v>
      </c>
      <c r="L3" s="5">
        <v>0.08</v>
      </c>
      <c r="M3" t="s">
        <v>57</v>
      </c>
      <c r="N3" t="s">
        <v>63</v>
      </c>
      <c r="O3">
        <f t="shared" si="0"/>
        <v>6</v>
      </c>
      <c r="P3">
        <f t="shared" si="1"/>
        <v>2</v>
      </c>
      <c r="Q3" s="6">
        <f t="shared" si="2"/>
        <v>276000</v>
      </c>
      <c r="R3" s="6">
        <f t="shared" si="3"/>
        <v>22080</v>
      </c>
      <c r="S3" s="6">
        <f t="shared" si="4"/>
        <v>253920</v>
      </c>
      <c r="T3" s="6">
        <f t="shared" si="5"/>
        <v>198000</v>
      </c>
      <c r="U3" s="6">
        <f t="shared" si="6"/>
        <v>55920</v>
      </c>
      <c r="V3" s="5">
        <f t="shared" si="7"/>
        <v>0.22022684310018903</v>
      </c>
    </row>
    <row r="4" spans="1:22">
      <c r="A4" t="s">
        <v>64</v>
      </c>
      <c r="B4" s="4">
        <v>45926</v>
      </c>
      <c r="C4" t="s">
        <v>51</v>
      </c>
      <c r="D4" t="s">
        <v>65</v>
      </c>
      <c r="E4" t="s">
        <v>66</v>
      </c>
      <c r="F4" t="s">
        <v>67</v>
      </c>
      <c r="G4" t="s">
        <v>68</v>
      </c>
      <c r="H4" t="s">
        <v>69</v>
      </c>
      <c r="I4">
        <v>1</v>
      </c>
      <c r="J4" s="6">
        <v>115000</v>
      </c>
      <c r="K4" s="6">
        <v>82000</v>
      </c>
      <c r="L4" s="5">
        <v>0.03</v>
      </c>
      <c r="M4" t="s">
        <v>57</v>
      </c>
      <c r="N4" t="s">
        <v>70</v>
      </c>
      <c r="O4">
        <f t="shared" si="0"/>
        <v>9</v>
      </c>
      <c r="P4">
        <f t="shared" si="1"/>
        <v>3</v>
      </c>
      <c r="Q4" s="6">
        <f t="shared" si="2"/>
        <v>115000</v>
      </c>
      <c r="R4" s="6">
        <f t="shared" si="3"/>
        <v>3450</v>
      </c>
      <c r="S4" s="6">
        <f t="shared" si="4"/>
        <v>111550</v>
      </c>
      <c r="T4" s="6">
        <f t="shared" si="5"/>
        <v>82000</v>
      </c>
      <c r="U4" s="6">
        <f t="shared" si="6"/>
        <v>29550</v>
      </c>
      <c r="V4" s="5">
        <f t="shared" si="7"/>
        <v>0.26490363065889738</v>
      </c>
    </row>
    <row r="5" spans="1:22">
      <c r="A5" t="s">
        <v>71</v>
      </c>
      <c r="B5" s="4">
        <v>45853</v>
      </c>
      <c r="C5" t="s">
        <v>60</v>
      </c>
      <c r="D5" t="s">
        <v>72</v>
      </c>
      <c r="E5" t="s">
        <v>73</v>
      </c>
      <c r="F5" t="s">
        <v>74</v>
      </c>
      <c r="G5" t="s">
        <v>55</v>
      </c>
      <c r="H5" t="s">
        <v>56</v>
      </c>
      <c r="I5">
        <v>4</v>
      </c>
      <c r="J5" s="6">
        <v>138000</v>
      </c>
      <c r="K5" s="6">
        <v>99000</v>
      </c>
      <c r="L5" s="5">
        <v>0</v>
      </c>
      <c r="M5" t="s">
        <v>57</v>
      </c>
      <c r="N5" t="s">
        <v>75</v>
      </c>
      <c r="O5">
        <f t="shared" si="0"/>
        <v>7</v>
      </c>
      <c r="P5">
        <f t="shared" si="1"/>
        <v>3</v>
      </c>
      <c r="Q5" s="6">
        <f t="shared" si="2"/>
        <v>552000</v>
      </c>
      <c r="R5" s="6">
        <f t="shared" si="3"/>
        <v>0</v>
      </c>
      <c r="S5" s="6">
        <f t="shared" si="4"/>
        <v>552000</v>
      </c>
      <c r="T5" s="6">
        <f t="shared" si="5"/>
        <v>396000</v>
      </c>
      <c r="U5" s="6">
        <f t="shared" si="6"/>
        <v>156000</v>
      </c>
      <c r="V5" s="5">
        <f t="shared" si="7"/>
        <v>0.28260869565217389</v>
      </c>
    </row>
    <row r="6" spans="1:22">
      <c r="A6" t="s">
        <v>76</v>
      </c>
      <c r="B6" s="4">
        <v>45875</v>
      </c>
      <c r="C6" t="s">
        <v>77</v>
      </c>
      <c r="D6" t="s">
        <v>65</v>
      </c>
      <c r="E6" t="s">
        <v>53</v>
      </c>
      <c r="F6" t="s">
        <v>78</v>
      </c>
      <c r="G6" t="s">
        <v>68</v>
      </c>
      <c r="H6" t="s">
        <v>79</v>
      </c>
      <c r="I6">
        <v>4</v>
      </c>
      <c r="J6" s="6">
        <v>19000</v>
      </c>
      <c r="K6" s="6">
        <v>11500</v>
      </c>
      <c r="L6" s="5">
        <v>0.1</v>
      </c>
      <c r="M6" t="s">
        <v>80</v>
      </c>
      <c r="N6" t="s">
        <v>81</v>
      </c>
      <c r="O6">
        <f t="shared" si="0"/>
        <v>8</v>
      </c>
      <c r="P6">
        <f t="shared" si="1"/>
        <v>3</v>
      </c>
      <c r="Q6" s="6">
        <f t="shared" si="2"/>
        <v>76000</v>
      </c>
      <c r="R6" s="6">
        <f t="shared" si="3"/>
        <v>7600</v>
      </c>
      <c r="S6" s="6">
        <f t="shared" si="4"/>
        <v>0</v>
      </c>
      <c r="T6" s="6">
        <f t="shared" si="5"/>
        <v>0</v>
      </c>
      <c r="U6" s="6">
        <f t="shared" si="6"/>
        <v>0</v>
      </c>
      <c r="V6" s="5">
        <f t="shared" si="7"/>
        <v>0</v>
      </c>
    </row>
    <row r="7" spans="1:22">
      <c r="A7" t="s">
        <v>82</v>
      </c>
      <c r="B7" s="4">
        <v>45955</v>
      </c>
      <c r="C7" t="s">
        <v>83</v>
      </c>
      <c r="D7" t="s">
        <v>61</v>
      </c>
      <c r="E7" t="s">
        <v>84</v>
      </c>
      <c r="F7" t="s">
        <v>85</v>
      </c>
      <c r="G7" t="s">
        <v>55</v>
      </c>
      <c r="H7" t="s">
        <v>86</v>
      </c>
      <c r="I7">
        <v>4</v>
      </c>
      <c r="J7" s="6">
        <v>92000</v>
      </c>
      <c r="K7" s="6">
        <v>60000</v>
      </c>
      <c r="L7" s="5">
        <v>0.12</v>
      </c>
      <c r="M7" t="s">
        <v>57</v>
      </c>
      <c r="N7" t="s">
        <v>58</v>
      </c>
      <c r="O7">
        <f t="shared" si="0"/>
        <v>10</v>
      </c>
      <c r="P7">
        <f t="shared" si="1"/>
        <v>4</v>
      </c>
      <c r="Q7" s="6">
        <f t="shared" si="2"/>
        <v>368000</v>
      </c>
      <c r="R7" s="6">
        <f t="shared" si="3"/>
        <v>44160</v>
      </c>
      <c r="S7" s="6">
        <f t="shared" si="4"/>
        <v>323840</v>
      </c>
      <c r="T7" s="6">
        <f t="shared" si="5"/>
        <v>240000</v>
      </c>
      <c r="U7" s="6">
        <f t="shared" si="6"/>
        <v>83840</v>
      </c>
      <c r="V7" s="5">
        <f t="shared" si="7"/>
        <v>0.25889328063241107</v>
      </c>
    </row>
    <row r="8" spans="1:22">
      <c r="A8" t="s">
        <v>87</v>
      </c>
      <c r="B8" s="4">
        <v>45873</v>
      </c>
      <c r="C8" t="s">
        <v>60</v>
      </c>
      <c r="D8" t="s">
        <v>61</v>
      </c>
      <c r="E8" t="s">
        <v>53</v>
      </c>
      <c r="F8" t="s">
        <v>88</v>
      </c>
      <c r="G8" t="s">
        <v>89</v>
      </c>
      <c r="H8" t="s">
        <v>90</v>
      </c>
      <c r="I8">
        <v>6</v>
      </c>
      <c r="J8" s="6">
        <v>5900</v>
      </c>
      <c r="K8" s="6">
        <v>3700</v>
      </c>
      <c r="L8" s="5">
        <v>0</v>
      </c>
      <c r="M8" t="s">
        <v>57</v>
      </c>
      <c r="N8" t="s">
        <v>81</v>
      </c>
      <c r="O8">
        <f t="shared" si="0"/>
        <v>8</v>
      </c>
      <c r="P8">
        <f t="shared" si="1"/>
        <v>3</v>
      </c>
      <c r="Q8" s="6">
        <f t="shared" si="2"/>
        <v>35400</v>
      </c>
      <c r="R8" s="6">
        <f t="shared" si="3"/>
        <v>0</v>
      </c>
      <c r="S8" s="6">
        <f t="shared" si="4"/>
        <v>35400</v>
      </c>
      <c r="T8" s="6">
        <f t="shared" si="5"/>
        <v>22200</v>
      </c>
      <c r="U8" s="6">
        <f t="shared" si="6"/>
        <v>13200</v>
      </c>
      <c r="V8" s="5">
        <f t="shared" si="7"/>
        <v>0.3728813559322034</v>
      </c>
    </row>
    <row r="9" spans="1:22">
      <c r="A9" t="s">
        <v>91</v>
      </c>
      <c r="B9" s="4">
        <v>45811</v>
      </c>
      <c r="C9" t="s">
        <v>92</v>
      </c>
      <c r="D9" t="s">
        <v>93</v>
      </c>
      <c r="E9" t="s">
        <v>94</v>
      </c>
      <c r="F9" t="s">
        <v>67</v>
      </c>
      <c r="G9" t="s">
        <v>89</v>
      </c>
      <c r="H9" t="s">
        <v>95</v>
      </c>
      <c r="I9">
        <v>2</v>
      </c>
      <c r="J9" s="6">
        <v>32000</v>
      </c>
      <c r="K9" s="6">
        <v>21000</v>
      </c>
      <c r="L9" s="5">
        <v>0.08</v>
      </c>
      <c r="M9" t="s">
        <v>57</v>
      </c>
      <c r="N9" t="s">
        <v>75</v>
      </c>
      <c r="O9">
        <f t="shared" si="0"/>
        <v>6</v>
      </c>
      <c r="P9">
        <f t="shared" si="1"/>
        <v>2</v>
      </c>
      <c r="Q9" s="6">
        <f t="shared" si="2"/>
        <v>64000</v>
      </c>
      <c r="R9" s="6">
        <f t="shared" si="3"/>
        <v>5120</v>
      </c>
      <c r="S9" s="6">
        <f t="shared" si="4"/>
        <v>58880</v>
      </c>
      <c r="T9" s="6">
        <f t="shared" si="5"/>
        <v>42000</v>
      </c>
      <c r="U9" s="6">
        <f t="shared" si="6"/>
        <v>16880</v>
      </c>
      <c r="V9" s="5">
        <f t="shared" si="7"/>
        <v>0.28668478260869568</v>
      </c>
    </row>
    <row r="10" spans="1:22">
      <c r="A10" t="s">
        <v>96</v>
      </c>
      <c r="B10" s="4">
        <v>45839</v>
      </c>
      <c r="C10" t="s">
        <v>51</v>
      </c>
      <c r="D10" t="s">
        <v>61</v>
      </c>
      <c r="E10" t="s">
        <v>53</v>
      </c>
      <c r="F10" t="s">
        <v>97</v>
      </c>
      <c r="G10" t="s">
        <v>89</v>
      </c>
      <c r="H10" t="s">
        <v>98</v>
      </c>
      <c r="I10">
        <v>8</v>
      </c>
      <c r="J10" s="6">
        <v>16500</v>
      </c>
      <c r="K10" s="6">
        <v>10000</v>
      </c>
      <c r="L10" s="5">
        <v>0</v>
      </c>
      <c r="M10" t="s">
        <v>57</v>
      </c>
      <c r="N10" t="s">
        <v>63</v>
      </c>
      <c r="O10">
        <f t="shared" si="0"/>
        <v>7</v>
      </c>
      <c r="P10">
        <f t="shared" si="1"/>
        <v>3</v>
      </c>
      <c r="Q10" s="6">
        <f t="shared" si="2"/>
        <v>132000</v>
      </c>
      <c r="R10" s="6">
        <f t="shared" si="3"/>
        <v>0</v>
      </c>
      <c r="S10" s="6">
        <f t="shared" si="4"/>
        <v>132000</v>
      </c>
      <c r="T10" s="6">
        <f t="shared" si="5"/>
        <v>80000</v>
      </c>
      <c r="U10" s="6">
        <f t="shared" si="6"/>
        <v>52000</v>
      </c>
      <c r="V10" s="5">
        <f t="shared" si="7"/>
        <v>0.39393939393939392</v>
      </c>
    </row>
    <row r="11" spans="1:22">
      <c r="A11" t="s">
        <v>99</v>
      </c>
      <c r="B11" s="4">
        <v>45870</v>
      </c>
      <c r="C11" t="s">
        <v>51</v>
      </c>
      <c r="D11" t="s">
        <v>93</v>
      </c>
      <c r="E11" t="s">
        <v>73</v>
      </c>
      <c r="F11" t="s">
        <v>100</v>
      </c>
      <c r="G11" t="s">
        <v>55</v>
      </c>
      <c r="H11" t="s">
        <v>56</v>
      </c>
      <c r="I11">
        <v>8</v>
      </c>
      <c r="J11" s="6">
        <v>138000</v>
      </c>
      <c r="K11" s="6">
        <v>99000</v>
      </c>
      <c r="L11" s="5">
        <v>0.03</v>
      </c>
      <c r="M11" t="s">
        <v>80</v>
      </c>
      <c r="N11" t="s">
        <v>75</v>
      </c>
      <c r="O11">
        <f t="shared" si="0"/>
        <v>8</v>
      </c>
      <c r="P11">
        <f t="shared" si="1"/>
        <v>3</v>
      </c>
      <c r="Q11" s="6">
        <f t="shared" si="2"/>
        <v>1104000</v>
      </c>
      <c r="R11" s="6">
        <f t="shared" si="3"/>
        <v>33120</v>
      </c>
      <c r="S11" s="6">
        <f t="shared" si="4"/>
        <v>0</v>
      </c>
      <c r="T11" s="6">
        <f t="shared" si="5"/>
        <v>0</v>
      </c>
      <c r="U11" s="6">
        <f t="shared" si="6"/>
        <v>0</v>
      </c>
      <c r="V11" s="5">
        <f t="shared" si="7"/>
        <v>0</v>
      </c>
    </row>
    <row r="12" spans="1:22">
      <c r="A12" t="s">
        <v>101</v>
      </c>
      <c r="B12" s="4">
        <v>45930</v>
      </c>
      <c r="C12" t="s">
        <v>102</v>
      </c>
      <c r="D12" t="s">
        <v>93</v>
      </c>
      <c r="E12" t="s">
        <v>73</v>
      </c>
      <c r="F12" t="s">
        <v>103</v>
      </c>
      <c r="G12" t="s">
        <v>68</v>
      </c>
      <c r="H12" t="s">
        <v>104</v>
      </c>
      <c r="I12">
        <v>3</v>
      </c>
      <c r="J12" s="6">
        <v>320000</v>
      </c>
      <c r="K12" s="6">
        <v>244000</v>
      </c>
      <c r="L12" s="5">
        <v>0.03</v>
      </c>
      <c r="M12" t="s">
        <v>57</v>
      </c>
      <c r="N12" t="s">
        <v>63</v>
      </c>
      <c r="O12">
        <f t="shared" si="0"/>
        <v>9</v>
      </c>
      <c r="P12">
        <f t="shared" si="1"/>
        <v>3</v>
      </c>
      <c r="Q12" s="6">
        <f t="shared" si="2"/>
        <v>960000</v>
      </c>
      <c r="R12" s="6">
        <f t="shared" si="3"/>
        <v>28800</v>
      </c>
      <c r="S12" s="6">
        <f t="shared" si="4"/>
        <v>931200</v>
      </c>
      <c r="T12" s="6">
        <f t="shared" si="5"/>
        <v>732000</v>
      </c>
      <c r="U12" s="6">
        <f t="shared" si="6"/>
        <v>199200</v>
      </c>
      <c r="V12" s="5">
        <f t="shared" si="7"/>
        <v>0.21391752577319587</v>
      </c>
    </row>
    <row r="13" spans="1:22">
      <c r="A13" t="s">
        <v>105</v>
      </c>
      <c r="B13" s="4">
        <v>45786</v>
      </c>
      <c r="C13" t="s">
        <v>83</v>
      </c>
      <c r="D13" t="s">
        <v>106</v>
      </c>
      <c r="E13" t="s">
        <v>94</v>
      </c>
      <c r="F13" t="s">
        <v>107</v>
      </c>
      <c r="G13" t="s">
        <v>68</v>
      </c>
      <c r="H13" t="s">
        <v>108</v>
      </c>
      <c r="I13">
        <v>8</v>
      </c>
      <c r="J13" s="6">
        <v>175000</v>
      </c>
      <c r="K13" s="6">
        <v>129000</v>
      </c>
      <c r="L13" s="5">
        <v>0</v>
      </c>
      <c r="M13" t="s">
        <v>109</v>
      </c>
      <c r="N13" t="s">
        <v>81</v>
      </c>
      <c r="O13">
        <f t="shared" si="0"/>
        <v>5</v>
      </c>
      <c r="P13">
        <f t="shared" si="1"/>
        <v>2</v>
      </c>
      <c r="Q13" s="6">
        <f t="shared" si="2"/>
        <v>1400000</v>
      </c>
      <c r="R13" s="6">
        <f t="shared" si="3"/>
        <v>0</v>
      </c>
      <c r="S13" s="6">
        <f t="shared" si="4"/>
        <v>0</v>
      </c>
      <c r="T13" s="6">
        <f t="shared" si="5"/>
        <v>0</v>
      </c>
      <c r="U13" s="6">
        <f t="shared" si="6"/>
        <v>0</v>
      </c>
      <c r="V13" s="5">
        <f t="shared" si="7"/>
        <v>0</v>
      </c>
    </row>
    <row r="14" spans="1:22">
      <c r="A14" t="s">
        <v>110</v>
      </c>
      <c r="B14" s="4">
        <v>45895</v>
      </c>
      <c r="C14" t="s">
        <v>111</v>
      </c>
      <c r="D14" t="s">
        <v>106</v>
      </c>
      <c r="E14" t="s">
        <v>73</v>
      </c>
      <c r="F14" t="s">
        <v>112</v>
      </c>
      <c r="G14" t="s">
        <v>55</v>
      </c>
      <c r="H14" t="s">
        <v>56</v>
      </c>
      <c r="I14">
        <v>3</v>
      </c>
      <c r="J14" s="6">
        <v>138000</v>
      </c>
      <c r="K14" s="6">
        <v>99000</v>
      </c>
      <c r="L14" s="5">
        <v>0.12</v>
      </c>
      <c r="M14" t="s">
        <v>57</v>
      </c>
      <c r="N14" t="s">
        <v>58</v>
      </c>
      <c r="O14">
        <f t="shared" si="0"/>
        <v>8</v>
      </c>
      <c r="P14">
        <f t="shared" si="1"/>
        <v>3</v>
      </c>
      <c r="Q14" s="6">
        <f t="shared" si="2"/>
        <v>414000</v>
      </c>
      <c r="R14" s="6">
        <f t="shared" si="3"/>
        <v>49680</v>
      </c>
      <c r="S14" s="6">
        <f t="shared" si="4"/>
        <v>364320</v>
      </c>
      <c r="T14" s="6">
        <f t="shared" si="5"/>
        <v>297000</v>
      </c>
      <c r="U14" s="6">
        <f t="shared" si="6"/>
        <v>67320</v>
      </c>
      <c r="V14" s="5">
        <f t="shared" si="7"/>
        <v>0.18478260869565216</v>
      </c>
    </row>
    <row r="15" spans="1:22">
      <c r="A15" t="s">
        <v>113</v>
      </c>
      <c r="B15" s="4">
        <v>45669</v>
      </c>
      <c r="C15" t="s">
        <v>92</v>
      </c>
      <c r="D15" t="s">
        <v>61</v>
      </c>
      <c r="E15" t="s">
        <v>84</v>
      </c>
      <c r="F15" t="s">
        <v>114</v>
      </c>
      <c r="G15" t="s">
        <v>55</v>
      </c>
      <c r="H15" t="s">
        <v>115</v>
      </c>
      <c r="I15">
        <v>8</v>
      </c>
      <c r="J15" s="6">
        <v>105000</v>
      </c>
      <c r="K15" s="6">
        <v>76000</v>
      </c>
      <c r="L15" s="5">
        <v>0.08</v>
      </c>
      <c r="M15" t="s">
        <v>57</v>
      </c>
      <c r="N15" t="s">
        <v>58</v>
      </c>
      <c r="O15">
        <f t="shared" si="0"/>
        <v>1</v>
      </c>
      <c r="P15">
        <f t="shared" si="1"/>
        <v>1</v>
      </c>
      <c r="Q15" s="6">
        <f t="shared" si="2"/>
        <v>840000</v>
      </c>
      <c r="R15" s="6">
        <f t="shared" si="3"/>
        <v>67200</v>
      </c>
      <c r="S15" s="6">
        <f t="shared" si="4"/>
        <v>772800</v>
      </c>
      <c r="T15" s="6">
        <f t="shared" si="5"/>
        <v>608000</v>
      </c>
      <c r="U15" s="6">
        <f t="shared" si="6"/>
        <v>164800</v>
      </c>
      <c r="V15" s="5">
        <f t="shared" si="7"/>
        <v>0.21325051759834368</v>
      </c>
    </row>
    <row r="16" spans="1:22">
      <c r="A16" t="s">
        <v>116</v>
      </c>
      <c r="B16" s="4">
        <v>45924</v>
      </c>
      <c r="C16" t="s">
        <v>111</v>
      </c>
      <c r="D16" t="s">
        <v>61</v>
      </c>
      <c r="E16" t="s">
        <v>73</v>
      </c>
      <c r="F16" t="s">
        <v>88</v>
      </c>
      <c r="G16" t="s">
        <v>55</v>
      </c>
      <c r="H16" t="s">
        <v>86</v>
      </c>
      <c r="I16">
        <v>3</v>
      </c>
      <c r="J16" s="6">
        <v>92000</v>
      </c>
      <c r="K16" s="6">
        <v>60000</v>
      </c>
      <c r="L16" s="5">
        <v>0.12</v>
      </c>
      <c r="M16" t="s">
        <v>57</v>
      </c>
      <c r="N16" t="s">
        <v>58</v>
      </c>
      <c r="O16">
        <f t="shared" si="0"/>
        <v>9</v>
      </c>
      <c r="P16">
        <f t="shared" si="1"/>
        <v>3</v>
      </c>
      <c r="Q16" s="6">
        <f t="shared" si="2"/>
        <v>276000</v>
      </c>
      <c r="R16" s="6">
        <f t="shared" si="3"/>
        <v>33120</v>
      </c>
      <c r="S16" s="6">
        <f t="shared" si="4"/>
        <v>242880</v>
      </c>
      <c r="T16" s="6">
        <f t="shared" si="5"/>
        <v>180000</v>
      </c>
      <c r="U16" s="6">
        <f t="shared" si="6"/>
        <v>62880</v>
      </c>
      <c r="V16" s="5">
        <f t="shared" si="7"/>
        <v>0.25889328063241107</v>
      </c>
    </row>
    <row r="17" spans="1:22">
      <c r="A17" t="s">
        <v>117</v>
      </c>
      <c r="B17" s="4">
        <v>46000</v>
      </c>
      <c r="C17" t="s">
        <v>102</v>
      </c>
      <c r="D17" t="s">
        <v>106</v>
      </c>
      <c r="E17" t="s">
        <v>53</v>
      </c>
      <c r="F17" t="s">
        <v>118</v>
      </c>
      <c r="G17" t="s">
        <v>55</v>
      </c>
      <c r="H17" t="s">
        <v>86</v>
      </c>
      <c r="I17">
        <v>2</v>
      </c>
      <c r="J17" s="6">
        <v>92000</v>
      </c>
      <c r="K17" s="6">
        <v>60000</v>
      </c>
      <c r="L17" s="5">
        <v>0.1</v>
      </c>
      <c r="M17" t="s">
        <v>57</v>
      </c>
      <c r="N17" t="s">
        <v>81</v>
      </c>
      <c r="O17">
        <f t="shared" si="0"/>
        <v>12</v>
      </c>
      <c r="P17">
        <f t="shared" si="1"/>
        <v>4</v>
      </c>
      <c r="Q17" s="6">
        <f t="shared" si="2"/>
        <v>184000</v>
      </c>
      <c r="R17" s="6">
        <f t="shared" si="3"/>
        <v>18400</v>
      </c>
      <c r="S17" s="6">
        <f t="shared" si="4"/>
        <v>165600</v>
      </c>
      <c r="T17" s="6">
        <f t="shared" si="5"/>
        <v>120000</v>
      </c>
      <c r="U17" s="6">
        <f t="shared" si="6"/>
        <v>45600</v>
      </c>
      <c r="V17" s="5">
        <f t="shared" si="7"/>
        <v>0.27536231884057971</v>
      </c>
    </row>
    <row r="18" spans="1:22">
      <c r="A18" t="s">
        <v>119</v>
      </c>
      <c r="B18" s="4">
        <v>45888</v>
      </c>
      <c r="C18" t="s">
        <v>120</v>
      </c>
      <c r="D18" t="s">
        <v>72</v>
      </c>
      <c r="E18" t="s">
        <v>73</v>
      </c>
      <c r="F18" t="s">
        <v>121</v>
      </c>
      <c r="G18" t="s">
        <v>89</v>
      </c>
      <c r="H18" t="s">
        <v>90</v>
      </c>
      <c r="I18">
        <v>8</v>
      </c>
      <c r="J18" s="6">
        <v>5900</v>
      </c>
      <c r="K18" s="6">
        <v>3700</v>
      </c>
      <c r="L18" s="5">
        <v>0.12</v>
      </c>
      <c r="M18" t="s">
        <v>57</v>
      </c>
      <c r="N18" t="s">
        <v>81</v>
      </c>
      <c r="O18">
        <f t="shared" si="0"/>
        <v>8</v>
      </c>
      <c r="P18">
        <f t="shared" si="1"/>
        <v>3</v>
      </c>
      <c r="Q18" s="6">
        <f t="shared" si="2"/>
        <v>47200</v>
      </c>
      <c r="R18" s="6">
        <f t="shared" si="3"/>
        <v>5664</v>
      </c>
      <c r="S18" s="6">
        <f t="shared" si="4"/>
        <v>41536</v>
      </c>
      <c r="T18" s="6">
        <f t="shared" si="5"/>
        <v>29600</v>
      </c>
      <c r="U18" s="6">
        <f t="shared" si="6"/>
        <v>11936</v>
      </c>
      <c r="V18" s="5">
        <f t="shared" si="7"/>
        <v>0.28736517719568566</v>
      </c>
    </row>
    <row r="19" spans="1:22">
      <c r="A19" t="s">
        <v>122</v>
      </c>
      <c r="B19" s="4">
        <v>45833</v>
      </c>
      <c r="C19" t="s">
        <v>83</v>
      </c>
      <c r="D19" t="s">
        <v>106</v>
      </c>
      <c r="E19" t="s">
        <v>84</v>
      </c>
      <c r="F19" t="s">
        <v>123</v>
      </c>
      <c r="G19" t="s">
        <v>55</v>
      </c>
      <c r="H19" t="s">
        <v>56</v>
      </c>
      <c r="I19">
        <v>5</v>
      </c>
      <c r="J19" s="6">
        <v>138000</v>
      </c>
      <c r="K19" s="6">
        <v>99000</v>
      </c>
      <c r="L19" s="5">
        <v>0.12</v>
      </c>
      <c r="M19" t="s">
        <v>109</v>
      </c>
      <c r="N19" t="s">
        <v>70</v>
      </c>
      <c r="O19">
        <f t="shared" si="0"/>
        <v>6</v>
      </c>
      <c r="P19">
        <f t="shared" si="1"/>
        <v>2</v>
      </c>
      <c r="Q19" s="6">
        <f t="shared" si="2"/>
        <v>690000</v>
      </c>
      <c r="R19" s="6">
        <f t="shared" si="3"/>
        <v>82800</v>
      </c>
      <c r="S19" s="6">
        <f t="shared" si="4"/>
        <v>0</v>
      </c>
      <c r="T19" s="6">
        <f t="shared" si="5"/>
        <v>0</v>
      </c>
      <c r="U19" s="6">
        <f t="shared" si="6"/>
        <v>0</v>
      </c>
      <c r="V19" s="5">
        <f t="shared" si="7"/>
        <v>0</v>
      </c>
    </row>
    <row r="20" spans="1:22">
      <c r="A20" t="s">
        <v>124</v>
      </c>
      <c r="B20" s="4">
        <v>45745</v>
      </c>
      <c r="C20" t="s">
        <v>77</v>
      </c>
      <c r="D20" t="s">
        <v>72</v>
      </c>
      <c r="E20" t="s">
        <v>73</v>
      </c>
      <c r="F20" t="s">
        <v>125</v>
      </c>
      <c r="G20" t="s">
        <v>55</v>
      </c>
      <c r="H20" t="s">
        <v>115</v>
      </c>
      <c r="I20">
        <v>8</v>
      </c>
      <c r="J20" s="6">
        <v>105000</v>
      </c>
      <c r="K20" s="6">
        <v>76000</v>
      </c>
      <c r="L20" s="5">
        <v>0</v>
      </c>
      <c r="M20" t="s">
        <v>57</v>
      </c>
      <c r="N20" t="s">
        <v>81</v>
      </c>
      <c r="O20">
        <f t="shared" si="0"/>
        <v>3</v>
      </c>
      <c r="P20">
        <f t="shared" si="1"/>
        <v>1</v>
      </c>
      <c r="Q20" s="6">
        <f t="shared" si="2"/>
        <v>840000</v>
      </c>
      <c r="R20" s="6">
        <f t="shared" si="3"/>
        <v>0</v>
      </c>
      <c r="S20" s="6">
        <f t="shared" si="4"/>
        <v>840000</v>
      </c>
      <c r="T20" s="6">
        <f t="shared" si="5"/>
        <v>608000</v>
      </c>
      <c r="U20" s="6">
        <f t="shared" si="6"/>
        <v>232000</v>
      </c>
      <c r="V20" s="5">
        <f t="shared" si="7"/>
        <v>0.27619047619047621</v>
      </c>
    </row>
    <row r="21" spans="1:22">
      <c r="A21" t="s">
        <v>126</v>
      </c>
      <c r="B21" s="4">
        <v>45949</v>
      </c>
      <c r="C21" t="s">
        <v>60</v>
      </c>
      <c r="D21" t="s">
        <v>106</v>
      </c>
      <c r="E21" t="s">
        <v>94</v>
      </c>
      <c r="F21" t="s">
        <v>127</v>
      </c>
      <c r="G21" t="s">
        <v>55</v>
      </c>
      <c r="H21" t="s">
        <v>86</v>
      </c>
      <c r="I21">
        <v>7</v>
      </c>
      <c r="J21" s="6">
        <v>92000</v>
      </c>
      <c r="K21" s="6">
        <v>60000</v>
      </c>
      <c r="L21" s="5">
        <v>0.12</v>
      </c>
      <c r="M21" t="s">
        <v>57</v>
      </c>
      <c r="N21" t="s">
        <v>58</v>
      </c>
      <c r="O21">
        <f t="shared" si="0"/>
        <v>10</v>
      </c>
      <c r="P21">
        <f t="shared" si="1"/>
        <v>4</v>
      </c>
      <c r="Q21" s="6">
        <f t="shared" si="2"/>
        <v>644000</v>
      </c>
      <c r="R21" s="6">
        <f t="shared" si="3"/>
        <v>77280</v>
      </c>
      <c r="S21" s="6">
        <f t="shared" si="4"/>
        <v>566720</v>
      </c>
      <c r="T21" s="6">
        <f t="shared" si="5"/>
        <v>420000</v>
      </c>
      <c r="U21" s="6">
        <f t="shared" si="6"/>
        <v>146720</v>
      </c>
      <c r="V21" s="5">
        <f t="shared" si="7"/>
        <v>0.25889328063241107</v>
      </c>
    </row>
    <row r="22" spans="1:22">
      <c r="A22" t="s">
        <v>128</v>
      </c>
      <c r="B22" s="4">
        <v>45986</v>
      </c>
      <c r="C22" t="s">
        <v>92</v>
      </c>
      <c r="D22" t="s">
        <v>61</v>
      </c>
      <c r="E22" t="s">
        <v>66</v>
      </c>
      <c r="F22" t="s">
        <v>129</v>
      </c>
      <c r="G22" t="s">
        <v>55</v>
      </c>
      <c r="H22" t="s">
        <v>86</v>
      </c>
      <c r="I22">
        <v>3</v>
      </c>
      <c r="J22" s="6">
        <v>92000</v>
      </c>
      <c r="K22" s="6">
        <v>60000</v>
      </c>
      <c r="L22" s="5">
        <v>0</v>
      </c>
      <c r="M22" t="s">
        <v>57</v>
      </c>
      <c r="N22" t="s">
        <v>81</v>
      </c>
      <c r="O22">
        <f t="shared" si="0"/>
        <v>11</v>
      </c>
      <c r="P22">
        <f t="shared" si="1"/>
        <v>4</v>
      </c>
      <c r="Q22" s="6">
        <f t="shared" si="2"/>
        <v>276000</v>
      </c>
      <c r="R22" s="6">
        <f t="shared" si="3"/>
        <v>0</v>
      </c>
      <c r="S22" s="6">
        <f t="shared" si="4"/>
        <v>276000</v>
      </c>
      <c r="T22" s="6">
        <f t="shared" si="5"/>
        <v>180000</v>
      </c>
      <c r="U22" s="6">
        <f t="shared" si="6"/>
        <v>96000</v>
      </c>
      <c r="V22" s="5">
        <f t="shared" si="7"/>
        <v>0.34782608695652173</v>
      </c>
    </row>
    <row r="23" spans="1:22">
      <c r="A23" t="s">
        <v>130</v>
      </c>
      <c r="B23" s="4">
        <v>45893</v>
      </c>
      <c r="C23" t="s">
        <v>77</v>
      </c>
      <c r="D23" t="s">
        <v>106</v>
      </c>
      <c r="E23" t="s">
        <v>66</v>
      </c>
      <c r="F23" t="s">
        <v>131</v>
      </c>
      <c r="G23" t="s">
        <v>55</v>
      </c>
      <c r="H23" t="s">
        <v>115</v>
      </c>
      <c r="I23">
        <v>3</v>
      </c>
      <c r="J23" s="6">
        <v>105000</v>
      </c>
      <c r="K23" s="6">
        <v>76000</v>
      </c>
      <c r="L23" s="5">
        <v>0</v>
      </c>
      <c r="M23" t="s">
        <v>80</v>
      </c>
      <c r="N23" t="s">
        <v>81</v>
      </c>
      <c r="O23">
        <f t="shared" si="0"/>
        <v>8</v>
      </c>
      <c r="P23">
        <f t="shared" si="1"/>
        <v>3</v>
      </c>
      <c r="Q23" s="6">
        <f t="shared" si="2"/>
        <v>315000</v>
      </c>
      <c r="R23" s="6">
        <f t="shared" si="3"/>
        <v>0</v>
      </c>
      <c r="S23" s="6">
        <f t="shared" si="4"/>
        <v>0</v>
      </c>
      <c r="T23" s="6">
        <f t="shared" si="5"/>
        <v>0</v>
      </c>
      <c r="U23" s="6">
        <f t="shared" si="6"/>
        <v>0</v>
      </c>
      <c r="V23" s="5">
        <f t="shared" si="7"/>
        <v>0</v>
      </c>
    </row>
    <row r="24" spans="1:22">
      <c r="A24" t="s">
        <v>132</v>
      </c>
      <c r="B24" s="4">
        <v>45792</v>
      </c>
      <c r="C24" t="s">
        <v>83</v>
      </c>
      <c r="D24" t="s">
        <v>93</v>
      </c>
      <c r="E24" t="s">
        <v>94</v>
      </c>
      <c r="F24" t="s">
        <v>133</v>
      </c>
      <c r="G24" t="s">
        <v>55</v>
      </c>
      <c r="H24" t="s">
        <v>56</v>
      </c>
      <c r="I24">
        <v>4</v>
      </c>
      <c r="J24" s="6">
        <v>138000</v>
      </c>
      <c r="K24" s="6">
        <v>99000</v>
      </c>
      <c r="L24" s="5">
        <v>0.03</v>
      </c>
      <c r="M24" t="s">
        <v>57</v>
      </c>
      <c r="N24" t="s">
        <v>75</v>
      </c>
      <c r="O24">
        <f t="shared" si="0"/>
        <v>5</v>
      </c>
      <c r="P24">
        <f t="shared" si="1"/>
        <v>2</v>
      </c>
      <c r="Q24" s="6">
        <f t="shared" si="2"/>
        <v>552000</v>
      </c>
      <c r="R24" s="6">
        <f t="shared" si="3"/>
        <v>16560</v>
      </c>
      <c r="S24" s="6">
        <f t="shared" si="4"/>
        <v>535440</v>
      </c>
      <c r="T24" s="6">
        <f t="shared" si="5"/>
        <v>396000</v>
      </c>
      <c r="U24" s="6">
        <f t="shared" si="6"/>
        <v>139440</v>
      </c>
      <c r="V24" s="5">
        <f t="shared" si="7"/>
        <v>0.26042133572389065</v>
      </c>
    </row>
    <row r="25" spans="1:22">
      <c r="A25" t="s">
        <v>134</v>
      </c>
      <c r="B25" s="4">
        <v>45813</v>
      </c>
      <c r="C25" t="s">
        <v>83</v>
      </c>
      <c r="D25" t="s">
        <v>61</v>
      </c>
      <c r="E25" t="s">
        <v>66</v>
      </c>
      <c r="F25" t="s">
        <v>135</v>
      </c>
      <c r="G25" t="s">
        <v>89</v>
      </c>
      <c r="H25" t="s">
        <v>98</v>
      </c>
      <c r="I25">
        <v>8</v>
      </c>
      <c r="J25" s="6">
        <v>16500</v>
      </c>
      <c r="K25" s="6">
        <v>10000</v>
      </c>
      <c r="L25" s="5">
        <v>0.03</v>
      </c>
      <c r="M25" t="s">
        <v>57</v>
      </c>
      <c r="N25" t="s">
        <v>81</v>
      </c>
      <c r="O25">
        <f t="shared" si="0"/>
        <v>6</v>
      </c>
      <c r="P25">
        <f t="shared" si="1"/>
        <v>2</v>
      </c>
      <c r="Q25" s="6">
        <f t="shared" si="2"/>
        <v>132000</v>
      </c>
      <c r="R25" s="6">
        <f t="shared" si="3"/>
        <v>3960</v>
      </c>
      <c r="S25" s="6">
        <f t="shared" si="4"/>
        <v>128040</v>
      </c>
      <c r="T25" s="6">
        <f t="shared" si="5"/>
        <v>80000</v>
      </c>
      <c r="U25" s="6">
        <f t="shared" si="6"/>
        <v>48040</v>
      </c>
      <c r="V25" s="5">
        <f t="shared" si="7"/>
        <v>0.37519525148391125</v>
      </c>
    </row>
    <row r="26" spans="1:22">
      <c r="A26" t="s">
        <v>136</v>
      </c>
      <c r="B26" s="4">
        <v>46012</v>
      </c>
      <c r="C26" t="s">
        <v>92</v>
      </c>
      <c r="D26" t="s">
        <v>61</v>
      </c>
      <c r="E26" t="s">
        <v>66</v>
      </c>
      <c r="F26" t="s">
        <v>137</v>
      </c>
      <c r="G26" t="s">
        <v>68</v>
      </c>
      <c r="H26" t="s">
        <v>108</v>
      </c>
      <c r="I26">
        <v>4</v>
      </c>
      <c r="J26" s="6">
        <v>175000</v>
      </c>
      <c r="K26" s="6">
        <v>129000</v>
      </c>
      <c r="L26" s="5">
        <v>0.03</v>
      </c>
      <c r="M26" t="s">
        <v>57</v>
      </c>
      <c r="N26" t="s">
        <v>63</v>
      </c>
      <c r="O26">
        <f t="shared" si="0"/>
        <v>12</v>
      </c>
      <c r="P26">
        <f t="shared" si="1"/>
        <v>4</v>
      </c>
      <c r="Q26" s="6">
        <f t="shared" si="2"/>
        <v>700000</v>
      </c>
      <c r="R26" s="6">
        <f t="shared" si="3"/>
        <v>21000</v>
      </c>
      <c r="S26" s="6">
        <f t="shared" si="4"/>
        <v>679000</v>
      </c>
      <c r="T26" s="6">
        <f t="shared" si="5"/>
        <v>516000</v>
      </c>
      <c r="U26" s="6">
        <f t="shared" si="6"/>
        <v>163000</v>
      </c>
      <c r="V26" s="5">
        <f t="shared" si="7"/>
        <v>0.24005891016200295</v>
      </c>
    </row>
    <row r="27" spans="1:22">
      <c r="A27" t="s">
        <v>138</v>
      </c>
      <c r="B27" s="4">
        <v>45786</v>
      </c>
      <c r="C27" t="s">
        <v>102</v>
      </c>
      <c r="D27" t="s">
        <v>72</v>
      </c>
      <c r="E27" t="s">
        <v>73</v>
      </c>
      <c r="F27" t="s">
        <v>139</v>
      </c>
      <c r="G27" t="s">
        <v>68</v>
      </c>
      <c r="H27" t="s">
        <v>108</v>
      </c>
      <c r="I27">
        <v>2</v>
      </c>
      <c r="J27" s="6">
        <v>175000</v>
      </c>
      <c r="K27" s="6">
        <v>129000</v>
      </c>
      <c r="L27" s="5">
        <v>0.12</v>
      </c>
      <c r="M27" t="s">
        <v>57</v>
      </c>
      <c r="N27" t="s">
        <v>70</v>
      </c>
      <c r="O27">
        <f t="shared" si="0"/>
        <v>5</v>
      </c>
      <c r="P27">
        <f t="shared" si="1"/>
        <v>2</v>
      </c>
      <c r="Q27" s="6">
        <f t="shared" si="2"/>
        <v>350000</v>
      </c>
      <c r="R27" s="6">
        <f t="shared" si="3"/>
        <v>42000</v>
      </c>
      <c r="S27" s="6">
        <f t="shared" si="4"/>
        <v>308000</v>
      </c>
      <c r="T27" s="6">
        <f t="shared" si="5"/>
        <v>258000</v>
      </c>
      <c r="U27" s="6">
        <f t="shared" si="6"/>
        <v>50000</v>
      </c>
      <c r="V27" s="5">
        <f t="shared" si="7"/>
        <v>0.16233766233766234</v>
      </c>
    </row>
    <row r="28" spans="1:22">
      <c r="A28" t="s">
        <v>140</v>
      </c>
      <c r="B28" s="4">
        <v>45854</v>
      </c>
      <c r="C28" t="s">
        <v>102</v>
      </c>
      <c r="D28" t="s">
        <v>61</v>
      </c>
      <c r="E28" t="s">
        <v>84</v>
      </c>
      <c r="F28" t="s">
        <v>141</v>
      </c>
      <c r="G28" t="s">
        <v>68</v>
      </c>
      <c r="H28" t="s">
        <v>69</v>
      </c>
      <c r="I28">
        <v>6</v>
      </c>
      <c r="J28" s="6">
        <v>115000</v>
      </c>
      <c r="K28" s="6">
        <v>82000</v>
      </c>
      <c r="L28" s="5">
        <v>0.05</v>
      </c>
      <c r="M28" t="s">
        <v>80</v>
      </c>
      <c r="N28" t="s">
        <v>63</v>
      </c>
      <c r="O28">
        <f t="shared" si="0"/>
        <v>7</v>
      </c>
      <c r="P28">
        <f t="shared" si="1"/>
        <v>3</v>
      </c>
      <c r="Q28" s="6">
        <f t="shared" si="2"/>
        <v>690000</v>
      </c>
      <c r="R28" s="6">
        <f t="shared" si="3"/>
        <v>34500</v>
      </c>
      <c r="S28" s="6">
        <f t="shared" si="4"/>
        <v>0</v>
      </c>
      <c r="T28" s="6">
        <f t="shared" si="5"/>
        <v>0</v>
      </c>
      <c r="U28" s="6">
        <f t="shared" si="6"/>
        <v>0</v>
      </c>
      <c r="V28" s="5">
        <f t="shared" si="7"/>
        <v>0</v>
      </c>
    </row>
    <row r="29" spans="1:22">
      <c r="A29" t="s">
        <v>142</v>
      </c>
      <c r="B29" s="4">
        <v>45955</v>
      </c>
      <c r="C29" t="s">
        <v>77</v>
      </c>
      <c r="D29" t="s">
        <v>61</v>
      </c>
      <c r="E29" t="s">
        <v>53</v>
      </c>
      <c r="F29" t="s">
        <v>118</v>
      </c>
      <c r="G29" t="s">
        <v>68</v>
      </c>
      <c r="H29" t="s">
        <v>69</v>
      </c>
      <c r="I29">
        <v>3</v>
      </c>
      <c r="J29" s="6">
        <v>115000</v>
      </c>
      <c r="K29" s="6">
        <v>82000</v>
      </c>
      <c r="L29" s="5">
        <v>0.1</v>
      </c>
      <c r="M29" t="s">
        <v>109</v>
      </c>
      <c r="N29" t="s">
        <v>81</v>
      </c>
      <c r="O29">
        <f t="shared" si="0"/>
        <v>10</v>
      </c>
      <c r="P29">
        <f t="shared" si="1"/>
        <v>4</v>
      </c>
      <c r="Q29" s="6">
        <f t="shared" si="2"/>
        <v>345000</v>
      </c>
      <c r="R29" s="6">
        <f t="shared" si="3"/>
        <v>34500</v>
      </c>
      <c r="S29" s="6">
        <f t="shared" si="4"/>
        <v>0</v>
      </c>
      <c r="T29" s="6">
        <f t="shared" si="5"/>
        <v>0</v>
      </c>
      <c r="U29" s="6">
        <f t="shared" si="6"/>
        <v>0</v>
      </c>
      <c r="V29" s="5">
        <f t="shared" si="7"/>
        <v>0</v>
      </c>
    </row>
    <row r="30" spans="1:22">
      <c r="A30" t="s">
        <v>143</v>
      </c>
      <c r="B30" s="4">
        <v>46021</v>
      </c>
      <c r="C30" t="s">
        <v>102</v>
      </c>
      <c r="D30" t="s">
        <v>61</v>
      </c>
      <c r="E30" t="s">
        <v>94</v>
      </c>
      <c r="F30" t="s">
        <v>144</v>
      </c>
      <c r="G30" t="s">
        <v>68</v>
      </c>
      <c r="H30" t="s">
        <v>104</v>
      </c>
      <c r="I30">
        <v>5</v>
      </c>
      <c r="J30" s="6">
        <v>320000</v>
      </c>
      <c r="K30" s="6">
        <v>244000</v>
      </c>
      <c r="L30" s="5">
        <v>0.03</v>
      </c>
      <c r="M30" t="s">
        <v>80</v>
      </c>
      <c r="N30" t="s">
        <v>63</v>
      </c>
      <c r="O30">
        <f t="shared" si="0"/>
        <v>12</v>
      </c>
      <c r="P30">
        <f t="shared" si="1"/>
        <v>4</v>
      </c>
      <c r="Q30" s="6">
        <f t="shared" si="2"/>
        <v>1600000</v>
      </c>
      <c r="R30" s="6">
        <f t="shared" si="3"/>
        <v>48000</v>
      </c>
      <c r="S30" s="6">
        <f t="shared" si="4"/>
        <v>0</v>
      </c>
      <c r="T30" s="6">
        <f t="shared" si="5"/>
        <v>0</v>
      </c>
      <c r="U30" s="6">
        <f t="shared" si="6"/>
        <v>0</v>
      </c>
      <c r="V30" s="5">
        <f t="shared" si="7"/>
        <v>0</v>
      </c>
    </row>
    <row r="31" spans="1:22">
      <c r="A31" t="s">
        <v>145</v>
      </c>
      <c r="B31" s="4">
        <v>45931</v>
      </c>
      <c r="C31" t="s">
        <v>60</v>
      </c>
      <c r="D31" t="s">
        <v>61</v>
      </c>
      <c r="E31" t="s">
        <v>53</v>
      </c>
      <c r="F31" t="s">
        <v>146</v>
      </c>
      <c r="G31" t="s">
        <v>68</v>
      </c>
      <c r="H31" t="s">
        <v>79</v>
      </c>
      <c r="I31">
        <v>3</v>
      </c>
      <c r="J31" s="6">
        <v>19000</v>
      </c>
      <c r="K31" s="6">
        <v>11500</v>
      </c>
      <c r="L31" s="5">
        <v>0.08</v>
      </c>
      <c r="M31" t="s">
        <v>80</v>
      </c>
      <c r="N31" t="s">
        <v>70</v>
      </c>
      <c r="O31">
        <f t="shared" si="0"/>
        <v>10</v>
      </c>
      <c r="P31">
        <f t="shared" si="1"/>
        <v>4</v>
      </c>
      <c r="Q31" s="6">
        <f t="shared" si="2"/>
        <v>57000</v>
      </c>
      <c r="R31" s="6">
        <f t="shared" si="3"/>
        <v>4560</v>
      </c>
      <c r="S31" s="6">
        <f t="shared" si="4"/>
        <v>0</v>
      </c>
      <c r="T31" s="6">
        <f t="shared" si="5"/>
        <v>0</v>
      </c>
      <c r="U31" s="6">
        <f t="shared" si="6"/>
        <v>0</v>
      </c>
      <c r="V31" s="5">
        <f t="shared" si="7"/>
        <v>0</v>
      </c>
    </row>
    <row r="32" spans="1:22">
      <c r="A32" t="s">
        <v>147</v>
      </c>
      <c r="B32" s="4">
        <v>45765</v>
      </c>
      <c r="C32" t="s">
        <v>102</v>
      </c>
      <c r="D32" t="s">
        <v>65</v>
      </c>
      <c r="E32" t="s">
        <v>73</v>
      </c>
      <c r="F32" t="s">
        <v>148</v>
      </c>
      <c r="G32" t="s">
        <v>55</v>
      </c>
      <c r="H32" t="s">
        <v>56</v>
      </c>
      <c r="I32">
        <v>2</v>
      </c>
      <c r="J32" s="6">
        <v>138000</v>
      </c>
      <c r="K32" s="6">
        <v>99000</v>
      </c>
      <c r="L32" s="5">
        <v>0.1</v>
      </c>
      <c r="M32" t="s">
        <v>57</v>
      </c>
      <c r="N32" t="s">
        <v>81</v>
      </c>
      <c r="O32">
        <f t="shared" si="0"/>
        <v>4</v>
      </c>
      <c r="P32">
        <f t="shared" si="1"/>
        <v>2</v>
      </c>
      <c r="Q32" s="6">
        <f t="shared" si="2"/>
        <v>276000</v>
      </c>
      <c r="R32" s="6">
        <f t="shared" si="3"/>
        <v>27600</v>
      </c>
      <c r="S32" s="6">
        <f t="shared" si="4"/>
        <v>248400</v>
      </c>
      <c r="T32" s="6">
        <f t="shared" si="5"/>
        <v>198000</v>
      </c>
      <c r="U32" s="6">
        <f t="shared" si="6"/>
        <v>50400</v>
      </c>
      <c r="V32" s="5">
        <f t="shared" si="7"/>
        <v>0.20289855072463769</v>
      </c>
    </row>
    <row r="33" spans="1:22">
      <c r="A33" t="s">
        <v>149</v>
      </c>
      <c r="B33" s="4">
        <v>45695</v>
      </c>
      <c r="C33" t="s">
        <v>51</v>
      </c>
      <c r="D33" t="s">
        <v>52</v>
      </c>
      <c r="E33" t="s">
        <v>84</v>
      </c>
      <c r="F33" t="s">
        <v>121</v>
      </c>
      <c r="G33" t="s">
        <v>55</v>
      </c>
      <c r="H33" t="s">
        <v>86</v>
      </c>
      <c r="I33">
        <v>3</v>
      </c>
      <c r="J33" s="6">
        <v>92000</v>
      </c>
      <c r="K33" s="6">
        <v>60000</v>
      </c>
      <c r="L33" s="5">
        <v>0.05</v>
      </c>
      <c r="M33" t="s">
        <v>57</v>
      </c>
      <c r="N33" t="s">
        <v>70</v>
      </c>
      <c r="O33">
        <f t="shared" si="0"/>
        <v>2</v>
      </c>
      <c r="P33">
        <f t="shared" si="1"/>
        <v>1</v>
      </c>
      <c r="Q33" s="6">
        <f t="shared" si="2"/>
        <v>276000</v>
      </c>
      <c r="R33" s="6">
        <f t="shared" si="3"/>
        <v>13800</v>
      </c>
      <c r="S33" s="6">
        <f t="shared" si="4"/>
        <v>262200</v>
      </c>
      <c r="T33" s="6">
        <f t="shared" si="5"/>
        <v>180000</v>
      </c>
      <c r="U33" s="6">
        <f t="shared" si="6"/>
        <v>82200</v>
      </c>
      <c r="V33" s="5">
        <f t="shared" si="7"/>
        <v>0.31350114416475972</v>
      </c>
    </row>
    <row r="34" spans="1:22">
      <c r="A34" t="s">
        <v>150</v>
      </c>
      <c r="B34" s="4">
        <v>45859</v>
      </c>
      <c r="C34" t="s">
        <v>77</v>
      </c>
      <c r="D34" t="s">
        <v>72</v>
      </c>
      <c r="E34" t="s">
        <v>94</v>
      </c>
      <c r="F34" t="s">
        <v>151</v>
      </c>
      <c r="G34" t="s">
        <v>68</v>
      </c>
      <c r="H34" t="s">
        <v>69</v>
      </c>
      <c r="I34">
        <v>1</v>
      </c>
      <c r="J34" s="6">
        <v>115000</v>
      </c>
      <c r="K34" s="6">
        <v>82000</v>
      </c>
      <c r="L34" s="5">
        <v>0.12</v>
      </c>
      <c r="M34" t="s">
        <v>57</v>
      </c>
      <c r="N34" t="s">
        <v>58</v>
      </c>
      <c r="O34">
        <f t="shared" si="0"/>
        <v>7</v>
      </c>
      <c r="P34">
        <f t="shared" si="1"/>
        <v>3</v>
      </c>
      <c r="Q34" s="6">
        <f t="shared" si="2"/>
        <v>115000</v>
      </c>
      <c r="R34" s="6">
        <f t="shared" si="3"/>
        <v>13800</v>
      </c>
      <c r="S34" s="6">
        <f t="shared" si="4"/>
        <v>101200</v>
      </c>
      <c r="T34" s="6">
        <f t="shared" si="5"/>
        <v>82000</v>
      </c>
      <c r="U34" s="6">
        <f t="shared" si="6"/>
        <v>19200</v>
      </c>
      <c r="V34" s="5">
        <f t="shared" si="7"/>
        <v>0.18972332015810275</v>
      </c>
    </row>
    <row r="35" spans="1:22">
      <c r="A35" t="s">
        <v>152</v>
      </c>
      <c r="B35" s="4">
        <v>46021</v>
      </c>
      <c r="C35" t="s">
        <v>111</v>
      </c>
      <c r="D35" t="s">
        <v>106</v>
      </c>
      <c r="E35" t="s">
        <v>53</v>
      </c>
      <c r="F35" t="s">
        <v>153</v>
      </c>
      <c r="G35" t="s">
        <v>68</v>
      </c>
      <c r="H35" t="s">
        <v>69</v>
      </c>
      <c r="I35">
        <v>2</v>
      </c>
      <c r="J35" s="6">
        <v>115000</v>
      </c>
      <c r="K35" s="6">
        <v>82000</v>
      </c>
      <c r="L35" s="5">
        <v>0</v>
      </c>
      <c r="M35" t="s">
        <v>57</v>
      </c>
      <c r="N35" t="s">
        <v>63</v>
      </c>
      <c r="O35">
        <f t="shared" si="0"/>
        <v>12</v>
      </c>
      <c r="P35">
        <f t="shared" si="1"/>
        <v>4</v>
      </c>
      <c r="Q35" s="6">
        <f t="shared" si="2"/>
        <v>230000</v>
      </c>
      <c r="R35" s="6">
        <f t="shared" si="3"/>
        <v>0</v>
      </c>
      <c r="S35" s="6">
        <f t="shared" si="4"/>
        <v>230000</v>
      </c>
      <c r="T35" s="6">
        <f t="shared" si="5"/>
        <v>164000</v>
      </c>
      <c r="U35" s="6">
        <f t="shared" si="6"/>
        <v>66000</v>
      </c>
      <c r="V35" s="5">
        <f t="shared" si="7"/>
        <v>0.28695652173913044</v>
      </c>
    </row>
    <row r="36" spans="1:22">
      <c r="A36" t="s">
        <v>154</v>
      </c>
      <c r="B36" s="4">
        <v>45660</v>
      </c>
      <c r="C36" t="s">
        <v>60</v>
      </c>
      <c r="D36" t="s">
        <v>61</v>
      </c>
      <c r="E36" t="s">
        <v>66</v>
      </c>
      <c r="F36" t="s">
        <v>155</v>
      </c>
      <c r="G36" t="s">
        <v>68</v>
      </c>
      <c r="H36" t="s">
        <v>69</v>
      </c>
      <c r="I36">
        <v>8</v>
      </c>
      <c r="J36" s="6">
        <v>115000</v>
      </c>
      <c r="K36" s="6">
        <v>82000</v>
      </c>
      <c r="L36" s="5">
        <v>0.03</v>
      </c>
      <c r="M36" t="s">
        <v>57</v>
      </c>
      <c r="N36" t="s">
        <v>75</v>
      </c>
      <c r="O36">
        <f t="shared" si="0"/>
        <v>1</v>
      </c>
      <c r="P36">
        <f t="shared" si="1"/>
        <v>1</v>
      </c>
      <c r="Q36" s="6">
        <f t="shared" si="2"/>
        <v>920000</v>
      </c>
      <c r="R36" s="6">
        <f t="shared" si="3"/>
        <v>27600</v>
      </c>
      <c r="S36" s="6">
        <f t="shared" si="4"/>
        <v>892400</v>
      </c>
      <c r="T36" s="6">
        <f t="shared" si="5"/>
        <v>656000</v>
      </c>
      <c r="U36" s="6">
        <f t="shared" si="6"/>
        <v>236400</v>
      </c>
      <c r="V36" s="5">
        <f t="shared" si="7"/>
        <v>0.26490363065889738</v>
      </c>
    </row>
    <row r="37" spans="1:22">
      <c r="A37" t="s">
        <v>156</v>
      </c>
      <c r="B37" s="4">
        <v>45760</v>
      </c>
      <c r="C37" t="s">
        <v>77</v>
      </c>
      <c r="D37" t="s">
        <v>93</v>
      </c>
      <c r="E37" t="s">
        <v>73</v>
      </c>
      <c r="F37" t="s">
        <v>157</v>
      </c>
      <c r="G37" t="s">
        <v>68</v>
      </c>
      <c r="H37" t="s">
        <v>108</v>
      </c>
      <c r="I37">
        <v>4</v>
      </c>
      <c r="J37" s="6">
        <v>175000</v>
      </c>
      <c r="K37" s="6">
        <v>129000</v>
      </c>
      <c r="L37" s="5">
        <v>0</v>
      </c>
      <c r="M37" t="s">
        <v>80</v>
      </c>
      <c r="N37" t="s">
        <v>63</v>
      </c>
      <c r="O37">
        <f t="shared" si="0"/>
        <v>4</v>
      </c>
      <c r="P37">
        <f t="shared" si="1"/>
        <v>2</v>
      </c>
      <c r="Q37" s="6">
        <f t="shared" si="2"/>
        <v>700000</v>
      </c>
      <c r="R37" s="6">
        <f t="shared" si="3"/>
        <v>0</v>
      </c>
      <c r="S37" s="6">
        <f t="shared" si="4"/>
        <v>0</v>
      </c>
      <c r="T37" s="6">
        <f t="shared" si="5"/>
        <v>0</v>
      </c>
      <c r="U37" s="6">
        <f t="shared" si="6"/>
        <v>0</v>
      </c>
      <c r="V37" s="5">
        <f t="shared" si="7"/>
        <v>0</v>
      </c>
    </row>
    <row r="38" spans="1:22">
      <c r="A38" t="s">
        <v>158</v>
      </c>
      <c r="B38" s="4">
        <v>46017</v>
      </c>
      <c r="C38" t="s">
        <v>111</v>
      </c>
      <c r="D38" t="s">
        <v>61</v>
      </c>
      <c r="E38" t="s">
        <v>53</v>
      </c>
      <c r="F38" t="s">
        <v>159</v>
      </c>
      <c r="G38" t="s">
        <v>68</v>
      </c>
      <c r="H38" t="s">
        <v>79</v>
      </c>
      <c r="I38">
        <v>8</v>
      </c>
      <c r="J38" s="6">
        <v>19000</v>
      </c>
      <c r="K38" s="6">
        <v>11500</v>
      </c>
      <c r="L38" s="5">
        <v>0.1</v>
      </c>
      <c r="M38" t="s">
        <v>57</v>
      </c>
      <c r="N38" t="s">
        <v>58</v>
      </c>
      <c r="O38">
        <f t="shared" si="0"/>
        <v>12</v>
      </c>
      <c r="P38">
        <f t="shared" si="1"/>
        <v>4</v>
      </c>
      <c r="Q38" s="6">
        <f t="shared" si="2"/>
        <v>152000</v>
      </c>
      <c r="R38" s="6">
        <f t="shared" si="3"/>
        <v>15200</v>
      </c>
      <c r="S38" s="6">
        <f t="shared" si="4"/>
        <v>136800</v>
      </c>
      <c r="T38" s="6">
        <f t="shared" si="5"/>
        <v>92000</v>
      </c>
      <c r="U38" s="6">
        <f t="shared" si="6"/>
        <v>44800</v>
      </c>
      <c r="V38" s="5">
        <f t="shared" si="7"/>
        <v>0.32748538011695905</v>
      </c>
    </row>
    <row r="39" spans="1:22">
      <c r="A39" t="s">
        <v>160</v>
      </c>
      <c r="B39" s="4">
        <v>45827</v>
      </c>
      <c r="C39" t="s">
        <v>120</v>
      </c>
      <c r="D39" t="s">
        <v>61</v>
      </c>
      <c r="E39" t="s">
        <v>53</v>
      </c>
      <c r="F39" t="s">
        <v>155</v>
      </c>
      <c r="G39" t="s">
        <v>55</v>
      </c>
      <c r="H39" t="s">
        <v>115</v>
      </c>
      <c r="I39">
        <v>7</v>
      </c>
      <c r="J39" s="6">
        <v>105000</v>
      </c>
      <c r="K39" s="6">
        <v>76000</v>
      </c>
      <c r="L39" s="5">
        <v>0.03</v>
      </c>
      <c r="M39" t="s">
        <v>80</v>
      </c>
      <c r="N39" t="s">
        <v>70</v>
      </c>
      <c r="O39">
        <f t="shared" si="0"/>
        <v>6</v>
      </c>
      <c r="P39">
        <f t="shared" si="1"/>
        <v>2</v>
      </c>
      <c r="Q39" s="6">
        <f t="shared" si="2"/>
        <v>735000</v>
      </c>
      <c r="R39" s="6">
        <f t="shared" si="3"/>
        <v>22050</v>
      </c>
      <c r="S39" s="6">
        <f t="shared" si="4"/>
        <v>0</v>
      </c>
      <c r="T39" s="6">
        <f t="shared" si="5"/>
        <v>0</v>
      </c>
      <c r="U39" s="6">
        <f t="shared" si="6"/>
        <v>0</v>
      </c>
      <c r="V39" s="5">
        <f t="shared" si="7"/>
        <v>0</v>
      </c>
    </row>
    <row r="40" spans="1:22">
      <c r="A40" t="s">
        <v>161</v>
      </c>
      <c r="B40" s="4">
        <v>45932</v>
      </c>
      <c r="C40" t="s">
        <v>111</v>
      </c>
      <c r="D40" t="s">
        <v>106</v>
      </c>
      <c r="E40" t="s">
        <v>73</v>
      </c>
      <c r="F40" t="s">
        <v>162</v>
      </c>
      <c r="G40" t="s">
        <v>55</v>
      </c>
      <c r="H40" t="s">
        <v>86</v>
      </c>
      <c r="I40">
        <v>2</v>
      </c>
      <c r="J40" s="6">
        <v>92000</v>
      </c>
      <c r="K40" s="6">
        <v>60000</v>
      </c>
      <c r="L40" s="5">
        <v>0.05</v>
      </c>
      <c r="M40" t="s">
        <v>80</v>
      </c>
      <c r="N40" t="s">
        <v>63</v>
      </c>
      <c r="O40">
        <f t="shared" si="0"/>
        <v>10</v>
      </c>
      <c r="P40">
        <f t="shared" si="1"/>
        <v>4</v>
      </c>
      <c r="Q40" s="6">
        <f t="shared" si="2"/>
        <v>184000</v>
      </c>
      <c r="R40" s="6">
        <f t="shared" si="3"/>
        <v>9200</v>
      </c>
      <c r="S40" s="6">
        <f t="shared" si="4"/>
        <v>0</v>
      </c>
      <c r="T40" s="6">
        <f t="shared" si="5"/>
        <v>0</v>
      </c>
      <c r="U40" s="6">
        <f t="shared" si="6"/>
        <v>0</v>
      </c>
      <c r="V40" s="5">
        <f t="shared" si="7"/>
        <v>0</v>
      </c>
    </row>
    <row r="41" spans="1:22">
      <c r="A41" t="s">
        <v>163</v>
      </c>
      <c r="B41" s="4">
        <v>45682</v>
      </c>
      <c r="C41" t="s">
        <v>92</v>
      </c>
      <c r="D41" t="s">
        <v>93</v>
      </c>
      <c r="E41" t="s">
        <v>94</v>
      </c>
      <c r="F41" t="s">
        <v>164</v>
      </c>
      <c r="G41" t="s">
        <v>55</v>
      </c>
      <c r="H41" t="s">
        <v>56</v>
      </c>
      <c r="I41">
        <v>6</v>
      </c>
      <c r="J41" s="6">
        <v>138000</v>
      </c>
      <c r="K41" s="6">
        <v>99000</v>
      </c>
      <c r="L41" s="5">
        <v>0.1</v>
      </c>
      <c r="M41" t="s">
        <v>57</v>
      </c>
      <c r="N41" t="s">
        <v>70</v>
      </c>
      <c r="O41">
        <f t="shared" si="0"/>
        <v>1</v>
      </c>
      <c r="P41">
        <f t="shared" si="1"/>
        <v>1</v>
      </c>
      <c r="Q41" s="6">
        <f t="shared" si="2"/>
        <v>828000</v>
      </c>
      <c r="R41" s="6">
        <f t="shared" si="3"/>
        <v>82800</v>
      </c>
      <c r="S41" s="6">
        <f t="shared" si="4"/>
        <v>745200</v>
      </c>
      <c r="T41" s="6">
        <f t="shared" si="5"/>
        <v>594000</v>
      </c>
      <c r="U41" s="6">
        <f t="shared" si="6"/>
        <v>151200</v>
      </c>
      <c r="V41" s="5">
        <f t="shared" si="7"/>
        <v>0.20289855072463769</v>
      </c>
    </row>
    <row r="42" spans="1:22">
      <c r="A42" t="s">
        <v>165</v>
      </c>
      <c r="B42" s="4">
        <v>46021</v>
      </c>
      <c r="C42" t="s">
        <v>120</v>
      </c>
      <c r="D42" t="s">
        <v>93</v>
      </c>
      <c r="E42" t="s">
        <v>94</v>
      </c>
      <c r="F42" t="s">
        <v>166</v>
      </c>
      <c r="G42" t="s">
        <v>89</v>
      </c>
      <c r="H42" t="s">
        <v>95</v>
      </c>
      <c r="I42">
        <v>6</v>
      </c>
      <c r="J42" s="6">
        <v>32000</v>
      </c>
      <c r="K42" s="6">
        <v>21000</v>
      </c>
      <c r="L42" s="5">
        <v>0.1</v>
      </c>
      <c r="M42" t="s">
        <v>57</v>
      </c>
      <c r="N42" t="s">
        <v>63</v>
      </c>
      <c r="O42">
        <f t="shared" si="0"/>
        <v>12</v>
      </c>
      <c r="P42">
        <f t="shared" si="1"/>
        <v>4</v>
      </c>
      <c r="Q42" s="6">
        <f t="shared" si="2"/>
        <v>192000</v>
      </c>
      <c r="R42" s="6">
        <f t="shared" si="3"/>
        <v>19200</v>
      </c>
      <c r="S42" s="6">
        <f t="shared" si="4"/>
        <v>172800</v>
      </c>
      <c r="T42" s="6">
        <f t="shared" si="5"/>
        <v>126000</v>
      </c>
      <c r="U42" s="6">
        <f t="shared" si="6"/>
        <v>46800</v>
      </c>
      <c r="V42" s="5">
        <f t="shared" si="7"/>
        <v>0.27083333333333331</v>
      </c>
    </row>
    <row r="43" spans="1:22">
      <c r="A43" t="s">
        <v>167</v>
      </c>
      <c r="B43" s="4">
        <v>45771</v>
      </c>
      <c r="C43" t="s">
        <v>120</v>
      </c>
      <c r="D43" t="s">
        <v>72</v>
      </c>
      <c r="E43" t="s">
        <v>66</v>
      </c>
      <c r="F43" t="s">
        <v>168</v>
      </c>
      <c r="G43" t="s">
        <v>68</v>
      </c>
      <c r="H43" t="s">
        <v>108</v>
      </c>
      <c r="I43">
        <v>2</v>
      </c>
      <c r="J43" s="6">
        <v>175000</v>
      </c>
      <c r="K43" s="6">
        <v>129000</v>
      </c>
      <c r="L43" s="5">
        <v>0.1</v>
      </c>
      <c r="M43" t="s">
        <v>80</v>
      </c>
      <c r="N43" t="s">
        <v>63</v>
      </c>
      <c r="O43">
        <f t="shared" si="0"/>
        <v>4</v>
      </c>
      <c r="P43">
        <f t="shared" si="1"/>
        <v>2</v>
      </c>
      <c r="Q43" s="6">
        <f t="shared" si="2"/>
        <v>350000</v>
      </c>
      <c r="R43" s="6">
        <f t="shared" si="3"/>
        <v>35000</v>
      </c>
      <c r="S43" s="6">
        <f t="shared" si="4"/>
        <v>0</v>
      </c>
      <c r="T43" s="6">
        <f t="shared" si="5"/>
        <v>0</v>
      </c>
      <c r="U43" s="6">
        <f t="shared" si="6"/>
        <v>0</v>
      </c>
      <c r="V43" s="5">
        <f t="shared" si="7"/>
        <v>0</v>
      </c>
    </row>
    <row r="44" spans="1:22">
      <c r="A44" t="s">
        <v>169</v>
      </c>
      <c r="B44" s="4">
        <v>45733</v>
      </c>
      <c r="C44" t="s">
        <v>111</v>
      </c>
      <c r="D44" t="s">
        <v>52</v>
      </c>
      <c r="E44" t="s">
        <v>53</v>
      </c>
      <c r="F44" t="s">
        <v>170</v>
      </c>
      <c r="G44" t="s">
        <v>89</v>
      </c>
      <c r="H44" t="s">
        <v>98</v>
      </c>
      <c r="I44">
        <v>7</v>
      </c>
      <c r="J44" s="6">
        <v>16500</v>
      </c>
      <c r="K44" s="6">
        <v>10000</v>
      </c>
      <c r="L44" s="5">
        <v>0</v>
      </c>
      <c r="M44" t="s">
        <v>109</v>
      </c>
      <c r="N44" t="s">
        <v>70</v>
      </c>
      <c r="O44">
        <f t="shared" si="0"/>
        <v>3</v>
      </c>
      <c r="P44">
        <f t="shared" si="1"/>
        <v>1</v>
      </c>
      <c r="Q44" s="6">
        <f t="shared" si="2"/>
        <v>115500</v>
      </c>
      <c r="R44" s="6">
        <f t="shared" si="3"/>
        <v>0</v>
      </c>
      <c r="S44" s="6">
        <f t="shared" si="4"/>
        <v>0</v>
      </c>
      <c r="T44" s="6">
        <f t="shared" si="5"/>
        <v>0</v>
      </c>
      <c r="U44" s="6">
        <f t="shared" si="6"/>
        <v>0</v>
      </c>
      <c r="V44" s="5">
        <f t="shared" si="7"/>
        <v>0</v>
      </c>
    </row>
    <row r="45" spans="1:22">
      <c r="A45" t="s">
        <v>171</v>
      </c>
      <c r="B45" s="4">
        <v>45845</v>
      </c>
      <c r="C45" t="s">
        <v>60</v>
      </c>
      <c r="D45" t="s">
        <v>61</v>
      </c>
      <c r="E45" t="s">
        <v>66</v>
      </c>
      <c r="F45" t="s">
        <v>172</v>
      </c>
      <c r="G45" t="s">
        <v>55</v>
      </c>
      <c r="H45" t="s">
        <v>86</v>
      </c>
      <c r="I45">
        <v>5</v>
      </c>
      <c r="J45" s="6">
        <v>92000</v>
      </c>
      <c r="K45" s="6">
        <v>60000</v>
      </c>
      <c r="L45" s="5">
        <v>0.12</v>
      </c>
      <c r="M45" t="s">
        <v>80</v>
      </c>
      <c r="N45" t="s">
        <v>58</v>
      </c>
      <c r="O45">
        <f t="shared" si="0"/>
        <v>7</v>
      </c>
      <c r="P45">
        <f t="shared" si="1"/>
        <v>3</v>
      </c>
      <c r="Q45" s="6">
        <f t="shared" si="2"/>
        <v>460000</v>
      </c>
      <c r="R45" s="6">
        <f t="shared" si="3"/>
        <v>55200</v>
      </c>
      <c r="S45" s="6">
        <f t="shared" si="4"/>
        <v>0</v>
      </c>
      <c r="T45" s="6">
        <f t="shared" si="5"/>
        <v>0</v>
      </c>
      <c r="U45" s="6">
        <f t="shared" si="6"/>
        <v>0</v>
      </c>
      <c r="V45" s="5">
        <f t="shared" si="7"/>
        <v>0</v>
      </c>
    </row>
    <row r="46" spans="1:22">
      <c r="A46" t="s">
        <v>173</v>
      </c>
      <c r="B46" s="4">
        <v>45928</v>
      </c>
      <c r="C46" t="s">
        <v>83</v>
      </c>
      <c r="D46" t="s">
        <v>61</v>
      </c>
      <c r="E46" t="s">
        <v>84</v>
      </c>
      <c r="F46" t="s">
        <v>174</v>
      </c>
      <c r="G46" t="s">
        <v>55</v>
      </c>
      <c r="H46" t="s">
        <v>115</v>
      </c>
      <c r="I46">
        <v>5</v>
      </c>
      <c r="J46" s="6">
        <v>105000</v>
      </c>
      <c r="K46" s="6">
        <v>76000</v>
      </c>
      <c r="L46" s="5">
        <v>0.05</v>
      </c>
      <c r="M46" t="s">
        <v>109</v>
      </c>
      <c r="N46" t="s">
        <v>81</v>
      </c>
      <c r="O46">
        <f t="shared" si="0"/>
        <v>9</v>
      </c>
      <c r="P46">
        <f t="shared" si="1"/>
        <v>3</v>
      </c>
      <c r="Q46" s="6">
        <f t="shared" si="2"/>
        <v>525000</v>
      </c>
      <c r="R46" s="6">
        <f t="shared" si="3"/>
        <v>26250</v>
      </c>
      <c r="S46" s="6">
        <f t="shared" si="4"/>
        <v>0</v>
      </c>
      <c r="T46" s="6">
        <f t="shared" si="5"/>
        <v>0</v>
      </c>
      <c r="U46" s="6">
        <f t="shared" si="6"/>
        <v>0</v>
      </c>
      <c r="V46" s="5">
        <f t="shared" si="7"/>
        <v>0</v>
      </c>
    </row>
    <row r="47" spans="1:22">
      <c r="A47" t="s">
        <v>175</v>
      </c>
      <c r="B47" s="4">
        <v>45729</v>
      </c>
      <c r="C47" t="s">
        <v>120</v>
      </c>
      <c r="D47" t="s">
        <v>72</v>
      </c>
      <c r="E47" t="s">
        <v>66</v>
      </c>
      <c r="F47" t="s">
        <v>176</v>
      </c>
      <c r="G47" t="s">
        <v>89</v>
      </c>
      <c r="H47" t="s">
        <v>98</v>
      </c>
      <c r="I47">
        <v>1</v>
      </c>
      <c r="J47" s="6">
        <v>16500</v>
      </c>
      <c r="K47" s="6">
        <v>10000</v>
      </c>
      <c r="L47" s="5">
        <v>0.05</v>
      </c>
      <c r="M47" t="s">
        <v>57</v>
      </c>
      <c r="N47" t="s">
        <v>75</v>
      </c>
      <c r="O47">
        <f t="shared" si="0"/>
        <v>3</v>
      </c>
      <c r="P47">
        <f t="shared" si="1"/>
        <v>1</v>
      </c>
      <c r="Q47" s="6">
        <f t="shared" si="2"/>
        <v>16500</v>
      </c>
      <c r="R47" s="6">
        <f t="shared" si="3"/>
        <v>825</v>
      </c>
      <c r="S47" s="6">
        <f t="shared" si="4"/>
        <v>15675</v>
      </c>
      <c r="T47" s="6">
        <f t="shared" si="5"/>
        <v>10000</v>
      </c>
      <c r="U47" s="6">
        <f t="shared" si="6"/>
        <v>5675</v>
      </c>
      <c r="V47" s="5">
        <f t="shared" si="7"/>
        <v>0.36204146730462522</v>
      </c>
    </row>
    <row r="48" spans="1:22">
      <c r="A48" t="s">
        <v>177</v>
      </c>
      <c r="B48" s="4">
        <v>45809</v>
      </c>
      <c r="C48" t="s">
        <v>77</v>
      </c>
      <c r="D48" t="s">
        <v>93</v>
      </c>
      <c r="E48" t="s">
        <v>53</v>
      </c>
      <c r="F48" t="s">
        <v>178</v>
      </c>
      <c r="G48" t="s">
        <v>89</v>
      </c>
      <c r="H48" t="s">
        <v>98</v>
      </c>
      <c r="I48">
        <v>6</v>
      </c>
      <c r="J48" s="6">
        <v>16500</v>
      </c>
      <c r="K48" s="6">
        <v>10000</v>
      </c>
      <c r="L48" s="5">
        <v>0.1</v>
      </c>
      <c r="M48" t="s">
        <v>57</v>
      </c>
      <c r="N48" t="s">
        <v>63</v>
      </c>
      <c r="O48">
        <f t="shared" si="0"/>
        <v>6</v>
      </c>
      <c r="P48">
        <f t="shared" si="1"/>
        <v>2</v>
      </c>
      <c r="Q48" s="6">
        <f t="shared" si="2"/>
        <v>99000</v>
      </c>
      <c r="R48" s="6">
        <f t="shared" si="3"/>
        <v>9900</v>
      </c>
      <c r="S48" s="6">
        <f t="shared" si="4"/>
        <v>89100</v>
      </c>
      <c r="T48" s="6">
        <f t="shared" si="5"/>
        <v>60000</v>
      </c>
      <c r="U48" s="6">
        <f t="shared" si="6"/>
        <v>29100</v>
      </c>
      <c r="V48" s="5">
        <f t="shared" si="7"/>
        <v>0.32659932659932661</v>
      </c>
    </row>
    <row r="49" spans="1:22">
      <c r="A49" t="s">
        <v>179</v>
      </c>
      <c r="B49" s="4">
        <v>45841</v>
      </c>
      <c r="C49" t="s">
        <v>83</v>
      </c>
      <c r="D49" t="s">
        <v>61</v>
      </c>
      <c r="E49" t="s">
        <v>84</v>
      </c>
      <c r="F49" t="s">
        <v>125</v>
      </c>
      <c r="G49" t="s">
        <v>55</v>
      </c>
      <c r="H49" t="s">
        <v>115</v>
      </c>
      <c r="I49">
        <v>7</v>
      </c>
      <c r="J49" s="6">
        <v>105000</v>
      </c>
      <c r="K49" s="6">
        <v>76000</v>
      </c>
      <c r="L49" s="5">
        <v>0.05</v>
      </c>
      <c r="M49" t="s">
        <v>109</v>
      </c>
      <c r="N49" t="s">
        <v>70</v>
      </c>
      <c r="O49">
        <f t="shared" si="0"/>
        <v>7</v>
      </c>
      <c r="P49">
        <f t="shared" si="1"/>
        <v>3</v>
      </c>
      <c r="Q49" s="6">
        <f t="shared" si="2"/>
        <v>735000</v>
      </c>
      <c r="R49" s="6">
        <f t="shared" si="3"/>
        <v>36750</v>
      </c>
      <c r="S49" s="6">
        <f t="shared" si="4"/>
        <v>0</v>
      </c>
      <c r="T49" s="6">
        <f t="shared" si="5"/>
        <v>0</v>
      </c>
      <c r="U49" s="6">
        <f t="shared" si="6"/>
        <v>0</v>
      </c>
      <c r="V49" s="5">
        <f t="shared" si="7"/>
        <v>0</v>
      </c>
    </row>
    <row r="50" spans="1:22">
      <c r="A50" t="s">
        <v>180</v>
      </c>
      <c r="B50" s="4">
        <v>45820</v>
      </c>
      <c r="C50" t="s">
        <v>83</v>
      </c>
      <c r="D50" t="s">
        <v>65</v>
      </c>
      <c r="E50" t="s">
        <v>84</v>
      </c>
      <c r="F50" t="s">
        <v>181</v>
      </c>
      <c r="G50" t="s">
        <v>68</v>
      </c>
      <c r="H50" t="s">
        <v>79</v>
      </c>
      <c r="I50">
        <v>3</v>
      </c>
      <c r="J50" s="6">
        <v>19000</v>
      </c>
      <c r="K50" s="6">
        <v>11500</v>
      </c>
      <c r="L50" s="5">
        <v>0</v>
      </c>
      <c r="M50" t="s">
        <v>57</v>
      </c>
      <c r="N50" t="s">
        <v>58</v>
      </c>
      <c r="O50">
        <f t="shared" si="0"/>
        <v>6</v>
      </c>
      <c r="P50">
        <f t="shared" si="1"/>
        <v>2</v>
      </c>
      <c r="Q50" s="6">
        <f t="shared" si="2"/>
        <v>57000</v>
      </c>
      <c r="R50" s="6">
        <f t="shared" si="3"/>
        <v>0</v>
      </c>
      <c r="S50" s="6">
        <f t="shared" si="4"/>
        <v>57000</v>
      </c>
      <c r="T50" s="6">
        <f t="shared" si="5"/>
        <v>34500</v>
      </c>
      <c r="U50" s="6">
        <f t="shared" si="6"/>
        <v>22500</v>
      </c>
      <c r="V50" s="5">
        <f t="shared" si="7"/>
        <v>0.39473684210526316</v>
      </c>
    </row>
    <row r="51" spans="1:22">
      <c r="A51" t="s">
        <v>182</v>
      </c>
      <c r="B51" s="4">
        <v>46012</v>
      </c>
      <c r="C51" t="s">
        <v>111</v>
      </c>
      <c r="D51" t="s">
        <v>72</v>
      </c>
      <c r="E51" t="s">
        <v>73</v>
      </c>
      <c r="F51" t="s">
        <v>183</v>
      </c>
      <c r="G51" t="s">
        <v>89</v>
      </c>
      <c r="H51" t="s">
        <v>98</v>
      </c>
      <c r="I51">
        <v>5</v>
      </c>
      <c r="J51" s="6">
        <v>16500</v>
      </c>
      <c r="K51" s="6">
        <v>10000</v>
      </c>
      <c r="L51" s="5">
        <v>0.1</v>
      </c>
      <c r="M51" t="s">
        <v>80</v>
      </c>
      <c r="N51" t="s">
        <v>75</v>
      </c>
      <c r="O51">
        <f t="shared" si="0"/>
        <v>12</v>
      </c>
      <c r="P51">
        <f t="shared" si="1"/>
        <v>4</v>
      </c>
      <c r="Q51" s="6">
        <f t="shared" si="2"/>
        <v>82500</v>
      </c>
      <c r="R51" s="6">
        <f t="shared" si="3"/>
        <v>8250</v>
      </c>
      <c r="S51" s="6">
        <f t="shared" si="4"/>
        <v>0</v>
      </c>
      <c r="T51" s="6">
        <f t="shared" si="5"/>
        <v>0</v>
      </c>
      <c r="U51" s="6">
        <f t="shared" si="6"/>
        <v>0</v>
      </c>
      <c r="V51" s="5">
        <f t="shared" si="7"/>
        <v>0</v>
      </c>
    </row>
    <row r="52" spans="1:22">
      <c r="A52" t="s">
        <v>184</v>
      </c>
      <c r="B52" s="4">
        <v>45858</v>
      </c>
      <c r="C52" t="s">
        <v>111</v>
      </c>
      <c r="D52" t="s">
        <v>61</v>
      </c>
      <c r="E52" t="s">
        <v>84</v>
      </c>
      <c r="F52" t="s">
        <v>185</v>
      </c>
      <c r="G52" t="s">
        <v>68</v>
      </c>
      <c r="H52" t="s">
        <v>108</v>
      </c>
      <c r="I52">
        <v>7</v>
      </c>
      <c r="J52" s="6">
        <v>175000</v>
      </c>
      <c r="K52" s="6">
        <v>129000</v>
      </c>
      <c r="L52" s="5">
        <v>0</v>
      </c>
      <c r="M52" t="s">
        <v>57</v>
      </c>
      <c r="N52" t="s">
        <v>75</v>
      </c>
      <c r="O52">
        <f t="shared" si="0"/>
        <v>7</v>
      </c>
      <c r="P52">
        <f t="shared" si="1"/>
        <v>3</v>
      </c>
      <c r="Q52" s="6">
        <f t="shared" si="2"/>
        <v>1225000</v>
      </c>
      <c r="R52" s="6">
        <f t="shared" si="3"/>
        <v>0</v>
      </c>
      <c r="S52" s="6">
        <f t="shared" si="4"/>
        <v>1225000</v>
      </c>
      <c r="T52" s="6">
        <f t="shared" si="5"/>
        <v>903000</v>
      </c>
      <c r="U52" s="6">
        <f t="shared" si="6"/>
        <v>322000</v>
      </c>
      <c r="V52" s="5">
        <f t="shared" si="7"/>
        <v>0.26285714285714284</v>
      </c>
    </row>
    <row r="53" spans="1:22">
      <c r="A53" t="s">
        <v>186</v>
      </c>
      <c r="B53" s="4">
        <v>45760</v>
      </c>
      <c r="C53" t="s">
        <v>60</v>
      </c>
      <c r="D53" t="s">
        <v>61</v>
      </c>
      <c r="E53" t="s">
        <v>84</v>
      </c>
      <c r="F53" t="s">
        <v>187</v>
      </c>
      <c r="G53" t="s">
        <v>55</v>
      </c>
      <c r="H53" t="s">
        <v>86</v>
      </c>
      <c r="I53">
        <v>3</v>
      </c>
      <c r="J53" s="6">
        <v>92000</v>
      </c>
      <c r="K53" s="6">
        <v>60000</v>
      </c>
      <c r="L53" s="5">
        <v>0.05</v>
      </c>
      <c r="M53" t="s">
        <v>57</v>
      </c>
      <c r="N53" t="s">
        <v>58</v>
      </c>
      <c r="O53">
        <f t="shared" si="0"/>
        <v>4</v>
      </c>
      <c r="P53">
        <f t="shared" si="1"/>
        <v>2</v>
      </c>
      <c r="Q53" s="6">
        <f t="shared" si="2"/>
        <v>276000</v>
      </c>
      <c r="R53" s="6">
        <f t="shared" si="3"/>
        <v>13800</v>
      </c>
      <c r="S53" s="6">
        <f t="shared" si="4"/>
        <v>262200</v>
      </c>
      <c r="T53" s="6">
        <f t="shared" si="5"/>
        <v>180000</v>
      </c>
      <c r="U53" s="6">
        <f t="shared" si="6"/>
        <v>82200</v>
      </c>
      <c r="V53" s="5">
        <f t="shared" si="7"/>
        <v>0.31350114416475972</v>
      </c>
    </row>
    <row r="54" spans="1:22">
      <c r="A54" t="s">
        <v>188</v>
      </c>
      <c r="B54" s="4">
        <v>45665</v>
      </c>
      <c r="C54" t="s">
        <v>51</v>
      </c>
      <c r="D54" t="s">
        <v>106</v>
      </c>
      <c r="E54" t="s">
        <v>53</v>
      </c>
      <c r="F54" t="s">
        <v>189</v>
      </c>
      <c r="G54" t="s">
        <v>55</v>
      </c>
      <c r="H54" t="s">
        <v>115</v>
      </c>
      <c r="I54">
        <v>6</v>
      </c>
      <c r="J54" s="6">
        <v>105000</v>
      </c>
      <c r="K54" s="6">
        <v>76000</v>
      </c>
      <c r="L54" s="5">
        <v>0.03</v>
      </c>
      <c r="M54" t="s">
        <v>80</v>
      </c>
      <c r="N54" t="s">
        <v>81</v>
      </c>
      <c r="O54">
        <f t="shared" si="0"/>
        <v>1</v>
      </c>
      <c r="P54">
        <f t="shared" si="1"/>
        <v>1</v>
      </c>
      <c r="Q54" s="6">
        <f t="shared" si="2"/>
        <v>630000</v>
      </c>
      <c r="R54" s="6">
        <f t="shared" si="3"/>
        <v>18900</v>
      </c>
      <c r="S54" s="6">
        <f t="shared" si="4"/>
        <v>0</v>
      </c>
      <c r="T54" s="6">
        <f t="shared" si="5"/>
        <v>0</v>
      </c>
      <c r="U54" s="6">
        <f t="shared" si="6"/>
        <v>0</v>
      </c>
      <c r="V54" s="5">
        <f t="shared" si="7"/>
        <v>0</v>
      </c>
    </row>
    <row r="55" spans="1:22">
      <c r="A55" t="s">
        <v>190</v>
      </c>
      <c r="B55" s="4">
        <v>45970</v>
      </c>
      <c r="C55" t="s">
        <v>120</v>
      </c>
      <c r="D55" t="s">
        <v>61</v>
      </c>
      <c r="E55" t="s">
        <v>73</v>
      </c>
      <c r="F55" t="s">
        <v>191</v>
      </c>
      <c r="G55" t="s">
        <v>68</v>
      </c>
      <c r="H55" t="s">
        <v>108</v>
      </c>
      <c r="I55">
        <v>7</v>
      </c>
      <c r="J55" s="6">
        <v>175000</v>
      </c>
      <c r="K55" s="6">
        <v>129000</v>
      </c>
      <c r="L55" s="5">
        <v>0</v>
      </c>
      <c r="M55" t="s">
        <v>80</v>
      </c>
      <c r="N55" t="s">
        <v>63</v>
      </c>
      <c r="O55">
        <f t="shared" si="0"/>
        <v>11</v>
      </c>
      <c r="P55">
        <f t="shared" si="1"/>
        <v>4</v>
      </c>
      <c r="Q55" s="6">
        <f t="shared" si="2"/>
        <v>1225000</v>
      </c>
      <c r="R55" s="6">
        <f t="shared" si="3"/>
        <v>0</v>
      </c>
      <c r="S55" s="6">
        <f t="shared" si="4"/>
        <v>0</v>
      </c>
      <c r="T55" s="6">
        <f t="shared" si="5"/>
        <v>0</v>
      </c>
      <c r="U55" s="6">
        <f t="shared" si="6"/>
        <v>0</v>
      </c>
      <c r="V55" s="5">
        <f t="shared" si="7"/>
        <v>0</v>
      </c>
    </row>
    <row r="56" spans="1:22">
      <c r="A56" t="s">
        <v>192</v>
      </c>
      <c r="B56" s="4">
        <v>45877</v>
      </c>
      <c r="C56" t="s">
        <v>102</v>
      </c>
      <c r="D56" t="s">
        <v>61</v>
      </c>
      <c r="E56" t="s">
        <v>94</v>
      </c>
      <c r="F56" t="s">
        <v>193</v>
      </c>
      <c r="G56" t="s">
        <v>89</v>
      </c>
      <c r="H56" t="s">
        <v>98</v>
      </c>
      <c r="I56">
        <v>7</v>
      </c>
      <c r="J56" s="6">
        <v>16500</v>
      </c>
      <c r="K56" s="6">
        <v>10000</v>
      </c>
      <c r="L56" s="5">
        <v>0.12</v>
      </c>
      <c r="M56" t="s">
        <v>57</v>
      </c>
      <c r="N56" t="s">
        <v>81</v>
      </c>
      <c r="O56">
        <f t="shared" si="0"/>
        <v>8</v>
      </c>
      <c r="P56">
        <f t="shared" si="1"/>
        <v>3</v>
      </c>
      <c r="Q56" s="6">
        <f t="shared" si="2"/>
        <v>115500</v>
      </c>
      <c r="R56" s="6">
        <f t="shared" si="3"/>
        <v>13860</v>
      </c>
      <c r="S56" s="6">
        <f t="shared" si="4"/>
        <v>101640</v>
      </c>
      <c r="T56" s="6">
        <f t="shared" si="5"/>
        <v>70000</v>
      </c>
      <c r="U56" s="6">
        <f t="shared" si="6"/>
        <v>31640</v>
      </c>
      <c r="V56" s="5">
        <f t="shared" si="7"/>
        <v>0.31129476584022037</v>
      </c>
    </row>
    <row r="57" spans="1:22">
      <c r="A57" t="s">
        <v>194</v>
      </c>
      <c r="B57" s="4">
        <v>45998</v>
      </c>
      <c r="C57" t="s">
        <v>83</v>
      </c>
      <c r="D57" t="s">
        <v>61</v>
      </c>
      <c r="E57" t="s">
        <v>84</v>
      </c>
      <c r="F57" t="s">
        <v>195</v>
      </c>
      <c r="G57" t="s">
        <v>55</v>
      </c>
      <c r="H57" t="s">
        <v>86</v>
      </c>
      <c r="I57">
        <v>8</v>
      </c>
      <c r="J57" s="6">
        <v>92000</v>
      </c>
      <c r="K57" s="6">
        <v>60000</v>
      </c>
      <c r="L57" s="5">
        <v>0.12</v>
      </c>
      <c r="M57" t="s">
        <v>109</v>
      </c>
      <c r="N57" t="s">
        <v>63</v>
      </c>
      <c r="O57">
        <f t="shared" si="0"/>
        <v>12</v>
      </c>
      <c r="P57">
        <f t="shared" si="1"/>
        <v>4</v>
      </c>
      <c r="Q57" s="6">
        <f t="shared" si="2"/>
        <v>736000</v>
      </c>
      <c r="R57" s="6">
        <f t="shared" si="3"/>
        <v>88320</v>
      </c>
      <c r="S57" s="6">
        <f t="shared" si="4"/>
        <v>0</v>
      </c>
      <c r="T57" s="6">
        <f t="shared" si="5"/>
        <v>0</v>
      </c>
      <c r="U57" s="6">
        <f t="shared" si="6"/>
        <v>0</v>
      </c>
      <c r="V57" s="5">
        <f t="shared" si="7"/>
        <v>0</v>
      </c>
    </row>
    <row r="58" spans="1:22">
      <c r="A58" t="s">
        <v>196</v>
      </c>
      <c r="B58" s="4">
        <v>45689</v>
      </c>
      <c r="C58" t="s">
        <v>83</v>
      </c>
      <c r="D58" t="s">
        <v>106</v>
      </c>
      <c r="E58" t="s">
        <v>73</v>
      </c>
      <c r="F58" t="s">
        <v>197</v>
      </c>
      <c r="G58" t="s">
        <v>68</v>
      </c>
      <c r="H58" t="s">
        <v>108</v>
      </c>
      <c r="I58">
        <v>1</v>
      </c>
      <c r="J58" s="6">
        <v>175000</v>
      </c>
      <c r="K58" s="6">
        <v>129000</v>
      </c>
      <c r="L58" s="5">
        <v>0</v>
      </c>
      <c r="M58" t="s">
        <v>80</v>
      </c>
      <c r="N58" t="s">
        <v>63</v>
      </c>
      <c r="O58">
        <f t="shared" si="0"/>
        <v>2</v>
      </c>
      <c r="P58">
        <f t="shared" si="1"/>
        <v>1</v>
      </c>
      <c r="Q58" s="6">
        <f t="shared" si="2"/>
        <v>175000</v>
      </c>
      <c r="R58" s="6">
        <f t="shared" si="3"/>
        <v>0</v>
      </c>
      <c r="S58" s="6">
        <f t="shared" si="4"/>
        <v>0</v>
      </c>
      <c r="T58" s="6">
        <f t="shared" si="5"/>
        <v>0</v>
      </c>
      <c r="U58" s="6">
        <f t="shared" si="6"/>
        <v>0</v>
      </c>
      <c r="V58" s="5">
        <f t="shared" si="7"/>
        <v>0</v>
      </c>
    </row>
    <row r="59" spans="1:22">
      <c r="A59" t="s">
        <v>198</v>
      </c>
      <c r="B59" s="4">
        <v>45937</v>
      </c>
      <c r="C59" t="s">
        <v>111</v>
      </c>
      <c r="D59" t="s">
        <v>52</v>
      </c>
      <c r="E59" t="s">
        <v>73</v>
      </c>
      <c r="F59" t="s">
        <v>199</v>
      </c>
      <c r="G59" t="s">
        <v>55</v>
      </c>
      <c r="H59" t="s">
        <v>56</v>
      </c>
      <c r="I59">
        <v>6</v>
      </c>
      <c r="J59" s="6">
        <v>138000</v>
      </c>
      <c r="K59" s="6">
        <v>99000</v>
      </c>
      <c r="L59" s="5">
        <v>0</v>
      </c>
      <c r="M59" t="s">
        <v>57</v>
      </c>
      <c r="N59" t="s">
        <v>63</v>
      </c>
      <c r="O59">
        <f t="shared" si="0"/>
        <v>10</v>
      </c>
      <c r="P59">
        <f t="shared" si="1"/>
        <v>4</v>
      </c>
      <c r="Q59" s="6">
        <f t="shared" si="2"/>
        <v>828000</v>
      </c>
      <c r="R59" s="6">
        <f t="shared" si="3"/>
        <v>0</v>
      </c>
      <c r="S59" s="6">
        <f t="shared" si="4"/>
        <v>828000</v>
      </c>
      <c r="T59" s="6">
        <f t="shared" si="5"/>
        <v>594000</v>
      </c>
      <c r="U59" s="6">
        <f t="shared" si="6"/>
        <v>234000</v>
      </c>
      <c r="V59" s="5">
        <f t="shared" si="7"/>
        <v>0.28260869565217389</v>
      </c>
    </row>
    <row r="60" spans="1:22">
      <c r="A60" t="s">
        <v>200</v>
      </c>
      <c r="B60" s="4">
        <v>45803</v>
      </c>
      <c r="C60" t="s">
        <v>120</v>
      </c>
      <c r="D60" t="s">
        <v>61</v>
      </c>
      <c r="E60" t="s">
        <v>66</v>
      </c>
      <c r="F60" t="s">
        <v>125</v>
      </c>
      <c r="G60" t="s">
        <v>55</v>
      </c>
      <c r="H60" t="s">
        <v>115</v>
      </c>
      <c r="I60">
        <v>7</v>
      </c>
      <c r="J60" s="6">
        <v>105000</v>
      </c>
      <c r="K60" s="6">
        <v>76000</v>
      </c>
      <c r="L60" s="5">
        <v>0</v>
      </c>
      <c r="M60" t="s">
        <v>109</v>
      </c>
      <c r="N60" t="s">
        <v>81</v>
      </c>
      <c r="O60">
        <f t="shared" si="0"/>
        <v>5</v>
      </c>
      <c r="P60">
        <f t="shared" si="1"/>
        <v>2</v>
      </c>
      <c r="Q60" s="6">
        <f t="shared" si="2"/>
        <v>735000</v>
      </c>
      <c r="R60" s="6">
        <f t="shared" si="3"/>
        <v>0</v>
      </c>
      <c r="S60" s="6">
        <f t="shared" si="4"/>
        <v>0</v>
      </c>
      <c r="T60" s="6">
        <f t="shared" si="5"/>
        <v>0</v>
      </c>
      <c r="U60" s="6">
        <f t="shared" si="6"/>
        <v>0</v>
      </c>
      <c r="V60" s="5">
        <f t="shared" si="7"/>
        <v>0</v>
      </c>
    </row>
    <row r="61" spans="1:22">
      <c r="A61" t="s">
        <v>201</v>
      </c>
      <c r="B61" s="4">
        <v>45754</v>
      </c>
      <c r="C61" t="s">
        <v>111</v>
      </c>
      <c r="D61" t="s">
        <v>72</v>
      </c>
      <c r="E61" t="s">
        <v>53</v>
      </c>
      <c r="F61" t="s">
        <v>202</v>
      </c>
      <c r="G61" t="s">
        <v>89</v>
      </c>
      <c r="H61" t="s">
        <v>90</v>
      </c>
      <c r="I61">
        <v>3</v>
      </c>
      <c r="J61" s="6">
        <v>5900</v>
      </c>
      <c r="K61" s="6">
        <v>3700</v>
      </c>
      <c r="L61" s="5">
        <v>0.1</v>
      </c>
      <c r="M61" t="s">
        <v>57</v>
      </c>
      <c r="N61" t="s">
        <v>63</v>
      </c>
      <c r="O61">
        <f t="shared" si="0"/>
        <v>4</v>
      </c>
      <c r="P61">
        <f t="shared" si="1"/>
        <v>2</v>
      </c>
      <c r="Q61" s="6">
        <f t="shared" si="2"/>
        <v>17700</v>
      </c>
      <c r="R61" s="6">
        <f t="shared" si="3"/>
        <v>1770</v>
      </c>
      <c r="S61" s="6">
        <f t="shared" si="4"/>
        <v>15930</v>
      </c>
      <c r="T61" s="6">
        <f t="shared" si="5"/>
        <v>11100</v>
      </c>
      <c r="U61" s="6">
        <f t="shared" si="6"/>
        <v>4830</v>
      </c>
      <c r="V61" s="5">
        <f t="shared" si="7"/>
        <v>0.3032015065913371</v>
      </c>
    </row>
    <row r="62" spans="1:22">
      <c r="A62" t="s">
        <v>203</v>
      </c>
      <c r="B62" s="4">
        <v>45969</v>
      </c>
      <c r="C62" t="s">
        <v>92</v>
      </c>
      <c r="D62" t="s">
        <v>61</v>
      </c>
      <c r="E62" t="s">
        <v>94</v>
      </c>
      <c r="F62" t="s">
        <v>204</v>
      </c>
      <c r="G62" t="s">
        <v>89</v>
      </c>
      <c r="H62" t="s">
        <v>98</v>
      </c>
      <c r="I62">
        <v>5</v>
      </c>
      <c r="J62" s="6">
        <v>16500</v>
      </c>
      <c r="K62" s="6">
        <v>10000</v>
      </c>
      <c r="L62" s="5">
        <v>0.1</v>
      </c>
      <c r="M62" t="s">
        <v>57</v>
      </c>
      <c r="N62" t="s">
        <v>58</v>
      </c>
      <c r="O62">
        <f t="shared" si="0"/>
        <v>11</v>
      </c>
      <c r="P62">
        <f t="shared" si="1"/>
        <v>4</v>
      </c>
      <c r="Q62" s="6">
        <f t="shared" si="2"/>
        <v>82500</v>
      </c>
      <c r="R62" s="6">
        <f t="shared" si="3"/>
        <v>8250</v>
      </c>
      <c r="S62" s="6">
        <f t="shared" si="4"/>
        <v>74250</v>
      </c>
      <c r="T62" s="6">
        <f t="shared" si="5"/>
        <v>50000</v>
      </c>
      <c r="U62" s="6">
        <f t="shared" si="6"/>
        <v>24250</v>
      </c>
      <c r="V62" s="5">
        <f t="shared" si="7"/>
        <v>0.32659932659932661</v>
      </c>
    </row>
    <row r="63" spans="1:22">
      <c r="A63" t="s">
        <v>205</v>
      </c>
      <c r="B63" s="4">
        <v>45710</v>
      </c>
      <c r="C63" t="s">
        <v>120</v>
      </c>
      <c r="D63" t="s">
        <v>52</v>
      </c>
      <c r="E63" t="s">
        <v>84</v>
      </c>
      <c r="F63" t="s">
        <v>206</v>
      </c>
      <c r="G63" t="s">
        <v>68</v>
      </c>
      <c r="H63" t="s">
        <v>79</v>
      </c>
      <c r="I63">
        <v>5</v>
      </c>
      <c r="J63" s="6">
        <v>19000</v>
      </c>
      <c r="K63" s="6">
        <v>11500</v>
      </c>
      <c r="L63" s="5">
        <v>0.05</v>
      </c>
      <c r="M63" t="s">
        <v>57</v>
      </c>
      <c r="N63" t="s">
        <v>70</v>
      </c>
      <c r="O63">
        <f t="shared" si="0"/>
        <v>2</v>
      </c>
      <c r="P63">
        <f t="shared" si="1"/>
        <v>1</v>
      </c>
      <c r="Q63" s="6">
        <f t="shared" si="2"/>
        <v>95000</v>
      </c>
      <c r="R63" s="6">
        <f t="shared" si="3"/>
        <v>4750</v>
      </c>
      <c r="S63" s="6">
        <f t="shared" si="4"/>
        <v>90250</v>
      </c>
      <c r="T63" s="6">
        <f t="shared" si="5"/>
        <v>57500</v>
      </c>
      <c r="U63" s="6">
        <f t="shared" si="6"/>
        <v>32750</v>
      </c>
      <c r="V63" s="5">
        <f t="shared" si="7"/>
        <v>0.36288088642659277</v>
      </c>
    </row>
    <row r="64" spans="1:22">
      <c r="A64" t="s">
        <v>207</v>
      </c>
      <c r="B64" s="4">
        <v>45661</v>
      </c>
      <c r="C64" t="s">
        <v>77</v>
      </c>
      <c r="D64" t="s">
        <v>72</v>
      </c>
      <c r="E64" t="s">
        <v>66</v>
      </c>
      <c r="F64" t="s">
        <v>208</v>
      </c>
      <c r="G64" t="s">
        <v>55</v>
      </c>
      <c r="H64" t="s">
        <v>115</v>
      </c>
      <c r="I64">
        <v>6</v>
      </c>
      <c r="J64" s="6">
        <v>105000</v>
      </c>
      <c r="K64" s="6">
        <v>76000</v>
      </c>
      <c r="L64" s="5">
        <v>0.1</v>
      </c>
      <c r="M64" t="s">
        <v>57</v>
      </c>
      <c r="N64" t="s">
        <v>75</v>
      </c>
      <c r="O64">
        <f t="shared" si="0"/>
        <v>1</v>
      </c>
      <c r="P64">
        <f t="shared" si="1"/>
        <v>1</v>
      </c>
      <c r="Q64" s="6">
        <f t="shared" si="2"/>
        <v>630000</v>
      </c>
      <c r="R64" s="6">
        <f t="shared" si="3"/>
        <v>63000</v>
      </c>
      <c r="S64" s="6">
        <f t="shared" si="4"/>
        <v>567000</v>
      </c>
      <c r="T64" s="6">
        <f t="shared" si="5"/>
        <v>456000</v>
      </c>
      <c r="U64" s="6">
        <f t="shared" si="6"/>
        <v>111000</v>
      </c>
      <c r="V64" s="5">
        <f t="shared" si="7"/>
        <v>0.19576719576719576</v>
      </c>
    </row>
    <row r="65" spans="1:22">
      <c r="A65" t="s">
        <v>209</v>
      </c>
      <c r="B65" s="4">
        <v>45705</v>
      </c>
      <c r="C65" t="s">
        <v>51</v>
      </c>
      <c r="D65" t="s">
        <v>61</v>
      </c>
      <c r="E65" t="s">
        <v>53</v>
      </c>
      <c r="F65" t="s">
        <v>210</v>
      </c>
      <c r="G65" t="s">
        <v>89</v>
      </c>
      <c r="H65" t="s">
        <v>95</v>
      </c>
      <c r="I65">
        <v>3</v>
      </c>
      <c r="J65" s="6">
        <v>32000</v>
      </c>
      <c r="K65" s="6">
        <v>21000</v>
      </c>
      <c r="L65" s="5">
        <v>0.12</v>
      </c>
      <c r="M65" t="s">
        <v>80</v>
      </c>
      <c r="N65" t="s">
        <v>70</v>
      </c>
      <c r="O65">
        <f t="shared" si="0"/>
        <v>2</v>
      </c>
      <c r="P65">
        <f t="shared" si="1"/>
        <v>1</v>
      </c>
      <c r="Q65" s="6">
        <f t="shared" si="2"/>
        <v>96000</v>
      </c>
      <c r="R65" s="6">
        <f t="shared" si="3"/>
        <v>11520</v>
      </c>
      <c r="S65" s="6">
        <f t="shared" si="4"/>
        <v>0</v>
      </c>
      <c r="T65" s="6">
        <f t="shared" si="5"/>
        <v>0</v>
      </c>
      <c r="U65" s="6">
        <f t="shared" si="6"/>
        <v>0</v>
      </c>
      <c r="V65" s="5">
        <f t="shared" si="7"/>
        <v>0</v>
      </c>
    </row>
    <row r="66" spans="1:22">
      <c r="A66" t="s">
        <v>211</v>
      </c>
      <c r="B66" s="4">
        <v>45737</v>
      </c>
      <c r="C66" t="s">
        <v>111</v>
      </c>
      <c r="D66" t="s">
        <v>52</v>
      </c>
      <c r="E66" t="s">
        <v>53</v>
      </c>
      <c r="F66" t="s">
        <v>212</v>
      </c>
      <c r="G66" t="s">
        <v>68</v>
      </c>
      <c r="H66" t="s">
        <v>69</v>
      </c>
      <c r="I66">
        <v>7</v>
      </c>
      <c r="J66" s="6">
        <v>115000</v>
      </c>
      <c r="K66" s="6">
        <v>82000</v>
      </c>
      <c r="L66" s="5">
        <v>0.08</v>
      </c>
      <c r="M66" t="s">
        <v>57</v>
      </c>
      <c r="N66" t="s">
        <v>81</v>
      </c>
      <c r="O66">
        <f t="shared" ref="O66:O129" si="8">MONTH(B66)</f>
        <v>3</v>
      </c>
      <c r="P66">
        <f t="shared" ref="P66:P129" si="9">ROUNDUP(O66/3,0)</f>
        <v>1</v>
      </c>
      <c r="Q66" s="6">
        <f t="shared" ref="Q66:Q129" si="10">I66*J66</f>
        <v>805000</v>
      </c>
      <c r="R66" s="6">
        <f t="shared" ref="R66:R129" si="11">Q66*L66</f>
        <v>64400</v>
      </c>
      <c r="S66" s="6">
        <f t="shared" ref="S66:S129" si="12">IF(M66="Ganho",Q66-R66,0)</f>
        <v>740600</v>
      </c>
      <c r="T66" s="6">
        <f t="shared" ref="T66:T129" si="13">IF(M66="Ganho",I66*K66,0)</f>
        <v>574000</v>
      </c>
      <c r="U66" s="6">
        <f t="shared" ref="U66:U129" si="14">S66-T66</f>
        <v>166600</v>
      </c>
      <c r="V66" s="5">
        <f t="shared" ref="V66:V129" si="15">IFERROR(U66/S66,0)</f>
        <v>0.22495274102079396</v>
      </c>
    </row>
    <row r="67" spans="1:22">
      <c r="A67" t="s">
        <v>213</v>
      </c>
      <c r="B67" s="4">
        <v>45944</v>
      </c>
      <c r="C67" t="s">
        <v>77</v>
      </c>
      <c r="D67" t="s">
        <v>61</v>
      </c>
      <c r="E67" t="s">
        <v>66</v>
      </c>
      <c r="F67" t="s">
        <v>214</v>
      </c>
      <c r="G67" t="s">
        <v>89</v>
      </c>
      <c r="H67" t="s">
        <v>98</v>
      </c>
      <c r="I67">
        <v>3</v>
      </c>
      <c r="J67" s="6">
        <v>16500</v>
      </c>
      <c r="K67" s="6">
        <v>10000</v>
      </c>
      <c r="L67" s="5">
        <v>0.1</v>
      </c>
      <c r="M67" t="s">
        <v>57</v>
      </c>
      <c r="N67" t="s">
        <v>58</v>
      </c>
      <c r="O67">
        <f t="shared" si="8"/>
        <v>10</v>
      </c>
      <c r="P67">
        <f t="shared" si="9"/>
        <v>4</v>
      </c>
      <c r="Q67" s="6">
        <f t="shared" si="10"/>
        <v>49500</v>
      </c>
      <c r="R67" s="6">
        <f t="shared" si="11"/>
        <v>4950</v>
      </c>
      <c r="S67" s="6">
        <f t="shared" si="12"/>
        <v>44550</v>
      </c>
      <c r="T67" s="6">
        <f t="shared" si="13"/>
        <v>30000</v>
      </c>
      <c r="U67" s="6">
        <f t="shared" si="14"/>
        <v>14550</v>
      </c>
      <c r="V67" s="5">
        <f t="shared" si="15"/>
        <v>0.32659932659932661</v>
      </c>
    </row>
    <row r="68" spans="1:22">
      <c r="A68" t="s">
        <v>215</v>
      </c>
      <c r="B68" s="4">
        <v>46008</v>
      </c>
      <c r="C68" t="s">
        <v>111</v>
      </c>
      <c r="D68" t="s">
        <v>106</v>
      </c>
      <c r="E68" t="s">
        <v>66</v>
      </c>
      <c r="F68" t="s">
        <v>216</v>
      </c>
      <c r="G68" t="s">
        <v>89</v>
      </c>
      <c r="H68" t="s">
        <v>95</v>
      </c>
      <c r="I68">
        <v>1</v>
      </c>
      <c r="J68" s="6">
        <v>32000</v>
      </c>
      <c r="K68" s="6">
        <v>21000</v>
      </c>
      <c r="L68" s="5">
        <v>0.12</v>
      </c>
      <c r="M68" t="s">
        <v>57</v>
      </c>
      <c r="N68" t="s">
        <v>63</v>
      </c>
      <c r="O68">
        <f t="shared" si="8"/>
        <v>12</v>
      </c>
      <c r="P68">
        <f t="shared" si="9"/>
        <v>4</v>
      </c>
      <c r="Q68" s="6">
        <f t="shared" si="10"/>
        <v>32000</v>
      </c>
      <c r="R68" s="6">
        <f t="shared" si="11"/>
        <v>3840</v>
      </c>
      <c r="S68" s="6">
        <f t="shared" si="12"/>
        <v>28160</v>
      </c>
      <c r="T68" s="6">
        <f t="shared" si="13"/>
        <v>21000</v>
      </c>
      <c r="U68" s="6">
        <f t="shared" si="14"/>
        <v>7160</v>
      </c>
      <c r="V68" s="5">
        <f t="shared" si="15"/>
        <v>0.25426136363636365</v>
      </c>
    </row>
    <row r="69" spans="1:22">
      <c r="A69" t="s">
        <v>217</v>
      </c>
      <c r="B69" s="4">
        <v>45820</v>
      </c>
      <c r="C69" t="s">
        <v>120</v>
      </c>
      <c r="D69" t="s">
        <v>72</v>
      </c>
      <c r="E69" t="s">
        <v>84</v>
      </c>
      <c r="F69" t="s">
        <v>218</v>
      </c>
      <c r="G69" t="s">
        <v>55</v>
      </c>
      <c r="H69" t="s">
        <v>56</v>
      </c>
      <c r="I69">
        <v>8</v>
      </c>
      <c r="J69" s="6">
        <v>138000</v>
      </c>
      <c r="K69" s="6">
        <v>99000</v>
      </c>
      <c r="L69" s="5">
        <v>0</v>
      </c>
      <c r="M69" t="s">
        <v>109</v>
      </c>
      <c r="N69" t="s">
        <v>58</v>
      </c>
      <c r="O69">
        <f t="shared" si="8"/>
        <v>6</v>
      </c>
      <c r="P69">
        <f t="shared" si="9"/>
        <v>2</v>
      </c>
      <c r="Q69" s="6">
        <f t="shared" si="10"/>
        <v>1104000</v>
      </c>
      <c r="R69" s="6">
        <f t="shared" si="11"/>
        <v>0</v>
      </c>
      <c r="S69" s="6">
        <f t="shared" si="12"/>
        <v>0</v>
      </c>
      <c r="T69" s="6">
        <f t="shared" si="13"/>
        <v>0</v>
      </c>
      <c r="U69" s="6">
        <f t="shared" si="14"/>
        <v>0</v>
      </c>
      <c r="V69" s="5">
        <f t="shared" si="15"/>
        <v>0</v>
      </c>
    </row>
    <row r="70" spans="1:22">
      <c r="A70" t="s">
        <v>219</v>
      </c>
      <c r="B70" s="4">
        <v>45981</v>
      </c>
      <c r="C70" t="s">
        <v>60</v>
      </c>
      <c r="D70" t="s">
        <v>72</v>
      </c>
      <c r="E70" t="s">
        <v>84</v>
      </c>
      <c r="F70" t="s">
        <v>220</v>
      </c>
      <c r="G70" t="s">
        <v>55</v>
      </c>
      <c r="H70" t="s">
        <v>115</v>
      </c>
      <c r="I70">
        <v>4</v>
      </c>
      <c r="J70" s="6">
        <v>105000</v>
      </c>
      <c r="K70" s="6">
        <v>76000</v>
      </c>
      <c r="L70" s="5">
        <v>0.03</v>
      </c>
      <c r="M70" t="s">
        <v>57</v>
      </c>
      <c r="N70" t="s">
        <v>81</v>
      </c>
      <c r="O70">
        <f t="shared" si="8"/>
        <v>11</v>
      </c>
      <c r="P70">
        <f t="shared" si="9"/>
        <v>4</v>
      </c>
      <c r="Q70" s="6">
        <f t="shared" si="10"/>
        <v>420000</v>
      </c>
      <c r="R70" s="6">
        <f t="shared" si="11"/>
        <v>12600</v>
      </c>
      <c r="S70" s="6">
        <f t="shared" si="12"/>
        <v>407400</v>
      </c>
      <c r="T70" s="6">
        <f t="shared" si="13"/>
        <v>304000</v>
      </c>
      <c r="U70" s="6">
        <f t="shared" si="14"/>
        <v>103400</v>
      </c>
      <c r="V70" s="5">
        <f t="shared" si="15"/>
        <v>0.25380461462935688</v>
      </c>
    </row>
    <row r="71" spans="1:22">
      <c r="A71" t="s">
        <v>221</v>
      </c>
      <c r="B71" s="4">
        <v>45717</v>
      </c>
      <c r="C71" t="s">
        <v>60</v>
      </c>
      <c r="D71" t="s">
        <v>52</v>
      </c>
      <c r="E71" t="s">
        <v>66</v>
      </c>
      <c r="F71" t="s">
        <v>222</v>
      </c>
      <c r="G71" t="s">
        <v>68</v>
      </c>
      <c r="H71" t="s">
        <v>79</v>
      </c>
      <c r="I71">
        <v>4</v>
      </c>
      <c r="J71" s="6">
        <v>19000</v>
      </c>
      <c r="K71" s="6">
        <v>11500</v>
      </c>
      <c r="L71" s="5">
        <v>0.03</v>
      </c>
      <c r="M71" t="s">
        <v>57</v>
      </c>
      <c r="N71" t="s">
        <v>58</v>
      </c>
      <c r="O71">
        <f t="shared" si="8"/>
        <v>3</v>
      </c>
      <c r="P71">
        <f t="shared" si="9"/>
        <v>1</v>
      </c>
      <c r="Q71" s="6">
        <f t="shared" si="10"/>
        <v>76000</v>
      </c>
      <c r="R71" s="6">
        <f t="shared" si="11"/>
        <v>2280</v>
      </c>
      <c r="S71" s="6">
        <f t="shared" si="12"/>
        <v>73720</v>
      </c>
      <c r="T71" s="6">
        <f t="shared" si="13"/>
        <v>46000</v>
      </c>
      <c r="U71" s="6">
        <f t="shared" si="14"/>
        <v>27720</v>
      </c>
      <c r="V71" s="5">
        <f t="shared" si="15"/>
        <v>0.37601736299511668</v>
      </c>
    </row>
    <row r="72" spans="1:22">
      <c r="A72" t="s">
        <v>223</v>
      </c>
      <c r="B72" s="4">
        <v>46020</v>
      </c>
      <c r="C72" t="s">
        <v>83</v>
      </c>
      <c r="D72" t="s">
        <v>93</v>
      </c>
      <c r="E72" t="s">
        <v>94</v>
      </c>
      <c r="F72" t="s">
        <v>224</v>
      </c>
      <c r="G72" t="s">
        <v>55</v>
      </c>
      <c r="H72" t="s">
        <v>56</v>
      </c>
      <c r="I72">
        <v>2</v>
      </c>
      <c r="J72" s="6">
        <v>138000</v>
      </c>
      <c r="K72" s="6">
        <v>99000</v>
      </c>
      <c r="L72" s="5">
        <v>0.1</v>
      </c>
      <c r="M72" t="s">
        <v>57</v>
      </c>
      <c r="N72" t="s">
        <v>81</v>
      </c>
      <c r="O72">
        <f t="shared" si="8"/>
        <v>12</v>
      </c>
      <c r="P72">
        <f t="shared" si="9"/>
        <v>4</v>
      </c>
      <c r="Q72" s="6">
        <f t="shared" si="10"/>
        <v>276000</v>
      </c>
      <c r="R72" s="6">
        <f t="shared" si="11"/>
        <v>27600</v>
      </c>
      <c r="S72" s="6">
        <f t="shared" si="12"/>
        <v>248400</v>
      </c>
      <c r="T72" s="6">
        <f t="shared" si="13"/>
        <v>198000</v>
      </c>
      <c r="U72" s="6">
        <f t="shared" si="14"/>
        <v>50400</v>
      </c>
      <c r="V72" s="5">
        <f t="shared" si="15"/>
        <v>0.20289855072463769</v>
      </c>
    </row>
    <row r="73" spans="1:22">
      <c r="A73" t="s">
        <v>225</v>
      </c>
      <c r="B73" s="4">
        <v>45961</v>
      </c>
      <c r="C73" t="s">
        <v>77</v>
      </c>
      <c r="D73" t="s">
        <v>93</v>
      </c>
      <c r="E73" t="s">
        <v>84</v>
      </c>
      <c r="F73" t="s">
        <v>226</v>
      </c>
      <c r="G73" t="s">
        <v>89</v>
      </c>
      <c r="H73" t="s">
        <v>98</v>
      </c>
      <c r="I73">
        <v>7</v>
      </c>
      <c r="J73" s="6">
        <v>16500</v>
      </c>
      <c r="K73" s="6">
        <v>10000</v>
      </c>
      <c r="L73" s="5">
        <v>0.1</v>
      </c>
      <c r="M73" t="s">
        <v>57</v>
      </c>
      <c r="N73" t="s">
        <v>58</v>
      </c>
      <c r="O73">
        <f t="shared" si="8"/>
        <v>10</v>
      </c>
      <c r="P73">
        <f t="shared" si="9"/>
        <v>4</v>
      </c>
      <c r="Q73" s="6">
        <f t="shared" si="10"/>
        <v>115500</v>
      </c>
      <c r="R73" s="6">
        <f t="shared" si="11"/>
        <v>11550</v>
      </c>
      <c r="S73" s="6">
        <f t="shared" si="12"/>
        <v>103950</v>
      </c>
      <c r="T73" s="6">
        <f t="shared" si="13"/>
        <v>70000</v>
      </c>
      <c r="U73" s="6">
        <f t="shared" si="14"/>
        <v>33950</v>
      </c>
      <c r="V73" s="5">
        <f t="shared" si="15"/>
        <v>0.32659932659932661</v>
      </c>
    </row>
    <row r="74" spans="1:22">
      <c r="A74" t="s">
        <v>227</v>
      </c>
      <c r="B74" s="4">
        <v>45899</v>
      </c>
      <c r="C74" t="s">
        <v>102</v>
      </c>
      <c r="D74" t="s">
        <v>61</v>
      </c>
      <c r="E74" t="s">
        <v>84</v>
      </c>
      <c r="F74" t="s">
        <v>228</v>
      </c>
      <c r="G74" t="s">
        <v>68</v>
      </c>
      <c r="H74" t="s">
        <v>79</v>
      </c>
      <c r="I74">
        <v>7</v>
      </c>
      <c r="J74" s="6">
        <v>19000</v>
      </c>
      <c r="K74" s="6">
        <v>11500</v>
      </c>
      <c r="L74" s="5">
        <v>0.08</v>
      </c>
      <c r="M74" t="s">
        <v>57</v>
      </c>
      <c r="N74" t="s">
        <v>81</v>
      </c>
      <c r="O74">
        <f t="shared" si="8"/>
        <v>8</v>
      </c>
      <c r="P74">
        <f t="shared" si="9"/>
        <v>3</v>
      </c>
      <c r="Q74" s="6">
        <f t="shared" si="10"/>
        <v>133000</v>
      </c>
      <c r="R74" s="6">
        <f t="shared" si="11"/>
        <v>10640</v>
      </c>
      <c r="S74" s="6">
        <f t="shared" si="12"/>
        <v>122360</v>
      </c>
      <c r="T74" s="6">
        <f t="shared" si="13"/>
        <v>80500</v>
      </c>
      <c r="U74" s="6">
        <f t="shared" si="14"/>
        <v>41860</v>
      </c>
      <c r="V74" s="5">
        <f t="shared" si="15"/>
        <v>0.34210526315789475</v>
      </c>
    </row>
    <row r="75" spans="1:22">
      <c r="A75" t="s">
        <v>229</v>
      </c>
      <c r="B75" s="4">
        <v>46005</v>
      </c>
      <c r="C75" t="s">
        <v>111</v>
      </c>
      <c r="D75" t="s">
        <v>72</v>
      </c>
      <c r="E75" t="s">
        <v>94</v>
      </c>
      <c r="F75" t="s">
        <v>230</v>
      </c>
      <c r="G75" t="s">
        <v>55</v>
      </c>
      <c r="H75" t="s">
        <v>86</v>
      </c>
      <c r="I75">
        <v>6</v>
      </c>
      <c r="J75" s="6">
        <v>92000</v>
      </c>
      <c r="K75" s="6">
        <v>60000</v>
      </c>
      <c r="L75" s="5">
        <v>0</v>
      </c>
      <c r="M75" t="s">
        <v>57</v>
      </c>
      <c r="N75" t="s">
        <v>58</v>
      </c>
      <c r="O75">
        <f t="shared" si="8"/>
        <v>12</v>
      </c>
      <c r="P75">
        <f t="shared" si="9"/>
        <v>4</v>
      </c>
      <c r="Q75" s="6">
        <f t="shared" si="10"/>
        <v>552000</v>
      </c>
      <c r="R75" s="6">
        <f t="shared" si="11"/>
        <v>0</v>
      </c>
      <c r="S75" s="6">
        <f t="shared" si="12"/>
        <v>552000</v>
      </c>
      <c r="T75" s="6">
        <f t="shared" si="13"/>
        <v>360000</v>
      </c>
      <c r="U75" s="6">
        <f t="shared" si="14"/>
        <v>192000</v>
      </c>
      <c r="V75" s="5">
        <f t="shared" si="15"/>
        <v>0.34782608695652173</v>
      </c>
    </row>
    <row r="76" spans="1:22">
      <c r="A76" t="s">
        <v>231</v>
      </c>
      <c r="B76" s="4">
        <v>45740</v>
      </c>
      <c r="C76" t="s">
        <v>83</v>
      </c>
      <c r="D76" t="s">
        <v>61</v>
      </c>
      <c r="E76" t="s">
        <v>84</v>
      </c>
      <c r="F76" t="s">
        <v>232</v>
      </c>
      <c r="G76" t="s">
        <v>89</v>
      </c>
      <c r="H76" t="s">
        <v>95</v>
      </c>
      <c r="I76">
        <v>4</v>
      </c>
      <c r="J76" s="6">
        <v>32000</v>
      </c>
      <c r="K76" s="6">
        <v>21000</v>
      </c>
      <c r="L76" s="5">
        <v>0.08</v>
      </c>
      <c r="M76" t="s">
        <v>80</v>
      </c>
      <c r="N76" t="s">
        <v>63</v>
      </c>
      <c r="O76">
        <f t="shared" si="8"/>
        <v>3</v>
      </c>
      <c r="P76">
        <f t="shared" si="9"/>
        <v>1</v>
      </c>
      <c r="Q76" s="6">
        <f t="shared" si="10"/>
        <v>128000</v>
      </c>
      <c r="R76" s="6">
        <f t="shared" si="11"/>
        <v>10240</v>
      </c>
      <c r="S76" s="6">
        <f t="shared" si="12"/>
        <v>0</v>
      </c>
      <c r="T76" s="6">
        <f t="shared" si="13"/>
        <v>0</v>
      </c>
      <c r="U76" s="6">
        <f t="shared" si="14"/>
        <v>0</v>
      </c>
      <c r="V76" s="5">
        <f t="shared" si="15"/>
        <v>0</v>
      </c>
    </row>
    <row r="77" spans="1:22">
      <c r="A77" t="s">
        <v>233</v>
      </c>
      <c r="B77" s="4">
        <v>45752</v>
      </c>
      <c r="C77" t="s">
        <v>51</v>
      </c>
      <c r="D77" t="s">
        <v>106</v>
      </c>
      <c r="E77" t="s">
        <v>94</v>
      </c>
      <c r="F77" t="s">
        <v>234</v>
      </c>
      <c r="G77" t="s">
        <v>89</v>
      </c>
      <c r="H77" t="s">
        <v>98</v>
      </c>
      <c r="I77">
        <v>7</v>
      </c>
      <c r="J77" s="6">
        <v>16500</v>
      </c>
      <c r="K77" s="6">
        <v>10000</v>
      </c>
      <c r="L77" s="5">
        <v>0.1</v>
      </c>
      <c r="M77" t="s">
        <v>80</v>
      </c>
      <c r="N77" t="s">
        <v>75</v>
      </c>
      <c r="O77">
        <f t="shared" si="8"/>
        <v>4</v>
      </c>
      <c r="P77">
        <f t="shared" si="9"/>
        <v>2</v>
      </c>
      <c r="Q77" s="6">
        <f t="shared" si="10"/>
        <v>115500</v>
      </c>
      <c r="R77" s="6">
        <f t="shared" si="11"/>
        <v>11550</v>
      </c>
      <c r="S77" s="6">
        <f t="shared" si="12"/>
        <v>0</v>
      </c>
      <c r="T77" s="6">
        <f t="shared" si="13"/>
        <v>0</v>
      </c>
      <c r="U77" s="6">
        <f t="shared" si="14"/>
        <v>0</v>
      </c>
      <c r="V77" s="5">
        <f t="shared" si="15"/>
        <v>0</v>
      </c>
    </row>
    <row r="78" spans="1:22">
      <c r="A78" t="s">
        <v>235</v>
      </c>
      <c r="B78" s="4">
        <v>45804</v>
      </c>
      <c r="C78" t="s">
        <v>51</v>
      </c>
      <c r="D78" t="s">
        <v>52</v>
      </c>
      <c r="E78" t="s">
        <v>73</v>
      </c>
      <c r="F78" t="s">
        <v>236</v>
      </c>
      <c r="G78" t="s">
        <v>55</v>
      </c>
      <c r="H78" t="s">
        <v>86</v>
      </c>
      <c r="I78">
        <v>4</v>
      </c>
      <c r="J78" s="6">
        <v>92000</v>
      </c>
      <c r="K78" s="6">
        <v>60000</v>
      </c>
      <c r="L78" s="5">
        <v>0</v>
      </c>
      <c r="M78" t="s">
        <v>109</v>
      </c>
      <c r="N78" t="s">
        <v>63</v>
      </c>
      <c r="O78">
        <f t="shared" si="8"/>
        <v>5</v>
      </c>
      <c r="P78">
        <f t="shared" si="9"/>
        <v>2</v>
      </c>
      <c r="Q78" s="6">
        <f t="shared" si="10"/>
        <v>368000</v>
      </c>
      <c r="R78" s="6">
        <f t="shared" si="11"/>
        <v>0</v>
      </c>
      <c r="S78" s="6">
        <f t="shared" si="12"/>
        <v>0</v>
      </c>
      <c r="T78" s="6">
        <f t="shared" si="13"/>
        <v>0</v>
      </c>
      <c r="U78" s="6">
        <f t="shared" si="14"/>
        <v>0</v>
      </c>
      <c r="V78" s="5">
        <f t="shared" si="15"/>
        <v>0</v>
      </c>
    </row>
    <row r="79" spans="1:22">
      <c r="A79" t="s">
        <v>237</v>
      </c>
      <c r="B79" s="4">
        <v>45711</v>
      </c>
      <c r="C79" t="s">
        <v>102</v>
      </c>
      <c r="D79" t="s">
        <v>61</v>
      </c>
      <c r="E79" t="s">
        <v>66</v>
      </c>
      <c r="F79" t="s">
        <v>238</v>
      </c>
      <c r="G79" t="s">
        <v>89</v>
      </c>
      <c r="H79" t="s">
        <v>90</v>
      </c>
      <c r="I79">
        <v>1</v>
      </c>
      <c r="J79" s="6">
        <v>5900</v>
      </c>
      <c r="K79" s="6">
        <v>3700</v>
      </c>
      <c r="L79" s="5">
        <v>0</v>
      </c>
      <c r="M79" t="s">
        <v>80</v>
      </c>
      <c r="N79" t="s">
        <v>81</v>
      </c>
      <c r="O79">
        <f t="shared" si="8"/>
        <v>2</v>
      </c>
      <c r="P79">
        <f t="shared" si="9"/>
        <v>1</v>
      </c>
      <c r="Q79" s="6">
        <f t="shared" si="10"/>
        <v>5900</v>
      </c>
      <c r="R79" s="6">
        <f t="shared" si="11"/>
        <v>0</v>
      </c>
      <c r="S79" s="6">
        <f t="shared" si="12"/>
        <v>0</v>
      </c>
      <c r="T79" s="6">
        <f t="shared" si="13"/>
        <v>0</v>
      </c>
      <c r="U79" s="6">
        <f t="shared" si="14"/>
        <v>0</v>
      </c>
      <c r="V79" s="5">
        <f t="shared" si="15"/>
        <v>0</v>
      </c>
    </row>
    <row r="80" spans="1:22">
      <c r="A80" t="s">
        <v>239</v>
      </c>
      <c r="B80" s="4">
        <v>45999</v>
      </c>
      <c r="C80" t="s">
        <v>120</v>
      </c>
      <c r="D80" t="s">
        <v>72</v>
      </c>
      <c r="E80" t="s">
        <v>53</v>
      </c>
      <c r="F80" t="s">
        <v>240</v>
      </c>
      <c r="G80" t="s">
        <v>89</v>
      </c>
      <c r="H80" t="s">
        <v>98</v>
      </c>
      <c r="I80">
        <v>3</v>
      </c>
      <c r="J80" s="6">
        <v>16500</v>
      </c>
      <c r="K80" s="6">
        <v>10000</v>
      </c>
      <c r="L80" s="5">
        <v>0.1</v>
      </c>
      <c r="M80" t="s">
        <v>57</v>
      </c>
      <c r="N80" t="s">
        <v>75</v>
      </c>
      <c r="O80">
        <f t="shared" si="8"/>
        <v>12</v>
      </c>
      <c r="P80">
        <f t="shared" si="9"/>
        <v>4</v>
      </c>
      <c r="Q80" s="6">
        <f t="shared" si="10"/>
        <v>49500</v>
      </c>
      <c r="R80" s="6">
        <f t="shared" si="11"/>
        <v>4950</v>
      </c>
      <c r="S80" s="6">
        <f t="shared" si="12"/>
        <v>44550</v>
      </c>
      <c r="T80" s="6">
        <f t="shared" si="13"/>
        <v>30000</v>
      </c>
      <c r="U80" s="6">
        <f t="shared" si="14"/>
        <v>14550</v>
      </c>
      <c r="V80" s="5">
        <f t="shared" si="15"/>
        <v>0.32659932659932661</v>
      </c>
    </row>
    <row r="81" spans="1:22">
      <c r="A81" t="s">
        <v>241</v>
      </c>
      <c r="B81" s="4">
        <v>45820</v>
      </c>
      <c r="C81" t="s">
        <v>60</v>
      </c>
      <c r="D81" t="s">
        <v>61</v>
      </c>
      <c r="E81" t="s">
        <v>53</v>
      </c>
      <c r="F81" t="s">
        <v>195</v>
      </c>
      <c r="G81" t="s">
        <v>89</v>
      </c>
      <c r="H81" t="s">
        <v>90</v>
      </c>
      <c r="I81">
        <v>3</v>
      </c>
      <c r="J81" s="6">
        <v>5900</v>
      </c>
      <c r="K81" s="6">
        <v>3700</v>
      </c>
      <c r="L81" s="5">
        <v>0.08</v>
      </c>
      <c r="M81" t="s">
        <v>57</v>
      </c>
      <c r="N81" t="s">
        <v>81</v>
      </c>
      <c r="O81">
        <f t="shared" si="8"/>
        <v>6</v>
      </c>
      <c r="P81">
        <f t="shared" si="9"/>
        <v>2</v>
      </c>
      <c r="Q81" s="6">
        <f t="shared" si="10"/>
        <v>17700</v>
      </c>
      <c r="R81" s="6">
        <f t="shared" si="11"/>
        <v>1416</v>
      </c>
      <c r="S81" s="6">
        <f t="shared" si="12"/>
        <v>16284</v>
      </c>
      <c r="T81" s="6">
        <f t="shared" si="13"/>
        <v>11100</v>
      </c>
      <c r="U81" s="6">
        <f t="shared" si="14"/>
        <v>5184</v>
      </c>
      <c r="V81" s="5">
        <f t="shared" si="15"/>
        <v>0.318349299926308</v>
      </c>
    </row>
    <row r="82" spans="1:22">
      <c r="A82" t="s">
        <v>242</v>
      </c>
      <c r="B82" s="4">
        <v>45838</v>
      </c>
      <c r="C82" t="s">
        <v>111</v>
      </c>
      <c r="D82" t="s">
        <v>52</v>
      </c>
      <c r="E82" t="s">
        <v>94</v>
      </c>
      <c r="F82" t="s">
        <v>178</v>
      </c>
      <c r="G82" t="s">
        <v>89</v>
      </c>
      <c r="H82" t="s">
        <v>95</v>
      </c>
      <c r="I82">
        <v>4</v>
      </c>
      <c r="J82" s="6">
        <v>32000</v>
      </c>
      <c r="K82" s="6">
        <v>21000</v>
      </c>
      <c r="L82" s="5">
        <v>0.05</v>
      </c>
      <c r="M82" t="s">
        <v>57</v>
      </c>
      <c r="N82" t="s">
        <v>81</v>
      </c>
      <c r="O82">
        <f t="shared" si="8"/>
        <v>6</v>
      </c>
      <c r="P82">
        <f t="shared" si="9"/>
        <v>2</v>
      </c>
      <c r="Q82" s="6">
        <f t="shared" si="10"/>
        <v>128000</v>
      </c>
      <c r="R82" s="6">
        <f t="shared" si="11"/>
        <v>6400</v>
      </c>
      <c r="S82" s="6">
        <f t="shared" si="12"/>
        <v>121600</v>
      </c>
      <c r="T82" s="6">
        <f t="shared" si="13"/>
        <v>84000</v>
      </c>
      <c r="U82" s="6">
        <f t="shared" si="14"/>
        <v>37600</v>
      </c>
      <c r="V82" s="5">
        <f t="shared" si="15"/>
        <v>0.30921052631578949</v>
      </c>
    </row>
    <row r="83" spans="1:22">
      <c r="A83" t="s">
        <v>243</v>
      </c>
      <c r="B83" s="4">
        <v>45807</v>
      </c>
      <c r="C83" t="s">
        <v>92</v>
      </c>
      <c r="D83" t="s">
        <v>61</v>
      </c>
      <c r="E83" t="s">
        <v>84</v>
      </c>
      <c r="F83" t="s">
        <v>244</v>
      </c>
      <c r="G83" t="s">
        <v>89</v>
      </c>
      <c r="H83" t="s">
        <v>95</v>
      </c>
      <c r="I83">
        <v>4</v>
      </c>
      <c r="J83" s="6">
        <v>32000</v>
      </c>
      <c r="K83" s="6">
        <v>21000</v>
      </c>
      <c r="L83" s="5">
        <v>0.12</v>
      </c>
      <c r="M83" t="s">
        <v>57</v>
      </c>
      <c r="N83" t="s">
        <v>75</v>
      </c>
      <c r="O83">
        <f t="shared" si="8"/>
        <v>5</v>
      </c>
      <c r="P83">
        <f t="shared" si="9"/>
        <v>2</v>
      </c>
      <c r="Q83" s="6">
        <f t="shared" si="10"/>
        <v>128000</v>
      </c>
      <c r="R83" s="6">
        <f t="shared" si="11"/>
        <v>15360</v>
      </c>
      <c r="S83" s="6">
        <f t="shared" si="12"/>
        <v>112640</v>
      </c>
      <c r="T83" s="6">
        <f t="shared" si="13"/>
        <v>84000</v>
      </c>
      <c r="U83" s="6">
        <f t="shared" si="14"/>
        <v>28640</v>
      </c>
      <c r="V83" s="5">
        <f t="shared" si="15"/>
        <v>0.25426136363636365</v>
      </c>
    </row>
    <row r="84" spans="1:22">
      <c r="A84" t="s">
        <v>245</v>
      </c>
      <c r="B84" s="4">
        <v>45818</v>
      </c>
      <c r="C84" t="s">
        <v>77</v>
      </c>
      <c r="D84" t="s">
        <v>65</v>
      </c>
      <c r="E84" t="s">
        <v>73</v>
      </c>
      <c r="F84" t="s">
        <v>246</v>
      </c>
      <c r="G84" t="s">
        <v>55</v>
      </c>
      <c r="H84" t="s">
        <v>86</v>
      </c>
      <c r="I84">
        <v>1</v>
      </c>
      <c r="J84" s="6">
        <v>92000</v>
      </c>
      <c r="K84" s="6">
        <v>60000</v>
      </c>
      <c r="L84" s="5">
        <v>0.12</v>
      </c>
      <c r="M84" t="s">
        <v>80</v>
      </c>
      <c r="N84" t="s">
        <v>75</v>
      </c>
      <c r="O84">
        <f t="shared" si="8"/>
        <v>6</v>
      </c>
      <c r="P84">
        <f t="shared" si="9"/>
        <v>2</v>
      </c>
      <c r="Q84" s="6">
        <f t="shared" si="10"/>
        <v>92000</v>
      </c>
      <c r="R84" s="6">
        <f t="shared" si="11"/>
        <v>11040</v>
      </c>
      <c r="S84" s="6">
        <f t="shared" si="12"/>
        <v>0</v>
      </c>
      <c r="T84" s="6">
        <f t="shared" si="13"/>
        <v>0</v>
      </c>
      <c r="U84" s="6">
        <f t="shared" si="14"/>
        <v>0</v>
      </c>
      <c r="V84" s="5">
        <f t="shared" si="15"/>
        <v>0</v>
      </c>
    </row>
    <row r="85" spans="1:22">
      <c r="A85" t="s">
        <v>247</v>
      </c>
      <c r="B85" s="4">
        <v>45679</v>
      </c>
      <c r="C85" t="s">
        <v>92</v>
      </c>
      <c r="D85" t="s">
        <v>72</v>
      </c>
      <c r="E85" t="s">
        <v>66</v>
      </c>
      <c r="F85" t="s">
        <v>248</v>
      </c>
      <c r="G85" t="s">
        <v>68</v>
      </c>
      <c r="H85" t="s">
        <v>79</v>
      </c>
      <c r="I85">
        <v>7</v>
      </c>
      <c r="J85" s="6">
        <v>19000</v>
      </c>
      <c r="K85" s="6">
        <v>11500</v>
      </c>
      <c r="L85" s="5">
        <v>0.1</v>
      </c>
      <c r="M85" t="s">
        <v>57</v>
      </c>
      <c r="N85" t="s">
        <v>75</v>
      </c>
      <c r="O85">
        <f t="shared" si="8"/>
        <v>1</v>
      </c>
      <c r="P85">
        <f t="shared" si="9"/>
        <v>1</v>
      </c>
      <c r="Q85" s="6">
        <f t="shared" si="10"/>
        <v>133000</v>
      </c>
      <c r="R85" s="6">
        <f t="shared" si="11"/>
        <v>13300</v>
      </c>
      <c r="S85" s="6">
        <f t="shared" si="12"/>
        <v>119700</v>
      </c>
      <c r="T85" s="6">
        <f t="shared" si="13"/>
        <v>80500</v>
      </c>
      <c r="U85" s="6">
        <f t="shared" si="14"/>
        <v>39200</v>
      </c>
      <c r="V85" s="5">
        <f t="shared" si="15"/>
        <v>0.32748538011695905</v>
      </c>
    </row>
    <row r="86" spans="1:22">
      <c r="A86" t="s">
        <v>249</v>
      </c>
      <c r="B86" s="4">
        <v>45801</v>
      </c>
      <c r="C86" t="s">
        <v>120</v>
      </c>
      <c r="D86" t="s">
        <v>61</v>
      </c>
      <c r="E86" t="s">
        <v>53</v>
      </c>
      <c r="F86" t="s">
        <v>250</v>
      </c>
      <c r="G86" t="s">
        <v>55</v>
      </c>
      <c r="H86" t="s">
        <v>115</v>
      </c>
      <c r="I86">
        <v>6</v>
      </c>
      <c r="J86" s="6">
        <v>105000</v>
      </c>
      <c r="K86" s="6">
        <v>76000</v>
      </c>
      <c r="L86" s="5">
        <v>0.12</v>
      </c>
      <c r="M86" t="s">
        <v>57</v>
      </c>
      <c r="N86" t="s">
        <v>75</v>
      </c>
      <c r="O86">
        <f t="shared" si="8"/>
        <v>5</v>
      </c>
      <c r="P86">
        <f t="shared" si="9"/>
        <v>2</v>
      </c>
      <c r="Q86" s="6">
        <f t="shared" si="10"/>
        <v>630000</v>
      </c>
      <c r="R86" s="6">
        <f t="shared" si="11"/>
        <v>75600</v>
      </c>
      <c r="S86" s="6">
        <f t="shared" si="12"/>
        <v>554400</v>
      </c>
      <c r="T86" s="6">
        <f t="shared" si="13"/>
        <v>456000</v>
      </c>
      <c r="U86" s="6">
        <f t="shared" si="14"/>
        <v>98400</v>
      </c>
      <c r="V86" s="5">
        <f t="shared" si="15"/>
        <v>0.1774891774891775</v>
      </c>
    </row>
    <row r="87" spans="1:22">
      <c r="A87" t="s">
        <v>251</v>
      </c>
      <c r="B87" s="4">
        <v>45792</v>
      </c>
      <c r="C87" t="s">
        <v>77</v>
      </c>
      <c r="D87" t="s">
        <v>106</v>
      </c>
      <c r="E87" t="s">
        <v>53</v>
      </c>
      <c r="F87" t="s">
        <v>252</v>
      </c>
      <c r="G87" t="s">
        <v>89</v>
      </c>
      <c r="H87" t="s">
        <v>98</v>
      </c>
      <c r="I87">
        <v>1</v>
      </c>
      <c r="J87" s="6">
        <v>16500</v>
      </c>
      <c r="K87" s="6">
        <v>10000</v>
      </c>
      <c r="L87" s="5">
        <v>0.08</v>
      </c>
      <c r="M87" t="s">
        <v>57</v>
      </c>
      <c r="N87" t="s">
        <v>63</v>
      </c>
      <c r="O87">
        <f t="shared" si="8"/>
        <v>5</v>
      </c>
      <c r="P87">
        <f t="shared" si="9"/>
        <v>2</v>
      </c>
      <c r="Q87" s="6">
        <f t="shared" si="10"/>
        <v>16500</v>
      </c>
      <c r="R87" s="6">
        <f t="shared" si="11"/>
        <v>1320</v>
      </c>
      <c r="S87" s="6">
        <f t="shared" si="12"/>
        <v>15180</v>
      </c>
      <c r="T87" s="6">
        <f t="shared" si="13"/>
        <v>10000</v>
      </c>
      <c r="U87" s="6">
        <f t="shared" si="14"/>
        <v>5180</v>
      </c>
      <c r="V87" s="5">
        <f t="shared" si="15"/>
        <v>0.34123847167325427</v>
      </c>
    </row>
    <row r="88" spans="1:22">
      <c r="A88" t="s">
        <v>253</v>
      </c>
      <c r="B88" s="4">
        <v>45891</v>
      </c>
      <c r="C88" t="s">
        <v>92</v>
      </c>
      <c r="D88" t="s">
        <v>61</v>
      </c>
      <c r="E88" t="s">
        <v>84</v>
      </c>
      <c r="F88" t="s">
        <v>254</v>
      </c>
      <c r="G88" t="s">
        <v>68</v>
      </c>
      <c r="H88" t="s">
        <v>69</v>
      </c>
      <c r="I88">
        <v>1</v>
      </c>
      <c r="J88" s="6">
        <v>115000</v>
      </c>
      <c r="K88" s="6">
        <v>82000</v>
      </c>
      <c r="L88" s="5">
        <v>0</v>
      </c>
      <c r="M88" t="s">
        <v>80</v>
      </c>
      <c r="N88" t="s">
        <v>70</v>
      </c>
      <c r="O88">
        <f t="shared" si="8"/>
        <v>8</v>
      </c>
      <c r="P88">
        <f t="shared" si="9"/>
        <v>3</v>
      </c>
      <c r="Q88" s="6">
        <f t="shared" si="10"/>
        <v>115000</v>
      </c>
      <c r="R88" s="6">
        <f t="shared" si="11"/>
        <v>0</v>
      </c>
      <c r="S88" s="6">
        <f t="shared" si="12"/>
        <v>0</v>
      </c>
      <c r="T88" s="6">
        <f t="shared" si="13"/>
        <v>0</v>
      </c>
      <c r="U88" s="6">
        <f t="shared" si="14"/>
        <v>0</v>
      </c>
      <c r="V88" s="5">
        <f t="shared" si="15"/>
        <v>0</v>
      </c>
    </row>
    <row r="89" spans="1:22">
      <c r="A89" t="s">
        <v>255</v>
      </c>
      <c r="B89" s="4">
        <v>45763</v>
      </c>
      <c r="C89" t="s">
        <v>92</v>
      </c>
      <c r="D89" t="s">
        <v>61</v>
      </c>
      <c r="E89" t="s">
        <v>66</v>
      </c>
      <c r="F89" t="s">
        <v>256</v>
      </c>
      <c r="G89" t="s">
        <v>68</v>
      </c>
      <c r="H89" t="s">
        <v>69</v>
      </c>
      <c r="I89">
        <v>1</v>
      </c>
      <c r="J89" s="6">
        <v>115000</v>
      </c>
      <c r="K89" s="6">
        <v>82000</v>
      </c>
      <c r="L89" s="5">
        <v>0.03</v>
      </c>
      <c r="M89" t="s">
        <v>57</v>
      </c>
      <c r="N89" t="s">
        <v>75</v>
      </c>
      <c r="O89">
        <f t="shared" si="8"/>
        <v>4</v>
      </c>
      <c r="P89">
        <f t="shared" si="9"/>
        <v>2</v>
      </c>
      <c r="Q89" s="6">
        <f t="shared" si="10"/>
        <v>115000</v>
      </c>
      <c r="R89" s="6">
        <f t="shared" si="11"/>
        <v>3450</v>
      </c>
      <c r="S89" s="6">
        <f t="shared" si="12"/>
        <v>111550</v>
      </c>
      <c r="T89" s="6">
        <f t="shared" si="13"/>
        <v>82000</v>
      </c>
      <c r="U89" s="6">
        <f t="shared" si="14"/>
        <v>29550</v>
      </c>
      <c r="V89" s="5">
        <f t="shared" si="15"/>
        <v>0.26490363065889738</v>
      </c>
    </row>
    <row r="90" spans="1:22">
      <c r="A90" t="s">
        <v>257</v>
      </c>
      <c r="B90" s="4">
        <v>45766</v>
      </c>
      <c r="C90" t="s">
        <v>60</v>
      </c>
      <c r="D90" t="s">
        <v>72</v>
      </c>
      <c r="E90" t="s">
        <v>66</v>
      </c>
      <c r="F90" t="s">
        <v>258</v>
      </c>
      <c r="G90" t="s">
        <v>55</v>
      </c>
      <c r="H90" t="s">
        <v>115</v>
      </c>
      <c r="I90">
        <v>1</v>
      </c>
      <c r="J90" s="6">
        <v>105000</v>
      </c>
      <c r="K90" s="6">
        <v>76000</v>
      </c>
      <c r="L90" s="5">
        <v>0.03</v>
      </c>
      <c r="M90" t="s">
        <v>109</v>
      </c>
      <c r="N90" t="s">
        <v>75</v>
      </c>
      <c r="O90">
        <f t="shared" si="8"/>
        <v>4</v>
      </c>
      <c r="P90">
        <f t="shared" si="9"/>
        <v>2</v>
      </c>
      <c r="Q90" s="6">
        <f t="shared" si="10"/>
        <v>105000</v>
      </c>
      <c r="R90" s="6">
        <f t="shared" si="11"/>
        <v>3150</v>
      </c>
      <c r="S90" s="6">
        <f t="shared" si="12"/>
        <v>0</v>
      </c>
      <c r="T90" s="6">
        <f t="shared" si="13"/>
        <v>0</v>
      </c>
      <c r="U90" s="6">
        <f t="shared" si="14"/>
        <v>0</v>
      </c>
      <c r="V90" s="5">
        <f t="shared" si="15"/>
        <v>0</v>
      </c>
    </row>
    <row r="91" spans="1:22">
      <c r="A91" t="s">
        <v>259</v>
      </c>
      <c r="B91" s="4">
        <v>45716</v>
      </c>
      <c r="C91" t="s">
        <v>83</v>
      </c>
      <c r="D91" t="s">
        <v>72</v>
      </c>
      <c r="E91" t="s">
        <v>84</v>
      </c>
      <c r="F91" t="s">
        <v>260</v>
      </c>
      <c r="G91" t="s">
        <v>68</v>
      </c>
      <c r="H91" t="s">
        <v>104</v>
      </c>
      <c r="I91">
        <v>6</v>
      </c>
      <c r="J91" s="6">
        <v>320000</v>
      </c>
      <c r="K91" s="6">
        <v>244000</v>
      </c>
      <c r="L91" s="5">
        <v>0</v>
      </c>
      <c r="M91" t="s">
        <v>57</v>
      </c>
      <c r="N91" t="s">
        <v>75</v>
      </c>
      <c r="O91">
        <f t="shared" si="8"/>
        <v>2</v>
      </c>
      <c r="P91">
        <f t="shared" si="9"/>
        <v>1</v>
      </c>
      <c r="Q91" s="6">
        <f t="shared" si="10"/>
        <v>1920000</v>
      </c>
      <c r="R91" s="6">
        <f t="shared" si="11"/>
        <v>0</v>
      </c>
      <c r="S91" s="6">
        <f t="shared" si="12"/>
        <v>1920000</v>
      </c>
      <c r="T91" s="6">
        <f t="shared" si="13"/>
        <v>1464000</v>
      </c>
      <c r="U91" s="6">
        <f t="shared" si="14"/>
        <v>456000</v>
      </c>
      <c r="V91" s="5">
        <f t="shared" si="15"/>
        <v>0.23749999999999999</v>
      </c>
    </row>
    <row r="92" spans="1:22">
      <c r="A92" t="s">
        <v>261</v>
      </c>
      <c r="B92" s="4">
        <v>45975</v>
      </c>
      <c r="C92" t="s">
        <v>102</v>
      </c>
      <c r="D92" t="s">
        <v>106</v>
      </c>
      <c r="E92" t="s">
        <v>66</v>
      </c>
      <c r="F92" t="s">
        <v>262</v>
      </c>
      <c r="G92" t="s">
        <v>68</v>
      </c>
      <c r="H92" t="s">
        <v>108</v>
      </c>
      <c r="I92">
        <v>5</v>
      </c>
      <c r="J92" s="6">
        <v>175000</v>
      </c>
      <c r="K92" s="6">
        <v>129000</v>
      </c>
      <c r="L92" s="5">
        <v>0</v>
      </c>
      <c r="M92" t="s">
        <v>109</v>
      </c>
      <c r="N92" t="s">
        <v>75</v>
      </c>
      <c r="O92">
        <f t="shared" si="8"/>
        <v>11</v>
      </c>
      <c r="P92">
        <f t="shared" si="9"/>
        <v>4</v>
      </c>
      <c r="Q92" s="6">
        <f t="shared" si="10"/>
        <v>875000</v>
      </c>
      <c r="R92" s="6">
        <f t="shared" si="11"/>
        <v>0</v>
      </c>
      <c r="S92" s="6">
        <f t="shared" si="12"/>
        <v>0</v>
      </c>
      <c r="T92" s="6">
        <f t="shared" si="13"/>
        <v>0</v>
      </c>
      <c r="U92" s="6">
        <f t="shared" si="14"/>
        <v>0</v>
      </c>
      <c r="V92" s="5">
        <f t="shared" si="15"/>
        <v>0</v>
      </c>
    </row>
    <row r="93" spans="1:22">
      <c r="A93" t="s">
        <v>263</v>
      </c>
      <c r="B93" s="4">
        <v>45967</v>
      </c>
      <c r="C93" t="s">
        <v>51</v>
      </c>
      <c r="D93" t="s">
        <v>61</v>
      </c>
      <c r="E93" t="s">
        <v>84</v>
      </c>
      <c r="F93" t="s">
        <v>264</v>
      </c>
      <c r="G93" t="s">
        <v>89</v>
      </c>
      <c r="H93" t="s">
        <v>90</v>
      </c>
      <c r="I93">
        <v>3</v>
      </c>
      <c r="J93" s="6">
        <v>5900</v>
      </c>
      <c r="K93" s="6">
        <v>3700</v>
      </c>
      <c r="L93" s="5">
        <v>0.12</v>
      </c>
      <c r="M93" t="s">
        <v>57</v>
      </c>
      <c r="N93" t="s">
        <v>81</v>
      </c>
      <c r="O93">
        <f t="shared" si="8"/>
        <v>11</v>
      </c>
      <c r="P93">
        <f t="shared" si="9"/>
        <v>4</v>
      </c>
      <c r="Q93" s="6">
        <f t="shared" si="10"/>
        <v>17700</v>
      </c>
      <c r="R93" s="6">
        <f t="shared" si="11"/>
        <v>2124</v>
      </c>
      <c r="S93" s="6">
        <f t="shared" si="12"/>
        <v>15576</v>
      </c>
      <c r="T93" s="6">
        <f t="shared" si="13"/>
        <v>11100</v>
      </c>
      <c r="U93" s="6">
        <f t="shared" si="14"/>
        <v>4476</v>
      </c>
      <c r="V93" s="5">
        <f t="shared" si="15"/>
        <v>0.28736517719568566</v>
      </c>
    </row>
    <row r="94" spans="1:22">
      <c r="A94" t="s">
        <v>265</v>
      </c>
      <c r="B94" s="4">
        <v>45671</v>
      </c>
      <c r="C94" t="s">
        <v>51</v>
      </c>
      <c r="D94" t="s">
        <v>61</v>
      </c>
      <c r="E94" t="s">
        <v>53</v>
      </c>
      <c r="F94" t="s">
        <v>266</v>
      </c>
      <c r="G94" t="s">
        <v>55</v>
      </c>
      <c r="H94" t="s">
        <v>86</v>
      </c>
      <c r="I94">
        <v>5</v>
      </c>
      <c r="J94" s="6">
        <v>92000</v>
      </c>
      <c r="K94" s="6">
        <v>60000</v>
      </c>
      <c r="L94" s="5">
        <v>0.12</v>
      </c>
      <c r="M94" t="s">
        <v>80</v>
      </c>
      <c r="N94" t="s">
        <v>81</v>
      </c>
      <c r="O94">
        <f t="shared" si="8"/>
        <v>1</v>
      </c>
      <c r="P94">
        <f t="shared" si="9"/>
        <v>1</v>
      </c>
      <c r="Q94" s="6">
        <f t="shared" si="10"/>
        <v>460000</v>
      </c>
      <c r="R94" s="6">
        <f t="shared" si="11"/>
        <v>55200</v>
      </c>
      <c r="S94" s="6">
        <f t="shared" si="12"/>
        <v>0</v>
      </c>
      <c r="T94" s="6">
        <f t="shared" si="13"/>
        <v>0</v>
      </c>
      <c r="U94" s="6">
        <f t="shared" si="14"/>
        <v>0</v>
      </c>
      <c r="V94" s="5">
        <f t="shared" si="15"/>
        <v>0</v>
      </c>
    </row>
    <row r="95" spans="1:22">
      <c r="A95" t="s">
        <v>267</v>
      </c>
      <c r="B95" s="4">
        <v>45894</v>
      </c>
      <c r="C95" t="s">
        <v>60</v>
      </c>
      <c r="D95" t="s">
        <v>61</v>
      </c>
      <c r="E95" t="s">
        <v>73</v>
      </c>
      <c r="F95" t="s">
        <v>268</v>
      </c>
      <c r="G95" t="s">
        <v>55</v>
      </c>
      <c r="H95" t="s">
        <v>115</v>
      </c>
      <c r="I95">
        <v>4</v>
      </c>
      <c r="J95" s="6">
        <v>105000</v>
      </c>
      <c r="K95" s="6">
        <v>76000</v>
      </c>
      <c r="L95" s="5">
        <v>0.08</v>
      </c>
      <c r="M95" t="s">
        <v>57</v>
      </c>
      <c r="N95" t="s">
        <v>58</v>
      </c>
      <c r="O95">
        <f t="shared" si="8"/>
        <v>8</v>
      </c>
      <c r="P95">
        <f t="shared" si="9"/>
        <v>3</v>
      </c>
      <c r="Q95" s="6">
        <f t="shared" si="10"/>
        <v>420000</v>
      </c>
      <c r="R95" s="6">
        <f t="shared" si="11"/>
        <v>33600</v>
      </c>
      <c r="S95" s="6">
        <f t="shared" si="12"/>
        <v>386400</v>
      </c>
      <c r="T95" s="6">
        <f t="shared" si="13"/>
        <v>304000</v>
      </c>
      <c r="U95" s="6">
        <f t="shared" si="14"/>
        <v>82400</v>
      </c>
      <c r="V95" s="5">
        <f t="shared" si="15"/>
        <v>0.21325051759834368</v>
      </c>
    </row>
    <row r="96" spans="1:22">
      <c r="A96" t="s">
        <v>269</v>
      </c>
      <c r="B96" s="4">
        <v>45883</v>
      </c>
      <c r="C96" t="s">
        <v>83</v>
      </c>
      <c r="D96" t="s">
        <v>106</v>
      </c>
      <c r="E96" t="s">
        <v>53</v>
      </c>
      <c r="F96" t="s">
        <v>270</v>
      </c>
      <c r="G96" t="s">
        <v>68</v>
      </c>
      <c r="H96" t="s">
        <v>79</v>
      </c>
      <c r="I96">
        <v>7</v>
      </c>
      <c r="J96" s="6">
        <v>19000</v>
      </c>
      <c r="K96" s="6">
        <v>11500</v>
      </c>
      <c r="L96" s="5">
        <v>0.1</v>
      </c>
      <c r="M96" t="s">
        <v>57</v>
      </c>
      <c r="N96" t="s">
        <v>70</v>
      </c>
      <c r="O96">
        <f t="shared" si="8"/>
        <v>8</v>
      </c>
      <c r="P96">
        <f t="shared" si="9"/>
        <v>3</v>
      </c>
      <c r="Q96" s="6">
        <f t="shared" si="10"/>
        <v>133000</v>
      </c>
      <c r="R96" s="6">
        <f t="shared" si="11"/>
        <v>13300</v>
      </c>
      <c r="S96" s="6">
        <f t="shared" si="12"/>
        <v>119700</v>
      </c>
      <c r="T96" s="6">
        <f t="shared" si="13"/>
        <v>80500</v>
      </c>
      <c r="U96" s="6">
        <f t="shared" si="14"/>
        <v>39200</v>
      </c>
      <c r="V96" s="5">
        <f t="shared" si="15"/>
        <v>0.32748538011695905</v>
      </c>
    </row>
    <row r="97" spans="1:22">
      <c r="A97" t="s">
        <v>271</v>
      </c>
      <c r="B97" s="4">
        <v>45945</v>
      </c>
      <c r="C97" t="s">
        <v>83</v>
      </c>
      <c r="D97" t="s">
        <v>52</v>
      </c>
      <c r="E97" t="s">
        <v>94</v>
      </c>
      <c r="F97" t="s">
        <v>272</v>
      </c>
      <c r="G97" t="s">
        <v>89</v>
      </c>
      <c r="H97" t="s">
        <v>95</v>
      </c>
      <c r="I97">
        <v>7</v>
      </c>
      <c r="J97" s="6">
        <v>32000</v>
      </c>
      <c r="K97" s="6">
        <v>21000</v>
      </c>
      <c r="L97" s="5">
        <v>0.05</v>
      </c>
      <c r="M97" t="s">
        <v>57</v>
      </c>
      <c r="N97" t="s">
        <v>81</v>
      </c>
      <c r="O97">
        <f t="shared" si="8"/>
        <v>10</v>
      </c>
      <c r="P97">
        <f t="shared" si="9"/>
        <v>4</v>
      </c>
      <c r="Q97" s="6">
        <f t="shared" si="10"/>
        <v>224000</v>
      </c>
      <c r="R97" s="6">
        <f t="shared" si="11"/>
        <v>11200</v>
      </c>
      <c r="S97" s="6">
        <f t="shared" si="12"/>
        <v>212800</v>
      </c>
      <c r="T97" s="6">
        <f t="shared" si="13"/>
        <v>147000</v>
      </c>
      <c r="U97" s="6">
        <f t="shared" si="14"/>
        <v>65800</v>
      </c>
      <c r="V97" s="5">
        <f t="shared" si="15"/>
        <v>0.30921052631578949</v>
      </c>
    </row>
    <row r="98" spans="1:22">
      <c r="A98" t="s">
        <v>273</v>
      </c>
      <c r="B98" s="4">
        <v>45830</v>
      </c>
      <c r="C98" t="s">
        <v>102</v>
      </c>
      <c r="D98" t="s">
        <v>61</v>
      </c>
      <c r="E98" t="s">
        <v>53</v>
      </c>
      <c r="F98" t="s">
        <v>274</v>
      </c>
      <c r="G98" t="s">
        <v>55</v>
      </c>
      <c r="H98" t="s">
        <v>56</v>
      </c>
      <c r="I98">
        <v>3</v>
      </c>
      <c r="J98" s="6">
        <v>138000</v>
      </c>
      <c r="K98" s="6">
        <v>99000</v>
      </c>
      <c r="L98" s="5">
        <v>0.05</v>
      </c>
      <c r="M98" t="s">
        <v>57</v>
      </c>
      <c r="N98" t="s">
        <v>70</v>
      </c>
      <c r="O98">
        <f t="shared" si="8"/>
        <v>6</v>
      </c>
      <c r="P98">
        <f t="shared" si="9"/>
        <v>2</v>
      </c>
      <c r="Q98" s="6">
        <f t="shared" si="10"/>
        <v>414000</v>
      </c>
      <c r="R98" s="6">
        <f t="shared" si="11"/>
        <v>20700</v>
      </c>
      <c r="S98" s="6">
        <f t="shared" si="12"/>
        <v>393300</v>
      </c>
      <c r="T98" s="6">
        <f t="shared" si="13"/>
        <v>297000</v>
      </c>
      <c r="U98" s="6">
        <f t="shared" si="14"/>
        <v>96300</v>
      </c>
      <c r="V98" s="5">
        <f t="shared" si="15"/>
        <v>0.24485125858123569</v>
      </c>
    </row>
    <row r="99" spans="1:22">
      <c r="A99" t="s">
        <v>275</v>
      </c>
      <c r="B99" s="4">
        <v>45798</v>
      </c>
      <c r="C99" t="s">
        <v>92</v>
      </c>
      <c r="D99" t="s">
        <v>61</v>
      </c>
      <c r="E99" t="s">
        <v>84</v>
      </c>
      <c r="F99" t="s">
        <v>268</v>
      </c>
      <c r="G99" t="s">
        <v>89</v>
      </c>
      <c r="H99" t="s">
        <v>90</v>
      </c>
      <c r="I99">
        <v>5</v>
      </c>
      <c r="J99" s="6">
        <v>5900</v>
      </c>
      <c r="K99" s="6">
        <v>3700</v>
      </c>
      <c r="L99" s="5">
        <v>0.12</v>
      </c>
      <c r="M99" t="s">
        <v>57</v>
      </c>
      <c r="N99" t="s">
        <v>58</v>
      </c>
      <c r="O99">
        <f t="shared" si="8"/>
        <v>5</v>
      </c>
      <c r="P99">
        <f t="shared" si="9"/>
        <v>2</v>
      </c>
      <c r="Q99" s="6">
        <f t="shared" si="10"/>
        <v>29500</v>
      </c>
      <c r="R99" s="6">
        <f t="shared" si="11"/>
        <v>3540</v>
      </c>
      <c r="S99" s="6">
        <f t="shared" si="12"/>
        <v>25960</v>
      </c>
      <c r="T99" s="6">
        <f t="shared" si="13"/>
        <v>18500</v>
      </c>
      <c r="U99" s="6">
        <f t="shared" si="14"/>
        <v>7460</v>
      </c>
      <c r="V99" s="5">
        <f t="shared" si="15"/>
        <v>0.28736517719568566</v>
      </c>
    </row>
    <row r="100" spans="1:22">
      <c r="A100" t="s">
        <v>276</v>
      </c>
      <c r="B100" s="4">
        <v>45854</v>
      </c>
      <c r="C100" t="s">
        <v>77</v>
      </c>
      <c r="D100" t="s">
        <v>61</v>
      </c>
      <c r="E100" t="s">
        <v>73</v>
      </c>
      <c r="F100" t="s">
        <v>277</v>
      </c>
      <c r="G100" t="s">
        <v>55</v>
      </c>
      <c r="H100" t="s">
        <v>115</v>
      </c>
      <c r="I100">
        <v>6</v>
      </c>
      <c r="J100" s="6">
        <v>105000</v>
      </c>
      <c r="K100" s="6">
        <v>76000</v>
      </c>
      <c r="L100" s="5">
        <v>0.08</v>
      </c>
      <c r="M100" t="s">
        <v>57</v>
      </c>
      <c r="N100" t="s">
        <v>70</v>
      </c>
      <c r="O100">
        <f t="shared" si="8"/>
        <v>7</v>
      </c>
      <c r="P100">
        <f t="shared" si="9"/>
        <v>3</v>
      </c>
      <c r="Q100" s="6">
        <f t="shared" si="10"/>
        <v>630000</v>
      </c>
      <c r="R100" s="6">
        <f t="shared" si="11"/>
        <v>50400</v>
      </c>
      <c r="S100" s="6">
        <f t="shared" si="12"/>
        <v>579600</v>
      </c>
      <c r="T100" s="6">
        <f t="shared" si="13"/>
        <v>456000</v>
      </c>
      <c r="U100" s="6">
        <f t="shared" si="14"/>
        <v>123600</v>
      </c>
      <c r="V100" s="5">
        <f t="shared" si="15"/>
        <v>0.21325051759834368</v>
      </c>
    </row>
    <row r="101" spans="1:22">
      <c r="A101" t="s">
        <v>278</v>
      </c>
      <c r="B101" s="4">
        <v>45931</v>
      </c>
      <c r="C101" t="s">
        <v>77</v>
      </c>
      <c r="D101" t="s">
        <v>72</v>
      </c>
      <c r="E101" t="s">
        <v>66</v>
      </c>
      <c r="F101" t="s">
        <v>199</v>
      </c>
      <c r="G101" t="s">
        <v>55</v>
      </c>
      <c r="H101" t="s">
        <v>115</v>
      </c>
      <c r="I101">
        <v>4</v>
      </c>
      <c r="J101" s="6">
        <v>105000</v>
      </c>
      <c r="K101" s="6">
        <v>76000</v>
      </c>
      <c r="L101" s="5">
        <v>0</v>
      </c>
      <c r="M101" t="s">
        <v>57</v>
      </c>
      <c r="N101" t="s">
        <v>75</v>
      </c>
      <c r="O101">
        <f t="shared" si="8"/>
        <v>10</v>
      </c>
      <c r="P101">
        <f t="shared" si="9"/>
        <v>4</v>
      </c>
      <c r="Q101" s="6">
        <f t="shared" si="10"/>
        <v>420000</v>
      </c>
      <c r="R101" s="6">
        <f t="shared" si="11"/>
        <v>0</v>
      </c>
      <c r="S101" s="6">
        <f t="shared" si="12"/>
        <v>420000</v>
      </c>
      <c r="T101" s="6">
        <f t="shared" si="13"/>
        <v>304000</v>
      </c>
      <c r="U101" s="6">
        <f t="shared" si="14"/>
        <v>116000</v>
      </c>
      <c r="V101" s="5">
        <f t="shared" si="15"/>
        <v>0.27619047619047621</v>
      </c>
    </row>
    <row r="102" spans="1:22">
      <c r="A102" t="s">
        <v>279</v>
      </c>
      <c r="B102" s="4">
        <v>45995</v>
      </c>
      <c r="C102" t="s">
        <v>60</v>
      </c>
      <c r="D102" t="s">
        <v>106</v>
      </c>
      <c r="E102" t="s">
        <v>73</v>
      </c>
      <c r="F102" t="s">
        <v>280</v>
      </c>
      <c r="G102" t="s">
        <v>89</v>
      </c>
      <c r="H102" t="s">
        <v>90</v>
      </c>
      <c r="I102">
        <v>3</v>
      </c>
      <c r="J102" s="6">
        <v>5900</v>
      </c>
      <c r="K102" s="6">
        <v>3700</v>
      </c>
      <c r="L102" s="5">
        <v>0.08</v>
      </c>
      <c r="M102" t="s">
        <v>57</v>
      </c>
      <c r="N102" t="s">
        <v>63</v>
      </c>
      <c r="O102">
        <f t="shared" si="8"/>
        <v>12</v>
      </c>
      <c r="P102">
        <f t="shared" si="9"/>
        <v>4</v>
      </c>
      <c r="Q102" s="6">
        <f t="shared" si="10"/>
        <v>17700</v>
      </c>
      <c r="R102" s="6">
        <f t="shared" si="11"/>
        <v>1416</v>
      </c>
      <c r="S102" s="6">
        <f t="shared" si="12"/>
        <v>16284</v>
      </c>
      <c r="T102" s="6">
        <f t="shared" si="13"/>
        <v>11100</v>
      </c>
      <c r="U102" s="6">
        <f t="shared" si="14"/>
        <v>5184</v>
      </c>
      <c r="V102" s="5">
        <f t="shared" si="15"/>
        <v>0.318349299926308</v>
      </c>
    </row>
    <row r="103" spans="1:22">
      <c r="A103" t="s">
        <v>281</v>
      </c>
      <c r="B103" s="4">
        <v>45717</v>
      </c>
      <c r="C103" t="s">
        <v>51</v>
      </c>
      <c r="D103" t="s">
        <v>61</v>
      </c>
      <c r="E103" t="s">
        <v>73</v>
      </c>
      <c r="F103" t="s">
        <v>282</v>
      </c>
      <c r="G103" t="s">
        <v>55</v>
      </c>
      <c r="H103" t="s">
        <v>56</v>
      </c>
      <c r="I103">
        <v>5</v>
      </c>
      <c r="J103" s="6">
        <v>138000</v>
      </c>
      <c r="K103" s="6">
        <v>99000</v>
      </c>
      <c r="L103" s="5">
        <v>0.03</v>
      </c>
      <c r="M103" t="s">
        <v>57</v>
      </c>
      <c r="N103" t="s">
        <v>70</v>
      </c>
      <c r="O103">
        <f t="shared" si="8"/>
        <v>3</v>
      </c>
      <c r="P103">
        <f t="shared" si="9"/>
        <v>1</v>
      </c>
      <c r="Q103" s="6">
        <f t="shared" si="10"/>
        <v>690000</v>
      </c>
      <c r="R103" s="6">
        <f t="shared" si="11"/>
        <v>20700</v>
      </c>
      <c r="S103" s="6">
        <f t="shared" si="12"/>
        <v>669300</v>
      </c>
      <c r="T103" s="6">
        <f t="shared" si="13"/>
        <v>495000</v>
      </c>
      <c r="U103" s="6">
        <f t="shared" si="14"/>
        <v>174300</v>
      </c>
      <c r="V103" s="5">
        <f t="shared" si="15"/>
        <v>0.26042133572389065</v>
      </c>
    </row>
    <row r="104" spans="1:22">
      <c r="A104" t="s">
        <v>283</v>
      </c>
      <c r="B104" s="4">
        <v>45975</v>
      </c>
      <c r="C104" t="s">
        <v>77</v>
      </c>
      <c r="D104" t="s">
        <v>72</v>
      </c>
      <c r="E104" t="s">
        <v>66</v>
      </c>
      <c r="F104" t="s">
        <v>284</v>
      </c>
      <c r="G104" t="s">
        <v>89</v>
      </c>
      <c r="H104" t="s">
        <v>90</v>
      </c>
      <c r="I104">
        <v>3</v>
      </c>
      <c r="J104" s="6">
        <v>5900</v>
      </c>
      <c r="K104" s="6">
        <v>3700</v>
      </c>
      <c r="L104" s="5">
        <v>0.08</v>
      </c>
      <c r="M104" t="s">
        <v>57</v>
      </c>
      <c r="N104" t="s">
        <v>70</v>
      </c>
      <c r="O104">
        <f t="shared" si="8"/>
        <v>11</v>
      </c>
      <c r="P104">
        <f t="shared" si="9"/>
        <v>4</v>
      </c>
      <c r="Q104" s="6">
        <f t="shared" si="10"/>
        <v>17700</v>
      </c>
      <c r="R104" s="6">
        <f t="shared" si="11"/>
        <v>1416</v>
      </c>
      <c r="S104" s="6">
        <f t="shared" si="12"/>
        <v>16284</v>
      </c>
      <c r="T104" s="6">
        <f t="shared" si="13"/>
        <v>11100</v>
      </c>
      <c r="U104" s="6">
        <f t="shared" si="14"/>
        <v>5184</v>
      </c>
      <c r="V104" s="5">
        <f t="shared" si="15"/>
        <v>0.318349299926308</v>
      </c>
    </row>
    <row r="105" spans="1:22">
      <c r="A105" t="s">
        <v>285</v>
      </c>
      <c r="B105" s="4">
        <v>45811</v>
      </c>
      <c r="C105" t="s">
        <v>111</v>
      </c>
      <c r="D105" t="s">
        <v>61</v>
      </c>
      <c r="E105" t="s">
        <v>94</v>
      </c>
      <c r="F105" t="s">
        <v>204</v>
      </c>
      <c r="G105" t="s">
        <v>68</v>
      </c>
      <c r="H105" t="s">
        <v>108</v>
      </c>
      <c r="I105">
        <v>5</v>
      </c>
      <c r="J105" s="6">
        <v>175000</v>
      </c>
      <c r="K105" s="6">
        <v>129000</v>
      </c>
      <c r="L105" s="5">
        <v>0.12</v>
      </c>
      <c r="M105" t="s">
        <v>57</v>
      </c>
      <c r="N105" t="s">
        <v>81</v>
      </c>
      <c r="O105">
        <f t="shared" si="8"/>
        <v>6</v>
      </c>
      <c r="P105">
        <f t="shared" si="9"/>
        <v>2</v>
      </c>
      <c r="Q105" s="6">
        <f t="shared" si="10"/>
        <v>875000</v>
      </c>
      <c r="R105" s="6">
        <f t="shared" si="11"/>
        <v>105000</v>
      </c>
      <c r="S105" s="6">
        <f t="shared" si="12"/>
        <v>770000</v>
      </c>
      <c r="T105" s="6">
        <f t="shared" si="13"/>
        <v>645000</v>
      </c>
      <c r="U105" s="6">
        <f t="shared" si="14"/>
        <v>125000</v>
      </c>
      <c r="V105" s="5">
        <f t="shared" si="15"/>
        <v>0.16233766233766234</v>
      </c>
    </row>
    <row r="106" spans="1:22">
      <c r="A106" t="s">
        <v>286</v>
      </c>
      <c r="B106" s="4">
        <v>45999</v>
      </c>
      <c r="C106" t="s">
        <v>120</v>
      </c>
      <c r="D106" t="s">
        <v>52</v>
      </c>
      <c r="E106" t="s">
        <v>53</v>
      </c>
      <c r="F106" t="s">
        <v>287</v>
      </c>
      <c r="G106" t="s">
        <v>68</v>
      </c>
      <c r="H106" t="s">
        <v>108</v>
      </c>
      <c r="I106">
        <v>6</v>
      </c>
      <c r="J106" s="6">
        <v>175000</v>
      </c>
      <c r="K106" s="6">
        <v>129000</v>
      </c>
      <c r="L106" s="5">
        <v>0.05</v>
      </c>
      <c r="M106" t="s">
        <v>57</v>
      </c>
      <c r="N106" t="s">
        <v>63</v>
      </c>
      <c r="O106">
        <f t="shared" si="8"/>
        <v>12</v>
      </c>
      <c r="P106">
        <f t="shared" si="9"/>
        <v>4</v>
      </c>
      <c r="Q106" s="6">
        <f t="shared" si="10"/>
        <v>1050000</v>
      </c>
      <c r="R106" s="6">
        <f t="shared" si="11"/>
        <v>52500</v>
      </c>
      <c r="S106" s="6">
        <f t="shared" si="12"/>
        <v>997500</v>
      </c>
      <c r="T106" s="6">
        <f t="shared" si="13"/>
        <v>774000</v>
      </c>
      <c r="U106" s="6">
        <f t="shared" si="14"/>
        <v>223500</v>
      </c>
      <c r="V106" s="5">
        <f t="shared" si="15"/>
        <v>0.22406015037593985</v>
      </c>
    </row>
    <row r="107" spans="1:22">
      <c r="A107" t="s">
        <v>288</v>
      </c>
      <c r="B107" s="4">
        <v>46015</v>
      </c>
      <c r="C107" t="s">
        <v>83</v>
      </c>
      <c r="D107" t="s">
        <v>65</v>
      </c>
      <c r="E107" t="s">
        <v>53</v>
      </c>
      <c r="F107" t="s">
        <v>289</v>
      </c>
      <c r="G107" t="s">
        <v>55</v>
      </c>
      <c r="H107" t="s">
        <v>115</v>
      </c>
      <c r="I107">
        <v>8</v>
      </c>
      <c r="J107" s="6">
        <v>105000</v>
      </c>
      <c r="K107" s="6">
        <v>76000</v>
      </c>
      <c r="L107" s="5">
        <v>0.12</v>
      </c>
      <c r="M107" t="s">
        <v>57</v>
      </c>
      <c r="N107" t="s">
        <v>58</v>
      </c>
      <c r="O107">
        <f t="shared" si="8"/>
        <v>12</v>
      </c>
      <c r="P107">
        <f t="shared" si="9"/>
        <v>4</v>
      </c>
      <c r="Q107" s="6">
        <f t="shared" si="10"/>
        <v>840000</v>
      </c>
      <c r="R107" s="6">
        <f t="shared" si="11"/>
        <v>100800</v>
      </c>
      <c r="S107" s="6">
        <f t="shared" si="12"/>
        <v>739200</v>
      </c>
      <c r="T107" s="6">
        <f t="shared" si="13"/>
        <v>608000</v>
      </c>
      <c r="U107" s="6">
        <f t="shared" si="14"/>
        <v>131200</v>
      </c>
      <c r="V107" s="5">
        <f t="shared" si="15"/>
        <v>0.1774891774891775</v>
      </c>
    </row>
    <row r="108" spans="1:22">
      <c r="A108" t="s">
        <v>290</v>
      </c>
      <c r="B108" s="4">
        <v>45679</v>
      </c>
      <c r="C108" t="s">
        <v>51</v>
      </c>
      <c r="D108" t="s">
        <v>61</v>
      </c>
      <c r="E108" t="s">
        <v>94</v>
      </c>
      <c r="F108" t="s">
        <v>291</v>
      </c>
      <c r="G108" t="s">
        <v>55</v>
      </c>
      <c r="H108" t="s">
        <v>115</v>
      </c>
      <c r="I108">
        <v>1</v>
      </c>
      <c r="J108" s="6">
        <v>105000</v>
      </c>
      <c r="K108" s="6">
        <v>76000</v>
      </c>
      <c r="L108" s="5">
        <v>0.03</v>
      </c>
      <c r="M108" t="s">
        <v>57</v>
      </c>
      <c r="N108" t="s">
        <v>81</v>
      </c>
      <c r="O108">
        <f t="shared" si="8"/>
        <v>1</v>
      </c>
      <c r="P108">
        <f t="shared" si="9"/>
        <v>1</v>
      </c>
      <c r="Q108" s="6">
        <f t="shared" si="10"/>
        <v>105000</v>
      </c>
      <c r="R108" s="6">
        <f t="shared" si="11"/>
        <v>3150</v>
      </c>
      <c r="S108" s="6">
        <f t="shared" si="12"/>
        <v>101850</v>
      </c>
      <c r="T108" s="6">
        <f t="shared" si="13"/>
        <v>76000</v>
      </c>
      <c r="U108" s="6">
        <f t="shared" si="14"/>
        <v>25850</v>
      </c>
      <c r="V108" s="5">
        <f t="shared" si="15"/>
        <v>0.25380461462935688</v>
      </c>
    </row>
    <row r="109" spans="1:22">
      <c r="A109" t="s">
        <v>292</v>
      </c>
      <c r="B109" s="4">
        <v>45908</v>
      </c>
      <c r="C109" t="s">
        <v>120</v>
      </c>
      <c r="D109" t="s">
        <v>93</v>
      </c>
      <c r="E109" t="s">
        <v>73</v>
      </c>
      <c r="F109" t="s">
        <v>293</v>
      </c>
      <c r="G109" t="s">
        <v>89</v>
      </c>
      <c r="H109" t="s">
        <v>90</v>
      </c>
      <c r="I109">
        <v>6</v>
      </c>
      <c r="J109" s="6">
        <v>5900</v>
      </c>
      <c r="K109" s="6">
        <v>3700</v>
      </c>
      <c r="L109" s="5">
        <v>0.12</v>
      </c>
      <c r="M109" t="s">
        <v>57</v>
      </c>
      <c r="N109" t="s">
        <v>75</v>
      </c>
      <c r="O109">
        <f t="shared" si="8"/>
        <v>9</v>
      </c>
      <c r="P109">
        <f t="shared" si="9"/>
        <v>3</v>
      </c>
      <c r="Q109" s="6">
        <f t="shared" si="10"/>
        <v>35400</v>
      </c>
      <c r="R109" s="6">
        <f t="shared" si="11"/>
        <v>4248</v>
      </c>
      <c r="S109" s="6">
        <f t="shared" si="12"/>
        <v>31152</v>
      </c>
      <c r="T109" s="6">
        <f t="shared" si="13"/>
        <v>22200</v>
      </c>
      <c r="U109" s="6">
        <f t="shared" si="14"/>
        <v>8952</v>
      </c>
      <c r="V109" s="5">
        <f t="shared" si="15"/>
        <v>0.28736517719568566</v>
      </c>
    </row>
    <row r="110" spans="1:22">
      <c r="A110" t="s">
        <v>294</v>
      </c>
      <c r="B110" s="4">
        <v>45789</v>
      </c>
      <c r="C110" t="s">
        <v>120</v>
      </c>
      <c r="D110" t="s">
        <v>72</v>
      </c>
      <c r="E110" t="s">
        <v>66</v>
      </c>
      <c r="F110" t="s">
        <v>295</v>
      </c>
      <c r="G110" t="s">
        <v>89</v>
      </c>
      <c r="H110" t="s">
        <v>95</v>
      </c>
      <c r="I110">
        <v>8</v>
      </c>
      <c r="J110" s="6">
        <v>32000</v>
      </c>
      <c r="K110" s="6">
        <v>21000</v>
      </c>
      <c r="L110" s="5">
        <v>0.08</v>
      </c>
      <c r="M110" t="s">
        <v>57</v>
      </c>
      <c r="N110" t="s">
        <v>58</v>
      </c>
      <c r="O110">
        <f t="shared" si="8"/>
        <v>5</v>
      </c>
      <c r="P110">
        <f t="shared" si="9"/>
        <v>2</v>
      </c>
      <c r="Q110" s="6">
        <f t="shared" si="10"/>
        <v>256000</v>
      </c>
      <c r="R110" s="6">
        <f t="shared" si="11"/>
        <v>20480</v>
      </c>
      <c r="S110" s="6">
        <f t="shared" si="12"/>
        <v>235520</v>
      </c>
      <c r="T110" s="6">
        <f t="shared" si="13"/>
        <v>168000</v>
      </c>
      <c r="U110" s="6">
        <f t="shared" si="14"/>
        <v>67520</v>
      </c>
      <c r="V110" s="5">
        <f t="shared" si="15"/>
        <v>0.28668478260869568</v>
      </c>
    </row>
    <row r="111" spans="1:22">
      <c r="A111" t="s">
        <v>296</v>
      </c>
      <c r="B111" s="4">
        <v>45993</v>
      </c>
      <c r="C111" t="s">
        <v>51</v>
      </c>
      <c r="D111" t="s">
        <v>61</v>
      </c>
      <c r="E111" t="s">
        <v>53</v>
      </c>
      <c r="F111" t="s">
        <v>199</v>
      </c>
      <c r="G111" t="s">
        <v>89</v>
      </c>
      <c r="H111" t="s">
        <v>90</v>
      </c>
      <c r="I111">
        <v>5</v>
      </c>
      <c r="J111" s="6">
        <v>5900</v>
      </c>
      <c r="K111" s="6">
        <v>3700</v>
      </c>
      <c r="L111" s="5">
        <v>0.1</v>
      </c>
      <c r="M111" t="s">
        <v>109</v>
      </c>
      <c r="N111" t="s">
        <v>81</v>
      </c>
      <c r="O111">
        <f t="shared" si="8"/>
        <v>12</v>
      </c>
      <c r="P111">
        <f t="shared" si="9"/>
        <v>4</v>
      </c>
      <c r="Q111" s="6">
        <f t="shared" si="10"/>
        <v>29500</v>
      </c>
      <c r="R111" s="6">
        <f t="shared" si="11"/>
        <v>2950</v>
      </c>
      <c r="S111" s="6">
        <f t="shared" si="12"/>
        <v>0</v>
      </c>
      <c r="T111" s="6">
        <f t="shared" si="13"/>
        <v>0</v>
      </c>
      <c r="U111" s="6">
        <f t="shared" si="14"/>
        <v>0</v>
      </c>
      <c r="V111" s="5">
        <f t="shared" si="15"/>
        <v>0</v>
      </c>
    </row>
    <row r="112" spans="1:22">
      <c r="A112" t="s">
        <v>297</v>
      </c>
      <c r="B112" s="4">
        <v>45711</v>
      </c>
      <c r="C112" t="s">
        <v>111</v>
      </c>
      <c r="D112" t="s">
        <v>52</v>
      </c>
      <c r="E112" t="s">
        <v>66</v>
      </c>
      <c r="F112" t="s">
        <v>162</v>
      </c>
      <c r="G112" t="s">
        <v>89</v>
      </c>
      <c r="H112" t="s">
        <v>90</v>
      </c>
      <c r="I112">
        <v>8</v>
      </c>
      <c r="J112" s="6">
        <v>5900</v>
      </c>
      <c r="K112" s="6">
        <v>3700</v>
      </c>
      <c r="L112" s="5">
        <v>0.05</v>
      </c>
      <c r="M112" t="s">
        <v>57</v>
      </c>
      <c r="N112" t="s">
        <v>70</v>
      </c>
      <c r="O112">
        <f t="shared" si="8"/>
        <v>2</v>
      </c>
      <c r="P112">
        <f t="shared" si="9"/>
        <v>1</v>
      </c>
      <c r="Q112" s="6">
        <f t="shared" si="10"/>
        <v>47200</v>
      </c>
      <c r="R112" s="6">
        <f t="shared" si="11"/>
        <v>2360</v>
      </c>
      <c r="S112" s="6">
        <f t="shared" si="12"/>
        <v>44840</v>
      </c>
      <c r="T112" s="6">
        <f t="shared" si="13"/>
        <v>29600</v>
      </c>
      <c r="U112" s="6">
        <f t="shared" si="14"/>
        <v>15240</v>
      </c>
      <c r="V112" s="5">
        <f t="shared" si="15"/>
        <v>0.33987511150758254</v>
      </c>
    </row>
    <row r="113" spans="1:22">
      <c r="A113" t="s">
        <v>298</v>
      </c>
      <c r="B113" s="4">
        <v>45873</v>
      </c>
      <c r="C113" t="s">
        <v>102</v>
      </c>
      <c r="D113" t="s">
        <v>65</v>
      </c>
      <c r="E113" t="s">
        <v>94</v>
      </c>
      <c r="F113" t="s">
        <v>289</v>
      </c>
      <c r="G113" t="s">
        <v>55</v>
      </c>
      <c r="H113" t="s">
        <v>56</v>
      </c>
      <c r="I113">
        <v>3</v>
      </c>
      <c r="J113" s="6">
        <v>138000</v>
      </c>
      <c r="K113" s="6">
        <v>99000</v>
      </c>
      <c r="L113" s="5">
        <v>0.03</v>
      </c>
      <c r="M113" t="s">
        <v>57</v>
      </c>
      <c r="N113" t="s">
        <v>75</v>
      </c>
      <c r="O113">
        <f t="shared" si="8"/>
        <v>8</v>
      </c>
      <c r="P113">
        <f t="shared" si="9"/>
        <v>3</v>
      </c>
      <c r="Q113" s="6">
        <f t="shared" si="10"/>
        <v>414000</v>
      </c>
      <c r="R113" s="6">
        <f t="shared" si="11"/>
        <v>12420</v>
      </c>
      <c r="S113" s="6">
        <f t="shared" si="12"/>
        <v>401580</v>
      </c>
      <c r="T113" s="6">
        <f t="shared" si="13"/>
        <v>297000</v>
      </c>
      <c r="U113" s="6">
        <f t="shared" si="14"/>
        <v>104580</v>
      </c>
      <c r="V113" s="5">
        <f t="shared" si="15"/>
        <v>0.26042133572389065</v>
      </c>
    </row>
    <row r="114" spans="1:22">
      <c r="A114" t="s">
        <v>299</v>
      </c>
      <c r="B114" s="4">
        <v>45935</v>
      </c>
      <c r="C114" t="s">
        <v>60</v>
      </c>
      <c r="D114" t="s">
        <v>65</v>
      </c>
      <c r="E114" t="s">
        <v>66</v>
      </c>
      <c r="F114" t="s">
        <v>164</v>
      </c>
      <c r="G114" t="s">
        <v>55</v>
      </c>
      <c r="H114" t="s">
        <v>115</v>
      </c>
      <c r="I114">
        <v>7</v>
      </c>
      <c r="J114" s="6">
        <v>105000</v>
      </c>
      <c r="K114" s="6">
        <v>76000</v>
      </c>
      <c r="L114" s="5">
        <v>0</v>
      </c>
      <c r="M114" t="s">
        <v>57</v>
      </c>
      <c r="N114" t="s">
        <v>63</v>
      </c>
      <c r="O114">
        <f t="shared" si="8"/>
        <v>10</v>
      </c>
      <c r="P114">
        <f t="shared" si="9"/>
        <v>4</v>
      </c>
      <c r="Q114" s="6">
        <f t="shared" si="10"/>
        <v>735000</v>
      </c>
      <c r="R114" s="6">
        <f t="shared" si="11"/>
        <v>0</v>
      </c>
      <c r="S114" s="6">
        <f t="shared" si="12"/>
        <v>735000</v>
      </c>
      <c r="T114" s="6">
        <f t="shared" si="13"/>
        <v>532000</v>
      </c>
      <c r="U114" s="6">
        <f t="shared" si="14"/>
        <v>203000</v>
      </c>
      <c r="V114" s="5">
        <f t="shared" si="15"/>
        <v>0.27619047619047621</v>
      </c>
    </row>
    <row r="115" spans="1:22">
      <c r="A115" t="s">
        <v>300</v>
      </c>
      <c r="B115" s="4">
        <v>45926</v>
      </c>
      <c r="C115" t="s">
        <v>83</v>
      </c>
      <c r="D115" t="s">
        <v>65</v>
      </c>
      <c r="E115" t="s">
        <v>73</v>
      </c>
      <c r="F115" t="s">
        <v>301</v>
      </c>
      <c r="G115" t="s">
        <v>89</v>
      </c>
      <c r="H115" t="s">
        <v>90</v>
      </c>
      <c r="I115">
        <v>2</v>
      </c>
      <c r="J115" s="6">
        <v>5900</v>
      </c>
      <c r="K115" s="6">
        <v>3700</v>
      </c>
      <c r="L115" s="5">
        <v>0</v>
      </c>
      <c r="M115" t="s">
        <v>57</v>
      </c>
      <c r="N115" t="s">
        <v>70</v>
      </c>
      <c r="O115">
        <f t="shared" si="8"/>
        <v>9</v>
      </c>
      <c r="P115">
        <f t="shared" si="9"/>
        <v>3</v>
      </c>
      <c r="Q115" s="6">
        <f t="shared" si="10"/>
        <v>11800</v>
      </c>
      <c r="R115" s="6">
        <f t="shared" si="11"/>
        <v>0</v>
      </c>
      <c r="S115" s="6">
        <f t="shared" si="12"/>
        <v>11800</v>
      </c>
      <c r="T115" s="6">
        <f t="shared" si="13"/>
        <v>7400</v>
      </c>
      <c r="U115" s="6">
        <f t="shared" si="14"/>
        <v>4400</v>
      </c>
      <c r="V115" s="5">
        <f t="shared" si="15"/>
        <v>0.3728813559322034</v>
      </c>
    </row>
    <row r="116" spans="1:22">
      <c r="A116" t="s">
        <v>302</v>
      </c>
      <c r="B116" s="4">
        <v>46022</v>
      </c>
      <c r="C116" t="s">
        <v>111</v>
      </c>
      <c r="D116" t="s">
        <v>61</v>
      </c>
      <c r="E116" t="s">
        <v>94</v>
      </c>
      <c r="F116" t="s">
        <v>159</v>
      </c>
      <c r="G116" t="s">
        <v>68</v>
      </c>
      <c r="H116" t="s">
        <v>104</v>
      </c>
      <c r="I116">
        <v>3</v>
      </c>
      <c r="J116" s="6">
        <v>320000</v>
      </c>
      <c r="K116" s="6">
        <v>244000</v>
      </c>
      <c r="L116" s="5">
        <v>0.1</v>
      </c>
      <c r="M116" t="s">
        <v>57</v>
      </c>
      <c r="N116" t="s">
        <v>70</v>
      </c>
      <c r="O116">
        <f t="shared" si="8"/>
        <v>12</v>
      </c>
      <c r="P116">
        <f t="shared" si="9"/>
        <v>4</v>
      </c>
      <c r="Q116" s="6">
        <f t="shared" si="10"/>
        <v>960000</v>
      </c>
      <c r="R116" s="6">
        <f t="shared" si="11"/>
        <v>96000</v>
      </c>
      <c r="S116" s="6">
        <f t="shared" si="12"/>
        <v>864000</v>
      </c>
      <c r="T116" s="6">
        <f t="shared" si="13"/>
        <v>732000</v>
      </c>
      <c r="U116" s="6">
        <f t="shared" si="14"/>
        <v>132000</v>
      </c>
      <c r="V116" s="5">
        <f t="shared" si="15"/>
        <v>0.15277777777777779</v>
      </c>
    </row>
    <row r="117" spans="1:22">
      <c r="A117" t="s">
        <v>303</v>
      </c>
      <c r="B117" s="4">
        <v>45663</v>
      </c>
      <c r="C117" t="s">
        <v>92</v>
      </c>
      <c r="D117" t="s">
        <v>106</v>
      </c>
      <c r="E117" t="s">
        <v>66</v>
      </c>
      <c r="F117" t="s">
        <v>304</v>
      </c>
      <c r="G117" t="s">
        <v>68</v>
      </c>
      <c r="H117" t="s">
        <v>69</v>
      </c>
      <c r="I117">
        <v>7</v>
      </c>
      <c r="J117" s="6">
        <v>115000</v>
      </c>
      <c r="K117" s="6">
        <v>82000</v>
      </c>
      <c r="L117" s="5">
        <v>0.03</v>
      </c>
      <c r="M117" t="s">
        <v>57</v>
      </c>
      <c r="N117" t="s">
        <v>58</v>
      </c>
      <c r="O117">
        <f t="shared" si="8"/>
        <v>1</v>
      </c>
      <c r="P117">
        <f t="shared" si="9"/>
        <v>1</v>
      </c>
      <c r="Q117" s="6">
        <f t="shared" si="10"/>
        <v>805000</v>
      </c>
      <c r="R117" s="6">
        <f t="shared" si="11"/>
        <v>24150</v>
      </c>
      <c r="S117" s="6">
        <f t="shared" si="12"/>
        <v>780850</v>
      </c>
      <c r="T117" s="6">
        <f t="shared" si="13"/>
        <v>574000</v>
      </c>
      <c r="U117" s="6">
        <f t="shared" si="14"/>
        <v>206850</v>
      </c>
      <c r="V117" s="5">
        <f t="shared" si="15"/>
        <v>0.26490363065889738</v>
      </c>
    </row>
    <row r="118" spans="1:22">
      <c r="A118" t="s">
        <v>305</v>
      </c>
      <c r="B118" s="4">
        <v>45951</v>
      </c>
      <c r="C118" t="s">
        <v>120</v>
      </c>
      <c r="D118" t="s">
        <v>61</v>
      </c>
      <c r="E118" t="s">
        <v>73</v>
      </c>
      <c r="F118" t="s">
        <v>112</v>
      </c>
      <c r="G118" t="s">
        <v>68</v>
      </c>
      <c r="H118" t="s">
        <v>79</v>
      </c>
      <c r="I118">
        <v>1</v>
      </c>
      <c r="J118" s="6">
        <v>19000</v>
      </c>
      <c r="K118" s="6">
        <v>11500</v>
      </c>
      <c r="L118" s="5">
        <v>0.03</v>
      </c>
      <c r="M118" t="s">
        <v>109</v>
      </c>
      <c r="N118" t="s">
        <v>75</v>
      </c>
      <c r="O118">
        <f t="shared" si="8"/>
        <v>10</v>
      </c>
      <c r="P118">
        <f t="shared" si="9"/>
        <v>4</v>
      </c>
      <c r="Q118" s="6">
        <f t="shared" si="10"/>
        <v>19000</v>
      </c>
      <c r="R118" s="6">
        <f t="shared" si="11"/>
        <v>570</v>
      </c>
      <c r="S118" s="6">
        <f t="shared" si="12"/>
        <v>0</v>
      </c>
      <c r="T118" s="6">
        <f t="shared" si="13"/>
        <v>0</v>
      </c>
      <c r="U118" s="6">
        <f t="shared" si="14"/>
        <v>0</v>
      </c>
      <c r="V118" s="5">
        <f t="shared" si="15"/>
        <v>0</v>
      </c>
    </row>
    <row r="119" spans="1:22">
      <c r="A119" t="s">
        <v>306</v>
      </c>
      <c r="B119" s="4">
        <v>45882</v>
      </c>
      <c r="C119" t="s">
        <v>51</v>
      </c>
      <c r="D119" t="s">
        <v>72</v>
      </c>
      <c r="E119" t="s">
        <v>66</v>
      </c>
      <c r="F119" t="s">
        <v>212</v>
      </c>
      <c r="G119" t="s">
        <v>89</v>
      </c>
      <c r="H119" t="s">
        <v>95</v>
      </c>
      <c r="I119">
        <v>4</v>
      </c>
      <c r="J119" s="6">
        <v>32000</v>
      </c>
      <c r="K119" s="6">
        <v>21000</v>
      </c>
      <c r="L119" s="5">
        <v>0</v>
      </c>
      <c r="M119" t="s">
        <v>57</v>
      </c>
      <c r="N119" t="s">
        <v>58</v>
      </c>
      <c r="O119">
        <f t="shared" si="8"/>
        <v>8</v>
      </c>
      <c r="P119">
        <f t="shared" si="9"/>
        <v>3</v>
      </c>
      <c r="Q119" s="6">
        <f t="shared" si="10"/>
        <v>128000</v>
      </c>
      <c r="R119" s="6">
        <f t="shared" si="11"/>
        <v>0</v>
      </c>
      <c r="S119" s="6">
        <f t="shared" si="12"/>
        <v>128000</v>
      </c>
      <c r="T119" s="6">
        <f t="shared" si="13"/>
        <v>84000</v>
      </c>
      <c r="U119" s="6">
        <f t="shared" si="14"/>
        <v>44000</v>
      </c>
      <c r="V119" s="5">
        <f t="shared" si="15"/>
        <v>0.34375</v>
      </c>
    </row>
    <row r="120" spans="1:22">
      <c r="A120" t="s">
        <v>307</v>
      </c>
      <c r="B120" s="4">
        <v>45718</v>
      </c>
      <c r="C120" t="s">
        <v>102</v>
      </c>
      <c r="D120" t="s">
        <v>106</v>
      </c>
      <c r="E120" t="s">
        <v>94</v>
      </c>
      <c r="F120" t="s">
        <v>85</v>
      </c>
      <c r="G120" t="s">
        <v>68</v>
      </c>
      <c r="H120" t="s">
        <v>104</v>
      </c>
      <c r="I120">
        <v>3</v>
      </c>
      <c r="J120" s="6">
        <v>320000</v>
      </c>
      <c r="K120" s="6">
        <v>244000</v>
      </c>
      <c r="L120" s="5">
        <v>0.08</v>
      </c>
      <c r="M120" t="s">
        <v>57</v>
      </c>
      <c r="N120" t="s">
        <v>58</v>
      </c>
      <c r="O120">
        <f t="shared" si="8"/>
        <v>3</v>
      </c>
      <c r="P120">
        <f t="shared" si="9"/>
        <v>1</v>
      </c>
      <c r="Q120" s="6">
        <f t="shared" si="10"/>
        <v>960000</v>
      </c>
      <c r="R120" s="6">
        <f t="shared" si="11"/>
        <v>76800</v>
      </c>
      <c r="S120" s="6">
        <f t="shared" si="12"/>
        <v>883200</v>
      </c>
      <c r="T120" s="6">
        <f t="shared" si="13"/>
        <v>732000</v>
      </c>
      <c r="U120" s="6">
        <f t="shared" si="14"/>
        <v>151200</v>
      </c>
      <c r="V120" s="5">
        <f t="shared" si="15"/>
        <v>0.17119565217391305</v>
      </c>
    </row>
    <row r="121" spans="1:22">
      <c r="A121" t="s">
        <v>308</v>
      </c>
      <c r="B121" s="4">
        <v>45726</v>
      </c>
      <c r="C121" t="s">
        <v>51</v>
      </c>
      <c r="D121" t="s">
        <v>61</v>
      </c>
      <c r="E121" t="s">
        <v>53</v>
      </c>
      <c r="F121" t="s">
        <v>309</v>
      </c>
      <c r="G121" t="s">
        <v>68</v>
      </c>
      <c r="H121" t="s">
        <v>108</v>
      </c>
      <c r="I121">
        <v>4</v>
      </c>
      <c r="J121" s="6">
        <v>175000</v>
      </c>
      <c r="K121" s="6">
        <v>129000</v>
      </c>
      <c r="L121" s="5">
        <v>0</v>
      </c>
      <c r="M121" t="s">
        <v>57</v>
      </c>
      <c r="N121" t="s">
        <v>70</v>
      </c>
      <c r="O121">
        <f t="shared" si="8"/>
        <v>3</v>
      </c>
      <c r="P121">
        <f t="shared" si="9"/>
        <v>1</v>
      </c>
      <c r="Q121" s="6">
        <f t="shared" si="10"/>
        <v>700000</v>
      </c>
      <c r="R121" s="6">
        <f t="shared" si="11"/>
        <v>0</v>
      </c>
      <c r="S121" s="6">
        <f t="shared" si="12"/>
        <v>700000</v>
      </c>
      <c r="T121" s="6">
        <f t="shared" si="13"/>
        <v>516000</v>
      </c>
      <c r="U121" s="6">
        <f t="shared" si="14"/>
        <v>184000</v>
      </c>
      <c r="V121" s="5">
        <f t="shared" si="15"/>
        <v>0.26285714285714284</v>
      </c>
    </row>
    <row r="122" spans="1:22">
      <c r="A122" t="s">
        <v>310</v>
      </c>
      <c r="B122" s="4">
        <v>45932</v>
      </c>
      <c r="C122" t="s">
        <v>51</v>
      </c>
      <c r="D122" t="s">
        <v>61</v>
      </c>
      <c r="E122" t="s">
        <v>66</v>
      </c>
      <c r="F122" t="s">
        <v>311</v>
      </c>
      <c r="G122" t="s">
        <v>68</v>
      </c>
      <c r="H122" t="s">
        <v>104</v>
      </c>
      <c r="I122">
        <v>7</v>
      </c>
      <c r="J122" s="6">
        <v>320000</v>
      </c>
      <c r="K122" s="6">
        <v>244000</v>
      </c>
      <c r="L122" s="5">
        <v>0</v>
      </c>
      <c r="M122" t="s">
        <v>80</v>
      </c>
      <c r="N122" t="s">
        <v>81</v>
      </c>
      <c r="O122">
        <f t="shared" si="8"/>
        <v>10</v>
      </c>
      <c r="P122">
        <f t="shared" si="9"/>
        <v>4</v>
      </c>
      <c r="Q122" s="6">
        <f t="shared" si="10"/>
        <v>2240000</v>
      </c>
      <c r="R122" s="6">
        <f t="shared" si="11"/>
        <v>0</v>
      </c>
      <c r="S122" s="6">
        <f t="shared" si="12"/>
        <v>0</v>
      </c>
      <c r="T122" s="6">
        <f t="shared" si="13"/>
        <v>0</v>
      </c>
      <c r="U122" s="6">
        <f t="shared" si="14"/>
        <v>0</v>
      </c>
      <c r="V122" s="5">
        <f t="shared" si="15"/>
        <v>0</v>
      </c>
    </row>
    <row r="123" spans="1:22">
      <c r="A123" t="s">
        <v>312</v>
      </c>
      <c r="B123" s="4">
        <v>45688</v>
      </c>
      <c r="C123" t="s">
        <v>92</v>
      </c>
      <c r="D123" t="s">
        <v>52</v>
      </c>
      <c r="E123" t="s">
        <v>53</v>
      </c>
      <c r="F123" t="s">
        <v>118</v>
      </c>
      <c r="G123" t="s">
        <v>68</v>
      </c>
      <c r="H123" t="s">
        <v>79</v>
      </c>
      <c r="I123">
        <v>3</v>
      </c>
      <c r="J123" s="6">
        <v>19000</v>
      </c>
      <c r="K123" s="6">
        <v>11500</v>
      </c>
      <c r="L123" s="5">
        <v>0</v>
      </c>
      <c r="M123" t="s">
        <v>57</v>
      </c>
      <c r="N123" t="s">
        <v>75</v>
      </c>
      <c r="O123">
        <f t="shared" si="8"/>
        <v>1</v>
      </c>
      <c r="P123">
        <f t="shared" si="9"/>
        <v>1</v>
      </c>
      <c r="Q123" s="6">
        <f t="shared" si="10"/>
        <v>57000</v>
      </c>
      <c r="R123" s="6">
        <f t="shared" si="11"/>
        <v>0</v>
      </c>
      <c r="S123" s="6">
        <f t="shared" si="12"/>
        <v>57000</v>
      </c>
      <c r="T123" s="6">
        <f t="shared" si="13"/>
        <v>34500</v>
      </c>
      <c r="U123" s="6">
        <f t="shared" si="14"/>
        <v>22500</v>
      </c>
      <c r="V123" s="5">
        <f t="shared" si="15"/>
        <v>0.39473684210526316</v>
      </c>
    </row>
    <row r="124" spans="1:22">
      <c r="A124" t="s">
        <v>313</v>
      </c>
      <c r="B124" s="4">
        <v>45845</v>
      </c>
      <c r="C124" t="s">
        <v>83</v>
      </c>
      <c r="D124" t="s">
        <v>61</v>
      </c>
      <c r="E124" t="s">
        <v>53</v>
      </c>
      <c r="F124" t="s">
        <v>199</v>
      </c>
      <c r="G124" t="s">
        <v>68</v>
      </c>
      <c r="H124" t="s">
        <v>79</v>
      </c>
      <c r="I124">
        <v>5</v>
      </c>
      <c r="J124" s="6">
        <v>19000</v>
      </c>
      <c r="K124" s="6">
        <v>11500</v>
      </c>
      <c r="L124" s="5">
        <v>0.08</v>
      </c>
      <c r="M124" t="s">
        <v>80</v>
      </c>
      <c r="N124" t="s">
        <v>58</v>
      </c>
      <c r="O124">
        <f t="shared" si="8"/>
        <v>7</v>
      </c>
      <c r="P124">
        <f t="shared" si="9"/>
        <v>3</v>
      </c>
      <c r="Q124" s="6">
        <f t="shared" si="10"/>
        <v>95000</v>
      </c>
      <c r="R124" s="6">
        <f t="shared" si="11"/>
        <v>7600</v>
      </c>
      <c r="S124" s="6">
        <f t="shared" si="12"/>
        <v>0</v>
      </c>
      <c r="T124" s="6">
        <f t="shared" si="13"/>
        <v>0</v>
      </c>
      <c r="U124" s="6">
        <f t="shared" si="14"/>
        <v>0</v>
      </c>
      <c r="V124" s="5">
        <f t="shared" si="15"/>
        <v>0</v>
      </c>
    </row>
    <row r="125" spans="1:22">
      <c r="A125" t="s">
        <v>314</v>
      </c>
      <c r="B125" s="4">
        <v>46006</v>
      </c>
      <c r="C125" t="s">
        <v>51</v>
      </c>
      <c r="D125" t="s">
        <v>72</v>
      </c>
      <c r="E125" t="s">
        <v>53</v>
      </c>
      <c r="F125" t="s">
        <v>176</v>
      </c>
      <c r="G125" t="s">
        <v>68</v>
      </c>
      <c r="H125" t="s">
        <v>69</v>
      </c>
      <c r="I125">
        <v>8</v>
      </c>
      <c r="J125" s="6">
        <v>115000</v>
      </c>
      <c r="K125" s="6">
        <v>82000</v>
      </c>
      <c r="L125" s="5">
        <v>0</v>
      </c>
      <c r="M125" t="s">
        <v>57</v>
      </c>
      <c r="N125" t="s">
        <v>58</v>
      </c>
      <c r="O125">
        <f t="shared" si="8"/>
        <v>12</v>
      </c>
      <c r="P125">
        <f t="shared" si="9"/>
        <v>4</v>
      </c>
      <c r="Q125" s="6">
        <f t="shared" si="10"/>
        <v>920000</v>
      </c>
      <c r="R125" s="6">
        <f t="shared" si="11"/>
        <v>0</v>
      </c>
      <c r="S125" s="6">
        <f t="shared" si="12"/>
        <v>920000</v>
      </c>
      <c r="T125" s="6">
        <f t="shared" si="13"/>
        <v>656000</v>
      </c>
      <c r="U125" s="6">
        <f t="shared" si="14"/>
        <v>264000</v>
      </c>
      <c r="V125" s="5">
        <f t="shared" si="15"/>
        <v>0.28695652173913044</v>
      </c>
    </row>
    <row r="126" spans="1:22">
      <c r="A126" t="s">
        <v>315</v>
      </c>
      <c r="B126" s="4">
        <v>45842</v>
      </c>
      <c r="C126" t="s">
        <v>83</v>
      </c>
      <c r="D126" t="s">
        <v>52</v>
      </c>
      <c r="E126" t="s">
        <v>53</v>
      </c>
      <c r="F126" t="s">
        <v>248</v>
      </c>
      <c r="G126" t="s">
        <v>68</v>
      </c>
      <c r="H126" t="s">
        <v>104</v>
      </c>
      <c r="I126">
        <v>2</v>
      </c>
      <c r="J126" s="6">
        <v>320000</v>
      </c>
      <c r="K126" s="6">
        <v>244000</v>
      </c>
      <c r="L126" s="5">
        <v>0.1</v>
      </c>
      <c r="M126" t="s">
        <v>57</v>
      </c>
      <c r="N126" t="s">
        <v>75</v>
      </c>
      <c r="O126">
        <f t="shared" si="8"/>
        <v>7</v>
      </c>
      <c r="P126">
        <f t="shared" si="9"/>
        <v>3</v>
      </c>
      <c r="Q126" s="6">
        <f t="shared" si="10"/>
        <v>640000</v>
      </c>
      <c r="R126" s="6">
        <f t="shared" si="11"/>
        <v>64000</v>
      </c>
      <c r="S126" s="6">
        <f t="shared" si="12"/>
        <v>576000</v>
      </c>
      <c r="T126" s="6">
        <f t="shared" si="13"/>
        <v>488000</v>
      </c>
      <c r="U126" s="6">
        <f t="shared" si="14"/>
        <v>88000</v>
      </c>
      <c r="V126" s="5">
        <f t="shared" si="15"/>
        <v>0.15277777777777779</v>
      </c>
    </row>
    <row r="127" spans="1:22">
      <c r="A127" t="s">
        <v>316</v>
      </c>
      <c r="B127" s="4">
        <v>45674</v>
      </c>
      <c r="C127" t="s">
        <v>120</v>
      </c>
      <c r="D127" t="s">
        <v>61</v>
      </c>
      <c r="E127" t="s">
        <v>84</v>
      </c>
      <c r="F127" t="s">
        <v>317</v>
      </c>
      <c r="G127" t="s">
        <v>55</v>
      </c>
      <c r="H127" t="s">
        <v>86</v>
      </c>
      <c r="I127">
        <v>5</v>
      </c>
      <c r="J127" s="6">
        <v>92000</v>
      </c>
      <c r="K127" s="6">
        <v>60000</v>
      </c>
      <c r="L127" s="5">
        <v>0</v>
      </c>
      <c r="M127" t="s">
        <v>57</v>
      </c>
      <c r="N127" t="s">
        <v>63</v>
      </c>
      <c r="O127">
        <f t="shared" si="8"/>
        <v>1</v>
      </c>
      <c r="P127">
        <f t="shared" si="9"/>
        <v>1</v>
      </c>
      <c r="Q127" s="6">
        <f t="shared" si="10"/>
        <v>460000</v>
      </c>
      <c r="R127" s="6">
        <f t="shared" si="11"/>
        <v>0</v>
      </c>
      <c r="S127" s="6">
        <f t="shared" si="12"/>
        <v>460000</v>
      </c>
      <c r="T127" s="6">
        <f t="shared" si="13"/>
        <v>300000</v>
      </c>
      <c r="U127" s="6">
        <f t="shared" si="14"/>
        <v>160000</v>
      </c>
      <c r="V127" s="5">
        <f t="shared" si="15"/>
        <v>0.34782608695652173</v>
      </c>
    </row>
    <row r="128" spans="1:22">
      <c r="A128" t="s">
        <v>318</v>
      </c>
      <c r="B128" s="4">
        <v>45906</v>
      </c>
      <c r="C128" t="s">
        <v>92</v>
      </c>
      <c r="D128" t="s">
        <v>93</v>
      </c>
      <c r="E128" t="s">
        <v>94</v>
      </c>
      <c r="F128" t="s">
        <v>319</v>
      </c>
      <c r="G128" t="s">
        <v>55</v>
      </c>
      <c r="H128" t="s">
        <v>86</v>
      </c>
      <c r="I128">
        <v>7</v>
      </c>
      <c r="J128" s="6">
        <v>92000</v>
      </c>
      <c r="K128" s="6">
        <v>60000</v>
      </c>
      <c r="L128" s="5">
        <v>0.1</v>
      </c>
      <c r="M128" t="s">
        <v>80</v>
      </c>
      <c r="N128" t="s">
        <v>58</v>
      </c>
      <c r="O128">
        <f t="shared" si="8"/>
        <v>9</v>
      </c>
      <c r="P128">
        <f t="shared" si="9"/>
        <v>3</v>
      </c>
      <c r="Q128" s="6">
        <f t="shared" si="10"/>
        <v>644000</v>
      </c>
      <c r="R128" s="6">
        <f t="shared" si="11"/>
        <v>64400</v>
      </c>
      <c r="S128" s="6">
        <f t="shared" si="12"/>
        <v>0</v>
      </c>
      <c r="T128" s="6">
        <f t="shared" si="13"/>
        <v>0</v>
      </c>
      <c r="U128" s="6">
        <f t="shared" si="14"/>
        <v>0</v>
      </c>
      <c r="V128" s="5">
        <f t="shared" si="15"/>
        <v>0</v>
      </c>
    </row>
    <row r="129" spans="1:22">
      <c r="A129" t="s">
        <v>320</v>
      </c>
      <c r="B129" s="4">
        <v>45916</v>
      </c>
      <c r="C129" t="s">
        <v>120</v>
      </c>
      <c r="D129" t="s">
        <v>61</v>
      </c>
      <c r="E129" t="s">
        <v>66</v>
      </c>
      <c r="F129" t="s">
        <v>321</v>
      </c>
      <c r="G129" t="s">
        <v>55</v>
      </c>
      <c r="H129" t="s">
        <v>56</v>
      </c>
      <c r="I129">
        <v>1</v>
      </c>
      <c r="J129" s="6">
        <v>138000</v>
      </c>
      <c r="K129" s="6">
        <v>99000</v>
      </c>
      <c r="L129" s="5">
        <v>0</v>
      </c>
      <c r="M129" t="s">
        <v>57</v>
      </c>
      <c r="N129" t="s">
        <v>70</v>
      </c>
      <c r="O129">
        <f t="shared" si="8"/>
        <v>9</v>
      </c>
      <c r="P129">
        <f t="shared" si="9"/>
        <v>3</v>
      </c>
      <c r="Q129" s="6">
        <f t="shared" si="10"/>
        <v>138000</v>
      </c>
      <c r="R129" s="6">
        <f t="shared" si="11"/>
        <v>0</v>
      </c>
      <c r="S129" s="6">
        <f t="shared" si="12"/>
        <v>138000</v>
      </c>
      <c r="T129" s="6">
        <f t="shared" si="13"/>
        <v>99000</v>
      </c>
      <c r="U129" s="6">
        <f t="shared" si="14"/>
        <v>39000</v>
      </c>
      <c r="V129" s="5">
        <f t="shared" si="15"/>
        <v>0.28260869565217389</v>
      </c>
    </row>
    <row r="130" spans="1:22">
      <c r="A130" t="s">
        <v>322</v>
      </c>
      <c r="B130" s="4">
        <v>45900</v>
      </c>
      <c r="C130" t="s">
        <v>111</v>
      </c>
      <c r="D130" t="s">
        <v>65</v>
      </c>
      <c r="E130" t="s">
        <v>94</v>
      </c>
      <c r="F130" t="s">
        <v>78</v>
      </c>
      <c r="G130" t="s">
        <v>68</v>
      </c>
      <c r="H130" t="s">
        <v>69</v>
      </c>
      <c r="I130">
        <v>1</v>
      </c>
      <c r="J130" s="6">
        <v>115000</v>
      </c>
      <c r="K130" s="6">
        <v>82000</v>
      </c>
      <c r="L130" s="5">
        <v>0.08</v>
      </c>
      <c r="M130" t="s">
        <v>57</v>
      </c>
      <c r="N130" t="s">
        <v>75</v>
      </c>
      <c r="O130">
        <f t="shared" ref="O130:O193" si="16">MONTH(B130)</f>
        <v>8</v>
      </c>
      <c r="P130">
        <f t="shared" ref="P130:P193" si="17">ROUNDUP(O130/3,0)</f>
        <v>3</v>
      </c>
      <c r="Q130" s="6">
        <f t="shared" ref="Q130:Q193" si="18">I130*J130</f>
        <v>115000</v>
      </c>
      <c r="R130" s="6">
        <f t="shared" ref="R130:R193" si="19">Q130*L130</f>
        <v>9200</v>
      </c>
      <c r="S130" s="6">
        <f t="shared" ref="S130:S193" si="20">IF(M130="Ganho",Q130-R130,0)</f>
        <v>105800</v>
      </c>
      <c r="T130" s="6">
        <f t="shared" ref="T130:T193" si="21">IF(M130="Ganho",I130*K130,0)</f>
        <v>82000</v>
      </c>
      <c r="U130" s="6">
        <f t="shared" ref="U130:U193" si="22">S130-T130</f>
        <v>23800</v>
      </c>
      <c r="V130" s="5">
        <f t="shared" ref="V130:V193" si="23">IFERROR(U130/S130,0)</f>
        <v>0.22495274102079396</v>
      </c>
    </row>
    <row r="131" spans="1:22">
      <c r="A131" t="s">
        <v>323</v>
      </c>
      <c r="B131" s="4">
        <v>45750</v>
      </c>
      <c r="C131" t="s">
        <v>120</v>
      </c>
      <c r="D131" t="s">
        <v>61</v>
      </c>
      <c r="E131" t="s">
        <v>66</v>
      </c>
      <c r="F131" t="s">
        <v>268</v>
      </c>
      <c r="G131" t="s">
        <v>68</v>
      </c>
      <c r="H131" t="s">
        <v>79</v>
      </c>
      <c r="I131">
        <v>1</v>
      </c>
      <c r="J131" s="6">
        <v>19000</v>
      </c>
      <c r="K131" s="6">
        <v>11500</v>
      </c>
      <c r="L131" s="5">
        <v>0.05</v>
      </c>
      <c r="M131" t="s">
        <v>57</v>
      </c>
      <c r="N131" t="s">
        <v>81</v>
      </c>
      <c r="O131">
        <f t="shared" si="16"/>
        <v>4</v>
      </c>
      <c r="P131">
        <f t="shared" si="17"/>
        <v>2</v>
      </c>
      <c r="Q131" s="6">
        <f t="shared" si="18"/>
        <v>19000</v>
      </c>
      <c r="R131" s="6">
        <f t="shared" si="19"/>
        <v>950</v>
      </c>
      <c r="S131" s="6">
        <f t="shared" si="20"/>
        <v>18050</v>
      </c>
      <c r="T131" s="6">
        <f t="shared" si="21"/>
        <v>11500</v>
      </c>
      <c r="U131" s="6">
        <f t="shared" si="22"/>
        <v>6550</v>
      </c>
      <c r="V131" s="5">
        <f t="shared" si="23"/>
        <v>0.36288088642659277</v>
      </c>
    </row>
    <row r="132" spans="1:22">
      <c r="A132" t="s">
        <v>324</v>
      </c>
      <c r="B132" s="4">
        <v>46001</v>
      </c>
      <c r="C132" t="s">
        <v>60</v>
      </c>
      <c r="D132" t="s">
        <v>52</v>
      </c>
      <c r="E132" t="s">
        <v>94</v>
      </c>
      <c r="F132" t="s">
        <v>325</v>
      </c>
      <c r="G132" t="s">
        <v>55</v>
      </c>
      <c r="H132" t="s">
        <v>86</v>
      </c>
      <c r="I132">
        <v>6</v>
      </c>
      <c r="J132" s="6">
        <v>92000</v>
      </c>
      <c r="K132" s="6">
        <v>60000</v>
      </c>
      <c r="L132" s="5">
        <v>0.05</v>
      </c>
      <c r="M132" t="s">
        <v>57</v>
      </c>
      <c r="N132" t="s">
        <v>58</v>
      </c>
      <c r="O132">
        <f t="shared" si="16"/>
        <v>12</v>
      </c>
      <c r="P132">
        <f t="shared" si="17"/>
        <v>4</v>
      </c>
      <c r="Q132" s="6">
        <f t="shared" si="18"/>
        <v>552000</v>
      </c>
      <c r="R132" s="6">
        <f t="shared" si="19"/>
        <v>27600</v>
      </c>
      <c r="S132" s="6">
        <f t="shared" si="20"/>
        <v>524400</v>
      </c>
      <c r="T132" s="6">
        <f t="shared" si="21"/>
        <v>360000</v>
      </c>
      <c r="U132" s="6">
        <f t="shared" si="22"/>
        <v>164400</v>
      </c>
      <c r="V132" s="5">
        <f t="shared" si="23"/>
        <v>0.31350114416475972</v>
      </c>
    </row>
    <row r="133" spans="1:22">
      <c r="A133" t="s">
        <v>326</v>
      </c>
      <c r="B133" s="4">
        <v>45800</v>
      </c>
      <c r="C133" t="s">
        <v>51</v>
      </c>
      <c r="D133" t="s">
        <v>93</v>
      </c>
      <c r="E133" t="s">
        <v>66</v>
      </c>
      <c r="F133" t="s">
        <v>327</v>
      </c>
      <c r="G133" t="s">
        <v>55</v>
      </c>
      <c r="H133" t="s">
        <v>56</v>
      </c>
      <c r="I133">
        <v>3</v>
      </c>
      <c r="J133" s="6">
        <v>138000</v>
      </c>
      <c r="K133" s="6">
        <v>99000</v>
      </c>
      <c r="L133" s="5">
        <v>0</v>
      </c>
      <c r="M133" t="s">
        <v>57</v>
      </c>
      <c r="N133" t="s">
        <v>70</v>
      </c>
      <c r="O133">
        <f t="shared" si="16"/>
        <v>5</v>
      </c>
      <c r="P133">
        <f t="shared" si="17"/>
        <v>2</v>
      </c>
      <c r="Q133" s="6">
        <f t="shared" si="18"/>
        <v>414000</v>
      </c>
      <c r="R133" s="6">
        <f t="shared" si="19"/>
        <v>0</v>
      </c>
      <c r="S133" s="6">
        <f t="shared" si="20"/>
        <v>414000</v>
      </c>
      <c r="T133" s="6">
        <f t="shared" si="21"/>
        <v>297000</v>
      </c>
      <c r="U133" s="6">
        <f t="shared" si="22"/>
        <v>117000</v>
      </c>
      <c r="V133" s="5">
        <f t="shared" si="23"/>
        <v>0.28260869565217389</v>
      </c>
    </row>
    <row r="134" spans="1:22">
      <c r="A134" t="s">
        <v>328</v>
      </c>
      <c r="B134" s="4">
        <v>45864</v>
      </c>
      <c r="C134" t="s">
        <v>60</v>
      </c>
      <c r="D134" t="s">
        <v>106</v>
      </c>
      <c r="E134" t="s">
        <v>94</v>
      </c>
      <c r="F134" t="s">
        <v>329</v>
      </c>
      <c r="G134" t="s">
        <v>89</v>
      </c>
      <c r="H134" t="s">
        <v>98</v>
      </c>
      <c r="I134">
        <v>3</v>
      </c>
      <c r="J134" s="6">
        <v>16500</v>
      </c>
      <c r="K134" s="6">
        <v>10000</v>
      </c>
      <c r="L134" s="5">
        <v>0.12</v>
      </c>
      <c r="M134" t="s">
        <v>57</v>
      </c>
      <c r="N134" t="s">
        <v>58</v>
      </c>
      <c r="O134">
        <f t="shared" si="16"/>
        <v>7</v>
      </c>
      <c r="P134">
        <f t="shared" si="17"/>
        <v>3</v>
      </c>
      <c r="Q134" s="6">
        <f t="shared" si="18"/>
        <v>49500</v>
      </c>
      <c r="R134" s="6">
        <f t="shared" si="19"/>
        <v>5940</v>
      </c>
      <c r="S134" s="6">
        <f t="shared" si="20"/>
        <v>43560</v>
      </c>
      <c r="T134" s="6">
        <f t="shared" si="21"/>
        <v>30000</v>
      </c>
      <c r="U134" s="6">
        <f t="shared" si="22"/>
        <v>13560</v>
      </c>
      <c r="V134" s="5">
        <f t="shared" si="23"/>
        <v>0.31129476584022037</v>
      </c>
    </row>
    <row r="135" spans="1:22">
      <c r="A135" t="s">
        <v>330</v>
      </c>
      <c r="B135" s="4">
        <v>45711</v>
      </c>
      <c r="C135" t="s">
        <v>92</v>
      </c>
      <c r="D135" t="s">
        <v>61</v>
      </c>
      <c r="E135" t="s">
        <v>53</v>
      </c>
      <c r="F135" t="s">
        <v>331</v>
      </c>
      <c r="G135" t="s">
        <v>89</v>
      </c>
      <c r="H135" t="s">
        <v>98</v>
      </c>
      <c r="I135">
        <v>4</v>
      </c>
      <c r="J135" s="6">
        <v>16500</v>
      </c>
      <c r="K135" s="6">
        <v>10000</v>
      </c>
      <c r="L135" s="5">
        <v>0.1</v>
      </c>
      <c r="M135" t="s">
        <v>57</v>
      </c>
      <c r="N135" t="s">
        <v>70</v>
      </c>
      <c r="O135">
        <f t="shared" si="16"/>
        <v>2</v>
      </c>
      <c r="P135">
        <f t="shared" si="17"/>
        <v>1</v>
      </c>
      <c r="Q135" s="6">
        <f t="shared" si="18"/>
        <v>66000</v>
      </c>
      <c r="R135" s="6">
        <f t="shared" si="19"/>
        <v>6600</v>
      </c>
      <c r="S135" s="6">
        <f t="shared" si="20"/>
        <v>59400</v>
      </c>
      <c r="T135" s="6">
        <f t="shared" si="21"/>
        <v>40000</v>
      </c>
      <c r="U135" s="6">
        <f t="shared" si="22"/>
        <v>19400</v>
      </c>
      <c r="V135" s="5">
        <f t="shared" si="23"/>
        <v>0.32659932659932661</v>
      </c>
    </row>
    <row r="136" spans="1:22">
      <c r="A136" t="s">
        <v>332</v>
      </c>
      <c r="B136" s="4">
        <v>45865</v>
      </c>
      <c r="C136" t="s">
        <v>83</v>
      </c>
      <c r="D136" t="s">
        <v>106</v>
      </c>
      <c r="E136" t="s">
        <v>84</v>
      </c>
      <c r="F136" t="s">
        <v>210</v>
      </c>
      <c r="G136" t="s">
        <v>68</v>
      </c>
      <c r="H136" t="s">
        <v>104</v>
      </c>
      <c r="I136">
        <v>5</v>
      </c>
      <c r="J136" s="6">
        <v>320000</v>
      </c>
      <c r="K136" s="6">
        <v>244000</v>
      </c>
      <c r="L136" s="5">
        <v>0.03</v>
      </c>
      <c r="M136" t="s">
        <v>57</v>
      </c>
      <c r="N136" t="s">
        <v>81</v>
      </c>
      <c r="O136">
        <f t="shared" si="16"/>
        <v>7</v>
      </c>
      <c r="P136">
        <f t="shared" si="17"/>
        <v>3</v>
      </c>
      <c r="Q136" s="6">
        <f t="shared" si="18"/>
        <v>1600000</v>
      </c>
      <c r="R136" s="6">
        <f t="shared" si="19"/>
        <v>48000</v>
      </c>
      <c r="S136" s="6">
        <f t="shared" si="20"/>
        <v>1552000</v>
      </c>
      <c r="T136" s="6">
        <f t="shared" si="21"/>
        <v>1220000</v>
      </c>
      <c r="U136" s="6">
        <f t="shared" si="22"/>
        <v>332000</v>
      </c>
      <c r="V136" s="5">
        <f t="shared" si="23"/>
        <v>0.21391752577319587</v>
      </c>
    </row>
    <row r="137" spans="1:22">
      <c r="A137" t="s">
        <v>333</v>
      </c>
      <c r="B137" s="4">
        <v>45983</v>
      </c>
      <c r="C137" t="s">
        <v>77</v>
      </c>
      <c r="D137" t="s">
        <v>61</v>
      </c>
      <c r="E137" t="s">
        <v>53</v>
      </c>
      <c r="F137" t="s">
        <v>304</v>
      </c>
      <c r="G137" t="s">
        <v>55</v>
      </c>
      <c r="H137" t="s">
        <v>86</v>
      </c>
      <c r="I137">
        <v>5</v>
      </c>
      <c r="J137" s="6">
        <v>92000</v>
      </c>
      <c r="K137" s="6">
        <v>60000</v>
      </c>
      <c r="L137" s="5">
        <v>0</v>
      </c>
      <c r="M137" t="s">
        <v>57</v>
      </c>
      <c r="N137" t="s">
        <v>75</v>
      </c>
      <c r="O137">
        <f t="shared" si="16"/>
        <v>11</v>
      </c>
      <c r="P137">
        <f t="shared" si="17"/>
        <v>4</v>
      </c>
      <c r="Q137" s="6">
        <f t="shared" si="18"/>
        <v>460000</v>
      </c>
      <c r="R137" s="6">
        <f t="shared" si="19"/>
        <v>0</v>
      </c>
      <c r="S137" s="6">
        <f t="shared" si="20"/>
        <v>460000</v>
      </c>
      <c r="T137" s="6">
        <f t="shared" si="21"/>
        <v>300000</v>
      </c>
      <c r="U137" s="6">
        <f t="shared" si="22"/>
        <v>160000</v>
      </c>
      <c r="V137" s="5">
        <f t="shared" si="23"/>
        <v>0.34782608695652173</v>
      </c>
    </row>
    <row r="138" spans="1:22">
      <c r="A138" t="s">
        <v>334</v>
      </c>
      <c r="B138" s="4">
        <v>45811</v>
      </c>
      <c r="C138" t="s">
        <v>92</v>
      </c>
      <c r="D138" t="s">
        <v>61</v>
      </c>
      <c r="E138" t="s">
        <v>94</v>
      </c>
      <c r="F138" t="s">
        <v>335</v>
      </c>
      <c r="G138" t="s">
        <v>68</v>
      </c>
      <c r="H138" t="s">
        <v>104</v>
      </c>
      <c r="I138">
        <v>6</v>
      </c>
      <c r="J138" s="6">
        <v>320000</v>
      </c>
      <c r="K138" s="6">
        <v>244000</v>
      </c>
      <c r="L138" s="5">
        <v>0</v>
      </c>
      <c r="M138" t="s">
        <v>57</v>
      </c>
      <c r="N138" t="s">
        <v>81</v>
      </c>
      <c r="O138">
        <f t="shared" si="16"/>
        <v>6</v>
      </c>
      <c r="P138">
        <f t="shared" si="17"/>
        <v>2</v>
      </c>
      <c r="Q138" s="6">
        <f t="shared" si="18"/>
        <v>1920000</v>
      </c>
      <c r="R138" s="6">
        <f t="shared" si="19"/>
        <v>0</v>
      </c>
      <c r="S138" s="6">
        <f t="shared" si="20"/>
        <v>1920000</v>
      </c>
      <c r="T138" s="6">
        <f t="shared" si="21"/>
        <v>1464000</v>
      </c>
      <c r="U138" s="6">
        <f t="shared" si="22"/>
        <v>456000</v>
      </c>
      <c r="V138" s="5">
        <f t="shared" si="23"/>
        <v>0.23749999999999999</v>
      </c>
    </row>
    <row r="139" spans="1:22">
      <c r="A139" t="s">
        <v>336</v>
      </c>
      <c r="B139" s="4">
        <v>45793</v>
      </c>
      <c r="C139" t="s">
        <v>51</v>
      </c>
      <c r="D139" t="s">
        <v>61</v>
      </c>
      <c r="E139" t="s">
        <v>94</v>
      </c>
      <c r="F139" t="s">
        <v>337</v>
      </c>
      <c r="G139" t="s">
        <v>55</v>
      </c>
      <c r="H139" t="s">
        <v>115</v>
      </c>
      <c r="I139">
        <v>3</v>
      </c>
      <c r="J139" s="6">
        <v>105000</v>
      </c>
      <c r="K139" s="6">
        <v>76000</v>
      </c>
      <c r="L139" s="5">
        <v>0.1</v>
      </c>
      <c r="M139" t="s">
        <v>57</v>
      </c>
      <c r="N139" t="s">
        <v>58</v>
      </c>
      <c r="O139">
        <f t="shared" si="16"/>
        <v>5</v>
      </c>
      <c r="P139">
        <f t="shared" si="17"/>
        <v>2</v>
      </c>
      <c r="Q139" s="6">
        <f t="shared" si="18"/>
        <v>315000</v>
      </c>
      <c r="R139" s="6">
        <f t="shared" si="19"/>
        <v>31500</v>
      </c>
      <c r="S139" s="6">
        <f t="shared" si="20"/>
        <v>283500</v>
      </c>
      <c r="T139" s="6">
        <f t="shared" si="21"/>
        <v>228000</v>
      </c>
      <c r="U139" s="6">
        <f t="shared" si="22"/>
        <v>55500</v>
      </c>
      <c r="V139" s="5">
        <f t="shared" si="23"/>
        <v>0.19576719576719576</v>
      </c>
    </row>
    <row r="140" spans="1:22">
      <c r="A140" t="s">
        <v>338</v>
      </c>
      <c r="B140" s="4">
        <v>45880</v>
      </c>
      <c r="C140" t="s">
        <v>92</v>
      </c>
      <c r="D140" t="s">
        <v>61</v>
      </c>
      <c r="E140" t="s">
        <v>94</v>
      </c>
      <c r="F140" t="s">
        <v>250</v>
      </c>
      <c r="G140" t="s">
        <v>55</v>
      </c>
      <c r="H140" t="s">
        <v>115</v>
      </c>
      <c r="I140">
        <v>6</v>
      </c>
      <c r="J140" s="6">
        <v>105000</v>
      </c>
      <c r="K140" s="6">
        <v>76000</v>
      </c>
      <c r="L140" s="5">
        <v>0.1</v>
      </c>
      <c r="M140" t="s">
        <v>57</v>
      </c>
      <c r="N140" t="s">
        <v>58</v>
      </c>
      <c r="O140">
        <f t="shared" si="16"/>
        <v>8</v>
      </c>
      <c r="P140">
        <f t="shared" si="17"/>
        <v>3</v>
      </c>
      <c r="Q140" s="6">
        <f t="shared" si="18"/>
        <v>630000</v>
      </c>
      <c r="R140" s="6">
        <f t="shared" si="19"/>
        <v>63000</v>
      </c>
      <c r="S140" s="6">
        <f t="shared" si="20"/>
        <v>567000</v>
      </c>
      <c r="T140" s="6">
        <f t="shared" si="21"/>
        <v>456000</v>
      </c>
      <c r="U140" s="6">
        <f t="shared" si="22"/>
        <v>111000</v>
      </c>
      <c r="V140" s="5">
        <f t="shared" si="23"/>
        <v>0.19576719576719576</v>
      </c>
    </row>
    <row r="141" spans="1:22">
      <c r="A141" t="s">
        <v>339</v>
      </c>
      <c r="B141" s="4">
        <v>45933</v>
      </c>
      <c r="C141" t="s">
        <v>102</v>
      </c>
      <c r="D141" t="s">
        <v>61</v>
      </c>
      <c r="E141" t="s">
        <v>53</v>
      </c>
      <c r="F141" t="s">
        <v>178</v>
      </c>
      <c r="G141" t="s">
        <v>55</v>
      </c>
      <c r="H141" t="s">
        <v>56</v>
      </c>
      <c r="I141">
        <v>7</v>
      </c>
      <c r="J141" s="6">
        <v>138000</v>
      </c>
      <c r="K141" s="6">
        <v>99000</v>
      </c>
      <c r="L141" s="5">
        <v>0</v>
      </c>
      <c r="M141" t="s">
        <v>57</v>
      </c>
      <c r="N141" t="s">
        <v>70</v>
      </c>
      <c r="O141">
        <f t="shared" si="16"/>
        <v>10</v>
      </c>
      <c r="P141">
        <f t="shared" si="17"/>
        <v>4</v>
      </c>
      <c r="Q141" s="6">
        <f t="shared" si="18"/>
        <v>966000</v>
      </c>
      <c r="R141" s="6">
        <f t="shared" si="19"/>
        <v>0</v>
      </c>
      <c r="S141" s="6">
        <f t="shared" si="20"/>
        <v>966000</v>
      </c>
      <c r="T141" s="6">
        <f t="shared" si="21"/>
        <v>693000</v>
      </c>
      <c r="U141" s="6">
        <f t="shared" si="22"/>
        <v>273000</v>
      </c>
      <c r="V141" s="5">
        <f t="shared" si="23"/>
        <v>0.28260869565217389</v>
      </c>
    </row>
    <row r="142" spans="1:22">
      <c r="A142" t="s">
        <v>340</v>
      </c>
      <c r="B142" s="4">
        <v>45677</v>
      </c>
      <c r="C142" t="s">
        <v>102</v>
      </c>
      <c r="D142" t="s">
        <v>61</v>
      </c>
      <c r="E142" t="s">
        <v>84</v>
      </c>
      <c r="F142" t="s">
        <v>341</v>
      </c>
      <c r="G142" t="s">
        <v>68</v>
      </c>
      <c r="H142" t="s">
        <v>79</v>
      </c>
      <c r="I142">
        <v>1</v>
      </c>
      <c r="J142" s="6">
        <v>19000</v>
      </c>
      <c r="K142" s="6">
        <v>11500</v>
      </c>
      <c r="L142" s="5">
        <v>0</v>
      </c>
      <c r="M142" t="s">
        <v>109</v>
      </c>
      <c r="N142" t="s">
        <v>63</v>
      </c>
      <c r="O142">
        <f t="shared" si="16"/>
        <v>1</v>
      </c>
      <c r="P142">
        <f t="shared" si="17"/>
        <v>1</v>
      </c>
      <c r="Q142" s="6">
        <f t="shared" si="18"/>
        <v>19000</v>
      </c>
      <c r="R142" s="6">
        <f t="shared" si="19"/>
        <v>0</v>
      </c>
      <c r="S142" s="6">
        <f t="shared" si="20"/>
        <v>0</v>
      </c>
      <c r="T142" s="6">
        <f t="shared" si="21"/>
        <v>0</v>
      </c>
      <c r="U142" s="6">
        <f t="shared" si="22"/>
        <v>0</v>
      </c>
      <c r="V142" s="5">
        <f t="shared" si="23"/>
        <v>0</v>
      </c>
    </row>
    <row r="143" spans="1:22">
      <c r="A143" t="s">
        <v>342</v>
      </c>
      <c r="B143" s="4">
        <v>45855</v>
      </c>
      <c r="C143" t="s">
        <v>60</v>
      </c>
      <c r="D143" t="s">
        <v>61</v>
      </c>
      <c r="E143" t="s">
        <v>66</v>
      </c>
      <c r="F143" t="s">
        <v>238</v>
      </c>
      <c r="G143" t="s">
        <v>55</v>
      </c>
      <c r="H143" t="s">
        <v>56</v>
      </c>
      <c r="I143">
        <v>2</v>
      </c>
      <c r="J143" s="6">
        <v>138000</v>
      </c>
      <c r="K143" s="6">
        <v>99000</v>
      </c>
      <c r="L143" s="5">
        <v>0</v>
      </c>
      <c r="M143" t="s">
        <v>80</v>
      </c>
      <c r="N143" t="s">
        <v>63</v>
      </c>
      <c r="O143">
        <f t="shared" si="16"/>
        <v>7</v>
      </c>
      <c r="P143">
        <f t="shared" si="17"/>
        <v>3</v>
      </c>
      <c r="Q143" s="6">
        <f t="shared" si="18"/>
        <v>276000</v>
      </c>
      <c r="R143" s="6">
        <f t="shared" si="19"/>
        <v>0</v>
      </c>
      <c r="S143" s="6">
        <f t="shared" si="20"/>
        <v>0</v>
      </c>
      <c r="T143" s="6">
        <f t="shared" si="21"/>
        <v>0</v>
      </c>
      <c r="U143" s="6">
        <f t="shared" si="22"/>
        <v>0</v>
      </c>
      <c r="V143" s="5">
        <f t="shared" si="23"/>
        <v>0</v>
      </c>
    </row>
    <row r="144" spans="1:22">
      <c r="A144" t="s">
        <v>343</v>
      </c>
      <c r="B144" s="4">
        <v>45774</v>
      </c>
      <c r="C144" t="s">
        <v>111</v>
      </c>
      <c r="D144" t="s">
        <v>106</v>
      </c>
      <c r="E144" t="s">
        <v>66</v>
      </c>
      <c r="F144" t="s">
        <v>344</v>
      </c>
      <c r="G144" t="s">
        <v>68</v>
      </c>
      <c r="H144" t="s">
        <v>104</v>
      </c>
      <c r="I144">
        <v>7</v>
      </c>
      <c r="J144" s="6">
        <v>320000</v>
      </c>
      <c r="K144" s="6">
        <v>244000</v>
      </c>
      <c r="L144" s="5">
        <v>0.03</v>
      </c>
      <c r="M144" t="s">
        <v>57</v>
      </c>
      <c r="N144" t="s">
        <v>58</v>
      </c>
      <c r="O144">
        <f t="shared" si="16"/>
        <v>4</v>
      </c>
      <c r="P144">
        <f t="shared" si="17"/>
        <v>2</v>
      </c>
      <c r="Q144" s="6">
        <f t="shared" si="18"/>
        <v>2240000</v>
      </c>
      <c r="R144" s="6">
        <f t="shared" si="19"/>
        <v>67200</v>
      </c>
      <c r="S144" s="6">
        <f t="shared" si="20"/>
        <v>2172800</v>
      </c>
      <c r="T144" s="6">
        <f t="shared" si="21"/>
        <v>1708000</v>
      </c>
      <c r="U144" s="6">
        <f t="shared" si="22"/>
        <v>464800</v>
      </c>
      <c r="V144" s="5">
        <f t="shared" si="23"/>
        <v>0.21391752577319587</v>
      </c>
    </row>
    <row r="145" spans="1:22">
      <c r="A145" t="s">
        <v>345</v>
      </c>
      <c r="B145" s="4">
        <v>45951</v>
      </c>
      <c r="C145" t="s">
        <v>77</v>
      </c>
      <c r="D145" t="s">
        <v>106</v>
      </c>
      <c r="E145" t="s">
        <v>94</v>
      </c>
      <c r="F145" t="s">
        <v>346</v>
      </c>
      <c r="G145" t="s">
        <v>68</v>
      </c>
      <c r="H145" t="s">
        <v>79</v>
      </c>
      <c r="I145">
        <v>1</v>
      </c>
      <c r="J145" s="6">
        <v>19000</v>
      </c>
      <c r="K145" s="6">
        <v>11500</v>
      </c>
      <c r="L145" s="5">
        <v>0</v>
      </c>
      <c r="M145" t="s">
        <v>57</v>
      </c>
      <c r="N145" t="s">
        <v>70</v>
      </c>
      <c r="O145">
        <f t="shared" si="16"/>
        <v>10</v>
      </c>
      <c r="P145">
        <f t="shared" si="17"/>
        <v>4</v>
      </c>
      <c r="Q145" s="6">
        <f t="shared" si="18"/>
        <v>19000</v>
      </c>
      <c r="R145" s="6">
        <f t="shared" si="19"/>
        <v>0</v>
      </c>
      <c r="S145" s="6">
        <f t="shared" si="20"/>
        <v>19000</v>
      </c>
      <c r="T145" s="6">
        <f t="shared" si="21"/>
        <v>11500</v>
      </c>
      <c r="U145" s="6">
        <f t="shared" si="22"/>
        <v>7500</v>
      </c>
      <c r="V145" s="5">
        <f t="shared" si="23"/>
        <v>0.39473684210526316</v>
      </c>
    </row>
    <row r="146" spans="1:22">
      <c r="A146" t="s">
        <v>347</v>
      </c>
      <c r="B146" s="4">
        <v>45915</v>
      </c>
      <c r="C146" t="s">
        <v>83</v>
      </c>
      <c r="D146" t="s">
        <v>106</v>
      </c>
      <c r="E146" t="s">
        <v>94</v>
      </c>
      <c r="F146" t="s">
        <v>280</v>
      </c>
      <c r="G146" t="s">
        <v>89</v>
      </c>
      <c r="H146" t="s">
        <v>90</v>
      </c>
      <c r="I146">
        <v>1</v>
      </c>
      <c r="J146" s="6">
        <v>5900</v>
      </c>
      <c r="K146" s="6">
        <v>3700</v>
      </c>
      <c r="L146" s="5">
        <v>0</v>
      </c>
      <c r="M146" t="s">
        <v>80</v>
      </c>
      <c r="N146" t="s">
        <v>63</v>
      </c>
      <c r="O146">
        <f t="shared" si="16"/>
        <v>9</v>
      </c>
      <c r="P146">
        <f t="shared" si="17"/>
        <v>3</v>
      </c>
      <c r="Q146" s="6">
        <f t="shared" si="18"/>
        <v>5900</v>
      </c>
      <c r="R146" s="6">
        <f t="shared" si="19"/>
        <v>0</v>
      </c>
      <c r="S146" s="6">
        <f t="shared" si="20"/>
        <v>0</v>
      </c>
      <c r="T146" s="6">
        <f t="shared" si="21"/>
        <v>0</v>
      </c>
      <c r="U146" s="6">
        <f t="shared" si="22"/>
        <v>0</v>
      </c>
      <c r="V146" s="5">
        <f t="shared" si="23"/>
        <v>0</v>
      </c>
    </row>
    <row r="147" spans="1:22">
      <c r="A147" t="s">
        <v>348</v>
      </c>
      <c r="B147" s="4">
        <v>45679</v>
      </c>
      <c r="C147" t="s">
        <v>60</v>
      </c>
      <c r="D147" t="s">
        <v>61</v>
      </c>
      <c r="E147" t="s">
        <v>73</v>
      </c>
      <c r="F147" t="s">
        <v>349</v>
      </c>
      <c r="G147" t="s">
        <v>68</v>
      </c>
      <c r="H147" t="s">
        <v>108</v>
      </c>
      <c r="I147">
        <v>2</v>
      </c>
      <c r="J147" s="6">
        <v>175000</v>
      </c>
      <c r="K147" s="6">
        <v>129000</v>
      </c>
      <c r="L147" s="5">
        <v>0.1</v>
      </c>
      <c r="M147" t="s">
        <v>57</v>
      </c>
      <c r="N147" t="s">
        <v>81</v>
      </c>
      <c r="O147">
        <f t="shared" si="16"/>
        <v>1</v>
      </c>
      <c r="P147">
        <f t="shared" si="17"/>
        <v>1</v>
      </c>
      <c r="Q147" s="6">
        <f t="shared" si="18"/>
        <v>350000</v>
      </c>
      <c r="R147" s="6">
        <f t="shared" si="19"/>
        <v>35000</v>
      </c>
      <c r="S147" s="6">
        <f t="shared" si="20"/>
        <v>315000</v>
      </c>
      <c r="T147" s="6">
        <f t="shared" si="21"/>
        <v>258000</v>
      </c>
      <c r="U147" s="6">
        <f t="shared" si="22"/>
        <v>57000</v>
      </c>
      <c r="V147" s="5">
        <f t="shared" si="23"/>
        <v>0.18095238095238095</v>
      </c>
    </row>
    <row r="148" spans="1:22">
      <c r="A148" t="s">
        <v>350</v>
      </c>
      <c r="B148" s="4">
        <v>45669</v>
      </c>
      <c r="C148" t="s">
        <v>92</v>
      </c>
      <c r="D148" t="s">
        <v>61</v>
      </c>
      <c r="E148" t="s">
        <v>73</v>
      </c>
      <c r="F148" t="s">
        <v>351</v>
      </c>
      <c r="G148" t="s">
        <v>68</v>
      </c>
      <c r="H148" t="s">
        <v>69</v>
      </c>
      <c r="I148">
        <v>2</v>
      </c>
      <c r="J148" s="6">
        <v>115000</v>
      </c>
      <c r="K148" s="6">
        <v>82000</v>
      </c>
      <c r="L148" s="5">
        <v>0.08</v>
      </c>
      <c r="M148" t="s">
        <v>80</v>
      </c>
      <c r="N148" t="s">
        <v>58</v>
      </c>
      <c r="O148">
        <f t="shared" si="16"/>
        <v>1</v>
      </c>
      <c r="P148">
        <f t="shared" si="17"/>
        <v>1</v>
      </c>
      <c r="Q148" s="6">
        <f t="shared" si="18"/>
        <v>230000</v>
      </c>
      <c r="R148" s="6">
        <f t="shared" si="19"/>
        <v>18400</v>
      </c>
      <c r="S148" s="6">
        <f t="shared" si="20"/>
        <v>0</v>
      </c>
      <c r="T148" s="6">
        <f t="shared" si="21"/>
        <v>0</v>
      </c>
      <c r="U148" s="6">
        <f t="shared" si="22"/>
        <v>0</v>
      </c>
      <c r="V148" s="5">
        <f t="shared" si="23"/>
        <v>0</v>
      </c>
    </row>
    <row r="149" spans="1:22">
      <c r="A149" t="s">
        <v>352</v>
      </c>
      <c r="B149" s="4">
        <v>45892</v>
      </c>
      <c r="C149" t="s">
        <v>83</v>
      </c>
      <c r="D149" t="s">
        <v>61</v>
      </c>
      <c r="E149" t="s">
        <v>53</v>
      </c>
      <c r="F149" t="s">
        <v>353</v>
      </c>
      <c r="G149" t="s">
        <v>89</v>
      </c>
      <c r="H149" t="s">
        <v>98</v>
      </c>
      <c r="I149">
        <v>1</v>
      </c>
      <c r="J149" s="6">
        <v>16500</v>
      </c>
      <c r="K149" s="6">
        <v>10000</v>
      </c>
      <c r="L149" s="5">
        <v>0</v>
      </c>
      <c r="M149" t="s">
        <v>57</v>
      </c>
      <c r="N149" t="s">
        <v>63</v>
      </c>
      <c r="O149">
        <f t="shared" si="16"/>
        <v>8</v>
      </c>
      <c r="P149">
        <f t="shared" si="17"/>
        <v>3</v>
      </c>
      <c r="Q149" s="6">
        <f t="shared" si="18"/>
        <v>16500</v>
      </c>
      <c r="R149" s="6">
        <f t="shared" si="19"/>
        <v>0</v>
      </c>
      <c r="S149" s="6">
        <f t="shared" si="20"/>
        <v>16500</v>
      </c>
      <c r="T149" s="6">
        <f t="shared" si="21"/>
        <v>10000</v>
      </c>
      <c r="U149" s="6">
        <f t="shared" si="22"/>
        <v>6500</v>
      </c>
      <c r="V149" s="5">
        <f t="shared" si="23"/>
        <v>0.39393939393939392</v>
      </c>
    </row>
    <row r="150" spans="1:22">
      <c r="A150" t="s">
        <v>354</v>
      </c>
      <c r="B150" s="4">
        <v>45885</v>
      </c>
      <c r="C150" t="s">
        <v>92</v>
      </c>
      <c r="D150" t="s">
        <v>106</v>
      </c>
      <c r="E150" t="s">
        <v>94</v>
      </c>
      <c r="F150" t="s">
        <v>355</v>
      </c>
      <c r="G150" t="s">
        <v>68</v>
      </c>
      <c r="H150" t="s">
        <v>79</v>
      </c>
      <c r="I150">
        <v>1</v>
      </c>
      <c r="J150" s="6">
        <v>19000</v>
      </c>
      <c r="K150" s="6">
        <v>11500</v>
      </c>
      <c r="L150" s="5">
        <v>0.08</v>
      </c>
      <c r="M150" t="s">
        <v>57</v>
      </c>
      <c r="N150" t="s">
        <v>58</v>
      </c>
      <c r="O150">
        <f t="shared" si="16"/>
        <v>8</v>
      </c>
      <c r="P150">
        <f t="shared" si="17"/>
        <v>3</v>
      </c>
      <c r="Q150" s="6">
        <f t="shared" si="18"/>
        <v>19000</v>
      </c>
      <c r="R150" s="6">
        <f t="shared" si="19"/>
        <v>1520</v>
      </c>
      <c r="S150" s="6">
        <f t="shared" si="20"/>
        <v>17480</v>
      </c>
      <c r="T150" s="6">
        <f t="shared" si="21"/>
        <v>11500</v>
      </c>
      <c r="U150" s="6">
        <f t="shared" si="22"/>
        <v>5980</v>
      </c>
      <c r="V150" s="5">
        <f t="shared" si="23"/>
        <v>0.34210526315789475</v>
      </c>
    </row>
    <row r="151" spans="1:22">
      <c r="A151" t="s">
        <v>356</v>
      </c>
      <c r="B151" s="4">
        <v>45675</v>
      </c>
      <c r="C151" t="s">
        <v>77</v>
      </c>
      <c r="D151" t="s">
        <v>93</v>
      </c>
      <c r="E151" t="s">
        <v>53</v>
      </c>
      <c r="F151" t="s">
        <v>357</v>
      </c>
      <c r="G151" t="s">
        <v>55</v>
      </c>
      <c r="H151" t="s">
        <v>115</v>
      </c>
      <c r="I151">
        <v>2</v>
      </c>
      <c r="J151" s="6">
        <v>105000</v>
      </c>
      <c r="K151" s="6">
        <v>76000</v>
      </c>
      <c r="L151" s="5">
        <v>0</v>
      </c>
      <c r="M151" t="s">
        <v>57</v>
      </c>
      <c r="N151" t="s">
        <v>58</v>
      </c>
      <c r="O151">
        <f t="shared" si="16"/>
        <v>1</v>
      </c>
      <c r="P151">
        <f t="shared" si="17"/>
        <v>1</v>
      </c>
      <c r="Q151" s="6">
        <f t="shared" si="18"/>
        <v>210000</v>
      </c>
      <c r="R151" s="6">
        <f t="shared" si="19"/>
        <v>0</v>
      </c>
      <c r="S151" s="6">
        <f t="shared" si="20"/>
        <v>210000</v>
      </c>
      <c r="T151" s="6">
        <f t="shared" si="21"/>
        <v>152000</v>
      </c>
      <c r="U151" s="6">
        <f t="shared" si="22"/>
        <v>58000</v>
      </c>
      <c r="V151" s="5">
        <f t="shared" si="23"/>
        <v>0.27619047619047621</v>
      </c>
    </row>
    <row r="152" spans="1:22">
      <c r="A152" t="s">
        <v>358</v>
      </c>
      <c r="B152" s="4">
        <v>45928</v>
      </c>
      <c r="C152" t="s">
        <v>111</v>
      </c>
      <c r="D152" t="s">
        <v>106</v>
      </c>
      <c r="E152" t="s">
        <v>53</v>
      </c>
      <c r="F152" t="s">
        <v>123</v>
      </c>
      <c r="G152" t="s">
        <v>55</v>
      </c>
      <c r="H152" t="s">
        <v>86</v>
      </c>
      <c r="I152">
        <v>4</v>
      </c>
      <c r="J152" s="6">
        <v>92000</v>
      </c>
      <c r="K152" s="6">
        <v>60000</v>
      </c>
      <c r="L152" s="5">
        <v>0</v>
      </c>
      <c r="M152" t="s">
        <v>57</v>
      </c>
      <c r="N152" t="s">
        <v>70</v>
      </c>
      <c r="O152">
        <f t="shared" si="16"/>
        <v>9</v>
      </c>
      <c r="P152">
        <f t="shared" si="17"/>
        <v>3</v>
      </c>
      <c r="Q152" s="6">
        <f t="shared" si="18"/>
        <v>368000</v>
      </c>
      <c r="R152" s="6">
        <f t="shared" si="19"/>
        <v>0</v>
      </c>
      <c r="S152" s="6">
        <f t="shared" si="20"/>
        <v>368000</v>
      </c>
      <c r="T152" s="6">
        <f t="shared" si="21"/>
        <v>240000</v>
      </c>
      <c r="U152" s="6">
        <f t="shared" si="22"/>
        <v>128000</v>
      </c>
      <c r="V152" s="5">
        <f t="shared" si="23"/>
        <v>0.34782608695652173</v>
      </c>
    </row>
    <row r="153" spans="1:22">
      <c r="A153" t="s">
        <v>359</v>
      </c>
      <c r="B153" s="4">
        <v>45857</v>
      </c>
      <c r="C153" t="s">
        <v>120</v>
      </c>
      <c r="D153" t="s">
        <v>61</v>
      </c>
      <c r="E153" t="s">
        <v>53</v>
      </c>
      <c r="F153" t="s">
        <v>331</v>
      </c>
      <c r="G153" t="s">
        <v>68</v>
      </c>
      <c r="H153" t="s">
        <v>79</v>
      </c>
      <c r="I153">
        <v>8</v>
      </c>
      <c r="J153" s="6">
        <v>19000</v>
      </c>
      <c r="K153" s="6">
        <v>11500</v>
      </c>
      <c r="L153" s="5">
        <v>0.1</v>
      </c>
      <c r="M153" t="s">
        <v>109</v>
      </c>
      <c r="N153" t="s">
        <v>70</v>
      </c>
      <c r="O153">
        <f t="shared" si="16"/>
        <v>7</v>
      </c>
      <c r="P153">
        <f t="shared" si="17"/>
        <v>3</v>
      </c>
      <c r="Q153" s="6">
        <f t="shared" si="18"/>
        <v>152000</v>
      </c>
      <c r="R153" s="6">
        <f t="shared" si="19"/>
        <v>15200</v>
      </c>
      <c r="S153" s="6">
        <f t="shared" si="20"/>
        <v>0</v>
      </c>
      <c r="T153" s="6">
        <f t="shared" si="21"/>
        <v>0</v>
      </c>
      <c r="U153" s="6">
        <f t="shared" si="22"/>
        <v>0</v>
      </c>
      <c r="V153" s="5">
        <f t="shared" si="23"/>
        <v>0</v>
      </c>
    </row>
    <row r="154" spans="1:22">
      <c r="A154" t="s">
        <v>360</v>
      </c>
      <c r="B154" s="4">
        <v>45738</v>
      </c>
      <c r="C154" t="s">
        <v>120</v>
      </c>
      <c r="D154" t="s">
        <v>106</v>
      </c>
      <c r="E154" t="s">
        <v>94</v>
      </c>
      <c r="F154" t="s">
        <v>361</v>
      </c>
      <c r="G154" t="s">
        <v>68</v>
      </c>
      <c r="H154" t="s">
        <v>79</v>
      </c>
      <c r="I154">
        <v>3</v>
      </c>
      <c r="J154" s="6">
        <v>19000</v>
      </c>
      <c r="K154" s="6">
        <v>11500</v>
      </c>
      <c r="L154" s="5">
        <v>0.12</v>
      </c>
      <c r="M154" t="s">
        <v>57</v>
      </c>
      <c r="N154" t="s">
        <v>70</v>
      </c>
      <c r="O154">
        <f t="shared" si="16"/>
        <v>3</v>
      </c>
      <c r="P154">
        <f t="shared" si="17"/>
        <v>1</v>
      </c>
      <c r="Q154" s="6">
        <f t="shared" si="18"/>
        <v>57000</v>
      </c>
      <c r="R154" s="6">
        <f t="shared" si="19"/>
        <v>6840</v>
      </c>
      <c r="S154" s="6">
        <f t="shared" si="20"/>
        <v>50160</v>
      </c>
      <c r="T154" s="6">
        <f t="shared" si="21"/>
        <v>34500</v>
      </c>
      <c r="U154" s="6">
        <f t="shared" si="22"/>
        <v>15660</v>
      </c>
      <c r="V154" s="5">
        <f t="shared" si="23"/>
        <v>0.31220095693779903</v>
      </c>
    </row>
    <row r="155" spans="1:22">
      <c r="A155" t="s">
        <v>362</v>
      </c>
      <c r="B155" s="4">
        <v>45816</v>
      </c>
      <c r="C155" t="s">
        <v>60</v>
      </c>
      <c r="D155" t="s">
        <v>72</v>
      </c>
      <c r="E155" t="s">
        <v>94</v>
      </c>
      <c r="F155" t="s">
        <v>363</v>
      </c>
      <c r="G155" t="s">
        <v>55</v>
      </c>
      <c r="H155" t="s">
        <v>115</v>
      </c>
      <c r="I155">
        <v>1</v>
      </c>
      <c r="J155" s="6">
        <v>105000</v>
      </c>
      <c r="K155" s="6">
        <v>76000</v>
      </c>
      <c r="L155" s="5">
        <v>0.1</v>
      </c>
      <c r="M155" t="s">
        <v>80</v>
      </c>
      <c r="N155" t="s">
        <v>70</v>
      </c>
      <c r="O155">
        <f t="shared" si="16"/>
        <v>6</v>
      </c>
      <c r="P155">
        <f t="shared" si="17"/>
        <v>2</v>
      </c>
      <c r="Q155" s="6">
        <f t="shared" si="18"/>
        <v>105000</v>
      </c>
      <c r="R155" s="6">
        <f t="shared" si="19"/>
        <v>10500</v>
      </c>
      <c r="S155" s="6">
        <f t="shared" si="20"/>
        <v>0</v>
      </c>
      <c r="T155" s="6">
        <f t="shared" si="21"/>
        <v>0</v>
      </c>
      <c r="U155" s="6">
        <f t="shared" si="22"/>
        <v>0</v>
      </c>
      <c r="V155" s="5">
        <f t="shared" si="23"/>
        <v>0</v>
      </c>
    </row>
    <row r="156" spans="1:22">
      <c r="A156" t="s">
        <v>364</v>
      </c>
      <c r="B156" s="4">
        <v>45814</v>
      </c>
      <c r="C156" t="s">
        <v>120</v>
      </c>
      <c r="D156" t="s">
        <v>61</v>
      </c>
      <c r="E156" t="s">
        <v>66</v>
      </c>
      <c r="F156" t="s">
        <v>365</v>
      </c>
      <c r="G156" t="s">
        <v>55</v>
      </c>
      <c r="H156" t="s">
        <v>86</v>
      </c>
      <c r="I156">
        <v>1</v>
      </c>
      <c r="J156" s="6">
        <v>92000</v>
      </c>
      <c r="K156" s="6">
        <v>60000</v>
      </c>
      <c r="L156" s="5">
        <v>0.05</v>
      </c>
      <c r="M156" t="s">
        <v>57</v>
      </c>
      <c r="N156" t="s">
        <v>81</v>
      </c>
      <c r="O156">
        <f t="shared" si="16"/>
        <v>6</v>
      </c>
      <c r="P156">
        <f t="shared" si="17"/>
        <v>2</v>
      </c>
      <c r="Q156" s="6">
        <f t="shared" si="18"/>
        <v>92000</v>
      </c>
      <c r="R156" s="6">
        <f t="shared" si="19"/>
        <v>4600</v>
      </c>
      <c r="S156" s="6">
        <f t="shared" si="20"/>
        <v>87400</v>
      </c>
      <c r="T156" s="6">
        <f t="shared" si="21"/>
        <v>60000</v>
      </c>
      <c r="U156" s="6">
        <f t="shared" si="22"/>
        <v>27400</v>
      </c>
      <c r="V156" s="5">
        <f t="shared" si="23"/>
        <v>0.31350114416475972</v>
      </c>
    </row>
    <row r="157" spans="1:22">
      <c r="A157" t="s">
        <v>366</v>
      </c>
      <c r="B157" s="4">
        <v>45985</v>
      </c>
      <c r="C157" t="s">
        <v>77</v>
      </c>
      <c r="D157" t="s">
        <v>72</v>
      </c>
      <c r="E157" t="s">
        <v>53</v>
      </c>
      <c r="F157" t="s">
        <v>367</v>
      </c>
      <c r="G157" t="s">
        <v>68</v>
      </c>
      <c r="H157" t="s">
        <v>104</v>
      </c>
      <c r="I157">
        <v>7</v>
      </c>
      <c r="J157" s="6">
        <v>320000</v>
      </c>
      <c r="K157" s="6">
        <v>244000</v>
      </c>
      <c r="L157" s="5">
        <v>0</v>
      </c>
      <c r="M157" t="s">
        <v>57</v>
      </c>
      <c r="N157" t="s">
        <v>58</v>
      </c>
      <c r="O157">
        <f t="shared" si="16"/>
        <v>11</v>
      </c>
      <c r="P157">
        <f t="shared" si="17"/>
        <v>4</v>
      </c>
      <c r="Q157" s="6">
        <f t="shared" si="18"/>
        <v>2240000</v>
      </c>
      <c r="R157" s="6">
        <f t="shared" si="19"/>
        <v>0</v>
      </c>
      <c r="S157" s="6">
        <f t="shared" si="20"/>
        <v>2240000</v>
      </c>
      <c r="T157" s="6">
        <f t="shared" si="21"/>
        <v>1708000</v>
      </c>
      <c r="U157" s="6">
        <f t="shared" si="22"/>
        <v>532000</v>
      </c>
      <c r="V157" s="5">
        <f t="shared" si="23"/>
        <v>0.23749999999999999</v>
      </c>
    </row>
    <row r="158" spans="1:22">
      <c r="A158" t="s">
        <v>368</v>
      </c>
      <c r="B158" s="4">
        <v>45869</v>
      </c>
      <c r="C158" t="s">
        <v>77</v>
      </c>
      <c r="D158" t="s">
        <v>72</v>
      </c>
      <c r="E158" t="s">
        <v>73</v>
      </c>
      <c r="F158" t="s">
        <v>369</v>
      </c>
      <c r="G158" t="s">
        <v>68</v>
      </c>
      <c r="H158" t="s">
        <v>108</v>
      </c>
      <c r="I158">
        <v>6</v>
      </c>
      <c r="J158" s="6">
        <v>175000</v>
      </c>
      <c r="K158" s="6">
        <v>129000</v>
      </c>
      <c r="L158" s="5">
        <v>0.1</v>
      </c>
      <c r="M158" t="s">
        <v>80</v>
      </c>
      <c r="N158" t="s">
        <v>81</v>
      </c>
      <c r="O158">
        <f t="shared" si="16"/>
        <v>7</v>
      </c>
      <c r="P158">
        <f t="shared" si="17"/>
        <v>3</v>
      </c>
      <c r="Q158" s="6">
        <f t="shared" si="18"/>
        <v>1050000</v>
      </c>
      <c r="R158" s="6">
        <f t="shared" si="19"/>
        <v>105000</v>
      </c>
      <c r="S158" s="6">
        <f t="shared" si="20"/>
        <v>0</v>
      </c>
      <c r="T158" s="6">
        <f t="shared" si="21"/>
        <v>0</v>
      </c>
      <c r="U158" s="6">
        <f t="shared" si="22"/>
        <v>0</v>
      </c>
      <c r="V158" s="5">
        <f t="shared" si="23"/>
        <v>0</v>
      </c>
    </row>
    <row r="159" spans="1:22">
      <c r="A159" t="s">
        <v>370</v>
      </c>
      <c r="B159" s="4">
        <v>45691</v>
      </c>
      <c r="C159" t="s">
        <v>77</v>
      </c>
      <c r="D159" t="s">
        <v>65</v>
      </c>
      <c r="E159" t="s">
        <v>94</v>
      </c>
      <c r="F159" t="s">
        <v>371</v>
      </c>
      <c r="G159" t="s">
        <v>68</v>
      </c>
      <c r="H159" t="s">
        <v>108</v>
      </c>
      <c r="I159">
        <v>6</v>
      </c>
      <c r="J159" s="6">
        <v>175000</v>
      </c>
      <c r="K159" s="6">
        <v>129000</v>
      </c>
      <c r="L159" s="5">
        <v>0.08</v>
      </c>
      <c r="M159" t="s">
        <v>57</v>
      </c>
      <c r="N159" t="s">
        <v>81</v>
      </c>
      <c r="O159">
        <f t="shared" si="16"/>
        <v>2</v>
      </c>
      <c r="P159">
        <f t="shared" si="17"/>
        <v>1</v>
      </c>
      <c r="Q159" s="6">
        <f t="shared" si="18"/>
        <v>1050000</v>
      </c>
      <c r="R159" s="6">
        <f t="shared" si="19"/>
        <v>84000</v>
      </c>
      <c r="S159" s="6">
        <f t="shared" si="20"/>
        <v>966000</v>
      </c>
      <c r="T159" s="6">
        <f t="shared" si="21"/>
        <v>774000</v>
      </c>
      <c r="U159" s="6">
        <f t="shared" si="22"/>
        <v>192000</v>
      </c>
      <c r="V159" s="5">
        <f t="shared" si="23"/>
        <v>0.19875776397515527</v>
      </c>
    </row>
    <row r="160" spans="1:22">
      <c r="A160" t="s">
        <v>372</v>
      </c>
      <c r="B160" s="4">
        <v>45786</v>
      </c>
      <c r="C160" t="s">
        <v>120</v>
      </c>
      <c r="D160" t="s">
        <v>65</v>
      </c>
      <c r="E160" t="s">
        <v>94</v>
      </c>
      <c r="F160" t="s">
        <v>238</v>
      </c>
      <c r="G160" t="s">
        <v>89</v>
      </c>
      <c r="H160" t="s">
        <v>95</v>
      </c>
      <c r="I160">
        <v>8</v>
      </c>
      <c r="J160" s="6">
        <v>32000</v>
      </c>
      <c r="K160" s="6">
        <v>21000</v>
      </c>
      <c r="L160" s="5">
        <v>0.1</v>
      </c>
      <c r="M160" t="s">
        <v>80</v>
      </c>
      <c r="N160" t="s">
        <v>75</v>
      </c>
      <c r="O160">
        <f t="shared" si="16"/>
        <v>5</v>
      </c>
      <c r="P160">
        <f t="shared" si="17"/>
        <v>2</v>
      </c>
      <c r="Q160" s="6">
        <f t="shared" si="18"/>
        <v>256000</v>
      </c>
      <c r="R160" s="6">
        <f t="shared" si="19"/>
        <v>25600</v>
      </c>
      <c r="S160" s="6">
        <f t="shared" si="20"/>
        <v>0</v>
      </c>
      <c r="T160" s="6">
        <f t="shared" si="21"/>
        <v>0</v>
      </c>
      <c r="U160" s="6">
        <f t="shared" si="22"/>
        <v>0</v>
      </c>
      <c r="V160" s="5">
        <f t="shared" si="23"/>
        <v>0</v>
      </c>
    </row>
    <row r="161" spans="1:22">
      <c r="A161" t="s">
        <v>373</v>
      </c>
      <c r="B161" s="4">
        <v>45760</v>
      </c>
      <c r="C161" t="s">
        <v>83</v>
      </c>
      <c r="D161" t="s">
        <v>61</v>
      </c>
      <c r="E161" t="s">
        <v>53</v>
      </c>
      <c r="F161" t="s">
        <v>374</v>
      </c>
      <c r="G161" t="s">
        <v>89</v>
      </c>
      <c r="H161" t="s">
        <v>95</v>
      </c>
      <c r="I161">
        <v>2</v>
      </c>
      <c r="J161" s="6">
        <v>32000</v>
      </c>
      <c r="K161" s="6">
        <v>21000</v>
      </c>
      <c r="L161" s="5">
        <v>0</v>
      </c>
      <c r="M161" t="s">
        <v>109</v>
      </c>
      <c r="N161" t="s">
        <v>70</v>
      </c>
      <c r="O161">
        <f t="shared" si="16"/>
        <v>4</v>
      </c>
      <c r="P161">
        <f t="shared" si="17"/>
        <v>2</v>
      </c>
      <c r="Q161" s="6">
        <f t="shared" si="18"/>
        <v>64000</v>
      </c>
      <c r="R161" s="6">
        <f t="shared" si="19"/>
        <v>0</v>
      </c>
      <c r="S161" s="6">
        <f t="shared" si="20"/>
        <v>0</v>
      </c>
      <c r="T161" s="6">
        <f t="shared" si="21"/>
        <v>0</v>
      </c>
      <c r="U161" s="6">
        <f t="shared" si="22"/>
        <v>0</v>
      </c>
      <c r="V161" s="5">
        <f t="shared" si="23"/>
        <v>0</v>
      </c>
    </row>
    <row r="162" spans="1:22">
      <c r="A162" t="s">
        <v>375</v>
      </c>
      <c r="B162" s="4">
        <v>45964</v>
      </c>
      <c r="C162" t="s">
        <v>111</v>
      </c>
      <c r="D162" t="s">
        <v>93</v>
      </c>
      <c r="E162" t="s">
        <v>94</v>
      </c>
      <c r="F162" t="s">
        <v>376</v>
      </c>
      <c r="G162" t="s">
        <v>68</v>
      </c>
      <c r="H162" t="s">
        <v>104</v>
      </c>
      <c r="I162">
        <v>5</v>
      </c>
      <c r="J162" s="6">
        <v>320000</v>
      </c>
      <c r="K162" s="6">
        <v>244000</v>
      </c>
      <c r="L162" s="5">
        <v>0.05</v>
      </c>
      <c r="M162" t="s">
        <v>57</v>
      </c>
      <c r="N162" t="s">
        <v>70</v>
      </c>
      <c r="O162">
        <f t="shared" si="16"/>
        <v>11</v>
      </c>
      <c r="P162">
        <f t="shared" si="17"/>
        <v>4</v>
      </c>
      <c r="Q162" s="6">
        <f t="shared" si="18"/>
        <v>1600000</v>
      </c>
      <c r="R162" s="6">
        <f t="shared" si="19"/>
        <v>80000</v>
      </c>
      <c r="S162" s="6">
        <f t="shared" si="20"/>
        <v>1520000</v>
      </c>
      <c r="T162" s="6">
        <f t="shared" si="21"/>
        <v>1220000</v>
      </c>
      <c r="U162" s="6">
        <f t="shared" si="22"/>
        <v>300000</v>
      </c>
      <c r="V162" s="5">
        <f t="shared" si="23"/>
        <v>0.19736842105263158</v>
      </c>
    </row>
    <row r="163" spans="1:22">
      <c r="A163" t="s">
        <v>377</v>
      </c>
      <c r="B163" s="4">
        <v>45702</v>
      </c>
      <c r="C163" t="s">
        <v>92</v>
      </c>
      <c r="D163" t="s">
        <v>61</v>
      </c>
      <c r="E163" t="s">
        <v>84</v>
      </c>
      <c r="F163" t="s">
        <v>378</v>
      </c>
      <c r="G163" t="s">
        <v>55</v>
      </c>
      <c r="H163" t="s">
        <v>86</v>
      </c>
      <c r="I163">
        <v>2</v>
      </c>
      <c r="J163" s="6">
        <v>92000</v>
      </c>
      <c r="K163" s="6">
        <v>60000</v>
      </c>
      <c r="L163" s="5">
        <v>0</v>
      </c>
      <c r="M163" t="s">
        <v>57</v>
      </c>
      <c r="N163" t="s">
        <v>75</v>
      </c>
      <c r="O163">
        <f t="shared" si="16"/>
        <v>2</v>
      </c>
      <c r="P163">
        <f t="shared" si="17"/>
        <v>1</v>
      </c>
      <c r="Q163" s="6">
        <f t="shared" si="18"/>
        <v>184000</v>
      </c>
      <c r="R163" s="6">
        <f t="shared" si="19"/>
        <v>0</v>
      </c>
      <c r="S163" s="6">
        <f t="shared" si="20"/>
        <v>184000</v>
      </c>
      <c r="T163" s="6">
        <f t="shared" si="21"/>
        <v>120000</v>
      </c>
      <c r="U163" s="6">
        <f t="shared" si="22"/>
        <v>64000</v>
      </c>
      <c r="V163" s="5">
        <f t="shared" si="23"/>
        <v>0.34782608695652173</v>
      </c>
    </row>
    <row r="164" spans="1:22">
      <c r="A164" t="s">
        <v>379</v>
      </c>
      <c r="B164" s="4">
        <v>45808</v>
      </c>
      <c r="C164" t="s">
        <v>51</v>
      </c>
      <c r="D164" t="s">
        <v>61</v>
      </c>
      <c r="E164" t="s">
        <v>66</v>
      </c>
      <c r="F164" t="s">
        <v>380</v>
      </c>
      <c r="G164" t="s">
        <v>89</v>
      </c>
      <c r="H164" t="s">
        <v>90</v>
      </c>
      <c r="I164">
        <v>2</v>
      </c>
      <c r="J164" s="6">
        <v>5900</v>
      </c>
      <c r="K164" s="6">
        <v>3700</v>
      </c>
      <c r="L164" s="5">
        <v>0.08</v>
      </c>
      <c r="M164" t="s">
        <v>109</v>
      </c>
      <c r="N164" t="s">
        <v>70</v>
      </c>
      <c r="O164">
        <f t="shared" si="16"/>
        <v>5</v>
      </c>
      <c r="P164">
        <f t="shared" si="17"/>
        <v>2</v>
      </c>
      <c r="Q164" s="6">
        <f t="shared" si="18"/>
        <v>11800</v>
      </c>
      <c r="R164" s="6">
        <f t="shared" si="19"/>
        <v>944</v>
      </c>
      <c r="S164" s="6">
        <f t="shared" si="20"/>
        <v>0</v>
      </c>
      <c r="T164" s="6">
        <f t="shared" si="21"/>
        <v>0</v>
      </c>
      <c r="U164" s="6">
        <f t="shared" si="22"/>
        <v>0</v>
      </c>
      <c r="V164" s="5">
        <f t="shared" si="23"/>
        <v>0</v>
      </c>
    </row>
    <row r="165" spans="1:22">
      <c r="A165" t="s">
        <v>381</v>
      </c>
      <c r="B165" s="4">
        <v>45686</v>
      </c>
      <c r="C165" t="s">
        <v>111</v>
      </c>
      <c r="D165" t="s">
        <v>61</v>
      </c>
      <c r="E165" t="s">
        <v>84</v>
      </c>
      <c r="F165" t="s">
        <v>284</v>
      </c>
      <c r="G165" t="s">
        <v>89</v>
      </c>
      <c r="H165" t="s">
        <v>98</v>
      </c>
      <c r="I165">
        <v>4</v>
      </c>
      <c r="J165" s="6">
        <v>16500</v>
      </c>
      <c r="K165" s="6">
        <v>10000</v>
      </c>
      <c r="L165" s="5">
        <v>0.03</v>
      </c>
      <c r="M165" t="s">
        <v>57</v>
      </c>
      <c r="N165" t="s">
        <v>81</v>
      </c>
      <c r="O165">
        <f t="shared" si="16"/>
        <v>1</v>
      </c>
      <c r="P165">
        <f t="shared" si="17"/>
        <v>1</v>
      </c>
      <c r="Q165" s="6">
        <f t="shared" si="18"/>
        <v>66000</v>
      </c>
      <c r="R165" s="6">
        <f t="shared" si="19"/>
        <v>1980</v>
      </c>
      <c r="S165" s="6">
        <f t="shared" si="20"/>
        <v>64020</v>
      </c>
      <c r="T165" s="6">
        <f t="shared" si="21"/>
        <v>40000</v>
      </c>
      <c r="U165" s="6">
        <f t="shared" si="22"/>
        <v>24020</v>
      </c>
      <c r="V165" s="5">
        <f t="shared" si="23"/>
        <v>0.37519525148391125</v>
      </c>
    </row>
    <row r="166" spans="1:22">
      <c r="A166" t="s">
        <v>382</v>
      </c>
      <c r="B166" s="4">
        <v>45970</v>
      </c>
      <c r="C166" t="s">
        <v>102</v>
      </c>
      <c r="D166" t="s">
        <v>61</v>
      </c>
      <c r="E166" t="s">
        <v>66</v>
      </c>
      <c r="F166" t="s">
        <v>383</v>
      </c>
      <c r="G166" t="s">
        <v>68</v>
      </c>
      <c r="H166" t="s">
        <v>69</v>
      </c>
      <c r="I166">
        <v>6</v>
      </c>
      <c r="J166" s="6">
        <v>115000</v>
      </c>
      <c r="K166" s="6">
        <v>82000</v>
      </c>
      <c r="L166" s="5">
        <v>0.12</v>
      </c>
      <c r="M166" t="s">
        <v>57</v>
      </c>
      <c r="N166" t="s">
        <v>58</v>
      </c>
      <c r="O166">
        <f t="shared" si="16"/>
        <v>11</v>
      </c>
      <c r="P166">
        <f t="shared" si="17"/>
        <v>4</v>
      </c>
      <c r="Q166" s="6">
        <f t="shared" si="18"/>
        <v>690000</v>
      </c>
      <c r="R166" s="6">
        <f t="shared" si="19"/>
        <v>82800</v>
      </c>
      <c r="S166" s="6">
        <f t="shared" si="20"/>
        <v>607200</v>
      </c>
      <c r="T166" s="6">
        <f t="shared" si="21"/>
        <v>492000</v>
      </c>
      <c r="U166" s="6">
        <f t="shared" si="22"/>
        <v>115200</v>
      </c>
      <c r="V166" s="5">
        <f t="shared" si="23"/>
        <v>0.18972332015810275</v>
      </c>
    </row>
    <row r="167" spans="1:22">
      <c r="A167" t="s">
        <v>384</v>
      </c>
      <c r="B167" s="4">
        <v>45994</v>
      </c>
      <c r="C167" t="s">
        <v>102</v>
      </c>
      <c r="D167" t="s">
        <v>52</v>
      </c>
      <c r="E167" t="s">
        <v>66</v>
      </c>
      <c r="F167" t="s">
        <v>329</v>
      </c>
      <c r="G167" t="s">
        <v>68</v>
      </c>
      <c r="H167" t="s">
        <v>79</v>
      </c>
      <c r="I167">
        <v>1</v>
      </c>
      <c r="J167" s="6">
        <v>19000</v>
      </c>
      <c r="K167" s="6">
        <v>11500</v>
      </c>
      <c r="L167" s="5">
        <v>0.12</v>
      </c>
      <c r="M167" t="s">
        <v>57</v>
      </c>
      <c r="N167" t="s">
        <v>63</v>
      </c>
      <c r="O167">
        <f t="shared" si="16"/>
        <v>12</v>
      </c>
      <c r="P167">
        <f t="shared" si="17"/>
        <v>4</v>
      </c>
      <c r="Q167" s="6">
        <f t="shared" si="18"/>
        <v>19000</v>
      </c>
      <c r="R167" s="6">
        <f t="shared" si="19"/>
        <v>2280</v>
      </c>
      <c r="S167" s="6">
        <f t="shared" si="20"/>
        <v>16720</v>
      </c>
      <c r="T167" s="6">
        <f t="shared" si="21"/>
        <v>11500</v>
      </c>
      <c r="U167" s="6">
        <f t="shared" si="22"/>
        <v>5220</v>
      </c>
      <c r="V167" s="5">
        <f t="shared" si="23"/>
        <v>0.31220095693779903</v>
      </c>
    </row>
    <row r="168" spans="1:22">
      <c r="A168" t="s">
        <v>385</v>
      </c>
      <c r="B168" s="4">
        <v>45949</v>
      </c>
      <c r="C168" t="s">
        <v>92</v>
      </c>
      <c r="D168" t="s">
        <v>61</v>
      </c>
      <c r="E168" t="s">
        <v>66</v>
      </c>
      <c r="F168" t="s">
        <v>137</v>
      </c>
      <c r="G168" t="s">
        <v>68</v>
      </c>
      <c r="H168" t="s">
        <v>79</v>
      </c>
      <c r="I168">
        <v>7</v>
      </c>
      <c r="J168" s="6">
        <v>19000</v>
      </c>
      <c r="K168" s="6">
        <v>11500</v>
      </c>
      <c r="L168" s="5">
        <v>0.08</v>
      </c>
      <c r="M168" t="s">
        <v>57</v>
      </c>
      <c r="N168" t="s">
        <v>70</v>
      </c>
      <c r="O168">
        <f t="shared" si="16"/>
        <v>10</v>
      </c>
      <c r="P168">
        <f t="shared" si="17"/>
        <v>4</v>
      </c>
      <c r="Q168" s="6">
        <f t="shared" si="18"/>
        <v>133000</v>
      </c>
      <c r="R168" s="6">
        <f t="shared" si="19"/>
        <v>10640</v>
      </c>
      <c r="S168" s="6">
        <f t="shared" si="20"/>
        <v>122360</v>
      </c>
      <c r="T168" s="6">
        <f t="shared" si="21"/>
        <v>80500</v>
      </c>
      <c r="U168" s="6">
        <f t="shared" si="22"/>
        <v>41860</v>
      </c>
      <c r="V168" s="5">
        <f t="shared" si="23"/>
        <v>0.34210526315789475</v>
      </c>
    </row>
    <row r="169" spans="1:22">
      <c r="A169" t="s">
        <v>386</v>
      </c>
      <c r="B169" s="4">
        <v>45921</v>
      </c>
      <c r="C169" t="s">
        <v>60</v>
      </c>
      <c r="D169" t="s">
        <v>106</v>
      </c>
      <c r="E169" t="s">
        <v>94</v>
      </c>
      <c r="F169" t="s">
        <v>387</v>
      </c>
      <c r="G169" t="s">
        <v>68</v>
      </c>
      <c r="H169" t="s">
        <v>104</v>
      </c>
      <c r="I169">
        <v>1</v>
      </c>
      <c r="J169" s="6">
        <v>320000</v>
      </c>
      <c r="K169" s="6">
        <v>244000</v>
      </c>
      <c r="L169" s="5">
        <v>0.12</v>
      </c>
      <c r="M169" t="s">
        <v>57</v>
      </c>
      <c r="N169" t="s">
        <v>75</v>
      </c>
      <c r="O169">
        <f t="shared" si="16"/>
        <v>9</v>
      </c>
      <c r="P169">
        <f t="shared" si="17"/>
        <v>3</v>
      </c>
      <c r="Q169" s="6">
        <f t="shared" si="18"/>
        <v>320000</v>
      </c>
      <c r="R169" s="6">
        <f t="shared" si="19"/>
        <v>38400</v>
      </c>
      <c r="S169" s="6">
        <f t="shared" si="20"/>
        <v>281600</v>
      </c>
      <c r="T169" s="6">
        <f t="shared" si="21"/>
        <v>244000</v>
      </c>
      <c r="U169" s="6">
        <f t="shared" si="22"/>
        <v>37600</v>
      </c>
      <c r="V169" s="5">
        <f t="shared" si="23"/>
        <v>0.13352272727272727</v>
      </c>
    </row>
    <row r="170" spans="1:22">
      <c r="A170" t="s">
        <v>388</v>
      </c>
      <c r="B170" s="4">
        <v>45707</v>
      </c>
      <c r="C170" t="s">
        <v>102</v>
      </c>
      <c r="D170" t="s">
        <v>65</v>
      </c>
      <c r="E170" t="s">
        <v>84</v>
      </c>
      <c r="F170" t="s">
        <v>389</v>
      </c>
      <c r="G170" t="s">
        <v>89</v>
      </c>
      <c r="H170" t="s">
        <v>90</v>
      </c>
      <c r="I170">
        <v>1</v>
      </c>
      <c r="J170" s="6">
        <v>5900</v>
      </c>
      <c r="K170" s="6">
        <v>3700</v>
      </c>
      <c r="L170" s="5">
        <v>0.05</v>
      </c>
      <c r="M170" t="s">
        <v>57</v>
      </c>
      <c r="N170" t="s">
        <v>75</v>
      </c>
      <c r="O170">
        <f t="shared" si="16"/>
        <v>2</v>
      </c>
      <c r="P170">
        <f t="shared" si="17"/>
        <v>1</v>
      </c>
      <c r="Q170" s="6">
        <f t="shared" si="18"/>
        <v>5900</v>
      </c>
      <c r="R170" s="6">
        <f t="shared" si="19"/>
        <v>295</v>
      </c>
      <c r="S170" s="6">
        <f t="shared" si="20"/>
        <v>5605</v>
      </c>
      <c r="T170" s="6">
        <f t="shared" si="21"/>
        <v>3700</v>
      </c>
      <c r="U170" s="6">
        <f t="shared" si="22"/>
        <v>1905</v>
      </c>
      <c r="V170" s="5">
        <f t="shared" si="23"/>
        <v>0.33987511150758254</v>
      </c>
    </row>
    <row r="171" spans="1:22">
      <c r="A171" t="s">
        <v>390</v>
      </c>
      <c r="B171" s="4">
        <v>45906</v>
      </c>
      <c r="C171" t="s">
        <v>51</v>
      </c>
      <c r="D171" t="s">
        <v>61</v>
      </c>
      <c r="E171" t="s">
        <v>94</v>
      </c>
      <c r="F171" t="s">
        <v>218</v>
      </c>
      <c r="G171" t="s">
        <v>68</v>
      </c>
      <c r="H171" t="s">
        <v>108</v>
      </c>
      <c r="I171">
        <v>4</v>
      </c>
      <c r="J171" s="6">
        <v>175000</v>
      </c>
      <c r="K171" s="6">
        <v>129000</v>
      </c>
      <c r="L171" s="5">
        <v>0.12</v>
      </c>
      <c r="M171" t="s">
        <v>57</v>
      </c>
      <c r="N171" t="s">
        <v>81</v>
      </c>
      <c r="O171">
        <f t="shared" si="16"/>
        <v>9</v>
      </c>
      <c r="P171">
        <f t="shared" si="17"/>
        <v>3</v>
      </c>
      <c r="Q171" s="6">
        <f t="shared" si="18"/>
        <v>700000</v>
      </c>
      <c r="R171" s="6">
        <f t="shared" si="19"/>
        <v>84000</v>
      </c>
      <c r="S171" s="6">
        <f t="shared" si="20"/>
        <v>616000</v>
      </c>
      <c r="T171" s="6">
        <f t="shared" si="21"/>
        <v>516000</v>
      </c>
      <c r="U171" s="6">
        <f t="shared" si="22"/>
        <v>100000</v>
      </c>
      <c r="V171" s="5">
        <f t="shared" si="23"/>
        <v>0.16233766233766234</v>
      </c>
    </row>
    <row r="172" spans="1:22">
      <c r="A172" t="s">
        <v>391</v>
      </c>
      <c r="B172" s="4">
        <v>45734</v>
      </c>
      <c r="C172" t="s">
        <v>60</v>
      </c>
      <c r="D172" t="s">
        <v>106</v>
      </c>
      <c r="E172" t="s">
        <v>94</v>
      </c>
      <c r="F172" t="s">
        <v>392</v>
      </c>
      <c r="G172" t="s">
        <v>55</v>
      </c>
      <c r="H172" t="s">
        <v>56</v>
      </c>
      <c r="I172">
        <v>6</v>
      </c>
      <c r="J172" s="6">
        <v>138000</v>
      </c>
      <c r="K172" s="6">
        <v>99000</v>
      </c>
      <c r="L172" s="5">
        <v>0.05</v>
      </c>
      <c r="M172" t="s">
        <v>109</v>
      </c>
      <c r="N172" t="s">
        <v>70</v>
      </c>
      <c r="O172">
        <f t="shared" si="16"/>
        <v>3</v>
      </c>
      <c r="P172">
        <f t="shared" si="17"/>
        <v>1</v>
      </c>
      <c r="Q172" s="6">
        <f t="shared" si="18"/>
        <v>828000</v>
      </c>
      <c r="R172" s="6">
        <f t="shared" si="19"/>
        <v>41400</v>
      </c>
      <c r="S172" s="6">
        <f t="shared" si="20"/>
        <v>0</v>
      </c>
      <c r="T172" s="6">
        <f t="shared" si="21"/>
        <v>0</v>
      </c>
      <c r="U172" s="6">
        <f t="shared" si="22"/>
        <v>0</v>
      </c>
      <c r="V172" s="5">
        <f t="shared" si="23"/>
        <v>0</v>
      </c>
    </row>
    <row r="173" spans="1:22">
      <c r="A173" t="s">
        <v>393</v>
      </c>
      <c r="B173" s="4">
        <v>45869</v>
      </c>
      <c r="C173" t="s">
        <v>102</v>
      </c>
      <c r="D173" t="s">
        <v>61</v>
      </c>
      <c r="E173" t="s">
        <v>66</v>
      </c>
      <c r="F173" t="s">
        <v>141</v>
      </c>
      <c r="G173" t="s">
        <v>68</v>
      </c>
      <c r="H173" t="s">
        <v>69</v>
      </c>
      <c r="I173">
        <v>4</v>
      </c>
      <c r="J173" s="6">
        <v>115000</v>
      </c>
      <c r="K173" s="6">
        <v>82000</v>
      </c>
      <c r="L173" s="5">
        <v>0</v>
      </c>
      <c r="M173" t="s">
        <v>57</v>
      </c>
      <c r="N173" t="s">
        <v>70</v>
      </c>
      <c r="O173">
        <f t="shared" si="16"/>
        <v>7</v>
      </c>
      <c r="P173">
        <f t="shared" si="17"/>
        <v>3</v>
      </c>
      <c r="Q173" s="6">
        <f t="shared" si="18"/>
        <v>460000</v>
      </c>
      <c r="R173" s="6">
        <f t="shared" si="19"/>
        <v>0</v>
      </c>
      <c r="S173" s="6">
        <f t="shared" si="20"/>
        <v>460000</v>
      </c>
      <c r="T173" s="6">
        <f t="shared" si="21"/>
        <v>328000</v>
      </c>
      <c r="U173" s="6">
        <f t="shared" si="22"/>
        <v>132000</v>
      </c>
      <c r="V173" s="5">
        <f t="shared" si="23"/>
        <v>0.28695652173913044</v>
      </c>
    </row>
    <row r="174" spans="1:22">
      <c r="A174" t="s">
        <v>394</v>
      </c>
      <c r="B174" s="4">
        <v>45978</v>
      </c>
      <c r="C174" t="s">
        <v>77</v>
      </c>
      <c r="D174" t="s">
        <v>93</v>
      </c>
      <c r="E174" t="s">
        <v>66</v>
      </c>
      <c r="F174" t="s">
        <v>291</v>
      </c>
      <c r="G174" t="s">
        <v>55</v>
      </c>
      <c r="H174" t="s">
        <v>56</v>
      </c>
      <c r="I174">
        <v>8</v>
      </c>
      <c r="J174" s="6">
        <v>138000</v>
      </c>
      <c r="K174" s="6">
        <v>99000</v>
      </c>
      <c r="L174" s="5">
        <v>0</v>
      </c>
      <c r="M174" t="s">
        <v>109</v>
      </c>
      <c r="N174" t="s">
        <v>75</v>
      </c>
      <c r="O174">
        <f t="shared" si="16"/>
        <v>11</v>
      </c>
      <c r="P174">
        <f t="shared" si="17"/>
        <v>4</v>
      </c>
      <c r="Q174" s="6">
        <f t="shared" si="18"/>
        <v>1104000</v>
      </c>
      <c r="R174" s="6">
        <f t="shared" si="19"/>
        <v>0</v>
      </c>
      <c r="S174" s="6">
        <f t="shared" si="20"/>
        <v>0</v>
      </c>
      <c r="T174" s="6">
        <f t="shared" si="21"/>
        <v>0</v>
      </c>
      <c r="U174" s="6">
        <f t="shared" si="22"/>
        <v>0</v>
      </c>
      <c r="V174" s="5">
        <f t="shared" si="23"/>
        <v>0</v>
      </c>
    </row>
    <row r="175" spans="1:22">
      <c r="A175" t="s">
        <v>395</v>
      </c>
      <c r="B175" s="4">
        <v>46014</v>
      </c>
      <c r="C175" t="s">
        <v>60</v>
      </c>
      <c r="D175" t="s">
        <v>61</v>
      </c>
      <c r="E175" t="s">
        <v>94</v>
      </c>
      <c r="F175" t="s">
        <v>396</v>
      </c>
      <c r="G175" t="s">
        <v>89</v>
      </c>
      <c r="H175" t="s">
        <v>95</v>
      </c>
      <c r="I175">
        <v>1</v>
      </c>
      <c r="J175" s="6">
        <v>32000</v>
      </c>
      <c r="K175" s="6">
        <v>21000</v>
      </c>
      <c r="L175" s="5">
        <v>0.03</v>
      </c>
      <c r="M175" t="s">
        <v>109</v>
      </c>
      <c r="N175" t="s">
        <v>81</v>
      </c>
      <c r="O175">
        <f t="shared" si="16"/>
        <v>12</v>
      </c>
      <c r="P175">
        <f t="shared" si="17"/>
        <v>4</v>
      </c>
      <c r="Q175" s="6">
        <f t="shared" si="18"/>
        <v>32000</v>
      </c>
      <c r="R175" s="6">
        <f t="shared" si="19"/>
        <v>960</v>
      </c>
      <c r="S175" s="6">
        <f t="shared" si="20"/>
        <v>0</v>
      </c>
      <c r="T175" s="6">
        <f t="shared" si="21"/>
        <v>0</v>
      </c>
      <c r="U175" s="6">
        <f t="shared" si="22"/>
        <v>0</v>
      </c>
      <c r="V175" s="5">
        <f t="shared" si="23"/>
        <v>0</v>
      </c>
    </row>
    <row r="176" spans="1:22">
      <c r="A176" t="s">
        <v>397</v>
      </c>
      <c r="B176" s="4">
        <v>45863</v>
      </c>
      <c r="C176" t="s">
        <v>60</v>
      </c>
      <c r="D176" t="s">
        <v>65</v>
      </c>
      <c r="E176" t="s">
        <v>66</v>
      </c>
      <c r="F176" t="s">
        <v>398</v>
      </c>
      <c r="G176" t="s">
        <v>68</v>
      </c>
      <c r="H176" t="s">
        <v>108</v>
      </c>
      <c r="I176">
        <v>2</v>
      </c>
      <c r="J176" s="6">
        <v>175000</v>
      </c>
      <c r="K176" s="6">
        <v>129000</v>
      </c>
      <c r="L176" s="5">
        <v>0.1</v>
      </c>
      <c r="M176" t="s">
        <v>57</v>
      </c>
      <c r="N176" t="s">
        <v>58</v>
      </c>
      <c r="O176">
        <f t="shared" si="16"/>
        <v>7</v>
      </c>
      <c r="P176">
        <f t="shared" si="17"/>
        <v>3</v>
      </c>
      <c r="Q176" s="6">
        <f t="shared" si="18"/>
        <v>350000</v>
      </c>
      <c r="R176" s="6">
        <f t="shared" si="19"/>
        <v>35000</v>
      </c>
      <c r="S176" s="6">
        <f t="shared" si="20"/>
        <v>315000</v>
      </c>
      <c r="T176" s="6">
        <f t="shared" si="21"/>
        <v>258000</v>
      </c>
      <c r="U176" s="6">
        <f t="shared" si="22"/>
        <v>57000</v>
      </c>
      <c r="V176" s="5">
        <f t="shared" si="23"/>
        <v>0.18095238095238095</v>
      </c>
    </row>
    <row r="177" spans="1:22">
      <c r="A177" t="s">
        <v>399</v>
      </c>
      <c r="B177" s="4">
        <v>45704</v>
      </c>
      <c r="C177" t="s">
        <v>92</v>
      </c>
      <c r="D177" t="s">
        <v>61</v>
      </c>
      <c r="E177" t="s">
        <v>53</v>
      </c>
      <c r="F177" t="s">
        <v>400</v>
      </c>
      <c r="G177" t="s">
        <v>55</v>
      </c>
      <c r="H177" t="s">
        <v>115</v>
      </c>
      <c r="I177">
        <v>2</v>
      </c>
      <c r="J177" s="6">
        <v>105000</v>
      </c>
      <c r="K177" s="6">
        <v>76000</v>
      </c>
      <c r="L177" s="5">
        <v>0.03</v>
      </c>
      <c r="M177" t="s">
        <v>57</v>
      </c>
      <c r="N177" t="s">
        <v>81</v>
      </c>
      <c r="O177">
        <f t="shared" si="16"/>
        <v>2</v>
      </c>
      <c r="P177">
        <f t="shared" si="17"/>
        <v>1</v>
      </c>
      <c r="Q177" s="6">
        <f t="shared" si="18"/>
        <v>210000</v>
      </c>
      <c r="R177" s="6">
        <f t="shared" si="19"/>
        <v>6300</v>
      </c>
      <c r="S177" s="6">
        <f t="shared" si="20"/>
        <v>203700</v>
      </c>
      <c r="T177" s="6">
        <f t="shared" si="21"/>
        <v>152000</v>
      </c>
      <c r="U177" s="6">
        <f t="shared" si="22"/>
        <v>51700</v>
      </c>
      <c r="V177" s="5">
        <f t="shared" si="23"/>
        <v>0.25380461462935688</v>
      </c>
    </row>
    <row r="178" spans="1:22">
      <c r="A178" t="s">
        <v>401</v>
      </c>
      <c r="B178" s="4">
        <v>45729</v>
      </c>
      <c r="C178" t="s">
        <v>77</v>
      </c>
      <c r="D178" t="s">
        <v>72</v>
      </c>
      <c r="E178" t="s">
        <v>84</v>
      </c>
      <c r="F178" t="s">
        <v>355</v>
      </c>
      <c r="G178" t="s">
        <v>68</v>
      </c>
      <c r="H178" t="s">
        <v>69</v>
      </c>
      <c r="I178">
        <v>2</v>
      </c>
      <c r="J178" s="6">
        <v>115000</v>
      </c>
      <c r="K178" s="6">
        <v>82000</v>
      </c>
      <c r="L178" s="5">
        <v>0.08</v>
      </c>
      <c r="M178" t="s">
        <v>57</v>
      </c>
      <c r="N178" t="s">
        <v>58</v>
      </c>
      <c r="O178">
        <f t="shared" si="16"/>
        <v>3</v>
      </c>
      <c r="P178">
        <f t="shared" si="17"/>
        <v>1</v>
      </c>
      <c r="Q178" s="6">
        <f t="shared" si="18"/>
        <v>230000</v>
      </c>
      <c r="R178" s="6">
        <f t="shared" si="19"/>
        <v>18400</v>
      </c>
      <c r="S178" s="6">
        <f t="shared" si="20"/>
        <v>211600</v>
      </c>
      <c r="T178" s="6">
        <f t="shared" si="21"/>
        <v>164000</v>
      </c>
      <c r="U178" s="6">
        <f t="shared" si="22"/>
        <v>47600</v>
      </c>
      <c r="V178" s="5">
        <f t="shared" si="23"/>
        <v>0.22495274102079396</v>
      </c>
    </row>
    <row r="179" spans="1:22">
      <c r="A179" t="s">
        <v>402</v>
      </c>
      <c r="B179" s="4">
        <v>45837</v>
      </c>
      <c r="C179" t="s">
        <v>111</v>
      </c>
      <c r="D179" t="s">
        <v>72</v>
      </c>
      <c r="E179" t="s">
        <v>53</v>
      </c>
      <c r="F179" t="s">
        <v>403</v>
      </c>
      <c r="G179" t="s">
        <v>68</v>
      </c>
      <c r="H179" t="s">
        <v>79</v>
      </c>
      <c r="I179">
        <v>2</v>
      </c>
      <c r="J179" s="6">
        <v>19000</v>
      </c>
      <c r="K179" s="6">
        <v>11500</v>
      </c>
      <c r="L179" s="5">
        <v>0.12</v>
      </c>
      <c r="M179" t="s">
        <v>57</v>
      </c>
      <c r="N179" t="s">
        <v>63</v>
      </c>
      <c r="O179">
        <f t="shared" si="16"/>
        <v>6</v>
      </c>
      <c r="P179">
        <f t="shared" si="17"/>
        <v>2</v>
      </c>
      <c r="Q179" s="6">
        <f t="shared" si="18"/>
        <v>38000</v>
      </c>
      <c r="R179" s="6">
        <f t="shared" si="19"/>
        <v>4560</v>
      </c>
      <c r="S179" s="6">
        <f t="shared" si="20"/>
        <v>33440</v>
      </c>
      <c r="T179" s="6">
        <f t="shared" si="21"/>
        <v>23000</v>
      </c>
      <c r="U179" s="6">
        <f t="shared" si="22"/>
        <v>10440</v>
      </c>
      <c r="V179" s="5">
        <f t="shared" si="23"/>
        <v>0.31220095693779903</v>
      </c>
    </row>
    <row r="180" spans="1:22">
      <c r="A180" t="s">
        <v>404</v>
      </c>
      <c r="B180" s="4">
        <v>45943</v>
      </c>
      <c r="C180" t="s">
        <v>77</v>
      </c>
      <c r="D180" t="s">
        <v>61</v>
      </c>
      <c r="E180" t="s">
        <v>84</v>
      </c>
      <c r="F180" t="s">
        <v>405</v>
      </c>
      <c r="G180" t="s">
        <v>68</v>
      </c>
      <c r="H180" t="s">
        <v>69</v>
      </c>
      <c r="I180">
        <v>4</v>
      </c>
      <c r="J180" s="6">
        <v>115000</v>
      </c>
      <c r="K180" s="6">
        <v>82000</v>
      </c>
      <c r="L180" s="5">
        <v>0.03</v>
      </c>
      <c r="M180" t="s">
        <v>57</v>
      </c>
      <c r="N180" t="s">
        <v>58</v>
      </c>
      <c r="O180">
        <f t="shared" si="16"/>
        <v>10</v>
      </c>
      <c r="P180">
        <f t="shared" si="17"/>
        <v>4</v>
      </c>
      <c r="Q180" s="6">
        <f t="shared" si="18"/>
        <v>460000</v>
      </c>
      <c r="R180" s="6">
        <f t="shared" si="19"/>
        <v>13800</v>
      </c>
      <c r="S180" s="6">
        <f t="shared" si="20"/>
        <v>446200</v>
      </c>
      <c r="T180" s="6">
        <f t="shared" si="21"/>
        <v>328000</v>
      </c>
      <c r="U180" s="6">
        <f t="shared" si="22"/>
        <v>118200</v>
      </c>
      <c r="V180" s="5">
        <f t="shared" si="23"/>
        <v>0.26490363065889738</v>
      </c>
    </row>
    <row r="181" spans="1:22">
      <c r="A181" t="s">
        <v>406</v>
      </c>
      <c r="B181" s="4">
        <v>45852</v>
      </c>
      <c r="C181" t="s">
        <v>51</v>
      </c>
      <c r="D181" t="s">
        <v>72</v>
      </c>
      <c r="E181" t="s">
        <v>73</v>
      </c>
      <c r="F181" t="s">
        <v>304</v>
      </c>
      <c r="G181" t="s">
        <v>89</v>
      </c>
      <c r="H181" t="s">
        <v>90</v>
      </c>
      <c r="I181">
        <v>6</v>
      </c>
      <c r="J181" s="6">
        <v>5900</v>
      </c>
      <c r="K181" s="6">
        <v>3700</v>
      </c>
      <c r="L181" s="5">
        <v>0.08</v>
      </c>
      <c r="M181" t="s">
        <v>109</v>
      </c>
      <c r="N181" t="s">
        <v>63</v>
      </c>
      <c r="O181">
        <f t="shared" si="16"/>
        <v>7</v>
      </c>
      <c r="P181">
        <f t="shared" si="17"/>
        <v>3</v>
      </c>
      <c r="Q181" s="6">
        <f t="shared" si="18"/>
        <v>35400</v>
      </c>
      <c r="R181" s="6">
        <f t="shared" si="19"/>
        <v>2832</v>
      </c>
      <c r="S181" s="6">
        <f t="shared" si="20"/>
        <v>0</v>
      </c>
      <c r="T181" s="6">
        <f t="shared" si="21"/>
        <v>0</v>
      </c>
      <c r="U181" s="6">
        <f t="shared" si="22"/>
        <v>0</v>
      </c>
      <c r="V181" s="5">
        <f t="shared" si="23"/>
        <v>0</v>
      </c>
    </row>
    <row r="182" spans="1:22">
      <c r="A182" t="s">
        <v>407</v>
      </c>
      <c r="B182" s="4">
        <v>45794</v>
      </c>
      <c r="C182" t="s">
        <v>60</v>
      </c>
      <c r="D182" t="s">
        <v>61</v>
      </c>
      <c r="E182" t="s">
        <v>84</v>
      </c>
      <c r="F182" t="s">
        <v>293</v>
      </c>
      <c r="G182" t="s">
        <v>68</v>
      </c>
      <c r="H182" t="s">
        <v>79</v>
      </c>
      <c r="I182">
        <v>5</v>
      </c>
      <c r="J182" s="6">
        <v>19000</v>
      </c>
      <c r="K182" s="6">
        <v>11500</v>
      </c>
      <c r="L182" s="5">
        <v>0</v>
      </c>
      <c r="M182" t="s">
        <v>80</v>
      </c>
      <c r="N182" t="s">
        <v>70</v>
      </c>
      <c r="O182">
        <f t="shared" si="16"/>
        <v>5</v>
      </c>
      <c r="P182">
        <f t="shared" si="17"/>
        <v>2</v>
      </c>
      <c r="Q182" s="6">
        <f t="shared" si="18"/>
        <v>95000</v>
      </c>
      <c r="R182" s="6">
        <f t="shared" si="19"/>
        <v>0</v>
      </c>
      <c r="S182" s="6">
        <f t="shared" si="20"/>
        <v>0</v>
      </c>
      <c r="T182" s="6">
        <f t="shared" si="21"/>
        <v>0</v>
      </c>
      <c r="U182" s="6">
        <f t="shared" si="22"/>
        <v>0</v>
      </c>
      <c r="V182" s="5">
        <f t="shared" si="23"/>
        <v>0</v>
      </c>
    </row>
    <row r="183" spans="1:22">
      <c r="A183" t="s">
        <v>408</v>
      </c>
      <c r="B183" s="4">
        <v>45811</v>
      </c>
      <c r="C183" t="s">
        <v>92</v>
      </c>
      <c r="D183" t="s">
        <v>61</v>
      </c>
      <c r="E183" t="s">
        <v>73</v>
      </c>
      <c r="F183" t="s">
        <v>409</v>
      </c>
      <c r="G183" t="s">
        <v>89</v>
      </c>
      <c r="H183" t="s">
        <v>90</v>
      </c>
      <c r="I183">
        <v>8</v>
      </c>
      <c r="J183" s="6">
        <v>5900</v>
      </c>
      <c r="K183" s="6">
        <v>3700</v>
      </c>
      <c r="L183" s="5">
        <v>0</v>
      </c>
      <c r="M183" t="s">
        <v>57</v>
      </c>
      <c r="N183" t="s">
        <v>75</v>
      </c>
      <c r="O183">
        <f t="shared" si="16"/>
        <v>6</v>
      </c>
      <c r="P183">
        <f t="shared" si="17"/>
        <v>2</v>
      </c>
      <c r="Q183" s="6">
        <f t="shared" si="18"/>
        <v>47200</v>
      </c>
      <c r="R183" s="6">
        <f t="shared" si="19"/>
        <v>0</v>
      </c>
      <c r="S183" s="6">
        <f t="shared" si="20"/>
        <v>47200</v>
      </c>
      <c r="T183" s="6">
        <f t="shared" si="21"/>
        <v>29600</v>
      </c>
      <c r="U183" s="6">
        <f t="shared" si="22"/>
        <v>17600</v>
      </c>
      <c r="V183" s="5">
        <f t="shared" si="23"/>
        <v>0.3728813559322034</v>
      </c>
    </row>
    <row r="184" spans="1:22">
      <c r="A184" t="s">
        <v>410</v>
      </c>
      <c r="B184" s="4">
        <v>45719</v>
      </c>
      <c r="C184" t="s">
        <v>51</v>
      </c>
      <c r="D184" t="s">
        <v>72</v>
      </c>
      <c r="E184" t="s">
        <v>73</v>
      </c>
      <c r="F184" t="s">
        <v>411</v>
      </c>
      <c r="G184" t="s">
        <v>68</v>
      </c>
      <c r="H184" t="s">
        <v>69</v>
      </c>
      <c r="I184">
        <v>1</v>
      </c>
      <c r="J184" s="6">
        <v>115000</v>
      </c>
      <c r="K184" s="6">
        <v>82000</v>
      </c>
      <c r="L184" s="5">
        <v>0.12</v>
      </c>
      <c r="M184" t="s">
        <v>57</v>
      </c>
      <c r="N184" t="s">
        <v>75</v>
      </c>
      <c r="O184">
        <f t="shared" si="16"/>
        <v>3</v>
      </c>
      <c r="P184">
        <f t="shared" si="17"/>
        <v>1</v>
      </c>
      <c r="Q184" s="6">
        <f t="shared" si="18"/>
        <v>115000</v>
      </c>
      <c r="R184" s="6">
        <f t="shared" si="19"/>
        <v>13800</v>
      </c>
      <c r="S184" s="6">
        <f t="shared" si="20"/>
        <v>101200</v>
      </c>
      <c r="T184" s="6">
        <f t="shared" si="21"/>
        <v>82000</v>
      </c>
      <c r="U184" s="6">
        <f t="shared" si="22"/>
        <v>19200</v>
      </c>
      <c r="V184" s="5">
        <f t="shared" si="23"/>
        <v>0.18972332015810275</v>
      </c>
    </row>
    <row r="185" spans="1:22">
      <c r="A185" t="s">
        <v>412</v>
      </c>
      <c r="B185" s="4">
        <v>45977</v>
      </c>
      <c r="C185" t="s">
        <v>111</v>
      </c>
      <c r="D185" t="s">
        <v>61</v>
      </c>
      <c r="E185" t="s">
        <v>53</v>
      </c>
      <c r="F185" t="s">
        <v>349</v>
      </c>
      <c r="G185" t="s">
        <v>89</v>
      </c>
      <c r="H185" t="s">
        <v>95</v>
      </c>
      <c r="I185">
        <v>2</v>
      </c>
      <c r="J185" s="6">
        <v>32000</v>
      </c>
      <c r="K185" s="6">
        <v>21000</v>
      </c>
      <c r="L185" s="5">
        <v>0.08</v>
      </c>
      <c r="M185" t="s">
        <v>80</v>
      </c>
      <c r="N185" t="s">
        <v>58</v>
      </c>
      <c r="O185">
        <f t="shared" si="16"/>
        <v>11</v>
      </c>
      <c r="P185">
        <f t="shared" si="17"/>
        <v>4</v>
      </c>
      <c r="Q185" s="6">
        <f t="shared" si="18"/>
        <v>64000</v>
      </c>
      <c r="R185" s="6">
        <f t="shared" si="19"/>
        <v>5120</v>
      </c>
      <c r="S185" s="6">
        <f t="shared" si="20"/>
        <v>0</v>
      </c>
      <c r="T185" s="6">
        <f t="shared" si="21"/>
        <v>0</v>
      </c>
      <c r="U185" s="6">
        <f t="shared" si="22"/>
        <v>0</v>
      </c>
      <c r="V185" s="5">
        <f t="shared" si="23"/>
        <v>0</v>
      </c>
    </row>
    <row r="186" spans="1:22">
      <c r="A186" t="s">
        <v>413</v>
      </c>
      <c r="B186" s="4">
        <v>45991</v>
      </c>
      <c r="C186" t="s">
        <v>83</v>
      </c>
      <c r="D186" t="s">
        <v>61</v>
      </c>
      <c r="E186" t="s">
        <v>84</v>
      </c>
      <c r="F186" t="s">
        <v>414</v>
      </c>
      <c r="G186" t="s">
        <v>89</v>
      </c>
      <c r="H186" t="s">
        <v>90</v>
      </c>
      <c r="I186">
        <v>2</v>
      </c>
      <c r="J186" s="6">
        <v>5900</v>
      </c>
      <c r="K186" s="6">
        <v>3700</v>
      </c>
      <c r="L186" s="5">
        <v>0.12</v>
      </c>
      <c r="M186" t="s">
        <v>109</v>
      </c>
      <c r="N186" t="s">
        <v>58</v>
      </c>
      <c r="O186">
        <f t="shared" si="16"/>
        <v>11</v>
      </c>
      <c r="P186">
        <f t="shared" si="17"/>
        <v>4</v>
      </c>
      <c r="Q186" s="6">
        <f t="shared" si="18"/>
        <v>11800</v>
      </c>
      <c r="R186" s="6">
        <f t="shared" si="19"/>
        <v>1416</v>
      </c>
      <c r="S186" s="6">
        <f t="shared" si="20"/>
        <v>0</v>
      </c>
      <c r="T186" s="6">
        <f t="shared" si="21"/>
        <v>0</v>
      </c>
      <c r="U186" s="6">
        <f t="shared" si="22"/>
        <v>0</v>
      </c>
      <c r="V186" s="5">
        <f t="shared" si="23"/>
        <v>0</v>
      </c>
    </row>
    <row r="187" spans="1:22">
      <c r="A187" t="s">
        <v>415</v>
      </c>
      <c r="B187" s="4">
        <v>45808</v>
      </c>
      <c r="C187" t="s">
        <v>83</v>
      </c>
      <c r="D187" t="s">
        <v>65</v>
      </c>
      <c r="E187" t="s">
        <v>94</v>
      </c>
      <c r="F187" t="s">
        <v>416</v>
      </c>
      <c r="G187" t="s">
        <v>89</v>
      </c>
      <c r="H187" t="s">
        <v>98</v>
      </c>
      <c r="I187">
        <v>4</v>
      </c>
      <c r="J187" s="6">
        <v>16500</v>
      </c>
      <c r="K187" s="6">
        <v>10000</v>
      </c>
      <c r="L187" s="5">
        <v>0.03</v>
      </c>
      <c r="M187" t="s">
        <v>57</v>
      </c>
      <c r="N187" t="s">
        <v>81</v>
      </c>
      <c r="O187">
        <f t="shared" si="16"/>
        <v>5</v>
      </c>
      <c r="P187">
        <f t="shared" si="17"/>
        <v>2</v>
      </c>
      <c r="Q187" s="6">
        <f t="shared" si="18"/>
        <v>66000</v>
      </c>
      <c r="R187" s="6">
        <f t="shared" si="19"/>
        <v>1980</v>
      </c>
      <c r="S187" s="6">
        <f t="shared" si="20"/>
        <v>64020</v>
      </c>
      <c r="T187" s="6">
        <f t="shared" si="21"/>
        <v>40000</v>
      </c>
      <c r="U187" s="6">
        <f t="shared" si="22"/>
        <v>24020</v>
      </c>
      <c r="V187" s="5">
        <f t="shared" si="23"/>
        <v>0.37519525148391125</v>
      </c>
    </row>
    <row r="188" spans="1:22">
      <c r="A188" t="s">
        <v>417</v>
      </c>
      <c r="B188" s="4">
        <v>45960</v>
      </c>
      <c r="C188" t="s">
        <v>120</v>
      </c>
      <c r="D188" t="s">
        <v>106</v>
      </c>
      <c r="E188" t="s">
        <v>94</v>
      </c>
      <c r="F188" t="s">
        <v>418</v>
      </c>
      <c r="G188" t="s">
        <v>68</v>
      </c>
      <c r="H188" t="s">
        <v>104</v>
      </c>
      <c r="I188">
        <v>4</v>
      </c>
      <c r="J188" s="6">
        <v>320000</v>
      </c>
      <c r="K188" s="6">
        <v>244000</v>
      </c>
      <c r="L188" s="5">
        <v>0.1</v>
      </c>
      <c r="M188" t="s">
        <v>57</v>
      </c>
      <c r="N188" t="s">
        <v>58</v>
      </c>
      <c r="O188">
        <f t="shared" si="16"/>
        <v>10</v>
      </c>
      <c r="P188">
        <f t="shared" si="17"/>
        <v>4</v>
      </c>
      <c r="Q188" s="6">
        <f t="shared" si="18"/>
        <v>1280000</v>
      </c>
      <c r="R188" s="6">
        <f t="shared" si="19"/>
        <v>128000</v>
      </c>
      <c r="S188" s="6">
        <f t="shared" si="20"/>
        <v>1152000</v>
      </c>
      <c r="T188" s="6">
        <f t="shared" si="21"/>
        <v>976000</v>
      </c>
      <c r="U188" s="6">
        <f t="shared" si="22"/>
        <v>176000</v>
      </c>
      <c r="V188" s="5">
        <f t="shared" si="23"/>
        <v>0.15277777777777779</v>
      </c>
    </row>
    <row r="189" spans="1:22">
      <c r="A189" t="s">
        <v>419</v>
      </c>
      <c r="B189" s="4">
        <v>46002</v>
      </c>
      <c r="C189" t="s">
        <v>120</v>
      </c>
      <c r="D189" t="s">
        <v>61</v>
      </c>
      <c r="E189" t="s">
        <v>94</v>
      </c>
      <c r="F189" t="s">
        <v>420</v>
      </c>
      <c r="G189" t="s">
        <v>89</v>
      </c>
      <c r="H189" t="s">
        <v>98</v>
      </c>
      <c r="I189">
        <v>6</v>
      </c>
      <c r="J189" s="6">
        <v>16500</v>
      </c>
      <c r="K189" s="6">
        <v>10000</v>
      </c>
      <c r="L189" s="5">
        <v>0.03</v>
      </c>
      <c r="M189" t="s">
        <v>57</v>
      </c>
      <c r="N189" t="s">
        <v>75</v>
      </c>
      <c r="O189">
        <f t="shared" si="16"/>
        <v>12</v>
      </c>
      <c r="P189">
        <f t="shared" si="17"/>
        <v>4</v>
      </c>
      <c r="Q189" s="6">
        <f t="shared" si="18"/>
        <v>99000</v>
      </c>
      <c r="R189" s="6">
        <f t="shared" si="19"/>
        <v>2970</v>
      </c>
      <c r="S189" s="6">
        <f t="shared" si="20"/>
        <v>96030</v>
      </c>
      <c r="T189" s="6">
        <f t="shared" si="21"/>
        <v>60000</v>
      </c>
      <c r="U189" s="6">
        <f t="shared" si="22"/>
        <v>36030</v>
      </c>
      <c r="V189" s="5">
        <f t="shared" si="23"/>
        <v>0.37519525148391125</v>
      </c>
    </row>
    <row r="190" spans="1:22">
      <c r="A190" t="s">
        <v>421</v>
      </c>
      <c r="B190" s="4">
        <v>45734</v>
      </c>
      <c r="C190" t="s">
        <v>77</v>
      </c>
      <c r="D190" t="s">
        <v>106</v>
      </c>
      <c r="E190" t="s">
        <v>53</v>
      </c>
      <c r="F190" t="s">
        <v>422</v>
      </c>
      <c r="G190" t="s">
        <v>68</v>
      </c>
      <c r="H190" t="s">
        <v>79</v>
      </c>
      <c r="I190">
        <v>2</v>
      </c>
      <c r="J190" s="6">
        <v>19000</v>
      </c>
      <c r="K190" s="6">
        <v>11500</v>
      </c>
      <c r="L190" s="5">
        <v>0</v>
      </c>
      <c r="M190" t="s">
        <v>57</v>
      </c>
      <c r="N190" t="s">
        <v>63</v>
      </c>
      <c r="O190">
        <f t="shared" si="16"/>
        <v>3</v>
      </c>
      <c r="P190">
        <f t="shared" si="17"/>
        <v>1</v>
      </c>
      <c r="Q190" s="6">
        <f t="shared" si="18"/>
        <v>38000</v>
      </c>
      <c r="R190" s="6">
        <f t="shared" si="19"/>
        <v>0</v>
      </c>
      <c r="S190" s="6">
        <f t="shared" si="20"/>
        <v>38000</v>
      </c>
      <c r="T190" s="6">
        <f t="shared" si="21"/>
        <v>23000</v>
      </c>
      <c r="U190" s="6">
        <f t="shared" si="22"/>
        <v>15000</v>
      </c>
      <c r="V190" s="5">
        <f t="shared" si="23"/>
        <v>0.39473684210526316</v>
      </c>
    </row>
    <row r="191" spans="1:22">
      <c r="A191" t="s">
        <v>423</v>
      </c>
      <c r="B191" s="4">
        <v>45887</v>
      </c>
      <c r="C191" t="s">
        <v>92</v>
      </c>
      <c r="D191" t="s">
        <v>61</v>
      </c>
      <c r="E191" t="s">
        <v>84</v>
      </c>
      <c r="F191" t="s">
        <v>246</v>
      </c>
      <c r="G191" t="s">
        <v>89</v>
      </c>
      <c r="H191" t="s">
        <v>98</v>
      </c>
      <c r="I191">
        <v>7</v>
      </c>
      <c r="J191" s="6">
        <v>16500</v>
      </c>
      <c r="K191" s="6">
        <v>10000</v>
      </c>
      <c r="L191" s="5">
        <v>0.03</v>
      </c>
      <c r="M191" t="s">
        <v>57</v>
      </c>
      <c r="N191" t="s">
        <v>70</v>
      </c>
      <c r="O191">
        <f t="shared" si="16"/>
        <v>8</v>
      </c>
      <c r="P191">
        <f t="shared" si="17"/>
        <v>3</v>
      </c>
      <c r="Q191" s="6">
        <f t="shared" si="18"/>
        <v>115500</v>
      </c>
      <c r="R191" s="6">
        <f t="shared" si="19"/>
        <v>3465</v>
      </c>
      <c r="S191" s="6">
        <f t="shared" si="20"/>
        <v>112035</v>
      </c>
      <c r="T191" s="6">
        <f t="shared" si="21"/>
        <v>70000</v>
      </c>
      <c r="U191" s="6">
        <f t="shared" si="22"/>
        <v>42035</v>
      </c>
      <c r="V191" s="5">
        <f t="shared" si="23"/>
        <v>0.37519525148391125</v>
      </c>
    </row>
    <row r="192" spans="1:22">
      <c r="A192" t="s">
        <v>424</v>
      </c>
      <c r="B192" s="4">
        <v>45858</v>
      </c>
      <c r="C192" t="s">
        <v>51</v>
      </c>
      <c r="D192" t="s">
        <v>72</v>
      </c>
      <c r="E192" t="s">
        <v>53</v>
      </c>
      <c r="F192" t="s">
        <v>400</v>
      </c>
      <c r="G192" t="s">
        <v>68</v>
      </c>
      <c r="H192" t="s">
        <v>69</v>
      </c>
      <c r="I192">
        <v>3</v>
      </c>
      <c r="J192" s="6">
        <v>115000</v>
      </c>
      <c r="K192" s="6">
        <v>82000</v>
      </c>
      <c r="L192" s="5">
        <v>0.08</v>
      </c>
      <c r="M192" t="s">
        <v>57</v>
      </c>
      <c r="N192" t="s">
        <v>81</v>
      </c>
      <c r="O192">
        <f t="shared" si="16"/>
        <v>7</v>
      </c>
      <c r="P192">
        <f t="shared" si="17"/>
        <v>3</v>
      </c>
      <c r="Q192" s="6">
        <f t="shared" si="18"/>
        <v>345000</v>
      </c>
      <c r="R192" s="6">
        <f t="shared" si="19"/>
        <v>27600</v>
      </c>
      <c r="S192" s="6">
        <f t="shared" si="20"/>
        <v>317400</v>
      </c>
      <c r="T192" s="6">
        <f t="shared" si="21"/>
        <v>246000</v>
      </c>
      <c r="U192" s="6">
        <f t="shared" si="22"/>
        <v>71400</v>
      </c>
      <c r="V192" s="5">
        <f t="shared" si="23"/>
        <v>0.22495274102079396</v>
      </c>
    </row>
    <row r="193" spans="1:22">
      <c r="A193" t="s">
        <v>425</v>
      </c>
      <c r="B193" s="4">
        <v>45705</v>
      </c>
      <c r="C193" t="s">
        <v>120</v>
      </c>
      <c r="D193" t="s">
        <v>106</v>
      </c>
      <c r="E193" t="s">
        <v>84</v>
      </c>
      <c r="F193" t="s">
        <v>405</v>
      </c>
      <c r="G193" t="s">
        <v>55</v>
      </c>
      <c r="H193" t="s">
        <v>115</v>
      </c>
      <c r="I193">
        <v>8</v>
      </c>
      <c r="J193" s="6">
        <v>105000</v>
      </c>
      <c r="K193" s="6">
        <v>76000</v>
      </c>
      <c r="L193" s="5">
        <v>0</v>
      </c>
      <c r="M193" t="s">
        <v>57</v>
      </c>
      <c r="N193" t="s">
        <v>70</v>
      </c>
      <c r="O193">
        <f t="shared" si="16"/>
        <v>2</v>
      </c>
      <c r="P193">
        <f t="shared" si="17"/>
        <v>1</v>
      </c>
      <c r="Q193" s="6">
        <f t="shared" si="18"/>
        <v>840000</v>
      </c>
      <c r="R193" s="6">
        <f t="shared" si="19"/>
        <v>0</v>
      </c>
      <c r="S193" s="6">
        <f t="shared" si="20"/>
        <v>840000</v>
      </c>
      <c r="T193" s="6">
        <f t="shared" si="21"/>
        <v>608000</v>
      </c>
      <c r="U193" s="6">
        <f t="shared" si="22"/>
        <v>232000</v>
      </c>
      <c r="V193" s="5">
        <f t="shared" si="23"/>
        <v>0.27619047619047621</v>
      </c>
    </row>
    <row r="194" spans="1:22">
      <c r="A194" t="s">
        <v>426</v>
      </c>
      <c r="B194" s="4">
        <v>45942</v>
      </c>
      <c r="C194" t="s">
        <v>77</v>
      </c>
      <c r="D194" t="s">
        <v>93</v>
      </c>
      <c r="E194" t="s">
        <v>66</v>
      </c>
      <c r="F194" t="s">
        <v>427</v>
      </c>
      <c r="G194" t="s">
        <v>55</v>
      </c>
      <c r="H194" t="s">
        <v>86</v>
      </c>
      <c r="I194">
        <v>7</v>
      </c>
      <c r="J194" s="6">
        <v>92000</v>
      </c>
      <c r="K194" s="6">
        <v>60000</v>
      </c>
      <c r="L194" s="5">
        <v>0.12</v>
      </c>
      <c r="M194" t="s">
        <v>80</v>
      </c>
      <c r="N194" t="s">
        <v>58</v>
      </c>
      <c r="O194">
        <f t="shared" ref="O194:O257" si="24">MONTH(B194)</f>
        <v>10</v>
      </c>
      <c r="P194">
        <f t="shared" ref="P194:P257" si="25">ROUNDUP(O194/3,0)</f>
        <v>4</v>
      </c>
      <c r="Q194" s="6">
        <f t="shared" ref="Q194:Q257" si="26">I194*J194</f>
        <v>644000</v>
      </c>
      <c r="R194" s="6">
        <f t="shared" ref="R194:R257" si="27">Q194*L194</f>
        <v>77280</v>
      </c>
      <c r="S194" s="6">
        <f t="shared" ref="S194:S257" si="28">IF(M194="Ganho",Q194-R194,0)</f>
        <v>0</v>
      </c>
      <c r="T194" s="6">
        <f t="shared" ref="T194:T257" si="29">IF(M194="Ganho",I194*K194,0)</f>
        <v>0</v>
      </c>
      <c r="U194" s="6">
        <f t="shared" ref="U194:U257" si="30">S194-T194</f>
        <v>0</v>
      </c>
      <c r="V194" s="5">
        <f t="shared" ref="V194:V257" si="31">IFERROR(U194/S194,0)</f>
        <v>0</v>
      </c>
    </row>
    <row r="195" spans="1:22">
      <c r="A195" t="s">
        <v>428</v>
      </c>
      <c r="B195" s="4">
        <v>45818</v>
      </c>
      <c r="C195" t="s">
        <v>77</v>
      </c>
      <c r="D195" t="s">
        <v>106</v>
      </c>
      <c r="E195" t="s">
        <v>73</v>
      </c>
      <c r="F195" t="s">
        <v>236</v>
      </c>
      <c r="G195" t="s">
        <v>68</v>
      </c>
      <c r="H195" t="s">
        <v>108</v>
      </c>
      <c r="I195">
        <v>5</v>
      </c>
      <c r="J195" s="6">
        <v>175000</v>
      </c>
      <c r="K195" s="6">
        <v>129000</v>
      </c>
      <c r="L195" s="5">
        <v>0.12</v>
      </c>
      <c r="M195" t="s">
        <v>80</v>
      </c>
      <c r="N195" t="s">
        <v>75</v>
      </c>
      <c r="O195">
        <f t="shared" si="24"/>
        <v>6</v>
      </c>
      <c r="P195">
        <f t="shared" si="25"/>
        <v>2</v>
      </c>
      <c r="Q195" s="6">
        <f t="shared" si="26"/>
        <v>875000</v>
      </c>
      <c r="R195" s="6">
        <f t="shared" si="27"/>
        <v>105000</v>
      </c>
      <c r="S195" s="6">
        <f t="shared" si="28"/>
        <v>0</v>
      </c>
      <c r="T195" s="6">
        <f t="shared" si="29"/>
        <v>0</v>
      </c>
      <c r="U195" s="6">
        <f t="shared" si="30"/>
        <v>0</v>
      </c>
      <c r="V195" s="5">
        <f t="shared" si="31"/>
        <v>0</v>
      </c>
    </row>
    <row r="196" spans="1:22">
      <c r="A196" t="s">
        <v>429</v>
      </c>
      <c r="B196" s="4">
        <v>45736</v>
      </c>
      <c r="C196" t="s">
        <v>102</v>
      </c>
      <c r="D196" t="s">
        <v>61</v>
      </c>
      <c r="E196" t="s">
        <v>94</v>
      </c>
      <c r="F196" t="s">
        <v>319</v>
      </c>
      <c r="G196" t="s">
        <v>89</v>
      </c>
      <c r="H196" t="s">
        <v>90</v>
      </c>
      <c r="I196">
        <v>4</v>
      </c>
      <c r="J196" s="6">
        <v>5900</v>
      </c>
      <c r="K196" s="6">
        <v>3700</v>
      </c>
      <c r="L196" s="5">
        <v>0</v>
      </c>
      <c r="M196" t="s">
        <v>57</v>
      </c>
      <c r="N196" t="s">
        <v>81</v>
      </c>
      <c r="O196">
        <f t="shared" si="24"/>
        <v>3</v>
      </c>
      <c r="P196">
        <f t="shared" si="25"/>
        <v>1</v>
      </c>
      <c r="Q196" s="6">
        <f t="shared" si="26"/>
        <v>23600</v>
      </c>
      <c r="R196" s="6">
        <f t="shared" si="27"/>
        <v>0</v>
      </c>
      <c r="S196" s="6">
        <f t="shared" si="28"/>
        <v>23600</v>
      </c>
      <c r="T196" s="6">
        <f t="shared" si="29"/>
        <v>14800</v>
      </c>
      <c r="U196" s="6">
        <f t="shared" si="30"/>
        <v>8800</v>
      </c>
      <c r="V196" s="5">
        <f t="shared" si="31"/>
        <v>0.3728813559322034</v>
      </c>
    </row>
    <row r="197" spans="1:22">
      <c r="A197" t="s">
        <v>430</v>
      </c>
      <c r="B197" s="4">
        <v>45836</v>
      </c>
      <c r="C197" t="s">
        <v>83</v>
      </c>
      <c r="D197" t="s">
        <v>106</v>
      </c>
      <c r="E197" t="s">
        <v>66</v>
      </c>
      <c r="F197" t="s">
        <v>67</v>
      </c>
      <c r="G197" t="s">
        <v>55</v>
      </c>
      <c r="H197" t="s">
        <v>86</v>
      </c>
      <c r="I197">
        <v>4</v>
      </c>
      <c r="J197" s="6">
        <v>92000</v>
      </c>
      <c r="K197" s="6">
        <v>60000</v>
      </c>
      <c r="L197" s="5">
        <v>0.08</v>
      </c>
      <c r="M197" t="s">
        <v>109</v>
      </c>
      <c r="N197" t="s">
        <v>63</v>
      </c>
      <c r="O197">
        <f t="shared" si="24"/>
        <v>6</v>
      </c>
      <c r="P197">
        <f t="shared" si="25"/>
        <v>2</v>
      </c>
      <c r="Q197" s="6">
        <f t="shared" si="26"/>
        <v>368000</v>
      </c>
      <c r="R197" s="6">
        <f t="shared" si="27"/>
        <v>29440</v>
      </c>
      <c r="S197" s="6">
        <f t="shared" si="28"/>
        <v>0</v>
      </c>
      <c r="T197" s="6">
        <f t="shared" si="29"/>
        <v>0</v>
      </c>
      <c r="U197" s="6">
        <f t="shared" si="30"/>
        <v>0</v>
      </c>
      <c r="V197" s="5">
        <f t="shared" si="31"/>
        <v>0</v>
      </c>
    </row>
    <row r="198" spans="1:22">
      <c r="A198" t="s">
        <v>431</v>
      </c>
      <c r="B198" s="4">
        <v>45706</v>
      </c>
      <c r="C198" t="s">
        <v>102</v>
      </c>
      <c r="D198" t="s">
        <v>106</v>
      </c>
      <c r="E198" t="s">
        <v>94</v>
      </c>
      <c r="F198" t="s">
        <v>97</v>
      </c>
      <c r="G198" t="s">
        <v>89</v>
      </c>
      <c r="H198" t="s">
        <v>95</v>
      </c>
      <c r="I198">
        <v>2</v>
      </c>
      <c r="J198" s="6">
        <v>32000</v>
      </c>
      <c r="K198" s="6">
        <v>21000</v>
      </c>
      <c r="L198" s="5">
        <v>0.05</v>
      </c>
      <c r="M198" t="s">
        <v>57</v>
      </c>
      <c r="N198" t="s">
        <v>70</v>
      </c>
      <c r="O198">
        <f t="shared" si="24"/>
        <v>2</v>
      </c>
      <c r="P198">
        <f t="shared" si="25"/>
        <v>1</v>
      </c>
      <c r="Q198" s="6">
        <f t="shared" si="26"/>
        <v>64000</v>
      </c>
      <c r="R198" s="6">
        <f t="shared" si="27"/>
        <v>3200</v>
      </c>
      <c r="S198" s="6">
        <f t="shared" si="28"/>
        <v>60800</v>
      </c>
      <c r="T198" s="6">
        <f t="shared" si="29"/>
        <v>42000</v>
      </c>
      <c r="U198" s="6">
        <f t="shared" si="30"/>
        <v>18800</v>
      </c>
      <c r="V198" s="5">
        <f t="shared" si="31"/>
        <v>0.30921052631578949</v>
      </c>
    </row>
    <row r="199" spans="1:22">
      <c r="A199" t="s">
        <v>432</v>
      </c>
      <c r="B199" s="4">
        <v>45844</v>
      </c>
      <c r="C199" t="s">
        <v>83</v>
      </c>
      <c r="D199" t="s">
        <v>72</v>
      </c>
      <c r="E199" t="s">
        <v>53</v>
      </c>
      <c r="F199" t="s">
        <v>216</v>
      </c>
      <c r="G199" t="s">
        <v>89</v>
      </c>
      <c r="H199" t="s">
        <v>95</v>
      </c>
      <c r="I199">
        <v>8</v>
      </c>
      <c r="J199" s="6">
        <v>32000</v>
      </c>
      <c r="K199" s="6">
        <v>21000</v>
      </c>
      <c r="L199" s="5">
        <v>0.08</v>
      </c>
      <c r="M199" t="s">
        <v>57</v>
      </c>
      <c r="N199" t="s">
        <v>63</v>
      </c>
      <c r="O199">
        <f t="shared" si="24"/>
        <v>7</v>
      </c>
      <c r="P199">
        <f t="shared" si="25"/>
        <v>3</v>
      </c>
      <c r="Q199" s="6">
        <f t="shared" si="26"/>
        <v>256000</v>
      </c>
      <c r="R199" s="6">
        <f t="shared" si="27"/>
        <v>20480</v>
      </c>
      <c r="S199" s="6">
        <f t="shared" si="28"/>
        <v>235520</v>
      </c>
      <c r="T199" s="6">
        <f t="shared" si="29"/>
        <v>168000</v>
      </c>
      <c r="U199" s="6">
        <f t="shared" si="30"/>
        <v>67520</v>
      </c>
      <c r="V199" s="5">
        <f t="shared" si="31"/>
        <v>0.28668478260869568</v>
      </c>
    </row>
    <row r="200" spans="1:22">
      <c r="A200" t="s">
        <v>433</v>
      </c>
      <c r="B200" s="4">
        <v>46001</v>
      </c>
      <c r="C200" t="s">
        <v>111</v>
      </c>
      <c r="D200" t="s">
        <v>61</v>
      </c>
      <c r="E200" t="s">
        <v>84</v>
      </c>
      <c r="F200" t="s">
        <v>434</v>
      </c>
      <c r="G200" t="s">
        <v>55</v>
      </c>
      <c r="H200" t="s">
        <v>86</v>
      </c>
      <c r="I200">
        <v>1</v>
      </c>
      <c r="J200" s="6">
        <v>92000</v>
      </c>
      <c r="K200" s="6">
        <v>60000</v>
      </c>
      <c r="L200" s="5">
        <v>0.1</v>
      </c>
      <c r="M200" t="s">
        <v>109</v>
      </c>
      <c r="N200" t="s">
        <v>75</v>
      </c>
      <c r="O200">
        <f t="shared" si="24"/>
        <v>12</v>
      </c>
      <c r="P200">
        <f t="shared" si="25"/>
        <v>4</v>
      </c>
      <c r="Q200" s="6">
        <f t="shared" si="26"/>
        <v>92000</v>
      </c>
      <c r="R200" s="6">
        <f t="shared" si="27"/>
        <v>9200</v>
      </c>
      <c r="S200" s="6">
        <f t="shared" si="28"/>
        <v>0</v>
      </c>
      <c r="T200" s="6">
        <f t="shared" si="29"/>
        <v>0</v>
      </c>
      <c r="U200" s="6">
        <f t="shared" si="30"/>
        <v>0</v>
      </c>
      <c r="V200" s="5">
        <f t="shared" si="31"/>
        <v>0</v>
      </c>
    </row>
    <row r="201" spans="1:22">
      <c r="A201" t="s">
        <v>435</v>
      </c>
      <c r="B201" s="4">
        <v>45826</v>
      </c>
      <c r="C201" t="s">
        <v>111</v>
      </c>
      <c r="D201" t="s">
        <v>52</v>
      </c>
      <c r="E201" t="s">
        <v>66</v>
      </c>
      <c r="F201" t="s">
        <v>436</v>
      </c>
      <c r="G201" t="s">
        <v>55</v>
      </c>
      <c r="H201" t="s">
        <v>56</v>
      </c>
      <c r="I201">
        <v>4</v>
      </c>
      <c r="J201" s="6">
        <v>138000</v>
      </c>
      <c r="K201" s="6">
        <v>99000</v>
      </c>
      <c r="L201" s="5">
        <v>0.08</v>
      </c>
      <c r="M201" t="s">
        <v>80</v>
      </c>
      <c r="N201" t="s">
        <v>63</v>
      </c>
      <c r="O201">
        <f t="shared" si="24"/>
        <v>6</v>
      </c>
      <c r="P201">
        <f t="shared" si="25"/>
        <v>2</v>
      </c>
      <c r="Q201" s="6">
        <f t="shared" si="26"/>
        <v>552000</v>
      </c>
      <c r="R201" s="6">
        <f t="shared" si="27"/>
        <v>44160</v>
      </c>
      <c r="S201" s="6">
        <f t="shared" si="28"/>
        <v>0</v>
      </c>
      <c r="T201" s="6">
        <f t="shared" si="29"/>
        <v>0</v>
      </c>
      <c r="U201" s="6">
        <f t="shared" si="30"/>
        <v>0</v>
      </c>
      <c r="V201" s="5">
        <f t="shared" si="31"/>
        <v>0</v>
      </c>
    </row>
    <row r="202" spans="1:22">
      <c r="A202" t="s">
        <v>437</v>
      </c>
      <c r="B202" s="4">
        <v>45788</v>
      </c>
      <c r="C202" t="s">
        <v>83</v>
      </c>
      <c r="D202" t="s">
        <v>72</v>
      </c>
      <c r="E202" t="s">
        <v>53</v>
      </c>
      <c r="F202" t="s">
        <v>438</v>
      </c>
      <c r="G202" t="s">
        <v>68</v>
      </c>
      <c r="H202" t="s">
        <v>108</v>
      </c>
      <c r="I202">
        <v>6</v>
      </c>
      <c r="J202" s="6">
        <v>175000</v>
      </c>
      <c r="K202" s="6">
        <v>129000</v>
      </c>
      <c r="L202" s="5">
        <v>0.08</v>
      </c>
      <c r="M202" t="s">
        <v>57</v>
      </c>
      <c r="N202" t="s">
        <v>63</v>
      </c>
      <c r="O202">
        <f t="shared" si="24"/>
        <v>5</v>
      </c>
      <c r="P202">
        <f t="shared" si="25"/>
        <v>2</v>
      </c>
      <c r="Q202" s="6">
        <f t="shared" si="26"/>
        <v>1050000</v>
      </c>
      <c r="R202" s="6">
        <f t="shared" si="27"/>
        <v>84000</v>
      </c>
      <c r="S202" s="6">
        <f t="shared" si="28"/>
        <v>966000</v>
      </c>
      <c r="T202" s="6">
        <f t="shared" si="29"/>
        <v>774000</v>
      </c>
      <c r="U202" s="6">
        <f t="shared" si="30"/>
        <v>192000</v>
      </c>
      <c r="V202" s="5">
        <f t="shared" si="31"/>
        <v>0.19875776397515527</v>
      </c>
    </row>
    <row r="203" spans="1:22">
      <c r="A203" t="s">
        <v>439</v>
      </c>
      <c r="B203" s="4">
        <v>45658</v>
      </c>
      <c r="C203" t="s">
        <v>111</v>
      </c>
      <c r="D203" t="s">
        <v>61</v>
      </c>
      <c r="E203" t="s">
        <v>94</v>
      </c>
      <c r="F203" t="s">
        <v>327</v>
      </c>
      <c r="G203" t="s">
        <v>68</v>
      </c>
      <c r="H203" t="s">
        <v>69</v>
      </c>
      <c r="I203">
        <v>2</v>
      </c>
      <c r="J203" s="6">
        <v>115000</v>
      </c>
      <c r="K203" s="6">
        <v>82000</v>
      </c>
      <c r="L203" s="5">
        <v>0</v>
      </c>
      <c r="M203" t="s">
        <v>57</v>
      </c>
      <c r="N203" t="s">
        <v>70</v>
      </c>
      <c r="O203">
        <f t="shared" si="24"/>
        <v>1</v>
      </c>
      <c r="P203">
        <f t="shared" si="25"/>
        <v>1</v>
      </c>
      <c r="Q203" s="6">
        <f t="shared" si="26"/>
        <v>230000</v>
      </c>
      <c r="R203" s="6">
        <f t="shared" si="27"/>
        <v>0</v>
      </c>
      <c r="S203" s="6">
        <f t="shared" si="28"/>
        <v>230000</v>
      </c>
      <c r="T203" s="6">
        <f t="shared" si="29"/>
        <v>164000</v>
      </c>
      <c r="U203" s="6">
        <f t="shared" si="30"/>
        <v>66000</v>
      </c>
      <c r="V203" s="5">
        <f t="shared" si="31"/>
        <v>0.28695652173913044</v>
      </c>
    </row>
    <row r="204" spans="1:22">
      <c r="A204" t="s">
        <v>440</v>
      </c>
      <c r="B204" s="4">
        <v>45771</v>
      </c>
      <c r="C204" t="s">
        <v>92</v>
      </c>
      <c r="D204" t="s">
        <v>61</v>
      </c>
      <c r="E204" t="s">
        <v>94</v>
      </c>
      <c r="F204" t="s">
        <v>441</v>
      </c>
      <c r="G204" t="s">
        <v>68</v>
      </c>
      <c r="H204" t="s">
        <v>69</v>
      </c>
      <c r="I204">
        <v>2</v>
      </c>
      <c r="J204" s="6">
        <v>115000</v>
      </c>
      <c r="K204" s="6">
        <v>82000</v>
      </c>
      <c r="L204" s="5">
        <v>0.1</v>
      </c>
      <c r="M204" t="s">
        <v>109</v>
      </c>
      <c r="N204" t="s">
        <v>70</v>
      </c>
      <c r="O204">
        <f t="shared" si="24"/>
        <v>4</v>
      </c>
      <c r="P204">
        <f t="shared" si="25"/>
        <v>2</v>
      </c>
      <c r="Q204" s="6">
        <f t="shared" si="26"/>
        <v>230000</v>
      </c>
      <c r="R204" s="6">
        <f t="shared" si="27"/>
        <v>23000</v>
      </c>
      <c r="S204" s="6">
        <f t="shared" si="28"/>
        <v>0</v>
      </c>
      <c r="T204" s="6">
        <f t="shared" si="29"/>
        <v>0</v>
      </c>
      <c r="U204" s="6">
        <f t="shared" si="30"/>
        <v>0</v>
      </c>
      <c r="V204" s="5">
        <f t="shared" si="31"/>
        <v>0</v>
      </c>
    </row>
    <row r="205" spans="1:22">
      <c r="A205" t="s">
        <v>442</v>
      </c>
      <c r="B205" s="4">
        <v>45722</v>
      </c>
      <c r="C205" t="s">
        <v>102</v>
      </c>
      <c r="D205" t="s">
        <v>72</v>
      </c>
      <c r="E205" t="s">
        <v>84</v>
      </c>
      <c r="F205" t="s">
        <v>67</v>
      </c>
      <c r="G205" t="s">
        <v>55</v>
      </c>
      <c r="H205" t="s">
        <v>115</v>
      </c>
      <c r="I205">
        <v>1</v>
      </c>
      <c r="J205" s="6">
        <v>105000</v>
      </c>
      <c r="K205" s="6">
        <v>76000</v>
      </c>
      <c r="L205" s="5">
        <v>0.1</v>
      </c>
      <c r="M205" t="s">
        <v>80</v>
      </c>
      <c r="N205" t="s">
        <v>70</v>
      </c>
      <c r="O205">
        <f t="shared" si="24"/>
        <v>3</v>
      </c>
      <c r="P205">
        <f t="shared" si="25"/>
        <v>1</v>
      </c>
      <c r="Q205" s="6">
        <f t="shared" si="26"/>
        <v>105000</v>
      </c>
      <c r="R205" s="6">
        <f t="shared" si="27"/>
        <v>10500</v>
      </c>
      <c r="S205" s="6">
        <f t="shared" si="28"/>
        <v>0</v>
      </c>
      <c r="T205" s="6">
        <f t="shared" si="29"/>
        <v>0</v>
      </c>
      <c r="U205" s="6">
        <f t="shared" si="30"/>
        <v>0</v>
      </c>
      <c r="V205" s="5">
        <f t="shared" si="31"/>
        <v>0</v>
      </c>
    </row>
    <row r="206" spans="1:22">
      <c r="A206" t="s">
        <v>443</v>
      </c>
      <c r="B206" s="4">
        <v>45864</v>
      </c>
      <c r="C206" t="s">
        <v>77</v>
      </c>
      <c r="D206" t="s">
        <v>72</v>
      </c>
      <c r="E206" t="s">
        <v>84</v>
      </c>
      <c r="F206" t="s">
        <v>141</v>
      </c>
      <c r="G206" t="s">
        <v>55</v>
      </c>
      <c r="H206" t="s">
        <v>86</v>
      </c>
      <c r="I206">
        <v>7</v>
      </c>
      <c r="J206" s="6">
        <v>92000</v>
      </c>
      <c r="K206" s="6">
        <v>60000</v>
      </c>
      <c r="L206" s="5">
        <v>0.05</v>
      </c>
      <c r="M206" t="s">
        <v>57</v>
      </c>
      <c r="N206" t="s">
        <v>70</v>
      </c>
      <c r="O206">
        <f t="shared" si="24"/>
        <v>7</v>
      </c>
      <c r="P206">
        <f t="shared" si="25"/>
        <v>3</v>
      </c>
      <c r="Q206" s="6">
        <f t="shared" si="26"/>
        <v>644000</v>
      </c>
      <c r="R206" s="6">
        <f t="shared" si="27"/>
        <v>32200</v>
      </c>
      <c r="S206" s="6">
        <f t="shared" si="28"/>
        <v>611800</v>
      </c>
      <c r="T206" s="6">
        <f t="shared" si="29"/>
        <v>420000</v>
      </c>
      <c r="U206" s="6">
        <f t="shared" si="30"/>
        <v>191800</v>
      </c>
      <c r="V206" s="5">
        <f t="shared" si="31"/>
        <v>0.31350114416475972</v>
      </c>
    </row>
    <row r="207" spans="1:22">
      <c r="A207" t="s">
        <v>444</v>
      </c>
      <c r="B207" s="4">
        <v>45937</v>
      </c>
      <c r="C207" t="s">
        <v>120</v>
      </c>
      <c r="D207" t="s">
        <v>65</v>
      </c>
      <c r="E207" t="s">
        <v>66</v>
      </c>
      <c r="F207" t="s">
        <v>220</v>
      </c>
      <c r="G207" t="s">
        <v>68</v>
      </c>
      <c r="H207" t="s">
        <v>79</v>
      </c>
      <c r="I207">
        <v>5</v>
      </c>
      <c r="J207" s="6">
        <v>19000</v>
      </c>
      <c r="K207" s="6">
        <v>11500</v>
      </c>
      <c r="L207" s="5">
        <v>0.03</v>
      </c>
      <c r="M207" t="s">
        <v>57</v>
      </c>
      <c r="N207" t="s">
        <v>75</v>
      </c>
      <c r="O207">
        <f t="shared" si="24"/>
        <v>10</v>
      </c>
      <c r="P207">
        <f t="shared" si="25"/>
        <v>4</v>
      </c>
      <c r="Q207" s="6">
        <f t="shared" si="26"/>
        <v>95000</v>
      </c>
      <c r="R207" s="6">
        <f t="shared" si="27"/>
        <v>2850</v>
      </c>
      <c r="S207" s="6">
        <f t="shared" si="28"/>
        <v>92150</v>
      </c>
      <c r="T207" s="6">
        <f t="shared" si="29"/>
        <v>57500</v>
      </c>
      <c r="U207" s="6">
        <f t="shared" si="30"/>
        <v>34650</v>
      </c>
      <c r="V207" s="5">
        <f t="shared" si="31"/>
        <v>0.37601736299511668</v>
      </c>
    </row>
    <row r="208" spans="1:22">
      <c r="A208" t="s">
        <v>445</v>
      </c>
      <c r="B208" s="4">
        <v>45860</v>
      </c>
      <c r="C208" t="s">
        <v>92</v>
      </c>
      <c r="D208" t="s">
        <v>61</v>
      </c>
      <c r="E208" t="s">
        <v>73</v>
      </c>
      <c r="F208" t="s">
        <v>266</v>
      </c>
      <c r="G208" t="s">
        <v>68</v>
      </c>
      <c r="H208" t="s">
        <v>79</v>
      </c>
      <c r="I208">
        <v>8</v>
      </c>
      <c r="J208" s="6">
        <v>19000</v>
      </c>
      <c r="K208" s="6">
        <v>11500</v>
      </c>
      <c r="L208" s="5">
        <v>0</v>
      </c>
      <c r="M208" t="s">
        <v>57</v>
      </c>
      <c r="N208" t="s">
        <v>70</v>
      </c>
      <c r="O208">
        <f t="shared" si="24"/>
        <v>7</v>
      </c>
      <c r="P208">
        <f t="shared" si="25"/>
        <v>3</v>
      </c>
      <c r="Q208" s="6">
        <f t="shared" si="26"/>
        <v>152000</v>
      </c>
      <c r="R208" s="6">
        <f t="shared" si="27"/>
        <v>0</v>
      </c>
      <c r="S208" s="6">
        <f t="shared" si="28"/>
        <v>152000</v>
      </c>
      <c r="T208" s="6">
        <f t="shared" si="29"/>
        <v>92000</v>
      </c>
      <c r="U208" s="6">
        <f t="shared" si="30"/>
        <v>60000</v>
      </c>
      <c r="V208" s="5">
        <f t="shared" si="31"/>
        <v>0.39473684210526316</v>
      </c>
    </row>
    <row r="209" spans="1:22">
      <c r="A209" t="s">
        <v>446</v>
      </c>
      <c r="B209" s="4">
        <v>45797</v>
      </c>
      <c r="C209" t="s">
        <v>102</v>
      </c>
      <c r="D209" t="s">
        <v>72</v>
      </c>
      <c r="E209" t="s">
        <v>53</v>
      </c>
      <c r="F209" t="s">
        <v>447</v>
      </c>
      <c r="G209" t="s">
        <v>55</v>
      </c>
      <c r="H209" t="s">
        <v>56</v>
      </c>
      <c r="I209">
        <v>5</v>
      </c>
      <c r="J209" s="6">
        <v>138000</v>
      </c>
      <c r="K209" s="6">
        <v>99000</v>
      </c>
      <c r="L209" s="5">
        <v>0.03</v>
      </c>
      <c r="M209" t="s">
        <v>57</v>
      </c>
      <c r="N209" t="s">
        <v>70</v>
      </c>
      <c r="O209">
        <f t="shared" si="24"/>
        <v>5</v>
      </c>
      <c r="P209">
        <f t="shared" si="25"/>
        <v>2</v>
      </c>
      <c r="Q209" s="6">
        <f t="shared" si="26"/>
        <v>690000</v>
      </c>
      <c r="R209" s="6">
        <f t="shared" si="27"/>
        <v>20700</v>
      </c>
      <c r="S209" s="6">
        <f t="shared" si="28"/>
        <v>669300</v>
      </c>
      <c r="T209" s="6">
        <f t="shared" si="29"/>
        <v>495000</v>
      </c>
      <c r="U209" s="6">
        <f t="shared" si="30"/>
        <v>174300</v>
      </c>
      <c r="V209" s="5">
        <f t="shared" si="31"/>
        <v>0.26042133572389065</v>
      </c>
    </row>
    <row r="210" spans="1:22">
      <c r="A210" t="s">
        <v>448</v>
      </c>
      <c r="B210" s="4">
        <v>45805</v>
      </c>
      <c r="C210" t="s">
        <v>92</v>
      </c>
      <c r="D210" t="s">
        <v>61</v>
      </c>
      <c r="E210" t="s">
        <v>94</v>
      </c>
      <c r="F210" t="s">
        <v>449</v>
      </c>
      <c r="G210" t="s">
        <v>55</v>
      </c>
      <c r="H210" t="s">
        <v>115</v>
      </c>
      <c r="I210">
        <v>1</v>
      </c>
      <c r="J210" s="6">
        <v>105000</v>
      </c>
      <c r="K210" s="6">
        <v>76000</v>
      </c>
      <c r="L210" s="5">
        <v>0</v>
      </c>
      <c r="M210" t="s">
        <v>109</v>
      </c>
      <c r="N210" t="s">
        <v>75</v>
      </c>
      <c r="O210">
        <f t="shared" si="24"/>
        <v>5</v>
      </c>
      <c r="P210">
        <f t="shared" si="25"/>
        <v>2</v>
      </c>
      <c r="Q210" s="6">
        <f t="shared" si="26"/>
        <v>105000</v>
      </c>
      <c r="R210" s="6">
        <f t="shared" si="27"/>
        <v>0</v>
      </c>
      <c r="S210" s="6">
        <f t="shared" si="28"/>
        <v>0</v>
      </c>
      <c r="T210" s="6">
        <f t="shared" si="29"/>
        <v>0</v>
      </c>
      <c r="U210" s="6">
        <f t="shared" si="30"/>
        <v>0</v>
      </c>
      <c r="V210" s="5">
        <f t="shared" si="31"/>
        <v>0</v>
      </c>
    </row>
    <row r="211" spans="1:22">
      <c r="A211" t="s">
        <v>450</v>
      </c>
      <c r="B211" s="4">
        <v>45731</v>
      </c>
      <c r="C211" t="s">
        <v>120</v>
      </c>
      <c r="D211" t="s">
        <v>61</v>
      </c>
      <c r="E211" t="s">
        <v>84</v>
      </c>
      <c r="F211" t="s">
        <v>451</v>
      </c>
      <c r="G211" t="s">
        <v>89</v>
      </c>
      <c r="H211" t="s">
        <v>95</v>
      </c>
      <c r="I211">
        <v>1</v>
      </c>
      <c r="J211" s="6">
        <v>32000</v>
      </c>
      <c r="K211" s="6">
        <v>21000</v>
      </c>
      <c r="L211" s="5">
        <v>0</v>
      </c>
      <c r="M211" t="s">
        <v>80</v>
      </c>
      <c r="N211" t="s">
        <v>75</v>
      </c>
      <c r="O211">
        <f t="shared" si="24"/>
        <v>3</v>
      </c>
      <c r="P211">
        <f t="shared" si="25"/>
        <v>1</v>
      </c>
      <c r="Q211" s="6">
        <f t="shared" si="26"/>
        <v>32000</v>
      </c>
      <c r="R211" s="6">
        <f t="shared" si="27"/>
        <v>0</v>
      </c>
      <c r="S211" s="6">
        <f t="shared" si="28"/>
        <v>0</v>
      </c>
      <c r="T211" s="6">
        <f t="shared" si="29"/>
        <v>0</v>
      </c>
      <c r="U211" s="6">
        <f t="shared" si="30"/>
        <v>0</v>
      </c>
      <c r="V211" s="5">
        <f t="shared" si="31"/>
        <v>0</v>
      </c>
    </row>
    <row r="212" spans="1:22">
      <c r="A212" t="s">
        <v>452</v>
      </c>
      <c r="B212" s="4">
        <v>45917</v>
      </c>
      <c r="C212" t="s">
        <v>83</v>
      </c>
      <c r="D212" t="s">
        <v>52</v>
      </c>
      <c r="E212" t="s">
        <v>84</v>
      </c>
      <c r="F212" t="s">
        <v>54</v>
      </c>
      <c r="G212" t="s">
        <v>68</v>
      </c>
      <c r="H212" t="s">
        <v>108</v>
      </c>
      <c r="I212">
        <v>4</v>
      </c>
      <c r="J212" s="6">
        <v>175000</v>
      </c>
      <c r="K212" s="6">
        <v>129000</v>
      </c>
      <c r="L212" s="5">
        <v>0</v>
      </c>
      <c r="M212" t="s">
        <v>57</v>
      </c>
      <c r="N212" t="s">
        <v>63</v>
      </c>
      <c r="O212">
        <f t="shared" si="24"/>
        <v>9</v>
      </c>
      <c r="P212">
        <f t="shared" si="25"/>
        <v>3</v>
      </c>
      <c r="Q212" s="6">
        <f t="shared" si="26"/>
        <v>700000</v>
      </c>
      <c r="R212" s="6">
        <f t="shared" si="27"/>
        <v>0</v>
      </c>
      <c r="S212" s="6">
        <f t="shared" si="28"/>
        <v>700000</v>
      </c>
      <c r="T212" s="6">
        <f t="shared" si="29"/>
        <v>516000</v>
      </c>
      <c r="U212" s="6">
        <f t="shared" si="30"/>
        <v>184000</v>
      </c>
      <c r="V212" s="5">
        <f t="shared" si="31"/>
        <v>0.26285714285714284</v>
      </c>
    </row>
    <row r="213" spans="1:22">
      <c r="A213" t="s">
        <v>453</v>
      </c>
      <c r="B213" s="4">
        <v>45764</v>
      </c>
      <c r="C213" t="s">
        <v>102</v>
      </c>
      <c r="D213" t="s">
        <v>61</v>
      </c>
      <c r="E213" t="s">
        <v>94</v>
      </c>
      <c r="F213" t="s">
        <v>454</v>
      </c>
      <c r="G213" t="s">
        <v>68</v>
      </c>
      <c r="H213" t="s">
        <v>108</v>
      </c>
      <c r="I213">
        <v>4</v>
      </c>
      <c r="J213" s="6">
        <v>175000</v>
      </c>
      <c r="K213" s="6">
        <v>129000</v>
      </c>
      <c r="L213" s="5">
        <v>0</v>
      </c>
      <c r="M213" t="s">
        <v>57</v>
      </c>
      <c r="N213" t="s">
        <v>75</v>
      </c>
      <c r="O213">
        <f t="shared" si="24"/>
        <v>4</v>
      </c>
      <c r="P213">
        <f t="shared" si="25"/>
        <v>2</v>
      </c>
      <c r="Q213" s="6">
        <f t="shared" si="26"/>
        <v>700000</v>
      </c>
      <c r="R213" s="6">
        <f t="shared" si="27"/>
        <v>0</v>
      </c>
      <c r="S213" s="6">
        <f t="shared" si="28"/>
        <v>700000</v>
      </c>
      <c r="T213" s="6">
        <f t="shared" si="29"/>
        <v>516000</v>
      </c>
      <c r="U213" s="6">
        <f t="shared" si="30"/>
        <v>184000</v>
      </c>
      <c r="V213" s="5">
        <f t="shared" si="31"/>
        <v>0.26285714285714284</v>
      </c>
    </row>
    <row r="214" spans="1:22">
      <c r="A214" t="s">
        <v>455</v>
      </c>
      <c r="B214" s="4">
        <v>45847</v>
      </c>
      <c r="C214" t="s">
        <v>77</v>
      </c>
      <c r="D214" t="s">
        <v>61</v>
      </c>
      <c r="E214" t="s">
        <v>53</v>
      </c>
      <c r="F214" t="s">
        <v>85</v>
      </c>
      <c r="G214" t="s">
        <v>55</v>
      </c>
      <c r="H214" t="s">
        <v>56</v>
      </c>
      <c r="I214">
        <v>4</v>
      </c>
      <c r="J214" s="6">
        <v>138000</v>
      </c>
      <c r="K214" s="6">
        <v>99000</v>
      </c>
      <c r="L214" s="5">
        <v>0.12</v>
      </c>
      <c r="M214" t="s">
        <v>57</v>
      </c>
      <c r="N214" t="s">
        <v>63</v>
      </c>
      <c r="O214">
        <f t="shared" si="24"/>
        <v>7</v>
      </c>
      <c r="P214">
        <f t="shared" si="25"/>
        <v>3</v>
      </c>
      <c r="Q214" s="6">
        <f t="shared" si="26"/>
        <v>552000</v>
      </c>
      <c r="R214" s="6">
        <f t="shared" si="27"/>
        <v>66240</v>
      </c>
      <c r="S214" s="6">
        <f t="shared" si="28"/>
        <v>485760</v>
      </c>
      <c r="T214" s="6">
        <f t="shared" si="29"/>
        <v>396000</v>
      </c>
      <c r="U214" s="6">
        <f t="shared" si="30"/>
        <v>89760</v>
      </c>
      <c r="V214" s="5">
        <f t="shared" si="31"/>
        <v>0.18478260869565216</v>
      </c>
    </row>
    <row r="215" spans="1:22">
      <c r="A215" t="s">
        <v>456</v>
      </c>
      <c r="B215" s="4">
        <v>45814</v>
      </c>
      <c r="C215" t="s">
        <v>111</v>
      </c>
      <c r="D215" t="s">
        <v>61</v>
      </c>
      <c r="E215" t="s">
        <v>73</v>
      </c>
      <c r="F215" t="s">
        <v>457</v>
      </c>
      <c r="G215" t="s">
        <v>68</v>
      </c>
      <c r="H215" t="s">
        <v>69</v>
      </c>
      <c r="I215">
        <v>2</v>
      </c>
      <c r="J215" s="6">
        <v>115000</v>
      </c>
      <c r="K215" s="6">
        <v>82000</v>
      </c>
      <c r="L215" s="5">
        <v>0.03</v>
      </c>
      <c r="M215" t="s">
        <v>57</v>
      </c>
      <c r="N215" t="s">
        <v>75</v>
      </c>
      <c r="O215">
        <f t="shared" si="24"/>
        <v>6</v>
      </c>
      <c r="P215">
        <f t="shared" si="25"/>
        <v>2</v>
      </c>
      <c r="Q215" s="6">
        <f t="shared" si="26"/>
        <v>230000</v>
      </c>
      <c r="R215" s="6">
        <f t="shared" si="27"/>
        <v>6900</v>
      </c>
      <c r="S215" s="6">
        <f t="shared" si="28"/>
        <v>223100</v>
      </c>
      <c r="T215" s="6">
        <f t="shared" si="29"/>
        <v>164000</v>
      </c>
      <c r="U215" s="6">
        <f t="shared" si="30"/>
        <v>59100</v>
      </c>
      <c r="V215" s="5">
        <f t="shared" si="31"/>
        <v>0.26490363065889738</v>
      </c>
    </row>
    <row r="216" spans="1:22">
      <c r="A216" t="s">
        <v>458</v>
      </c>
      <c r="B216" s="4">
        <v>45861</v>
      </c>
      <c r="C216" t="s">
        <v>77</v>
      </c>
      <c r="D216" t="s">
        <v>61</v>
      </c>
      <c r="E216" t="s">
        <v>73</v>
      </c>
      <c r="F216" t="s">
        <v>187</v>
      </c>
      <c r="G216" t="s">
        <v>68</v>
      </c>
      <c r="H216" t="s">
        <v>104</v>
      </c>
      <c r="I216">
        <v>1</v>
      </c>
      <c r="J216" s="6">
        <v>320000</v>
      </c>
      <c r="K216" s="6">
        <v>244000</v>
      </c>
      <c r="L216" s="5">
        <v>0.1</v>
      </c>
      <c r="M216" t="s">
        <v>57</v>
      </c>
      <c r="N216" t="s">
        <v>63</v>
      </c>
      <c r="O216">
        <f t="shared" si="24"/>
        <v>7</v>
      </c>
      <c r="P216">
        <f t="shared" si="25"/>
        <v>3</v>
      </c>
      <c r="Q216" s="6">
        <f t="shared" si="26"/>
        <v>320000</v>
      </c>
      <c r="R216" s="6">
        <f t="shared" si="27"/>
        <v>32000</v>
      </c>
      <c r="S216" s="6">
        <f t="shared" si="28"/>
        <v>288000</v>
      </c>
      <c r="T216" s="6">
        <f t="shared" si="29"/>
        <v>244000</v>
      </c>
      <c r="U216" s="6">
        <f t="shared" si="30"/>
        <v>44000</v>
      </c>
      <c r="V216" s="5">
        <f t="shared" si="31"/>
        <v>0.15277777777777779</v>
      </c>
    </row>
    <row r="217" spans="1:22">
      <c r="A217" t="s">
        <v>459</v>
      </c>
      <c r="B217" s="4">
        <v>45720</v>
      </c>
      <c r="C217" t="s">
        <v>77</v>
      </c>
      <c r="D217" t="s">
        <v>61</v>
      </c>
      <c r="E217" t="s">
        <v>66</v>
      </c>
      <c r="F217" t="s">
        <v>176</v>
      </c>
      <c r="G217" t="s">
        <v>55</v>
      </c>
      <c r="H217" t="s">
        <v>56</v>
      </c>
      <c r="I217">
        <v>7</v>
      </c>
      <c r="J217" s="6">
        <v>138000</v>
      </c>
      <c r="K217" s="6">
        <v>99000</v>
      </c>
      <c r="L217" s="5">
        <v>0.05</v>
      </c>
      <c r="M217" t="s">
        <v>109</v>
      </c>
      <c r="N217" t="s">
        <v>58</v>
      </c>
      <c r="O217">
        <f t="shared" si="24"/>
        <v>3</v>
      </c>
      <c r="P217">
        <f t="shared" si="25"/>
        <v>1</v>
      </c>
      <c r="Q217" s="6">
        <f t="shared" si="26"/>
        <v>966000</v>
      </c>
      <c r="R217" s="6">
        <f t="shared" si="27"/>
        <v>48300</v>
      </c>
      <c r="S217" s="6">
        <f t="shared" si="28"/>
        <v>0</v>
      </c>
      <c r="T217" s="6">
        <f t="shared" si="29"/>
        <v>0</v>
      </c>
      <c r="U217" s="6">
        <f t="shared" si="30"/>
        <v>0</v>
      </c>
      <c r="V217" s="5">
        <f t="shared" si="31"/>
        <v>0</v>
      </c>
    </row>
    <row r="218" spans="1:22">
      <c r="A218" t="s">
        <v>460</v>
      </c>
      <c r="B218" s="4">
        <v>45745</v>
      </c>
      <c r="C218" t="s">
        <v>83</v>
      </c>
      <c r="D218" t="s">
        <v>61</v>
      </c>
      <c r="E218" t="s">
        <v>53</v>
      </c>
      <c r="F218" t="s">
        <v>461</v>
      </c>
      <c r="G218" t="s">
        <v>55</v>
      </c>
      <c r="H218" t="s">
        <v>115</v>
      </c>
      <c r="I218">
        <v>2</v>
      </c>
      <c r="J218" s="6">
        <v>105000</v>
      </c>
      <c r="K218" s="6">
        <v>76000</v>
      </c>
      <c r="L218" s="5">
        <v>0.05</v>
      </c>
      <c r="M218" t="s">
        <v>80</v>
      </c>
      <c r="N218" t="s">
        <v>70</v>
      </c>
      <c r="O218">
        <f t="shared" si="24"/>
        <v>3</v>
      </c>
      <c r="P218">
        <f t="shared" si="25"/>
        <v>1</v>
      </c>
      <c r="Q218" s="6">
        <f t="shared" si="26"/>
        <v>210000</v>
      </c>
      <c r="R218" s="6">
        <f t="shared" si="27"/>
        <v>10500</v>
      </c>
      <c r="S218" s="6">
        <f t="shared" si="28"/>
        <v>0</v>
      </c>
      <c r="T218" s="6">
        <f t="shared" si="29"/>
        <v>0</v>
      </c>
      <c r="U218" s="6">
        <f t="shared" si="30"/>
        <v>0</v>
      </c>
      <c r="V218" s="5">
        <f t="shared" si="31"/>
        <v>0</v>
      </c>
    </row>
    <row r="219" spans="1:22">
      <c r="A219" t="s">
        <v>462</v>
      </c>
      <c r="B219" s="4">
        <v>45898</v>
      </c>
      <c r="C219" t="s">
        <v>77</v>
      </c>
      <c r="D219" t="s">
        <v>52</v>
      </c>
      <c r="E219" t="s">
        <v>84</v>
      </c>
      <c r="F219" t="s">
        <v>463</v>
      </c>
      <c r="G219" t="s">
        <v>68</v>
      </c>
      <c r="H219" t="s">
        <v>104</v>
      </c>
      <c r="I219">
        <v>3</v>
      </c>
      <c r="J219" s="6">
        <v>320000</v>
      </c>
      <c r="K219" s="6">
        <v>244000</v>
      </c>
      <c r="L219" s="5">
        <v>0.1</v>
      </c>
      <c r="M219" t="s">
        <v>109</v>
      </c>
      <c r="N219" t="s">
        <v>75</v>
      </c>
      <c r="O219">
        <f t="shared" si="24"/>
        <v>8</v>
      </c>
      <c r="P219">
        <f t="shared" si="25"/>
        <v>3</v>
      </c>
      <c r="Q219" s="6">
        <f t="shared" si="26"/>
        <v>960000</v>
      </c>
      <c r="R219" s="6">
        <f t="shared" si="27"/>
        <v>96000</v>
      </c>
      <c r="S219" s="6">
        <f t="shared" si="28"/>
        <v>0</v>
      </c>
      <c r="T219" s="6">
        <f t="shared" si="29"/>
        <v>0</v>
      </c>
      <c r="U219" s="6">
        <f t="shared" si="30"/>
        <v>0</v>
      </c>
      <c r="V219" s="5">
        <f t="shared" si="31"/>
        <v>0</v>
      </c>
    </row>
    <row r="220" spans="1:22">
      <c r="A220" t="s">
        <v>464</v>
      </c>
      <c r="B220" s="4">
        <v>45708</v>
      </c>
      <c r="C220" t="s">
        <v>77</v>
      </c>
      <c r="D220" t="s">
        <v>61</v>
      </c>
      <c r="E220" t="s">
        <v>53</v>
      </c>
      <c r="F220" t="s">
        <v>78</v>
      </c>
      <c r="G220" t="s">
        <v>68</v>
      </c>
      <c r="H220" t="s">
        <v>69</v>
      </c>
      <c r="I220">
        <v>4</v>
      </c>
      <c r="J220" s="6">
        <v>115000</v>
      </c>
      <c r="K220" s="6">
        <v>82000</v>
      </c>
      <c r="L220" s="5">
        <v>0.05</v>
      </c>
      <c r="M220" t="s">
        <v>57</v>
      </c>
      <c r="N220" t="s">
        <v>58</v>
      </c>
      <c r="O220">
        <f t="shared" si="24"/>
        <v>2</v>
      </c>
      <c r="P220">
        <f t="shared" si="25"/>
        <v>1</v>
      </c>
      <c r="Q220" s="6">
        <f t="shared" si="26"/>
        <v>460000</v>
      </c>
      <c r="R220" s="6">
        <f t="shared" si="27"/>
        <v>23000</v>
      </c>
      <c r="S220" s="6">
        <f t="shared" si="28"/>
        <v>437000</v>
      </c>
      <c r="T220" s="6">
        <f t="shared" si="29"/>
        <v>328000</v>
      </c>
      <c r="U220" s="6">
        <f t="shared" si="30"/>
        <v>109000</v>
      </c>
      <c r="V220" s="5">
        <f t="shared" si="31"/>
        <v>0.2494279176201373</v>
      </c>
    </row>
    <row r="221" spans="1:22">
      <c r="A221" t="s">
        <v>465</v>
      </c>
      <c r="B221" s="4">
        <v>45687</v>
      </c>
      <c r="C221" t="s">
        <v>83</v>
      </c>
      <c r="D221" t="s">
        <v>72</v>
      </c>
      <c r="E221" t="s">
        <v>73</v>
      </c>
      <c r="F221" t="s">
        <v>466</v>
      </c>
      <c r="G221" t="s">
        <v>55</v>
      </c>
      <c r="H221" t="s">
        <v>86</v>
      </c>
      <c r="I221">
        <v>2</v>
      </c>
      <c r="J221" s="6">
        <v>92000</v>
      </c>
      <c r="K221" s="6">
        <v>60000</v>
      </c>
      <c r="L221" s="5">
        <v>0.12</v>
      </c>
      <c r="M221" t="s">
        <v>57</v>
      </c>
      <c r="N221" t="s">
        <v>70</v>
      </c>
      <c r="O221">
        <f t="shared" si="24"/>
        <v>1</v>
      </c>
      <c r="P221">
        <f t="shared" si="25"/>
        <v>1</v>
      </c>
      <c r="Q221" s="6">
        <f t="shared" si="26"/>
        <v>184000</v>
      </c>
      <c r="R221" s="6">
        <f t="shared" si="27"/>
        <v>22080</v>
      </c>
      <c r="S221" s="6">
        <f t="shared" si="28"/>
        <v>161920</v>
      </c>
      <c r="T221" s="6">
        <f t="shared" si="29"/>
        <v>120000</v>
      </c>
      <c r="U221" s="6">
        <f t="shared" si="30"/>
        <v>41920</v>
      </c>
      <c r="V221" s="5">
        <f t="shared" si="31"/>
        <v>0.25889328063241107</v>
      </c>
    </row>
    <row r="222" spans="1:22">
      <c r="A222" t="s">
        <v>467</v>
      </c>
      <c r="B222" s="4">
        <v>45854</v>
      </c>
      <c r="C222" t="s">
        <v>120</v>
      </c>
      <c r="D222" t="s">
        <v>61</v>
      </c>
      <c r="E222" t="s">
        <v>84</v>
      </c>
      <c r="F222" t="s">
        <v>468</v>
      </c>
      <c r="G222" t="s">
        <v>89</v>
      </c>
      <c r="H222" t="s">
        <v>98</v>
      </c>
      <c r="I222">
        <v>2</v>
      </c>
      <c r="J222" s="6">
        <v>16500</v>
      </c>
      <c r="K222" s="6">
        <v>10000</v>
      </c>
      <c r="L222" s="5">
        <v>0.12</v>
      </c>
      <c r="M222" t="s">
        <v>57</v>
      </c>
      <c r="N222" t="s">
        <v>70</v>
      </c>
      <c r="O222">
        <f t="shared" si="24"/>
        <v>7</v>
      </c>
      <c r="P222">
        <f t="shared" si="25"/>
        <v>3</v>
      </c>
      <c r="Q222" s="6">
        <f t="shared" si="26"/>
        <v>33000</v>
      </c>
      <c r="R222" s="6">
        <f t="shared" si="27"/>
        <v>3960</v>
      </c>
      <c r="S222" s="6">
        <f t="shared" si="28"/>
        <v>29040</v>
      </c>
      <c r="T222" s="6">
        <f t="shared" si="29"/>
        <v>20000</v>
      </c>
      <c r="U222" s="6">
        <f t="shared" si="30"/>
        <v>9040</v>
      </c>
      <c r="V222" s="5">
        <f t="shared" si="31"/>
        <v>0.31129476584022037</v>
      </c>
    </row>
    <row r="223" spans="1:22">
      <c r="A223" t="s">
        <v>469</v>
      </c>
      <c r="B223" s="4">
        <v>45918</v>
      </c>
      <c r="C223" t="s">
        <v>111</v>
      </c>
      <c r="D223" t="s">
        <v>61</v>
      </c>
      <c r="E223" t="s">
        <v>84</v>
      </c>
      <c r="F223" t="s">
        <v>62</v>
      </c>
      <c r="G223" t="s">
        <v>68</v>
      </c>
      <c r="H223" t="s">
        <v>79</v>
      </c>
      <c r="I223">
        <v>7</v>
      </c>
      <c r="J223" s="6">
        <v>19000</v>
      </c>
      <c r="K223" s="6">
        <v>11500</v>
      </c>
      <c r="L223" s="5">
        <v>0.08</v>
      </c>
      <c r="M223" t="s">
        <v>57</v>
      </c>
      <c r="N223" t="s">
        <v>70</v>
      </c>
      <c r="O223">
        <f t="shared" si="24"/>
        <v>9</v>
      </c>
      <c r="P223">
        <f t="shared" si="25"/>
        <v>3</v>
      </c>
      <c r="Q223" s="6">
        <f t="shared" si="26"/>
        <v>133000</v>
      </c>
      <c r="R223" s="6">
        <f t="shared" si="27"/>
        <v>10640</v>
      </c>
      <c r="S223" s="6">
        <f t="shared" si="28"/>
        <v>122360</v>
      </c>
      <c r="T223" s="6">
        <f t="shared" si="29"/>
        <v>80500</v>
      </c>
      <c r="U223" s="6">
        <f t="shared" si="30"/>
        <v>41860</v>
      </c>
      <c r="V223" s="5">
        <f t="shared" si="31"/>
        <v>0.34210526315789475</v>
      </c>
    </row>
    <row r="224" spans="1:22">
      <c r="A224" t="s">
        <v>470</v>
      </c>
      <c r="B224" s="4">
        <v>45711</v>
      </c>
      <c r="C224" t="s">
        <v>51</v>
      </c>
      <c r="D224" t="s">
        <v>65</v>
      </c>
      <c r="E224" t="s">
        <v>53</v>
      </c>
      <c r="F224" t="s">
        <v>471</v>
      </c>
      <c r="G224" t="s">
        <v>89</v>
      </c>
      <c r="H224" t="s">
        <v>95</v>
      </c>
      <c r="I224">
        <v>6</v>
      </c>
      <c r="J224" s="6">
        <v>32000</v>
      </c>
      <c r="K224" s="6">
        <v>21000</v>
      </c>
      <c r="L224" s="5">
        <v>0.1</v>
      </c>
      <c r="M224" t="s">
        <v>57</v>
      </c>
      <c r="N224" t="s">
        <v>70</v>
      </c>
      <c r="O224">
        <f t="shared" si="24"/>
        <v>2</v>
      </c>
      <c r="P224">
        <f t="shared" si="25"/>
        <v>1</v>
      </c>
      <c r="Q224" s="6">
        <f t="shared" si="26"/>
        <v>192000</v>
      </c>
      <c r="R224" s="6">
        <f t="shared" si="27"/>
        <v>19200</v>
      </c>
      <c r="S224" s="6">
        <f t="shared" si="28"/>
        <v>172800</v>
      </c>
      <c r="T224" s="6">
        <f t="shared" si="29"/>
        <v>126000</v>
      </c>
      <c r="U224" s="6">
        <f t="shared" si="30"/>
        <v>46800</v>
      </c>
      <c r="V224" s="5">
        <f t="shared" si="31"/>
        <v>0.27083333333333331</v>
      </c>
    </row>
    <row r="225" spans="1:22">
      <c r="A225" t="s">
        <v>472</v>
      </c>
      <c r="B225" s="4">
        <v>46013</v>
      </c>
      <c r="C225" t="s">
        <v>111</v>
      </c>
      <c r="D225" t="s">
        <v>61</v>
      </c>
      <c r="E225" t="s">
        <v>53</v>
      </c>
      <c r="F225" t="s">
        <v>309</v>
      </c>
      <c r="G225" t="s">
        <v>55</v>
      </c>
      <c r="H225" t="s">
        <v>86</v>
      </c>
      <c r="I225">
        <v>2</v>
      </c>
      <c r="J225" s="6">
        <v>92000</v>
      </c>
      <c r="K225" s="6">
        <v>60000</v>
      </c>
      <c r="L225" s="5">
        <v>0.12</v>
      </c>
      <c r="M225" t="s">
        <v>57</v>
      </c>
      <c r="N225" t="s">
        <v>70</v>
      </c>
      <c r="O225">
        <f t="shared" si="24"/>
        <v>12</v>
      </c>
      <c r="P225">
        <f t="shared" si="25"/>
        <v>4</v>
      </c>
      <c r="Q225" s="6">
        <f t="shared" si="26"/>
        <v>184000</v>
      </c>
      <c r="R225" s="6">
        <f t="shared" si="27"/>
        <v>22080</v>
      </c>
      <c r="S225" s="6">
        <f t="shared" si="28"/>
        <v>161920</v>
      </c>
      <c r="T225" s="6">
        <f t="shared" si="29"/>
        <v>120000</v>
      </c>
      <c r="U225" s="6">
        <f t="shared" si="30"/>
        <v>41920</v>
      </c>
      <c r="V225" s="5">
        <f t="shared" si="31"/>
        <v>0.25889328063241107</v>
      </c>
    </row>
    <row r="226" spans="1:22">
      <c r="A226" t="s">
        <v>473</v>
      </c>
      <c r="B226" s="4">
        <v>45771</v>
      </c>
      <c r="C226" t="s">
        <v>111</v>
      </c>
      <c r="D226" t="s">
        <v>61</v>
      </c>
      <c r="E226" t="s">
        <v>53</v>
      </c>
      <c r="F226" t="s">
        <v>246</v>
      </c>
      <c r="G226" t="s">
        <v>68</v>
      </c>
      <c r="H226" t="s">
        <v>69</v>
      </c>
      <c r="I226">
        <v>7</v>
      </c>
      <c r="J226" s="6">
        <v>115000</v>
      </c>
      <c r="K226" s="6">
        <v>82000</v>
      </c>
      <c r="L226" s="5">
        <v>0.1</v>
      </c>
      <c r="M226" t="s">
        <v>80</v>
      </c>
      <c r="N226" t="s">
        <v>58</v>
      </c>
      <c r="O226">
        <f t="shared" si="24"/>
        <v>4</v>
      </c>
      <c r="P226">
        <f t="shared" si="25"/>
        <v>2</v>
      </c>
      <c r="Q226" s="6">
        <f t="shared" si="26"/>
        <v>805000</v>
      </c>
      <c r="R226" s="6">
        <f t="shared" si="27"/>
        <v>80500</v>
      </c>
      <c r="S226" s="6">
        <f t="shared" si="28"/>
        <v>0</v>
      </c>
      <c r="T226" s="6">
        <f t="shared" si="29"/>
        <v>0</v>
      </c>
      <c r="U226" s="6">
        <f t="shared" si="30"/>
        <v>0</v>
      </c>
      <c r="V226" s="5">
        <f t="shared" si="31"/>
        <v>0</v>
      </c>
    </row>
    <row r="227" spans="1:22">
      <c r="A227" t="s">
        <v>474</v>
      </c>
      <c r="B227" s="4">
        <v>45805</v>
      </c>
      <c r="C227" t="s">
        <v>51</v>
      </c>
      <c r="D227" t="s">
        <v>65</v>
      </c>
      <c r="E227" t="s">
        <v>73</v>
      </c>
      <c r="F227" t="s">
        <v>475</v>
      </c>
      <c r="G227" t="s">
        <v>68</v>
      </c>
      <c r="H227" t="s">
        <v>104</v>
      </c>
      <c r="I227">
        <v>7</v>
      </c>
      <c r="J227" s="6">
        <v>320000</v>
      </c>
      <c r="K227" s="6">
        <v>244000</v>
      </c>
      <c r="L227" s="5">
        <v>0.08</v>
      </c>
      <c r="M227" t="s">
        <v>57</v>
      </c>
      <c r="N227" t="s">
        <v>70</v>
      </c>
      <c r="O227">
        <f t="shared" si="24"/>
        <v>5</v>
      </c>
      <c r="P227">
        <f t="shared" si="25"/>
        <v>2</v>
      </c>
      <c r="Q227" s="6">
        <f t="shared" si="26"/>
        <v>2240000</v>
      </c>
      <c r="R227" s="6">
        <f t="shared" si="27"/>
        <v>179200</v>
      </c>
      <c r="S227" s="6">
        <f t="shared" si="28"/>
        <v>2060800</v>
      </c>
      <c r="T227" s="6">
        <f t="shared" si="29"/>
        <v>1708000</v>
      </c>
      <c r="U227" s="6">
        <f t="shared" si="30"/>
        <v>352800</v>
      </c>
      <c r="V227" s="5">
        <f t="shared" si="31"/>
        <v>0.17119565217391305</v>
      </c>
    </row>
    <row r="228" spans="1:22">
      <c r="A228" t="s">
        <v>476</v>
      </c>
      <c r="B228" s="4">
        <v>45946</v>
      </c>
      <c r="C228" t="s">
        <v>83</v>
      </c>
      <c r="D228" t="s">
        <v>61</v>
      </c>
      <c r="E228" t="s">
        <v>94</v>
      </c>
      <c r="F228" t="s">
        <v>477</v>
      </c>
      <c r="G228" t="s">
        <v>89</v>
      </c>
      <c r="H228" t="s">
        <v>90</v>
      </c>
      <c r="I228">
        <v>8</v>
      </c>
      <c r="J228" s="6">
        <v>5900</v>
      </c>
      <c r="K228" s="6">
        <v>3700</v>
      </c>
      <c r="L228" s="5">
        <v>0.12</v>
      </c>
      <c r="M228" t="s">
        <v>57</v>
      </c>
      <c r="N228" t="s">
        <v>75</v>
      </c>
      <c r="O228">
        <f t="shared" si="24"/>
        <v>10</v>
      </c>
      <c r="P228">
        <f t="shared" si="25"/>
        <v>4</v>
      </c>
      <c r="Q228" s="6">
        <f t="shared" si="26"/>
        <v>47200</v>
      </c>
      <c r="R228" s="6">
        <f t="shared" si="27"/>
        <v>5664</v>
      </c>
      <c r="S228" s="6">
        <f t="shared" si="28"/>
        <v>41536</v>
      </c>
      <c r="T228" s="6">
        <f t="shared" si="29"/>
        <v>29600</v>
      </c>
      <c r="U228" s="6">
        <f t="shared" si="30"/>
        <v>11936</v>
      </c>
      <c r="V228" s="5">
        <f t="shared" si="31"/>
        <v>0.28736517719568566</v>
      </c>
    </row>
    <row r="229" spans="1:22">
      <c r="A229" t="s">
        <v>478</v>
      </c>
      <c r="B229" s="4">
        <v>45777</v>
      </c>
      <c r="C229" t="s">
        <v>111</v>
      </c>
      <c r="D229" t="s">
        <v>61</v>
      </c>
      <c r="E229" t="s">
        <v>66</v>
      </c>
      <c r="F229" t="s">
        <v>311</v>
      </c>
      <c r="G229" t="s">
        <v>55</v>
      </c>
      <c r="H229" t="s">
        <v>56</v>
      </c>
      <c r="I229">
        <v>1</v>
      </c>
      <c r="J229" s="6">
        <v>138000</v>
      </c>
      <c r="K229" s="6">
        <v>99000</v>
      </c>
      <c r="L229" s="5">
        <v>0.1</v>
      </c>
      <c r="M229" t="s">
        <v>57</v>
      </c>
      <c r="N229" t="s">
        <v>70</v>
      </c>
      <c r="O229">
        <f t="shared" si="24"/>
        <v>4</v>
      </c>
      <c r="P229">
        <f t="shared" si="25"/>
        <v>2</v>
      </c>
      <c r="Q229" s="6">
        <f t="shared" si="26"/>
        <v>138000</v>
      </c>
      <c r="R229" s="6">
        <f t="shared" si="27"/>
        <v>13800</v>
      </c>
      <c r="S229" s="6">
        <f t="shared" si="28"/>
        <v>124200</v>
      </c>
      <c r="T229" s="6">
        <f t="shared" si="29"/>
        <v>99000</v>
      </c>
      <c r="U229" s="6">
        <f t="shared" si="30"/>
        <v>25200</v>
      </c>
      <c r="V229" s="5">
        <f t="shared" si="31"/>
        <v>0.20289855072463769</v>
      </c>
    </row>
    <row r="230" spans="1:22">
      <c r="A230" t="s">
        <v>479</v>
      </c>
      <c r="B230" s="4">
        <v>45835</v>
      </c>
      <c r="C230" t="s">
        <v>111</v>
      </c>
      <c r="D230" t="s">
        <v>106</v>
      </c>
      <c r="E230" t="s">
        <v>84</v>
      </c>
      <c r="F230" t="s">
        <v>480</v>
      </c>
      <c r="G230" t="s">
        <v>68</v>
      </c>
      <c r="H230" t="s">
        <v>79</v>
      </c>
      <c r="I230">
        <v>6</v>
      </c>
      <c r="J230" s="6">
        <v>19000</v>
      </c>
      <c r="K230" s="6">
        <v>11500</v>
      </c>
      <c r="L230" s="5">
        <v>0.08</v>
      </c>
      <c r="M230" t="s">
        <v>57</v>
      </c>
      <c r="N230" t="s">
        <v>58</v>
      </c>
      <c r="O230">
        <f t="shared" si="24"/>
        <v>6</v>
      </c>
      <c r="P230">
        <f t="shared" si="25"/>
        <v>2</v>
      </c>
      <c r="Q230" s="6">
        <f t="shared" si="26"/>
        <v>114000</v>
      </c>
      <c r="R230" s="6">
        <f t="shared" si="27"/>
        <v>9120</v>
      </c>
      <c r="S230" s="6">
        <f t="shared" si="28"/>
        <v>104880</v>
      </c>
      <c r="T230" s="6">
        <f t="shared" si="29"/>
        <v>69000</v>
      </c>
      <c r="U230" s="6">
        <f t="shared" si="30"/>
        <v>35880</v>
      </c>
      <c r="V230" s="5">
        <f t="shared" si="31"/>
        <v>0.34210526315789475</v>
      </c>
    </row>
    <row r="231" spans="1:22">
      <c r="A231" t="s">
        <v>481</v>
      </c>
      <c r="B231" s="4">
        <v>45997</v>
      </c>
      <c r="C231" t="s">
        <v>77</v>
      </c>
      <c r="D231" t="s">
        <v>61</v>
      </c>
      <c r="E231" t="s">
        <v>73</v>
      </c>
      <c r="F231" t="s">
        <v>304</v>
      </c>
      <c r="G231" t="s">
        <v>68</v>
      </c>
      <c r="H231" t="s">
        <v>108</v>
      </c>
      <c r="I231">
        <v>7</v>
      </c>
      <c r="J231" s="6">
        <v>175000</v>
      </c>
      <c r="K231" s="6">
        <v>129000</v>
      </c>
      <c r="L231" s="5">
        <v>0.05</v>
      </c>
      <c r="M231" t="s">
        <v>57</v>
      </c>
      <c r="N231" t="s">
        <v>81</v>
      </c>
      <c r="O231">
        <f t="shared" si="24"/>
        <v>12</v>
      </c>
      <c r="P231">
        <f t="shared" si="25"/>
        <v>4</v>
      </c>
      <c r="Q231" s="6">
        <f t="shared" si="26"/>
        <v>1225000</v>
      </c>
      <c r="R231" s="6">
        <f t="shared" si="27"/>
        <v>61250</v>
      </c>
      <c r="S231" s="6">
        <f t="shared" si="28"/>
        <v>1163750</v>
      </c>
      <c r="T231" s="6">
        <f t="shared" si="29"/>
        <v>903000</v>
      </c>
      <c r="U231" s="6">
        <f t="shared" si="30"/>
        <v>260750</v>
      </c>
      <c r="V231" s="5">
        <f t="shared" si="31"/>
        <v>0.22406015037593985</v>
      </c>
    </row>
    <row r="232" spans="1:22">
      <c r="A232" t="s">
        <v>482</v>
      </c>
      <c r="B232" s="4">
        <v>45967</v>
      </c>
      <c r="C232" t="s">
        <v>51</v>
      </c>
      <c r="D232" t="s">
        <v>61</v>
      </c>
      <c r="E232" t="s">
        <v>66</v>
      </c>
      <c r="F232" t="s">
        <v>344</v>
      </c>
      <c r="G232" t="s">
        <v>55</v>
      </c>
      <c r="H232" t="s">
        <v>86</v>
      </c>
      <c r="I232">
        <v>6</v>
      </c>
      <c r="J232" s="6">
        <v>92000</v>
      </c>
      <c r="K232" s="6">
        <v>60000</v>
      </c>
      <c r="L232" s="5">
        <v>0.1</v>
      </c>
      <c r="M232" t="s">
        <v>57</v>
      </c>
      <c r="N232" t="s">
        <v>63</v>
      </c>
      <c r="O232">
        <f t="shared" si="24"/>
        <v>11</v>
      </c>
      <c r="P232">
        <f t="shared" si="25"/>
        <v>4</v>
      </c>
      <c r="Q232" s="6">
        <f t="shared" si="26"/>
        <v>552000</v>
      </c>
      <c r="R232" s="6">
        <f t="shared" si="27"/>
        <v>55200</v>
      </c>
      <c r="S232" s="6">
        <f t="shared" si="28"/>
        <v>496800</v>
      </c>
      <c r="T232" s="6">
        <f t="shared" si="29"/>
        <v>360000</v>
      </c>
      <c r="U232" s="6">
        <f t="shared" si="30"/>
        <v>136800</v>
      </c>
      <c r="V232" s="5">
        <f t="shared" si="31"/>
        <v>0.27536231884057971</v>
      </c>
    </row>
    <row r="233" spans="1:22">
      <c r="A233" t="s">
        <v>483</v>
      </c>
      <c r="B233" s="4">
        <v>45848</v>
      </c>
      <c r="C233" t="s">
        <v>102</v>
      </c>
      <c r="D233" t="s">
        <v>52</v>
      </c>
      <c r="E233" t="s">
        <v>53</v>
      </c>
      <c r="F233" t="s">
        <v>88</v>
      </c>
      <c r="G233" t="s">
        <v>89</v>
      </c>
      <c r="H233" t="s">
        <v>90</v>
      </c>
      <c r="I233">
        <v>2</v>
      </c>
      <c r="J233" s="6">
        <v>5900</v>
      </c>
      <c r="K233" s="6">
        <v>3700</v>
      </c>
      <c r="L233" s="5">
        <v>0.12</v>
      </c>
      <c r="M233" t="s">
        <v>57</v>
      </c>
      <c r="N233" t="s">
        <v>58</v>
      </c>
      <c r="O233">
        <f t="shared" si="24"/>
        <v>7</v>
      </c>
      <c r="P233">
        <f t="shared" si="25"/>
        <v>3</v>
      </c>
      <c r="Q233" s="6">
        <f t="shared" si="26"/>
        <v>11800</v>
      </c>
      <c r="R233" s="6">
        <f t="shared" si="27"/>
        <v>1416</v>
      </c>
      <c r="S233" s="6">
        <f t="shared" si="28"/>
        <v>10384</v>
      </c>
      <c r="T233" s="6">
        <f t="shared" si="29"/>
        <v>7400</v>
      </c>
      <c r="U233" s="6">
        <f t="shared" si="30"/>
        <v>2984</v>
      </c>
      <c r="V233" s="5">
        <f t="shared" si="31"/>
        <v>0.28736517719568566</v>
      </c>
    </row>
    <row r="234" spans="1:22">
      <c r="A234" t="s">
        <v>484</v>
      </c>
      <c r="B234" s="4">
        <v>45863</v>
      </c>
      <c r="C234" t="s">
        <v>111</v>
      </c>
      <c r="D234" t="s">
        <v>61</v>
      </c>
      <c r="E234" t="s">
        <v>53</v>
      </c>
      <c r="F234" t="s">
        <v>485</v>
      </c>
      <c r="G234" t="s">
        <v>68</v>
      </c>
      <c r="H234" t="s">
        <v>108</v>
      </c>
      <c r="I234">
        <v>4</v>
      </c>
      <c r="J234" s="6">
        <v>175000</v>
      </c>
      <c r="K234" s="6">
        <v>129000</v>
      </c>
      <c r="L234" s="5">
        <v>0.1</v>
      </c>
      <c r="M234" t="s">
        <v>57</v>
      </c>
      <c r="N234" t="s">
        <v>81</v>
      </c>
      <c r="O234">
        <f t="shared" si="24"/>
        <v>7</v>
      </c>
      <c r="P234">
        <f t="shared" si="25"/>
        <v>3</v>
      </c>
      <c r="Q234" s="6">
        <f t="shared" si="26"/>
        <v>700000</v>
      </c>
      <c r="R234" s="6">
        <f t="shared" si="27"/>
        <v>70000</v>
      </c>
      <c r="S234" s="6">
        <f t="shared" si="28"/>
        <v>630000</v>
      </c>
      <c r="T234" s="6">
        <f t="shared" si="29"/>
        <v>516000</v>
      </c>
      <c r="U234" s="6">
        <f t="shared" si="30"/>
        <v>114000</v>
      </c>
      <c r="V234" s="5">
        <f t="shared" si="31"/>
        <v>0.18095238095238095</v>
      </c>
    </row>
    <row r="235" spans="1:22">
      <c r="A235" t="s">
        <v>486</v>
      </c>
      <c r="B235" s="4">
        <v>45879</v>
      </c>
      <c r="C235" t="s">
        <v>111</v>
      </c>
      <c r="D235" t="s">
        <v>61</v>
      </c>
      <c r="E235" t="s">
        <v>94</v>
      </c>
      <c r="F235" t="s">
        <v>487</v>
      </c>
      <c r="G235" t="s">
        <v>68</v>
      </c>
      <c r="H235" t="s">
        <v>79</v>
      </c>
      <c r="I235">
        <v>1</v>
      </c>
      <c r="J235" s="6">
        <v>19000</v>
      </c>
      <c r="K235" s="6">
        <v>11500</v>
      </c>
      <c r="L235" s="5">
        <v>0</v>
      </c>
      <c r="M235" t="s">
        <v>109</v>
      </c>
      <c r="N235" t="s">
        <v>81</v>
      </c>
      <c r="O235">
        <f t="shared" si="24"/>
        <v>8</v>
      </c>
      <c r="P235">
        <f t="shared" si="25"/>
        <v>3</v>
      </c>
      <c r="Q235" s="6">
        <f t="shared" si="26"/>
        <v>19000</v>
      </c>
      <c r="R235" s="6">
        <f t="shared" si="27"/>
        <v>0</v>
      </c>
      <c r="S235" s="6">
        <f t="shared" si="28"/>
        <v>0</v>
      </c>
      <c r="T235" s="6">
        <f t="shared" si="29"/>
        <v>0</v>
      </c>
      <c r="U235" s="6">
        <f t="shared" si="30"/>
        <v>0</v>
      </c>
      <c r="V235" s="5">
        <f t="shared" si="31"/>
        <v>0</v>
      </c>
    </row>
    <row r="236" spans="1:22">
      <c r="A236" t="s">
        <v>488</v>
      </c>
      <c r="B236" s="4">
        <v>45898</v>
      </c>
      <c r="C236" t="s">
        <v>92</v>
      </c>
      <c r="D236" t="s">
        <v>52</v>
      </c>
      <c r="E236" t="s">
        <v>66</v>
      </c>
      <c r="F236" t="s">
        <v>489</v>
      </c>
      <c r="G236" t="s">
        <v>89</v>
      </c>
      <c r="H236" t="s">
        <v>98</v>
      </c>
      <c r="I236">
        <v>8</v>
      </c>
      <c r="J236" s="6">
        <v>16500</v>
      </c>
      <c r="K236" s="6">
        <v>10000</v>
      </c>
      <c r="L236" s="5">
        <v>0</v>
      </c>
      <c r="M236" t="s">
        <v>80</v>
      </c>
      <c r="N236" t="s">
        <v>63</v>
      </c>
      <c r="O236">
        <f t="shared" si="24"/>
        <v>8</v>
      </c>
      <c r="P236">
        <f t="shared" si="25"/>
        <v>3</v>
      </c>
      <c r="Q236" s="6">
        <f t="shared" si="26"/>
        <v>132000</v>
      </c>
      <c r="R236" s="6">
        <f t="shared" si="27"/>
        <v>0</v>
      </c>
      <c r="S236" s="6">
        <f t="shared" si="28"/>
        <v>0</v>
      </c>
      <c r="T236" s="6">
        <f t="shared" si="29"/>
        <v>0</v>
      </c>
      <c r="U236" s="6">
        <f t="shared" si="30"/>
        <v>0</v>
      </c>
      <c r="V236" s="5">
        <f t="shared" si="31"/>
        <v>0</v>
      </c>
    </row>
    <row r="237" spans="1:22">
      <c r="A237" t="s">
        <v>490</v>
      </c>
      <c r="B237" s="4">
        <v>45675</v>
      </c>
      <c r="C237" t="s">
        <v>92</v>
      </c>
      <c r="D237" t="s">
        <v>61</v>
      </c>
      <c r="E237" t="s">
        <v>84</v>
      </c>
      <c r="F237" t="s">
        <v>114</v>
      </c>
      <c r="G237" t="s">
        <v>55</v>
      </c>
      <c r="H237" t="s">
        <v>86</v>
      </c>
      <c r="I237">
        <v>5</v>
      </c>
      <c r="J237" s="6">
        <v>92000</v>
      </c>
      <c r="K237" s="6">
        <v>60000</v>
      </c>
      <c r="L237" s="5">
        <v>0.05</v>
      </c>
      <c r="M237" t="s">
        <v>57</v>
      </c>
      <c r="N237" t="s">
        <v>58</v>
      </c>
      <c r="O237">
        <f t="shared" si="24"/>
        <v>1</v>
      </c>
      <c r="P237">
        <f t="shared" si="25"/>
        <v>1</v>
      </c>
      <c r="Q237" s="6">
        <f t="shared" si="26"/>
        <v>460000</v>
      </c>
      <c r="R237" s="6">
        <f t="shared" si="27"/>
        <v>23000</v>
      </c>
      <c r="S237" s="6">
        <f t="shared" si="28"/>
        <v>437000</v>
      </c>
      <c r="T237" s="6">
        <f t="shared" si="29"/>
        <v>300000</v>
      </c>
      <c r="U237" s="6">
        <f t="shared" si="30"/>
        <v>137000</v>
      </c>
      <c r="V237" s="5">
        <f t="shared" si="31"/>
        <v>0.31350114416475972</v>
      </c>
    </row>
    <row r="238" spans="1:22">
      <c r="A238" t="s">
        <v>491</v>
      </c>
      <c r="B238" s="4">
        <v>45959</v>
      </c>
      <c r="C238" t="s">
        <v>60</v>
      </c>
      <c r="D238" t="s">
        <v>106</v>
      </c>
      <c r="E238" t="s">
        <v>53</v>
      </c>
      <c r="F238" t="s">
        <v>466</v>
      </c>
      <c r="G238" t="s">
        <v>68</v>
      </c>
      <c r="H238" t="s">
        <v>108</v>
      </c>
      <c r="I238">
        <v>1</v>
      </c>
      <c r="J238" s="6">
        <v>175000</v>
      </c>
      <c r="K238" s="6">
        <v>129000</v>
      </c>
      <c r="L238" s="5">
        <v>0</v>
      </c>
      <c r="M238" t="s">
        <v>57</v>
      </c>
      <c r="N238" t="s">
        <v>81</v>
      </c>
      <c r="O238">
        <f t="shared" si="24"/>
        <v>10</v>
      </c>
      <c r="P238">
        <f t="shared" si="25"/>
        <v>4</v>
      </c>
      <c r="Q238" s="6">
        <f t="shared" si="26"/>
        <v>175000</v>
      </c>
      <c r="R238" s="6">
        <f t="shared" si="27"/>
        <v>0</v>
      </c>
      <c r="S238" s="6">
        <f t="shared" si="28"/>
        <v>175000</v>
      </c>
      <c r="T238" s="6">
        <f t="shared" si="29"/>
        <v>129000</v>
      </c>
      <c r="U238" s="6">
        <f t="shared" si="30"/>
        <v>46000</v>
      </c>
      <c r="V238" s="5">
        <f t="shared" si="31"/>
        <v>0.26285714285714284</v>
      </c>
    </row>
    <row r="239" spans="1:22">
      <c r="A239" t="s">
        <v>492</v>
      </c>
      <c r="B239" s="4">
        <v>45931</v>
      </c>
      <c r="C239" t="s">
        <v>83</v>
      </c>
      <c r="D239" t="s">
        <v>106</v>
      </c>
      <c r="E239" t="s">
        <v>94</v>
      </c>
      <c r="F239" t="s">
        <v>170</v>
      </c>
      <c r="G239" t="s">
        <v>89</v>
      </c>
      <c r="H239" t="s">
        <v>95</v>
      </c>
      <c r="I239">
        <v>6</v>
      </c>
      <c r="J239" s="6">
        <v>32000</v>
      </c>
      <c r="K239" s="6">
        <v>21000</v>
      </c>
      <c r="L239" s="5">
        <v>0.05</v>
      </c>
      <c r="M239" t="s">
        <v>57</v>
      </c>
      <c r="N239" t="s">
        <v>75</v>
      </c>
      <c r="O239">
        <f t="shared" si="24"/>
        <v>10</v>
      </c>
      <c r="P239">
        <f t="shared" si="25"/>
        <v>4</v>
      </c>
      <c r="Q239" s="6">
        <f t="shared" si="26"/>
        <v>192000</v>
      </c>
      <c r="R239" s="6">
        <f t="shared" si="27"/>
        <v>9600</v>
      </c>
      <c r="S239" s="6">
        <f t="shared" si="28"/>
        <v>182400</v>
      </c>
      <c r="T239" s="6">
        <f t="shared" si="29"/>
        <v>126000</v>
      </c>
      <c r="U239" s="6">
        <f t="shared" si="30"/>
        <v>56400</v>
      </c>
      <c r="V239" s="5">
        <f t="shared" si="31"/>
        <v>0.30921052631578949</v>
      </c>
    </row>
    <row r="240" spans="1:22">
      <c r="A240" t="s">
        <v>493</v>
      </c>
      <c r="B240" s="4">
        <v>45939</v>
      </c>
      <c r="C240" t="s">
        <v>120</v>
      </c>
      <c r="D240" t="s">
        <v>65</v>
      </c>
      <c r="E240" t="s">
        <v>53</v>
      </c>
      <c r="F240" t="s">
        <v>220</v>
      </c>
      <c r="G240" t="s">
        <v>68</v>
      </c>
      <c r="H240" t="s">
        <v>79</v>
      </c>
      <c r="I240">
        <v>1</v>
      </c>
      <c r="J240" s="6">
        <v>19000</v>
      </c>
      <c r="K240" s="6">
        <v>11500</v>
      </c>
      <c r="L240" s="5">
        <v>0.03</v>
      </c>
      <c r="M240" t="s">
        <v>80</v>
      </c>
      <c r="N240" t="s">
        <v>81</v>
      </c>
      <c r="O240">
        <f t="shared" si="24"/>
        <v>10</v>
      </c>
      <c r="P240">
        <f t="shared" si="25"/>
        <v>4</v>
      </c>
      <c r="Q240" s="6">
        <f t="shared" si="26"/>
        <v>19000</v>
      </c>
      <c r="R240" s="6">
        <f t="shared" si="27"/>
        <v>570</v>
      </c>
      <c r="S240" s="6">
        <f t="shared" si="28"/>
        <v>0</v>
      </c>
      <c r="T240" s="6">
        <f t="shared" si="29"/>
        <v>0</v>
      </c>
      <c r="U240" s="6">
        <f t="shared" si="30"/>
        <v>0</v>
      </c>
      <c r="V240" s="5">
        <f t="shared" si="31"/>
        <v>0</v>
      </c>
    </row>
    <row r="241" spans="1:22">
      <c r="A241" t="s">
        <v>494</v>
      </c>
      <c r="B241" s="4">
        <v>45762</v>
      </c>
      <c r="C241" t="s">
        <v>60</v>
      </c>
      <c r="D241" t="s">
        <v>61</v>
      </c>
      <c r="E241" t="s">
        <v>66</v>
      </c>
      <c r="F241" t="s">
        <v>495</v>
      </c>
      <c r="G241" t="s">
        <v>89</v>
      </c>
      <c r="H241" t="s">
        <v>90</v>
      </c>
      <c r="I241">
        <v>5</v>
      </c>
      <c r="J241" s="6">
        <v>5900</v>
      </c>
      <c r="K241" s="6">
        <v>3700</v>
      </c>
      <c r="L241" s="5">
        <v>0.03</v>
      </c>
      <c r="M241" t="s">
        <v>80</v>
      </c>
      <c r="N241" t="s">
        <v>70</v>
      </c>
      <c r="O241">
        <f t="shared" si="24"/>
        <v>4</v>
      </c>
      <c r="P241">
        <f t="shared" si="25"/>
        <v>2</v>
      </c>
      <c r="Q241" s="6">
        <f t="shared" si="26"/>
        <v>29500</v>
      </c>
      <c r="R241" s="6">
        <f t="shared" si="27"/>
        <v>885</v>
      </c>
      <c r="S241" s="6">
        <f t="shared" si="28"/>
        <v>0</v>
      </c>
      <c r="T241" s="6">
        <f t="shared" si="29"/>
        <v>0</v>
      </c>
      <c r="U241" s="6">
        <f t="shared" si="30"/>
        <v>0</v>
      </c>
      <c r="V241" s="5">
        <f t="shared" si="31"/>
        <v>0</v>
      </c>
    </row>
    <row r="242" spans="1:22">
      <c r="A242" t="s">
        <v>496</v>
      </c>
      <c r="B242" s="4">
        <v>45798</v>
      </c>
      <c r="C242" t="s">
        <v>111</v>
      </c>
      <c r="D242" t="s">
        <v>61</v>
      </c>
      <c r="E242" t="s">
        <v>94</v>
      </c>
      <c r="F242" t="s">
        <v>268</v>
      </c>
      <c r="G242" t="s">
        <v>68</v>
      </c>
      <c r="H242" t="s">
        <v>104</v>
      </c>
      <c r="I242">
        <v>8</v>
      </c>
      <c r="J242" s="6">
        <v>320000</v>
      </c>
      <c r="K242" s="6">
        <v>244000</v>
      </c>
      <c r="L242" s="5">
        <v>0.12</v>
      </c>
      <c r="M242" t="s">
        <v>80</v>
      </c>
      <c r="N242" t="s">
        <v>63</v>
      </c>
      <c r="O242">
        <f t="shared" si="24"/>
        <v>5</v>
      </c>
      <c r="P242">
        <f t="shared" si="25"/>
        <v>2</v>
      </c>
      <c r="Q242" s="6">
        <f t="shared" si="26"/>
        <v>2560000</v>
      </c>
      <c r="R242" s="6">
        <f t="shared" si="27"/>
        <v>307200</v>
      </c>
      <c r="S242" s="6">
        <f t="shared" si="28"/>
        <v>0</v>
      </c>
      <c r="T242" s="6">
        <f t="shared" si="29"/>
        <v>0</v>
      </c>
      <c r="U242" s="6">
        <f t="shared" si="30"/>
        <v>0</v>
      </c>
      <c r="V242" s="5">
        <f t="shared" si="31"/>
        <v>0</v>
      </c>
    </row>
    <row r="243" spans="1:22">
      <c r="A243" t="s">
        <v>497</v>
      </c>
      <c r="B243" s="4">
        <v>45805</v>
      </c>
      <c r="C243" t="s">
        <v>120</v>
      </c>
      <c r="D243" t="s">
        <v>61</v>
      </c>
      <c r="E243" t="s">
        <v>84</v>
      </c>
      <c r="F243" t="s">
        <v>498</v>
      </c>
      <c r="G243" t="s">
        <v>89</v>
      </c>
      <c r="H243" t="s">
        <v>98</v>
      </c>
      <c r="I243">
        <v>7</v>
      </c>
      <c r="J243" s="6">
        <v>16500</v>
      </c>
      <c r="K243" s="6">
        <v>10000</v>
      </c>
      <c r="L243" s="5">
        <v>0.08</v>
      </c>
      <c r="M243" t="s">
        <v>80</v>
      </c>
      <c r="N243" t="s">
        <v>81</v>
      </c>
      <c r="O243">
        <f t="shared" si="24"/>
        <v>5</v>
      </c>
      <c r="P243">
        <f t="shared" si="25"/>
        <v>2</v>
      </c>
      <c r="Q243" s="6">
        <f t="shared" si="26"/>
        <v>115500</v>
      </c>
      <c r="R243" s="6">
        <f t="shared" si="27"/>
        <v>9240</v>
      </c>
      <c r="S243" s="6">
        <f t="shared" si="28"/>
        <v>0</v>
      </c>
      <c r="T243" s="6">
        <f t="shared" si="29"/>
        <v>0</v>
      </c>
      <c r="U243" s="6">
        <f t="shared" si="30"/>
        <v>0</v>
      </c>
      <c r="V243" s="5">
        <f t="shared" si="31"/>
        <v>0</v>
      </c>
    </row>
    <row r="244" spans="1:22">
      <c r="A244" t="s">
        <v>499</v>
      </c>
      <c r="B244" s="4">
        <v>45876</v>
      </c>
      <c r="C244" t="s">
        <v>92</v>
      </c>
      <c r="D244" t="s">
        <v>61</v>
      </c>
      <c r="E244" t="s">
        <v>73</v>
      </c>
      <c r="F244" t="s">
        <v>500</v>
      </c>
      <c r="G244" t="s">
        <v>89</v>
      </c>
      <c r="H244" t="s">
        <v>90</v>
      </c>
      <c r="I244">
        <v>3</v>
      </c>
      <c r="J244" s="6">
        <v>5900</v>
      </c>
      <c r="K244" s="6">
        <v>3700</v>
      </c>
      <c r="L244" s="5">
        <v>0.03</v>
      </c>
      <c r="M244" t="s">
        <v>80</v>
      </c>
      <c r="N244" t="s">
        <v>63</v>
      </c>
      <c r="O244">
        <f t="shared" si="24"/>
        <v>8</v>
      </c>
      <c r="P244">
        <f t="shared" si="25"/>
        <v>3</v>
      </c>
      <c r="Q244" s="6">
        <f t="shared" si="26"/>
        <v>17700</v>
      </c>
      <c r="R244" s="6">
        <f t="shared" si="27"/>
        <v>531</v>
      </c>
      <c r="S244" s="6">
        <f t="shared" si="28"/>
        <v>0</v>
      </c>
      <c r="T244" s="6">
        <f t="shared" si="29"/>
        <v>0</v>
      </c>
      <c r="U244" s="6">
        <f t="shared" si="30"/>
        <v>0</v>
      </c>
      <c r="V244" s="5">
        <f t="shared" si="31"/>
        <v>0</v>
      </c>
    </row>
    <row r="245" spans="1:22">
      <c r="A245" t="s">
        <v>501</v>
      </c>
      <c r="B245" s="4">
        <v>45992</v>
      </c>
      <c r="C245" t="s">
        <v>77</v>
      </c>
      <c r="D245" t="s">
        <v>61</v>
      </c>
      <c r="E245" t="s">
        <v>53</v>
      </c>
      <c r="F245" t="s">
        <v>502</v>
      </c>
      <c r="G245" t="s">
        <v>68</v>
      </c>
      <c r="H245" t="s">
        <v>108</v>
      </c>
      <c r="I245">
        <v>2</v>
      </c>
      <c r="J245" s="6">
        <v>175000</v>
      </c>
      <c r="K245" s="6">
        <v>129000</v>
      </c>
      <c r="L245" s="5">
        <v>0.1</v>
      </c>
      <c r="M245" t="s">
        <v>57</v>
      </c>
      <c r="N245" t="s">
        <v>81</v>
      </c>
      <c r="O245">
        <f t="shared" si="24"/>
        <v>12</v>
      </c>
      <c r="P245">
        <f t="shared" si="25"/>
        <v>4</v>
      </c>
      <c r="Q245" s="6">
        <f t="shared" si="26"/>
        <v>350000</v>
      </c>
      <c r="R245" s="6">
        <f t="shared" si="27"/>
        <v>35000</v>
      </c>
      <c r="S245" s="6">
        <f t="shared" si="28"/>
        <v>315000</v>
      </c>
      <c r="T245" s="6">
        <f t="shared" si="29"/>
        <v>258000</v>
      </c>
      <c r="U245" s="6">
        <f t="shared" si="30"/>
        <v>57000</v>
      </c>
      <c r="V245" s="5">
        <f t="shared" si="31"/>
        <v>0.18095238095238095</v>
      </c>
    </row>
    <row r="246" spans="1:22">
      <c r="A246" t="s">
        <v>503</v>
      </c>
      <c r="B246" s="4">
        <v>46017</v>
      </c>
      <c r="C246" t="s">
        <v>51</v>
      </c>
      <c r="D246" t="s">
        <v>61</v>
      </c>
      <c r="E246" t="s">
        <v>53</v>
      </c>
      <c r="F246" t="s">
        <v>504</v>
      </c>
      <c r="G246" t="s">
        <v>55</v>
      </c>
      <c r="H246" t="s">
        <v>86</v>
      </c>
      <c r="I246">
        <v>6</v>
      </c>
      <c r="J246" s="6">
        <v>92000</v>
      </c>
      <c r="K246" s="6">
        <v>60000</v>
      </c>
      <c r="L246" s="5">
        <v>0.1</v>
      </c>
      <c r="M246" t="s">
        <v>109</v>
      </c>
      <c r="N246" t="s">
        <v>81</v>
      </c>
      <c r="O246">
        <f t="shared" si="24"/>
        <v>12</v>
      </c>
      <c r="P246">
        <f t="shared" si="25"/>
        <v>4</v>
      </c>
      <c r="Q246" s="6">
        <f t="shared" si="26"/>
        <v>552000</v>
      </c>
      <c r="R246" s="6">
        <f t="shared" si="27"/>
        <v>55200</v>
      </c>
      <c r="S246" s="6">
        <f t="shared" si="28"/>
        <v>0</v>
      </c>
      <c r="T246" s="6">
        <f t="shared" si="29"/>
        <v>0</v>
      </c>
      <c r="U246" s="6">
        <f t="shared" si="30"/>
        <v>0</v>
      </c>
      <c r="V246" s="5">
        <f t="shared" si="31"/>
        <v>0</v>
      </c>
    </row>
    <row r="247" spans="1:22">
      <c r="A247" t="s">
        <v>505</v>
      </c>
      <c r="B247" s="4">
        <v>45971</v>
      </c>
      <c r="C247" t="s">
        <v>51</v>
      </c>
      <c r="D247" t="s">
        <v>61</v>
      </c>
      <c r="E247" t="s">
        <v>73</v>
      </c>
      <c r="F247" t="s">
        <v>67</v>
      </c>
      <c r="G247" t="s">
        <v>55</v>
      </c>
      <c r="H247" t="s">
        <v>56</v>
      </c>
      <c r="I247">
        <v>2</v>
      </c>
      <c r="J247" s="6">
        <v>138000</v>
      </c>
      <c r="K247" s="6">
        <v>99000</v>
      </c>
      <c r="L247" s="5">
        <v>0.03</v>
      </c>
      <c r="M247" t="s">
        <v>57</v>
      </c>
      <c r="N247" t="s">
        <v>70</v>
      </c>
      <c r="O247">
        <f t="shared" si="24"/>
        <v>11</v>
      </c>
      <c r="P247">
        <f t="shared" si="25"/>
        <v>4</v>
      </c>
      <c r="Q247" s="6">
        <f t="shared" si="26"/>
        <v>276000</v>
      </c>
      <c r="R247" s="6">
        <f t="shared" si="27"/>
        <v>8280</v>
      </c>
      <c r="S247" s="6">
        <f t="shared" si="28"/>
        <v>267720</v>
      </c>
      <c r="T247" s="6">
        <f t="shared" si="29"/>
        <v>198000</v>
      </c>
      <c r="U247" s="6">
        <f t="shared" si="30"/>
        <v>69720</v>
      </c>
      <c r="V247" s="5">
        <f t="shared" si="31"/>
        <v>0.26042133572389065</v>
      </c>
    </row>
    <row r="248" spans="1:22">
      <c r="A248" t="s">
        <v>506</v>
      </c>
      <c r="B248" s="4">
        <v>45992</v>
      </c>
      <c r="C248" t="s">
        <v>51</v>
      </c>
      <c r="D248" t="s">
        <v>61</v>
      </c>
      <c r="E248" t="s">
        <v>94</v>
      </c>
      <c r="F248" t="s">
        <v>502</v>
      </c>
      <c r="G248" t="s">
        <v>89</v>
      </c>
      <c r="H248" t="s">
        <v>98</v>
      </c>
      <c r="I248">
        <v>5</v>
      </c>
      <c r="J248" s="6">
        <v>16500</v>
      </c>
      <c r="K248" s="6">
        <v>10000</v>
      </c>
      <c r="L248" s="5">
        <v>0</v>
      </c>
      <c r="M248" t="s">
        <v>80</v>
      </c>
      <c r="N248" t="s">
        <v>75</v>
      </c>
      <c r="O248">
        <f t="shared" si="24"/>
        <v>12</v>
      </c>
      <c r="P248">
        <f t="shared" si="25"/>
        <v>4</v>
      </c>
      <c r="Q248" s="6">
        <f t="shared" si="26"/>
        <v>82500</v>
      </c>
      <c r="R248" s="6">
        <f t="shared" si="27"/>
        <v>0</v>
      </c>
      <c r="S248" s="6">
        <f t="shared" si="28"/>
        <v>0</v>
      </c>
      <c r="T248" s="6">
        <f t="shared" si="29"/>
        <v>0</v>
      </c>
      <c r="U248" s="6">
        <f t="shared" si="30"/>
        <v>0</v>
      </c>
      <c r="V248" s="5">
        <f t="shared" si="31"/>
        <v>0</v>
      </c>
    </row>
    <row r="249" spans="1:22">
      <c r="A249" t="s">
        <v>507</v>
      </c>
      <c r="B249" s="4">
        <v>45850</v>
      </c>
      <c r="C249" t="s">
        <v>77</v>
      </c>
      <c r="D249" t="s">
        <v>65</v>
      </c>
      <c r="E249" t="s">
        <v>94</v>
      </c>
      <c r="F249" t="s">
        <v>508</v>
      </c>
      <c r="G249" t="s">
        <v>55</v>
      </c>
      <c r="H249" t="s">
        <v>86</v>
      </c>
      <c r="I249">
        <v>1</v>
      </c>
      <c r="J249" s="6">
        <v>92000</v>
      </c>
      <c r="K249" s="6">
        <v>60000</v>
      </c>
      <c r="L249" s="5">
        <v>0.08</v>
      </c>
      <c r="M249" t="s">
        <v>57</v>
      </c>
      <c r="N249" t="s">
        <v>63</v>
      </c>
      <c r="O249">
        <f t="shared" si="24"/>
        <v>7</v>
      </c>
      <c r="P249">
        <f t="shared" si="25"/>
        <v>3</v>
      </c>
      <c r="Q249" s="6">
        <f t="shared" si="26"/>
        <v>92000</v>
      </c>
      <c r="R249" s="6">
        <f t="shared" si="27"/>
        <v>7360</v>
      </c>
      <c r="S249" s="6">
        <f t="shared" si="28"/>
        <v>84640</v>
      </c>
      <c r="T249" s="6">
        <f t="shared" si="29"/>
        <v>60000</v>
      </c>
      <c r="U249" s="6">
        <f t="shared" si="30"/>
        <v>24640</v>
      </c>
      <c r="V249" s="5">
        <f t="shared" si="31"/>
        <v>0.29111531190926276</v>
      </c>
    </row>
    <row r="250" spans="1:22">
      <c r="A250" t="s">
        <v>509</v>
      </c>
      <c r="B250" s="4">
        <v>45751</v>
      </c>
      <c r="C250" t="s">
        <v>77</v>
      </c>
      <c r="D250" t="s">
        <v>72</v>
      </c>
      <c r="E250" t="s">
        <v>73</v>
      </c>
      <c r="F250" t="s">
        <v>510</v>
      </c>
      <c r="G250" t="s">
        <v>89</v>
      </c>
      <c r="H250" t="s">
        <v>90</v>
      </c>
      <c r="I250">
        <v>6</v>
      </c>
      <c r="J250" s="6">
        <v>5900</v>
      </c>
      <c r="K250" s="6">
        <v>3700</v>
      </c>
      <c r="L250" s="5">
        <v>0</v>
      </c>
      <c r="M250" t="s">
        <v>80</v>
      </c>
      <c r="N250" t="s">
        <v>81</v>
      </c>
      <c r="O250">
        <f t="shared" si="24"/>
        <v>4</v>
      </c>
      <c r="P250">
        <f t="shared" si="25"/>
        <v>2</v>
      </c>
      <c r="Q250" s="6">
        <f t="shared" si="26"/>
        <v>35400</v>
      </c>
      <c r="R250" s="6">
        <f t="shared" si="27"/>
        <v>0</v>
      </c>
      <c r="S250" s="6">
        <f t="shared" si="28"/>
        <v>0</v>
      </c>
      <c r="T250" s="6">
        <f t="shared" si="29"/>
        <v>0</v>
      </c>
      <c r="U250" s="6">
        <f t="shared" si="30"/>
        <v>0</v>
      </c>
      <c r="V250" s="5">
        <f t="shared" si="31"/>
        <v>0</v>
      </c>
    </row>
    <row r="251" spans="1:22">
      <c r="A251" t="s">
        <v>511</v>
      </c>
      <c r="B251" s="4">
        <v>45861</v>
      </c>
      <c r="C251" t="s">
        <v>77</v>
      </c>
      <c r="D251" t="s">
        <v>93</v>
      </c>
      <c r="E251" t="s">
        <v>73</v>
      </c>
      <c r="F251" t="s">
        <v>512</v>
      </c>
      <c r="G251" t="s">
        <v>68</v>
      </c>
      <c r="H251" t="s">
        <v>69</v>
      </c>
      <c r="I251">
        <v>6</v>
      </c>
      <c r="J251" s="6">
        <v>115000</v>
      </c>
      <c r="K251" s="6">
        <v>82000</v>
      </c>
      <c r="L251" s="5">
        <v>0.12</v>
      </c>
      <c r="M251" t="s">
        <v>109</v>
      </c>
      <c r="N251" t="s">
        <v>70</v>
      </c>
      <c r="O251">
        <f t="shared" si="24"/>
        <v>7</v>
      </c>
      <c r="P251">
        <f t="shared" si="25"/>
        <v>3</v>
      </c>
      <c r="Q251" s="6">
        <f t="shared" si="26"/>
        <v>690000</v>
      </c>
      <c r="R251" s="6">
        <f t="shared" si="27"/>
        <v>82800</v>
      </c>
      <c r="S251" s="6">
        <f t="shared" si="28"/>
        <v>0</v>
      </c>
      <c r="T251" s="6">
        <f t="shared" si="29"/>
        <v>0</v>
      </c>
      <c r="U251" s="6">
        <f t="shared" si="30"/>
        <v>0</v>
      </c>
      <c r="V251" s="5">
        <f t="shared" si="31"/>
        <v>0</v>
      </c>
    </row>
    <row r="252" spans="1:22">
      <c r="A252" t="s">
        <v>513</v>
      </c>
      <c r="B252" s="4">
        <v>45995</v>
      </c>
      <c r="C252" t="s">
        <v>83</v>
      </c>
      <c r="D252" t="s">
        <v>61</v>
      </c>
      <c r="E252" t="s">
        <v>53</v>
      </c>
      <c r="F252" t="s">
        <v>463</v>
      </c>
      <c r="G252" t="s">
        <v>55</v>
      </c>
      <c r="H252" t="s">
        <v>86</v>
      </c>
      <c r="I252">
        <v>4</v>
      </c>
      <c r="J252" s="6">
        <v>92000</v>
      </c>
      <c r="K252" s="6">
        <v>60000</v>
      </c>
      <c r="L252" s="5">
        <v>0</v>
      </c>
      <c r="M252" t="s">
        <v>57</v>
      </c>
      <c r="N252" t="s">
        <v>81</v>
      </c>
      <c r="O252">
        <f t="shared" si="24"/>
        <v>12</v>
      </c>
      <c r="P252">
        <f t="shared" si="25"/>
        <v>4</v>
      </c>
      <c r="Q252" s="6">
        <f t="shared" si="26"/>
        <v>368000</v>
      </c>
      <c r="R252" s="6">
        <f t="shared" si="27"/>
        <v>0</v>
      </c>
      <c r="S252" s="6">
        <f t="shared" si="28"/>
        <v>368000</v>
      </c>
      <c r="T252" s="6">
        <f t="shared" si="29"/>
        <v>240000</v>
      </c>
      <c r="U252" s="6">
        <f t="shared" si="30"/>
        <v>128000</v>
      </c>
      <c r="V252" s="5">
        <f t="shared" si="31"/>
        <v>0.34782608695652173</v>
      </c>
    </row>
    <row r="253" spans="1:22">
      <c r="A253" t="s">
        <v>514</v>
      </c>
      <c r="B253" s="4">
        <v>45721</v>
      </c>
      <c r="C253" t="s">
        <v>120</v>
      </c>
      <c r="D253" t="s">
        <v>52</v>
      </c>
      <c r="E253" t="s">
        <v>94</v>
      </c>
      <c r="F253" t="s">
        <v>214</v>
      </c>
      <c r="G253" t="s">
        <v>89</v>
      </c>
      <c r="H253" t="s">
        <v>90</v>
      </c>
      <c r="I253">
        <v>3</v>
      </c>
      <c r="J253" s="6">
        <v>5900</v>
      </c>
      <c r="K253" s="6">
        <v>3700</v>
      </c>
      <c r="L253" s="5">
        <v>0</v>
      </c>
      <c r="M253" t="s">
        <v>57</v>
      </c>
      <c r="N253" t="s">
        <v>81</v>
      </c>
      <c r="O253">
        <f t="shared" si="24"/>
        <v>3</v>
      </c>
      <c r="P253">
        <f t="shared" si="25"/>
        <v>1</v>
      </c>
      <c r="Q253" s="6">
        <f t="shared" si="26"/>
        <v>17700</v>
      </c>
      <c r="R253" s="6">
        <f t="shared" si="27"/>
        <v>0</v>
      </c>
      <c r="S253" s="6">
        <f t="shared" si="28"/>
        <v>17700</v>
      </c>
      <c r="T253" s="6">
        <f t="shared" si="29"/>
        <v>11100</v>
      </c>
      <c r="U253" s="6">
        <f t="shared" si="30"/>
        <v>6600</v>
      </c>
      <c r="V253" s="5">
        <f t="shared" si="31"/>
        <v>0.3728813559322034</v>
      </c>
    </row>
    <row r="254" spans="1:22">
      <c r="A254" t="s">
        <v>515</v>
      </c>
      <c r="B254" s="4">
        <v>45780</v>
      </c>
      <c r="C254" t="s">
        <v>92</v>
      </c>
      <c r="D254" t="s">
        <v>61</v>
      </c>
      <c r="E254" t="s">
        <v>73</v>
      </c>
      <c r="F254" t="s">
        <v>516</v>
      </c>
      <c r="G254" t="s">
        <v>68</v>
      </c>
      <c r="H254" t="s">
        <v>108</v>
      </c>
      <c r="I254">
        <v>5</v>
      </c>
      <c r="J254" s="6">
        <v>175000</v>
      </c>
      <c r="K254" s="6">
        <v>129000</v>
      </c>
      <c r="L254" s="5">
        <v>0.05</v>
      </c>
      <c r="M254" t="s">
        <v>57</v>
      </c>
      <c r="N254" t="s">
        <v>81</v>
      </c>
      <c r="O254">
        <f t="shared" si="24"/>
        <v>5</v>
      </c>
      <c r="P254">
        <f t="shared" si="25"/>
        <v>2</v>
      </c>
      <c r="Q254" s="6">
        <f t="shared" si="26"/>
        <v>875000</v>
      </c>
      <c r="R254" s="6">
        <f t="shared" si="27"/>
        <v>43750</v>
      </c>
      <c r="S254" s="6">
        <f t="shared" si="28"/>
        <v>831250</v>
      </c>
      <c r="T254" s="6">
        <f t="shared" si="29"/>
        <v>645000</v>
      </c>
      <c r="U254" s="6">
        <f t="shared" si="30"/>
        <v>186250</v>
      </c>
      <c r="V254" s="5">
        <f t="shared" si="31"/>
        <v>0.22406015037593985</v>
      </c>
    </row>
    <row r="255" spans="1:22">
      <c r="A255" t="s">
        <v>517</v>
      </c>
      <c r="B255" s="4">
        <v>45682</v>
      </c>
      <c r="C255" t="s">
        <v>92</v>
      </c>
      <c r="D255" t="s">
        <v>61</v>
      </c>
      <c r="E255" t="s">
        <v>53</v>
      </c>
      <c r="F255" t="s">
        <v>191</v>
      </c>
      <c r="G255" t="s">
        <v>68</v>
      </c>
      <c r="H255" t="s">
        <v>108</v>
      </c>
      <c r="I255">
        <v>5</v>
      </c>
      <c r="J255" s="6">
        <v>175000</v>
      </c>
      <c r="K255" s="6">
        <v>129000</v>
      </c>
      <c r="L255" s="5">
        <v>0.08</v>
      </c>
      <c r="M255" t="s">
        <v>80</v>
      </c>
      <c r="N255" t="s">
        <v>70</v>
      </c>
      <c r="O255">
        <f t="shared" si="24"/>
        <v>1</v>
      </c>
      <c r="P255">
        <f t="shared" si="25"/>
        <v>1</v>
      </c>
      <c r="Q255" s="6">
        <f t="shared" si="26"/>
        <v>875000</v>
      </c>
      <c r="R255" s="6">
        <f t="shared" si="27"/>
        <v>70000</v>
      </c>
      <c r="S255" s="6">
        <f t="shared" si="28"/>
        <v>0</v>
      </c>
      <c r="T255" s="6">
        <f t="shared" si="29"/>
        <v>0</v>
      </c>
      <c r="U255" s="6">
        <f t="shared" si="30"/>
        <v>0</v>
      </c>
      <c r="V255" s="5">
        <f t="shared" si="31"/>
        <v>0</v>
      </c>
    </row>
    <row r="256" spans="1:22">
      <c r="A256" t="s">
        <v>518</v>
      </c>
      <c r="B256" s="4">
        <v>45933</v>
      </c>
      <c r="C256" t="s">
        <v>92</v>
      </c>
      <c r="D256" t="s">
        <v>61</v>
      </c>
      <c r="E256" t="s">
        <v>66</v>
      </c>
      <c r="F256" t="s">
        <v>85</v>
      </c>
      <c r="G256" t="s">
        <v>55</v>
      </c>
      <c r="H256" t="s">
        <v>115</v>
      </c>
      <c r="I256">
        <v>2</v>
      </c>
      <c r="J256" s="6">
        <v>105000</v>
      </c>
      <c r="K256" s="6">
        <v>76000</v>
      </c>
      <c r="L256" s="5">
        <v>0.1</v>
      </c>
      <c r="M256" t="s">
        <v>57</v>
      </c>
      <c r="N256" t="s">
        <v>63</v>
      </c>
      <c r="O256">
        <f t="shared" si="24"/>
        <v>10</v>
      </c>
      <c r="P256">
        <f t="shared" si="25"/>
        <v>4</v>
      </c>
      <c r="Q256" s="6">
        <f t="shared" si="26"/>
        <v>210000</v>
      </c>
      <c r="R256" s="6">
        <f t="shared" si="27"/>
        <v>21000</v>
      </c>
      <c r="S256" s="6">
        <f t="shared" si="28"/>
        <v>189000</v>
      </c>
      <c r="T256" s="6">
        <f t="shared" si="29"/>
        <v>152000</v>
      </c>
      <c r="U256" s="6">
        <f t="shared" si="30"/>
        <v>37000</v>
      </c>
      <c r="V256" s="5">
        <f t="shared" si="31"/>
        <v>0.19576719576719576</v>
      </c>
    </row>
    <row r="257" spans="1:22">
      <c r="A257" t="s">
        <v>519</v>
      </c>
      <c r="B257" s="4">
        <v>45735</v>
      </c>
      <c r="C257" t="s">
        <v>77</v>
      </c>
      <c r="D257" t="s">
        <v>93</v>
      </c>
      <c r="E257" t="s">
        <v>66</v>
      </c>
      <c r="F257" t="s">
        <v>103</v>
      </c>
      <c r="G257" t="s">
        <v>68</v>
      </c>
      <c r="H257" t="s">
        <v>69</v>
      </c>
      <c r="I257">
        <v>2</v>
      </c>
      <c r="J257" s="6">
        <v>115000</v>
      </c>
      <c r="K257" s="6">
        <v>82000</v>
      </c>
      <c r="L257" s="5">
        <v>0.03</v>
      </c>
      <c r="M257" t="s">
        <v>57</v>
      </c>
      <c r="N257" t="s">
        <v>63</v>
      </c>
      <c r="O257">
        <f t="shared" si="24"/>
        <v>3</v>
      </c>
      <c r="P257">
        <f t="shared" si="25"/>
        <v>1</v>
      </c>
      <c r="Q257" s="6">
        <f t="shared" si="26"/>
        <v>230000</v>
      </c>
      <c r="R257" s="6">
        <f t="shared" si="27"/>
        <v>6900</v>
      </c>
      <c r="S257" s="6">
        <f t="shared" si="28"/>
        <v>223100</v>
      </c>
      <c r="T257" s="6">
        <f t="shared" si="29"/>
        <v>164000</v>
      </c>
      <c r="U257" s="6">
        <f t="shared" si="30"/>
        <v>59100</v>
      </c>
      <c r="V257" s="5">
        <f t="shared" si="31"/>
        <v>0.26490363065889738</v>
      </c>
    </row>
    <row r="258" spans="1:22">
      <c r="A258" t="s">
        <v>520</v>
      </c>
      <c r="B258" s="4">
        <v>45687</v>
      </c>
      <c r="C258" t="s">
        <v>60</v>
      </c>
      <c r="D258" t="s">
        <v>61</v>
      </c>
      <c r="E258" t="s">
        <v>73</v>
      </c>
      <c r="F258" t="s">
        <v>367</v>
      </c>
      <c r="G258" t="s">
        <v>55</v>
      </c>
      <c r="H258" t="s">
        <v>115</v>
      </c>
      <c r="I258">
        <v>5</v>
      </c>
      <c r="J258" s="6">
        <v>105000</v>
      </c>
      <c r="K258" s="6">
        <v>76000</v>
      </c>
      <c r="L258" s="5">
        <v>0.12</v>
      </c>
      <c r="M258" t="s">
        <v>57</v>
      </c>
      <c r="N258" t="s">
        <v>81</v>
      </c>
      <c r="O258">
        <f t="shared" ref="O258:O321" si="32">MONTH(B258)</f>
        <v>1</v>
      </c>
      <c r="P258">
        <f t="shared" ref="P258:P321" si="33">ROUNDUP(O258/3,0)</f>
        <v>1</v>
      </c>
      <c r="Q258" s="6">
        <f t="shared" ref="Q258:Q321" si="34">I258*J258</f>
        <v>525000</v>
      </c>
      <c r="R258" s="6">
        <f t="shared" ref="R258:R321" si="35">Q258*L258</f>
        <v>63000</v>
      </c>
      <c r="S258" s="6">
        <f t="shared" ref="S258:S321" si="36">IF(M258="Ganho",Q258-R258,0)</f>
        <v>462000</v>
      </c>
      <c r="T258" s="6">
        <f t="shared" ref="T258:T321" si="37">IF(M258="Ganho",I258*K258,0)</f>
        <v>380000</v>
      </c>
      <c r="U258" s="6">
        <f t="shared" ref="U258:U321" si="38">S258-T258</f>
        <v>82000</v>
      </c>
      <c r="V258" s="5">
        <f t="shared" ref="V258:V321" si="39">IFERROR(U258/S258,0)</f>
        <v>0.1774891774891775</v>
      </c>
    </row>
    <row r="259" spans="1:22">
      <c r="A259" t="s">
        <v>521</v>
      </c>
      <c r="B259" s="4">
        <v>45821</v>
      </c>
      <c r="C259" t="s">
        <v>83</v>
      </c>
      <c r="D259" t="s">
        <v>61</v>
      </c>
      <c r="E259" t="s">
        <v>53</v>
      </c>
      <c r="F259" t="s">
        <v>224</v>
      </c>
      <c r="G259" t="s">
        <v>68</v>
      </c>
      <c r="H259" t="s">
        <v>108</v>
      </c>
      <c r="I259">
        <v>4</v>
      </c>
      <c r="J259" s="6">
        <v>175000</v>
      </c>
      <c r="K259" s="6">
        <v>129000</v>
      </c>
      <c r="L259" s="5">
        <v>0.08</v>
      </c>
      <c r="M259" t="s">
        <v>57</v>
      </c>
      <c r="N259" t="s">
        <v>70</v>
      </c>
      <c r="O259">
        <f t="shared" si="32"/>
        <v>6</v>
      </c>
      <c r="P259">
        <f t="shared" si="33"/>
        <v>2</v>
      </c>
      <c r="Q259" s="6">
        <f t="shared" si="34"/>
        <v>700000</v>
      </c>
      <c r="R259" s="6">
        <f t="shared" si="35"/>
        <v>56000</v>
      </c>
      <c r="S259" s="6">
        <f t="shared" si="36"/>
        <v>644000</v>
      </c>
      <c r="T259" s="6">
        <f t="shared" si="37"/>
        <v>516000</v>
      </c>
      <c r="U259" s="6">
        <f t="shared" si="38"/>
        <v>128000</v>
      </c>
      <c r="V259" s="5">
        <f t="shared" si="39"/>
        <v>0.19875776397515527</v>
      </c>
    </row>
    <row r="260" spans="1:22">
      <c r="A260" t="s">
        <v>522</v>
      </c>
      <c r="B260" s="4">
        <v>45897</v>
      </c>
      <c r="C260" t="s">
        <v>102</v>
      </c>
      <c r="D260" t="s">
        <v>61</v>
      </c>
      <c r="E260" t="s">
        <v>84</v>
      </c>
      <c r="F260" t="s">
        <v>311</v>
      </c>
      <c r="G260" t="s">
        <v>89</v>
      </c>
      <c r="H260" t="s">
        <v>95</v>
      </c>
      <c r="I260">
        <v>6</v>
      </c>
      <c r="J260" s="6">
        <v>32000</v>
      </c>
      <c r="K260" s="6">
        <v>21000</v>
      </c>
      <c r="L260" s="5">
        <v>0.1</v>
      </c>
      <c r="M260" t="s">
        <v>80</v>
      </c>
      <c r="N260" t="s">
        <v>75</v>
      </c>
      <c r="O260">
        <f t="shared" si="32"/>
        <v>8</v>
      </c>
      <c r="P260">
        <f t="shared" si="33"/>
        <v>3</v>
      </c>
      <c r="Q260" s="6">
        <f t="shared" si="34"/>
        <v>192000</v>
      </c>
      <c r="R260" s="6">
        <f t="shared" si="35"/>
        <v>19200</v>
      </c>
      <c r="S260" s="6">
        <f t="shared" si="36"/>
        <v>0</v>
      </c>
      <c r="T260" s="6">
        <f t="shared" si="37"/>
        <v>0</v>
      </c>
      <c r="U260" s="6">
        <f t="shared" si="38"/>
        <v>0</v>
      </c>
      <c r="V260" s="5">
        <f t="shared" si="39"/>
        <v>0</v>
      </c>
    </row>
    <row r="261" spans="1:22">
      <c r="A261" t="s">
        <v>523</v>
      </c>
      <c r="B261" s="4">
        <v>45907</v>
      </c>
      <c r="C261" t="s">
        <v>77</v>
      </c>
      <c r="D261" t="s">
        <v>72</v>
      </c>
      <c r="E261" t="s">
        <v>66</v>
      </c>
      <c r="F261" t="s">
        <v>524</v>
      </c>
      <c r="G261" t="s">
        <v>89</v>
      </c>
      <c r="H261" t="s">
        <v>98</v>
      </c>
      <c r="I261">
        <v>6</v>
      </c>
      <c r="J261" s="6">
        <v>16500</v>
      </c>
      <c r="K261" s="6">
        <v>10000</v>
      </c>
      <c r="L261" s="5">
        <v>0.05</v>
      </c>
      <c r="M261" t="s">
        <v>57</v>
      </c>
      <c r="N261" t="s">
        <v>75</v>
      </c>
      <c r="O261">
        <f t="shared" si="32"/>
        <v>9</v>
      </c>
      <c r="P261">
        <f t="shared" si="33"/>
        <v>3</v>
      </c>
      <c r="Q261" s="6">
        <f t="shared" si="34"/>
        <v>99000</v>
      </c>
      <c r="R261" s="6">
        <f t="shared" si="35"/>
        <v>4950</v>
      </c>
      <c r="S261" s="6">
        <f t="shared" si="36"/>
        <v>94050</v>
      </c>
      <c r="T261" s="6">
        <f t="shared" si="37"/>
        <v>60000</v>
      </c>
      <c r="U261" s="6">
        <f t="shared" si="38"/>
        <v>34050</v>
      </c>
      <c r="V261" s="5">
        <f t="shared" si="39"/>
        <v>0.36204146730462522</v>
      </c>
    </row>
    <row r="262" spans="1:22">
      <c r="A262" t="s">
        <v>525</v>
      </c>
      <c r="B262" s="4">
        <v>45747</v>
      </c>
      <c r="C262" t="s">
        <v>92</v>
      </c>
      <c r="D262" t="s">
        <v>106</v>
      </c>
      <c r="E262" t="s">
        <v>94</v>
      </c>
      <c r="F262" t="s">
        <v>526</v>
      </c>
      <c r="G262" t="s">
        <v>55</v>
      </c>
      <c r="H262" t="s">
        <v>86</v>
      </c>
      <c r="I262">
        <v>4</v>
      </c>
      <c r="J262" s="6">
        <v>92000</v>
      </c>
      <c r="K262" s="6">
        <v>60000</v>
      </c>
      <c r="L262" s="5">
        <v>0</v>
      </c>
      <c r="M262" t="s">
        <v>109</v>
      </c>
      <c r="N262" t="s">
        <v>75</v>
      </c>
      <c r="O262">
        <f t="shared" si="32"/>
        <v>3</v>
      </c>
      <c r="P262">
        <f t="shared" si="33"/>
        <v>1</v>
      </c>
      <c r="Q262" s="6">
        <f t="shared" si="34"/>
        <v>368000</v>
      </c>
      <c r="R262" s="6">
        <f t="shared" si="35"/>
        <v>0</v>
      </c>
      <c r="S262" s="6">
        <f t="shared" si="36"/>
        <v>0</v>
      </c>
      <c r="T262" s="6">
        <f t="shared" si="37"/>
        <v>0</v>
      </c>
      <c r="U262" s="6">
        <f t="shared" si="38"/>
        <v>0</v>
      </c>
      <c r="V262" s="5">
        <f t="shared" si="39"/>
        <v>0</v>
      </c>
    </row>
    <row r="263" spans="1:22">
      <c r="A263" t="s">
        <v>527</v>
      </c>
      <c r="B263" s="4">
        <v>45708</v>
      </c>
      <c r="C263" t="s">
        <v>102</v>
      </c>
      <c r="D263" t="s">
        <v>61</v>
      </c>
      <c r="E263" t="s">
        <v>94</v>
      </c>
      <c r="F263" t="s">
        <v>528</v>
      </c>
      <c r="G263" t="s">
        <v>68</v>
      </c>
      <c r="H263" t="s">
        <v>108</v>
      </c>
      <c r="I263">
        <v>2</v>
      </c>
      <c r="J263" s="6">
        <v>175000</v>
      </c>
      <c r="K263" s="6">
        <v>129000</v>
      </c>
      <c r="L263" s="5">
        <v>0</v>
      </c>
      <c r="M263" t="s">
        <v>57</v>
      </c>
      <c r="N263" t="s">
        <v>75</v>
      </c>
      <c r="O263">
        <f t="shared" si="32"/>
        <v>2</v>
      </c>
      <c r="P263">
        <f t="shared" si="33"/>
        <v>1</v>
      </c>
      <c r="Q263" s="6">
        <f t="shared" si="34"/>
        <v>350000</v>
      </c>
      <c r="R263" s="6">
        <f t="shared" si="35"/>
        <v>0</v>
      </c>
      <c r="S263" s="6">
        <f t="shared" si="36"/>
        <v>350000</v>
      </c>
      <c r="T263" s="6">
        <f t="shared" si="37"/>
        <v>258000</v>
      </c>
      <c r="U263" s="6">
        <f t="shared" si="38"/>
        <v>92000</v>
      </c>
      <c r="V263" s="5">
        <f t="shared" si="39"/>
        <v>0.26285714285714284</v>
      </c>
    </row>
    <row r="264" spans="1:22">
      <c r="A264" t="s">
        <v>529</v>
      </c>
      <c r="B264" s="4">
        <v>45811</v>
      </c>
      <c r="C264" t="s">
        <v>120</v>
      </c>
      <c r="D264" t="s">
        <v>106</v>
      </c>
      <c r="E264" t="s">
        <v>53</v>
      </c>
      <c r="F264" t="s">
        <v>341</v>
      </c>
      <c r="G264" t="s">
        <v>68</v>
      </c>
      <c r="H264" t="s">
        <v>79</v>
      </c>
      <c r="I264">
        <v>2</v>
      </c>
      <c r="J264" s="6">
        <v>19000</v>
      </c>
      <c r="K264" s="6">
        <v>11500</v>
      </c>
      <c r="L264" s="5">
        <v>0.03</v>
      </c>
      <c r="M264" t="s">
        <v>57</v>
      </c>
      <c r="N264" t="s">
        <v>58</v>
      </c>
      <c r="O264">
        <f t="shared" si="32"/>
        <v>6</v>
      </c>
      <c r="P264">
        <f t="shared" si="33"/>
        <v>2</v>
      </c>
      <c r="Q264" s="6">
        <f t="shared" si="34"/>
        <v>38000</v>
      </c>
      <c r="R264" s="6">
        <f t="shared" si="35"/>
        <v>1140</v>
      </c>
      <c r="S264" s="6">
        <f t="shared" si="36"/>
        <v>36860</v>
      </c>
      <c r="T264" s="6">
        <f t="shared" si="37"/>
        <v>23000</v>
      </c>
      <c r="U264" s="6">
        <f t="shared" si="38"/>
        <v>13860</v>
      </c>
      <c r="V264" s="5">
        <f t="shared" si="39"/>
        <v>0.37601736299511668</v>
      </c>
    </row>
    <row r="265" spans="1:22">
      <c r="A265" t="s">
        <v>530</v>
      </c>
      <c r="B265" s="4">
        <v>45742</v>
      </c>
      <c r="C265" t="s">
        <v>83</v>
      </c>
      <c r="D265" t="s">
        <v>61</v>
      </c>
      <c r="E265" t="s">
        <v>66</v>
      </c>
      <c r="F265" t="s">
        <v>254</v>
      </c>
      <c r="G265" t="s">
        <v>68</v>
      </c>
      <c r="H265" t="s">
        <v>79</v>
      </c>
      <c r="I265">
        <v>1</v>
      </c>
      <c r="J265" s="6">
        <v>19000</v>
      </c>
      <c r="K265" s="6">
        <v>11500</v>
      </c>
      <c r="L265" s="5">
        <v>0.1</v>
      </c>
      <c r="M265" t="s">
        <v>80</v>
      </c>
      <c r="N265" t="s">
        <v>70</v>
      </c>
      <c r="O265">
        <f t="shared" si="32"/>
        <v>3</v>
      </c>
      <c r="P265">
        <f t="shared" si="33"/>
        <v>1</v>
      </c>
      <c r="Q265" s="6">
        <f t="shared" si="34"/>
        <v>19000</v>
      </c>
      <c r="R265" s="6">
        <f t="shared" si="35"/>
        <v>1900</v>
      </c>
      <c r="S265" s="6">
        <f t="shared" si="36"/>
        <v>0</v>
      </c>
      <c r="T265" s="6">
        <f t="shared" si="37"/>
        <v>0</v>
      </c>
      <c r="U265" s="6">
        <f t="shared" si="38"/>
        <v>0</v>
      </c>
      <c r="V265" s="5">
        <f t="shared" si="39"/>
        <v>0</v>
      </c>
    </row>
    <row r="266" spans="1:22">
      <c r="A266" t="s">
        <v>531</v>
      </c>
      <c r="B266" s="4">
        <v>45982</v>
      </c>
      <c r="C266" t="s">
        <v>83</v>
      </c>
      <c r="D266" t="s">
        <v>61</v>
      </c>
      <c r="E266" t="s">
        <v>73</v>
      </c>
      <c r="F266" t="s">
        <v>88</v>
      </c>
      <c r="G266" t="s">
        <v>55</v>
      </c>
      <c r="H266" t="s">
        <v>56</v>
      </c>
      <c r="I266">
        <v>7</v>
      </c>
      <c r="J266" s="6">
        <v>138000</v>
      </c>
      <c r="K266" s="6">
        <v>99000</v>
      </c>
      <c r="L266" s="5">
        <v>0.08</v>
      </c>
      <c r="M266" t="s">
        <v>80</v>
      </c>
      <c r="N266" t="s">
        <v>75</v>
      </c>
      <c r="O266">
        <f t="shared" si="32"/>
        <v>11</v>
      </c>
      <c r="P266">
        <f t="shared" si="33"/>
        <v>4</v>
      </c>
      <c r="Q266" s="6">
        <f t="shared" si="34"/>
        <v>966000</v>
      </c>
      <c r="R266" s="6">
        <f t="shared" si="35"/>
        <v>77280</v>
      </c>
      <c r="S266" s="6">
        <f t="shared" si="36"/>
        <v>0</v>
      </c>
      <c r="T266" s="6">
        <f t="shared" si="37"/>
        <v>0</v>
      </c>
      <c r="U266" s="6">
        <f t="shared" si="38"/>
        <v>0</v>
      </c>
      <c r="V266" s="5">
        <f t="shared" si="39"/>
        <v>0</v>
      </c>
    </row>
    <row r="267" spans="1:22">
      <c r="A267" t="s">
        <v>532</v>
      </c>
      <c r="B267" s="4">
        <v>45763</v>
      </c>
      <c r="C267" t="s">
        <v>51</v>
      </c>
      <c r="D267" t="s">
        <v>72</v>
      </c>
      <c r="E267" t="s">
        <v>66</v>
      </c>
      <c r="F267" t="s">
        <v>533</v>
      </c>
      <c r="G267" t="s">
        <v>68</v>
      </c>
      <c r="H267" t="s">
        <v>108</v>
      </c>
      <c r="I267">
        <v>6</v>
      </c>
      <c r="J267" s="6">
        <v>175000</v>
      </c>
      <c r="K267" s="6">
        <v>129000</v>
      </c>
      <c r="L267" s="5">
        <v>0.03</v>
      </c>
      <c r="M267" t="s">
        <v>109</v>
      </c>
      <c r="N267" t="s">
        <v>58</v>
      </c>
      <c r="O267">
        <f t="shared" si="32"/>
        <v>4</v>
      </c>
      <c r="P267">
        <f t="shared" si="33"/>
        <v>2</v>
      </c>
      <c r="Q267" s="6">
        <f t="shared" si="34"/>
        <v>1050000</v>
      </c>
      <c r="R267" s="6">
        <f t="shared" si="35"/>
        <v>31500</v>
      </c>
      <c r="S267" s="6">
        <f t="shared" si="36"/>
        <v>0</v>
      </c>
      <c r="T267" s="6">
        <f t="shared" si="37"/>
        <v>0</v>
      </c>
      <c r="U267" s="6">
        <f t="shared" si="38"/>
        <v>0</v>
      </c>
      <c r="V267" s="5">
        <f t="shared" si="39"/>
        <v>0</v>
      </c>
    </row>
    <row r="268" spans="1:22">
      <c r="A268" t="s">
        <v>534</v>
      </c>
      <c r="B268" s="4">
        <v>45841</v>
      </c>
      <c r="C268" t="s">
        <v>102</v>
      </c>
      <c r="D268" t="s">
        <v>61</v>
      </c>
      <c r="E268" t="s">
        <v>73</v>
      </c>
      <c r="F268" t="s">
        <v>535</v>
      </c>
      <c r="G268" t="s">
        <v>68</v>
      </c>
      <c r="H268" t="s">
        <v>108</v>
      </c>
      <c r="I268">
        <v>4</v>
      </c>
      <c r="J268" s="6">
        <v>175000</v>
      </c>
      <c r="K268" s="6">
        <v>129000</v>
      </c>
      <c r="L268" s="5">
        <v>0.12</v>
      </c>
      <c r="M268" t="s">
        <v>80</v>
      </c>
      <c r="N268" t="s">
        <v>70</v>
      </c>
      <c r="O268">
        <f t="shared" si="32"/>
        <v>7</v>
      </c>
      <c r="P268">
        <f t="shared" si="33"/>
        <v>3</v>
      </c>
      <c r="Q268" s="6">
        <f t="shared" si="34"/>
        <v>700000</v>
      </c>
      <c r="R268" s="6">
        <f t="shared" si="35"/>
        <v>84000</v>
      </c>
      <c r="S268" s="6">
        <f t="shared" si="36"/>
        <v>0</v>
      </c>
      <c r="T268" s="6">
        <f t="shared" si="37"/>
        <v>0</v>
      </c>
      <c r="U268" s="6">
        <f t="shared" si="38"/>
        <v>0</v>
      </c>
      <c r="V268" s="5">
        <f t="shared" si="39"/>
        <v>0</v>
      </c>
    </row>
    <row r="269" spans="1:22">
      <c r="A269" t="s">
        <v>536</v>
      </c>
      <c r="B269" s="4">
        <v>45919</v>
      </c>
      <c r="C269" t="s">
        <v>60</v>
      </c>
      <c r="D269" t="s">
        <v>93</v>
      </c>
      <c r="E269" t="s">
        <v>53</v>
      </c>
      <c r="F269" t="s">
        <v>537</v>
      </c>
      <c r="G269" t="s">
        <v>55</v>
      </c>
      <c r="H269" t="s">
        <v>86</v>
      </c>
      <c r="I269">
        <v>6</v>
      </c>
      <c r="J269" s="6">
        <v>92000</v>
      </c>
      <c r="K269" s="6">
        <v>60000</v>
      </c>
      <c r="L269" s="5">
        <v>0.12</v>
      </c>
      <c r="M269" t="s">
        <v>109</v>
      </c>
      <c r="N269" t="s">
        <v>58</v>
      </c>
      <c r="O269">
        <f t="shared" si="32"/>
        <v>9</v>
      </c>
      <c r="P269">
        <f t="shared" si="33"/>
        <v>3</v>
      </c>
      <c r="Q269" s="6">
        <f t="shared" si="34"/>
        <v>552000</v>
      </c>
      <c r="R269" s="6">
        <f t="shared" si="35"/>
        <v>66240</v>
      </c>
      <c r="S269" s="6">
        <f t="shared" si="36"/>
        <v>0</v>
      </c>
      <c r="T269" s="6">
        <f t="shared" si="37"/>
        <v>0</v>
      </c>
      <c r="U269" s="6">
        <f t="shared" si="38"/>
        <v>0</v>
      </c>
      <c r="V269" s="5">
        <f t="shared" si="39"/>
        <v>0</v>
      </c>
    </row>
    <row r="270" spans="1:22">
      <c r="A270" t="s">
        <v>538</v>
      </c>
      <c r="B270" s="4">
        <v>45959</v>
      </c>
      <c r="C270" t="s">
        <v>60</v>
      </c>
      <c r="D270" t="s">
        <v>65</v>
      </c>
      <c r="E270" t="s">
        <v>53</v>
      </c>
      <c r="F270" t="s">
        <v>260</v>
      </c>
      <c r="G270" t="s">
        <v>55</v>
      </c>
      <c r="H270" t="s">
        <v>56</v>
      </c>
      <c r="I270">
        <v>2</v>
      </c>
      <c r="J270" s="6">
        <v>138000</v>
      </c>
      <c r="K270" s="6">
        <v>99000</v>
      </c>
      <c r="L270" s="5">
        <v>0.05</v>
      </c>
      <c r="M270" t="s">
        <v>57</v>
      </c>
      <c r="N270" t="s">
        <v>70</v>
      </c>
      <c r="O270">
        <f t="shared" si="32"/>
        <v>10</v>
      </c>
      <c r="P270">
        <f t="shared" si="33"/>
        <v>4</v>
      </c>
      <c r="Q270" s="6">
        <f t="shared" si="34"/>
        <v>276000</v>
      </c>
      <c r="R270" s="6">
        <f t="shared" si="35"/>
        <v>13800</v>
      </c>
      <c r="S270" s="6">
        <f t="shared" si="36"/>
        <v>262200</v>
      </c>
      <c r="T270" s="6">
        <f t="shared" si="37"/>
        <v>198000</v>
      </c>
      <c r="U270" s="6">
        <f t="shared" si="38"/>
        <v>64200</v>
      </c>
      <c r="V270" s="5">
        <f t="shared" si="39"/>
        <v>0.24485125858123569</v>
      </c>
    </row>
    <row r="271" spans="1:22">
      <c r="A271" t="s">
        <v>539</v>
      </c>
      <c r="B271" s="4">
        <v>45936</v>
      </c>
      <c r="C271" t="s">
        <v>120</v>
      </c>
      <c r="D271" t="s">
        <v>61</v>
      </c>
      <c r="E271" t="s">
        <v>94</v>
      </c>
      <c r="F271" t="s">
        <v>208</v>
      </c>
      <c r="G271" t="s">
        <v>89</v>
      </c>
      <c r="H271" t="s">
        <v>95</v>
      </c>
      <c r="I271">
        <v>8</v>
      </c>
      <c r="J271" s="6">
        <v>32000</v>
      </c>
      <c r="K271" s="6">
        <v>21000</v>
      </c>
      <c r="L271" s="5">
        <v>0</v>
      </c>
      <c r="M271" t="s">
        <v>57</v>
      </c>
      <c r="N271" t="s">
        <v>75</v>
      </c>
      <c r="O271">
        <f t="shared" si="32"/>
        <v>10</v>
      </c>
      <c r="P271">
        <f t="shared" si="33"/>
        <v>4</v>
      </c>
      <c r="Q271" s="6">
        <f t="shared" si="34"/>
        <v>256000</v>
      </c>
      <c r="R271" s="6">
        <f t="shared" si="35"/>
        <v>0</v>
      </c>
      <c r="S271" s="6">
        <f t="shared" si="36"/>
        <v>256000</v>
      </c>
      <c r="T271" s="6">
        <f t="shared" si="37"/>
        <v>168000</v>
      </c>
      <c r="U271" s="6">
        <f t="shared" si="38"/>
        <v>88000</v>
      </c>
      <c r="V271" s="5">
        <f t="shared" si="39"/>
        <v>0.34375</v>
      </c>
    </row>
    <row r="272" spans="1:22">
      <c r="A272" t="s">
        <v>540</v>
      </c>
      <c r="B272" s="4">
        <v>45690</v>
      </c>
      <c r="C272" t="s">
        <v>120</v>
      </c>
      <c r="D272" t="s">
        <v>61</v>
      </c>
      <c r="E272" t="s">
        <v>73</v>
      </c>
      <c r="F272" t="s">
        <v>541</v>
      </c>
      <c r="G272" t="s">
        <v>55</v>
      </c>
      <c r="H272" t="s">
        <v>86</v>
      </c>
      <c r="I272">
        <v>7</v>
      </c>
      <c r="J272" s="6">
        <v>92000</v>
      </c>
      <c r="K272" s="6">
        <v>60000</v>
      </c>
      <c r="L272" s="5">
        <v>0.08</v>
      </c>
      <c r="M272" t="s">
        <v>57</v>
      </c>
      <c r="N272" t="s">
        <v>75</v>
      </c>
      <c r="O272">
        <f t="shared" si="32"/>
        <v>2</v>
      </c>
      <c r="P272">
        <f t="shared" si="33"/>
        <v>1</v>
      </c>
      <c r="Q272" s="6">
        <f t="shared" si="34"/>
        <v>644000</v>
      </c>
      <c r="R272" s="6">
        <f t="shared" si="35"/>
        <v>51520</v>
      </c>
      <c r="S272" s="6">
        <f t="shared" si="36"/>
        <v>592480</v>
      </c>
      <c r="T272" s="6">
        <f t="shared" si="37"/>
        <v>420000</v>
      </c>
      <c r="U272" s="6">
        <f t="shared" si="38"/>
        <v>172480</v>
      </c>
      <c r="V272" s="5">
        <f t="shared" si="39"/>
        <v>0.29111531190926276</v>
      </c>
    </row>
    <row r="273" spans="1:22">
      <c r="A273" t="s">
        <v>542</v>
      </c>
      <c r="B273" s="4">
        <v>45672</v>
      </c>
      <c r="C273" t="s">
        <v>92</v>
      </c>
      <c r="D273" t="s">
        <v>72</v>
      </c>
      <c r="E273" t="s">
        <v>84</v>
      </c>
      <c r="F273" t="s">
        <v>164</v>
      </c>
      <c r="G273" t="s">
        <v>55</v>
      </c>
      <c r="H273" t="s">
        <v>56</v>
      </c>
      <c r="I273">
        <v>8</v>
      </c>
      <c r="J273" s="6">
        <v>138000</v>
      </c>
      <c r="K273" s="6">
        <v>99000</v>
      </c>
      <c r="L273" s="5">
        <v>0</v>
      </c>
      <c r="M273" t="s">
        <v>57</v>
      </c>
      <c r="N273" t="s">
        <v>58</v>
      </c>
      <c r="O273">
        <f t="shared" si="32"/>
        <v>1</v>
      </c>
      <c r="P273">
        <f t="shared" si="33"/>
        <v>1</v>
      </c>
      <c r="Q273" s="6">
        <f t="shared" si="34"/>
        <v>1104000</v>
      </c>
      <c r="R273" s="6">
        <f t="shared" si="35"/>
        <v>0</v>
      </c>
      <c r="S273" s="6">
        <f t="shared" si="36"/>
        <v>1104000</v>
      </c>
      <c r="T273" s="6">
        <f t="shared" si="37"/>
        <v>792000</v>
      </c>
      <c r="U273" s="6">
        <f t="shared" si="38"/>
        <v>312000</v>
      </c>
      <c r="V273" s="5">
        <f t="shared" si="39"/>
        <v>0.28260869565217389</v>
      </c>
    </row>
    <row r="274" spans="1:22">
      <c r="A274" t="s">
        <v>543</v>
      </c>
      <c r="B274" s="4">
        <v>45676</v>
      </c>
      <c r="C274" t="s">
        <v>92</v>
      </c>
      <c r="D274" t="s">
        <v>61</v>
      </c>
      <c r="E274" t="s">
        <v>84</v>
      </c>
      <c r="F274" t="s">
        <v>411</v>
      </c>
      <c r="G274" t="s">
        <v>55</v>
      </c>
      <c r="H274" t="s">
        <v>56</v>
      </c>
      <c r="I274">
        <v>4</v>
      </c>
      <c r="J274" s="6">
        <v>138000</v>
      </c>
      <c r="K274" s="6">
        <v>99000</v>
      </c>
      <c r="L274" s="5">
        <v>0</v>
      </c>
      <c r="M274" t="s">
        <v>57</v>
      </c>
      <c r="N274" t="s">
        <v>81</v>
      </c>
      <c r="O274">
        <f t="shared" si="32"/>
        <v>1</v>
      </c>
      <c r="P274">
        <f t="shared" si="33"/>
        <v>1</v>
      </c>
      <c r="Q274" s="6">
        <f t="shared" si="34"/>
        <v>552000</v>
      </c>
      <c r="R274" s="6">
        <f t="shared" si="35"/>
        <v>0</v>
      </c>
      <c r="S274" s="6">
        <f t="shared" si="36"/>
        <v>552000</v>
      </c>
      <c r="T274" s="6">
        <f t="shared" si="37"/>
        <v>396000</v>
      </c>
      <c r="U274" s="6">
        <f t="shared" si="38"/>
        <v>156000</v>
      </c>
      <c r="V274" s="5">
        <f t="shared" si="39"/>
        <v>0.28260869565217389</v>
      </c>
    </row>
    <row r="275" spans="1:22">
      <c r="A275" t="s">
        <v>544</v>
      </c>
      <c r="B275" s="4">
        <v>45972</v>
      </c>
      <c r="C275" t="s">
        <v>77</v>
      </c>
      <c r="D275" t="s">
        <v>61</v>
      </c>
      <c r="E275" t="s">
        <v>66</v>
      </c>
      <c r="F275" t="s">
        <v>545</v>
      </c>
      <c r="G275" t="s">
        <v>89</v>
      </c>
      <c r="H275" t="s">
        <v>95</v>
      </c>
      <c r="I275">
        <v>6</v>
      </c>
      <c r="J275" s="6">
        <v>32000</v>
      </c>
      <c r="K275" s="6">
        <v>21000</v>
      </c>
      <c r="L275" s="5">
        <v>0.1</v>
      </c>
      <c r="M275" t="s">
        <v>80</v>
      </c>
      <c r="N275" t="s">
        <v>70</v>
      </c>
      <c r="O275">
        <f t="shared" si="32"/>
        <v>11</v>
      </c>
      <c r="P275">
        <f t="shared" si="33"/>
        <v>4</v>
      </c>
      <c r="Q275" s="6">
        <f t="shared" si="34"/>
        <v>192000</v>
      </c>
      <c r="R275" s="6">
        <f t="shared" si="35"/>
        <v>19200</v>
      </c>
      <c r="S275" s="6">
        <f t="shared" si="36"/>
        <v>0</v>
      </c>
      <c r="T275" s="6">
        <f t="shared" si="37"/>
        <v>0</v>
      </c>
      <c r="U275" s="6">
        <f t="shared" si="38"/>
        <v>0</v>
      </c>
      <c r="V275" s="5">
        <f t="shared" si="39"/>
        <v>0</v>
      </c>
    </row>
    <row r="276" spans="1:22">
      <c r="A276" t="s">
        <v>546</v>
      </c>
      <c r="B276" s="4">
        <v>45960</v>
      </c>
      <c r="C276" t="s">
        <v>102</v>
      </c>
      <c r="D276" t="s">
        <v>61</v>
      </c>
      <c r="E276" t="s">
        <v>84</v>
      </c>
      <c r="F276" t="s">
        <v>547</v>
      </c>
      <c r="G276" t="s">
        <v>89</v>
      </c>
      <c r="H276" t="s">
        <v>98</v>
      </c>
      <c r="I276">
        <v>2</v>
      </c>
      <c r="J276" s="6">
        <v>16500</v>
      </c>
      <c r="K276" s="6">
        <v>10000</v>
      </c>
      <c r="L276" s="5">
        <v>0.03</v>
      </c>
      <c r="M276" t="s">
        <v>80</v>
      </c>
      <c r="N276" t="s">
        <v>63</v>
      </c>
      <c r="O276">
        <f t="shared" si="32"/>
        <v>10</v>
      </c>
      <c r="P276">
        <f t="shared" si="33"/>
        <v>4</v>
      </c>
      <c r="Q276" s="6">
        <f t="shared" si="34"/>
        <v>33000</v>
      </c>
      <c r="R276" s="6">
        <f t="shared" si="35"/>
        <v>990</v>
      </c>
      <c r="S276" s="6">
        <f t="shared" si="36"/>
        <v>0</v>
      </c>
      <c r="T276" s="6">
        <f t="shared" si="37"/>
        <v>0</v>
      </c>
      <c r="U276" s="6">
        <f t="shared" si="38"/>
        <v>0</v>
      </c>
      <c r="V276" s="5">
        <f t="shared" si="39"/>
        <v>0</v>
      </c>
    </row>
    <row r="277" spans="1:22">
      <c r="A277" t="s">
        <v>548</v>
      </c>
      <c r="B277" s="4">
        <v>45805</v>
      </c>
      <c r="C277" t="s">
        <v>60</v>
      </c>
      <c r="D277" t="s">
        <v>61</v>
      </c>
      <c r="E277" t="s">
        <v>66</v>
      </c>
      <c r="F277" t="s">
        <v>396</v>
      </c>
      <c r="G277" t="s">
        <v>68</v>
      </c>
      <c r="H277" t="s">
        <v>108</v>
      </c>
      <c r="I277">
        <v>2</v>
      </c>
      <c r="J277" s="6">
        <v>175000</v>
      </c>
      <c r="K277" s="6">
        <v>129000</v>
      </c>
      <c r="L277" s="5">
        <v>0</v>
      </c>
      <c r="M277" t="s">
        <v>80</v>
      </c>
      <c r="N277" t="s">
        <v>63</v>
      </c>
      <c r="O277">
        <f t="shared" si="32"/>
        <v>5</v>
      </c>
      <c r="P277">
        <f t="shared" si="33"/>
        <v>2</v>
      </c>
      <c r="Q277" s="6">
        <f t="shared" si="34"/>
        <v>350000</v>
      </c>
      <c r="R277" s="6">
        <f t="shared" si="35"/>
        <v>0</v>
      </c>
      <c r="S277" s="6">
        <f t="shared" si="36"/>
        <v>0</v>
      </c>
      <c r="T277" s="6">
        <f t="shared" si="37"/>
        <v>0</v>
      </c>
      <c r="U277" s="6">
        <f t="shared" si="38"/>
        <v>0</v>
      </c>
      <c r="V277" s="5">
        <f t="shared" si="39"/>
        <v>0</v>
      </c>
    </row>
    <row r="278" spans="1:22">
      <c r="A278" t="s">
        <v>549</v>
      </c>
      <c r="B278" s="4">
        <v>45931</v>
      </c>
      <c r="C278" t="s">
        <v>120</v>
      </c>
      <c r="D278" t="s">
        <v>106</v>
      </c>
      <c r="E278" t="s">
        <v>66</v>
      </c>
      <c r="F278" t="s">
        <v>550</v>
      </c>
      <c r="G278" t="s">
        <v>68</v>
      </c>
      <c r="H278" t="s">
        <v>104</v>
      </c>
      <c r="I278">
        <v>2</v>
      </c>
      <c r="J278" s="6">
        <v>320000</v>
      </c>
      <c r="K278" s="6">
        <v>244000</v>
      </c>
      <c r="L278" s="5">
        <v>0</v>
      </c>
      <c r="M278" t="s">
        <v>57</v>
      </c>
      <c r="N278" t="s">
        <v>63</v>
      </c>
      <c r="O278">
        <f t="shared" si="32"/>
        <v>10</v>
      </c>
      <c r="P278">
        <f t="shared" si="33"/>
        <v>4</v>
      </c>
      <c r="Q278" s="6">
        <f t="shared" si="34"/>
        <v>640000</v>
      </c>
      <c r="R278" s="6">
        <f t="shared" si="35"/>
        <v>0</v>
      </c>
      <c r="S278" s="6">
        <f t="shared" si="36"/>
        <v>640000</v>
      </c>
      <c r="T278" s="6">
        <f t="shared" si="37"/>
        <v>488000</v>
      </c>
      <c r="U278" s="6">
        <f t="shared" si="38"/>
        <v>152000</v>
      </c>
      <c r="V278" s="5">
        <f t="shared" si="39"/>
        <v>0.23749999999999999</v>
      </c>
    </row>
    <row r="279" spans="1:22">
      <c r="A279" t="s">
        <v>551</v>
      </c>
      <c r="B279" s="4">
        <v>45759</v>
      </c>
      <c r="C279" t="s">
        <v>111</v>
      </c>
      <c r="D279" t="s">
        <v>61</v>
      </c>
      <c r="E279" t="s">
        <v>84</v>
      </c>
      <c r="F279" t="s">
        <v>224</v>
      </c>
      <c r="G279" t="s">
        <v>55</v>
      </c>
      <c r="H279" t="s">
        <v>86</v>
      </c>
      <c r="I279">
        <v>8</v>
      </c>
      <c r="J279" s="6">
        <v>92000</v>
      </c>
      <c r="K279" s="6">
        <v>60000</v>
      </c>
      <c r="L279" s="5">
        <v>0.03</v>
      </c>
      <c r="M279" t="s">
        <v>57</v>
      </c>
      <c r="N279" t="s">
        <v>75</v>
      </c>
      <c r="O279">
        <f t="shared" si="32"/>
        <v>4</v>
      </c>
      <c r="P279">
        <f t="shared" si="33"/>
        <v>2</v>
      </c>
      <c r="Q279" s="6">
        <f t="shared" si="34"/>
        <v>736000</v>
      </c>
      <c r="R279" s="6">
        <f t="shared" si="35"/>
        <v>22080</v>
      </c>
      <c r="S279" s="6">
        <f t="shared" si="36"/>
        <v>713920</v>
      </c>
      <c r="T279" s="6">
        <f t="shared" si="37"/>
        <v>480000</v>
      </c>
      <c r="U279" s="6">
        <f t="shared" si="38"/>
        <v>233920</v>
      </c>
      <c r="V279" s="5">
        <f t="shared" si="39"/>
        <v>0.32765575974899147</v>
      </c>
    </row>
    <row r="280" spans="1:22">
      <c r="A280" t="s">
        <v>552</v>
      </c>
      <c r="B280" s="4">
        <v>45980</v>
      </c>
      <c r="C280" t="s">
        <v>60</v>
      </c>
      <c r="D280" t="s">
        <v>93</v>
      </c>
      <c r="E280" t="s">
        <v>73</v>
      </c>
      <c r="F280" t="s">
        <v>553</v>
      </c>
      <c r="G280" t="s">
        <v>89</v>
      </c>
      <c r="H280" t="s">
        <v>90</v>
      </c>
      <c r="I280">
        <v>3</v>
      </c>
      <c r="J280" s="6">
        <v>5900</v>
      </c>
      <c r="K280" s="6">
        <v>3700</v>
      </c>
      <c r="L280" s="5">
        <v>0.1</v>
      </c>
      <c r="M280" t="s">
        <v>57</v>
      </c>
      <c r="N280" t="s">
        <v>70</v>
      </c>
      <c r="O280">
        <f t="shared" si="32"/>
        <v>11</v>
      </c>
      <c r="P280">
        <f t="shared" si="33"/>
        <v>4</v>
      </c>
      <c r="Q280" s="6">
        <f t="shared" si="34"/>
        <v>17700</v>
      </c>
      <c r="R280" s="6">
        <f t="shared" si="35"/>
        <v>1770</v>
      </c>
      <c r="S280" s="6">
        <f t="shared" si="36"/>
        <v>15930</v>
      </c>
      <c r="T280" s="6">
        <f t="shared" si="37"/>
        <v>11100</v>
      </c>
      <c r="U280" s="6">
        <f t="shared" si="38"/>
        <v>4830</v>
      </c>
      <c r="V280" s="5">
        <f t="shared" si="39"/>
        <v>0.3032015065913371</v>
      </c>
    </row>
    <row r="281" spans="1:22">
      <c r="A281" t="s">
        <v>554</v>
      </c>
      <c r="B281" s="4">
        <v>45703</v>
      </c>
      <c r="C281" t="s">
        <v>92</v>
      </c>
      <c r="D281" t="s">
        <v>106</v>
      </c>
      <c r="E281" t="s">
        <v>84</v>
      </c>
      <c r="F281" t="s">
        <v>204</v>
      </c>
      <c r="G281" t="s">
        <v>55</v>
      </c>
      <c r="H281" t="s">
        <v>115</v>
      </c>
      <c r="I281">
        <v>8</v>
      </c>
      <c r="J281" s="6">
        <v>105000</v>
      </c>
      <c r="K281" s="6">
        <v>76000</v>
      </c>
      <c r="L281" s="5">
        <v>0</v>
      </c>
      <c r="M281" t="s">
        <v>109</v>
      </c>
      <c r="N281" t="s">
        <v>81</v>
      </c>
      <c r="O281">
        <f t="shared" si="32"/>
        <v>2</v>
      </c>
      <c r="P281">
        <f t="shared" si="33"/>
        <v>1</v>
      </c>
      <c r="Q281" s="6">
        <f t="shared" si="34"/>
        <v>840000</v>
      </c>
      <c r="R281" s="6">
        <f t="shared" si="35"/>
        <v>0</v>
      </c>
      <c r="S281" s="6">
        <f t="shared" si="36"/>
        <v>0</v>
      </c>
      <c r="T281" s="6">
        <f t="shared" si="37"/>
        <v>0</v>
      </c>
      <c r="U281" s="6">
        <f t="shared" si="38"/>
        <v>0</v>
      </c>
      <c r="V281" s="5">
        <f t="shared" si="39"/>
        <v>0</v>
      </c>
    </row>
    <row r="282" spans="1:22">
      <c r="A282" t="s">
        <v>555</v>
      </c>
      <c r="B282" s="4">
        <v>45874</v>
      </c>
      <c r="C282" t="s">
        <v>102</v>
      </c>
      <c r="D282" t="s">
        <v>106</v>
      </c>
      <c r="E282" t="s">
        <v>84</v>
      </c>
      <c r="F282" t="s">
        <v>164</v>
      </c>
      <c r="G282" t="s">
        <v>68</v>
      </c>
      <c r="H282" t="s">
        <v>108</v>
      </c>
      <c r="I282">
        <v>3</v>
      </c>
      <c r="J282" s="6">
        <v>175000</v>
      </c>
      <c r="K282" s="6">
        <v>129000</v>
      </c>
      <c r="L282" s="5">
        <v>0.12</v>
      </c>
      <c r="M282" t="s">
        <v>80</v>
      </c>
      <c r="N282" t="s">
        <v>75</v>
      </c>
      <c r="O282">
        <f t="shared" si="32"/>
        <v>8</v>
      </c>
      <c r="P282">
        <f t="shared" si="33"/>
        <v>3</v>
      </c>
      <c r="Q282" s="6">
        <f t="shared" si="34"/>
        <v>525000</v>
      </c>
      <c r="R282" s="6">
        <f t="shared" si="35"/>
        <v>63000</v>
      </c>
      <c r="S282" s="6">
        <f t="shared" si="36"/>
        <v>0</v>
      </c>
      <c r="T282" s="6">
        <f t="shared" si="37"/>
        <v>0</v>
      </c>
      <c r="U282" s="6">
        <f t="shared" si="38"/>
        <v>0</v>
      </c>
      <c r="V282" s="5">
        <f t="shared" si="39"/>
        <v>0</v>
      </c>
    </row>
    <row r="283" spans="1:22">
      <c r="A283" t="s">
        <v>556</v>
      </c>
      <c r="B283" s="4">
        <v>46003</v>
      </c>
      <c r="C283" t="s">
        <v>102</v>
      </c>
      <c r="D283" t="s">
        <v>61</v>
      </c>
      <c r="E283" t="s">
        <v>66</v>
      </c>
      <c r="F283" t="s">
        <v>244</v>
      </c>
      <c r="G283" t="s">
        <v>89</v>
      </c>
      <c r="H283" t="s">
        <v>90</v>
      </c>
      <c r="I283">
        <v>5</v>
      </c>
      <c r="J283" s="6">
        <v>5900</v>
      </c>
      <c r="K283" s="6">
        <v>3700</v>
      </c>
      <c r="L283" s="5">
        <v>0.03</v>
      </c>
      <c r="M283" t="s">
        <v>109</v>
      </c>
      <c r="N283" t="s">
        <v>75</v>
      </c>
      <c r="O283">
        <f t="shared" si="32"/>
        <v>12</v>
      </c>
      <c r="P283">
        <f t="shared" si="33"/>
        <v>4</v>
      </c>
      <c r="Q283" s="6">
        <f t="shared" si="34"/>
        <v>29500</v>
      </c>
      <c r="R283" s="6">
        <f t="shared" si="35"/>
        <v>885</v>
      </c>
      <c r="S283" s="6">
        <f t="shared" si="36"/>
        <v>0</v>
      </c>
      <c r="T283" s="6">
        <f t="shared" si="37"/>
        <v>0</v>
      </c>
      <c r="U283" s="6">
        <f t="shared" si="38"/>
        <v>0</v>
      </c>
      <c r="V283" s="5">
        <f t="shared" si="39"/>
        <v>0</v>
      </c>
    </row>
    <row r="284" spans="1:22">
      <c r="A284" t="s">
        <v>557</v>
      </c>
      <c r="B284" s="4">
        <v>45960</v>
      </c>
      <c r="C284" t="s">
        <v>60</v>
      </c>
      <c r="D284" t="s">
        <v>61</v>
      </c>
      <c r="E284" t="s">
        <v>66</v>
      </c>
      <c r="F284" t="s">
        <v>129</v>
      </c>
      <c r="G284" t="s">
        <v>55</v>
      </c>
      <c r="H284" t="s">
        <v>86</v>
      </c>
      <c r="I284">
        <v>5</v>
      </c>
      <c r="J284" s="6">
        <v>92000</v>
      </c>
      <c r="K284" s="6">
        <v>60000</v>
      </c>
      <c r="L284" s="5">
        <v>0.12</v>
      </c>
      <c r="M284" t="s">
        <v>57</v>
      </c>
      <c r="N284" t="s">
        <v>75</v>
      </c>
      <c r="O284">
        <f t="shared" si="32"/>
        <v>10</v>
      </c>
      <c r="P284">
        <f t="shared" si="33"/>
        <v>4</v>
      </c>
      <c r="Q284" s="6">
        <f t="shared" si="34"/>
        <v>460000</v>
      </c>
      <c r="R284" s="6">
        <f t="shared" si="35"/>
        <v>55200</v>
      </c>
      <c r="S284" s="6">
        <f t="shared" si="36"/>
        <v>404800</v>
      </c>
      <c r="T284" s="6">
        <f t="shared" si="37"/>
        <v>300000</v>
      </c>
      <c r="U284" s="6">
        <f t="shared" si="38"/>
        <v>104800</v>
      </c>
      <c r="V284" s="5">
        <f t="shared" si="39"/>
        <v>0.25889328063241107</v>
      </c>
    </row>
    <row r="285" spans="1:22">
      <c r="A285" t="s">
        <v>558</v>
      </c>
      <c r="B285" s="4">
        <v>45662</v>
      </c>
      <c r="C285" t="s">
        <v>77</v>
      </c>
      <c r="D285" t="s">
        <v>52</v>
      </c>
      <c r="E285" t="s">
        <v>84</v>
      </c>
      <c r="F285" t="s">
        <v>256</v>
      </c>
      <c r="G285" t="s">
        <v>89</v>
      </c>
      <c r="H285" t="s">
        <v>98</v>
      </c>
      <c r="I285">
        <v>7</v>
      </c>
      <c r="J285" s="6">
        <v>16500</v>
      </c>
      <c r="K285" s="6">
        <v>10000</v>
      </c>
      <c r="L285" s="5">
        <v>0.05</v>
      </c>
      <c r="M285" t="s">
        <v>57</v>
      </c>
      <c r="N285" t="s">
        <v>58</v>
      </c>
      <c r="O285">
        <f t="shared" si="32"/>
        <v>1</v>
      </c>
      <c r="P285">
        <f t="shared" si="33"/>
        <v>1</v>
      </c>
      <c r="Q285" s="6">
        <f t="shared" si="34"/>
        <v>115500</v>
      </c>
      <c r="R285" s="6">
        <f t="shared" si="35"/>
        <v>5775</v>
      </c>
      <c r="S285" s="6">
        <f t="shared" si="36"/>
        <v>109725</v>
      </c>
      <c r="T285" s="6">
        <f t="shared" si="37"/>
        <v>70000</v>
      </c>
      <c r="U285" s="6">
        <f t="shared" si="38"/>
        <v>39725</v>
      </c>
      <c r="V285" s="5">
        <f t="shared" si="39"/>
        <v>0.36204146730462522</v>
      </c>
    </row>
    <row r="286" spans="1:22">
      <c r="A286" t="s">
        <v>559</v>
      </c>
      <c r="B286" s="4">
        <v>45720</v>
      </c>
      <c r="C286" t="s">
        <v>120</v>
      </c>
      <c r="D286" t="s">
        <v>61</v>
      </c>
      <c r="E286" t="s">
        <v>66</v>
      </c>
      <c r="F286" t="s">
        <v>560</v>
      </c>
      <c r="G286" t="s">
        <v>55</v>
      </c>
      <c r="H286" t="s">
        <v>115</v>
      </c>
      <c r="I286">
        <v>6</v>
      </c>
      <c r="J286" s="6">
        <v>105000</v>
      </c>
      <c r="K286" s="6">
        <v>76000</v>
      </c>
      <c r="L286" s="5">
        <v>0.05</v>
      </c>
      <c r="M286" t="s">
        <v>109</v>
      </c>
      <c r="N286" t="s">
        <v>70</v>
      </c>
      <c r="O286">
        <f t="shared" si="32"/>
        <v>3</v>
      </c>
      <c r="P286">
        <f t="shared" si="33"/>
        <v>1</v>
      </c>
      <c r="Q286" s="6">
        <f t="shared" si="34"/>
        <v>630000</v>
      </c>
      <c r="R286" s="6">
        <f t="shared" si="35"/>
        <v>31500</v>
      </c>
      <c r="S286" s="6">
        <f t="shared" si="36"/>
        <v>0</v>
      </c>
      <c r="T286" s="6">
        <f t="shared" si="37"/>
        <v>0</v>
      </c>
      <c r="U286" s="6">
        <f t="shared" si="38"/>
        <v>0</v>
      </c>
      <c r="V286" s="5">
        <f t="shared" si="39"/>
        <v>0</v>
      </c>
    </row>
    <row r="287" spans="1:22">
      <c r="A287" t="s">
        <v>561</v>
      </c>
      <c r="B287" s="4">
        <v>45994</v>
      </c>
      <c r="C287" t="s">
        <v>77</v>
      </c>
      <c r="D287" t="s">
        <v>61</v>
      </c>
      <c r="E287" t="s">
        <v>94</v>
      </c>
      <c r="F287" t="s">
        <v>398</v>
      </c>
      <c r="G287" t="s">
        <v>89</v>
      </c>
      <c r="H287" t="s">
        <v>95</v>
      </c>
      <c r="I287">
        <v>5</v>
      </c>
      <c r="J287" s="6">
        <v>32000</v>
      </c>
      <c r="K287" s="6">
        <v>21000</v>
      </c>
      <c r="L287" s="5">
        <v>0</v>
      </c>
      <c r="M287" t="s">
        <v>57</v>
      </c>
      <c r="N287" t="s">
        <v>75</v>
      </c>
      <c r="O287">
        <f t="shared" si="32"/>
        <v>12</v>
      </c>
      <c r="P287">
        <f t="shared" si="33"/>
        <v>4</v>
      </c>
      <c r="Q287" s="6">
        <f t="shared" si="34"/>
        <v>160000</v>
      </c>
      <c r="R287" s="6">
        <f t="shared" si="35"/>
        <v>0</v>
      </c>
      <c r="S287" s="6">
        <f t="shared" si="36"/>
        <v>160000</v>
      </c>
      <c r="T287" s="6">
        <f t="shared" si="37"/>
        <v>105000</v>
      </c>
      <c r="U287" s="6">
        <f t="shared" si="38"/>
        <v>55000</v>
      </c>
      <c r="V287" s="5">
        <f t="shared" si="39"/>
        <v>0.34375</v>
      </c>
    </row>
    <row r="288" spans="1:22">
      <c r="A288" t="s">
        <v>562</v>
      </c>
      <c r="B288" s="4">
        <v>45866</v>
      </c>
      <c r="C288" t="s">
        <v>92</v>
      </c>
      <c r="D288" t="s">
        <v>61</v>
      </c>
      <c r="E288" t="s">
        <v>94</v>
      </c>
      <c r="F288" t="s">
        <v>131</v>
      </c>
      <c r="G288" t="s">
        <v>68</v>
      </c>
      <c r="H288" t="s">
        <v>108</v>
      </c>
      <c r="I288">
        <v>1</v>
      </c>
      <c r="J288" s="6">
        <v>175000</v>
      </c>
      <c r="K288" s="6">
        <v>129000</v>
      </c>
      <c r="L288" s="5">
        <v>0</v>
      </c>
      <c r="M288" t="s">
        <v>57</v>
      </c>
      <c r="N288" t="s">
        <v>58</v>
      </c>
      <c r="O288">
        <f t="shared" si="32"/>
        <v>7</v>
      </c>
      <c r="P288">
        <f t="shared" si="33"/>
        <v>3</v>
      </c>
      <c r="Q288" s="6">
        <f t="shared" si="34"/>
        <v>175000</v>
      </c>
      <c r="R288" s="6">
        <f t="shared" si="35"/>
        <v>0</v>
      </c>
      <c r="S288" s="6">
        <f t="shared" si="36"/>
        <v>175000</v>
      </c>
      <c r="T288" s="6">
        <f t="shared" si="37"/>
        <v>129000</v>
      </c>
      <c r="U288" s="6">
        <f t="shared" si="38"/>
        <v>46000</v>
      </c>
      <c r="V288" s="5">
        <f t="shared" si="39"/>
        <v>0.26285714285714284</v>
      </c>
    </row>
    <row r="289" spans="1:22">
      <c r="A289" t="s">
        <v>563</v>
      </c>
      <c r="B289" s="4">
        <v>45888</v>
      </c>
      <c r="C289" t="s">
        <v>77</v>
      </c>
      <c r="D289" t="s">
        <v>61</v>
      </c>
      <c r="E289" t="s">
        <v>66</v>
      </c>
      <c r="F289" t="s">
        <v>564</v>
      </c>
      <c r="G289" t="s">
        <v>89</v>
      </c>
      <c r="H289" t="s">
        <v>95</v>
      </c>
      <c r="I289">
        <v>2</v>
      </c>
      <c r="J289" s="6">
        <v>32000</v>
      </c>
      <c r="K289" s="6">
        <v>21000</v>
      </c>
      <c r="L289" s="5">
        <v>0.03</v>
      </c>
      <c r="M289" t="s">
        <v>57</v>
      </c>
      <c r="N289" t="s">
        <v>63</v>
      </c>
      <c r="O289">
        <f t="shared" si="32"/>
        <v>8</v>
      </c>
      <c r="P289">
        <f t="shared" si="33"/>
        <v>3</v>
      </c>
      <c r="Q289" s="6">
        <f t="shared" si="34"/>
        <v>64000</v>
      </c>
      <c r="R289" s="6">
        <f t="shared" si="35"/>
        <v>1920</v>
      </c>
      <c r="S289" s="6">
        <f t="shared" si="36"/>
        <v>62080</v>
      </c>
      <c r="T289" s="6">
        <f t="shared" si="37"/>
        <v>42000</v>
      </c>
      <c r="U289" s="6">
        <f t="shared" si="38"/>
        <v>20080</v>
      </c>
      <c r="V289" s="5">
        <f t="shared" si="39"/>
        <v>0.3234536082474227</v>
      </c>
    </row>
    <row r="290" spans="1:22">
      <c r="A290" t="s">
        <v>565</v>
      </c>
      <c r="B290" s="4">
        <v>45760</v>
      </c>
      <c r="C290" t="s">
        <v>92</v>
      </c>
      <c r="D290" t="s">
        <v>61</v>
      </c>
      <c r="E290" t="s">
        <v>84</v>
      </c>
      <c r="F290" t="s">
        <v>566</v>
      </c>
      <c r="G290" t="s">
        <v>68</v>
      </c>
      <c r="H290" t="s">
        <v>104</v>
      </c>
      <c r="I290">
        <v>4</v>
      </c>
      <c r="J290" s="6">
        <v>320000</v>
      </c>
      <c r="K290" s="6">
        <v>244000</v>
      </c>
      <c r="L290" s="5">
        <v>0.1</v>
      </c>
      <c r="M290" t="s">
        <v>57</v>
      </c>
      <c r="N290" t="s">
        <v>75</v>
      </c>
      <c r="O290">
        <f t="shared" si="32"/>
        <v>4</v>
      </c>
      <c r="P290">
        <f t="shared" si="33"/>
        <v>2</v>
      </c>
      <c r="Q290" s="6">
        <f t="shared" si="34"/>
        <v>1280000</v>
      </c>
      <c r="R290" s="6">
        <f t="shared" si="35"/>
        <v>128000</v>
      </c>
      <c r="S290" s="6">
        <f t="shared" si="36"/>
        <v>1152000</v>
      </c>
      <c r="T290" s="6">
        <f t="shared" si="37"/>
        <v>976000</v>
      </c>
      <c r="U290" s="6">
        <f t="shared" si="38"/>
        <v>176000</v>
      </c>
      <c r="V290" s="5">
        <f t="shared" si="39"/>
        <v>0.15277777777777779</v>
      </c>
    </row>
    <row r="291" spans="1:22">
      <c r="A291" t="s">
        <v>567</v>
      </c>
      <c r="B291" s="4">
        <v>45973</v>
      </c>
      <c r="C291" t="s">
        <v>111</v>
      </c>
      <c r="D291" t="s">
        <v>61</v>
      </c>
      <c r="E291" t="s">
        <v>66</v>
      </c>
      <c r="F291" t="s">
        <v>568</v>
      </c>
      <c r="G291" t="s">
        <v>68</v>
      </c>
      <c r="H291" t="s">
        <v>69</v>
      </c>
      <c r="I291">
        <v>7</v>
      </c>
      <c r="J291" s="6">
        <v>115000</v>
      </c>
      <c r="K291" s="6">
        <v>82000</v>
      </c>
      <c r="L291" s="5">
        <v>0.12</v>
      </c>
      <c r="M291" t="s">
        <v>57</v>
      </c>
      <c r="N291" t="s">
        <v>58</v>
      </c>
      <c r="O291">
        <f t="shared" si="32"/>
        <v>11</v>
      </c>
      <c r="P291">
        <f t="shared" si="33"/>
        <v>4</v>
      </c>
      <c r="Q291" s="6">
        <f t="shared" si="34"/>
        <v>805000</v>
      </c>
      <c r="R291" s="6">
        <f t="shared" si="35"/>
        <v>96600</v>
      </c>
      <c r="S291" s="6">
        <f t="shared" si="36"/>
        <v>708400</v>
      </c>
      <c r="T291" s="6">
        <f t="shared" si="37"/>
        <v>574000</v>
      </c>
      <c r="U291" s="6">
        <f t="shared" si="38"/>
        <v>134400</v>
      </c>
      <c r="V291" s="5">
        <f t="shared" si="39"/>
        <v>0.18972332015810275</v>
      </c>
    </row>
    <row r="292" spans="1:22">
      <c r="A292" t="s">
        <v>569</v>
      </c>
      <c r="B292" s="4">
        <v>45991</v>
      </c>
      <c r="C292" t="s">
        <v>111</v>
      </c>
      <c r="D292" t="s">
        <v>72</v>
      </c>
      <c r="E292" t="s">
        <v>53</v>
      </c>
      <c r="F292" t="s">
        <v>566</v>
      </c>
      <c r="G292" t="s">
        <v>89</v>
      </c>
      <c r="H292" t="s">
        <v>98</v>
      </c>
      <c r="I292">
        <v>3</v>
      </c>
      <c r="J292" s="6">
        <v>16500</v>
      </c>
      <c r="K292" s="6">
        <v>10000</v>
      </c>
      <c r="L292" s="5">
        <v>0.1</v>
      </c>
      <c r="M292" t="s">
        <v>80</v>
      </c>
      <c r="N292" t="s">
        <v>75</v>
      </c>
      <c r="O292">
        <f t="shared" si="32"/>
        <v>11</v>
      </c>
      <c r="P292">
        <f t="shared" si="33"/>
        <v>4</v>
      </c>
      <c r="Q292" s="6">
        <f t="shared" si="34"/>
        <v>49500</v>
      </c>
      <c r="R292" s="6">
        <f t="shared" si="35"/>
        <v>4950</v>
      </c>
      <c r="S292" s="6">
        <f t="shared" si="36"/>
        <v>0</v>
      </c>
      <c r="T292" s="6">
        <f t="shared" si="37"/>
        <v>0</v>
      </c>
      <c r="U292" s="6">
        <f t="shared" si="38"/>
        <v>0</v>
      </c>
      <c r="V292" s="5">
        <f t="shared" si="39"/>
        <v>0</v>
      </c>
    </row>
    <row r="293" spans="1:22">
      <c r="A293" t="s">
        <v>570</v>
      </c>
      <c r="B293" s="4">
        <v>45904</v>
      </c>
      <c r="C293" t="s">
        <v>51</v>
      </c>
      <c r="D293" t="s">
        <v>106</v>
      </c>
      <c r="E293" t="s">
        <v>73</v>
      </c>
      <c r="F293" t="s">
        <v>571</v>
      </c>
      <c r="G293" t="s">
        <v>55</v>
      </c>
      <c r="H293" t="s">
        <v>115</v>
      </c>
      <c r="I293">
        <v>5</v>
      </c>
      <c r="J293" s="6">
        <v>105000</v>
      </c>
      <c r="K293" s="6">
        <v>76000</v>
      </c>
      <c r="L293" s="5">
        <v>0.03</v>
      </c>
      <c r="M293" t="s">
        <v>57</v>
      </c>
      <c r="N293" t="s">
        <v>58</v>
      </c>
      <c r="O293">
        <f t="shared" si="32"/>
        <v>9</v>
      </c>
      <c r="P293">
        <f t="shared" si="33"/>
        <v>3</v>
      </c>
      <c r="Q293" s="6">
        <f t="shared" si="34"/>
        <v>525000</v>
      </c>
      <c r="R293" s="6">
        <f t="shared" si="35"/>
        <v>15750</v>
      </c>
      <c r="S293" s="6">
        <f t="shared" si="36"/>
        <v>509250</v>
      </c>
      <c r="T293" s="6">
        <f t="shared" si="37"/>
        <v>380000</v>
      </c>
      <c r="U293" s="6">
        <f t="shared" si="38"/>
        <v>129250</v>
      </c>
      <c r="V293" s="5">
        <f t="shared" si="39"/>
        <v>0.25380461462935688</v>
      </c>
    </row>
    <row r="294" spans="1:22">
      <c r="A294" t="s">
        <v>572</v>
      </c>
      <c r="B294" s="4">
        <v>45731</v>
      </c>
      <c r="C294" t="s">
        <v>83</v>
      </c>
      <c r="D294" t="s">
        <v>61</v>
      </c>
      <c r="E294" t="s">
        <v>84</v>
      </c>
      <c r="F294" t="s">
        <v>573</v>
      </c>
      <c r="G294" t="s">
        <v>68</v>
      </c>
      <c r="H294" t="s">
        <v>104</v>
      </c>
      <c r="I294">
        <v>3</v>
      </c>
      <c r="J294" s="6">
        <v>320000</v>
      </c>
      <c r="K294" s="6">
        <v>244000</v>
      </c>
      <c r="L294" s="5">
        <v>0.12</v>
      </c>
      <c r="M294" t="s">
        <v>57</v>
      </c>
      <c r="N294" t="s">
        <v>58</v>
      </c>
      <c r="O294">
        <f t="shared" si="32"/>
        <v>3</v>
      </c>
      <c r="P294">
        <f t="shared" si="33"/>
        <v>1</v>
      </c>
      <c r="Q294" s="6">
        <f t="shared" si="34"/>
        <v>960000</v>
      </c>
      <c r="R294" s="6">
        <f t="shared" si="35"/>
        <v>115200</v>
      </c>
      <c r="S294" s="6">
        <f t="shared" si="36"/>
        <v>844800</v>
      </c>
      <c r="T294" s="6">
        <f t="shared" si="37"/>
        <v>732000</v>
      </c>
      <c r="U294" s="6">
        <f t="shared" si="38"/>
        <v>112800</v>
      </c>
      <c r="V294" s="5">
        <f t="shared" si="39"/>
        <v>0.13352272727272727</v>
      </c>
    </row>
    <row r="295" spans="1:22">
      <c r="A295" t="s">
        <v>574</v>
      </c>
      <c r="B295" s="4">
        <v>45914</v>
      </c>
      <c r="C295" t="s">
        <v>77</v>
      </c>
      <c r="D295" t="s">
        <v>61</v>
      </c>
      <c r="E295" t="s">
        <v>66</v>
      </c>
      <c r="F295" t="s">
        <v>291</v>
      </c>
      <c r="G295" t="s">
        <v>89</v>
      </c>
      <c r="H295" t="s">
        <v>95</v>
      </c>
      <c r="I295">
        <v>5</v>
      </c>
      <c r="J295" s="6">
        <v>32000</v>
      </c>
      <c r="K295" s="6">
        <v>21000</v>
      </c>
      <c r="L295" s="5">
        <v>0.1</v>
      </c>
      <c r="M295" t="s">
        <v>57</v>
      </c>
      <c r="N295" t="s">
        <v>70</v>
      </c>
      <c r="O295">
        <f t="shared" si="32"/>
        <v>9</v>
      </c>
      <c r="P295">
        <f t="shared" si="33"/>
        <v>3</v>
      </c>
      <c r="Q295" s="6">
        <f t="shared" si="34"/>
        <v>160000</v>
      </c>
      <c r="R295" s="6">
        <f t="shared" si="35"/>
        <v>16000</v>
      </c>
      <c r="S295" s="6">
        <f t="shared" si="36"/>
        <v>144000</v>
      </c>
      <c r="T295" s="6">
        <f t="shared" si="37"/>
        <v>105000</v>
      </c>
      <c r="U295" s="6">
        <f t="shared" si="38"/>
        <v>39000</v>
      </c>
      <c r="V295" s="5">
        <f t="shared" si="39"/>
        <v>0.27083333333333331</v>
      </c>
    </row>
    <row r="296" spans="1:22">
      <c r="A296" t="s">
        <v>575</v>
      </c>
      <c r="B296" s="4">
        <v>45727</v>
      </c>
      <c r="C296" t="s">
        <v>83</v>
      </c>
      <c r="D296" t="s">
        <v>52</v>
      </c>
      <c r="E296" t="s">
        <v>84</v>
      </c>
      <c r="F296" t="s">
        <v>468</v>
      </c>
      <c r="G296" t="s">
        <v>55</v>
      </c>
      <c r="H296" t="s">
        <v>86</v>
      </c>
      <c r="I296">
        <v>6</v>
      </c>
      <c r="J296" s="6">
        <v>92000</v>
      </c>
      <c r="K296" s="6">
        <v>60000</v>
      </c>
      <c r="L296" s="5">
        <v>0.1</v>
      </c>
      <c r="M296" t="s">
        <v>57</v>
      </c>
      <c r="N296" t="s">
        <v>70</v>
      </c>
      <c r="O296">
        <f t="shared" si="32"/>
        <v>3</v>
      </c>
      <c r="P296">
        <f t="shared" si="33"/>
        <v>1</v>
      </c>
      <c r="Q296" s="6">
        <f t="shared" si="34"/>
        <v>552000</v>
      </c>
      <c r="R296" s="6">
        <f t="shared" si="35"/>
        <v>55200</v>
      </c>
      <c r="S296" s="6">
        <f t="shared" si="36"/>
        <v>496800</v>
      </c>
      <c r="T296" s="6">
        <f t="shared" si="37"/>
        <v>360000</v>
      </c>
      <c r="U296" s="6">
        <f t="shared" si="38"/>
        <v>136800</v>
      </c>
      <c r="V296" s="5">
        <f t="shared" si="39"/>
        <v>0.27536231884057971</v>
      </c>
    </row>
    <row r="297" spans="1:22">
      <c r="A297" t="s">
        <v>576</v>
      </c>
      <c r="B297" s="4">
        <v>45746</v>
      </c>
      <c r="C297" t="s">
        <v>102</v>
      </c>
      <c r="D297" t="s">
        <v>106</v>
      </c>
      <c r="E297" t="s">
        <v>66</v>
      </c>
      <c r="F297" t="s">
        <v>577</v>
      </c>
      <c r="G297" t="s">
        <v>55</v>
      </c>
      <c r="H297" t="s">
        <v>86</v>
      </c>
      <c r="I297">
        <v>2</v>
      </c>
      <c r="J297" s="6">
        <v>92000</v>
      </c>
      <c r="K297" s="6">
        <v>60000</v>
      </c>
      <c r="L297" s="5">
        <v>0</v>
      </c>
      <c r="M297" t="s">
        <v>109</v>
      </c>
      <c r="N297" t="s">
        <v>58</v>
      </c>
      <c r="O297">
        <f t="shared" si="32"/>
        <v>3</v>
      </c>
      <c r="P297">
        <f t="shared" si="33"/>
        <v>1</v>
      </c>
      <c r="Q297" s="6">
        <f t="shared" si="34"/>
        <v>184000</v>
      </c>
      <c r="R297" s="6">
        <f t="shared" si="35"/>
        <v>0</v>
      </c>
      <c r="S297" s="6">
        <f t="shared" si="36"/>
        <v>0</v>
      </c>
      <c r="T297" s="6">
        <f t="shared" si="37"/>
        <v>0</v>
      </c>
      <c r="U297" s="6">
        <f t="shared" si="38"/>
        <v>0</v>
      </c>
      <c r="V297" s="5">
        <f t="shared" si="39"/>
        <v>0</v>
      </c>
    </row>
    <row r="298" spans="1:22">
      <c r="A298" t="s">
        <v>578</v>
      </c>
      <c r="B298" s="4">
        <v>45819</v>
      </c>
      <c r="C298" t="s">
        <v>92</v>
      </c>
      <c r="D298" t="s">
        <v>61</v>
      </c>
      <c r="E298" t="s">
        <v>73</v>
      </c>
      <c r="F298" t="s">
        <v>466</v>
      </c>
      <c r="G298" t="s">
        <v>68</v>
      </c>
      <c r="H298" t="s">
        <v>69</v>
      </c>
      <c r="I298">
        <v>5</v>
      </c>
      <c r="J298" s="6">
        <v>115000</v>
      </c>
      <c r="K298" s="6">
        <v>82000</v>
      </c>
      <c r="L298" s="5">
        <v>0.1</v>
      </c>
      <c r="M298" t="s">
        <v>80</v>
      </c>
      <c r="N298" t="s">
        <v>63</v>
      </c>
      <c r="O298">
        <f t="shared" si="32"/>
        <v>6</v>
      </c>
      <c r="P298">
        <f t="shared" si="33"/>
        <v>2</v>
      </c>
      <c r="Q298" s="6">
        <f t="shared" si="34"/>
        <v>575000</v>
      </c>
      <c r="R298" s="6">
        <f t="shared" si="35"/>
        <v>57500</v>
      </c>
      <c r="S298" s="6">
        <f t="shared" si="36"/>
        <v>0</v>
      </c>
      <c r="T298" s="6">
        <f t="shared" si="37"/>
        <v>0</v>
      </c>
      <c r="U298" s="6">
        <f t="shared" si="38"/>
        <v>0</v>
      </c>
      <c r="V298" s="5">
        <f t="shared" si="39"/>
        <v>0</v>
      </c>
    </row>
    <row r="299" spans="1:22">
      <c r="A299" t="s">
        <v>579</v>
      </c>
      <c r="B299" s="4">
        <v>45977</v>
      </c>
      <c r="C299" t="s">
        <v>102</v>
      </c>
      <c r="D299" t="s">
        <v>72</v>
      </c>
      <c r="E299" t="s">
        <v>73</v>
      </c>
      <c r="F299" t="s">
        <v>289</v>
      </c>
      <c r="G299" t="s">
        <v>89</v>
      </c>
      <c r="H299" t="s">
        <v>90</v>
      </c>
      <c r="I299">
        <v>6</v>
      </c>
      <c r="J299" s="6">
        <v>5900</v>
      </c>
      <c r="K299" s="6">
        <v>3700</v>
      </c>
      <c r="L299" s="5">
        <v>0.1</v>
      </c>
      <c r="M299" t="s">
        <v>57</v>
      </c>
      <c r="N299" t="s">
        <v>81</v>
      </c>
      <c r="O299">
        <f t="shared" si="32"/>
        <v>11</v>
      </c>
      <c r="P299">
        <f t="shared" si="33"/>
        <v>4</v>
      </c>
      <c r="Q299" s="6">
        <f t="shared" si="34"/>
        <v>35400</v>
      </c>
      <c r="R299" s="6">
        <f t="shared" si="35"/>
        <v>3540</v>
      </c>
      <c r="S299" s="6">
        <f t="shared" si="36"/>
        <v>31860</v>
      </c>
      <c r="T299" s="6">
        <f t="shared" si="37"/>
        <v>22200</v>
      </c>
      <c r="U299" s="6">
        <f t="shared" si="38"/>
        <v>9660</v>
      </c>
      <c r="V299" s="5">
        <f t="shared" si="39"/>
        <v>0.3032015065913371</v>
      </c>
    </row>
    <row r="300" spans="1:22">
      <c r="A300" t="s">
        <v>580</v>
      </c>
      <c r="B300" s="4">
        <v>45832</v>
      </c>
      <c r="C300" t="s">
        <v>92</v>
      </c>
      <c r="D300" t="s">
        <v>61</v>
      </c>
      <c r="E300" t="s">
        <v>94</v>
      </c>
      <c r="F300" t="s">
        <v>357</v>
      </c>
      <c r="G300" t="s">
        <v>55</v>
      </c>
      <c r="H300" t="s">
        <v>56</v>
      </c>
      <c r="I300">
        <v>6</v>
      </c>
      <c r="J300" s="6">
        <v>138000</v>
      </c>
      <c r="K300" s="6">
        <v>99000</v>
      </c>
      <c r="L300" s="5">
        <v>0.05</v>
      </c>
      <c r="M300" t="s">
        <v>80</v>
      </c>
      <c r="N300" t="s">
        <v>70</v>
      </c>
      <c r="O300">
        <f t="shared" si="32"/>
        <v>6</v>
      </c>
      <c r="P300">
        <f t="shared" si="33"/>
        <v>2</v>
      </c>
      <c r="Q300" s="6">
        <f t="shared" si="34"/>
        <v>828000</v>
      </c>
      <c r="R300" s="6">
        <f t="shared" si="35"/>
        <v>41400</v>
      </c>
      <c r="S300" s="6">
        <f t="shared" si="36"/>
        <v>0</v>
      </c>
      <c r="T300" s="6">
        <f t="shared" si="37"/>
        <v>0</v>
      </c>
      <c r="U300" s="6">
        <f t="shared" si="38"/>
        <v>0</v>
      </c>
      <c r="V300" s="5">
        <f t="shared" si="39"/>
        <v>0</v>
      </c>
    </row>
    <row r="301" spans="1:22">
      <c r="A301" t="s">
        <v>581</v>
      </c>
      <c r="B301" s="4">
        <v>45812</v>
      </c>
      <c r="C301" t="s">
        <v>77</v>
      </c>
      <c r="D301" t="s">
        <v>61</v>
      </c>
      <c r="E301" t="s">
        <v>73</v>
      </c>
      <c r="F301" t="s">
        <v>582</v>
      </c>
      <c r="G301" t="s">
        <v>55</v>
      </c>
      <c r="H301" t="s">
        <v>115</v>
      </c>
      <c r="I301">
        <v>8</v>
      </c>
      <c r="J301" s="6">
        <v>105000</v>
      </c>
      <c r="K301" s="6">
        <v>76000</v>
      </c>
      <c r="L301" s="5">
        <v>0</v>
      </c>
      <c r="M301" t="s">
        <v>57</v>
      </c>
      <c r="N301" t="s">
        <v>58</v>
      </c>
      <c r="O301">
        <f t="shared" si="32"/>
        <v>6</v>
      </c>
      <c r="P301">
        <f t="shared" si="33"/>
        <v>2</v>
      </c>
      <c r="Q301" s="6">
        <f t="shared" si="34"/>
        <v>840000</v>
      </c>
      <c r="R301" s="6">
        <f t="shared" si="35"/>
        <v>0</v>
      </c>
      <c r="S301" s="6">
        <f t="shared" si="36"/>
        <v>840000</v>
      </c>
      <c r="T301" s="6">
        <f t="shared" si="37"/>
        <v>608000</v>
      </c>
      <c r="U301" s="6">
        <f t="shared" si="38"/>
        <v>232000</v>
      </c>
      <c r="V301" s="5">
        <f t="shared" si="39"/>
        <v>0.27619047619047621</v>
      </c>
    </row>
    <row r="302" spans="1:22">
      <c r="A302" t="s">
        <v>583</v>
      </c>
      <c r="B302" s="4">
        <v>46001</v>
      </c>
      <c r="C302" t="s">
        <v>77</v>
      </c>
      <c r="D302" t="s">
        <v>72</v>
      </c>
      <c r="E302" t="s">
        <v>84</v>
      </c>
      <c r="F302" t="s">
        <v>189</v>
      </c>
      <c r="G302" t="s">
        <v>68</v>
      </c>
      <c r="H302" t="s">
        <v>104</v>
      </c>
      <c r="I302">
        <v>8</v>
      </c>
      <c r="J302" s="6">
        <v>320000</v>
      </c>
      <c r="K302" s="6">
        <v>244000</v>
      </c>
      <c r="L302" s="5">
        <v>0.12</v>
      </c>
      <c r="M302" t="s">
        <v>109</v>
      </c>
      <c r="N302" t="s">
        <v>58</v>
      </c>
      <c r="O302">
        <f t="shared" si="32"/>
        <v>12</v>
      </c>
      <c r="P302">
        <f t="shared" si="33"/>
        <v>4</v>
      </c>
      <c r="Q302" s="6">
        <f t="shared" si="34"/>
        <v>2560000</v>
      </c>
      <c r="R302" s="6">
        <f t="shared" si="35"/>
        <v>307200</v>
      </c>
      <c r="S302" s="6">
        <f t="shared" si="36"/>
        <v>0</v>
      </c>
      <c r="T302" s="6">
        <f t="shared" si="37"/>
        <v>0</v>
      </c>
      <c r="U302" s="6">
        <f t="shared" si="38"/>
        <v>0</v>
      </c>
      <c r="V302" s="5">
        <f t="shared" si="39"/>
        <v>0</v>
      </c>
    </row>
    <row r="303" spans="1:22">
      <c r="A303" t="s">
        <v>584</v>
      </c>
      <c r="B303" s="4">
        <v>45665</v>
      </c>
      <c r="C303" t="s">
        <v>120</v>
      </c>
      <c r="D303" t="s">
        <v>61</v>
      </c>
      <c r="E303" t="s">
        <v>53</v>
      </c>
      <c r="F303" t="s">
        <v>162</v>
      </c>
      <c r="G303" t="s">
        <v>89</v>
      </c>
      <c r="H303" t="s">
        <v>95</v>
      </c>
      <c r="I303">
        <v>2</v>
      </c>
      <c r="J303" s="6">
        <v>32000</v>
      </c>
      <c r="K303" s="6">
        <v>21000</v>
      </c>
      <c r="L303" s="5">
        <v>0</v>
      </c>
      <c r="M303" t="s">
        <v>80</v>
      </c>
      <c r="N303" t="s">
        <v>58</v>
      </c>
      <c r="O303">
        <f t="shared" si="32"/>
        <v>1</v>
      </c>
      <c r="P303">
        <f t="shared" si="33"/>
        <v>1</v>
      </c>
      <c r="Q303" s="6">
        <f t="shared" si="34"/>
        <v>64000</v>
      </c>
      <c r="R303" s="6">
        <f t="shared" si="35"/>
        <v>0</v>
      </c>
      <c r="S303" s="6">
        <f t="shared" si="36"/>
        <v>0</v>
      </c>
      <c r="T303" s="6">
        <f t="shared" si="37"/>
        <v>0</v>
      </c>
      <c r="U303" s="6">
        <f t="shared" si="38"/>
        <v>0</v>
      </c>
      <c r="V303" s="5">
        <f t="shared" si="39"/>
        <v>0</v>
      </c>
    </row>
    <row r="304" spans="1:22">
      <c r="A304" t="s">
        <v>585</v>
      </c>
      <c r="B304" s="4">
        <v>45957</v>
      </c>
      <c r="C304" t="s">
        <v>60</v>
      </c>
      <c r="D304" t="s">
        <v>106</v>
      </c>
      <c r="E304" t="s">
        <v>73</v>
      </c>
      <c r="F304" t="s">
        <v>475</v>
      </c>
      <c r="G304" t="s">
        <v>68</v>
      </c>
      <c r="H304" t="s">
        <v>108</v>
      </c>
      <c r="I304">
        <v>6</v>
      </c>
      <c r="J304" s="6">
        <v>175000</v>
      </c>
      <c r="K304" s="6">
        <v>129000</v>
      </c>
      <c r="L304" s="5">
        <v>0.08</v>
      </c>
      <c r="M304" t="s">
        <v>80</v>
      </c>
      <c r="N304" t="s">
        <v>75</v>
      </c>
      <c r="O304">
        <f t="shared" si="32"/>
        <v>10</v>
      </c>
      <c r="P304">
        <f t="shared" si="33"/>
        <v>4</v>
      </c>
      <c r="Q304" s="6">
        <f t="shared" si="34"/>
        <v>1050000</v>
      </c>
      <c r="R304" s="6">
        <f t="shared" si="35"/>
        <v>84000</v>
      </c>
      <c r="S304" s="6">
        <f t="shared" si="36"/>
        <v>0</v>
      </c>
      <c r="T304" s="6">
        <f t="shared" si="37"/>
        <v>0</v>
      </c>
      <c r="U304" s="6">
        <f t="shared" si="38"/>
        <v>0</v>
      </c>
      <c r="V304" s="5">
        <f t="shared" si="39"/>
        <v>0</v>
      </c>
    </row>
    <row r="305" spans="1:22">
      <c r="A305" t="s">
        <v>586</v>
      </c>
      <c r="B305" s="4">
        <v>45967</v>
      </c>
      <c r="C305" t="s">
        <v>102</v>
      </c>
      <c r="D305" t="s">
        <v>61</v>
      </c>
      <c r="E305" t="s">
        <v>66</v>
      </c>
      <c r="F305" t="s">
        <v>480</v>
      </c>
      <c r="G305" t="s">
        <v>68</v>
      </c>
      <c r="H305" t="s">
        <v>79</v>
      </c>
      <c r="I305">
        <v>8</v>
      </c>
      <c r="J305" s="6">
        <v>19000</v>
      </c>
      <c r="K305" s="6">
        <v>11500</v>
      </c>
      <c r="L305" s="5">
        <v>0.08</v>
      </c>
      <c r="M305" t="s">
        <v>57</v>
      </c>
      <c r="N305" t="s">
        <v>75</v>
      </c>
      <c r="O305">
        <f t="shared" si="32"/>
        <v>11</v>
      </c>
      <c r="P305">
        <f t="shared" si="33"/>
        <v>4</v>
      </c>
      <c r="Q305" s="6">
        <f t="shared" si="34"/>
        <v>152000</v>
      </c>
      <c r="R305" s="6">
        <f t="shared" si="35"/>
        <v>12160</v>
      </c>
      <c r="S305" s="6">
        <f t="shared" si="36"/>
        <v>139840</v>
      </c>
      <c r="T305" s="6">
        <f t="shared" si="37"/>
        <v>92000</v>
      </c>
      <c r="U305" s="6">
        <f t="shared" si="38"/>
        <v>47840</v>
      </c>
      <c r="V305" s="5">
        <f t="shared" si="39"/>
        <v>0.34210526315789475</v>
      </c>
    </row>
    <row r="306" spans="1:22">
      <c r="A306" t="s">
        <v>587</v>
      </c>
      <c r="B306" s="4">
        <v>45846</v>
      </c>
      <c r="C306" t="s">
        <v>120</v>
      </c>
      <c r="D306" t="s">
        <v>61</v>
      </c>
      <c r="E306" t="s">
        <v>73</v>
      </c>
      <c r="F306" t="s">
        <v>588</v>
      </c>
      <c r="G306" t="s">
        <v>68</v>
      </c>
      <c r="H306" t="s">
        <v>108</v>
      </c>
      <c r="I306">
        <v>1</v>
      </c>
      <c r="J306" s="6">
        <v>175000</v>
      </c>
      <c r="K306" s="6">
        <v>129000</v>
      </c>
      <c r="L306" s="5">
        <v>0.05</v>
      </c>
      <c r="M306" t="s">
        <v>80</v>
      </c>
      <c r="N306" t="s">
        <v>70</v>
      </c>
      <c r="O306">
        <f t="shared" si="32"/>
        <v>7</v>
      </c>
      <c r="P306">
        <f t="shared" si="33"/>
        <v>3</v>
      </c>
      <c r="Q306" s="6">
        <f t="shared" si="34"/>
        <v>175000</v>
      </c>
      <c r="R306" s="6">
        <f t="shared" si="35"/>
        <v>8750</v>
      </c>
      <c r="S306" s="6">
        <f t="shared" si="36"/>
        <v>0</v>
      </c>
      <c r="T306" s="6">
        <f t="shared" si="37"/>
        <v>0</v>
      </c>
      <c r="U306" s="6">
        <f t="shared" si="38"/>
        <v>0</v>
      </c>
      <c r="V306" s="5">
        <f t="shared" si="39"/>
        <v>0</v>
      </c>
    </row>
    <row r="307" spans="1:22">
      <c r="A307" t="s">
        <v>589</v>
      </c>
      <c r="B307" s="4">
        <v>45884</v>
      </c>
      <c r="C307" t="s">
        <v>51</v>
      </c>
      <c r="D307" t="s">
        <v>61</v>
      </c>
      <c r="E307" t="s">
        <v>66</v>
      </c>
      <c r="F307" t="s">
        <v>295</v>
      </c>
      <c r="G307" t="s">
        <v>68</v>
      </c>
      <c r="H307" t="s">
        <v>79</v>
      </c>
      <c r="I307">
        <v>7</v>
      </c>
      <c r="J307" s="6">
        <v>19000</v>
      </c>
      <c r="K307" s="6">
        <v>11500</v>
      </c>
      <c r="L307" s="5">
        <v>0.03</v>
      </c>
      <c r="M307" t="s">
        <v>80</v>
      </c>
      <c r="N307" t="s">
        <v>81</v>
      </c>
      <c r="O307">
        <f t="shared" si="32"/>
        <v>8</v>
      </c>
      <c r="P307">
        <f t="shared" si="33"/>
        <v>3</v>
      </c>
      <c r="Q307" s="6">
        <f t="shared" si="34"/>
        <v>133000</v>
      </c>
      <c r="R307" s="6">
        <f t="shared" si="35"/>
        <v>3990</v>
      </c>
      <c r="S307" s="6">
        <f t="shared" si="36"/>
        <v>0</v>
      </c>
      <c r="T307" s="6">
        <f t="shared" si="37"/>
        <v>0</v>
      </c>
      <c r="U307" s="6">
        <f t="shared" si="38"/>
        <v>0</v>
      </c>
      <c r="V307" s="5">
        <f t="shared" si="39"/>
        <v>0</v>
      </c>
    </row>
    <row r="308" spans="1:22">
      <c r="A308" t="s">
        <v>590</v>
      </c>
      <c r="B308" s="4">
        <v>45971</v>
      </c>
      <c r="C308" t="s">
        <v>77</v>
      </c>
      <c r="D308" t="s">
        <v>72</v>
      </c>
      <c r="E308" t="s">
        <v>73</v>
      </c>
      <c r="F308" t="s">
        <v>524</v>
      </c>
      <c r="G308" t="s">
        <v>89</v>
      </c>
      <c r="H308" t="s">
        <v>95</v>
      </c>
      <c r="I308">
        <v>5</v>
      </c>
      <c r="J308" s="6">
        <v>32000</v>
      </c>
      <c r="K308" s="6">
        <v>21000</v>
      </c>
      <c r="L308" s="5">
        <v>0</v>
      </c>
      <c r="M308" t="s">
        <v>57</v>
      </c>
      <c r="N308" t="s">
        <v>81</v>
      </c>
      <c r="O308">
        <f t="shared" si="32"/>
        <v>11</v>
      </c>
      <c r="P308">
        <f t="shared" si="33"/>
        <v>4</v>
      </c>
      <c r="Q308" s="6">
        <f t="shared" si="34"/>
        <v>160000</v>
      </c>
      <c r="R308" s="6">
        <f t="shared" si="35"/>
        <v>0</v>
      </c>
      <c r="S308" s="6">
        <f t="shared" si="36"/>
        <v>160000</v>
      </c>
      <c r="T308" s="6">
        <f t="shared" si="37"/>
        <v>105000</v>
      </c>
      <c r="U308" s="6">
        <f t="shared" si="38"/>
        <v>55000</v>
      </c>
      <c r="V308" s="5">
        <f t="shared" si="39"/>
        <v>0.34375</v>
      </c>
    </row>
    <row r="309" spans="1:22">
      <c r="A309" t="s">
        <v>591</v>
      </c>
      <c r="B309" s="4">
        <v>45938</v>
      </c>
      <c r="C309" t="s">
        <v>111</v>
      </c>
      <c r="D309" t="s">
        <v>61</v>
      </c>
      <c r="E309" t="s">
        <v>66</v>
      </c>
      <c r="F309" t="s">
        <v>139</v>
      </c>
      <c r="G309" t="s">
        <v>55</v>
      </c>
      <c r="H309" t="s">
        <v>56</v>
      </c>
      <c r="I309">
        <v>4</v>
      </c>
      <c r="J309" s="6">
        <v>138000</v>
      </c>
      <c r="K309" s="6">
        <v>99000</v>
      </c>
      <c r="L309" s="5">
        <v>0.08</v>
      </c>
      <c r="M309" t="s">
        <v>80</v>
      </c>
      <c r="N309" t="s">
        <v>63</v>
      </c>
      <c r="O309">
        <f t="shared" si="32"/>
        <v>10</v>
      </c>
      <c r="P309">
        <f t="shared" si="33"/>
        <v>4</v>
      </c>
      <c r="Q309" s="6">
        <f t="shared" si="34"/>
        <v>552000</v>
      </c>
      <c r="R309" s="6">
        <f t="shared" si="35"/>
        <v>44160</v>
      </c>
      <c r="S309" s="6">
        <f t="shared" si="36"/>
        <v>0</v>
      </c>
      <c r="T309" s="6">
        <f t="shared" si="37"/>
        <v>0</v>
      </c>
      <c r="U309" s="6">
        <f t="shared" si="38"/>
        <v>0</v>
      </c>
      <c r="V309" s="5">
        <f t="shared" si="39"/>
        <v>0</v>
      </c>
    </row>
    <row r="310" spans="1:22">
      <c r="A310" t="s">
        <v>592</v>
      </c>
      <c r="B310" s="4">
        <v>45683</v>
      </c>
      <c r="C310" t="s">
        <v>120</v>
      </c>
      <c r="D310" t="s">
        <v>61</v>
      </c>
      <c r="E310" t="s">
        <v>73</v>
      </c>
      <c r="F310" t="s">
        <v>593</v>
      </c>
      <c r="G310" t="s">
        <v>68</v>
      </c>
      <c r="H310" t="s">
        <v>108</v>
      </c>
      <c r="I310">
        <v>3</v>
      </c>
      <c r="J310" s="6">
        <v>175000</v>
      </c>
      <c r="K310" s="6">
        <v>129000</v>
      </c>
      <c r="L310" s="5">
        <v>0.1</v>
      </c>
      <c r="M310" t="s">
        <v>57</v>
      </c>
      <c r="N310" t="s">
        <v>70</v>
      </c>
      <c r="O310">
        <f t="shared" si="32"/>
        <v>1</v>
      </c>
      <c r="P310">
        <f t="shared" si="33"/>
        <v>1</v>
      </c>
      <c r="Q310" s="6">
        <f t="shared" si="34"/>
        <v>525000</v>
      </c>
      <c r="R310" s="6">
        <f t="shared" si="35"/>
        <v>52500</v>
      </c>
      <c r="S310" s="6">
        <f t="shared" si="36"/>
        <v>472500</v>
      </c>
      <c r="T310" s="6">
        <f t="shared" si="37"/>
        <v>387000</v>
      </c>
      <c r="U310" s="6">
        <f t="shared" si="38"/>
        <v>85500</v>
      </c>
      <c r="V310" s="5">
        <f t="shared" si="39"/>
        <v>0.18095238095238095</v>
      </c>
    </row>
    <row r="311" spans="1:22">
      <c r="A311" t="s">
        <v>594</v>
      </c>
      <c r="B311" s="4">
        <v>45836</v>
      </c>
      <c r="C311" t="s">
        <v>102</v>
      </c>
      <c r="D311" t="s">
        <v>61</v>
      </c>
      <c r="E311" t="s">
        <v>73</v>
      </c>
      <c r="F311" t="s">
        <v>533</v>
      </c>
      <c r="G311" t="s">
        <v>89</v>
      </c>
      <c r="H311" t="s">
        <v>98</v>
      </c>
      <c r="I311">
        <v>4</v>
      </c>
      <c r="J311" s="6">
        <v>16500</v>
      </c>
      <c r="K311" s="6">
        <v>10000</v>
      </c>
      <c r="L311" s="5">
        <v>0.03</v>
      </c>
      <c r="M311" t="s">
        <v>57</v>
      </c>
      <c r="N311" t="s">
        <v>58</v>
      </c>
      <c r="O311">
        <f t="shared" si="32"/>
        <v>6</v>
      </c>
      <c r="P311">
        <f t="shared" si="33"/>
        <v>2</v>
      </c>
      <c r="Q311" s="6">
        <f t="shared" si="34"/>
        <v>66000</v>
      </c>
      <c r="R311" s="6">
        <f t="shared" si="35"/>
        <v>1980</v>
      </c>
      <c r="S311" s="6">
        <f t="shared" si="36"/>
        <v>64020</v>
      </c>
      <c r="T311" s="6">
        <f t="shared" si="37"/>
        <v>40000</v>
      </c>
      <c r="U311" s="6">
        <f t="shared" si="38"/>
        <v>24020</v>
      </c>
      <c r="V311" s="5">
        <f t="shared" si="39"/>
        <v>0.37519525148391125</v>
      </c>
    </row>
    <row r="312" spans="1:22">
      <c r="A312" t="s">
        <v>595</v>
      </c>
      <c r="B312" s="4">
        <v>45913</v>
      </c>
      <c r="C312" t="s">
        <v>92</v>
      </c>
      <c r="D312" t="s">
        <v>106</v>
      </c>
      <c r="E312" t="s">
        <v>84</v>
      </c>
      <c r="F312" t="s">
        <v>485</v>
      </c>
      <c r="G312" t="s">
        <v>68</v>
      </c>
      <c r="H312" t="s">
        <v>79</v>
      </c>
      <c r="I312">
        <v>3</v>
      </c>
      <c r="J312" s="6">
        <v>19000</v>
      </c>
      <c r="K312" s="6">
        <v>11500</v>
      </c>
      <c r="L312" s="5">
        <v>0</v>
      </c>
      <c r="M312" t="s">
        <v>80</v>
      </c>
      <c r="N312" t="s">
        <v>75</v>
      </c>
      <c r="O312">
        <f t="shared" si="32"/>
        <v>9</v>
      </c>
      <c r="P312">
        <f t="shared" si="33"/>
        <v>3</v>
      </c>
      <c r="Q312" s="6">
        <f t="shared" si="34"/>
        <v>57000</v>
      </c>
      <c r="R312" s="6">
        <f t="shared" si="35"/>
        <v>0</v>
      </c>
      <c r="S312" s="6">
        <f t="shared" si="36"/>
        <v>0</v>
      </c>
      <c r="T312" s="6">
        <f t="shared" si="37"/>
        <v>0</v>
      </c>
      <c r="U312" s="6">
        <f t="shared" si="38"/>
        <v>0</v>
      </c>
      <c r="V312" s="5">
        <f t="shared" si="39"/>
        <v>0</v>
      </c>
    </row>
    <row r="313" spans="1:22">
      <c r="A313" t="s">
        <v>596</v>
      </c>
      <c r="B313" s="4">
        <v>45882</v>
      </c>
      <c r="C313" t="s">
        <v>92</v>
      </c>
      <c r="D313" t="s">
        <v>61</v>
      </c>
      <c r="E313" t="s">
        <v>73</v>
      </c>
      <c r="F313" t="s">
        <v>228</v>
      </c>
      <c r="G313" t="s">
        <v>55</v>
      </c>
      <c r="H313" t="s">
        <v>86</v>
      </c>
      <c r="I313">
        <v>6</v>
      </c>
      <c r="J313" s="6">
        <v>92000</v>
      </c>
      <c r="K313" s="6">
        <v>60000</v>
      </c>
      <c r="L313" s="5">
        <v>0.08</v>
      </c>
      <c r="M313" t="s">
        <v>57</v>
      </c>
      <c r="N313" t="s">
        <v>70</v>
      </c>
      <c r="O313">
        <f t="shared" si="32"/>
        <v>8</v>
      </c>
      <c r="P313">
        <f t="shared" si="33"/>
        <v>3</v>
      </c>
      <c r="Q313" s="6">
        <f t="shared" si="34"/>
        <v>552000</v>
      </c>
      <c r="R313" s="6">
        <f t="shared" si="35"/>
        <v>44160</v>
      </c>
      <c r="S313" s="6">
        <f t="shared" si="36"/>
        <v>507840</v>
      </c>
      <c r="T313" s="6">
        <f t="shared" si="37"/>
        <v>360000</v>
      </c>
      <c r="U313" s="6">
        <f t="shared" si="38"/>
        <v>147840</v>
      </c>
      <c r="V313" s="5">
        <f t="shared" si="39"/>
        <v>0.29111531190926276</v>
      </c>
    </row>
    <row r="314" spans="1:22">
      <c r="A314" t="s">
        <v>597</v>
      </c>
      <c r="B314" s="4">
        <v>45819</v>
      </c>
      <c r="C314" t="s">
        <v>111</v>
      </c>
      <c r="D314" t="s">
        <v>61</v>
      </c>
      <c r="E314" t="s">
        <v>94</v>
      </c>
      <c r="F314" t="s">
        <v>114</v>
      </c>
      <c r="G314" t="s">
        <v>89</v>
      </c>
      <c r="H314" t="s">
        <v>98</v>
      </c>
      <c r="I314">
        <v>5</v>
      </c>
      <c r="J314" s="6">
        <v>16500</v>
      </c>
      <c r="K314" s="6">
        <v>10000</v>
      </c>
      <c r="L314" s="5">
        <v>0</v>
      </c>
      <c r="M314" t="s">
        <v>109</v>
      </c>
      <c r="N314" t="s">
        <v>58</v>
      </c>
      <c r="O314">
        <f t="shared" si="32"/>
        <v>6</v>
      </c>
      <c r="P314">
        <f t="shared" si="33"/>
        <v>2</v>
      </c>
      <c r="Q314" s="6">
        <f t="shared" si="34"/>
        <v>82500</v>
      </c>
      <c r="R314" s="6">
        <f t="shared" si="35"/>
        <v>0</v>
      </c>
      <c r="S314" s="6">
        <f t="shared" si="36"/>
        <v>0</v>
      </c>
      <c r="T314" s="6">
        <f t="shared" si="37"/>
        <v>0</v>
      </c>
      <c r="U314" s="6">
        <f t="shared" si="38"/>
        <v>0</v>
      </c>
      <c r="V314" s="5">
        <f t="shared" si="39"/>
        <v>0</v>
      </c>
    </row>
    <row r="315" spans="1:22">
      <c r="A315" t="s">
        <v>598</v>
      </c>
      <c r="B315" s="4">
        <v>45975</v>
      </c>
      <c r="C315" t="s">
        <v>83</v>
      </c>
      <c r="D315" t="s">
        <v>61</v>
      </c>
      <c r="E315" t="s">
        <v>66</v>
      </c>
      <c r="F315" t="s">
        <v>599</v>
      </c>
      <c r="G315" t="s">
        <v>68</v>
      </c>
      <c r="H315" t="s">
        <v>79</v>
      </c>
      <c r="I315">
        <v>1</v>
      </c>
      <c r="J315" s="6">
        <v>19000</v>
      </c>
      <c r="K315" s="6">
        <v>11500</v>
      </c>
      <c r="L315" s="5">
        <v>0.08</v>
      </c>
      <c r="M315" t="s">
        <v>57</v>
      </c>
      <c r="N315" t="s">
        <v>75</v>
      </c>
      <c r="O315">
        <f t="shared" si="32"/>
        <v>11</v>
      </c>
      <c r="P315">
        <f t="shared" si="33"/>
        <v>4</v>
      </c>
      <c r="Q315" s="6">
        <f t="shared" si="34"/>
        <v>19000</v>
      </c>
      <c r="R315" s="6">
        <f t="shared" si="35"/>
        <v>1520</v>
      </c>
      <c r="S315" s="6">
        <f t="shared" si="36"/>
        <v>17480</v>
      </c>
      <c r="T315" s="6">
        <f t="shared" si="37"/>
        <v>11500</v>
      </c>
      <c r="U315" s="6">
        <f t="shared" si="38"/>
        <v>5980</v>
      </c>
      <c r="V315" s="5">
        <f t="shared" si="39"/>
        <v>0.34210526315789475</v>
      </c>
    </row>
    <row r="316" spans="1:22">
      <c r="A316" t="s">
        <v>600</v>
      </c>
      <c r="B316" s="4">
        <v>45959</v>
      </c>
      <c r="C316" t="s">
        <v>60</v>
      </c>
      <c r="D316" t="s">
        <v>61</v>
      </c>
      <c r="E316" t="s">
        <v>53</v>
      </c>
      <c r="F316" t="s">
        <v>168</v>
      </c>
      <c r="G316" t="s">
        <v>89</v>
      </c>
      <c r="H316" t="s">
        <v>90</v>
      </c>
      <c r="I316">
        <v>7</v>
      </c>
      <c r="J316" s="6">
        <v>5900</v>
      </c>
      <c r="K316" s="6">
        <v>3700</v>
      </c>
      <c r="L316" s="5">
        <v>0</v>
      </c>
      <c r="M316" t="s">
        <v>80</v>
      </c>
      <c r="N316" t="s">
        <v>63</v>
      </c>
      <c r="O316">
        <f t="shared" si="32"/>
        <v>10</v>
      </c>
      <c r="P316">
        <f t="shared" si="33"/>
        <v>4</v>
      </c>
      <c r="Q316" s="6">
        <f t="shared" si="34"/>
        <v>41300</v>
      </c>
      <c r="R316" s="6">
        <f t="shared" si="35"/>
        <v>0</v>
      </c>
      <c r="S316" s="6">
        <f t="shared" si="36"/>
        <v>0</v>
      </c>
      <c r="T316" s="6">
        <f t="shared" si="37"/>
        <v>0</v>
      </c>
      <c r="U316" s="6">
        <f t="shared" si="38"/>
        <v>0</v>
      </c>
      <c r="V316" s="5">
        <f t="shared" si="39"/>
        <v>0</v>
      </c>
    </row>
    <row r="317" spans="1:22">
      <c r="A317" t="s">
        <v>601</v>
      </c>
      <c r="B317" s="4">
        <v>45846</v>
      </c>
      <c r="C317" t="s">
        <v>77</v>
      </c>
      <c r="D317" t="s">
        <v>61</v>
      </c>
      <c r="E317" t="s">
        <v>73</v>
      </c>
      <c r="F317" t="s">
        <v>577</v>
      </c>
      <c r="G317" t="s">
        <v>55</v>
      </c>
      <c r="H317" t="s">
        <v>115</v>
      </c>
      <c r="I317">
        <v>1</v>
      </c>
      <c r="J317" s="6">
        <v>105000</v>
      </c>
      <c r="K317" s="6">
        <v>76000</v>
      </c>
      <c r="L317" s="5">
        <v>0.03</v>
      </c>
      <c r="M317" t="s">
        <v>57</v>
      </c>
      <c r="N317" t="s">
        <v>58</v>
      </c>
      <c r="O317">
        <f t="shared" si="32"/>
        <v>7</v>
      </c>
      <c r="P317">
        <f t="shared" si="33"/>
        <v>3</v>
      </c>
      <c r="Q317" s="6">
        <f t="shared" si="34"/>
        <v>105000</v>
      </c>
      <c r="R317" s="6">
        <f t="shared" si="35"/>
        <v>3150</v>
      </c>
      <c r="S317" s="6">
        <f t="shared" si="36"/>
        <v>101850</v>
      </c>
      <c r="T317" s="6">
        <f t="shared" si="37"/>
        <v>76000</v>
      </c>
      <c r="U317" s="6">
        <f t="shared" si="38"/>
        <v>25850</v>
      </c>
      <c r="V317" s="5">
        <f t="shared" si="39"/>
        <v>0.25380461462935688</v>
      </c>
    </row>
    <row r="318" spans="1:22">
      <c r="A318" t="s">
        <v>602</v>
      </c>
      <c r="B318" s="4">
        <v>45851</v>
      </c>
      <c r="C318" t="s">
        <v>83</v>
      </c>
      <c r="D318" t="s">
        <v>61</v>
      </c>
      <c r="E318" t="s">
        <v>66</v>
      </c>
      <c r="F318" t="s">
        <v>524</v>
      </c>
      <c r="G318" t="s">
        <v>55</v>
      </c>
      <c r="H318" t="s">
        <v>115</v>
      </c>
      <c r="I318">
        <v>1</v>
      </c>
      <c r="J318" s="6">
        <v>105000</v>
      </c>
      <c r="K318" s="6">
        <v>76000</v>
      </c>
      <c r="L318" s="5">
        <v>0.05</v>
      </c>
      <c r="M318" t="s">
        <v>57</v>
      </c>
      <c r="N318" t="s">
        <v>58</v>
      </c>
      <c r="O318">
        <f t="shared" si="32"/>
        <v>7</v>
      </c>
      <c r="P318">
        <f t="shared" si="33"/>
        <v>3</v>
      </c>
      <c r="Q318" s="6">
        <f t="shared" si="34"/>
        <v>105000</v>
      </c>
      <c r="R318" s="6">
        <f t="shared" si="35"/>
        <v>5250</v>
      </c>
      <c r="S318" s="6">
        <f t="shared" si="36"/>
        <v>99750</v>
      </c>
      <c r="T318" s="6">
        <f t="shared" si="37"/>
        <v>76000</v>
      </c>
      <c r="U318" s="6">
        <f t="shared" si="38"/>
        <v>23750</v>
      </c>
      <c r="V318" s="5">
        <f t="shared" si="39"/>
        <v>0.23809523809523808</v>
      </c>
    </row>
    <row r="319" spans="1:22">
      <c r="A319" t="s">
        <v>603</v>
      </c>
      <c r="B319" s="4">
        <v>45814</v>
      </c>
      <c r="C319" t="s">
        <v>60</v>
      </c>
      <c r="D319" t="s">
        <v>52</v>
      </c>
      <c r="E319" t="s">
        <v>53</v>
      </c>
      <c r="F319" t="s">
        <v>191</v>
      </c>
      <c r="G319" t="s">
        <v>55</v>
      </c>
      <c r="H319" t="s">
        <v>86</v>
      </c>
      <c r="I319">
        <v>3</v>
      </c>
      <c r="J319" s="6">
        <v>92000</v>
      </c>
      <c r="K319" s="6">
        <v>60000</v>
      </c>
      <c r="L319" s="5">
        <v>0.03</v>
      </c>
      <c r="M319" t="s">
        <v>109</v>
      </c>
      <c r="N319" t="s">
        <v>70</v>
      </c>
      <c r="O319">
        <f t="shared" si="32"/>
        <v>6</v>
      </c>
      <c r="P319">
        <f t="shared" si="33"/>
        <v>2</v>
      </c>
      <c r="Q319" s="6">
        <f t="shared" si="34"/>
        <v>276000</v>
      </c>
      <c r="R319" s="6">
        <f t="shared" si="35"/>
        <v>8280</v>
      </c>
      <c r="S319" s="6">
        <f t="shared" si="36"/>
        <v>0</v>
      </c>
      <c r="T319" s="6">
        <f t="shared" si="37"/>
        <v>0</v>
      </c>
      <c r="U319" s="6">
        <f t="shared" si="38"/>
        <v>0</v>
      </c>
      <c r="V319" s="5">
        <f t="shared" si="39"/>
        <v>0</v>
      </c>
    </row>
    <row r="320" spans="1:22">
      <c r="A320" t="s">
        <v>604</v>
      </c>
      <c r="B320" s="4">
        <v>45748</v>
      </c>
      <c r="C320" t="s">
        <v>120</v>
      </c>
      <c r="D320" t="s">
        <v>61</v>
      </c>
      <c r="E320" t="s">
        <v>84</v>
      </c>
      <c r="F320" t="s">
        <v>337</v>
      </c>
      <c r="G320" t="s">
        <v>68</v>
      </c>
      <c r="H320" t="s">
        <v>79</v>
      </c>
      <c r="I320">
        <v>3</v>
      </c>
      <c r="J320" s="6">
        <v>19000</v>
      </c>
      <c r="K320" s="6">
        <v>11500</v>
      </c>
      <c r="L320" s="5">
        <v>0.03</v>
      </c>
      <c r="M320" t="s">
        <v>57</v>
      </c>
      <c r="N320" t="s">
        <v>81</v>
      </c>
      <c r="O320">
        <f t="shared" si="32"/>
        <v>4</v>
      </c>
      <c r="P320">
        <f t="shared" si="33"/>
        <v>2</v>
      </c>
      <c r="Q320" s="6">
        <f t="shared" si="34"/>
        <v>57000</v>
      </c>
      <c r="R320" s="6">
        <f t="shared" si="35"/>
        <v>1710</v>
      </c>
      <c r="S320" s="6">
        <f t="shared" si="36"/>
        <v>55290</v>
      </c>
      <c r="T320" s="6">
        <f t="shared" si="37"/>
        <v>34500</v>
      </c>
      <c r="U320" s="6">
        <f t="shared" si="38"/>
        <v>20790</v>
      </c>
      <c r="V320" s="5">
        <f t="shared" si="39"/>
        <v>0.37601736299511668</v>
      </c>
    </row>
    <row r="321" spans="1:22">
      <c r="A321" t="s">
        <v>605</v>
      </c>
      <c r="B321" s="4">
        <v>45924</v>
      </c>
      <c r="C321" t="s">
        <v>111</v>
      </c>
      <c r="D321" t="s">
        <v>61</v>
      </c>
      <c r="E321" t="s">
        <v>53</v>
      </c>
      <c r="F321" t="s">
        <v>195</v>
      </c>
      <c r="G321" t="s">
        <v>89</v>
      </c>
      <c r="H321" t="s">
        <v>95</v>
      </c>
      <c r="I321">
        <v>5</v>
      </c>
      <c r="J321" s="6">
        <v>32000</v>
      </c>
      <c r="K321" s="6">
        <v>21000</v>
      </c>
      <c r="L321" s="5">
        <v>0.1</v>
      </c>
      <c r="M321" t="s">
        <v>109</v>
      </c>
      <c r="N321" t="s">
        <v>58</v>
      </c>
      <c r="O321">
        <f t="shared" si="32"/>
        <v>9</v>
      </c>
      <c r="P321">
        <f t="shared" si="33"/>
        <v>3</v>
      </c>
      <c r="Q321" s="6">
        <f t="shared" si="34"/>
        <v>160000</v>
      </c>
      <c r="R321" s="6">
        <f t="shared" si="35"/>
        <v>16000</v>
      </c>
      <c r="S321" s="6">
        <f t="shared" si="36"/>
        <v>0</v>
      </c>
      <c r="T321" s="6">
        <f t="shared" si="37"/>
        <v>0</v>
      </c>
      <c r="U321" s="6">
        <f t="shared" si="38"/>
        <v>0</v>
      </c>
      <c r="V321" s="5">
        <f t="shared" si="39"/>
        <v>0</v>
      </c>
    </row>
    <row r="322" spans="1:22">
      <c r="A322" t="s">
        <v>606</v>
      </c>
      <c r="B322" s="4">
        <v>45784</v>
      </c>
      <c r="C322" t="s">
        <v>60</v>
      </c>
      <c r="D322" t="s">
        <v>61</v>
      </c>
      <c r="E322" t="s">
        <v>66</v>
      </c>
      <c r="F322" t="s">
        <v>378</v>
      </c>
      <c r="G322" t="s">
        <v>89</v>
      </c>
      <c r="H322" t="s">
        <v>90</v>
      </c>
      <c r="I322">
        <v>8</v>
      </c>
      <c r="J322" s="6">
        <v>5900</v>
      </c>
      <c r="K322" s="6">
        <v>3700</v>
      </c>
      <c r="L322" s="5">
        <v>0</v>
      </c>
      <c r="M322" t="s">
        <v>57</v>
      </c>
      <c r="N322" t="s">
        <v>70</v>
      </c>
      <c r="O322">
        <f t="shared" ref="O322:O385" si="40">MONTH(B322)</f>
        <v>5</v>
      </c>
      <c r="P322">
        <f t="shared" ref="P322:P385" si="41">ROUNDUP(O322/3,0)</f>
        <v>2</v>
      </c>
      <c r="Q322" s="6">
        <f t="shared" ref="Q322:Q385" si="42">I322*J322</f>
        <v>47200</v>
      </c>
      <c r="R322" s="6">
        <f t="shared" ref="R322:R385" si="43">Q322*L322</f>
        <v>0</v>
      </c>
      <c r="S322" s="6">
        <f t="shared" ref="S322:S385" si="44">IF(M322="Ganho",Q322-R322,0)</f>
        <v>47200</v>
      </c>
      <c r="T322" s="6">
        <f t="shared" ref="T322:T385" si="45">IF(M322="Ganho",I322*K322,0)</f>
        <v>29600</v>
      </c>
      <c r="U322" s="6">
        <f t="shared" ref="U322:U385" si="46">S322-T322</f>
        <v>17600</v>
      </c>
      <c r="V322" s="5">
        <f t="shared" ref="V322:V385" si="47">IFERROR(U322/S322,0)</f>
        <v>0.3728813559322034</v>
      </c>
    </row>
    <row r="323" spans="1:22">
      <c r="A323" t="s">
        <v>607</v>
      </c>
      <c r="B323" s="4">
        <v>45945</v>
      </c>
      <c r="C323" t="s">
        <v>60</v>
      </c>
      <c r="D323" t="s">
        <v>61</v>
      </c>
      <c r="E323" t="s">
        <v>73</v>
      </c>
      <c r="F323" t="s">
        <v>405</v>
      </c>
      <c r="G323" t="s">
        <v>89</v>
      </c>
      <c r="H323" t="s">
        <v>95</v>
      </c>
      <c r="I323">
        <v>1</v>
      </c>
      <c r="J323" s="6">
        <v>32000</v>
      </c>
      <c r="K323" s="6">
        <v>21000</v>
      </c>
      <c r="L323" s="5">
        <v>0.12</v>
      </c>
      <c r="M323" t="s">
        <v>57</v>
      </c>
      <c r="N323" t="s">
        <v>58</v>
      </c>
      <c r="O323">
        <f t="shared" si="40"/>
        <v>10</v>
      </c>
      <c r="P323">
        <f t="shared" si="41"/>
        <v>4</v>
      </c>
      <c r="Q323" s="6">
        <f t="shared" si="42"/>
        <v>32000</v>
      </c>
      <c r="R323" s="6">
        <f t="shared" si="43"/>
        <v>3840</v>
      </c>
      <c r="S323" s="6">
        <f t="shared" si="44"/>
        <v>28160</v>
      </c>
      <c r="T323" s="6">
        <f t="shared" si="45"/>
        <v>21000</v>
      </c>
      <c r="U323" s="6">
        <f t="shared" si="46"/>
        <v>7160</v>
      </c>
      <c r="V323" s="5">
        <f t="shared" si="47"/>
        <v>0.25426136363636365</v>
      </c>
    </row>
    <row r="324" spans="1:22">
      <c r="A324" t="s">
        <v>608</v>
      </c>
      <c r="B324" s="4">
        <v>45845</v>
      </c>
      <c r="C324" t="s">
        <v>102</v>
      </c>
      <c r="D324" t="s">
        <v>61</v>
      </c>
      <c r="E324" t="s">
        <v>66</v>
      </c>
      <c r="F324" t="s">
        <v>387</v>
      </c>
      <c r="G324" t="s">
        <v>68</v>
      </c>
      <c r="H324" t="s">
        <v>108</v>
      </c>
      <c r="I324">
        <v>2</v>
      </c>
      <c r="J324" s="6">
        <v>175000</v>
      </c>
      <c r="K324" s="6">
        <v>129000</v>
      </c>
      <c r="L324" s="5">
        <v>0.12</v>
      </c>
      <c r="M324" t="s">
        <v>57</v>
      </c>
      <c r="N324" t="s">
        <v>75</v>
      </c>
      <c r="O324">
        <f t="shared" si="40"/>
        <v>7</v>
      </c>
      <c r="P324">
        <f t="shared" si="41"/>
        <v>3</v>
      </c>
      <c r="Q324" s="6">
        <f t="shared" si="42"/>
        <v>350000</v>
      </c>
      <c r="R324" s="6">
        <f t="shared" si="43"/>
        <v>42000</v>
      </c>
      <c r="S324" s="6">
        <f t="shared" si="44"/>
        <v>308000</v>
      </c>
      <c r="T324" s="6">
        <f t="shared" si="45"/>
        <v>258000</v>
      </c>
      <c r="U324" s="6">
        <f t="shared" si="46"/>
        <v>50000</v>
      </c>
      <c r="V324" s="5">
        <f t="shared" si="47"/>
        <v>0.16233766233766234</v>
      </c>
    </row>
    <row r="325" spans="1:22">
      <c r="A325" t="s">
        <v>609</v>
      </c>
      <c r="B325" s="4">
        <v>45855</v>
      </c>
      <c r="C325" t="s">
        <v>60</v>
      </c>
      <c r="D325" t="s">
        <v>61</v>
      </c>
      <c r="E325" t="s">
        <v>94</v>
      </c>
      <c r="F325" t="s">
        <v>566</v>
      </c>
      <c r="G325" t="s">
        <v>68</v>
      </c>
      <c r="H325" t="s">
        <v>104</v>
      </c>
      <c r="I325">
        <v>6</v>
      </c>
      <c r="J325" s="6">
        <v>320000</v>
      </c>
      <c r="K325" s="6">
        <v>244000</v>
      </c>
      <c r="L325" s="5">
        <v>0.1</v>
      </c>
      <c r="M325" t="s">
        <v>109</v>
      </c>
      <c r="N325" t="s">
        <v>63</v>
      </c>
      <c r="O325">
        <f t="shared" si="40"/>
        <v>7</v>
      </c>
      <c r="P325">
        <f t="shared" si="41"/>
        <v>3</v>
      </c>
      <c r="Q325" s="6">
        <f t="shared" si="42"/>
        <v>1920000</v>
      </c>
      <c r="R325" s="6">
        <f t="shared" si="43"/>
        <v>192000</v>
      </c>
      <c r="S325" s="6">
        <f t="shared" si="44"/>
        <v>0</v>
      </c>
      <c r="T325" s="6">
        <f t="shared" si="45"/>
        <v>0</v>
      </c>
      <c r="U325" s="6">
        <f t="shared" si="46"/>
        <v>0</v>
      </c>
      <c r="V325" s="5">
        <f t="shared" si="47"/>
        <v>0</v>
      </c>
    </row>
    <row r="326" spans="1:22">
      <c r="A326" t="s">
        <v>610</v>
      </c>
      <c r="B326" s="4">
        <v>45909</v>
      </c>
      <c r="C326" t="s">
        <v>111</v>
      </c>
      <c r="D326" t="s">
        <v>61</v>
      </c>
      <c r="E326" t="s">
        <v>53</v>
      </c>
      <c r="F326" t="s">
        <v>228</v>
      </c>
      <c r="G326" t="s">
        <v>68</v>
      </c>
      <c r="H326" t="s">
        <v>69</v>
      </c>
      <c r="I326">
        <v>2</v>
      </c>
      <c r="J326" s="6">
        <v>115000</v>
      </c>
      <c r="K326" s="6">
        <v>82000</v>
      </c>
      <c r="L326" s="5">
        <v>0</v>
      </c>
      <c r="M326" t="s">
        <v>57</v>
      </c>
      <c r="N326" t="s">
        <v>70</v>
      </c>
      <c r="O326">
        <f t="shared" si="40"/>
        <v>9</v>
      </c>
      <c r="P326">
        <f t="shared" si="41"/>
        <v>3</v>
      </c>
      <c r="Q326" s="6">
        <f t="shared" si="42"/>
        <v>230000</v>
      </c>
      <c r="R326" s="6">
        <f t="shared" si="43"/>
        <v>0</v>
      </c>
      <c r="S326" s="6">
        <f t="shared" si="44"/>
        <v>230000</v>
      </c>
      <c r="T326" s="6">
        <f t="shared" si="45"/>
        <v>164000</v>
      </c>
      <c r="U326" s="6">
        <f t="shared" si="46"/>
        <v>66000</v>
      </c>
      <c r="V326" s="5">
        <f t="shared" si="47"/>
        <v>0.28695652173913044</v>
      </c>
    </row>
    <row r="327" spans="1:22">
      <c r="A327" t="s">
        <v>611</v>
      </c>
      <c r="B327" s="4">
        <v>46019</v>
      </c>
      <c r="C327" t="s">
        <v>120</v>
      </c>
      <c r="D327" t="s">
        <v>61</v>
      </c>
      <c r="E327" t="s">
        <v>73</v>
      </c>
      <c r="F327" t="s">
        <v>403</v>
      </c>
      <c r="G327" t="s">
        <v>89</v>
      </c>
      <c r="H327" t="s">
        <v>95</v>
      </c>
      <c r="I327">
        <v>4</v>
      </c>
      <c r="J327" s="6">
        <v>32000</v>
      </c>
      <c r="K327" s="6">
        <v>21000</v>
      </c>
      <c r="L327" s="5">
        <v>0.12</v>
      </c>
      <c r="M327" t="s">
        <v>57</v>
      </c>
      <c r="N327" t="s">
        <v>70</v>
      </c>
      <c r="O327">
        <f t="shared" si="40"/>
        <v>12</v>
      </c>
      <c r="P327">
        <f t="shared" si="41"/>
        <v>4</v>
      </c>
      <c r="Q327" s="6">
        <f t="shared" si="42"/>
        <v>128000</v>
      </c>
      <c r="R327" s="6">
        <f t="shared" si="43"/>
        <v>15360</v>
      </c>
      <c r="S327" s="6">
        <f t="shared" si="44"/>
        <v>112640</v>
      </c>
      <c r="T327" s="6">
        <f t="shared" si="45"/>
        <v>84000</v>
      </c>
      <c r="U327" s="6">
        <f t="shared" si="46"/>
        <v>28640</v>
      </c>
      <c r="V327" s="5">
        <f t="shared" si="47"/>
        <v>0.25426136363636365</v>
      </c>
    </row>
    <row r="328" spans="1:22">
      <c r="A328" t="s">
        <v>612</v>
      </c>
      <c r="B328" s="4">
        <v>45777</v>
      </c>
      <c r="C328" t="s">
        <v>120</v>
      </c>
      <c r="D328" t="s">
        <v>72</v>
      </c>
      <c r="E328" t="s">
        <v>66</v>
      </c>
      <c r="F328" t="s">
        <v>471</v>
      </c>
      <c r="G328" t="s">
        <v>89</v>
      </c>
      <c r="H328" t="s">
        <v>90</v>
      </c>
      <c r="I328">
        <v>6</v>
      </c>
      <c r="J328" s="6">
        <v>5900</v>
      </c>
      <c r="K328" s="6">
        <v>3700</v>
      </c>
      <c r="L328" s="5">
        <v>0.05</v>
      </c>
      <c r="M328" t="s">
        <v>57</v>
      </c>
      <c r="N328" t="s">
        <v>63</v>
      </c>
      <c r="O328">
        <f t="shared" si="40"/>
        <v>4</v>
      </c>
      <c r="P328">
        <f t="shared" si="41"/>
        <v>2</v>
      </c>
      <c r="Q328" s="6">
        <f t="shared" si="42"/>
        <v>35400</v>
      </c>
      <c r="R328" s="6">
        <f t="shared" si="43"/>
        <v>1770</v>
      </c>
      <c r="S328" s="6">
        <f t="shared" si="44"/>
        <v>33630</v>
      </c>
      <c r="T328" s="6">
        <f t="shared" si="45"/>
        <v>22200</v>
      </c>
      <c r="U328" s="6">
        <f t="shared" si="46"/>
        <v>11430</v>
      </c>
      <c r="V328" s="5">
        <f t="shared" si="47"/>
        <v>0.33987511150758254</v>
      </c>
    </row>
    <row r="329" spans="1:22">
      <c r="A329" t="s">
        <v>613</v>
      </c>
      <c r="B329" s="4">
        <v>45978</v>
      </c>
      <c r="C329" t="s">
        <v>51</v>
      </c>
      <c r="D329" t="s">
        <v>61</v>
      </c>
      <c r="E329" t="s">
        <v>84</v>
      </c>
      <c r="F329" t="s">
        <v>614</v>
      </c>
      <c r="G329" t="s">
        <v>68</v>
      </c>
      <c r="H329" t="s">
        <v>69</v>
      </c>
      <c r="I329">
        <v>1</v>
      </c>
      <c r="J329" s="6">
        <v>115000</v>
      </c>
      <c r="K329" s="6">
        <v>82000</v>
      </c>
      <c r="L329" s="5">
        <v>0.05</v>
      </c>
      <c r="M329" t="s">
        <v>57</v>
      </c>
      <c r="N329" t="s">
        <v>75</v>
      </c>
      <c r="O329">
        <f t="shared" si="40"/>
        <v>11</v>
      </c>
      <c r="P329">
        <f t="shared" si="41"/>
        <v>4</v>
      </c>
      <c r="Q329" s="6">
        <f t="shared" si="42"/>
        <v>115000</v>
      </c>
      <c r="R329" s="6">
        <f t="shared" si="43"/>
        <v>5750</v>
      </c>
      <c r="S329" s="6">
        <f t="shared" si="44"/>
        <v>109250</v>
      </c>
      <c r="T329" s="6">
        <f t="shared" si="45"/>
        <v>82000</v>
      </c>
      <c r="U329" s="6">
        <f t="shared" si="46"/>
        <v>27250</v>
      </c>
      <c r="V329" s="5">
        <f t="shared" si="47"/>
        <v>0.2494279176201373</v>
      </c>
    </row>
    <row r="330" spans="1:22">
      <c r="A330" t="s">
        <v>615</v>
      </c>
      <c r="B330" s="4">
        <v>45876</v>
      </c>
      <c r="C330" t="s">
        <v>60</v>
      </c>
      <c r="D330" t="s">
        <v>106</v>
      </c>
      <c r="E330" t="s">
        <v>66</v>
      </c>
      <c r="F330" t="s">
        <v>466</v>
      </c>
      <c r="G330" t="s">
        <v>68</v>
      </c>
      <c r="H330" t="s">
        <v>104</v>
      </c>
      <c r="I330">
        <v>2</v>
      </c>
      <c r="J330" s="6">
        <v>320000</v>
      </c>
      <c r="K330" s="6">
        <v>244000</v>
      </c>
      <c r="L330" s="5">
        <v>0</v>
      </c>
      <c r="M330" t="s">
        <v>57</v>
      </c>
      <c r="N330" t="s">
        <v>58</v>
      </c>
      <c r="O330">
        <f t="shared" si="40"/>
        <v>8</v>
      </c>
      <c r="P330">
        <f t="shared" si="41"/>
        <v>3</v>
      </c>
      <c r="Q330" s="6">
        <f t="shared" si="42"/>
        <v>640000</v>
      </c>
      <c r="R330" s="6">
        <f t="shared" si="43"/>
        <v>0</v>
      </c>
      <c r="S330" s="6">
        <f t="shared" si="44"/>
        <v>640000</v>
      </c>
      <c r="T330" s="6">
        <f t="shared" si="45"/>
        <v>488000</v>
      </c>
      <c r="U330" s="6">
        <f t="shared" si="46"/>
        <v>152000</v>
      </c>
      <c r="V330" s="5">
        <f t="shared" si="47"/>
        <v>0.23749999999999999</v>
      </c>
    </row>
    <row r="331" spans="1:22">
      <c r="A331" t="s">
        <v>616</v>
      </c>
      <c r="B331" s="4">
        <v>45706</v>
      </c>
      <c r="C331" t="s">
        <v>83</v>
      </c>
      <c r="D331" t="s">
        <v>61</v>
      </c>
      <c r="E331" t="s">
        <v>66</v>
      </c>
      <c r="F331" t="s">
        <v>617</v>
      </c>
      <c r="G331" t="s">
        <v>68</v>
      </c>
      <c r="H331" t="s">
        <v>69</v>
      </c>
      <c r="I331">
        <v>1</v>
      </c>
      <c r="J331" s="6">
        <v>115000</v>
      </c>
      <c r="K331" s="6">
        <v>82000</v>
      </c>
      <c r="L331" s="5">
        <v>0.1</v>
      </c>
      <c r="M331" t="s">
        <v>80</v>
      </c>
      <c r="N331" t="s">
        <v>63</v>
      </c>
      <c r="O331">
        <f t="shared" si="40"/>
        <v>2</v>
      </c>
      <c r="P331">
        <f t="shared" si="41"/>
        <v>1</v>
      </c>
      <c r="Q331" s="6">
        <f t="shared" si="42"/>
        <v>115000</v>
      </c>
      <c r="R331" s="6">
        <f t="shared" si="43"/>
        <v>11500</v>
      </c>
      <c r="S331" s="6">
        <f t="shared" si="44"/>
        <v>0</v>
      </c>
      <c r="T331" s="6">
        <f t="shared" si="45"/>
        <v>0</v>
      </c>
      <c r="U331" s="6">
        <f t="shared" si="46"/>
        <v>0</v>
      </c>
      <c r="V331" s="5">
        <f t="shared" si="47"/>
        <v>0</v>
      </c>
    </row>
    <row r="332" spans="1:22">
      <c r="A332" t="s">
        <v>618</v>
      </c>
      <c r="B332" s="4">
        <v>46002</v>
      </c>
      <c r="C332" t="s">
        <v>92</v>
      </c>
      <c r="D332" t="s">
        <v>61</v>
      </c>
      <c r="E332" t="s">
        <v>66</v>
      </c>
      <c r="F332" t="s">
        <v>619</v>
      </c>
      <c r="G332" t="s">
        <v>68</v>
      </c>
      <c r="H332" t="s">
        <v>104</v>
      </c>
      <c r="I332">
        <v>8</v>
      </c>
      <c r="J332" s="6">
        <v>320000</v>
      </c>
      <c r="K332" s="6">
        <v>244000</v>
      </c>
      <c r="L332" s="5">
        <v>0.1</v>
      </c>
      <c r="M332" t="s">
        <v>80</v>
      </c>
      <c r="N332" t="s">
        <v>81</v>
      </c>
      <c r="O332">
        <f t="shared" si="40"/>
        <v>12</v>
      </c>
      <c r="P332">
        <f t="shared" si="41"/>
        <v>4</v>
      </c>
      <c r="Q332" s="6">
        <f t="shared" si="42"/>
        <v>2560000</v>
      </c>
      <c r="R332" s="6">
        <f t="shared" si="43"/>
        <v>256000</v>
      </c>
      <c r="S332" s="6">
        <f t="shared" si="44"/>
        <v>0</v>
      </c>
      <c r="T332" s="6">
        <f t="shared" si="45"/>
        <v>0</v>
      </c>
      <c r="U332" s="6">
        <f t="shared" si="46"/>
        <v>0</v>
      </c>
      <c r="V332" s="5">
        <f t="shared" si="47"/>
        <v>0</v>
      </c>
    </row>
    <row r="333" spans="1:22">
      <c r="A333" t="s">
        <v>620</v>
      </c>
      <c r="B333" s="4">
        <v>45754</v>
      </c>
      <c r="C333" t="s">
        <v>77</v>
      </c>
      <c r="D333" t="s">
        <v>61</v>
      </c>
      <c r="E333" t="s">
        <v>94</v>
      </c>
      <c r="F333" t="s">
        <v>621</v>
      </c>
      <c r="G333" t="s">
        <v>55</v>
      </c>
      <c r="H333" t="s">
        <v>86</v>
      </c>
      <c r="I333">
        <v>1</v>
      </c>
      <c r="J333" s="6">
        <v>92000</v>
      </c>
      <c r="K333" s="6">
        <v>60000</v>
      </c>
      <c r="L333" s="5">
        <v>0.05</v>
      </c>
      <c r="M333" t="s">
        <v>57</v>
      </c>
      <c r="N333" t="s">
        <v>75</v>
      </c>
      <c r="O333">
        <f t="shared" si="40"/>
        <v>4</v>
      </c>
      <c r="P333">
        <f t="shared" si="41"/>
        <v>2</v>
      </c>
      <c r="Q333" s="6">
        <f t="shared" si="42"/>
        <v>92000</v>
      </c>
      <c r="R333" s="6">
        <f t="shared" si="43"/>
        <v>4600</v>
      </c>
      <c r="S333" s="6">
        <f t="shared" si="44"/>
        <v>87400</v>
      </c>
      <c r="T333" s="6">
        <f t="shared" si="45"/>
        <v>60000</v>
      </c>
      <c r="U333" s="6">
        <f t="shared" si="46"/>
        <v>27400</v>
      </c>
      <c r="V333" s="5">
        <f t="shared" si="47"/>
        <v>0.31350114416475972</v>
      </c>
    </row>
    <row r="334" spans="1:22">
      <c r="A334" t="s">
        <v>622</v>
      </c>
      <c r="B334" s="4">
        <v>45869</v>
      </c>
      <c r="C334" t="s">
        <v>111</v>
      </c>
      <c r="D334" t="s">
        <v>61</v>
      </c>
      <c r="E334" t="s">
        <v>73</v>
      </c>
      <c r="F334" t="s">
        <v>623</v>
      </c>
      <c r="G334" t="s">
        <v>55</v>
      </c>
      <c r="H334" t="s">
        <v>86</v>
      </c>
      <c r="I334">
        <v>5</v>
      </c>
      <c r="J334" s="6">
        <v>92000</v>
      </c>
      <c r="K334" s="6">
        <v>60000</v>
      </c>
      <c r="L334" s="5">
        <v>0.05</v>
      </c>
      <c r="M334" t="s">
        <v>57</v>
      </c>
      <c r="N334" t="s">
        <v>70</v>
      </c>
      <c r="O334">
        <f t="shared" si="40"/>
        <v>7</v>
      </c>
      <c r="P334">
        <f t="shared" si="41"/>
        <v>3</v>
      </c>
      <c r="Q334" s="6">
        <f t="shared" si="42"/>
        <v>460000</v>
      </c>
      <c r="R334" s="6">
        <f t="shared" si="43"/>
        <v>23000</v>
      </c>
      <c r="S334" s="6">
        <f t="shared" si="44"/>
        <v>437000</v>
      </c>
      <c r="T334" s="6">
        <f t="shared" si="45"/>
        <v>300000</v>
      </c>
      <c r="U334" s="6">
        <f t="shared" si="46"/>
        <v>137000</v>
      </c>
      <c r="V334" s="5">
        <f t="shared" si="47"/>
        <v>0.31350114416475972</v>
      </c>
    </row>
    <row r="335" spans="1:22">
      <c r="A335" t="s">
        <v>624</v>
      </c>
      <c r="B335" s="4">
        <v>45997</v>
      </c>
      <c r="C335" t="s">
        <v>102</v>
      </c>
      <c r="D335" t="s">
        <v>65</v>
      </c>
      <c r="E335" t="s">
        <v>94</v>
      </c>
      <c r="F335" t="s">
        <v>625</v>
      </c>
      <c r="G335" t="s">
        <v>55</v>
      </c>
      <c r="H335" t="s">
        <v>56</v>
      </c>
      <c r="I335">
        <v>2</v>
      </c>
      <c r="J335" s="6">
        <v>138000</v>
      </c>
      <c r="K335" s="6">
        <v>99000</v>
      </c>
      <c r="L335" s="5">
        <v>0</v>
      </c>
      <c r="M335" t="s">
        <v>57</v>
      </c>
      <c r="N335" t="s">
        <v>58</v>
      </c>
      <c r="O335">
        <f t="shared" si="40"/>
        <v>12</v>
      </c>
      <c r="P335">
        <f t="shared" si="41"/>
        <v>4</v>
      </c>
      <c r="Q335" s="6">
        <f t="shared" si="42"/>
        <v>276000</v>
      </c>
      <c r="R335" s="6">
        <f t="shared" si="43"/>
        <v>0</v>
      </c>
      <c r="S335" s="6">
        <f t="shared" si="44"/>
        <v>276000</v>
      </c>
      <c r="T335" s="6">
        <f t="shared" si="45"/>
        <v>198000</v>
      </c>
      <c r="U335" s="6">
        <f t="shared" si="46"/>
        <v>78000</v>
      </c>
      <c r="V335" s="5">
        <f t="shared" si="47"/>
        <v>0.28260869565217389</v>
      </c>
    </row>
    <row r="336" spans="1:22">
      <c r="A336" t="s">
        <v>626</v>
      </c>
      <c r="B336" s="4">
        <v>45945</v>
      </c>
      <c r="C336" t="s">
        <v>120</v>
      </c>
      <c r="D336" t="s">
        <v>61</v>
      </c>
      <c r="E336" t="s">
        <v>53</v>
      </c>
      <c r="F336" t="s">
        <v>533</v>
      </c>
      <c r="G336" t="s">
        <v>89</v>
      </c>
      <c r="H336" t="s">
        <v>95</v>
      </c>
      <c r="I336">
        <v>8</v>
      </c>
      <c r="J336" s="6">
        <v>32000</v>
      </c>
      <c r="K336" s="6">
        <v>21000</v>
      </c>
      <c r="L336" s="5">
        <v>0.05</v>
      </c>
      <c r="M336" t="s">
        <v>57</v>
      </c>
      <c r="N336" t="s">
        <v>58</v>
      </c>
      <c r="O336">
        <f t="shared" si="40"/>
        <v>10</v>
      </c>
      <c r="P336">
        <f t="shared" si="41"/>
        <v>4</v>
      </c>
      <c r="Q336" s="6">
        <f t="shared" si="42"/>
        <v>256000</v>
      </c>
      <c r="R336" s="6">
        <f t="shared" si="43"/>
        <v>12800</v>
      </c>
      <c r="S336" s="6">
        <f t="shared" si="44"/>
        <v>243200</v>
      </c>
      <c r="T336" s="6">
        <f t="shared" si="45"/>
        <v>168000</v>
      </c>
      <c r="U336" s="6">
        <f t="shared" si="46"/>
        <v>75200</v>
      </c>
      <c r="V336" s="5">
        <f t="shared" si="47"/>
        <v>0.30921052631578949</v>
      </c>
    </row>
    <row r="337" spans="1:22">
      <c r="A337" t="s">
        <v>627</v>
      </c>
      <c r="B337" s="4">
        <v>45996</v>
      </c>
      <c r="C337" t="s">
        <v>60</v>
      </c>
      <c r="D337" t="s">
        <v>93</v>
      </c>
      <c r="E337" t="s">
        <v>53</v>
      </c>
      <c r="F337" t="s">
        <v>380</v>
      </c>
      <c r="G337" t="s">
        <v>68</v>
      </c>
      <c r="H337" t="s">
        <v>69</v>
      </c>
      <c r="I337">
        <v>6</v>
      </c>
      <c r="J337" s="6">
        <v>115000</v>
      </c>
      <c r="K337" s="6">
        <v>82000</v>
      </c>
      <c r="L337" s="5">
        <v>0.08</v>
      </c>
      <c r="M337" t="s">
        <v>57</v>
      </c>
      <c r="N337" t="s">
        <v>81</v>
      </c>
      <c r="O337">
        <f t="shared" si="40"/>
        <v>12</v>
      </c>
      <c r="P337">
        <f t="shared" si="41"/>
        <v>4</v>
      </c>
      <c r="Q337" s="6">
        <f t="shared" si="42"/>
        <v>690000</v>
      </c>
      <c r="R337" s="6">
        <f t="shared" si="43"/>
        <v>55200</v>
      </c>
      <c r="S337" s="6">
        <f t="shared" si="44"/>
        <v>634800</v>
      </c>
      <c r="T337" s="6">
        <f t="shared" si="45"/>
        <v>492000</v>
      </c>
      <c r="U337" s="6">
        <f t="shared" si="46"/>
        <v>142800</v>
      </c>
      <c r="V337" s="5">
        <f t="shared" si="47"/>
        <v>0.22495274102079396</v>
      </c>
    </row>
    <row r="338" spans="1:22">
      <c r="A338" t="s">
        <v>628</v>
      </c>
      <c r="B338" s="4">
        <v>45855</v>
      </c>
      <c r="C338" t="s">
        <v>77</v>
      </c>
      <c r="D338" t="s">
        <v>106</v>
      </c>
      <c r="E338" t="s">
        <v>94</v>
      </c>
      <c r="F338" t="s">
        <v>289</v>
      </c>
      <c r="G338" t="s">
        <v>55</v>
      </c>
      <c r="H338" t="s">
        <v>115</v>
      </c>
      <c r="I338">
        <v>6</v>
      </c>
      <c r="J338" s="6">
        <v>105000</v>
      </c>
      <c r="K338" s="6">
        <v>76000</v>
      </c>
      <c r="L338" s="5">
        <v>0.1</v>
      </c>
      <c r="M338" t="s">
        <v>57</v>
      </c>
      <c r="N338" t="s">
        <v>63</v>
      </c>
      <c r="O338">
        <f t="shared" si="40"/>
        <v>7</v>
      </c>
      <c r="P338">
        <f t="shared" si="41"/>
        <v>3</v>
      </c>
      <c r="Q338" s="6">
        <f t="shared" si="42"/>
        <v>630000</v>
      </c>
      <c r="R338" s="6">
        <f t="shared" si="43"/>
        <v>63000</v>
      </c>
      <c r="S338" s="6">
        <f t="shared" si="44"/>
        <v>567000</v>
      </c>
      <c r="T338" s="6">
        <f t="shared" si="45"/>
        <v>456000</v>
      </c>
      <c r="U338" s="6">
        <f t="shared" si="46"/>
        <v>111000</v>
      </c>
      <c r="V338" s="5">
        <f t="shared" si="47"/>
        <v>0.19576719576719576</v>
      </c>
    </row>
    <row r="339" spans="1:22">
      <c r="A339" t="s">
        <v>629</v>
      </c>
      <c r="B339" s="4">
        <v>45865</v>
      </c>
      <c r="C339" t="s">
        <v>77</v>
      </c>
      <c r="D339" t="s">
        <v>61</v>
      </c>
      <c r="E339" t="s">
        <v>94</v>
      </c>
      <c r="F339" t="s">
        <v>461</v>
      </c>
      <c r="G339" t="s">
        <v>55</v>
      </c>
      <c r="H339" t="s">
        <v>86</v>
      </c>
      <c r="I339">
        <v>5</v>
      </c>
      <c r="J339" s="6">
        <v>92000</v>
      </c>
      <c r="K339" s="6">
        <v>60000</v>
      </c>
      <c r="L339" s="5">
        <v>0.03</v>
      </c>
      <c r="M339" t="s">
        <v>80</v>
      </c>
      <c r="N339" t="s">
        <v>63</v>
      </c>
      <c r="O339">
        <f t="shared" si="40"/>
        <v>7</v>
      </c>
      <c r="P339">
        <f t="shared" si="41"/>
        <v>3</v>
      </c>
      <c r="Q339" s="6">
        <f t="shared" si="42"/>
        <v>460000</v>
      </c>
      <c r="R339" s="6">
        <f t="shared" si="43"/>
        <v>13800</v>
      </c>
      <c r="S339" s="6">
        <f t="shared" si="44"/>
        <v>0</v>
      </c>
      <c r="T339" s="6">
        <f t="shared" si="45"/>
        <v>0</v>
      </c>
      <c r="U339" s="6">
        <f t="shared" si="46"/>
        <v>0</v>
      </c>
      <c r="V339" s="5">
        <f t="shared" si="47"/>
        <v>0</v>
      </c>
    </row>
    <row r="340" spans="1:22">
      <c r="A340" t="s">
        <v>630</v>
      </c>
      <c r="B340" s="4">
        <v>45807</v>
      </c>
      <c r="C340" t="s">
        <v>77</v>
      </c>
      <c r="D340" t="s">
        <v>106</v>
      </c>
      <c r="E340" t="s">
        <v>66</v>
      </c>
      <c r="F340" t="s">
        <v>524</v>
      </c>
      <c r="G340" t="s">
        <v>55</v>
      </c>
      <c r="H340" t="s">
        <v>115</v>
      </c>
      <c r="I340">
        <v>6</v>
      </c>
      <c r="J340" s="6">
        <v>105000</v>
      </c>
      <c r="K340" s="6">
        <v>76000</v>
      </c>
      <c r="L340" s="5">
        <v>0.1</v>
      </c>
      <c r="M340" t="s">
        <v>109</v>
      </c>
      <c r="N340" t="s">
        <v>75</v>
      </c>
      <c r="O340">
        <f t="shared" si="40"/>
        <v>5</v>
      </c>
      <c r="P340">
        <f t="shared" si="41"/>
        <v>2</v>
      </c>
      <c r="Q340" s="6">
        <f t="shared" si="42"/>
        <v>630000</v>
      </c>
      <c r="R340" s="6">
        <f t="shared" si="43"/>
        <v>63000</v>
      </c>
      <c r="S340" s="6">
        <f t="shared" si="44"/>
        <v>0</v>
      </c>
      <c r="T340" s="6">
        <f t="shared" si="45"/>
        <v>0</v>
      </c>
      <c r="U340" s="6">
        <f t="shared" si="46"/>
        <v>0</v>
      </c>
      <c r="V340" s="5">
        <f t="shared" si="47"/>
        <v>0</v>
      </c>
    </row>
    <row r="341" spans="1:22">
      <c r="A341" t="s">
        <v>631</v>
      </c>
      <c r="B341" s="4">
        <v>45779</v>
      </c>
      <c r="C341" t="s">
        <v>83</v>
      </c>
      <c r="D341" t="s">
        <v>72</v>
      </c>
      <c r="E341" t="s">
        <v>94</v>
      </c>
      <c r="F341" t="s">
        <v>131</v>
      </c>
      <c r="G341" t="s">
        <v>89</v>
      </c>
      <c r="H341" t="s">
        <v>95</v>
      </c>
      <c r="I341">
        <v>4</v>
      </c>
      <c r="J341" s="6">
        <v>32000</v>
      </c>
      <c r="K341" s="6">
        <v>21000</v>
      </c>
      <c r="L341" s="5">
        <v>0.03</v>
      </c>
      <c r="M341" t="s">
        <v>57</v>
      </c>
      <c r="N341" t="s">
        <v>63</v>
      </c>
      <c r="O341">
        <f t="shared" si="40"/>
        <v>5</v>
      </c>
      <c r="P341">
        <f t="shared" si="41"/>
        <v>2</v>
      </c>
      <c r="Q341" s="6">
        <f t="shared" si="42"/>
        <v>128000</v>
      </c>
      <c r="R341" s="6">
        <f t="shared" si="43"/>
        <v>3840</v>
      </c>
      <c r="S341" s="6">
        <f t="shared" si="44"/>
        <v>124160</v>
      </c>
      <c r="T341" s="6">
        <f t="shared" si="45"/>
        <v>84000</v>
      </c>
      <c r="U341" s="6">
        <f t="shared" si="46"/>
        <v>40160</v>
      </c>
      <c r="V341" s="5">
        <f t="shared" si="47"/>
        <v>0.3234536082474227</v>
      </c>
    </row>
    <row r="342" spans="1:22">
      <c r="A342" t="s">
        <v>632</v>
      </c>
      <c r="B342" s="4">
        <v>45978</v>
      </c>
      <c r="C342" t="s">
        <v>77</v>
      </c>
      <c r="D342" t="s">
        <v>61</v>
      </c>
      <c r="E342" t="s">
        <v>94</v>
      </c>
      <c r="F342" t="s">
        <v>463</v>
      </c>
      <c r="G342" t="s">
        <v>55</v>
      </c>
      <c r="H342" t="s">
        <v>56</v>
      </c>
      <c r="I342">
        <v>2</v>
      </c>
      <c r="J342" s="6">
        <v>138000</v>
      </c>
      <c r="K342" s="6">
        <v>99000</v>
      </c>
      <c r="L342" s="5">
        <v>0.05</v>
      </c>
      <c r="M342" t="s">
        <v>57</v>
      </c>
      <c r="N342" t="s">
        <v>75</v>
      </c>
      <c r="O342">
        <f t="shared" si="40"/>
        <v>11</v>
      </c>
      <c r="P342">
        <f t="shared" si="41"/>
        <v>4</v>
      </c>
      <c r="Q342" s="6">
        <f t="shared" si="42"/>
        <v>276000</v>
      </c>
      <c r="R342" s="6">
        <f t="shared" si="43"/>
        <v>13800</v>
      </c>
      <c r="S342" s="6">
        <f t="shared" si="44"/>
        <v>262200</v>
      </c>
      <c r="T342" s="6">
        <f t="shared" si="45"/>
        <v>198000</v>
      </c>
      <c r="U342" s="6">
        <f t="shared" si="46"/>
        <v>64200</v>
      </c>
      <c r="V342" s="5">
        <f t="shared" si="47"/>
        <v>0.24485125858123569</v>
      </c>
    </row>
    <row r="343" spans="1:22">
      <c r="A343" t="s">
        <v>633</v>
      </c>
      <c r="B343" s="4">
        <v>45688</v>
      </c>
      <c r="C343" t="s">
        <v>120</v>
      </c>
      <c r="D343" t="s">
        <v>61</v>
      </c>
      <c r="E343" t="s">
        <v>73</v>
      </c>
      <c r="F343" t="s">
        <v>289</v>
      </c>
      <c r="G343" t="s">
        <v>55</v>
      </c>
      <c r="H343" t="s">
        <v>115</v>
      </c>
      <c r="I343">
        <v>7</v>
      </c>
      <c r="J343" s="6">
        <v>105000</v>
      </c>
      <c r="K343" s="6">
        <v>76000</v>
      </c>
      <c r="L343" s="5">
        <v>0</v>
      </c>
      <c r="M343" t="s">
        <v>109</v>
      </c>
      <c r="N343" t="s">
        <v>70</v>
      </c>
      <c r="O343">
        <f t="shared" si="40"/>
        <v>1</v>
      </c>
      <c r="P343">
        <f t="shared" si="41"/>
        <v>1</v>
      </c>
      <c r="Q343" s="6">
        <f t="shared" si="42"/>
        <v>735000</v>
      </c>
      <c r="R343" s="6">
        <f t="shared" si="43"/>
        <v>0</v>
      </c>
      <c r="S343" s="6">
        <f t="shared" si="44"/>
        <v>0</v>
      </c>
      <c r="T343" s="6">
        <f t="shared" si="45"/>
        <v>0</v>
      </c>
      <c r="U343" s="6">
        <f t="shared" si="46"/>
        <v>0</v>
      </c>
      <c r="V343" s="5">
        <f t="shared" si="47"/>
        <v>0</v>
      </c>
    </row>
    <row r="344" spans="1:22">
      <c r="A344" t="s">
        <v>634</v>
      </c>
      <c r="B344" s="4">
        <v>45819</v>
      </c>
      <c r="C344" t="s">
        <v>60</v>
      </c>
      <c r="D344" t="s">
        <v>72</v>
      </c>
      <c r="E344" t="s">
        <v>73</v>
      </c>
      <c r="F344" t="s">
        <v>204</v>
      </c>
      <c r="G344" t="s">
        <v>68</v>
      </c>
      <c r="H344" t="s">
        <v>104</v>
      </c>
      <c r="I344">
        <v>8</v>
      </c>
      <c r="J344" s="6">
        <v>320000</v>
      </c>
      <c r="K344" s="6">
        <v>244000</v>
      </c>
      <c r="L344" s="5">
        <v>0.03</v>
      </c>
      <c r="M344" t="s">
        <v>80</v>
      </c>
      <c r="N344" t="s">
        <v>81</v>
      </c>
      <c r="O344">
        <f t="shared" si="40"/>
        <v>6</v>
      </c>
      <c r="P344">
        <f t="shared" si="41"/>
        <v>2</v>
      </c>
      <c r="Q344" s="6">
        <f t="shared" si="42"/>
        <v>2560000</v>
      </c>
      <c r="R344" s="6">
        <f t="shared" si="43"/>
        <v>76800</v>
      </c>
      <c r="S344" s="6">
        <f t="shared" si="44"/>
        <v>0</v>
      </c>
      <c r="T344" s="6">
        <f t="shared" si="45"/>
        <v>0</v>
      </c>
      <c r="U344" s="6">
        <f t="shared" si="46"/>
        <v>0</v>
      </c>
      <c r="V344" s="5">
        <f t="shared" si="47"/>
        <v>0</v>
      </c>
    </row>
    <row r="345" spans="1:22">
      <c r="A345" t="s">
        <v>635</v>
      </c>
      <c r="B345" s="4">
        <v>45902</v>
      </c>
      <c r="C345" t="s">
        <v>51</v>
      </c>
      <c r="D345" t="s">
        <v>72</v>
      </c>
      <c r="E345" t="s">
        <v>66</v>
      </c>
      <c r="F345" t="s">
        <v>636</v>
      </c>
      <c r="G345" t="s">
        <v>89</v>
      </c>
      <c r="H345" t="s">
        <v>95</v>
      </c>
      <c r="I345">
        <v>6</v>
      </c>
      <c r="J345" s="6">
        <v>32000</v>
      </c>
      <c r="K345" s="6">
        <v>21000</v>
      </c>
      <c r="L345" s="5">
        <v>0.08</v>
      </c>
      <c r="M345" t="s">
        <v>57</v>
      </c>
      <c r="N345" t="s">
        <v>75</v>
      </c>
      <c r="O345">
        <f t="shared" si="40"/>
        <v>9</v>
      </c>
      <c r="P345">
        <f t="shared" si="41"/>
        <v>3</v>
      </c>
      <c r="Q345" s="6">
        <f t="shared" si="42"/>
        <v>192000</v>
      </c>
      <c r="R345" s="6">
        <f t="shared" si="43"/>
        <v>15360</v>
      </c>
      <c r="S345" s="6">
        <f t="shared" si="44"/>
        <v>176640</v>
      </c>
      <c r="T345" s="6">
        <f t="shared" si="45"/>
        <v>126000</v>
      </c>
      <c r="U345" s="6">
        <f t="shared" si="46"/>
        <v>50640</v>
      </c>
      <c r="V345" s="5">
        <f t="shared" si="47"/>
        <v>0.28668478260869568</v>
      </c>
    </row>
    <row r="346" spans="1:22">
      <c r="A346" t="s">
        <v>637</v>
      </c>
      <c r="B346" s="4">
        <v>45859</v>
      </c>
      <c r="C346" t="s">
        <v>102</v>
      </c>
      <c r="D346" t="s">
        <v>61</v>
      </c>
      <c r="E346" t="s">
        <v>53</v>
      </c>
      <c r="F346" t="s">
        <v>638</v>
      </c>
      <c r="G346" t="s">
        <v>68</v>
      </c>
      <c r="H346" t="s">
        <v>79</v>
      </c>
      <c r="I346">
        <v>2</v>
      </c>
      <c r="J346" s="6">
        <v>19000</v>
      </c>
      <c r="K346" s="6">
        <v>11500</v>
      </c>
      <c r="L346" s="5">
        <v>0.03</v>
      </c>
      <c r="M346" t="s">
        <v>80</v>
      </c>
      <c r="N346" t="s">
        <v>58</v>
      </c>
      <c r="O346">
        <f t="shared" si="40"/>
        <v>7</v>
      </c>
      <c r="P346">
        <f t="shared" si="41"/>
        <v>3</v>
      </c>
      <c r="Q346" s="6">
        <f t="shared" si="42"/>
        <v>38000</v>
      </c>
      <c r="R346" s="6">
        <f t="shared" si="43"/>
        <v>1140</v>
      </c>
      <c r="S346" s="6">
        <f t="shared" si="44"/>
        <v>0</v>
      </c>
      <c r="T346" s="6">
        <f t="shared" si="45"/>
        <v>0</v>
      </c>
      <c r="U346" s="6">
        <f t="shared" si="46"/>
        <v>0</v>
      </c>
      <c r="V346" s="5">
        <f t="shared" si="47"/>
        <v>0</v>
      </c>
    </row>
    <row r="347" spans="1:22">
      <c r="A347" t="s">
        <v>639</v>
      </c>
      <c r="B347" s="4">
        <v>45856</v>
      </c>
      <c r="C347" t="s">
        <v>111</v>
      </c>
      <c r="D347" t="s">
        <v>61</v>
      </c>
      <c r="E347" t="s">
        <v>66</v>
      </c>
      <c r="F347" t="s">
        <v>337</v>
      </c>
      <c r="G347" t="s">
        <v>89</v>
      </c>
      <c r="H347" t="s">
        <v>98</v>
      </c>
      <c r="I347">
        <v>4</v>
      </c>
      <c r="J347" s="6">
        <v>16500</v>
      </c>
      <c r="K347" s="6">
        <v>10000</v>
      </c>
      <c r="L347" s="5">
        <v>0.12</v>
      </c>
      <c r="M347" t="s">
        <v>57</v>
      </c>
      <c r="N347" t="s">
        <v>75</v>
      </c>
      <c r="O347">
        <f t="shared" si="40"/>
        <v>7</v>
      </c>
      <c r="P347">
        <f t="shared" si="41"/>
        <v>3</v>
      </c>
      <c r="Q347" s="6">
        <f t="shared" si="42"/>
        <v>66000</v>
      </c>
      <c r="R347" s="6">
        <f t="shared" si="43"/>
        <v>7920</v>
      </c>
      <c r="S347" s="6">
        <f t="shared" si="44"/>
        <v>58080</v>
      </c>
      <c r="T347" s="6">
        <f t="shared" si="45"/>
        <v>40000</v>
      </c>
      <c r="U347" s="6">
        <f t="shared" si="46"/>
        <v>18080</v>
      </c>
      <c r="V347" s="5">
        <f t="shared" si="47"/>
        <v>0.31129476584022037</v>
      </c>
    </row>
    <row r="348" spans="1:22">
      <c r="A348" t="s">
        <v>640</v>
      </c>
      <c r="B348" s="4">
        <v>45987</v>
      </c>
      <c r="C348" t="s">
        <v>111</v>
      </c>
      <c r="D348" t="s">
        <v>61</v>
      </c>
      <c r="E348" t="s">
        <v>94</v>
      </c>
      <c r="F348" t="s">
        <v>617</v>
      </c>
      <c r="G348" t="s">
        <v>55</v>
      </c>
      <c r="H348" t="s">
        <v>56</v>
      </c>
      <c r="I348">
        <v>4</v>
      </c>
      <c r="J348" s="6">
        <v>138000</v>
      </c>
      <c r="K348" s="6">
        <v>99000</v>
      </c>
      <c r="L348" s="5">
        <v>0.12</v>
      </c>
      <c r="M348" t="s">
        <v>57</v>
      </c>
      <c r="N348" t="s">
        <v>63</v>
      </c>
      <c r="O348">
        <f t="shared" si="40"/>
        <v>11</v>
      </c>
      <c r="P348">
        <f t="shared" si="41"/>
        <v>4</v>
      </c>
      <c r="Q348" s="6">
        <f t="shared" si="42"/>
        <v>552000</v>
      </c>
      <c r="R348" s="6">
        <f t="shared" si="43"/>
        <v>66240</v>
      </c>
      <c r="S348" s="6">
        <f t="shared" si="44"/>
        <v>485760</v>
      </c>
      <c r="T348" s="6">
        <f t="shared" si="45"/>
        <v>396000</v>
      </c>
      <c r="U348" s="6">
        <f t="shared" si="46"/>
        <v>89760</v>
      </c>
      <c r="V348" s="5">
        <f t="shared" si="47"/>
        <v>0.18478260869565216</v>
      </c>
    </row>
    <row r="349" spans="1:22">
      <c r="A349" t="s">
        <v>641</v>
      </c>
      <c r="B349" s="4">
        <v>45729</v>
      </c>
      <c r="C349" t="s">
        <v>102</v>
      </c>
      <c r="D349" t="s">
        <v>61</v>
      </c>
      <c r="E349" t="s">
        <v>73</v>
      </c>
      <c r="F349" t="s">
        <v>195</v>
      </c>
      <c r="G349" t="s">
        <v>55</v>
      </c>
      <c r="H349" t="s">
        <v>56</v>
      </c>
      <c r="I349">
        <v>3</v>
      </c>
      <c r="J349" s="6">
        <v>138000</v>
      </c>
      <c r="K349" s="6">
        <v>99000</v>
      </c>
      <c r="L349" s="5">
        <v>0</v>
      </c>
      <c r="M349" t="s">
        <v>57</v>
      </c>
      <c r="N349" t="s">
        <v>81</v>
      </c>
      <c r="O349">
        <f t="shared" si="40"/>
        <v>3</v>
      </c>
      <c r="P349">
        <f t="shared" si="41"/>
        <v>1</v>
      </c>
      <c r="Q349" s="6">
        <f t="shared" si="42"/>
        <v>414000</v>
      </c>
      <c r="R349" s="6">
        <f t="shared" si="43"/>
        <v>0</v>
      </c>
      <c r="S349" s="6">
        <f t="shared" si="44"/>
        <v>414000</v>
      </c>
      <c r="T349" s="6">
        <f t="shared" si="45"/>
        <v>297000</v>
      </c>
      <c r="U349" s="6">
        <f t="shared" si="46"/>
        <v>117000</v>
      </c>
      <c r="V349" s="5">
        <f t="shared" si="47"/>
        <v>0.28260869565217389</v>
      </c>
    </row>
    <row r="350" spans="1:22">
      <c r="A350" t="s">
        <v>642</v>
      </c>
      <c r="B350" s="4">
        <v>45753</v>
      </c>
      <c r="C350" t="s">
        <v>83</v>
      </c>
      <c r="D350" t="s">
        <v>52</v>
      </c>
      <c r="E350" t="s">
        <v>73</v>
      </c>
      <c r="F350" t="s">
        <v>447</v>
      </c>
      <c r="G350" t="s">
        <v>89</v>
      </c>
      <c r="H350" t="s">
        <v>95</v>
      </c>
      <c r="I350">
        <v>4</v>
      </c>
      <c r="J350" s="6">
        <v>32000</v>
      </c>
      <c r="K350" s="6">
        <v>21000</v>
      </c>
      <c r="L350" s="5">
        <v>0.03</v>
      </c>
      <c r="M350" t="s">
        <v>57</v>
      </c>
      <c r="N350" t="s">
        <v>81</v>
      </c>
      <c r="O350">
        <f t="shared" si="40"/>
        <v>4</v>
      </c>
      <c r="P350">
        <f t="shared" si="41"/>
        <v>2</v>
      </c>
      <c r="Q350" s="6">
        <f t="shared" si="42"/>
        <v>128000</v>
      </c>
      <c r="R350" s="6">
        <f t="shared" si="43"/>
        <v>3840</v>
      </c>
      <c r="S350" s="6">
        <f t="shared" si="44"/>
        <v>124160</v>
      </c>
      <c r="T350" s="6">
        <f t="shared" si="45"/>
        <v>84000</v>
      </c>
      <c r="U350" s="6">
        <f t="shared" si="46"/>
        <v>40160</v>
      </c>
      <c r="V350" s="5">
        <f t="shared" si="47"/>
        <v>0.3234536082474227</v>
      </c>
    </row>
    <row r="351" spans="1:22">
      <c r="A351" t="s">
        <v>643</v>
      </c>
      <c r="B351" s="4">
        <v>45784</v>
      </c>
      <c r="C351" t="s">
        <v>77</v>
      </c>
      <c r="D351" t="s">
        <v>65</v>
      </c>
      <c r="E351" t="s">
        <v>73</v>
      </c>
      <c r="F351" t="s">
        <v>502</v>
      </c>
      <c r="G351" t="s">
        <v>68</v>
      </c>
      <c r="H351" t="s">
        <v>79</v>
      </c>
      <c r="I351">
        <v>7</v>
      </c>
      <c r="J351" s="6">
        <v>19000</v>
      </c>
      <c r="K351" s="6">
        <v>11500</v>
      </c>
      <c r="L351" s="5">
        <v>0.05</v>
      </c>
      <c r="M351" t="s">
        <v>57</v>
      </c>
      <c r="N351" t="s">
        <v>70</v>
      </c>
      <c r="O351">
        <f t="shared" si="40"/>
        <v>5</v>
      </c>
      <c r="P351">
        <f t="shared" si="41"/>
        <v>2</v>
      </c>
      <c r="Q351" s="6">
        <f t="shared" si="42"/>
        <v>133000</v>
      </c>
      <c r="R351" s="6">
        <f t="shared" si="43"/>
        <v>6650</v>
      </c>
      <c r="S351" s="6">
        <f t="shared" si="44"/>
        <v>126350</v>
      </c>
      <c r="T351" s="6">
        <f t="shared" si="45"/>
        <v>80500</v>
      </c>
      <c r="U351" s="6">
        <f t="shared" si="46"/>
        <v>45850</v>
      </c>
      <c r="V351" s="5">
        <f t="shared" si="47"/>
        <v>0.36288088642659277</v>
      </c>
    </row>
    <row r="352" spans="1:22">
      <c r="A352" t="s">
        <v>644</v>
      </c>
      <c r="B352" s="4">
        <v>45920</v>
      </c>
      <c r="C352" t="s">
        <v>120</v>
      </c>
      <c r="D352" t="s">
        <v>93</v>
      </c>
      <c r="E352" t="s">
        <v>53</v>
      </c>
      <c r="F352" t="s">
        <v>645</v>
      </c>
      <c r="G352" t="s">
        <v>68</v>
      </c>
      <c r="H352" t="s">
        <v>108</v>
      </c>
      <c r="I352">
        <v>7</v>
      </c>
      <c r="J352" s="6">
        <v>175000</v>
      </c>
      <c r="K352" s="6">
        <v>129000</v>
      </c>
      <c r="L352" s="5">
        <v>0.08</v>
      </c>
      <c r="M352" t="s">
        <v>57</v>
      </c>
      <c r="N352" t="s">
        <v>70</v>
      </c>
      <c r="O352">
        <f t="shared" si="40"/>
        <v>9</v>
      </c>
      <c r="P352">
        <f t="shared" si="41"/>
        <v>3</v>
      </c>
      <c r="Q352" s="6">
        <f t="shared" si="42"/>
        <v>1225000</v>
      </c>
      <c r="R352" s="6">
        <f t="shared" si="43"/>
        <v>98000</v>
      </c>
      <c r="S352" s="6">
        <f t="shared" si="44"/>
        <v>1127000</v>
      </c>
      <c r="T352" s="6">
        <f t="shared" si="45"/>
        <v>903000</v>
      </c>
      <c r="U352" s="6">
        <f t="shared" si="46"/>
        <v>224000</v>
      </c>
      <c r="V352" s="5">
        <f t="shared" si="47"/>
        <v>0.19875776397515527</v>
      </c>
    </row>
    <row r="353" spans="1:22">
      <c r="A353" t="s">
        <v>646</v>
      </c>
      <c r="B353" s="4">
        <v>45782</v>
      </c>
      <c r="C353" t="s">
        <v>77</v>
      </c>
      <c r="D353" t="s">
        <v>52</v>
      </c>
      <c r="E353" t="s">
        <v>73</v>
      </c>
      <c r="F353" t="s">
        <v>183</v>
      </c>
      <c r="G353" t="s">
        <v>55</v>
      </c>
      <c r="H353" t="s">
        <v>86</v>
      </c>
      <c r="I353">
        <v>5</v>
      </c>
      <c r="J353" s="6">
        <v>92000</v>
      </c>
      <c r="K353" s="6">
        <v>60000</v>
      </c>
      <c r="L353" s="5">
        <v>0.1</v>
      </c>
      <c r="M353" t="s">
        <v>80</v>
      </c>
      <c r="N353" t="s">
        <v>58</v>
      </c>
      <c r="O353">
        <f t="shared" si="40"/>
        <v>5</v>
      </c>
      <c r="P353">
        <f t="shared" si="41"/>
        <v>2</v>
      </c>
      <c r="Q353" s="6">
        <f t="shared" si="42"/>
        <v>460000</v>
      </c>
      <c r="R353" s="6">
        <f t="shared" si="43"/>
        <v>46000</v>
      </c>
      <c r="S353" s="6">
        <f t="shared" si="44"/>
        <v>0</v>
      </c>
      <c r="T353" s="6">
        <f t="shared" si="45"/>
        <v>0</v>
      </c>
      <c r="U353" s="6">
        <f t="shared" si="46"/>
        <v>0</v>
      </c>
      <c r="V353" s="5">
        <f t="shared" si="47"/>
        <v>0</v>
      </c>
    </row>
    <row r="354" spans="1:22">
      <c r="A354" t="s">
        <v>647</v>
      </c>
      <c r="B354" s="4">
        <v>45830</v>
      </c>
      <c r="C354" t="s">
        <v>120</v>
      </c>
      <c r="D354" t="s">
        <v>61</v>
      </c>
      <c r="E354" t="s">
        <v>94</v>
      </c>
      <c r="F354" t="s">
        <v>319</v>
      </c>
      <c r="G354" t="s">
        <v>68</v>
      </c>
      <c r="H354" t="s">
        <v>69</v>
      </c>
      <c r="I354">
        <v>8</v>
      </c>
      <c r="J354" s="6">
        <v>115000</v>
      </c>
      <c r="K354" s="6">
        <v>82000</v>
      </c>
      <c r="L354" s="5">
        <v>0</v>
      </c>
      <c r="M354" t="s">
        <v>57</v>
      </c>
      <c r="N354" t="s">
        <v>81</v>
      </c>
      <c r="O354">
        <f t="shared" si="40"/>
        <v>6</v>
      </c>
      <c r="P354">
        <f t="shared" si="41"/>
        <v>2</v>
      </c>
      <c r="Q354" s="6">
        <f t="shared" si="42"/>
        <v>920000</v>
      </c>
      <c r="R354" s="6">
        <f t="shared" si="43"/>
        <v>0</v>
      </c>
      <c r="S354" s="6">
        <f t="shared" si="44"/>
        <v>920000</v>
      </c>
      <c r="T354" s="6">
        <f t="shared" si="45"/>
        <v>656000</v>
      </c>
      <c r="U354" s="6">
        <f t="shared" si="46"/>
        <v>264000</v>
      </c>
      <c r="V354" s="5">
        <f t="shared" si="47"/>
        <v>0.28695652173913044</v>
      </c>
    </row>
    <row r="355" spans="1:22">
      <c r="A355" t="s">
        <v>648</v>
      </c>
      <c r="B355" s="4">
        <v>45889</v>
      </c>
      <c r="C355" t="s">
        <v>83</v>
      </c>
      <c r="D355" t="s">
        <v>61</v>
      </c>
      <c r="E355" t="s">
        <v>66</v>
      </c>
      <c r="F355" t="s">
        <v>649</v>
      </c>
      <c r="G355" t="s">
        <v>55</v>
      </c>
      <c r="H355" t="s">
        <v>86</v>
      </c>
      <c r="I355">
        <v>2</v>
      </c>
      <c r="J355" s="6">
        <v>92000</v>
      </c>
      <c r="K355" s="6">
        <v>60000</v>
      </c>
      <c r="L355" s="5">
        <v>0.1</v>
      </c>
      <c r="M355" t="s">
        <v>57</v>
      </c>
      <c r="N355" t="s">
        <v>63</v>
      </c>
      <c r="O355">
        <f t="shared" si="40"/>
        <v>8</v>
      </c>
      <c r="P355">
        <f t="shared" si="41"/>
        <v>3</v>
      </c>
      <c r="Q355" s="6">
        <f t="shared" si="42"/>
        <v>184000</v>
      </c>
      <c r="R355" s="6">
        <f t="shared" si="43"/>
        <v>18400</v>
      </c>
      <c r="S355" s="6">
        <f t="shared" si="44"/>
        <v>165600</v>
      </c>
      <c r="T355" s="6">
        <f t="shared" si="45"/>
        <v>120000</v>
      </c>
      <c r="U355" s="6">
        <f t="shared" si="46"/>
        <v>45600</v>
      </c>
      <c r="V355" s="5">
        <f t="shared" si="47"/>
        <v>0.27536231884057971</v>
      </c>
    </row>
    <row r="356" spans="1:22">
      <c r="A356" t="s">
        <v>650</v>
      </c>
      <c r="B356" s="4">
        <v>45976</v>
      </c>
      <c r="C356" t="s">
        <v>111</v>
      </c>
      <c r="D356" t="s">
        <v>72</v>
      </c>
      <c r="E356" t="s">
        <v>84</v>
      </c>
      <c r="F356" t="s">
        <v>651</v>
      </c>
      <c r="G356" t="s">
        <v>89</v>
      </c>
      <c r="H356" t="s">
        <v>98</v>
      </c>
      <c r="I356">
        <v>4</v>
      </c>
      <c r="J356" s="6">
        <v>16500</v>
      </c>
      <c r="K356" s="6">
        <v>10000</v>
      </c>
      <c r="L356" s="5">
        <v>0</v>
      </c>
      <c r="M356" t="s">
        <v>109</v>
      </c>
      <c r="N356" t="s">
        <v>70</v>
      </c>
      <c r="O356">
        <f t="shared" si="40"/>
        <v>11</v>
      </c>
      <c r="P356">
        <f t="shared" si="41"/>
        <v>4</v>
      </c>
      <c r="Q356" s="6">
        <f t="shared" si="42"/>
        <v>66000</v>
      </c>
      <c r="R356" s="6">
        <f t="shared" si="43"/>
        <v>0</v>
      </c>
      <c r="S356" s="6">
        <f t="shared" si="44"/>
        <v>0</v>
      </c>
      <c r="T356" s="6">
        <f t="shared" si="45"/>
        <v>0</v>
      </c>
      <c r="U356" s="6">
        <f t="shared" si="46"/>
        <v>0</v>
      </c>
      <c r="V356" s="5">
        <f t="shared" si="47"/>
        <v>0</v>
      </c>
    </row>
    <row r="357" spans="1:22">
      <c r="A357" t="s">
        <v>652</v>
      </c>
      <c r="B357" s="4">
        <v>45761</v>
      </c>
      <c r="C357" t="s">
        <v>111</v>
      </c>
      <c r="D357" t="s">
        <v>61</v>
      </c>
      <c r="E357" t="s">
        <v>66</v>
      </c>
      <c r="F357" t="s">
        <v>254</v>
      </c>
      <c r="G357" t="s">
        <v>55</v>
      </c>
      <c r="H357" t="s">
        <v>86</v>
      </c>
      <c r="I357">
        <v>6</v>
      </c>
      <c r="J357" s="6">
        <v>92000</v>
      </c>
      <c r="K357" s="6">
        <v>60000</v>
      </c>
      <c r="L357" s="5">
        <v>0.05</v>
      </c>
      <c r="M357" t="s">
        <v>57</v>
      </c>
      <c r="N357" t="s">
        <v>75</v>
      </c>
      <c r="O357">
        <f t="shared" si="40"/>
        <v>4</v>
      </c>
      <c r="P357">
        <f t="shared" si="41"/>
        <v>2</v>
      </c>
      <c r="Q357" s="6">
        <f t="shared" si="42"/>
        <v>552000</v>
      </c>
      <c r="R357" s="6">
        <f t="shared" si="43"/>
        <v>27600</v>
      </c>
      <c r="S357" s="6">
        <f t="shared" si="44"/>
        <v>524400</v>
      </c>
      <c r="T357" s="6">
        <f t="shared" si="45"/>
        <v>360000</v>
      </c>
      <c r="U357" s="6">
        <f t="shared" si="46"/>
        <v>164400</v>
      </c>
      <c r="V357" s="5">
        <f t="shared" si="47"/>
        <v>0.31350114416475972</v>
      </c>
    </row>
    <row r="358" spans="1:22">
      <c r="A358" t="s">
        <v>653</v>
      </c>
      <c r="B358" s="4">
        <v>45866</v>
      </c>
      <c r="C358" t="s">
        <v>111</v>
      </c>
      <c r="D358" t="s">
        <v>72</v>
      </c>
      <c r="E358" t="s">
        <v>53</v>
      </c>
      <c r="F358" t="s">
        <v>232</v>
      </c>
      <c r="G358" t="s">
        <v>68</v>
      </c>
      <c r="H358" t="s">
        <v>108</v>
      </c>
      <c r="I358">
        <v>6</v>
      </c>
      <c r="J358" s="6">
        <v>175000</v>
      </c>
      <c r="K358" s="6">
        <v>129000</v>
      </c>
      <c r="L358" s="5">
        <v>0.05</v>
      </c>
      <c r="M358" t="s">
        <v>57</v>
      </c>
      <c r="N358" t="s">
        <v>75</v>
      </c>
      <c r="O358">
        <f t="shared" si="40"/>
        <v>7</v>
      </c>
      <c r="P358">
        <f t="shared" si="41"/>
        <v>3</v>
      </c>
      <c r="Q358" s="6">
        <f t="shared" si="42"/>
        <v>1050000</v>
      </c>
      <c r="R358" s="6">
        <f t="shared" si="43"/>
        <v>52500</v>
      </c>
      <c r="S358" s="6">
        <f t="shared" si="44"/>
        <v>997500</v>
      </c>
      <c r="T358" s="6">
        <f t="shared" si="45"/>
        <v>774000</v>
      </c>
      <c r="U358" s="6">
        <f t="shared" si="46"/>
        <v>223500</v>
      </c>
      <c r="V358" s="5">
        <f t="shared" si="47"/>
        <v>0.22406015037593985</v>
      </c>
    </row>
    <row r="359" spans="1:22">
      <c r="A359" t="s">
        <v>654</v>
      </c>
      <c r="B359" s="4">
        <v>45725</v>
      </c>
      <c r="C359" t="s">
        <v>83</v>
      </c>
      <c r="D359" t="s">
        <v>106</v>
      </c>
      <c r="E359" t="s">
        <v>66</v>
      </c>
      <c r="F359" t="s">
        <v>137</v>
      </c>
      <c r="G359" t="s">
        <v>68</v>
      </c>
      <c r="H359" t="s">
        <v>69</v>
      </c>
      <c r="I359">
        <v>1</v>
      </c>
      <c r="J359" s="6">
        <v>115000</v>
      </c>
      <c r="K359" s="6">
        <v>82000</v>
      </c>
      <c r="L359" s="5">
        <v>0.05</v>
      </c>
      <c r="M359" t="s">
        <v>57</v>
      </c>
      <c r="N359" t="s">
        <v>63</v>
      </c>
      <c r="O359">
        <f t="shared" si="40"/>
        <v>3</v>
      </c>
      <c r="P359">
        <f t="shared" si="41"/>
        <v>1</v>
      </c>
      <c r="Q359" s="6">
        <f t="shared" si="42"/>
        <v>115000</v>
      </c>
      <c r="R359" s="6">
        <f t="shared" si="43"/>
        <v>5750</v>
      </c>
      <c r="S359" s="6">
        <f t="shared" si="44"/>
        <v>109250</v>
      </c>
      <c r="T359" s="6">
        <f t="shared" si="45"/>
        <v>82000</v>
      </c>
      <c r="U359" s="6">
        <f t="shared" si="46"/>
        <v>27250</v>
      </c>
      <c r="V359" s="5">
        <f t="shared" si="47"/>
        <v>0.2494279176201373</v>
      </c>
    </row>
    <row r="360" spans="1:22">
      <c r="A360" t="s">
        <v>655</v>
      </c>
      <c r="B360" s="4">
        <v>45914</v>
      </c>
      <c r="C360" t="s">
        <v>77</v>
      </c>
      <c r="D360" t="s">
        <v>61</v>
      </c>
      <c r="E360" t="s">
        <v>66</v>
      </c>
      <c r="F360" t="s">
        <v>189</v>
      </c>
      <c r="G360" t="s">
        <v>68</v>
      </c>
      <c r="H360" t="s">
        <v>69</v>
      </c>
      <c r="I360">
        <v>4</v>
      </c>
      <c r="J360" s="6">
        <v>115000</v>
      </c>
      <c r="K360" s="6">
        <v>82000</v>
      </c>
      <c r="L360" s="5">
        <v>0.08</v>
      </c>
      <c r="M360" t="s">
        <v>109</v>
      </c>
      <c r="N360" t="s">
        <v>70</v>
      </c>
      <c r="O360">
        <f t="shared" si="40"/>
        <v>9</v>
      </c>
      <c r="P360">
        <f t="shared" si="41"/>
        <v>3</v>
      </c>
      <c r="Q360" s="6">
        <f t="shared" si="42"/>
        <v>460000</v>
      </c>
      <c r="R360" s="6">
        <f t="shared" si="43"/>
        <v>36800</v>
      </c>
      <c r="S360" s="6">
        <f t="shared" si="44"/>
        <v>0</v>
      </c>
      <c r="T360" s="6">
        <f t="shared" si="45"/>
        <v>0</v>
      </c>
      <c r="U360" s="6">
        <f t="shared" si="46"/>
        <v>0</v>
      </c>
      <c r="V360" s="5">
        <f t="shared" si="47"/>
        <v>0</v>
      </c>
    </row>
    <row r="361" spans="1:22">
      <c r="A361" t="s">
        <v>656</v>
      </c>
      <c r="B361" s="4">
        <v>45728</v>
      </c>
      <c r="C361" t="s">
        <v>111</v>
      </c>
      <c r="D361" t="s">
        <v>61</v>
      </c>
      <c r="E361" t="s">
        <v>84</v>
      </c>
      <c r="F361" t="s">
        <v>508</v>
      </c>
      <c r="G361" t="s">
        <v>68</v>
      </c>
      <c r="H361" t="s">
        <v>79</v>
      </c>
      <c r="I361">
        <v>2</v>
      </c>
      <c r="J361" s="6">
        <v>19000</v>
      </c>
      <c r="K361" s="6">
        <v>11500</v>
      </c>
      <c r="L361" s="5">
        <v>0</v>
      </c>
      <c r="M361" t="s">
        <v>57</v>
      </c>
      <c r="N361" t="s">
        <v>75</v>
      </c>
      <c r="O361">
        <f t="shared" si="40"/>
        <v>3</v>
      </c>
      <c r="P361">
        <f t="shared" si="41"/>
        <v>1</v>
      </c>
      <c r="Q361" s="6">
        <f t="shared" si="42"/>
        <v>38000</v>
      </c>
      <c r="R361" s="6">
        <f t="shared" si="43"/>
        <v>0</v>
      </c>
      <c r="S361" s="6">
        <f t="shared" si="44"/>
        <v>38000</v>
      </c>
      <c r="T361" s="6">
        <f t="shared" si="45"/>
        <v>23000</v>
      </c>
      <c r="U361" s="6">
        <f t="shared" si="46"/>
        <v>15000</v>
      </c>
      <c r="V361" s="5">
        <f t="shared" si="47"/>
        <v>0.39473684210526316</v>
      </c>
    </row>
    <row r="362" spans="1:22">
      <c r="A362" t="s">
        <v>657</v>
      </c>
      <c r="B362" s="4">
        <v>45954</v>
      </c>
      <c r="C362" t="s">
        <v>77</v>
      </c>
      <c r="D362" t="s">
        <v>106</v>
      </c>
      <c r="E362" t="s">
        <v>73</v>
      </c>
      <c r="F362" t="s">
        <v>74</v>
      </c>
      <c r="G362" t="s">
        <v>55</v>
      </c>
      <c r="H362" t="s">
        <v>115</v>
      </c>
      <c r="I362">
        <v>6</v>
      </c>
      <c r="J362" s="6">
        <v>105000</v>
      </c>
      <c r="K362" s="6">
        <v>76000</v>
      </c>
      <c r="L362" s="5">
        <v>0.12</v>
      </c>
      <c r="M362" t="s">
        <v>57</v>
      </c>
      <c r="N362" t="s">
        <v>70</v>
      </c>
      <c r="O362">
        <f t="shared" si="40"/>
        <v>10</v>
      </c>
      <c r="P362">
        <f t="shared" si="41"/>
        <v>4</v>
      </c>
      <c r="Q362" s="6">
        <f t="shared" si="42"/>
        <v>630000</v>
      </c>
      <c r="R362" s="6">
        <f t="shared" si="43"/>
        <v>75600</v>
      </c>
      <c r="S362" s="6">
        <f t="shared" si="44"/>
        <v>554400</v>
      </c>
      <c r="T362" s="6">
        <f t="shared" si="45"/>
        <v>456000</v>
      </c>
      <c r="U362" s="6">
        <f t="shared" si="46"/>
        <v>98400</v>
      </c>
      <c r="V362" s="5">
        <f t="shared" si="47"/>
        <v>0.1774891774891775</v>
      </c>
    </row>
    <row r="363" spans="1:22">
      <c r="A363" t="s">
        <v>658</v>
      </c>
      <c r="B363" s="4">
        <v>46011</v>
      </c>
      <c r="C363" t="s">
        <v>60</v>
      </c>
      <c r="D363" t="s">
        <v>72</v>
      </c>
      <c r="E363" t="s">
        <v>94</v>
      </c>
      <c r="F363" t="s">
        <v>659</v>
      </c>
      <c r="G363" t="s">
        <v>55</v>
      </c>
      <c r="H363" t="s">
        <v>56</v>
      </c>
      <c r="I363">
        <v>5</v>
      </c>
      <c r="J363" s="6">
        <v>138000</v>
      </c>
      <c r="K363" s="6">
        <v>99000</v>
      </c>
      <c r="L363" s="5">
        <v>0.03</v>
      </c>
      <c r="M363" t="s">
        <v>109</v>
      </c>
      <c r="N363" t="s">
        <v>81</v>
      </c>
      <c r="O363">
        <f t="shared" si="40"/>
        <v>12</v>
      </c>
      <c r="P363">
        <f t="shared" si="41"/>
        <v>4</v>
      </c>
      <c r="Q363" s="6">
        <f t="shared" si="42"/>
        <v>690000</v>
      </c>
      <c r="R363" s="6">
        <f t="shared" si="43"/>
        <v>20700</v>
      </c>
      <c r="S363" s="6">
        <f t="shared" si="44"/>
        <v>0</v>
      </c>
      <c r="T363" s="6">
        <f t="shared" si="45"/>
        <v>0</v>
      </c>
      <c r="U363" s="6">
        <f t="shared" si="46"/>
        <v>0</v>
      </c>
      <c r="V363" s="5">
        <f t="shared" si="47"/>
        <v>0</v>
      </c>
    </row>
    <row r="364" spans="1:22">
      <c r="A364" t="s">
        <v>660</v>
      </c>
      <c r="B364" s="4">
        <v>45829</v>
      </c>
      <c r="C364" t="s">
        <v>77</v>
      </c>
      <c r="D364" t="s">
        <v>52</v>
      </c>
      <c r="E364" t="s">
        <v>53</v>
      </c>
      <c r="F364" t="s">
        <v>564</v>
      </c>
      <c r="G364" t="s">
        <v>89</v>
      </c>
      <c r="H364" t="s">
        <v>95</v>
      </c>
      <c r="I364">
        <v>8</v>
      </c>
      <c r="J364" s="6">
        <v>32000</v>
      </c>
      <c r="K364" s="6">
        <v>21000</v>
      </c>
      <c r="L364" s="5">
        <v>0.08</v>
      </c>
      <c r="M364" t="s">
        <v>109</v>
      </c>
      <c r="N364" t="s">
        <v>81</v>
      </c>
      <c r="O364">
        <f t="shared" si="40"/>
        <v>6</v>
      </c>
      <c r="P364">
        <f t="shared" si="41"/>
        <v>2</v>
      </c>
      <c r="Q364" s="6">
        <f t="shared" si="42"/>
        <v>256000</v>
      </c>
      <c r="R364" s="6">
        <f t="shared" si="43"/>
        <v>20480</v>
      </c>
      <c r="S364" s="6">
        <f t="shared" si="44"/>
        <v>0</v>
      </c>
      <c r="T364" s="6">
        <f t="shared" si="45"/>
        <v>0</v>
      </c>
      <c r="U364" s="6">
        <f t="shared" si="46"/>
        <v>0</v>
      </c>
      <c r="V364" s="5">
        <f t="shared" si="47"/>
        <v>0</v>
      </c>
    </row>
    <row r="365" spans="1:22">
      <c r="A365" t="s">
        <v>661</v>
      </c>
      <c r="B365" s="4">
        <v>45788</v>
      </c>
      <c r="C365" t="s">
        <v>111</v>
      </c>
      <c r="D365" t="s">
        <v>93</v>
      </c>
      <c r="E365" t="s">
        <v>66</v>
      </c>
      <c r="F365" t="s">
        <v>293</v>
      </c>
      <c r="G365" t="s">
        <v>68</v>
      </c>
      <c r="H365" t="s">
        <v>104</v>
      </c>
      <c r="I365">
        <v>2</v>
      </c>
      <c r="J365" s="6">
        <v>320000</v>
      </c>
      <c r="K365" s="6">
        <v>244000</v>
      </c>
      <c r="L365" s="5">
        <v>0.05</v>
      </c>
      <c r="M365" t="s">
        <v>57</v>
      </c>
      <c r="N365" t="s">
        <v>70</v>
      </c>
      <c r="O365">
        <f t="shared" si="40"/>
        <v>5</v>
      </c>
      <c r="P365">
        <f t="shared" si="41"/>
        <v>2</v>
      </c>
      <c r="Q365" s="6">
        <f t="shared" si="42"/>
        <v>640000</v>
      </c>
      <c r="R365" s="6">
        <f t="shared" si="43"/>
        <v>32000</v>
      </c>
      <c r="S365" s="6">
        <f t="shared" si="44"/>
        <v>608000</v>
      </c>
      <c r="T365" s="6">
        <f t="shared" si="45"/>
        <v>488000</v>
      </c>
      <c r="U365" s="6">
        <f t="shared" si="46"/>
        <v>120000</v>
      </c>
      <c r="V365" s="5">
        <f t="shared" si="47"/>
        <v>0.19736842105263158</v>
      </c>
    </row>
    <row r="366" spans="1:22">
      <c r="A366" t="s">
        <v>662</v>
      </c>
      <c r="B366" s="4">
        <v>45680</v>
      </c>
      <c r="C366" t="s">
        <v>77</v>
      </c>
      <c r="D366" t="s">
        <v>72</v>
      </c>
      <c r="E366" t="s">
        <v>66</v>
      </c>
      <c r="F366" t="s">
        <v>146</v>
      </c>
      <c r="G366" t="s">
        <v>55</v>
      </c>
      <c r="H366" t="s">
        <v>115</v>
      </c>
      <c r="I366">
        <v>4</v>
      </c>
      <c r="J366" s="6">
        <v>105000</v>
      </c>
      <c r="K366" s="6">
        <v>76000</v>
      </c>
      <c r="L366" s="5">
        <v>0.03</v>
      </c>
      <c r="M366" t="s">
        <v>57</v>
      </c>
      <c r="N366" t="s">
        <v>75</v>
      </c>
      <c r="O366">
        <f t="shared" si="40"/>
        <v>1</v>
      </c>
      <c r="P366">
        <f t="shared" si="41"/>
        <v>1</v>
      </c>
      <c r="Q366" s="6">
        <f t="shared" si="42"/>
        <v>420000</v>
      </c>
      <c r="R366" s="6">
        <f t="shared" si="43"/>
        <v>12600</v>
      </c>
      <c r="S366" s="6">
        <f t="shared" si="44"/>
        <v>407400</v>
      </c>
      <c r="T366" s="6">
        <f t="shared" si="45"/>
        <v>304000</v>
      </c>
      <c r="U366" s="6">
        <f t="shared" si="46"/>
        <v>103400</v>
      </c>
      <c r="V366" s="5">
        <f t="shared" si="47"/>
        <v>0.25380461462935688</v>
      </c>
    </row>
    <row r="367" spans="1:22">
      <c r="A367" t="s">
        <v>663</v>
      </c>
      <c r="B367" s="4">
        <v>45665</v>
      </c>
      <c r="C367" t="s">
        <v>102</v>
      </c>
      <c r="D367" t="s">
        <v>61</v>
      </c>
      <c r="E367" t="s">
        <v>53</v>
      </c>
      <c r="F367" t="s">
        <v>649</v>
      </c>
      <c r="G367" t="s">
        <v>68</v>
      </c>
      <c r="H367" t="s">
        <v>79</v>
      </c>
      <c r="I367">
        <v>8</v>
      </c>
      <c r="J367" s="6">
        <v>19000</v>
      </c>
      <c r="K367" s="6">
        <v>11500</v>
      </c>
      <c r="L367" s="5">
        <v>0.08</v>
      </c>
      <c r="M367" t="s">
        <v>57</v>
      </c>
      <c r="N367" t="s">
        <v>70</v>
      </c>
      <c r="O367">
        <f t="shared" si="40"/>
        <v>1</v>
      </c>
      <c r="P367">
        <f t="shared" si="41"/>
        <v>1</v>
      </c>
      <c r="Q367" s="6">
        <f t="shared" si="42"/>
        <v>152000</v>
      </c>
      <c r="R367" s="6">
        <f t="shared" si="43"/>
        <v>12160</v>
      </c>
      <c r="S367" s="6">
        <f t="shared" si="44"/>
        <v>139840</v>
      </c>
      <c r="T367" s="6">
        <f t="shared" si="45"/>
        <v>92000</v>
      </c>
      <c r="U367" s="6">
        <f t="shared" si="46"/>
        <v>47840</v>
      </c>
      <c r="V367" s="5">
        <f t="shared" si="47"/>
        <v>0.34210526315789475</v>
      </c>
    </row>
    <row r="368" spans="1:22">
      <c r="A368" t="s">
        <v>664</v>
      </c>
      <c r="B368" s="4">
        <v>45915</v>
      </c>
      <c r="C368" t="s">
        <v>77</v>
      </c>
      <c r="D368" t="s">
        <v>61</v>
      </c>
      <c r="E368" t="s">
        <v>73</v>
      </c>
      <c r="F368" t="s">
        <v>131</v>
      </c>
      <c r="G368" t="s">
        <v>55</v>
      </c>
      <c r="H368" t="s">
        <v>115</v>
      </c>
      <c r="I368">
        <v>4</v>
      </c>
      <c r="J368" s="6">
        <v>105000</v>
      </c>
      <c r="K368" s="6">
        <v>76000</v>
      </c>
      <c r="L368" s="5">
        <v>0.08</v>
      </c>
      <c r="M368" t="s">
        <v>57</v>
      </c>
      <c r="N368" t="s">
        <v>70</v>
      </c>
      <c r="O368">
        <f t="shared" si="40"/>
        <v>9</v>
      </c>
      <c r="P368">
        <f t="shared" si="41"/>
        <v>3</v>
      </c>
      <c r="Q368" s="6">
        <f t="shared" si="42"/>
        <v>420000</v>
      </c>
      <c r="R368" s="6">
        <f t="shared" si="43"/>
        <v>33600</v>
      </c>
      <c r="S368" s="6">
        <f t="shared" si="44"/>
        <v>386400</v>
      </c>
      <c r="T368" s="6">
        <f t="shared" si="45"/>
        <v>304000</v>
      </c>
      <c r="U368" s="6">
        <f t="shared" si="46"/>
        <v>82400</v>
      </c>
      <c r="V368" s="5">
        <f t="shared" si="47"/>
        <v>0.21325051759834368</v>
      </c>
    </row>
    <row r="369" spans="1:22">
      <c r="A369" t="s">
        <v>665</v>
      </c>
      <c r="B369" s="4">
        <v>45859</v>
      </c>
      <c r="C369" t="s">
        <v>102</v>
      </c>
      <c r="D369" t="s">
        <v>61</v>
      </c>
      <c r="E369" t="s">
        <v>66</v>
      </c>
      <c r="F369" t="s">
        <v>199</v>
      </c>
      <c r="G369" t="s">
        <v>89</v>
      </c>
      <c r="H369" t="s">
        <v>95</v>
      </c>
      <c r="I369">
        <v>4</v>
      </c>
      <c r="J369" s="6">
        <v>32000</v>
      </c>
      <c r="K369" s="6">
        <v>21000</v>
      </c>
      <c r="L369" s="5">
        <v>0.1</v>
      </c>
      <c r="M369" t="s">
        <v>57</v>
      </c>
      <c r="N369" t="s">
        <v>63</v>
      </c>
      <c r="O369">
        <f t="shared" si="40"/>
        <v>7</v>
      </c>
      <c r="P369">
        <f t="shared" si="41"/>
        <v>3</v>
      </c>
      <c r="Q369" s="6">
        <f t="shared" si="42"/>
        <v>128000</v>
      </c>
      <c r="R369" s="6">
        <f t="shared" si="43"/>
        <v>12800</v>
      </c>
      <c r="S369" s="6">
        <f t="shared" si="44"/>
        <v>115200</v>
      </c>
      <c r="T369" s="6">
        <f t="shared" si="45"/>
        <v>84000</v>
      </c>
      <c r="U369" s="6">
        <f t="shared" si="46"/>
        <v>31200</v>
      </c>
      <c r="V369" s="5">
        <f t="shared" si="47"/>
        <v>0.27083333333333331</v>
      </c>
    </row>
    <row r="370" spans="1:22">
      <c r="A370" t="s">
        <v>666</v>
      </c>
      <c r="B370" s="4">
        <v>45729</v>
      </c>
      <c r="C370" t="s">
        <v>111</v>
      </c>
      <c r="D370" t="s">
        <v>61</v>
      </c>
      <c r="E370" t="s">
        <v>84</v>
      </c>
      <c r="F370" t="s">
        <v>304</v>
      </c>
      <c r="G370" t="s">
        <v>55</v>
      </c>
      <c r="H370" t="s">
        <v>86</v>
      </c>
      <c r="I370">
        <v>2</v>
      </c>
      <c r="J370" s="6">
        <v>92000</v>
      </c>
      <c r="K370" s="6">
        <v>60000</v>
      </c>
      <c r="L370" s="5">
        <v>0.12</v>
      </c>
      <c r="M370" t="s">
        <v>109</v>
      </c>
      <c r="N370" t="s">
        <v>70</v>
      </c>
      <c r="O370">
        <f t="shared" si="40"/>
        <v>3</v>
      </c>
      <c r="P370">
        <f t="shared" si="41"/>
        <v>1</v>
      </c>
      <c r="Q370" s="6">
        <f t="shared" si="42"/>
        <v>184000</v>
      </c>
      <c r="R370" s="6">
        <f t="shared" si="43"/>
        <v>22080</v>
      </c>
      <c r="S370" s="6">
        <f t="shared" si="44"/>
        <v>0</v>
      </c>
      <c r="T370" s="6">
        <f t="shared" si="45"/>
        <v>0</v>
      </c>
      <c r="U370" s="6">
        <f t="shared" si="46"/>
        <v>0</v>
      </c>
      <c r="V370" s="5">
        <f t="shared" si="47"/>
        <v>0</v>
      </c>
    </row>
    <row r="371" spans="1:22">
      <c r="A371" t="s">
        <v>667</v>
      </c>
      <c r="B371" s="4">
        <v>45861</v>
      </c>
      <c r="C371" t="s">
        <v>111</v>
      </c>
      <c r="D371" t="s">
        <v>52</v>
      </c>
      <c r="E371" t="s">
        <v>66</v>
      </c>
      <c r="F371" t="s">
        <v>621</v>
      </c>
      <c r="G371" t="s">
        <v>89</v>
      </c>
      <c r="H371" t="s">
        <v>98</v>
      </c>
      <c r="I371">
        <v>6</v>
      </c>
      <c r="J371" s="6">
        <v>16500</v>
      </c>
      <c r="K371" s="6">
        <v>10000</v>
      </c>
      <c r="L371" s="5">
        <v>0.12</v>
      </c>
      <c r="M371" t="s">
        <v>57</v>
      </c>
      <c r="N371" t="s">
        <v>70</v>
      </c>
      <c r="O371">
        <f t="shared" si="40"/>
        <v>7</v>
      </c>
      <c r="P371">
        <f t="shared" si="41"/>
        <v>3</v>
      </c>
      <c r="Q371" s="6">
        <f t="shared" si="42"/>
        <v>99000</v>
      </c>
      <c r="R371" s="6">
        <f t="shared" si="43"/>
        <v>11880</v>
      </c>
      <c r="S371" s="6">
        <f t="shared" si="44"/>
        <v>87120</v>
      </c>
      <c r="T371" s="6">
        <f t="shared" si="45"/>
        <v>60000</v>
      </c>
      <c r="U371" s="6">
        <f t="shared" si="46"/>
        <v>27120</v>
      </c>
      <c r="V371" s="5">
        <f t="shared" si="47"/>
        <v>0.31129476584022037</v>
      </c>
    </row>
    <row r="372" spans="1:22">
      <c r="A372" t="s">
        <v>668</v>
      </c>
      <c r="B372" s="4">
        <v>45968</v>
      </c>
      <c r="C372" t="s">
        <v>51</v>
      </c>
      <c r="D372" t="s">
        <v>61</v>
      </c>
      <c r="E372" t="s">
        <v>94</v>
      </c>
      <c r="F372" t="s">
        <v>669</v>
      </c>
      <c r="G372" t="s">
        <v>89</v>
      </c>
      <c r="H372" t="s">
        <v>90</v>
      </c>
      <c r="I372">
        <v>2</v>
      </c>
      <c r="J372" s="6">
        <v>5900</v>
      </c>
      <c r="K372" s="6">
        <v>3700</v>
      </c>
      <c r="L372" s="5">
        <v>0.12</v>
      </c>
      <c r="M372" t="s">
        <v>57</v>
      </c>
      <c r="N372" t="s">
        <v>58</v>
      </c>
      <c r="O372">
        <f t="shared" si="40"/>
        <v>11</v>
      </c>
      <c r="P372">
        <f t="shared" si="41"/>
        <v>4</v>
      </c>
      <c r="Q372" s="6">
        <f t="shared" si="42"/>
        <v>11800</v>
      </c>
      <c r="R372" s="6">
        <f t="shared" si="43"/>
        <v>1416</v>
      </c>
      <c r="S372" s="6">
        <f t="shared" si="44"/>
        <v>10384</v>
      </c>
      <c r="T372" s="6">
        <f t="shared" si="45"/>
        <v>7400</v>
      </c>
      <c r="U372" s="6">
        <f t="shared" si="46"/>
        <v>2984</v>
      </c>
      <c r="V372" s="5">
        <f t="shared" si="47"/>
        <v>0.28736517719568566</v>
      </c>
    </row>
    <row r="373" spans="1:22">
      <c r="A373" t="s">
        <v>670</v>
      </c>
      <c r="B373" s="4">
        <v>45971</v>
      </c>
      <c r="C373" t="s">
        <v>120</v>
      </c>
      <c r="D373" t="s">
        <v>65</v>
      </c>
      <c r="E373" t="s">
        <v>94</v>
      </c>
      <c r="F373" t="s">
        <v>659</v>
      </c>
      <c r="G373" t="s">
        <v>68</v>
      </c>
      <c r="H373" t="s">
        <v>104</v>
      </c>
      <c r="I373">
        <v>8</v>
      </c>
      <c r="J373" s="6">
        <v>320000</v>
      </c>
      <c r="K373" s="6">
        <v>244000</v>
      </c>
      <c r="L373" s="5">
        <v>0.1</v>
      </c>
      <c r="M373" t="s">
        <v>109</v>
      </c>
      <c r="N373" t="s">
        <v>70</v>
      </c>
      <c r="O373">
        <f t="shared" si="40"/>
        <v>11</v>
      </c>
      <c r="P373">
        <f t="shared" si="41"/>
        <v>4</v>
      </c>
      <c r="Q373" s="6">
        <f t="shared" si="42"/>
        <v>2560000</v>
      </c>
      <c r="R373" s="6">
        <f t="shared" si="43"/>
        <v>256000</v>
      </c>
      <c r="S373" s="6">
        <f t="shared" si="44"/>
        <v>0</v>
      </c>
      <c r="T373" s="6">
        <f t="shared" si="45"/>
        <v>0</v>
      </c>
      <c r="U373" s="6">
        <f t="shared" si="46"/>
        <v>0</v>
      </c>
      <c r="V373" s="5">
        <f t="shared" si="47"/>
        <v>0</v>
      </c>
    </row>
    <row r="374" spans="1:22">
      <c r="A374" t="s">
        <v>671</v>
      </c>
      <c r="B374" s="4">
        <v>45931</v>
      </c>
      <c r="C374" t="s">
        <v>102</v>
      </c>
      <c r="D374" t="s">
        <v>61</v>
      </c>
      <c r="E374" t="s">
        <v>66</v>
      </c>
      <c r="F374" t="s">
        <v>193</v>
      </c>
      <c r="G374" t="s">
        <v>89</v>
      </c>
      <c r="H374" t="s">
        <v>98</v>
      </c>
      <c r="I374">
        <v>6</v>
      </c>
      <c r="J374" s="6">
        <v>16500</v>
      </c>
      <c r="K374" s="6">
        <v>10000</v>
      </c>
      <c r="L374" s="5">
        <v>0.1</v>
      </c>
      <c r="M374" t="s">
        <v>57</v>
      </c>
      <c r="N374" t="s">
        <v>75</v>
      </c>
      <c r="O374">
        <f t="shared" si="40"/>
        <v>10</v>
      </c>
      <c r="P374">
        <f t="shared" si="41"/>
        <v>4</v>
      </c>
      <c r="Q374" s="6">
        <f t="shared" si="42"/>
        <v>99000</v>
      </c>
      <c r="R374" s="6">
        <f t="shared" si="43"/>
        <v>9900</v>
      </c>
      <c r="S374" s="6">
        <f t="shared" si="44"/>
        <v>89100</v>
      </c>
      <c r="T374" s="6">
        <f t="shared" si="45"/>
        <v>60000</v>
      </c>
      <c r="U374" s="6">
        <f t="shared" si="46"/>
        <v>29100</v>
      </c>
      <c r="V374" s="5">
        <f t="shared" si="47"/>
        <v>0.32659932659932661</v>
      </c>
    </row>
    <row r="375" spans="1:22">
      <c r="A375" t="s">
        <v>672</v>
      </c>
      <c r="B375" s="4">
        <v>45798</v>
      </c>
      <c r="C375" t="s">
        <v>111</v>
      </c>
      <c r="D375" t="s">
        <v>61</v>
      </c>
      <c r="E375" t="s">
        <v>94</v>
      </c>
      <c r="F375" t="s">
        <v>264</v>
      </c>
      <c r="G375" t="s">
        <v>89</v>
      </c>
      <c r="H375" t="s">
        <v>98</v>
      </c>
      <c r="I375">
        <v>2</v>
      </c>
      <c r="J375" s="6">
        <v>16500</v>
      </c>
      <c r="K375" s="6">
        <v>10000</v>
      </c>
      <c r="L375" s="5">
        <v>0</v>
      </c>
      <c r="M375" t="s">
        <v>80</v>
      </c>
      <c r="N375" t="s">
        <v>70</v>
      </c>
      <c r="O375">
        <f t="shared" si="40"/>
        <v>5</v>
      </c>
      <c r="P375">
        <f t="shared" si="41"/>
        <v>2</v>
      </c>
      <c r="Q375" s="6">
        <f t="shared" si="42"/>
        <v>33000</v>
      </c>
      <c r="R375" s="6">
        <f t="shared" si="43"/>
        <v>0</v>
      </c>
      <c r="S375" s="6">
        <f t="shared" si="44"/>
        <v>0</v>
      </c>
      <c r="T375" s="6">
        <f t="shared" si="45"/>
        <v>0</v>
      </c>
      <c r="U375" s="6">
        <f t="shared" si="46"/>
        <v>0</v>
      </c>
      <c r="V375" s="5">
        <f t="shared" si="47"/>
        <v>0</v>
      </c>
    </row>
    <row r="376" spans="1:22">
      <c r="A376" t="s">
        <v>673</v>
      </c>
      <c r="B376" s="4">
        <v>45728</v>
      </c>
      <c r="C376" t="s">
        <v>111</v>
      </c>
      <c r="D376" t="s">
        <v>93</v>
      </c>
      <c r="E376" t="s">
        <v>66</v>
      </c>
      <c r="F376" t="s">
        <v>185</v>
      </c>
      <c r="G376" t="s">
        <v>68</v>
      </c>
      <c r="H376" t="s">
        <v>108</v>
      </c>
      <c r="I376">
        <v>5</v>
      </c>
      <c r="J376" s="6">
        <v>175000</v>
      </c>
      <c r="K376" s="6">
        <v>129000</v>
      </c>
      <c r="L376" s="5">
        <v>0.08</v>
      </c>
      <c r="M376" t="s">
        <v>80</v>
      </c>
      <c r="N376" t="s">
        <v>75</v>
      </c>
      <c r="O376">
        <f t="shared" si="40"/>
        <v>3</v>
      </c>
      <c r="P376">
        <f t="shared" si="41"/>
        <v>1</v>
      </c>
      <c r="Q376" s="6">
        <f t="shared" si="42"/>
        <v>875000</v>
      </c>
      <c r="R376" s="6">
        <f t="shared" si="43"/>
        <v>70000</v>
      </c>
      <c r="S376" s="6">
        <f t="shared" si="44"/>
        <v>0</v>
      </c>
      <c r="T376" s="6">
        <f t="shared" si="45"/>
        <v>0</v>
      </c>
      <c r="U376" s="6">
        <f t="shared" si="46"/>
        <v>0</v>
      </c>
      <c r="V376" s="5">
        <f t="shared" si="47"/>
        <v>0</v>
      </c>
    </row>
    <row r="377" spans="1:22">
      <c r="A377" t="s">
        <v>674</v>
      </c>
      <c r="B377" s="4">
        <v>45693</v>
      </c>
      <c r="C377" t="s">
        <v>60</v>
      </c>
      <c r="D377" t="s">
        <v>61</v>
      </c>
      <c r="E377" t="s">
        <v>84</v>
      </c>
      <c r="F377" t="s">
        <v>675</v>
      </c>
      <c r="G377" t="s">
        <v>68</v>
      </c>
      <c r="H377" t="s">
        <v>108</v>
      </c>
      <c r="I377">
        <v>8</v>
      </c>
      <c r="J377" s="6">
        <v>175000</v>
      </c>
      <c r="K377" s="6">
        <v>129000</v>
      </c>
      <c r="L377" s="5">
        <v>0.12</v>
      </c>
      <c r="M377" t="s">
        <v>57</v>
      </c>
      <c r="N377" t="s">
        <v>81</v>
      </c>
      <c r="O377">
        <f t="shared" si="40"/>
        <v>2</v>
      </c>
      <c r="P377">
        <f t="shared" si="41"/>
        <v>1</v>
      </c>
      <c r="Q377" s="6">
        <f t="shared" si="42"/>
        <v>1400000</v>
      </c>
      <c r="R377" s="6">
        <f t="shared" si="43"/>
        <v>168000</v>
      </c>
      <c r="S377" s="6">
        <f t="shared" si="44"/>
        <v>1232000</v>
      </c>
      <c r="T377" s="6">
        <f t="shared" si="45"/>
        <v>1032000</v>
      </c>
      <c r="U377" s="6">
        <f t="shared" si="46"/>
        <v>200000</v>
      </c>
      <c r="V377" s="5">
        <f t="shared" si="47"/>
        <v>0.16233766233766234</v>
      </c>
    </row>
    <row r="378" spans="1:22">
      <c r="A378" t="s">
        <v>676</v>
      </c>
      <c r="B378" s="4">
        <v>45671</v>
      </c>
      <c r="C378" t="s">
        <v>51</v>
      </c>
      <c r="D378" t="s">
        <v>61</v>
      </c>
      <c r="E378" t="s">
        <v>66</v>
      </c>
      <c r="F378" t="s">
        <v>651</v>
      </c>
      <c r="G378" t="s">
        <v>68</v>
      </c>
      <c r="H378" t="s">
        <v>108</v>
      </c>
      <c r="I378">
        <v>4</v>
      </c>
      <c r="J378" s="6">
        <v>175000</v>
      </c>
      <c r="K378" s="6">
        <v>129000</v>
      </c>
      <c r="L378" s="5">
        <v>0</v>
      </c>
      <c r="M378" t="s">
        <v>80</v>
      </c>
      <c r="N378" t="s">
        <v>63</v>
      </c>
      <c r="O378">
        <f t="shared" si="40"/>
        <v>1</v>
      </c>
      <c r="P378">
        <f t="shared" si="41"/>
        <v>1</v>
      </c>
      <c r="Q378" s="6">
        <f t="shared" si="42"/>
        <v>700000</v>
      </c>
      <c r="R378" s="6">
        <f t="shared" si="43"/>
        <v>0</v>
      </c>
      <c r="S378" s="6">
        <f t="shared" si="44"/>
        <v>0</v>
      </c>
      <c r="T378" s="6">
        <f t="shared" si="45"/>
        <v>0</v>
      </c>
      <c r="U378" s="6">
        <f t="shared" si="46"/>
        <v>0</v>
      </c>
      <c r="V378" s="5">
        <f t="shared" si="47"/>
        <v>0</v>
      </c>
    </row>
    <row r="379" spans="1:22">
      <c r="A379" t="s">
        <v>677</v>
      </c>
      <c r="B379" s="4">
        <v>45753</v>
      </c>
      <c r="C379" t="s">
        <v>51</v>
      </c>
      <c r="D379" t="s">
        <v>61</v>
      </c>
      <c r="E379" t="s">
        <v>66</v>
      </c>
      <c r="F379" t="s">
        <v>240</v>
      </c>
      <c r="G379" t="s">
        <v>68</v>
      </c>
      <c r="H379" t="s">
        <v>108</v>
      </c>
      <c r="I379">
        <v>3</v>
      </c>
      <c r="J379" s="6">
        <v>175000</v>
      </c>
      <c r="K379" s="6">
        <v>129000</v>
      </c>
      <c r="L379" s="5">
        <v>0</v>
      </c>
      <c r="M379" t="s">
        <v>109</v>
      </c>
      <c r="N379" t="s">
        <v>75</v>
      </c>
      <c r="O379">
        <f t="shared" si="40"/>
        <v>4</v>
      </c>
      <c r="P379">
        <f t="shared" si="41"/>
        <v>2</v>
      </c>
      <c r="Q379" s="6">
        <f t="shared" si="42"/>
        <v>525000</v>
      </c>
      <c r="R379" s="6">
        <f t="shared" si="43"/>
        <v>0</v>
      </c>
      <c r="S379" s="6">
        <f t="shared" si="44"/>
        <v>0</v>
      </c>
      <c r="T379" s="6">
        <f t="shared" si="45"/>
        <v>0</v>
      </c>
      <c r="U379" s="6">
        <f t="shared" si="46"/>
        <v>0</v>
      </c>
      <c r="V379" s="5">
        <f t="shared" si="47"/>
        <v>0</v>
      </c>
    </row>
    <row r="380" spans="1:22">
      <c r="A380" t="s">
        <v>678</v>
      </c>
      <c r="B380" s="4">
        <v>45950</v>
      </c>
      <c r="C380" t="s">
        <v>111</v>
      </c>
      <c r="D380" t="s">
        <v>61</v>
      </c>
      <c r="E380" t="s">
        <v>84</v>
      </c>
      <c r="F380" t="s">
        <v>679</v>
      </c>
      <c r="G380" t="s">
        <v>89</v>
      </c>
      <c r="H380" t="s">
        <v>95</v>
      </c>
      <c r="I380">
        <v>4</v>
      </c>
      <c r="J380" s="6">
        <v>32000</v>
      </c>
      <c r="K380" s="6">
        <v>21000</v>
      </c>
      <c r="L380" s="5">
        <v>0.12</v>
      </c>
      <c r="M380" t="s">
        <v>80</v>
      </c>
      <c r="N380" t="s">
        <v>58</v>
      </c>
      <c r="O380">
        <f t="shared" si="40"/>
        <v>10</v>
      </c>
      <c r="P380">
        <f t="shared" si="41"/>
        <v>4</v>
      </c>
      <c r="Q380" s="6">
        <f t="shared" si="42"/>
        <v>128000</v>
      </c>
      <c r="R380" s="6">
        <f t="shared" si="43"/>
        <v>15360</v>
      </c>
      <c r="S380" s="6">
        <f t="shared" si="44"/>
        <v>0</v>
      </c>
      <c r="T380" s="6">
        <f t="shared" si="45"/>
        <v>0</v>
      </c>
      <c r="U380" s="6">
        <f t="shared" si="46"/>
        <v>0</v>
      </c>
      <c r="V380" s="5">
        <f t="shared" si="47"/>
        <v>0</v>
      </c>
    </row>
    <row r="381" spans="1:22">
      <c r="A381" t="s">
        <v>680</v>
      </c>
      <c r="B381" s="4">
        <v>45662</v>
      </c>
      <c r="C381" t="s">
        <v>92</v>
      </c>
      <c r="D381" t="s">
        <v>61</v>
      </c>
      <c r="E381" t="s">
        <v>53</v>
      </c>
      <c r="F381" t="s">
        <v>681</v>
      </c>
      <c r="G381" t="s">
        <v>68</v>
      </c>
      <c r="H381" t="s">
        <v>108</v>
      </c>
      <c r="I381">
        <v>4</v>
      </c>
      <c r="J381" s="6">
        <v>175000</v>
      </c>
      <c r="K381" s="6">
        <v>129000</v>
      </c>
      <c r="L381" s="5">
        <v>0.08</v>
      </c>
      <c r="M381" t="s">
        <v>57</v>
      </c>
      <c r="N381" t="s">
        <v>63</v>
      </c>
      <c r="O381">
        <f t="shared" si="40"/>
        <v>1</v>
      </c>
      <c r="P381">
        <f t="shared" si="41"/>
        <v>1</v>
      </c>
      <c r="Q381" s="6">
        <f t="shared" si="42"/>
        <v>700000</v>
      </c>
      <c r="R381" s="6">
        <f t="shared" si="43"/>
        <v>56000</v>
      </c>
      <c r="S381" s="6">
        <f t="shared" si="44"/>
        <v>644000</v>
      </c>
      <c r="T381" s="6">
        <f t="shared" si="45"/>
        <v>516000</v>
      </c>
      <c r="U381" s="6">
        <f t="shared" si="46"/>
        <v>128000</v>
      </c>
      <c r="V381" s="5">
        <f t="shared" si="47"/>
        <v>0.19875776397515527</v>
      </c>
    </row>
    <row r="382" spans="1:22">
      <c r="A382" t="s">
        <v>682</v>
      </c>
      <c r="B382" s="4">
        <v>45841</v>
      </c>
      <c r="C382" t="s">
        <v>60</v>
      </c>
      <c r="D382" t="s">
        <v>65</v>
      </c>
      <c r="E382" t="s">
        <v>94</v>
      </c>
      <c r="F382" t="s">
        <v>210</v>
      </c>
      <c r="G382" t="s">
        <v>55</v>
      </c>
      <c r="H382" t="s">
        <v>86</v>
      </c>
      <c r="I382">
        <v>2</v>
      </c>
      <c r="J382" s="6">
        <v>92000</v>
      </c>
      <c r="K382" s="6">
        <v>60000</v>
      </c>
      <c r="L382" s="5">
        <v>0</v>
      </c>
      <c r="M382" t="s">
        <v>57</v>
      </c>
      <c r="N382" t="s">
        <v>70</v>
      </c>
      <c r="O382">
        <f t="shared" si="40"/>
        <v>7</v>
      </c>
      <c r="P382">
        <f t="shared" si="41"/>
        <v>3</v>
      </c>
      <c r="Q382" s="6">
        <f t="shared" si="42"/>
        <v>184000</v>
      </c>
      <c r="R382" s="6">
        <f t="shared" si="43"/>
        <v>0</v>
      </c>
      <c r="S382" s="6">
        <f t="shared" si="44"/>
        <v>184000</v>
      </c>
      <c r="T382" s="6">
        <f t="shared" si="45"/>
        <v>120000</v>
      </c>
      <c r="U382" s="6">
        <f t="shared" si="46"/>
        <v>64000</v>
      </c>
      <c r="V382" s="5">
        <f t="shared" si="47"/>
        <v>0.34782608695652173</v>
      </c>
    </row>
    <row r="383" spans="1:22">
      <c r="A383" t="s">
        <v>683</v>
      </c>
      <c r="B383" s="4">
        <v>45931</v>
      </c>
      <c r="C383" t="s">
        <v>77</v>
      </c>
      <c r="D383" t="s">
        <v>61</v>
      </c>
      <c r="E383" t="s">
        <v>94</v>
      </c>
      <c r="F383" t="s">
        <v>684</v>
      </c>
      <c r="G383" t="s">
        <v>89</v>
      </c>
      <c r="H383" t="s">
        <v>90</v>
      </c>
      <c r="I383">
        <v>2</v>
      </c>
      <c r="J383" s="6">
        <v>5900</v>
      </c>
      <c r="K383" s="6">
        <v>3700</v>
      </c>
      <c r="L383" s="5">
        <v>0</v>
      </c>
      <c r="M383" t="s">
        <v>57</v>
      </c>
      <c r="N383" t="s">
        <v>63</v>
      </c>
      <c r="O383">
        <f t="shared" si="40"/>
        <v>10</v>
      </c>
      <c r="P383">
        <f t="shared" si="41"/>
        <v>4</v>
      </c>
      <c r="Q383" s="6">
        <f t="shared" si="42"/>
        <v>11800</v>
      </c>
      <c r="R383" s="6">
        <f t="shared" si="43"/>
        <v>0</v>
      </c>
      <c r="S383" s="6">
        <f t="shared" si="44"/>
        <v>11800</v>
      </c>
      <c r="T383" s="6">
        <f t="shared" si="45"/>
        <v>7400</v>
      </c>
      <c r="U383" s="6">
        <f t="shared" si="46"/>
        <v>4400</v>
      </c>
      <c r="V383" s="5">
        <f t="shared" si="47"/>
        <v>0.3728813559322034</v>
      </c>
    </row>
    <row r="384" spans="1:22">
      <c r="A384" t="s">
        <v>685</v>
      </c>
      <c r="B384" s="4">
        <v>45723</v>
      </c>
      <c r="C384" t="s">
        <v>60</v>
      </c>
      <c r="D384" t="s">
        <v>65</v>
      </c>
      <c r="E384" t="s">
        <v>66</v>
      </c>
      <c r="F384" t="s">
        <v>414</v>
      </c>
      <c r="G384" t="s">
        <v>55</v>
      </c>
      <c r="H384" t="s">
        <v>86</v>
      </c>
      <c r="I384">
        <v>7</v>
      </c>
      <c r="J384" s="6">
        <v>92000</v>
      </c>
      <c r="K384" s="6">
        <v>60000</v>
      </c>
      <c r="L384" s="5">
        <v>0</v>
      </c>
      <c r="M384" t="s">
        <v>57</v>
      </c>
      <c r="N384" t="s">
        <v>81</v>
      </c>
      <c r="O384">
        <f t="shared" si="40"/>
        <v>3</v>
      </c>
      <c r="P384">
        <f t="shared" si="41"/>
        <v>1</v>
      </c>
      <c r="Q384" s="6">
        <f t="shared" si="42"/>
        <v>644000</v>
      </c>
      <c r="R384" s="6">
        <f t="shared" si="43"/>
        <v>0</v>
      </c>
      <c r="S384" s="6">
        <f t="shared" si="44"/>
        <v>644000</v>
      </c>
      <c r="T384" s="6">
        <f t="shared" si="45"/>
        <v>420000</v>
      </c>
      <c r="U384" s="6">
        <f t="shared" si="46"/>
        <v>224000</v>
      </c>
      <c r="V384" s="5">
        <f t="shared" si="47"/>
        <v>0.34782608695652173</v>
      </c>
    </row>
    <row r="385" spans="1:22">
      <c r="A385" t="s">
        <v>686</v>
      </c>
      <c r="B385" s="4">
        <v>45724</v>
      </c>
      <c r="C385" t="s">
        <v>51</v>
      </c>
      <c r="D385" t="s">
        <v>61</v>
      </c>
      <c r="E385" t="s">
        <v>53</v>
      </c>
      <c r="F385" t="s">
        <v>159</v>
      </c>
      <c r="G385" t="s">
        <v>89</v>
      </c>
      <c r="H385" t="s">
        <v>90</v>
      </c>
      <c r="I385">
        <v>5</v>
      </c>
      <c r="J385" s="6">
        <v>5900</v>
      </c>
      <c r="K385" s="6">
        <v>3700</v>
      </c>
      <c r="L385" s="5">
        <v>0.03</v>
      </c>
      <c r="M385" t="s">
        <v>57</v>
      </c>
      <c r="N385" t="s">
        <v>63</v>
      </c>
      <c r="O385">
        <f t="shared" si="40"/>
        <v>3</v>
      </c>
      <c r="P385">
        <f t="shared" si="41"/>
        <v>1</v>
      </c>
      <c r="Q385" s="6">
        <f t="shared" si="42"/>
        <v>29500</v>
      </c>
      <c r="R385" s="6">
        <f t="shared" si="43"/>
        <v>885</v>
      </c>
      <c r="S385" s="6">
        <f t="shared" si="44"/>
        <v>28615</v>
      </c>
      <c r="T385" s="6">
        <f t="shared" si="45"/>
        <v>18500</v>
      </c>
      <c r="U385" s="6">
        <f t="shared" si="46"/>
        <v>10115</v>
      </c>
      <c r="V385" s="5">
        <f t="shared" si="47"/>
        <v>0.35348593395072514</v>
      </c>
    </row>
    <row r="386" spans="1:22">
      <c r="A386" t="s">
        <v>687</v>
      </c>
      <c r="B386" s="4">
        <v>45928</v>
      </c>
      <c r="C386" t="s">
        <v>92</v>
      </c>
      <c r="D386" t="s">
        <v>61</v>
      </c>
      <c r="E386" t="s">
        <v>73</v>
      </c>
      <c r="F386" t="s">
        <v>202</v>
      </c>
      <c r="G386" t="s">
        <v>89</v>
      </c>
      <c r="H386" t="s">
        <v>90</v>
      </c>
      <c r="I386">
        <v>2</v>
      </c>
      <c r="J386" s="6">
        <v>5900</v>
      </c>
      <c r="K386" s="6">
        <v>3700</v>
      </c>
      <c r="L386" s="5">
        <v>0</v>
      </c>
      <c r="M386" t="s">
        <v>57</v>
      </c>
      <c r="N386" t="s">
        <v>75</v>
      </c>
      <c r="O386">
        <f t="shared" ref="O386:O449" si="48">MONTH(B386)</f>
        <v>9</v>
      </c>
      <c r="P386">
        <f t="shared" ref="P386:P449" si="49">ROUNDUP(O386/3,0)</f>
        <v>3</v>
      </c>
      <c r="Q386" s="6">
        <f t="shared" ref="Q386:Q449" si="50">I386*J386</f>
        <v>11800</v>
      </c>
      <c r="R386" s="6">
        <f t="shared" ref="R386:R449" si="51">Q386*L386</f>
        <v>0</v>
      </c>
      <c r="S386" s="6">
        <f t="shared" ref="S386:S449" si="52">IF(M386="Ganho",Q386-R386,0)</f>
        <v>11800</v>
      </c>
      <c r="T386" s="6">
        <f t="shared" ref="T386:T449" si="53">IF(M386="Ganho",I386*K386,0)</f>
        <v>7400</v>
      </c>
      <c r="U386" s="6">
        <f t="shared" ref="U386:U449" si="54">S386-T386</f>
        <v>4400</v>
      </c>
      <c r="V386" s="5">
        <f t="shared" ref="V386:V449" si="55">IFERROR(U386/S386,0)</f>
        <v>0.3728813559322034</v>
      </c>
    </row>
    <row r="387" spans="1:22">
      <c r="A387" t="s">
        <v>688</v>
      </c>
      <c r="B387" s="4">
        <v>45893</v>
      </c>
      <c r="C387" t="s">
        <v>111</v>
      </c>
      <c r="D387" t="s">
        <v>72</v>
      </c>
      <c r="E387" t="s">
        <v>66</v>
      </c>
      <c r="F387" t="s">
        <v>689</v>
      </c>
      <c r="G387" t="s">
        <v>55</v>
      </c>
      <c r="H387" t="s">
        <v>86</v>
      </c>
      <c r="I387">
        <v>8</v>
      </c>
      <c r="J387" s="6">
        <v>92000</v>
      </c>
      <c r="K387" s="6">
        <v>60000</v>
      </c>
      <c r="L387" s="5">
        <v>0.05</v>
      </c>
      <c r="M387" t="s">
        <v>57</v>
      </c>
      <c r="N387" t="s">
        <v>70</v>
      </c>
      <c r="O387">
        <f t="shared" si="48"/>
        <v>8</v>
      </c>
      <c r="P387">
        <f t="shared" si="49"/>
        <v>3</v>
      </c>
      <c r="Q387" s="6">
        <f t="shared" si="50"/>
        <v>736000</v>
      </c>
      <c r="R387" s="6">
        <f t="shared" si="51"/>
        <v>36800</v>
      </c>
      <c r="S387" s="6">
        <f t="shared" si="52"/>
        <v>699200</v>
      </c>
      <c r="T387" s="6">
        <f t="shared" si="53"/>
        <v>480000</v>
      </c>
      <c r="U387" s="6">
        <f t="shared" si="54"/>
        <v>219200</v>
      </c>
      <c r="V387" s="5">
        <f t="shared" si="55"/>
        <v>0.31350114416475972</v>
      </c>
    </row>
    <row r="388" spans="1:22">
      <c r="A388" t="s">
        <v>690</v>
      </c>
      <c r="B388" s="4">
        <v>45677</v>
      </c>
      <c r="C388" t="s">
        <v>102</v>
      </c>
      <c r="D388" t="s">
        <v>61</v>
      </c>
      <c r="E388" t="s">
        <v>84</v>
      </c>
      <c r="F388" t="s">
        <v>174</v>
      </c>
      <c r="G388" t="s">
        <v>68</v>
      </c>
      <c r="H388" t="s">
        <v>79</v>
      </c>
      <c r="I388">
        <v>4</v>
      </c>
      <c r="J388" s="6">
        <v>19000</v>
      </c>
      <c r="K388" s="6">
        <v>11500</v>
      </c>
      <c r="L388" s="5">
        <v>0.05</v>
      </c>
      <c r="M388" t="s">
        <v>80</v>
      </c>
      <c r="N388" t="s">
        <v>58</v>
      </c>
      <c r="O388">
        <f t="shared" si="48"/>
        <v>1</v>
      </c>
      <c r="P388">
        <f t="shared" si="49"/>
        <v>1</v>
      </c>
      <c r="Q388" s="6">
        <f t="shared" si="50"/>
        <v>76000</v>
      </c>
      <c r="R388" s="6">
        <f t="shared" si="51"/>
        <v>3800</v>
      </c>
      <c r="S388" s="6">
        <f t="shared" si="52"/>
        <v>0</v>
      </c>
      <c r="T388" s="6">
        <f t="shared" si="53"/>
        <v>0</v>
      </c>
      <c r="U388" s="6">
        <f t="shared" si="54"/>
        <v>0</v>
      </c>
      <c r="V388" s="5">
        <f t="shared" si="55"/>
        <v>0</v>
      </c>
    </row>
    <row r="389" spans="1:22">
      <c r="A389" t="s">
        <v>691</v>
      </c>
      <c r="B389" s="4">
        <v>45676</v>
      </c>
      <c r="C389" t="s">
        <v>83</v>
      </c>
      <c r="D389" t="s">
        <v>61</v>
      </c>
      <c r="E389" t="s">
        <v>66</v>
      </c>
      <c r="F389" t="s">
        <v>438</v>
      </c>
      <c r="G389" t="s">
        <v>55</v>
      </c>
      <c r="H389" t="s">
        <v>115</v>
      </c>
      <c r="I389">
        <v>7</v>
      </c>
      <c r="J389" s="6">
        <v>105000</v>
      </c>
      <c r="K389" s="6">
        <v>76000</v>
      </c>
      <c r="L389" s="5">
        <v>0</v>
      </c>
      <c r="M389" t="s">
        <v>57</v>
      </c>
      <c r="N389" t="s">
        <v>75</v>
      </c>
      <c r="O389">
        <f t="shared" si="48"/>
        <v>1</v>
      </c>
      <c r="P389">
        <f t="shared" si="49"/>
        <v>1</v>
      </c>
      <c r="Q389" s="6">
        <f t="shared" si="50"/>
        <v>735000</v>
      </c>
      <c r="R389" s="6">
        <f t="shared" si="51"/>
        <v>0</v>
      </c>
      <c r="S389" s="6">
        <f t="shared" si="52"/>
        <v>735000</v>
      </c>
      <c r="T389" s="6">
        <f t="shared" si="53"/>
        <v>532000</v>
      </c>
      <c r="U389" s="6">
        <f t="shared" si="54"/>
        <v>203000</v>
      </c>
      <c r="V389" s="5">
        <f t="shared" si="55"/>
        <v>0.27619047619047621</v>
      </c>
    </row>
    <row r="390" spans="1:22">
      <c r="A390" t="s">
        <v>692</v>
      </c>
      <c r="B390" s="4">
        <v>45939</v>
      </c>
      <c r="C390" t="s">
        <v>92</v>
      </c>
      <c r="D390" t="s">
        <v>106</v>
      </c>
      <c r="E390" t="s">
        <v>73</v>
      </c>
      <c r="F390" t="s">
        <v>693</v>
      </c>
      <c r="G390" t="s">
        <v>68</v>
      </c>
      <c r="H390" t="s">
        <v>79</v>
      </c>
      <c r="I390">
        <v>8</v>
      </c>
      <c r="J390" s="6">
        <v>19000</v>
      </c>
      <c r="K390" s="6">
        <v>11500</v>
      </c>
      <c r="L390" s="5">
        <v>0.05</v>
      </c>
      <c r="M390" t="s">
        <v>80</v>
      </c>
      <c r="N390" t="s">
        <v>70</v>
      </c>
      <c r="O390">
        <f t="shared" si="48"/>
        <v>10</v>
      </c>
      <c r="P390">
        <f t="shared" si="49"/>
        <v>4</v>
      </c>
      <c r="Q390" s="6">
        <f t="shared" si="50"/>
        <v>152000</v>
      </c>
      <c r="R390" s="6">
        <f t="shared" si="51"/>
        <v>7600</v>
      </c>
      <c r="S390" s="6">
        <f t="shared" si="52"/>
        <v>0</v>
      </c>
      <c r="T390" s="6">
        <f t="shared" si="53"/>
        <v>0</v>
      </c>
      <c r="U390" s="6">
        <f t="shared" si="54"/>
        <v>0</v>
      </c>
      <c r="V390" s="5">
        <f t="shared" si="55"/>
        <v>0</v>
      </c>
    </row>
    <row r="391" spans="1:22">
      <c r="A391" t="s">
        <v>694</v>
      </c>
      <c r="B391" s="4">
        <v>45922</v>
      </c>
      <c r="C391" t="s">
        <v>83</v>
      </c>
      <c r="D391" t="s">
        <v>61</v>
      </c>
      <c r="E391" t="s">
        <v>84</v>
      </c>
      <c r="F391" t="s">
        <v>695</v>
      </c>
      <c r="G391" t="s">
        <v>68</v>
      </c>
      <c r="H391" t="s">
        <v>79</v>
      </c>
      <c r="I391">
        <v>1</v>
      </c>
      <c r="J391" s="6">
        <v>19000</v>
      </c>
      <c r="K391" s="6">
        <v>11500</v>
      </c>
      <c r="L391" s="5">
        <v>0.05</v>
      </c>
      <c r="M391" t="s">
        <v>57</v>
      </c>
      <c r="N391" t="s">
        <v>70</v>
      </c>
      <c r="O391">
        <f t="shared" si="48"/>
        <v>9</v>
      </c>
      <c r="P391">
        <f t="shared" si="49"/>
        <v>3</v>
      </c>
      <c r="Q391" s="6">
        <f t="shared" si="50"/>
        <v>19000</v>
      </c>
      <c r="R391" s="6">
        <f t="shared" si="51"/>
        <v>950</v>
      </c>
      <c r="S391" s="6">
        <f t="shared" si="52"/>
        <v>18050</v>
      </c>
      <c r="T391" s="6">
        <f t="shared" si="53"/>
        <v>11500</v>
      </c>
      <c r="U391" s="6">
        <f t="shared" si="54"/>
        <v>6550</v>
      </c>
      <c r="V391" s="5">
        <f t="shared" si="55"/>
        <v>0.36288088642659277</v>
      </c>
    </row>
    <row r="392" spans="1:22">
      <c r="A392" t="s">
        <v>696</v>
      </c>
      <c r="B392" s="4">
        <v>45916</v>
      </c>
      <c r="C392" t="s">
        <v>92</v>
      </c>
      <c r="D392" t="s">
        <v>52</v>
      </c>
      <c r="E392" t="s">
        <v>73</v>
      </c>
      <c r="F392" t="s">
        <v>346</v>
      </c>
      <c r="G392" t="s">
        <v>68</v>
      </c>
      <c r="H392" t="s">
        <v>104</v>
      </c>
      <c r="I392">
        <v>7</v>
      </c>
      <c r="J392" s="6">
        <v>320000</v>
      </c>
      <c r="K392" s="6">
        <v>244000</v>
      </c>
      <c r="L392" s="5">
        <v>0.08</v>
      </c>
      <c r="M392" t="s">
        <v>57</v>
      </c>
      <c r="N392" t="s">
        <v>63</v>
      </c>
      <c r="O392">
        <f t="shared" si="48"/>
        <v>9</v>
      </c>
      <c r="P392">
        <f t="shared" si="49"/>
        <v>3</v>
      </c>
      <c r="Q392" s="6">
        <f t="shared" si="50"/>
        <v>2240000</v>
      </c>
      <c r="R392" s="6">
        <f t="shared" si="51"/>
        <v>179200</v>
      </c>
      <c r="S392" s="6">
        <f t="shared" si="52"/>
        <v>2060800</v>
      </c>
      <c r="T392" s="6">
        <f t="shared" si="53"/>
        <v>1708000</v>
      </c>
      <c r="U392" s="6">
        <f t="shared" si="54"/>
        <v>352800</v>
      </c>
      <c r="V392" s="5">
        <f t="shared" si="55"/>
        <v>0.17119565217391305</v>
      </c>
    </row>
    <row r="393" spans="1:22">
      <c r="A393" t="s">
        <v>697</v>
      </c>
      <c r="B393" s="4">
        <v>45681</v>
      </c>
      <c r="C393" t="s">
        <v>60</v>
      </c>
      <c r="D393" t="s">
        <v>65</v>
      </c>
      <c r="E393" t="s">
        <v>66</v>
      </c>
      <c r="F393" t="s">
        <v>698</v>
      </c>
      <c r="G393" t="s">
        <v>68</v>
      </c>
      <c r="H393" t="s">
        <v>104</v>
      </c>
      <c r="I393">
        <v>4</v>
      </c>
      <c r="J393" s="6">
        <v>320000</v>
      </c>
      <c r="K393" s="6">
        <v>244000</v>
      </c>
      <c r="L393" s="5">
        <v>0.12</v>
      </c>
      <c r="M393" t="s">
        <v>57</v>
      </c>
      <c r="N393" t="s">
        <v>81</v>
      </c>
      <c r="O393">
        <f t="shared" si="48"/>
        <v>1</v>
      </c>
      <c r="P393">
        <f t="shared" si="49"/>
        <v>1</v>
      </c>
      <c r="Q393" s="6">
        <f t="shared" si="50"/>
        <v>1280000</v>
      </c>
      <c r="R393" s="6">
        <f t="shared" si="51"/>
        <v>153600</v>
      </c>
      <c r="S393" s="6">
        <f t="shared" si="52"/>
        <v>1126400</v>
      </c>
      <c r="T393" s="6">
        <f t="shared" si="53"/>
        <v>976000</v>
      </c>
      <c r="U393" s="6">
        <f t="shared" si="54"/>
        <v>150400</v>
      </c>
      <c r="V393" s="5">
        <f t="shared" si="55"/>
        <v>0.13352272727272727</v>
      </c>
    </row>
    <row r="394" spans="1:22">
      <c r="A394" t="s">
        <v>699</v>
      </c>
      <c r="B394" s="4">
        <v>45879</v>
      </c>
      <c r="C394" t="s">
        <v>120</v>
      </c>
      <c r="D394" t="s">
        <v>61</v>
      </c>
      <c r="E394" t="s">
        <v>94</v>
      </c>
      <c r="F394" t="s">
        <v>383</v>
      </c>
      <c r="G394" t="s">
        <v>55</v>
      </c>
      <c r="H394" t="s">
        <v>86</v>
      </c>
      <c r="I394">
        <v>2</v>
      </c>
      <c r="J394" s="6">
        <v>92000</v>
      </c>
      <c r="K394" s="6">
        <v>60000</v>
      </c>
      <c r="L394" s="5">
        <v>0.1</v>
      </c>
      <c r="M394" t="s">
        <v>57</v>
      </c>
      <c r="N394" t="s">
        <v>63</v>
      </c>
      <c r="O394">
        <f t="shared" si="48"/>
        <v>8</v>
      </c>
      <c r="P394">
        <f t="shared" si="49"/>
        <v>3</v>
      </c>
      <c r="Q394" s="6">
        <f t="shared" si="50"/>
        <v>184000</v>
      </c>
      <c r="R394" s="6">
        <f t="shared" si="51"/>
        <v>18400</v>
      </c>
      <c r="S394" s="6">
        <f t="shared" si="52"/>
        <v>165600</v>
      </c>
      <c r="T394" s="6">
        <f t="shared" si="53"/>
        <v>120000</v>
      </c>
      <c r="U394" s="6">
        <f t="shared" si="54"/>
        <v>45600</v>
      </c>
      <c r="V394" s="5">
        <f t="shared" si="55"/>
        <v>0.27536231884057971</v>
      </c>
    </row>
    <row r="395" spans="1:22">
      <c r="A395" t="s">
        <v>700</v>
      </c>
      <c r="B395" s="4">
        <v>45962</v>
      </c>
      <c r="C395" t="s">
        <v>102</v>
      </c>
      <c r="D395" t="s">
        <v>52</v>
      </c>
      <c r="E395" t="s">
        <v>73</v>
      </c>
      <c r="F395" t="s">
        <v>331</v>
      </c>
      <c r="G395" t="s">
        <v>89</v>
      </c>
      <c r="H395" t="s">
        <v>90</v>
      </c>
      <c r="I395">
        <v>5</v>
      </c>
      <c r="J395" s="6">
        <v>5900</v>
      </c>
      <c r="K395" s="6">
        <v>3700</v>
      </c>
      <c r="L395" s="5">
        <v>0.12</v>
      </c>
      <c r="M395" t="s">
        <v>57</v>
      </c>
      <c r="N395" t="s">
        <v>75</v>
      </c>
      <c r="O395">
        <f t="shared" si="48"/>
        <v>11</v>
      </c>
      <c r="P395">
        <f t="shared" si="49"/>
        <v>4</v>
      </c>
      <c r="Q395" s="6">
        <f t="shared" si="50"/>
        <v>29500</v>
      </c>
      <c r="R395" s="6">
        <f t="shared" si="51"/>
        <v>3540</v>
      </c>
      <c r="S395" s="6">
        <f t="shared" si="52"/>
        <v>25960</v>
      </c>
      <c r="T395" s="6">
        <f t="shared" si="53"/>
        <v>18500</v>
      </c>
      <c r="U395" s="6">
        <f t="shared" si="54"/>
        <v>7460</v>
      </c>
      <c r="V395" s="5">
        <f t="shared" si="55"/>
        <v>0.28736517719568566</v>
      </c>
    </row>
    <row r="396" spans="1:22">
      <c r="A396" t="s">
        <v>701</v>
      </c>
      <c r="B396" s="4">
        <v>45690</v>
      </c>
      <c r="C396" t="s">
        <v>102</v>
      </c>
      <c r="D396" t="s">
        <v>72</v>
      </c>
      <c r="E396" t="s">
        <v>94</v>
      </c>
      <c r="F396" t="s">
        <v>383</v>
      </c>
      <c r="G396" t="s">
        <v>68</v>
      </c>
      <c r="H396" t="s">
        <v>104</v>
      </c>
      <c r="I396">
        <v>1</v>
      </c>
      <c r="J396" s="6">
        <v>320000</v>
      </c>
      <c r="K396" s="6">
        <v>244000</v>
      </c>
      <c r="L396" s="5">
        <v>0</v>
      </c>
      <c r="M396" t="s">
        <v>57</v>
      </c>
      <c r="N396" t="s">
        <v>75</v>
      </c>
      <c r="O396">
        <f t="shared" si="48"/>
        <v>2</v>
      </c>
      <c r="P396">
        <f t="shared" si="49"/>
        <v>1</v>
      </c>
      <c r="Q396" s="6">
        <f t="shared" si="50"/>
        <v>320000</v>
      </c>
      <c r="R396" s="6">
        <f t="shared" si="51"/>
        <v>0</v>
      </c>
      <c r="S396" s="6">
        <f t="shared" si="52"/>
        <v>320000</v>
      </c>
      <c r="T396" s="6">
        <f t="shared" si="53"/>
        <v>244000</v>
      </c>
      <c r="U396" s="6">
        <f t="shared" si="54"/>
        <v>76000</v>
      </c>
      <c r="V396" s="5">
        <f t="shared" si="55"/>
        <v>0.23749999999999999</v>
      </c>
    </row>
    <row r="397" spans="1:22">
      <c r="A397" t="s">
        <v>702</v>
      </c>
      <c r="B397" s="4">
        <v>45957</v>
      </c>
      <c r="C397" t="s">
        <v>60</v>
      </c>
      <c r="D397" t="s">
        <v>61</v>
      </c>
      <c r="E397" t="s">
        <v>84</v>
      </c>
      <c r="F397" t="s">
        <v>541</v>
      </c>
      <c r="G397" t="s">
        <v>55</v>
      </c>
      <c r="H397" t="s">
        <v>115</v>
      </c>
      <c r="I397">
        <v>6</v>
      </c>
      <c r="J397" s="6">
        <v>105000</v>
      </c>
      <c r="K397" s="6">
        <v>76000</v>
      </c>
      <c r="L397" s="5">
        <v>0</v>
      </c>
      <c r="M397" t="s">
        <v>80</v>
      </c>
      <c r="N397" t="s">
        <v>81</v>
      </c>
      <c r="O397">
        <f t="shared" si="48"/>
        <v>10</v>
      </c>
      <c r="P397">
        <f t="shared" si="49"/>
        <v>4</v>
      </c>
      <c r="Q397" s="6">
        <f t="shared" si="50"/>
        <v>630000</v>
      </c>
      <c r="R397" s="6">
        <f t="shared" si="51"/>
        <v>0</v>
      </c>
      <c r="S397" s="6">
        <f t="shared" si="52"/>
        <v>0</v>
      </c>
      <c r="T397" s="6">
        <f t="shared" si="53"/>
        <v>0</v>
      </c>
      <c r="U397" s="6">
        <f t="shared" si="54"/>
        <v>0</v>
      </c>
      <c r="V397" s="5">
        <f t="shared" si="55"/>
        <v>0</v>
      </c>
    </row>
    <row r="398" spans="1:22">
      <c r="A398" t="s">
        <v>703</v>
      </c>
      <c r="B398" s="4">
        <v>45785</v>
      </c>
      <c r="C398" t="s">
        <v>51</v>
      </c>
      <c r="D398" t="s">
        <v>72</v>
      </c>
      <c r="E398" t="s">
        <v>84</v>
      </c>
      <c r="F398" t="s">
        <v>447</v>
      </c>
      <c r="G398" t="s">
        <v>55</v>
      </c>
      <c r="H398" t="s">
        <v>56</v>
      </c>
      <c r="I398">
        <v>7</v>
      </c>
      <c r="J398" s="6">
        <v>138000</v>
      </c>
      <c r="K398" s="6">
        <v>99000</v>
      </c>
      <c r="L398" s="5">
        <v>0</v>
      </c>
      <c r="M398" t="s">
        <v>109</v>
      </c>
      <c r="N398" t="s">
        <v>58</v>
      </c>
      <c r="O398">
        <f t="shared" si="48"/>
        <v>5</v>
      </c>
      <c r="P398">
        <f t="shared" si="49"/>
        <v>2</v>
      </c>
      <c r="Q398" s="6">
        <f t="shared" si="50"/>
        <v>966000</v>
      </c>
      <c r="R398" s="6">
        <f t="shared" si="51"/>
        <v>0</v>
      </c>
      <c r="S398" s="6">
        <f t="shared" si="52"/>
        <v>0</v>
      </c>
      <c r="T398" s="6">
        <f t="shared" si="53"/>
        <v>0</v>
      </c>
      <c r="U398" s="6">
        <f t="shared" si="54"/>
        <v>0</v>
      </c>
      <c r="V398" s="5">
        <f t="shared" si="55"/>
        <v>0</v>
      </c>
    </row>
    <row r="399" spans="1:22">
      <c r="A399" t="s">
        <v>704</v>
      </c>
      <c r="B399" s="4">
        <v>45737</v>
      </c>
      <c r="C399" t="s">
        <v>77</v>
      </c>
      <c r="D399" t="s">
        <v>72</v>
      </c>
      <c r="E399" t="s">
        <v>66</v>
      </c>
      <c r="F399" t="s">
        <v>705</v>
      </c>
      <c r="G399" t="s">
        <v>89</v>
      </c>
      <c r="H399" t="s">
        <v>95</v>
      </c>
      <c r="I399">
        <v>2</v>
      </c>
      <c r="J399" s="6">
        <v>32000</v>
      </c>
      <c r="K399" s="6">
        <v>21000</v>
      </c>
      <c r="L399" s="5">
        <v>0</v>
      </c>
      <c r="M399" t="s">
        <v>109</v>
      </c>
      <c r="N399" t="s">
        <v>63</v>
      </c>
      <c r="O399">
        <f t="shared" si="48"/>
        <v>3</v>
      </c>
      <c r="P399">
        <f t="shared" si="49"/>
        <v>1</v>
      </c>
      <c r="Q399" s="6">
        <f t="shared" si="50"/>
        <v>64000</v>
      </c>
      <c r="R399" s="6">
        <f t="shared" si="51"/>
        <v>0</v>
      </c>
      <c r="S399" s="6">
        <f t="shared" si="52"/>
        <v>0</v>
      </c>
      <c r="T399" s="6">
        <f t="shared" si="53"/>
        <v>0</v>
      </c>
      <c r="U399" s="6">
        <f t="shared" si="54"/>
        <v>0</v>
      </c>
      <c r="V399" s="5">
        <f t="shared" si="55"/>
        <v>0</v>
      </c>
    </row>
    <row r="400" spans="1:22">
      <c r="A400" t="s">
        <v>706</v>
      </c>
      <c r="B400" s="4">
        <v>45856</v>
      </c>
      <c r="C400" t="s">
        <v>92</v>
      </c>
      <c r="D400" t="s">
        <v>65</v>
      </c>
      <c r="E400" t="s">
        <v>94</v>
      </c>
      <c r="F400" t="s">
        <v>588</v>
      </c>
      <c r="G400" t="s">
        <v>68</v>
      </c>
      <c r="H400" t="s">
        <v>104</v>
      </c>
      <c r="I400">
        <v>8</v>
      </c>
      <c r="J400" s="6">
        <v>320000</v>
      </c>
      <c r="K400" s="6">
        <v>244000</v>
      </c>
      <c r="L400" s="5">
        <v>0</v>
      </c>
      <c r="M400" t="s">
        <v>80</v>
      </c>
      <c r="N400" t="s">
        <v>58</v>
      </c>
      <c r="O400">
        <f t="shared" si="48"/>
        <v>7</v>
      </c>
      <c r="P400">
        <f t="shared" si="49"/>
        <v>3</v>
      </c>
      <c r="Q400" s="6">
        <f t="shared" si="50"/>
        <v>2560000</v>
      </c>
      <c r="R400" s="6">
        <f t="shared" si="51"/>
        <v>0</v>
      </c>
      <c r="S400" s="6">
        <f t="shared" si="52"/>
        <v>0</v>
      </c>
      <c r="T400" s="6">
        <f t="shared" si="53"/>
        <v>0</v>
      </c>
      <c r="U400" s="6">
        <f t="shared" si="54"/>
        <v>0</v>
      </c>
      <c r="V400" s="5">
        <f t="shared" si="55"/>
        <v>0</v>
      </c>
    </row>
    <row r="401" spans="1:22">
      <c r="A401" t="s">
        <v>707</v>
      </c>
      <c r="B401" s="4">
        <v>45993</v>
      </c>
      <c r="C401" t="s">
        <v>102</v>
      </c>
      <c r="D401" t="s">
        <v>106</v>
      </c>
      <c r="E401" t="s">
        <v>66</v>
      </c>
      <c r="F401" t="s">
        <v>151</v>
      </c>
      <c r="G401" t="s">
        <v>89</v>
      </c>
      <c r="H401" t="s">
        <v>90</v>
      </c>
      <c r="I401">
        <v>4</v>
      </c>
      <c r="J401" s="6">
        <v>5900</v>
      </c>
      <c r="K401" s="6">
        <v>3700</v>
      </c>
      <c r="L401" s="5">
        <v>0.1</v>
      </c>
      <c r="M401" t="s">
        <v>57</v>
      </c>
      <c r="N401" t="s">
        <v>81</v>
      </c>
      <c r="O401">
        <f t="shared" si="48"/>
        <v>12</v>
      </c>
      <c r="P401">
        <f t="shared" si="49"/>
        <v>4</v>
      </c>
      <c r="Q401" s="6">
        <f t="shared" si="50"/>
        <v>23600</v>
      </c>
      <c r="R401" s="6">
        <f t="shared" si="51"/>
        <v>2360</v>
      </c>
      <c r="S401" s="6">
        <f t="shared" si="52"/>
        <v>21240</v>
      </c>
      <c r="T401" s="6">
        <f t="shared" si="53"/>
        <v>14800</v>
      </c>
      <c r="U401" s="6">
        <f t="shared" si="54"/>
        <v>6440</v>
      </c>
      <c r="V401" s="5">
        <f t="shared" si="55"/>
        <v>0.3032015065913371</v>
      </c>
    </row>
    <row r="402" spans="1:22">
      <c r="A402" t="s">
        <v>708</v>
      </c>
      <c r="B402" s="4">
        <v>45715</v>
      </c>
      <c r="C402" t="s">
        <v>111</v>
      </c>
      <c r="D402" t="s">
        <v>61</v>
      </c>
      <c r="E402" t="s">
        <v>53</v>
      </c>
      <c r="F402" t="s">
        <v>709</v>
      </c>
      <c r="G402" t="s">
        <v>68</v>
      </c>
      <c r="H402" t="s">
        <v>79</v>
      </c>
      <c r="I402">
        <v>4</v>
      </c>
      <c r="J402" s="6">
        <v>19000</v>
      </c>
      <c r="K402" s="6">
        <v>11500</v>
      </c>
      <c r="L402" s="5">
        <v>0.03</v>
      </c>
      <c r="M402" t="s">
        <v>57</v>
      </c>
      <c r="N402" t="s">
        <v>81</v>
      </c>
      <c r="O402">
        <f t="shared" si="48"/>
        <v>2</v>
      </c>
      <c r="P402">
        <f t="shared" si="49"/>
        <v>1</v>
      </c>
      <c r="Q402" s="6">
        <f t="shared" si="50"/>
        <v>76000</v>
      </c>
      <c r="R402" s="6">
        <f t="shared" si="51"/>
        <v>2280</v>
      </c>
      <c r="S402" s="6">
        <f t="shared" si="52"/>
        <v>73720</v>
      </c>
      <c r="T402" s="6">
        <f t="shared" si="53"/>
        <v>46000</v>
      </c>
      <c r="U402" s="6">
        <f t="shared" si="54"/>
        <v>27720</v>
      </c>
      <c r="V402" s="5">
        <f t="shared" si="55"/>
        <v>0.37601736299511668</v>
      </c>
    </row>
    <row r="403" spans="1:22">
      <c r="A403" t="s">
        <v>710</v>
      </c>
      <c r="B403" s="4">
        <v>45709</v>
      </c>
      <c r="C403" t="s">
        <v>102</v>
      </c>
      <c r="D403" t="s">
        <v>61</v>
      </c>
      <c r="E403" t="s">
        <v>53</v>
      </c>
      <c r="F403" t="s">
        <v>475</v>
      </c>
      <c r="G403" t="s">
        <v>89</v>
      </c>
      <c r="H403" t="s">
        <v>90</v>
      </c>
      <c r="I403">
        <v>8</v>
      </c>
      <c r="J403" s="6">
        <v>5900</v>
      </c>
      <c r="K403" s="6">
        <v>3700</v>
      </c>
      <c r="L403" s="5">
        <v>0.12</v>
      </c>
      <c r="M403" t="s">
        <v>57</v>
      </c>
      <c r="N403" t="s">
        <v>70</v>
      </c>
      <c r="O403">
        <f t="shared" si="48"/>
        <v>2</v>
      </c>
      <c r="P403">
        <f t="shared" si="49"/>
        <v>1</v>
      </c>
      <c r="Q403" s="6">
        <f t="shared" si="50"/>
        <v>47200</v>
      </c>
      <c r="R403" s="6">
        <f t="shared" si="51"/>
        <v>5664</v>
      </c>
      <c r="S403" s="6">
        <f t="shared" si="52"/>
        <v>41536</v>
      </c>
      <c r="T403" s="6">
        <f t="shared" si="53"/>
        <v>29600</v>
      </c>
      <c r="U403" s="6">
        <f t="shared" si="54"/>
        <v>11936</v>
      </c>
      <c r="V403" s="5">
        <f t="shared" si="55"/>
        <v>0.28736517719568566</v>
      </c>
    </row>
    <row r="404" spans="1:22">
      <c r="A404" t="s">
        <v>711</v>
      </c>
      <c r="B404" s="4">
        <v>45995</v>
      </c>
      <c r="C404" t="s">
        <v>51</v>
      </c>
      <c r="D404" t="s">
        <v>93</v>
      </c>
      <c r="E404" t="s">
        <v>66</v>
      </c>
      <c r="F404" t="s">
        <v>351</v>
      </c>
      <c r="G404" t="s">
        <v>68</v>
      </c>
      <c r="H404" t="s">
        <v>79</v>
      </c>
      <c r="I404">
        <v>4</v>
      </c>
      <c r="J404" s="6">
        <v>19000</v>
      </c>
      <c r="K404" s="6">
        <v>11500</v>
      </c>
      <c r="L404" s="5">
        <v>0.05</v>
      </c>
      <c r="M404" t="s">
        <v>57</v>
      </c>
      <c r="N404" t="s">
        <v>75</v>
      </c>
      <c r="O404">
        <f t="shared" si="48"/>
        <v>12</v>
      </c>
      <c r="P404">
        <f t="shared" si="49"/>
        <v>4</v>
      </c>
      <c r="Q404" s="6">
        <f t="shared" si="50"/>
        <v>76000</v>
      </c>
      <c r="R404" s="6">
        <f t="shared" si="51"/>
        <v>3800</v>
      </c>
      <c r="S404" s="6">
        <f t="shared" si="52"/>
        <v>72200</v>
      </c>
      <c r="T404" s="6">
        <f t="shared" si="53"/>
        <v>46000</v>
      </c>
      <c r="U404" s="6">
        <f t="shared" si="54"/>
        <v>26200</v>
      </c>
      <c r="V404" s="5">
        <f t="shared" si="55"/>
        <v>0.36288088642659277</v>
      </c>
    </row>
    <row r="405" spans="1:22">
      <c r="A405" t="s">
        <v>712</v>
      </c>
      <c r="B405" s="4">
        <v>45732</v>
      </c>
      <c r="C405" t="s">
        <v>60</v>
      </c>
      <c r="D405" t="s">
        <v>61</v>
      </c>
      <c r="E405" t="s">
        <v>66</v>
      </c>
      <c r="F405" t="s">
        <v>512</v>
      </c>
      <c r="G405" t="s">
        <v>55</v>
      </c>
      <c r="H405" t="s">
        <v>115</v>
      </c>
      <c r="I405">
        <v>5</v>
      </c>
      <c r="J405" s="6">
        <v>105000</v>
      </c>
      <c r="K405" s="6">
        <v>76000</v>
      </c>
      <c r="L405" s="5">
        <v>0.12</v>
      </c>
      <c r="M405" t="s">
        <v>109</v>
      </c>
      <c r="N405" t="s">
        <v>58</v>
      </c>
      <c r="O405">
        <f t="shared" si="48"/>
        <v>3</v>
      </c>
      <c r="P405">
        <f t="shared" si="49"/>
        <v>1</v>
      </c>
      <c r="Q405" s="6">
        <f t="shared" si="50"/>
        <v>525000</v>
      </c>
      <c r="R405" s="6">
        <f t="shared" si="51"/>
        <v>63000</v>
      </c>
      <c r="S405" s="6">
        <f t="shared" si="52"/>
        <v>0</v>
      </c>
      <c r="T405" s="6">
        <f t="shared" si="53"/>
        <v>0</v>
      </c>
      <c r="U405" s="6">
        <f t="shared" si="54"/>
        <v>0</v>
      </c>
      <c r="V405" s="5">
        <f t="shared" si="55"/>
        <v>0</v>
      </c>
    </row>
    <row r="406" spans="1:22">
      <c r="A406" t="s">
        <v>713</v>
      </c>
      <c r="B406" s="4">
        <v>45705</v>
      </c>
      <c r="C406" t="s">
        <v>51</v>
      </c>
      <c r="D406" t="s">
        <v>61</v>
      </c>
      <c r="E406" t="s">
        <v>66</v>
      </c>
      <c r="F406" t="s">
        <v>262</v>
      </c>
      <c r="G406" t="s">
        <v>68</v>
      </c>
      <c r="H406" t="s">
        <v>104</v>
      </c>
      <c r="I406">
        <v>5</v>
      </c>
      <c r="J406" s="6">
        <v>320000</v>
      </c>
      <c r="K406" s="6">
        <v>244000</v>
      </c>
      <c r="L406" s="5">
        <v>0.05</v>
      </c>
      <c r="M406" t="s">
        <v>57</v>
      </c>
      <c r="N406" t="s">
        <v>81</v>
      </c>
      <c r="O406">
        <f t="shared" si="48"/>
        <v>2</v>
      </c>
      <c r="P406">
        <f t="shared" si="49"/>
        <v>1</v>
      </c>
      <c r="Q406" s="6">
        <f t="shared" si="50"/>
        <v>1600000</v>
      </c>
      <c r="R406" s="6">
        <f t="shared" si="51"/>
        <v>80000</v>
      </c>
      <c r="S406" s="6">
        <f t="shared" si="52"/>
        <v>1520000</v>
      </c>
      <c r="T406" s="6">
        <f t="shared" si="53"/>
        <v>1220000</v>
      </c>
      <c r="U406" s="6">
        <f t="shared" si="54"/>
        <v>300000</v>
      </c>
      <c r="V406" s="5">
        <f t="shared" si="55"/>
        <v>0.19736842105263158</v>
      </c>
    </row>
    <row r="407" spans="1:22">
      <c r="A407" t="s">
        <v>714</v>
      </c>
      <c r="B407" s="4">
        <v>46008</v>
      </c>
      <c r="C407" t="s">
        <v>102</v>
      </c>
      <c r="D407" t="s">
        <v>106</v>
      </c>
      <c r="E407" t="s">
        <v>66</v>
      </c>
      <c r="F407" t="s">
        <v>189</v>
      </c>
      <c r="G407" t="s">
        <v>55</v>
      </c>
      <c r="H407" t="s">
        <v>115</v>
      </c>
      <c r="I407">
        <v>5</v>
      </c>
      <c r="J407" s="6">
        <v>105000</v>
      </c>
      <c r="K407" s="6">
        <v>76000</v>
      </c>
      <c r="L407" s="5">
        <v>0</v>
      </c>
      <c r="M407" t="s">
        <v>109</v>
      </c>
      <c r="N407" t="s">
        <v>58</v>
      </c>
      <c r="O407">
        <f t="shared" si="48"/>
        <v>12</v>
      </c>
      <c r="P407">
        <f t="shared" si="49"/>
        <v>4</v>
      </c>
      <c r="Q407" s="6">
        <f t="shared" si="50"/>
        <v>525000</v>
      </c>
      <c r="R407" s="6">
        <f t="shared" si="51"/>
        <v>0</v>
      </c>
      <c r="S407" s="6">
        <f t="shared" si="52"/>
        <v>0</v>
      </c>
      <c r="T407" s="6">
        <f t="shared" si="53"/>
        <v>0</v>
      </c>
      <c r="U407" s="6">
        <f t="shared" si="54"/>
        <v>0</v>
      </c>
      <c r="V407" s="5">
        <f t="shared" si="55"/>
        <v>0</v>
      </c>
    </row>
    <row r="408" spans="1:22">
      <c r="A408" t="s">
        <v>715</v>
      </c>
      <c r="B408" s="4">
        <v>45866</v>
      </c>
      <c r="C408" t="s">
        <v>60</v>
      </c>
      <c r="D408" t="s">
        <v>61</v>
      </c>
      <c r="E408" t="s">
        <v>73</v>
      </c>
      <c r="F408" t="s">
        <v>164</v>
      </c>
      <c r="G408" t="s">
        <v>55</v>
      </c>
      <c r="H408" t="s">
        <v>56</v>
      </c>
      <c r="I408">
        <v>3</v>
      </c>
      <c r="J408" s="6">
        <v>138000</v>
      </c>
      <c r="K408" s="6">
        <v>99000</v>
      </c>
      <c r="L408" s="5">
        <v>0</v>
      </c>
      <c r="M408" t="s">
        <v>80</v>
      </c>
      <c r="N408" t="s">
        <v>81</v>
      </c>
      <c r="O408">
        <f t="shared" si="48"/>
        <v>7</v>
      </c>
      <c r="P408">
        <f t="shared" si="49"/>
        <v>3</v>
      </c>
      <c r="Q408" s="6">
        <f t="shared" si="50"/>
        <v>414000</v>
      </c>
      <c r="R408" s="6">
        <f t="shared" si="51"/>
        <v>0</v>
      </c>
      <c r="S408" s="6">
        <f t="shared" si="52"/>
        <v>0</v>
      </c>
      <c r="T408" s="6">
        <f t="shared" si="53"/>
        <v>0</v>
      </c>
      <c r="U408" s="6">
        <f t="shared" si="54"/>
        <v>0</v>
      </c>
      <c r="V408" s="5">
        <f t="shared" si="55"/>
        <v>0</v>
      </c>
    </row>
    <row r="409" spans="1:22">
      <c r="A409" t="s">
        <v>716</v>
      </c>
      <c r="B409" s="4">
        <v>45898</v>
      </c>
      <c r="C409" t="s">
        <v>102</v>
      </c>
      <c r="D409" t="s">
        <v>61</v>
      </c>
      <c r="E409" t="s">
        <v>84</v>
      </c>
      <c r="F409" t="s">
        <v>619</v>
      </c>
      <c r="G409" t="s">
        <v>55</v>
      </c>
      <c r="H409" t="s">
        <v>86</v>
      </c>
      <c r="I409">
        <v>2</v>
      </c>
      <c r="J409" s="6">
        <v>92000</v>
      </c>
      <c r="K409" s="6">
        <v>60000</v>
      </c>
      <c r="L409" s="5">
        <v>0.1</v>
      </c>
      <c r="M409" t="s">
        <v>57</v>
      </c>
      <c r="N409" t="s">
        <v>63</v>
      </c>
      <c r="O409">
        <f t="shared" si="48"/>
        <v>8</v>
      </c>
      <c r="P409">
        <f t="shared" si="49"/>
        <v>3</v>
      </c>
      <c r="Q409" s="6">
        <f t="shared" si="50"/>
        <v>184000</v>
      </c>
      <c r="R409" s="6">
        <f t="shared" si="51"/>
        <v>18400</v>
      </c>
      <c r="S409" s="6">
        <f t="shared" si="52"/>
        <v>165600</v>
      </c>
      <c r="T409" s="6">
        <f t="shared" si="53"/>
        <v>120000</v>
      </c>
      <c r="U409" s="6">
        <f t="shared" si="54"/>
        <v>45600</v>
      </c>
      <c r="V409" s="5">
        <f t="shared" si="55"/>
        <v>0.27536231884057971</v>
      </c>
    </row>
    <row r="410" spans="1:22">
      <c r="A410" t="s">
        <v>717</v>
      </c>
      <c r="B410" s="4">
        <v>45680</v>
      </c>
      <c r="C410" t="s">
        <v>51</v>
      </c>
      <c r="D410" t="s">
        <v>61</v>
      </c>
      <c r="E410" t="s">
        <v>53</v>
      </c>
      <c r="F410" t="s">
        <v>535</v>
      </c>
      <c r="G410" t="s">
        <v>68</v>
      </c>
      <c r="H410" t="s">
        <v>108</v>
      </c>
      <c r="I410">
        <v>8</v>
      </c>
      <c r="J410" s="6">
        <v>175000</v>
      </c>
      <c r="K410" s="6">
        <v>129000</v>
      </c>
      <c r="L410" s="5">
        <v>0.03</v>
      </c>
      <c r="M410" t="s">
        <v>57</v>
      </c>
      <c r="N410" t="s">
        <v>58</v>
      </c>
      <c r="O410">
        <f t="shared" si="48"/>
        <v>1</v>
      </c>
      <c r="P410">
        <f t="shared" si="49"/>
        <v>1</v>
      </c>
      <c r="Q410" s="6">
        <f t="shared" si="50"/>
        <v>1400000</v>
      </c>
      <c r="R410" s="6">
        <f t="shared" si="51"/>
        <v>42000</v>
      </c>
      <c r="S410" s="6">
        <f t="shared" si="52"/>
        <v>1358000</v>
      </c>
      <c r="T410" s="6">
        <f t="shared" si="53"/>
        <v>1032000</v>
      </c>
      <c r="U410" s="6">
        <f t="shared" si="54"/>
        <v>326000</v>
      </c>
      <c r="V410" s="5">
        <f t="shared" si="55"/>
        <v>0.24005891016200295</v>
      </c>
    </row>
    <row r="411" spans="1:22">
      <c r="A411" t="s">
        <v>718</v>
      </c>
      <c r="B411" s="4">
        <v>45917</v>
      </c>
      <c r="C411" t="s">
        <v>51</v>
      </c>
      <c r="D411" t="s">
        <v>61</v>
      </c>
      <c r="E411" t="s">
        <v>73</v>
      </c>
      <c r="F411" t="s">
        <v>337</v>
      </c>
      <c r="G411" t="s">
        <v>89</v>
      </c>
      <c r="H411" t="s">
        <v>90</v>
      </c>
      <c r="I411">
        <v>3</v>
      </c>
      <c r="J411" s="6">
        <v>5900</v>
      </c>
      <c r="K411" s="6">
        <v>3700</v>
      </c>
      <c r="L411" s="5">
        <v>0.05</v>
      </c>
      <c r="M411" t="s">
        <v>57</v>
      </c>
      <c r="N411" t="s">
        <v>81</v>
      </c>
      <c r="O411">
        <f t="shared" si="48"/>
        <v>9</v>
      </c>
      <c r="P411">
        <f t="shared" si="49"/>
        <v>3</v>
      </c>
      <c r="Q411" s="6">
        <f t="shared" si="50"/>
        <v>17700</v>
      </c>
      <c r="R411" s="6">
        <f t="shared" si="51"/>
        <v>885</v>
      </c>
      <c r="S411" s="6">
        <f t="shared" si="52"/>
        <v>16815</v>
      </c>
      <c r="T411" s="6">
        <f t="shared" si="53"/>
        <v>11100</v>
      </c>
      <c r="U411" s="6">
        <f t="shared" si="54"/>
        <v>5715</v>
      </c>
      <c r="V411" s="5">
        <f t="shared" si="55"/>
        <v>0.33987511150758254</v>
      </c>
    </row>
    <row r="412" spans="1:22">
      <c r="A412" t="s">
        <v>719</v>
      </c>
      <c r="B412" s="4">
        <v>45760</v>
      </c>
      <c r="C412" t="s">
        <v>111</v>
      </c>
      <c r="D412" t="s">
        <v>106</v>
      </c>
      <c r="E412" t="s">
        <v>73</v>
      </c>
      <c r="F412" t="s">
        <v>349</v>
      </c>
      <c r="G412" t="s">
        <v>89</v>
      </c>
      <c r="H412" t="s">
        <v>95</v>
      </c>
      <c r="I412">
        <v>7</v>
      </c>
      <c r="J412" s="6">
        <v>32000</v>
      </c>
      <c r="K412" s="6">
        <v>21000</v>
      </c>
      <c r="L412" s="5">
        <v>0</v>
      </c>
      <c r="M412" t="s">
        <v>57</v>
      </c>
      <c r="N412" t="s">
        <v>58</v>
      </c>
      <c r="O412">
        <f t="shared" si="48"/>
        <v>4</v>
      </c>
      <c r="P412">
        <f t="shared" si="49"/>
        <v>2</v>
      </c>
      <c r="Q412" s="6">
        <f t="shared" si="50"/>
        <v>224000</v>
      </c>
      <c r="R412" s="6">
        <f t="shared" si="51"/>
        <v>0</v>
      </c>
      <c r="S412" s="6">
        <f t="shared" si="52"/>
        <v>224000</v>
      </c>
      <c r="T412" s="6">
        <f t="shared" si="53"/>
        <v>147000</v>
      </c>
      <c r="U412" s="6">
        <f t="shared" si="54"/>
        <v>77000</v>
      </c>
      <c r="V412" s="5">
        <f t="shared" si="55"/>
        <v>0.34375</v>
      </c>
    </row>
    <row r="413" spans="1:22">
      <c r="A413" t="s">
        <v>720</v>
      </c>
      <c r="B413" s="4">
        <v>45708</v>
      </c>
      <c r="C413" t="s">
        <v>60</v>
      </c>
      <c r="D413" t="s">
        <v>93</v>
      </c>
      <c r="E413" t="s">
        <v>94</v>
      </c>
      <c r="F413" t="s">
        <v>260</v>
      </c>
      <c r="G413" t="s">
        <v>68</v>
      </c>
      <c r="H413" t="s">
        <v>69</v>
      </c>
      <c r="I413">
        <v>3</v>
      </c>
      <c r="J413" s="6">
        <v>115000</v>
      </c>
      <c r="K413" s="6">
        <v>82000</v>
      </c>
      <c r="L413" s="5">
        <v>0.12</v>
      </c>
      <c r="M413" t="s">
        <v>80</v>
      </c>
      <c r="N413" t="s">
        <v>81</v>
      </c>
      <c r="O413">
        <f t="shared" si="48"/>
        <v>2</v>
      </c>
      <c r="P413">
        <f t="shared" si="49"/>
        <v>1</v>
      </c>
      <c r="Q413" s="6">
        <f t="shared" si="50"/>
        <v>345000</v>
      </c>
      <c r="R413" s="6">
        <f t="shared" si="51"/>
        <v>41400</v>
      </c>
      <c r="S413" s="6">
        <f t="shared" si="52"/>
        <v>0</v>
      </c>
      <c r="T413" s="6">
        <f t="shared" si="53"/>
        <v>0</v>
      </c>
      <c r="U413" s="6">
        <f t="shared" si="54"/>
        <v>0</v>
      </c>
      <c r="V413" s="5">
        <f t="shared" si="55"/>
        <v>0</v>
      </c>
    </row>
    <row r="414" spans="1:22">
      <c r="A414" t="s">
        <v>721</v>
      </c>
      <c r="B414" s="4">
        <v>45742</v>
      </c>
      <c r="C414" t="s">
        <v>102</v>
      </c>
      <c r="D414" t="s">
        <v>93</v>
      </c>
      <c r="E414" t="s">
        <v>84</v>
      </c>
      <c r="F414" t="s">
        <v>62</v>
      </c>
      <c r="G414" t="s">
        <v>68</v>
      </c>
      <c r="H414" t="s">
        <v>104</v>
      </c>
      <c r="I414">
        <v>6</v>
      </c>
      <c r="J414" s="6">
        <v>320000</v>
      </c>
      <c r="K414" s="6">
        <v>244000</v>
      </c>
      <c r="L414" s="5">
        <v>0.08</v>
      </c>
      <c r="M414" t="s">
        <v>57</v>
      </c>
      <c r="N414" t="s">
        <v>63</v>
      </c>
      <c r="O414">
        <f t="shared" si="48"/>
        <v>3</v>
      </c>
      <c r="P414">
        <f t="shared" si="49"/>
        <v>1</v>
      </c>
      <c r="Q414" s="6">
        <f t="shared" si="50"/>
        <v>1920000</v>
      </c>
      <c r="R414" s="6">
        <f t="shared" si="51"/>
        <v>153600</v>
      </c>
      <c r="S414" s="6">
        <f t="shared" si="52"/>
        <v>1766400</v>
      </c>
      <c r="T414" s="6">
        <f t="shared" si="53"/>
        <v>1464000</v>
      </c>
      <c r="U414" s="6">
        <f t="shared" si="54"/>
        <v>302400</v>
      </c>
      <c r="V414" s="5">
        <f t="shared" si="55"/>
        <v>0.17119565217391305</v>
      </c>
    </row>
    <row r="415" spans="1:22">
      <c r="A415" t="s">
        <v>722</v>
      </c>
      <c r="B415" s="4">
        <v>45877</v>
      </c>
      <c r="C415" t="s">
        <v>77</v>
      </c>
      <c r="D415" t="s">
        <v>106</v>
      </c>
      <c r="E415" t="s">
        <v>94</v>
      </c>
      <c r="F415" t="s">
        <v>224</v>
      </c>
      <c r="G415" t="s">
        <v>68</v>
      </c>
      <c r="H415" t="s">
        <v>108</v>
      </c>
      <c r="I415">
        <v>6</v>
      </c>
      <c r="J415" s="6">
        <v>175000</v>
      </c>
      <c r="K415" s="6">
        <v>129000</v>
      </c>
      <c r="L415" s="5">
        <v>0.1</v>
      </c>
      <c r="M415" t="s">
        <v>57</v>
      </c>
      <c r="N415" t="s">
        <v>58</v>
      </c>
      <c r="O415">
        <f t="shared" si="48"/>
        <v>8</v>
      </c>
      <c r="P415">
        <f t="shared" si="49"/>
        <v>3</v>
      </c>
      <c r="Q415" s="6">
        <f t="shared" si="50"/>
        <v>1050000</v>
      </c>
      <c r="R415" s="6">
        <f t="shared" si="51"/>
        <v>105000</v>
      </c>
      <c r="S415" s="6">
        <f t="shared" si="52"/>
        <v>945000</v>
      </c>
      <c r="T415" s="6">
        <f t="shared" si="53"/>
        <v>774000</v>
      </c>
      <c r="U415" s="6">
        <f t="shared" si="54"/>
        <v>171000</v>
      </c>
      <c r="V415" s="5">
        <f t="shared" si="55"/>
        <v>0.18095238095238095</v>
      </c>
    </row>
    <row r="416" spans="1:22">
      <c r="A416" t="s">
        <v>723</v>
      </c>
      <c r="B416" s="4">
        <v>45792</v>
      </c>
      <c r="C416" t="s">
        <v>92</v>
      </c>
      <c r="D416" t="s">
        <v>61</v>
      </c>
      <c r="E416" t="s">
        <v>53</v>
      </c>
      <c r="F416" t="s">
        <v>178</v>
      </c>
      <c r="G416" t="s">
        <v>55</v>
      </c>
      <c r="H416" t="s">
        <v>115</v>
      </c>
      <c r="I416">
        <v>2</v>
      </c>
      <c r="J416" s="6">
        <v>105000</v>
      </c>
      <c r="K416" s="6">
        <v>76000</v>
      </c>
      <c r="L416" s="5">
        <v>0</v>
      </c>
      <c r="M416" t="s">
        <v>57</v>
      </c>
      <c r="N416" t="s">
        <v>75</v>
      </c>
      <c r="O416">
        <f t="shared" si="48"/>
        <v>5</v>
      </c>
      <c r="P416">
        <f t="shared" si="49"/>
        <v>2</v>
      </c>
      <c r="Q416" s="6">
        <f t="shared" si="50"/>
        <v>210000</v>
      </c>
      <c r="R416" s="6">
        <f t="shared" si="51"/>
        <v>0</v>
      </c>
      <c r="S416" s="6">
        <f t="shared" si="52"/>
        <v>210000</v>
      </c>
      <c r="T416" s="6">
        <f t="shared" si="53"/>
        <v>152000</v>
      </c>
      <c r="U416" s="6">
        <f t="shared" si="54"/>
        <v>58000</v>
      </c>
      <c r="V416" s="5">
        <f t="shared" si="55"/>
        <v>0.27619047619047621</v>
      </c>
    </row>
    <row r="417" spans="1:22">
      <c r="A417" t="s">
        <v>724</v>
      </c>
      <c r="B417" s="4">
        <v>45870</v>
      </c>
      <c r="C417" t="s">
        <v>60</v>
      </c>
      <c r="D417" t="s">
        <v>61</v>
      </c>
      <c r="E417" t="s">
        <v>73</v>
      </c>
      <c r="F417" t="s">
        <v>577</v>
      </c>
      <c r="G417" t="s">
        <v>68</v>
      </c>
      <c r="H417" t="s">
        <v>79</v>
      </c>
      <c r="I417">
        <v>6</v>
      </c>
      <c r="J417" s="6">
        <v>19000</v>
      </c>
      <c r="K417" s="6">
        <v>11500</v>
      </c>
      <c r="L417" s="5">
        <v>0.03</v>
      </c>
      <c r="M417" t="s">
        <v>57</v>
      </c>
      <c r="N417" t="s">
        <v>81</v>
      </c>
      <c r="O417">
        <f t="shared" si="48"/>
        <v>8</v>
      </c>
      <c r="P417">
        <f t="shared" si="49"/>
        <v>3</v>
      </c>
      <c r="Q417" s="6">
        <f t="shared" si="50"/>
        <v>114000</v>
      </c>
      <c r="R417" s="6">
        <f t="shared" si="51"/>
        <v>3420</v>
      </c>
      <c r="S417" s="6">
        <f t="shared" si="52"/>
        <v>110580</v>
      </c>
      <c r="T417" s="6">
        <f t="shared" si="53"/>
        <v>69000</v>
      </c>
      <c r="U417" s="6">
        <f t="shared" si="54"/>
        <v>41580</v>
      </c>
      <c r="V417" s="5">
        <f t="shared" si="55"/>
        <v>0.37601736299511668</v>
      </c>
    </row>
    <row r="418" spans="1:22">
      <c r="A418" t="s">
        <v>725</v>
      </c>
      <c r="B418" s="4">
        <v>45731</v>
      </c>
      <c r="C418" t="s">
        <v>111</v>
      </c>
      <c r="D418" t="s">
        <v>93</v>
      </c>
      <c r="E418" t="s">
        <v>73</v>
      </c>
      <c r="F418" t="s">
        <v>414</v>
      </c>
      <c r="G418" t="s">
        <v>89</v>
      </c>
      <c r="H418" t="s">
        <v>90</v>
      </c>
      <c r="I418">
        <v>1</v>
      </c>
      <c r="J418" s="6">
        <v>5900</v>
      </c>
      <c r="K418" s="6">
        <v>3700</v>
      </c>
      <c r="L418" s="5">
        <v>0</v>
      </c>
      <c r="M418" t="s">
        <v>57</v>
      </c>
      <c r="N418" t="s">
        <v>63</v>
      </c>
      <c r="O418">
        <f t="shared" si="48"/>
        <v>3</v>
      </c>
      <c r="P418">
        <f t="shared" si="49"/>
        <v>1</v>
      </c>
      <c r="Q418" s="6">
        <f t="shared" si="50"/>
        <v>5900</v>
      </c>
      <c r="R418" s="6">
        <f t="shared" si="51"/>
        <v>0</v>
      </c>
      <c r="S418" s="6">
        <f t="shared" si="52"/>
        <v>5900</v>
      </c>
      <c r="T418" s="6">
        <f t="shared" si="53"/>
        <v>3700</v>
      </c>
      <c r="U418" s="6">
        <f t="shared" si="54"/>
        <v>2200</v>
      </c>
      <c r="V418" s="5">
        <f t="shared" si="55"/>
        <v>0.3728813559322034</v>
      </c>
    </row>
    <row r="419" spans="1:22">
      <c r="A419" t="s">
        <v>726</v>
      </c>
      <c r="B419" s="4">
        <v>45824</v>
      </c>
      <c r="C419" t="s">
        <v>60</v>
      </c>
      <c r="D419" t="s">
        <v>106</v>
      </c>
      <c r="E419" t="s">
        <v>73</v>
      </c>
      <c r="F419" t="s">
        <v>346</v>
      </c>
      <c r="G419" t="s">
        <v>68</v>
      </c>
      <c r="H419" t="s">
        <v>69</v>
      </c>
      <c r="I419">
        <v>4</v>
      </c>
      <c r="J419" s="6">
        <v>115000</v>
      </c>
      <c r="K419" s="6">
        <v>82000</v>
      </c>
      <c r="L419" s="5">
        <v>0.08</v>
      </c>
      <c r="M419" t="s">
        <v>57</v>
      </c>
      <c r="N419" t="s">
        <v>81</v>
      </c>
      <c r="O419">
        <f t="shared" si="48"/>
        <v>6</v>
      </c>
      <c r="P419">
        <f t="shared" si="49"/>
        <v>2</v>
      </c>
      <c r="Q419" s="6">
        <f t="shared" si="50"/>
        <v>460000</v>
      </c>
      <c r="R419" s="6">
        <f t="shared" si="51"/>
        <v>36800</v>
      </c>
      <c r="S419" s="6">
        <f t="shared" si="52"/>
        <v>423200</v>
      </c>
      <c r="T419" s="6">
        <f t="shared" si="53"/>
        <v>328000</v>
      </c>
      <c r="U419" s="6">
        <f t="shared" si="54"/>
        <v>95200</v>
      </c>
      <c r="V419" s="5">
        <f t="shared" si="55"/>
        <v>0.22495274102079396</v>
      </c>
    </row>
    <row r="420" spans="1:22">
      <c r="A420" t="s">
        <v>727</v>
      </c>
      <c r="B420" s="4">
        <v>45872</v>
      </c>
      <c r="C420" t="s">
        <v>60</v>
      </c>
      <c r="D420" t="s">
        <v>61</v>
      </c>
      <c r="E420" t="s">
        <v>94</v>
      </c>
      <c r="F420" t="s">
        <v>344</v>
      </c>
      <c r="G420" t="s">
        <v>68</v>
      </c>
      <c r="H420" t="s">
        <v>104</v>
      </c>
      <c r="I420">
        <v>8</v>
      </c>
      <c r="J420" s="6">
        <v>320000</v>
      </c>
      <c r="K420" s="6">
        <v>244000</v>
      </c>
      <c r="L420" s="5">
        <v>0.12</v>
      </c>
      <c r="M420" t="s">
        <v>57</v>
      </c>
      <c r="N420" t="s">
        <v>81</v>
      </c>
      <c r="O420">
        <f t="shared" si="48"/>
        <v>8</v>
      </c>
      <c r="P420">
        <f t="shared" si="49"/>
        <v>3</v>
      </c>
      <c r="Q420" s="6">
        <f t="shared" si="50"/>
        <v>2560000</v>
      </c>
      <c r="R420" s="6">
        <f t="shared" si="51"/>
        <v>307200</v>
      </c>
      <c r="S420" s="6">
        <f t="shared" si="52"/>
        <v>2252800</v>
      </c>
      <c r="T420" s="6">
        <f t="shared" si="53"/>
        <v>1952000</v>
      </c>
      <c r="U420" s="6">
        <f t="shared" si="54"/>
        <v>300800</v>
      </c>
      <c r="V420" s="5">
        <f t="shared" si="55"/>
        <v>0.13352272727272727</v>
      </c>
    </row>
    <row r="421" spans="1:22">
      <c r="A421" t="s">
        <v>728</v>
      </c>
      <c r="B421" s="4">
        <v>45890</v>
      </c>
      <c r="C421" t="s">
        <v>83</v>
      </c>
      <c r="D421" t="s">
        <v>72</v>
      </c>
      <c r="E421" t="s">
        <v>73</v>
      </c>
      <c r="F421" t="s">
        <v>351</v>
      </c>
      <c r="G421" t="s">
        <v>89</v>
      </c>
      <c r="H421" t="s">
        <v>98</v>
      </c>
      <c r="I421">
        <v>6</v>
      </c>
      <c r="J421" s="6">
        <v>16500</v>
      </c>
      <c r="K421" s="6">
        <v>10000</v>
      </c>
      <c r="L421" s="5">
        <v>0.08</v>
      </c>
      <c r="M421" t="s">
        <v>57</v>
      </c>
      <c r="N421" t="s">
        <v>58</v>
      </c>
      <c r="O421">
        <f t="shared" si="48"/>
        <v>8</v>
      </c>
      <c r="P421">
        <f t="shared" si="49"/>
        <v>3</v>
      </c>
      <c r="Q421" s="6">
        <f t="shared" si="50"/>
        <v>99000</v>
      </c>
      <c r="R421" s="6">
        <f t="shared" si="51"/>
        <v>7920</v>
      </c>
      <c r="S421" s="6">
        <f t="shared" si="52"/>
        <v>91080</v>
      </c>
      <c r="T421" s="6">
        <f t="shared" si="53"/>
        <v>60000</v>
      </c>
      <c r="U421" s="6">
        <f t="shared" si="54"/>
        <v>31080</v>
      </c>
      <c r="V421" s="5">
        <f t="shared" si="55"/>
        <v>0.34123847167325427</v>
      </c>
    </row>
    <row r="422" spans="1:22">
      <c r="A422" t="s">
        <v>729</v>
      </c>
      <c r="B422" s="4">
        <v>45692</v>
      </c>
      <c r="C422" t="s">
        <v>92</v>
      </c>
      <c r="D422" t="s">
        <v>72</v>
      </c>
      <c r="E422" t="s">
        <v>66</v>
      </c>
      <c r="F422" t="s">
        <v>495</v>
      </c>
      <c r="G422" t="s">
        <v>68</v>
      </c>
      <c r="H422" t="s">
        <v>104</v>
      </c>
      <c r="I422">
        <v>8</v>
      </c>
      <c r="J422" s="6">
        <v>320000</v>
      </c>
      <c r="K422" s="6">
        <v>244000</v>
      </c>
      <c r="L422" s="5">
        <v>0.1</v>
      </c>
      <c r="M422" t="s">
        <v>57</v>
      </c>
      <c r="N422" t="s">
        <v>70</v>
      </c>
      <c r="O422">
        <f t="shared" si="48"/>
        <v>2</v>
      </c>
      <c r="P422">
        <f t="shared" si="49"/>
        <v>1</v>
      </c>
      <c r="Q422" s="6">
        <f t="shared" si="50"/>
        <v>2560000</v>
      </c>
      <c r="R422" s="6">
        <f t="shared" si="51"/>
        <v>256000</v>
      </c>
      <c r="S422" s="6">
        <f t="shared" si="52"/>
        <v>2304000</v>
      </c>
      <c r="T422" s="6">
        <f t="shared" si="53"/>
        <v>1952000</v>
      </c>
      <c r="U422" s="6">
        <f t="shared" si="54"/>
        <v>352000</v>
      </c>
      <c r="V422" s="5">
        <f t="shared" si="55"/>
        <v>0.15277777777777779</v>
      </c>
    </row>
    <row r="423" spans="1:22">
      <c r="A423" t="s">
        <v>730</v>
      </c>
      <c r="B423" s="4">
        <v>45855</v>
      </c>
      <c r="C423" t="s">
        <v>83</v>
      </c>
      <c r="D423" t="s">
        <v>65</v>
      </c>
      <c r="E423" t="s">
        <v>94</v>
      </c>
      <c r="F423" t="s">
        <v>731</v>
      </c>
      <c r="G423" t="s">
        <v>89</v>
      </c>
      <c r="H423" t="s">
        <v>95</v>
      </c>
      <c r="I423">
        <v>5</v>
      </c>
      <c r="J423" s="6">
        <v>32000</v>
      </c>
      <c r="K423" s="6">
        <v>21000</v>
      </c>
      <c r="L423" s="5">
        <v>0</v>
      </c>
      <c r="M423" t="s">
        <v>57</v>
      </c>
      <c r="N423" t="s">
        <v>58</v>
      </c>
      <c r="O423">
        <f t="shared" si="48"/>
        <v>7</v>
      </c>
      <c r="P423">
        <f t="shared" si="49"/>
        <v>3</v>
      </c>
      <c r="Q423" s="6">
        <f t="shared" si="50"/>
        <v>160000</v>
      </c>
      <c r="R423" s="6">
        <f t="shared" si="51"/>
        <v>0</v>
      </c>
      <c r="S423" s="6">
        <f t="shared" si="52"/>
        <v>160000</v>
      </c>
      <c r="T423" s="6">
        <f t="shared" si="53"/>
        <v>105000</v>
      </c>
      <c r="U423" s="6">
        <f t="shared" si="54"/>
        <v>55000</v>
      </c>
      <c r="V423" s="5">
        <f t="shared" si="55"/>
        <v>0.34375</v>
      </c>
    </row>
    <row r="424" spans="1:22">
      <c r="A424" t="s">
        <v>732</v>
      </c>
      <c r="B424" s="4">
        <v>45996</v>
      </c>
      <c r="C424" t="s">
        <v>92</v>
      </c>
      <c r="D424" t="s">
        <v>65</v>
      </c>
      <c r="E424" t="s">
        <v>94</v>
      </c>
      <c r="F424" t="s">
        <v>220</v>
      </c>
      <c r="G424" t="s">
        <v>68</v>
      </c>
      <c r="H424" t="s">
        <v>79</v>
      </c>
      <c r="I424">
        <v>1</v>
      </c>
      <c r="J424" s="6">
        <v>19000</v>
      </c>
      <c r="K424" s="6">
        <v>11500</v>
      </c>
      <c r="L424" s="5">
        <v>0.03</v>
      </c>
      <c r="M424" t="s">
        <v>57</v>
      </c>
      <c r="N424" t="s">
        <v>75</v>
      </c>
      <c r="O424">
        <f t="shared" si="48"/>
        <v>12</v>
      </c>
      <c r="P424">
        <f t="shared" si="49"/>
        <v>4</v>
      </c>
      <c r="Q424" s="6">
        <f t="shared" si="50"/>
        <v>19000</v>
      </c>
      <c r="R424" s="6">
        <f t="shared" si="51"/>
        <v>570</v>
      </c>
      <c r="S424" s="6">
        <f t="shared" si="52"/>
        <v>18430</v>
      </c>
      <c r="T424" s="6">
        <f t="shared" si="53"/>
        <v>11500</v>
      </c>
      <c r="U424" s="6">
        <f t="shared" si="54"/>
        <v>6930</v>
      </c>
      <c r="V424" s="5">
        <f t="shared" si="55"/>
        <v>0.37601736299511668</v>
      </c>
    </row>
    <row r="425" spans="1:22">
      <c r="A425" t="s">
        <v>733</v>
      </c>
      <c r="B425" s="4">
        <v>45774</v>
      </c>
      <c r="C425" t="s">
        <v>60</v>
      </c>
      <c r="D425" t="s">
        <v>61</v>
      </c>
      <c r="E425" t="s">
        <v>84</v>
      </c>
      <c r="F425" t="s">
        <v>477</v>
      </c>
      <c r="G425" t="s">
        <v>68</v>
      </c>
      <c r="H425" t="s">
        <v>108</v>
      </c>
      <c r="I425">
        <v>2</v>
      </c>
      <c r="J425" s="6">
        <v>175000</v>
      </c>
      <c r="K425" s="6">
        <v>129000</v>
      </c>
      <c r="L425" s="5">
        <v>0</v>
      </c>
      <c r="M425" t="s">
        <v>57</v>
      </c>
      <c r="N425" t="s">
        <v>63</v>
      </c>
      <c r="O425">
        <f t="shared" si="48"/>
        <v>4</v>
      </c>
      <c r="P425">
        <f t="shared" si="49"/>
        <v>2</v>
      </c>
      <c r="Q425" s="6">
        <f t="shared" si="50"/>
        <v>350000</v>
      </c>
      <c r="R425" s="6">
        <f t="shared" si="51"/>
        <v>0</v>
      </c>
      <c r="S425" s="6">
        <f t="shared" si="52"/>
        <v>350000</v>
      </c>
      <c r="T425" s="6">
        <f t="shared" si="53"/>
        <v>258000</v>
      </c>
      <c r="U425" s="6">
        <f t="shared" si="54"/>
        <v>92000</v>
      </c>
      <c r="V425" s="5">
        <f t="shared" si="55"/>
        <v>0.26285714285714284</v>
      </c>
    </row>
    <row r="426" spans="1:22">
      <c r="A426" t="s">
        <v>734</v>
      </c>
      <c r="B426" s="4">
        <v>45687</v>
      </c>
      <c r="C426" t="s">
        <v>77</v>
      </c>
      <c r="D426" t="s">
        <v>61</v>
      </c>
      <c r="E426" t="s">
        <v>73</v>
      </c>
      <c r="F426" t="s">
        <v>246</v>
      </c>
      <c r="G426" t="s">
        <v>68</v>
      </c>
      <c r="H426" t="s">
        <v>79</v>
      </c>
      <c r="I426">
        <v>2</v>
      </c>
      <c r="J426" s="6">
        <v>19000</v>
      </c>
      <c r="K426" s="6">
        <v>11500</v>
      </c>
      <c r="L426" s="5">
        <v>0.1</v>
      </c>
      <c r="M426" t="s">
        <v>80</v>
      </c>
      <c r="N426" t="s">
        <v>63</v>
      </c>
      <c r="O426">
        <f t="shared" si="48"/>
        <v>1</v>
      </c>
      <c r="P426">
        <f t="shared" si="49"/>
        <v>1</v>
      </c>
      <c r="Q426" s="6">
        <f t="shared" si="50"/>
        <v>38000</v>
      </c>
      <c r="R426" s="6">
        <f t="shared" si="51"/>
        <v>3800</v>
      </c>
      <c r="S426" s="6">
        <f t="shared" si="52"/>
        <v>0</v>
      </c>
      <c r="T426" s="6">
        <f t="shared" si="53"/>
        <v>0</v>
      </c>
      <c r="U426" s="6">
        <f t="shared" si="54"/>
        <v>0</v>
      </c>
      <c r="V426" s="5">
        <f t="shared" si="55"/>
        <v>0</v>
      </c>
    </row>
    <row r="427" spans="1:22">
      <c r="A427" t="s">
        <v>735</v>
      </c>
      <c r="B427" s="4">
        <v>45748</v>
      </c>
      <c r="C427" t="s">
        <v>83</v>
      </c>
      <c r="D427" t="s">
        <v>61</v>
      </c>
      <c r="E427" t="s">
        <v>94</v>
      </c>
      <c r="F427" t="s">
        <v>659</v>
      </c>
      <c r="G427" t="s">
        <v>55</v>
      </c>
      <c r="H427" t="s">
        <v>56</v>
      </c>
      <c r="I427">
        <v>7</v>
      </c>
      <c r="J427" s="6">
        <v>138000</v>
      </c>
      <c r="K427" s="6">
        <v>99000</v>
      </c>
      <c r="L427" s="5">
        <v>0.03</v>
      </c>
      <c r="M427" t="s">
        <v>80</v>
      </c>
      <c r="N427" t="s">
        <v>81</v>
      </c>
      <c r="O427">
        <f t="shared" si="48"/>
        <v>4</v>
      </c>
      <c r="P427">
        <f t="shared" si="49"/>
        <v>2</v>
      </c>
      <c r="Q427" s="6">
        <f t="shared" si="50"/>
        <v>966000</v>
      </c>
      <c r="R427" s="6">
        <f t="shared" si="51"/>
        <v>28980</v>
      </c>
      <c r="S427" s="6">
        <f t="shared" si="52"/>
        <v>0</v>
      </c>
      <c r="T427" s="6">
        <f t="shared" si="53"/>
        <v>0</v>
      </c>
      <c r="U427" s="6">
        <f t="shared" si="54"/>
        <v>0</v>
      </c>
      <c r="V427" s="5">
        <f t="shared" si="55"/>
        <v>0</v>
      </c>
    </row>
    <row r="428" spans="1:22">
      <c r="A428" t="s">
        <v>736</v>
      </c>
      <c r="B428" s="4">
        <v>45882</v>
      </c>
      <c r="C428" t="s">
        <v>92</v>
      </c>
      <c r="D428" t="s">
        <v>52</v>
      </c>
      <c r="E428" t="s">
        <v>53</v>
      </c>
      <c r="F428" t="s">
        <v>737</v>
      </c>
      <c r="G428" t="s">
        <v>55</v>
      </c>
      <c r="H428" t="s">
        <v>86</v>
      </c>
      <c r="I428">
        <v>6</v>
      </c>
      <c r="J428" s="6">
        <v>92000</v>
      </c>
      <c r="K428" s="6">
        <v>60000</v>
      </c>
      <c r="L428" s="5">
        <v>0.05</v>
      </c>
      <c r="M428" t="s">
        <v>109</v>
      </c>
      <c r="N428" t="s">
        <v>75</v>
      </c>
      <c r="O428">
        <f t="shared" si="48"/>
        <v>8</v>
      </c>
      <c r="P428">
        <f t="shared" si="49"/>
        <v>3</v>
      </c>
      <c r="Q428" s="6">
        <f t="shared" si="50"/>
        <v>552000</v>
      </c>
      <c r="R428" s="6">
        <f t="shared" si="51"/>
        <v>27600</v>
      </c>
      <c r="S428" s="6">
        <f t="shared" si="52"/>
        <v>0</v>
      </c>
      <c r="T428" s="6">
        <f t="shared" si="53"/>
        <v>0</v>
      </c>
      <c r="U428" s="6">
        <f t="shared" si="54"/>
        <v>0</v>
      </c>
      <c r="V428" s="5">
        <f t="shared" si="55"/>
        <v>0</v>
      </c>
    </row>
    <row r="429" spans="1:22">
      <c r="A429" t="s">
        <v>738</v>
      </c>
      <c r="B429" s="4">
        <v>45776</v>
      </c>
      <c r="C429" t="s">
        <v>92</v>
      </c>
      <c r="D429" t="s">
        <v>52</v>
      </c>
      <c r="E429" t="s">
        <v>53</v>
      </c>
      <c r="F429" t="s">
        <v>258</v>
      </c>
      <c r="G429" t="s">
        <v>89</v>
      </c>
      <c r="H429" t="s">
        <v>98</v>
      </c>
      <c r="I429">
        <v>7</v>
      </c>
      <c r="J429" s="6">
        <v>16500</v>
      </c>
      <c r="K429" s="6">
        <v>10000</v>
      </c>
      <c r="L429" s="5">
        <v>0.05</v>
      </c>
      <c r="M429" t="s">
        <v>57</v>
      </c>
      <c r="N429" t="s">
        <v>58</v>
      </c>
      <c r="O429">
        <f t="shared" si="48"/>
        <v>4</v>
      </c>
      <c r="P429">
        <f t="shared" si="49"/>
        <v>2</v>
      </c>
      <c r="Q429" s="6">
        <f t="shared" si="50"/>
        <v>115500</v>
      </c>
      <c r="R429" s="6">
        <f t="shared" si="51"/>
        <v>5775</v>
      </c>
      <c r="S429" s="6">
        <f t="shared" si="52"/>
        <v>109725</v>
      </c>
      <c r="T429" s="6">
        <f t="shared" si="53"/>
        <v>70000</v>
      </c>
      <c r="U429" s="6">
        <f t="shared" si="54"/>
        <v>39725</v>
      </c>
      <c r="V429" s="5">
        <f t="shared" si="55"/>
        <v>0.36204146730462522</v>
      </c>
    </row>
    <row r="430" spans="1:22">
      <c r="A430" t="s">
        <v>739</v>
      </c>
      <c r="B430" s="4">
        <v>45766</v>
      </c>
      <c r="C430" t="s">
        <v>111</v>
      </c>
      <c r="D430" t="s">
        <v>61</v>
      </c>
      <c r="E430" t="s">
        <v>94</v>
      </c>
      <c r="F430" t="s">
        <v>405</v>
      </c>
      <c r="G430" t="s">
        <v>68</v>
      </c>
      <c r="H430" t="s">
        <v>69</v>
      </c>
      <c r="I430">
        <v>8</v>
      </c>
      <c r="J430" s="6">
        <v>115000</v>
      </c>
      <c r="K430" s="6">
        <v>82000</v>
      </c>
      <c r="L430" s="5">
        <v>0.1</v>
      </c>
      <c r="M430" t="s">
        <v>57</v>
      </c>
      <c r="N430" t="s">
        <v>81</v>
      </c>
      <c r="O430">
        <f t="shared" si="48"/>
        <v>4</v>
      </c>
      <c r="P430">
        <f t="shared" si="49"/>
        <v>2</v>
      </c>
      <c r="Q430" s="6">
        <f t="shared" si="50"/>
        <v>920000</v>
      </c>
      <c r="R430" s="6">
        <f t="shared" si="51"/>
        <v>92000</v>
      </c>
      <c r="S430" s="6">
        <f t="shared" si="52"/>
        <v>828000</v>
      </c>
      <c r="T430" s="6">
        <f t="shared" si="53"/>
        <v>656000</v>
      </c>
      <c r="U430" s="6">
        <f t="shared" si="54"/>
        <v>172000</v>
      </c>
      <c r="V430" s="5">
        <f t="shared" si="55"/>
        <v>0.20772946859903382</v>
      </c>
    </row>
    <row r="431" spans="1:22">
      <c r="A431" t="s">
        <v>740</v>
      </c>
      <c r="B431" s="4">
        <v>45871</v>
      </c>
      <c r="C431" t="s">
        <v>111</v>
      </c>
      <c r="D431" t="s">
        <v>61</v>
      </c>
      <c r="E431" t="s">
        <v>73</v>
      </c>
      <c r="F431" t="s">
        <v>123</v>
      </c>
      <c r="G431" t="s">
        <v>55</v>
      </c>
      <c r="H431" t="s">
        <v>56</v>
      </c>
      <c r="I431">
        <v>4</v>
      </c>
      <c r="J431" s="6">
        <v>138000</v>
      </c>
      <c r="K431" s="6">
        <v>99000</v>
      </c>
      <c r="L431" s="5">
        <v>0.1</v>
      </c>
      <c r="M431" t="s">
        <v>57</v>
      </c>
      <c r="N431" t="s">
        <v>63</v>
      </c>
      <c r="O431">
        <f t="shared" si="48"/>
        <v>8</v>
      </c>
      <c r="P431">
        <f t="shared" si="49"/>
        <v>3</v>
      </c>
      <c r="Q431" s="6">
        <f t="shared" si="50"/>
        <v>552000</v>
      </c>
      <c r="R431" s="6">
        <f t="shared" si="51"/>
        <v>55200</v>
      </c>
      <c r="S431" s="6">
        <f t="shared" si="52"/>
        <v>496800</v>
      </c>
      <c r="T431" s="6">
        <f t="shared" si="53"/>
        <v>396000</v>
      </c>
      <c r="U431" s="6">
        <f t="shared" si="54"/>
        <v>100800</v>
      </c>
      <c r="V431" s="5">
        <f t="shared" si="55"/>
        <v>0.20289855072463769</v>
      </c>
    </row>
    <row r="432" spans="1:22">
      <c r="A432" t="s">
        <v>741</v>
      </c>
      <c r="B432" s="4">
        <v>45738</v>
      </c>
      <c r="C432" t="s">
        <v>51</v>
      </c>
      <c r="D432" t="s">
        <v>93</v>
      </c>
      <c r="E432" t="s">
        <v>53</v>
      </c>
      <c r="F432" t="s">
        <v>228</v>
      </c>
      <c r="G432" t="s">
        <v>89</v>
      </c>
      <c r="H432" t="s">
        <v>95</v>
      </c>
      <c r="I432">
        <v>1</v>
      </c>
      <c r="J432" s="6">
        <v>32000</v>
      </c>
      <c r="K432" s="6">
        <v>21000</v>
      </c>
      <c r="L432" s="5">
        <v>0</v>
      </c>
      <c r="M432" t="s">
        <v>57</v>
      </c>
      <c r="N432" t="s">
        <v>81</v>
      </c>
      <c r="O432">
        <f t="shared" si="48"/>
        <v>3</v>
      </c>
      <c r="P432">
        <f t="shared" si="49"/>
        <v>1</v>
      </c>
      <c r="Q432" s="6">
        <f t="shared" si="50"/>
        <v>32000</v>
      </c>
      <c r="R432" s="6">
        <f t="shared" si="51"/>
        <v>0</v>
      </c>
      <c r="S432" s="6">
        <f t="shared" si="52"/>
        <v>32000</v>
      </c>
      <c r="T432" s="6">
        <f t="shared" si="53"/>
        <v>21000</v>
      </c>
      <c r="U432" s="6">
        <f t="shared" si="54"/>
        <v>11000</v>
      </c>
      <c r="V432" s="5">
        <f t="shared" si="55"/>
        <v>0.34375</v>
      </c>
    </row>
    <row r="433" spans="1:22">
      <c r="A433" t="s">
        <v>742</v>
      </c>
      <c r="B433" s="4">
        <v>45924</v>
      </c>
      <c r="C433" t="s">
        <v>83</v>
      </c>
      <c r="D433" t="s">
        <v>72</v>
      </c>
      <c r="E433" t="s">
        <v>84</v>
      </c>
      <c r="F433" t="s">
        <v>85</v>
      </c>
      <c r="G433" t="s">
        <v>89</v>
      </c>
      <c r="H433" t="s">
        <v>95</v>
      </c>
      <c r="I433">
        <v>7</v>
      </c>
      <c r="J433" s="6">
        <v>32000</v>
      </c>
      <c r="K433" s="6">
        <v>21000</v>
      </c>
      <c r="L433" s="5">
        <v>0</v>
      </c>
      <c r="M433" t="s">
        <v>57</v>
      </c>
      <c r="N433" t="s">
        <v>63</v>
      </c>
      <c r="O433">
        <f t="shared" si="48"/>
        <v>9</v>
      </c>
      <c r="P433">
        <f t="shared" si="49"/>
        <v>3</v>
      </c>
      <c r="Q433" s="6">
        <f t="shared" si="50"/>
        <v>224000</v>
      </c>
      <c r="R433" s="6">
        <f t="shared" si="51"/>
        <v>0</v>
      </c>
      <c r="S433" s="6">
        <f t="shared" si="52"/>
        <v>224000</v>
      </c>
      <c r="T433" s="6">
        <f t="shared" si="53"/>
        <v>147000</v>
      </c>
      <c r="U433" s="6">
        <f t="shared" si="54"/>
        <v>77000</v>
      </c>
      <c r="V433" s="5">
        <f t="shared" si="55"/>
        <v>0.34375</v>
      </c>
    </row>
    <row r="434" spans="1:22">
      <c r="A434" t="s">
        <v>743</v>
      </c>
      <c r="B434" s="4">
        <v>45941</v>
      </c>
      <c r="C434" t="s">
        <v>102</v>
      </c>
      <c r="D434" t="s">
        <v>52</v>
      </c>
      <c r="E434" t="s">
        <v>94</v>
      </c>
      <c r="F434" t="s">
        <v>282</v>
      </c>
      <c r="G434" t="s">
        <v>55</v>
      </c>
      <c r="H434" t="s">
        <v>86</v>
      </c>
      <c r="I434">
        <v>2</v>
      </c>
      <c r="J434" s="6">
        <v>92000</v>
      </c>
      <c r="K434" s="6">
        <v>60000</v>
      </c>
      <c r="L434" s="5">
        <v>0.1</v>
      </c>
      <c r="M434" t="s">
        <v>57</v>
      </c>
      <c r="N434" t="s">
        <v>58</v>
      </c>
      <c r="O434">
        <f t="shared" si="48"/>
        <v>10</v>
      </c>
      <c r="P434">
        <f t="shared" si="49"/>
        <v>4</v>
      </c>
      <c r="Q434" s="6">
        <f t="shared" si="50"/>
        <v>184000</v>
      </c>
      <c r="R434" s="6">
        <f t="shared" si="51"/>
        <v>18400</v>
      </c>
      <c r="S434" s="6">
        <f t="shared" si="52"/>
        <v>165600</v>
      </c>
      <c r="T434" s="6">
        <f t="shared" si="53"/>
        <v>120000</v>
      </c>
      <c r="U434" s="6">
        <f t="shared" si="54"/>
        <v>45600</v>
      </c>
      <c r="V434" s="5">
        <f t="shared" si="55"/>
        <v>0.27536231884057971</v>
      </c>
    </row>
    <row r="435" spans="1:22">
      <c r="A435" t="s">
        <v>744</v>
      </c>
      <c r="B435" s="4">
        <v>45954</v>
      </c>
      <c r="C435" t="s">
        <v>83</v>
      </c>
      <c r="D435" t="s">
        <v>93</v>
      </c>
      <c r="E435" t="s">
        <v>73</v>
      </c>
      <c r="F435" t="s">
        <v>222</v>
      </c>
      <c r="G435" t="s">
        <v>55</v>
      </c>
      <c r="H435" t="s">
        <v>56</v>
      </c>
      <c r="I435">
        <v>8</v>
      </c>
      <c r="J435" s="6">
        <v>138000</v>
      </c>
      <c r="K435" s="6">
        <v>99000</v>
      </c>
      <c r="L435" s="5">
        <v>0.03</v>
      </c>
      <c r="M435" t="s">
        <v>57</v>
      </c>
      <c r="N435" t="s">
        <v>70</v>
      </c>
      <c r="O435">
        <f t="shared" si="48"/>
        <v>10</v>
      </c>
      <c r="P435">
        <f t="shared" si="49"/>
        <v>4</v>
      </c>
      <c r="Q435" s="6">
        <f t="shared" si="50"/>
        <v>1104000</v>
      </c>
      <c r="R435" s="6">
        <f t="shared" si="51"/>
        <v>33120</v>
      </c>
      <c r="S435" s="6">
        <f t="shared" si="52"/>
        <v>1070880</v>
      </c>
      <c r="T435" s="6">
        <f t="shared" si="53"/>
        <v>792000</v>
      </c>
      <c r="U435" s="6">
        <f t="shared" si="54"/>
        <v>278880</v>
      </c>
      <c r="V435" s="5">
        <f t="shared" si="55"/>
        <v>0.26042133572389065</v>
      </c>
    </row>
    <row r="436" spans="1:22">
      <c r="A436" t="s">
        <v>745</v>
      </c>
      <c r="B436" s="4">
        <v>45722</v>
      </c>
      <c r="C436" t="s">
        <v>111</v>
      </c>
      <c r="D436" t="s">
        <v>61</v>
      </c>
      <c r="E436" t="s">
        <v>53</v>
      </c>
      <c r="F436" t="s">
        <v>746</v>
      </c>
      <c r="G436" t="s">
        <v>68</v>
      </c>
      <c r="H436" t="s">
        <v>69</v>
      </c>
      <c r="I436">
        <v>7</v>
      </c>
      <c r="J436" s="6">
        <v>115000</v>
      </c>
      <c r="K436" s="6">
        <v>82000</v>
      </c>
      <c r="L436" s="5">
        <v>0.05</v>
      </c>
      <c r="M436" t="s">
        <v>57</v>
      </c>
      <c r="N436" t="s">
        <v>70</v>
      </c>
      <c r="O436">
        <f t="shared" si="48"/>
        <v>3</v>
      </c>
      <c r="P436">
        <f t="shared" si="49"/>
        <v>1</v>
      </c>
      <c r="Q436" s="6">
        <f t="shared" si="50"/>
        <v>805000</v>
      </c>
      <c r="R436" s="6">
        <f t="shared" si="51"/>
        <v>40250</v>
      </c>
      <c r="S436" s="6">
        <f t="shared" si="52"/>
        <v>764750</v>
      </c>
      <c r="T436" s="6">
        <f t="shared" si="53"/>
        <v>574000</v>
      </c>
      <c r="U436" s="6">
        <f t="shared" si="54"/>
        <v>190750</v>
      </c>
      <c r="V436" s="5">
        <f t="shared" si="55"/>
        <v>0.2494279176201373</v>
      </c>
    </row>
    <row r="437" spans="1:22">
      <c r="A437" t="s">
        <v>747</v>
      </c>
      <c r="B437" s="4">
        <v>45890</v>
      </c>
      <c r="C437" t="s">
        <v>102</v>
      </c>
      <c r="D437" t="s">
        <v>106</v>
      </c>
      <c r="E437" t="s">
        <v>73</v>
      </c>
      <c r="F437" t="s">
        <v>139</v>
      </c>
      <c r="G437" t="s">
        <v>89</v>
      </c>
      <c r="H437" t="s">
        <v>98</v>
      </c>
      <c r="I437">
        <v>4</v>
      </c>
      <c r="J437" s="6">
        <v>16500</v>
      </c>
      <c r="K437" s="6">
        <v>10000</v>
      </c>
      <c r="L437" s="5">
        <v>0.03</v>
      </c>
      <c r="M437" t="s">
        <v>80</v>
      </c>
      <c r="N437" t="s">
        <v>70</v>
      </c>
      <c r="O437">
        <f t="shared" si="48"/>
        <v>8</v>
      </c>
      <c r="P437">
        <f t="shared" si="49"/>
        <v>3</v>
      </c>
      <c r="Q437" s="6">
        <f t="shared" si="50"/>
        <v>66000</v>
      </c>
      <c r="R437" s="6">
        <f t="shared" si="51"/>
        <v>1980</v>
      </c>
      <c r="S437" s="6">
        <f t="shared" si="52"/>
        <v>0</v>
      </c>
      <c r="T437" s="6">
        <f t="shared" si="53"/>
        <v>0</v>
      </c>
      <c r="U437" s="6">
        <f t="shared" si="54"/>
        <v>0</v>
      </c>
      <c r="V437" s="5">
        <f t="shared" si="55"/>
        <v>0</v>
      </c>
    </row>
    <row r="438" spans="1:22">
      <c r="A438" t="s">
        <v>748</v>
      </c>
      <c r="B438" s="4">
        <v>45789</v>
      </c>
      <c r="C438" t="s">
        <v>102</v>
      </c>
      <c r="D438" t="s">
        <v>65</v>
      </c>
      <c r="E438" t="s">
        <v>53</v>
      </c>
      <c r="F438" t="s">
        <v>638</v>
      </c>
      <c r="G438" t="s">
        <v>55</v>
      </c>
      <c r="H438" t="s">
        <v>56</v>
      </c>
      <c r="I438">
        <v>2</v>
      </c>
      <c r="J438" s="6">
        <v>138000</v>
      </c>
      <c r="K438" s="6">
        <v>99000</v>
      </c>
      <c r="L438" s="5">
        <v>0.1</v>
      </c>
      <c r="M438" t="s">
        <v>57</v>
      </c>
      <c r="N438" t="s">
        <v>58</v>
      </c>
      <c r="O438">
        <f t="shared" si="48"/>
        <v>5</v>
      </c>
      <c r="P438">
        <f t="shared" si="49"/>
        <v>2</v>
      </c>
      <c r="Q438" s="6">
        <f t="shared" si="50"/>
        <v>276000</v>
      </c>
      <c r="R438" s="6">
        <f t="shared" si="51"/>
        <v>27600</v>
      </c>
      <c r="S438" s="6">
        <f t="shared" si="52"/>
        <v>248400</v>
      </c>
      <c r="T438" s="6">
        <f t="shared" si="53"/>
        <v>198000</v>
      </c>
      <c r="U438" s="6">
        <f t="shared" si="54"/>
        <v>50400</v>
      </c>
      <c r="V438" s="5">
        <f t="shared" si="55"/>
        <v>0.20289855072463769</v>
      </c>
    </row>
    <row r="439" spans="1:22">
      <c r="A439" t="s">
        <v>749</v>
      </c>
      <c r="B439" s="4">
        <v>45987</v>
      </c>
      <c r="C439" t="s">
        <v>60</v>
      </c>
      <c r="D439" t="s">
        <v>61</v>
      </c>
      <c r="E439" t="s">
        <v>53</v>
      </c>
      <c r="F439" t="s">
        <v>258</v>
      </c>
      <c r="G439" t="s">
        <v>89</v>
      </c>
      <c r="H439" t="s">
        <v>98</v>
      </c>
      <c r="I439">
        <v>1</v>
      </c>
      <c r="J439" s="6">
        <v>16500</v>
      </c>
      <c r="K439" s="6">
        <v>10000</v>
      </c>
      <c r="L439" s="5">
        <v>0.05</v>
      </c>
      <c r="M439" t="s">
        <v>80</v>
      </c>
      <c r="N439" t="s">
        <v>58</v>
      </c>
      <c r="O439">
        <f t="shared" si="48"/>
        <v>11</v>
      </c>
      <c r="P439">
        <f t="shared" si="49"/>
        <v>4</v>
      </c>
      <c r="Q439" s="6">
        <f t="shared" si="50"/>
        <v>16500</v>
      </c>
      <c r="R439" s="6">
        <f t="shared" si="51"/>
        <v>825</v>
      </c>
      <c r="S439" s="6">
        <f t="shared" si="52"/>
        <v>0</v>
      </c>
      <c r="T439" s="6">
        <f t="shared" si="53"/>
        <v>0</v>
      </c>
      <c r="U439" s="6">
        <f t="shared" si="54"/>
        <v>0</v>
      </c>
      <c r="V439" s="5">
        <f t="shared" si="55"/>
        <v>0</v>
      </c>
    </row>
    <row r="440" spans="1:22">
      <c r="A440" t="s">
        <v>750</v>
      </c>
      <c r="B440" s="4">
        <v>45774</v>
      </c>
      <c r="C440" t="s">
        <v>102</v>
      </c>
      <c r="D440" t="s">
        <v>61</v>
      </c>
      <c r="E440" t="s">
        <v>94</v>
      </c>
      <c r="F440" t="s">
        <v>252</v>
      </c>
      <c r="G440" t="s">
        <v>68</v>
      </c>
      <c r="H440" t="s">
        <v>79</v>
      </c>
      <c r="I440">
        <v>7</v>
      </c>
      <c r="J440" s="6">
        <v>19000</v>
      </c>
      <c r="K440" s="6">
        <v>11500</v>
      </c>
      <c r="L440" s="5">
        <v>0.12</v>
      </c>
      <c r="M440" t="s">
        <v>57</v>
      </c>
      <c r="N440" t="s">
        <v>63</v>
      </c>
      <c r="O440">
        <f t="shared" si="48"/>
        <v>4</v>
      </c>
      <c r="P440">
        <f t="shared" si="49"/>
        <v>2</v>
      </c>
      <c r="Q440" s="6">
        <f t="shared" si="50"/>
        <v>133000</v>
      </c>
      <c r="R440" s="6">
        <f t="shared" si="51"/>
        <v>15960</v>
      </c>
      <c r="S440" s="6">
        <f t="shared" si="52"/>
        <v>117040</v>
      </c>
      <c r="T440" s="6">
        <f t="shared" si="53"/>
        <v>80500</v>
      </c>
      <c r="U440" s="6">
        <f t="shared" si="54"/>
        <v>36540</v>
      </c>
      <c r="V440" s="5">
        <f t="shared" si="55"/>
        <v>0.31220095693779903</v>
      </c>
    </row>
    <row r="441" spans="1:22">
      <c r="A441" t="s">
        <v>751</v>
      </c>
      <c r="B441" s="4">
        <v>45758</v>
      </c>
      <c r="C441" t="s">
        <v>120</v>
      </c>
      <c r="D441" t="s">
        <v>72</v>
      </c>
      <c r="E441" t="s">
        <v>53</v>
      </c>
      <c r="F441" t="s">
        <v>123</v>
      </c>
      <c r="G441" t="s">
        <v>89</v>
      </c>
      <c r="H441" t="s">
        <v>95</v>
      </c>
      <c r="I441">
        <v>2</v>
      </c>
      <c r="J441" s="6">
        <v>32000</v>
      </c>
      <c r="K441" s="6">
        <v>21000</v>
      </c>
      <c r="L441" s="5">
        <v>0.05</v>
      </c>
      <c r="M441" t="s">
        <v>57</v>
      </c>
      <c r="N441" t="s">
        <v>58</v>
      </c>
      <c r="O441">
        <f t="shared" si="48"/>
        <v>4</v>
      </c>
      <c r="P441">
        <f t="shared" si="49"/>
        <v>2</v>
      </c>
      <c r="Q441" s="6">
        <f t="shared" si="50"/>
        <v>64000</v>
      </c>
      <c r="R441" s="6">
        <f t="shared" si="51"/>
        <v>3200</v>
      </c>
      <c r="S441" s="6">
        <f t="shared" si="52"/>
        <v>60800</v>
      </c>
      <c r="T441" s="6">
        <f t="shared" si="53"/>
        <v>42000</v>
      </c>
      <c r="U441" s="6">
        <f t="shared" si="54"/>
        <v>18800</v>
      </c>
      <c r="V441" s="5">
        <f t="shared" si="55"/>
        <v>0.30921052631578949</v>
      </c>
    </row>
    <row r="442" spans="1:22">
      <c r="A442" t="s">
        <v>752</v>
      </c>
      <c r="B442" s="4">
        <v>45826</v>
      </c>
      <c r="C442" t="s">
        <v>111</v>
      </c>
      <c r="D442" t="s">
        <v>61</v>
      </c>
      <c r="E442" t="s">
        <v>84</v>
      </c>
      <c r="F442" t="s">
        <v>599</v>
      </c>
      <c r="G442" t="s">
        <v>68</v>
      </c>
      <c r="H442" t="s">
        <v>104</v>
      </c>
      <c r="I442">
        <v>5</v>
      </c>
      <c r="J442" s="6">
        <v>320000</v>
      </c>
      <c r="K442" s="6">
        <v>244000</v>
      </c>
      <c r="L442" s="5">
        <v>0</v>
      </c>
      <c r="M442" t="s">
        <v>80</v>
      </c>
      <c r="N442" t="s">
        <v>63</v>
      </c>
      <c r="O442">
        <f t="shared" si="48"/>
        <v>6</v>
      </c>
      <c r="P442">
        <f t="shared" si="49"/>
        <v>2</v>
      </c>
      <c r="Q442" s="6">
        <f t="shared" si="50"/>
        <v>1600000</v>
      </c>
      <c r="R442" s="6">
        <f t="shared" si="51"/>
        <v>0</v>
      </c>
      <c r="S442" s="6">
        <f t="shared" si="52"/>
        <v>0</v>
      </c>
      <c r="T442" s="6">
        <f t="shared" si="53"/>
        <v>0</v>
      </c>
      <c r="U442" s="6">
        <f t="shared" si="54"/>
        <v>0</v>
      </c>
      <c r="V442" s="5">
        <f t="shared" si="55"/>
        <v>0</v>
      </c>
    </row>
    <row r="443" spans="1:22">
      <c r="A443" t="s">
        <v>753</v>
      </c>
      <c r="B443" s="4">
        <v>45971</v>
      </c>
      <c r="C443" t="s">
        <v>102</v>
      </c>
      <c r="D443" t="s">
        <v>61</v>
      </c>
      <c r="E443" t="s">
        <v>66</v>
      </c>
      <c r="F443" t="s">
        <v>535</v>
      </c>
      <c r="G443" t="s">
        <v>68</v>
      </c>
      <c r="H443" t="s">
        <v>108</v>
      </c>
      <c r="I443">
        <v>3</v>
      </c>
      <c r="J443" s="6">
        <v>175000</v>
      </c>
      <c r="K443" s="6">
        <v>129000</v>
      </c>
      <c r="L443" s="5">
        <v>0.08</v>
      </c>
      <c r="M443" t="s">
        <v>57</v>
      </c>
      <c r="N443" t="s">
        <v>58</v>
      </c>
      <c r="O443">
        <f t="shared" si="48"/>
        <v>11</v>
      </c>
      <c r="P443">
        <f t="shared" si="49"/>
        <v>4</v>
      </c>
      <c r="Q443" s="6">
        <f t="shared" si="50"/>
        <v>525000</v>
      </c>
      <c r="R443" s="6">
        <f t="shared" si="51"/>
        <v>42000</v>
      </c>
      <c r="S443" s="6">
        <f t="shared" si="52"/>
        <v>483000</v>
      </c>
      <c r="T443" s="6">
        <f t="shared" si="53"/>
        <v>387000</v>
      </c>
      <c r="U443" s="6">
        <f t="shared" si="54"/>
        <v>96000</v>
      </c>
      <c r="V443" s="5">
        <f t="shared" si="55"/>
        <v>0.19875776397515527</v>
      </c>
    </row>
    <row r="444" spans="1:22">
      <c r="A444" t="s">
        <v>754</v>
      </c>
      <c r="B444" s="4">
        <v>46009</v>
      </c>
      <c r="C444" t="s">
        <v>120</v>
      </c>
      <c r="D444" t="s">
        <v>72</v>
      </c>
      <c r="E444" t="s">
        <v>66</v>
      </c>
      <c r="F444" t="s">
        <v>418</v>
      </c>
      <c r="G444" t="s">
        <v>55</v>
      </c>
      <c r="H444" t="s">
        <v>115</v>
      </c>
      <c r="I444">
        <v>7</v>
      </c>
      <c r="J444" s="6">
        <v>105000</v>
      </c>
      <c r="K444" s="6">
        <v>76000</v>
      </c>
      <c r="L444" s="5">
        <v>0</v>
      </c>
      <c r="M444" t="s">
        <v>57</v>
      </c>
      <c r="N444" t="s">
        <v>70</v>
      </c>
      <c r="O444">
        <f t="shared" si="48"/>
        <v>12</v>
      </c>
      <c r="P444">
        <f t="shared" si="49"/>
        <v>4</v>
      </c>
      <c r="Q444" s="6">
        <f t="shared" si="50"/>
        <v>735000</v>
      </c>
      <c r="R444" s="6">
        <f t="shared" si="51"/>
        <v>0</v>
      </c>
      <c r="S444" s="6">
        <f t="shared" si="52"/>
        <v>735000</v>
      </c>
      <c r="T444" s="6">
        <f t="shared" si="53"/>
        <v>532000</v>
      </c>
      <c r="U444" s="6">
        <f t="shared" si="54"/>
        <v>203000</v>
      </c>
      <c r="V444" s="5">
        <f t="shared" si="55"/>
        <v>0.27619047619047621</v>
      </c>
    </row>
    <row r="445" spans="1:22">
      <c r="A445" t="s">
        <v>755</v>
      </c>
      <c r="B445" s="4">
        <v>45696</v>
      </c>
      <c r="C445" t="s">
        <v>83</v>
      </c>
      <c r="D445" t="s">
        <v>93</v>
      </c>
      <c r="E445" t="s">
        <v>53</v>
      </c>
      <c r="F445" t="s">
        <v>103</v>
      </c>
      <c r="G445" t="s">
        <v>89</v>
      </c>
      <c r="H445" t="s">
        <v>90</v>
      </c>
      <c r="I445">
        <v>1</v>
      </c>
      <c r="J445" s="6">
        <v>5900</v>
      </c>
      <c r="K445" s="6">
        <v>3700</v>
      </c>
      <c r="L445" s="5">
        <v>0.05</v>
      </c>
      <c r="M445" t="s">
        <v>57</v>
      </c>
      <c r="N445" t="s">
        <v>75</v>
      </c>
      <c r="O445">
        <f t="shared" si="48"/>
        <v>2</v>
      </c>
      <c r="P445">
        <f t="shared" si="49"/>
        <v>1</v>
      </c>
      <c r="Q445" s="6">
        <f t="shared" si="50"/>
        <v>5900</v>
      </c>
      <c r="R445" s="6">
        <f t="shared" si="51"/>
        <v>295</v>
      </c>
      <c r="S445" s="6">
        <f t="shared" si="52"/>
        <v>5605</v>
      </c>
      <c r="T445" s="6">
        <f t="shared" si="53"/>
        <v>3700</v>
      </c>
      <c r="U445" s="6">
        <f t="shared" si="54"/>
        <v>1905</v>
      </c>
      <c r="V445" s="5">
        <f t="shared" si="55"/>
        <v>0.33987511150758254</v>
      </c>
    </row>
    <row r="446" spans="1:22">
      <c r="A446" t="s">
        <v>756</v>
      </c>
      <c r="B446" s="4">
        <v>45871</v>
      </c>
      <c r="C446" t="s">
        <v>102</v>
      </c>
      <c r="D446" t="s">
        <v>61</v>
      </c>
      <c r="E446" t="s">
        <v>73</v>
      </c>
      <c r="F446" t="s">
        <v>705</v>
      </c>
      <c r="G446" t="s">
        <v>68</v>
      </c>
      <c r="H446" t="s">
        <v>79</v>
      </c>
      <c r="I446">
        <v>1</v>
      </c>
      <c r="J446" s="6">
        <v>19000</v>
      </c>
      <c r="K446" s="6">
        <v>11500</v>
      </c>
      <c r="L446" s="5">
        <v>0</v>
      </c>
      <c r="M446" t="s">
        <v>109</v>
      </c>
      <c r="N446" t="s">
        <v>63</v>
      </c>
      <c r="O446">
        <f t="shared" si="48"/>
        <v>8</v>
      </c>
      <c r="P446">
        <f t="shared" si="49"/>
        <v>3</v>
      </c>
      <c r="Q446" s="6">
        <f t="shared" si="50"/>
        <v>19000</v>
      </c>
      <c r="R446" s="6">
        <f t="shared" si="51"/>
        <v>0</v>
      </c>
      <c r="S446" s="6">
        <f t="shared" si="52"/>
        <v>0</v>
      </c>
      <c r="T446" s="6">
        <f t="shared" si="53"/>
        <v>0</v>
      </c>
      <c r="U446" s="6">
        <f t="shared" si="54"/>
        <v>0</v>
      </c>
      <c r="V446" s="5">
        <f t="shared" si="55"/>
        <v>0</v>
      </c>
    </row>
    <row r="447" spans="1:22">
      <c r="A447" t="s">
        <v>757</v>
      </c>
      <c r="B447" s="4">
        <v>45989</v>
      </c>
      <c r="C447" t="s">
        <v>120</v>
      </c>
      <c r="D447" t="s">
        <v>61</v>
      </c>
      <c r="E447" t="s">
        <v>73</v>
      </c>
      <c r="F447" t="s">
        <v>321</v>
      </c>
      <c r="G447" t="s">
        <v>89</v>
      </c>
      <c r="H447" t="s">
        <v>90</v>
      </c>
      <c r="I447">
        <v>6</v>
      </c>
      <c r="J447" s="6">
        <v>5900</v>
      </c>
      <c r="K447" s="6">
        <v>3700</v>
      </c>
      <c r="L447" s="5">
        <v>0.12</v>
      </c>
      <c r="M447" t="s">
        <v>57</v>
      </c>
      <c r="N447" t="s">
        <v>75</v>
      </c>
      <c r="O447">
        <f t="shared" si="48"/>
        <v>11</v>
      </c>
      <c r="P447">
        <f t="shared" si="49"/>
        <v>4</v>
      </c>
      <c r="Q447" s="6">
        <f t="shared" si="50"/>
        <v>35400</v>
      </c>
      <c r="R447" s="6">
        <f t="shared" si="51"/>
        <v>4248</v>
      </c>
      <c r="S447" s="6">
        <f t="shared" si="52"/>
        <v>31152</v>
      </c>
      <c r="T447" s="6">
        <f t="shared" si="53"/>
        <v>22200</v>
      </c>
      <c r="U447" s="6">
        <f t="shared" si="54"/>
        <v>8952</v>
      </c>
      <c r="V447" s="5">
        <f t="shared" si="55"/>
        <v>0.28736517719568566</v>
      </c>
    </row>
    <row r="448" spans="1:22">
      <c r="A448" t="s">
        <v>758</v>
      </c>
      <c r="B448" s="4">
        <v>45848</v>
      </c>
      <c r="C448" t="s">
        <v>60</v>
      </c>
      <c r="D448" t="s">
        <v>61</v>
      </c>
      <c r="E448" t="s">
        <v>73</v>
      </c>
      <c r="F448" t="s">
        <v>438</v>
      </c>
      <c r="G448" t="s">
        <v>55</v>
      </c>
      <c r="H448" t="s">
        <v>56</v>
      </c>
      <c r="I448">
        <v>2</v>
      </c>
      <c r="J448" s="6">
        <v>138000</v>
      </c>
      <c r="K448" s="6">
        <v>99000</v>
      </c>
      <c r="L448" s="5">
        <v>0.12</v>
      </c>
      <c r="M448" t="s">
        <v>57</v>
      </c>
      <c r="N448" t="s">
        <v>58</v>
      </c>
      <c r="O448">
        <f t="shared" si="48"/>
        <v>7</v>
      </c>
      <c r="P448">
        <f t="shared" si="49"/>
        <v>3</v>
      </c>
      <c r="Q448" s="6">
        <f t="shared" si="50"/>
        <v>276000</v>
      </c>
      <c r="R448" s="6">
        <f t="shared" si="51"/>
        <v>33120</v>
      </c>
      <c r="S448" s="6">
        <f t="shared" si="52"/>
        <v>242880</v>
      </c>
      <c r="T448" s="6">
        <f t="shared" si="53"/>
        <v>198000</v>
      </c>
      <c r="U448" s="6">
        <f t="shared" si="54"/>
        <v>44880</v>
      </c>
      <c r="V448" s="5">
        <f t="shared" si="55"/>
        <v>0.18478260869565216</v>
      </c>
    </row>
    <row r="449" spans="1:22">
      <c r="A449" t="s">
        <v>759</v>
      </c>
      <c r="B449" s="4">
        <v>45696</v>
      </c>
      <c r="C449" t="s">
        <v>102</v>
      </c>
      <c r="D449" t="s">
        <v>72</v>
      </c>
      <c r="E449" t="s">
        <v>73</v>
      </c>
      <c r="F449" t="s">
        <v>164</v>
      </c>
      <c r="G449" t="s">
        <v>89</v>
      </c>
      <c r="H449" t="s">
        <v>95</v>
      </c>
      <c r="I449">
        <v>3</v>
      </c>
      <c r="J449" s="6">
        <v>32000</v>
      </c>
      <c r="K449" s="6">
        <v>21000</v>
      </c>
      <c r="L449" s="5">
        <v>0.08</v>
      </c>
      <c r="M449" t="s">
        <v>57</v>
      </c>
      <c r="N449" t="s">
        <v>63</v>
      </c>
      <c r="O449">
        <f t="shared" si="48"/>
        <v>2</v>
      </c>
      <c r="P449">
        <f t="shared" si="49"/>
        <v>1</v>
      </c>
      <c r="Q449" s="6">
        <f t="shared" si="50"/>
        <v>96000</v>
      </c>
      <c r="R449" s="6">
        <f t="shared" si="51"/>
        <v>7680</v>
      </c>
      <c r="S449" s="6">
        <f t="shared" si="52"/>
        <v>88320</v>
      </c>
      <c r="T449" s="6">
        <f t="shared" si="53"/>
        <v>63000</v>
      </c>
      <c r="U449" s="6">
        <f t="shared" si="54"/>
        <v>25320</v>
      </c>
      <c r="V449" s="5">
        <f t="shared" si="55"/>
        <v>0.28668478260869568</v>
      </c>
    </row>
    <row r="450" spans="1:22">
      <c r="A450" t="s">
        <v>760</v>
      </c>
      <c r="B450" s="4">
        <v>45810</v>
      </c>
      <c r="C450" t="s">
        <v>51</v>
      </c>
      <c r="D450" t="s">
        <v>106</v>
      </c>
      <c r="E450" t="s">
        <v>66</v>
      </c>
      <c r="F450" t="s">
        <v>228</v>
      </c>
      <c r="G450" t="s">
        <v>89</v>
      </c>
      <c r="H450" t="s">
        <v>98</v>
      </c>
      <c r="I450">
        <v>4</v>
      </c>
      <c r="J450" s="6">
        <v>16500</v>
      </c>
      <c r="K450" s="6">
        <v>10000</v>
      </c>
      <c r="L450" s="5">
        <v>0.03</v>
      </c>
      <c r="M450" t="s">
        <v>57</v>
      </c>
      <c r="N450" t="s">
        <v>58</v>
      </c>
      <c r="O450">
        <f t="shared" ref="O450:O513" si="56">MONTH(B450)</f>
        <v>6</v>
      </c>
      <c r="P450">
        <f t="shared" ref="P450:P513" si="57">ROUNDUP(O450/3,0)</f>
        <v>2</v>
      </c>
      <c r="Q450" s="6">
        <f t="shared" ref="Q450:Q513" si="58">I450*J450</f>
        <v>66000</v>
      </c>
      <c r="R450" s="6">
        <f t="shared" ref="R450:R513" si="59">Q450*L450</f>
        <v>1980</v>
      </c>
      <c r="S450" s="6">
        <f t="shared" ref="S450:S513" si="60">IF(M450="Ganho",Q450-R450,0)</f>
        <v>64020</v>
      </c>
      <c r="T450" s="6">
        <f t="shared" ref="T450:T513" si="61">IF(M450="Ganho",I450*K450,0)</f>
        <v>40000</v>
      </c>
      <c r="U450" s="6">
        <f t="shared" ref="U450:U513" si="62">S450-T450</f>
        <v>24020</v>
      </c>
      <c r="V450" s="5">
        <f t="shared" ref="V450:V513" si="63">IFERROR(U450/S450,0)</f>
        <v>0.37519525148391125</v>
      </c>
    </row>
    <row r="451" spans="1:22">
      <c r="A451" t="s">
        <v>761</v>
      </c>
      <c r="B451" s="4">
        <v>46005</v>
      </c>
      <c r="C451" t="s">
        <v>111</v>
      </c>
      <c r="D451" t="s">
        <v>61</v>
      </c>
      <c r="E451" t="s">
        <v>94</v>
      </c>
      <c r="F451" t="s">
        <v>226</v>
      </c>
      <c r="G451" t="s">
        <v>89</v>
      </c>
      <c r="H451" t="s">
        <v>98</v>
      </c>
      <c r="I451">
        <v>3</v>
      </c>
      <c r="J451" s="6">
        <v>16500</v>
      </c>
      <c r="K451" s="6">
        <v>10000</v>
      </c>
      <c r="L451" s="5">
        <v>0</v>
      </c>
      <c r="M451" t="s">
        <v>109</v>
      </c>
      <c r="N451" t="s">
        <v>75</v>
      </c>
      <c r="O451">
        <f t="shared" si="56"/>
        <v>12</v>
      </c>
      <c r="P451">
        <f t="shared" si="57"/>
        <v>4</v>
      </c>
      <c r="Q451" s="6">
        <f t="shared" si="58"/>
        <v>49500</v>
      </c>
      <c r="R451" s="6">
        <f t="shared" si="59"/>
        <v>0</v>
      </c>
      <c r="S451" s="6">
        <f t="shared" si="60"/>
        <v>0</v>
      </c>
      <c r="T451" s="6">
        <f t="shared" si="61"/>
        <v>0</v>
      </c>
      <c r="U451" s="6">
        <f t="shared" si="62"/>
        <v>0</v>
      </c>
      <c r="V451" s="5">
        <f t="shared" si="63"/>
        <v>0</v>
      </c>
    </row>
    <row r="452" spans="1:22">
      <c r="A452" t="s">
        <v>762</v>
      </c>
      <c r="B452" s="4">
        <v>45925</v>
      </c>
      <c r="C452" t="s">
        <v>120</v>
      </c>
      <c r="D452" t="s">
        <v>61</v>
      </c>
      <c r="E452" t="s">
        <v>84</v>
      </c>
      <c r="F452" t="s">
        <v>705</v>
      </c>
      <c r="G452" t="s">
        <v>89</v>
      </c>
      <c r="H452" t="s">
        <v>90</v>
      </c>
      <c r="I452">
        <v>3</v>
      </c>
      <c r="J452" s="6">
        <v>5900</v>
      </c>
      <c r="K452" s="6">
        <v>3700</v>
      </c>
      <c r="L452" s="5">
        <v>0.12</v>
      </c>
      <c r="M452" t="s">
        <v>57</v>
      </c>
      <c r="N452" t="s">
        <v>81</v>
      </c>
      <c r="O452">
        <f t="shared" si="56"/>
        <v>9</v>
      </c>
      <c r="P452">
        <f t="shared" si="57"/>
        <v>3</v>
      </c>
      <c r="Q452" s="6">
        <f t="shared" si="58"/>
        <v>17700</v>
      </c>
      <c r="R452" s="6">
        <f t="shared" si="59"/>
        <v>2124</v>
      </c>
      <c r="S452" s="6">
        <f t="shared" si="60"/>
        <v>15576</v>
      </c>
      <c r="T452" s="6">
        <f t="shared" si="61"/>
        <v>11100</v>
      </c>
      <c r="U452" s="6">
        <f t="shared" si="62"/>
        <v>4476</v>
      </c>
      <c r="V452" s="5">
        <f t="shared" si="63"/>
        <v>0.28736517719568566</v>
      </c>
    </row>
    <row r="453" spans="1:22">
      <c r="A453" t="s">
        <v>763</v>
      </c>
      <c r="B453" s="4">
        <v>46005</v>
      </c>
      <c r="C453" t="s">
        <v>60</v>
      </c>
      <c r="D453" t="s">
        <v>61</v>
      </c>
      <c r="E453" t="s">
        <v>73</v>
      </c>
      <c r="F453" t="s">
        <v>447</v>
      </c>
      <c r="G453" t="s">
        <v>89</v>
      </c>
      <c r="H453" t="s">
        <v>95</v>
      </c>
      <c r="I453">
        <v>3</v>
      </c>
      <c r="J453" s="6">
        <v>32000</v>
      </c>
      <c r="K453" s="6">
        <v>21000</v>
      </c>
      <c r="L453" s="5">
        <v>0</v>
      </c>
      <c r="M453" t="s">
        <v>109</v>
      </c>
      <c r="N453" t="s">
        <v>63</v>
      </c>
      <c r="O453">
        <f t="shared" si="56"/>
        <v>12</v>
      </c>
      <c r="P453">
        <f t="shared" si="57"/>
        <v>4</v>
      </c>
      <c r="Q453" s="6">
        <f t="shared" si="58"/>
        <v>96000</v>
      </c>
      <c r="R453" s="6">
        <f t="shared" si="59"/>
        <v>0</v>
      </c>
      <c r="S453" s="6">
        <f t="shared" si="60"/>
        <v>0</v>
      </c>
      <c r="T453" s="6">
        <f t="shared" si="61"/>
        <v>0</v>
      </c>
      <c r="U453" s="6">
        <f t="shared" si="62"/>
        <v>0</v>
      </c>
      <c r="V453" s="5">
        <f t="shared" si="63"/>
        <v>0</v>
      </c>
    </row>
    <row r="454" spans="1:22">
      <c r="A454" t="s">
        <v>764</v>
      </c>
      <c r="B454" s="4">
        <v>45819</v>
      </c>
      <c r="C454" t="s">
        <v>120</v>
      </c>
      <c r="D454" t="s">
        <v>61</v>
      </c>
      <c r="E454" t="s">
        <v>53</v>
      </c>
      <c r="F454" t="s">
        <v>553</v>
      </c>
      <c r="G454" t="s">
        <v>68</v>
      </c>
      <c r="H454" t="s">
        <v>104</v>
      </c>
      <c r="I454">
        <v>1</v>
      </c>
      <c r="J454" s="6">
        <v>320000</v>
      </c>
      <c r="K454" s="6">
        <v>244000</v>
      </c>
      <c r="L454" s="5">
        <v>0.05</v>
      </c>
      <c r="M454" t="s">
        <v>109</v>
      </c>
      <c r="N454" t="s">
        <v>63</v>
      </c>
      <c r="O454">
        <f t="shared" si="56"/>
        <v>6</v>
      </c>
      <c r="P454">
        <f t="shared" si="57"/>
        <v>2</v>
      </c>
      <c r="Q454" s="6">
        <f t="shared" si="58"/>
        <v>320000</v>
      </c>
      <c r="R454" s="6">
        <f t="shared" si="59"/>
        <v>16000</v>
      </c>
      <c r="S454" s="6">
        <f t="shared" si="60"/>
        <v>0</v>
      </c>
      <c r="T454" s="6">
        <f t="shared" si="61"/>
        <v>0</v>
      </c>
      <c r="U454" s="6">
        <f t="shared" si="62"/>
        <v>0</v>
      </c>
      <c r="V454" s="5">
        <f t="shared" si="63"/>
        <v>0</v>
      </c>
    </row>
    <row r="455" spans="1:22">
      <c r="A455" t="s">
        <v>765</v>
      </c>
      <c r="B455" s="4">
        <v>45806</v>
      </c>
      <c r="C455" t="s">
        <v>111</v>
      </c>
      <c r="D455" t="s">
        <v>61</v>
      </c>
      <c r="E455" t="s">
        <v>73</v>
      </c>
      <c r="F455" t="s">
        <v>74</v>
      </c>
      <c r="G455" t="s">
        <v>68</v>
      </c>
      <c r="H455" t="s">
        <v>108</v>
      </c>
      <c r="I455">
        <v>7</v>
      </c>
      <c r="J455" s="6">
        <v>175000</v>
      </c>
      <c r="K455" s="6">
        <v>129000</v>
      </c>
      <c r="L455" s="5">
        <v>0.08</v>
      </c>
      <c r="M455" t="s">
        <v>80</v>
      </c>
      <c r="N455" t="s">
        <v>75</v>
      </c>
      <c r="O455">
        <f t="shared" si="56"/>
        <v>5</v>
      </c>
      <c r="P455">
        <f t="shared" si="57"/>
        <v>2</v>
      </c>
      <c r="Q455" s="6">
        <f t="shared" si="58"/>
        <v>1225000</v>
      </c>
      <c r="R455" s="6">
        <f t="shared" si="59"/>
        <v>98000</v>
      </c>
      <c r="S455" s="6">
        <f t="shared" si="60"/>
        <v>0</v>
      </c>
      <c r="T455" s="6">
        <f t="shared" si="61"/>
        <v>0</v>
      </c>
      <c r="U455" s="6">
        <f t="shared" si="62"/>
        <v>0</v>
      </c>
      <c r="V455" s="5">
        <f t="shared" si="63"/>
        <v>0</v>
      </c>
    </row>
    <row r="456" spans="1:22">
      <c r="A456" t="s">
        <v>766</v>
      </c>
      <c r="B456" s="4">
        <v>45936</v>
      </c>
      <c r="C456" t="s">
        <v>92</v>
      </c>
      <c r="D456" t="s">
        <v>61</v>
      </c>
      <c r="E456" t="s">
        <v>84</v>
      </c>
      <c r="F456" t="s">
        <v>767</v>
      </c>
      <c r="G456" t="s">
        <v>55</v>
      </c>
      <c r="H456" t="s">
        <v>86</v>
      </c>
      <c r="I456">
        <v>4</v>
      </c>
      <c r="J456" s="6">
        <v>92000</v>
      </c>
      <c r="K456" s="6">
        <v>60000</v>
      </c>
      <c r="L456" s="5">
        <v>0</v>
      </c>
      <c r="M456" t="s">
        <v>57</v>
      </c>
      <c r="N456" t="s">
        <v>75</v>
      </c>
      <c r="O456">
        <f t="shared" si="56"/>
        <v>10</v>
      </c>
      <c r="P456">
        <f t="shared" si="57"/>
        <v>4</v>
      </c>
      <c r="Q456" s="6">
        <f t="shared" si="58"/>
        <v>368000</v>
      </c>
      <c r="R456" s="6">
        <f t="shared" si="59"/>
        <v>0</v>
      </c>
      <c r="S456" s="6">
        <f t="shared" si="60"/>
        <v>368000</v>
      </c>
      <c r="T456" s="6">
        <f t="shared" si="61"/>
        <v>240000</v>
      </c>
      <c r="U456" s="6">
        <f t="shared" si="62"/>
        <v>128000</v>
      </c>
      <c r="V456" s="5">
        <f t="shared" si="63"/>
        <v>0.34782608695652173</v>
      </c>
    </row>
    <row r="457" spans="1:22">
      <c r="A457" t="s">
        <v>768</v>
      </c>
      <c r="B457" s="4">
        <v>45834</v>
      </c>
      <c r="C457" t="s">
        <v>51</v>
      </c>
      <c r="D457" t="s">
        <v>61</v>
      </c>
      <c r="E457" t="s">
        <v>53</v>
      </c>
      <c r="F457" t="s">
        <v>164</v>
      </c>
      <c r="G457" t="s">
        <v>68</v>
      </c>
      <c r="H457" t="s">
        <v>69</v>
      </c>
      <c r="I457">
        <v>4</v>
      </c>
      <c r="J457" s="6">
        <v>115000</v>
      </c>
      <c r="K457" s="6">
        <v>82000</v>
      </c>
      <c r="L457" s="5">
        <v>0.03</v>
      </c>
      <c r="M457" t="s">
        <v>57</v>
      </c>
      <c r="N457" t="s">
        <v>70</v>
      </c>
      <c r="O457">
        <f t="shared" si="56"/>
        <v>6</v>
      </c>
      <c r="P457">
        <f t="shared" si="57"/>
        <v>2</v>
      </c>
      <c r="Q457" s="6">
        <f t="shared" si="58"/>
        <v>460000</v>
      </c>
      <c r="R457" s="6">
        <f t="shared" si="59"/>
        <v>13800</v>
      </c>
      <c r="S457" s="6">
        <f t="shared" si="60"/>
        <v>446200</v>
      </c>
      <c r="T457" s="6">
        <f t="shared" si="61"/>
        <v>328000</v>
      </c>
      <c r="U457" s="6">
        <f t="shared" si="62"/>
        <v>118200</v>
      </c>
      <c r="V457" s="5">
        <f t="shared" si="63"/>
        <v>0.26490363065889738</v>
      </c>
    </row>
    <row r="458" spans="1:22">
      <c r="A458" t="s">
        <v>769</v>
      </c>
      <c r="B458" s="4">
        <v>45979</v>
      </c>
      <c r="C458" t="s">
        <v>111</v>
      </c>
      <c r="D458" t="s">
        <v>72</v>
      </c>
      <c r="E458" t="s">
        <v>53</v>
      </c>
      <c r="F458" t="s">
        <v>770</v>
      </c>
      <c r="G458" t="s">
        <v>89</v>
      </c>
      <c r="H458" t="s">
        <v>98</v>
      </c>
      <c r="I458">
        <v>8</v>
      </c>
      <c r="J458" s="6">
        <v>16500</v>
      </c>
      <c r="K458" s="6">
        <v>10000</v>
      </c>
      <c r="L458" s="5">
        <v>0</v>
      </c>
      <c r="M458" t="s">
        <v>57</v>
      </c>
      <c r="N458" t="s">
        <v>81</v>
      </c>
      <c r="O458">
        <f t="shared" si="56"/>
        <v>11</v>
      </c>
      <c r="P458">
        <f t="shared" si="57"/>
        <v>4</v>
      </c>
      <c r="Q458" s="6">
        <f t="shared" si="58"/>
        <v>132000</v>
      </c>
      <c r="R458" s="6">
        <f t="shared" si="59"/>
        <v>0</v>
      </c>
      <c r="S458" s="6">
        <f t="shared" si="60"/>
        <v>132000</v>
      </c>
      <c r="T458" s="6">
        <f t="shared" si="61"/>
        <v>80000</v>
      </c>
      <c r="U458" s="6">
        <f t="shared" si="62"/>
        <v>52000</v>
      </c>
      <c r="V458" s="5">
        <f t="shared" si="63"/>
        <v>0.39393939393939392</v>
      </c>
    </row>
    <row r="459" spans="1:22">
      <c r="A459" t="s">
        <v>771</v>
      </c>
      <c r="B459" s="4">
        <v>45773</v>
      </c>
      <c r="C459" t="s">
        <v>83</v>
      </c>
      <c r="D459" t="s">
        <v>72</v>
      </c>
      <c r="E459" t="s">
        <v>84</v>
      </c>
      <c r="F459" t="s">
        <v>772</v>
      </c>
      <c r="G459" t="s">
        <v>89</v>
      </c>
      <c r="H459" t="s">
        <v>90</v>
      </c>
      <c r="I459">
        <v>5</v>
      </c>
      <c r="J459" s="6">
        <v>5900</v>
      </c>
      <c r="K459" s="6">
        <v>3700</v>
      </c>
      <c r="L459" s="5">
        <v>0.08</v>
      </c>
      <c r="M459" t="s">
        <v>57</v>
      </c>
      <c r="N459" t="s">
        <v>70</v>
      </c>
      <c r="O459">
        <f t="shared" si="56"/>
        <v>4</v>
      </c>
      <c r="P459">
        <f t="shared" si="57"/>
        <v>2</v>
      </c>
      <c r="Q459" s="6">
        <f t="shared" si="58"/>
        <v>29500</v>
      </c>
      <c r="R459" s="6">
        <f t="shared" si="59"/>
        <v>2360</v>
      </c>
      <c r="S459" s="6">
        <f t="shared" si="60"/>
        <v>27140</v>
      </c>
      <c r="T459" s="6">
        <f t="shared" si="61"/>
        <v>18500</v>
      </c>
      <c r="U459" s="6">
        <f t="shared" si="62"/>
        <v>8640</v>
      </c>
      <c r="V459" s="5">
        <f t="shared" si="63"/>
        <v>0.318349299926308</v>
      </c>
    </row>
    <row r="460" spans="1:22">
      <c r="A460" t="s">
        <v>773</v>
      </c>
      <c r="B460" s="4">
        <v>45811</v>
      </c>
      <c r="C460" t="s">
        <v>60</v>
      </c>
      <c r="D460" t="s">
        <v>52</v>
      </c>
      <c r="E460" t="s">
        <v>53</v>
      </c>
      <c r="F460" t="s">
        <v>133</v>
      </c>
      <c r="G460" t="s">
        <v>89</v>
      </c>
      <c r="H460" t="s">
        <v>98</v>
      </c>
      <c r="I460">
        <v>6</v>
      </c>
      <c r="J460" s="6">
        <v>16500</v>
      </c>
      <c r="K460" s="6">
        <v>10000</v>
      </c>
      <c r="L460" s="5">
        <v>0.1</v>
      </c>
      <c r="M460" t="s">
        <v>57</v>
      </c>
      <c r="N460" t="s">
        <v>70</v>
      </c>
      <c r="O460">
        <f t="shared" si="56"/>
        <v>6</v>
      </c>
      <c r="P460">
        <f t="shared" si="57"/>
        <v>2</v>
      </c>
      <c r="Q460" s="6">
        <f t="shared" si="58"/>
        <v>99000</v>
      </c>
      <c r="R460" s="6">
        <f t="shared" si="59"/>
        <v>9900</v>
      </c>
      <c r="S460" s="6">
        <f t="shared" si="60"/>
        <v>89100</v>
      </c>
      <c r="T460" s="6">
        <f t="shared" si="61"/>
        <v>60000</v>
      </c>
      <c r="U460" s="6">
        <f t="shared" si="62"/>
        <v>29100</v>
      </c>
      <c r="V460" s="5">
        <f t="shared" si="63"/>
        <v>0.32659932659932661</v>
      </c>
    </row>
    <row r="461" spans="1:22">
      <c r="A461" t="s">
        <v>774</v>
      </c>
      <c r="B461" s="4">
        <v>45839</v>
      </c>
      <c r="C461" t="s">
        <v>102</v>
      </c>
      <c r="D461" t="s">
        <v>61</v>
      </c>
      <c r="E461" t="s">
        <v>66</v>
      </c>
      <c r="F461" t="s">
        <v>378</v>
      </c>
      <c r="G461" t="s">
        <v>89</v>
      </c>
      <c r="H461" t="s">
        <v>95</v>
      </c>
      <c r="I461">
        <v>6</v>
      </c>
      <c r="J461" s="6">
        <v>32000</v>
      </c>
      <c r="K461" s="6">
        <v>21000</v>
      </c>
      <c r="L461" s="5">
        <v>0</v>
      </c>
      <c r="M461" t="s">
        <v>80</v>
      </c>
      <c r="N461" t="s">
        <v>81</v>
      </c>
      <c r="O461">
        <f t="shared" si="56"/>
        <v>7</v>
      </c>
      <c r="P461">
        <f t="shared" si="57"/>
        <v>3</v>
      </c>
      <c r="Q461" s="6">
        <f t="shared" si="58"/>
        <v>192000</v>
      </c>
      <c r="R461" s="6">
        <f t="shared" si="59"/>
        <v>0</v>
      </c>
      <c r="S461" s="6">
        <f t="shared" si="60"/>
        <v>0</v>
      </c>
      <c r="T461" s="6">
        <f t="shared" si="61"/>
        <v>0</v>
      </c>
      <c r="U461" s="6">
        <f t="shared" si="62"/>
        <v>0</v>
      </c>
      <c r="V461" s="5">
        <f t="shared" si="63"/>
        <v>0</v>
      </c>
    </row>
    <row r="462" spans="1:22">
      <c r="A462" t="s">
        <v>775</v>
      </c>
      <c r="B462" s="4">
        <v>45957</v>
      </c>
      <c r="C462" t="s">
        <v>60</v>
      </c>
      <c r="D462" t="s">
        <v>93</v>
      </c>
      <c r="E462" t="s">
        <v>73</v>
      </c>
      <c r="F462" t="s">
        <v>705</v>
      </c>
      <c r="G462" t="s">
        <v>89</v>
      </c>
      <c r="H462" t="s">
        <v>90</v>
      </c>
      <c r="I462">
        <v>1</v>
      </c>
      <c r="J462" s="6">
        <v>5900</v>
      </c>
      <c r="K462" s="6">
        <v>3700</v>
      </c>
      <c r="L462" s="5">
        <v>0</v>
      </c>
      <c r="M462" t="s">
        <v>57</v>
      </c>
      <c r="N462" t="s">
        <v>70</v>
      </c>
      <c r="O462">
        <f t="shared" si="56"/>
        <v>10</v>
      </c>
      <c r="P462">
        <f t="shared" si="57"/>
        <v>4</v>
      </c>
      <c r="Q462" s="6">
        <f t="shared" si="58"/>
        <v>5900</v>
      </c>
      <c r="R462" s="6">
        <f t="shared" si="59"/>
        <v>0</v>
      </c>
      <c r="S462" s="6">
        <f t="shared" si="60"/>
        <v>5900</v>
      </c>
      <c r="T462" s="6">
        <f t="shared" si="61"/>
        <v>3700</v>
      </c>
      <c r="U462" s="6">
        <f t="shared" si="62"/>
        <v>2200</v>
      </c>
      <c r="V462" s="5">
        <f t="shared" si="63"/>
        <v>0.3728813559322034</v>
      </c>
    </row>
    <row r="463" spans="1:22">
      <c r="A463" t="s">
        <v>776</v>
      </c>
      <c r="B463" s="4">
        <v>45722</v>
      </c>
      <c r="C463" t="s">
        <v>51</v>
      </c>
      <c r="D463" t="s">
        <v>106</v>
      </c>
      <c r="E463" t="s">
        <v>66</v>
      </c>
      <c r="F463" t="s">
        <v>183</v>
      </c>
      <c r="G463" t="s">
        <v>68</v>
      </c>
      <c r="H463" t="s">
        <v>69</v>
      </c>
      <c r="I463">
        <v>8</v>
      </c>
      <c r="J463" s="6">
        <v>115000</v>
      </c>
      <c r="K463" s="6">
        <v>82000</v>
      </c>
      <c r="L463" s="5">
        <v>0</v>
      </c>
      <c r="M463" t="s">
        <v>57</v>
      </c>
      <c r="N463" t="s">
        <v>75</v>
      </c>
      <c r="O463">
        <f t="shared" si="56"/>
        <v>3</v>
      </c>
      <c r="P463">
        <f t="shared" si="57"/>
        <v>1</v>
      </c>
      <c r="Q463" s="6">
        <f t="shared" si="58"/>
        <v>920000</v>
      </c>
      <c r="R463" s="6">
        <f t="shared" si="59"/>
        <v>0</v>
      </c>
      <c r="S463" s="6">
        <f t="shared" si="60"/>
        <v>920000</v>
      </c>
      <c r="T463" s="6">
        <f t="shared" si="61"/>
        <v>656000</v>
      </c>
      <c r="U463" s="6">
        <f t="shared" si="62"/>
        <v>264000</v>
      </c>
      <c r="V463" s="5">
        <f t="shared" si="63"/>
        <v>0.28695652173913044</v>
      </c>
    </row>
    <row r="464" spans="1:22">
      <c r="A464" t="s">
        <v>777</v>
      </c>
      <c r="B464" s="4">
        <v>45852</v>
      </c>
      <c r="C464" t="s">
        <v>77</v>
      </c>
      <c r="D464" t="s">
        <v>93</v>
      </c>
      <c r="E464" t="s">
        <v>66</v>
      </c>
      <c r="F464" t="s">
        <v>414</v>
      </c>
      <c r="G464" t="s">
        <v>89</v>
      </c>
      <c r="H464" t="s">
        <v>90</v>
      </c>
      <c r="I464">
        <v>4</v>
      </c>
      <c r="J464" s="6">
        <v>5900</v>
      </c>
      <c r="K464" s="6">
        <v>3700</v>
      </c>
      <c r="L464" s="5">
        <v>0.05</v>
      </c>
      <c r="M464" t="s">
        <v>109</v>
      </c>
      <c r="N464" t="s">
        <v>58</v>
      </c>
      <c r="O464">
        <f t="shared" si="56"/>
        <v>7</v>
      </c>
      <c r="P464">
        <f t="shared" si="57"/>
        <v>3</v>
      </c>
      <c r="Q464" s="6">
        <f t="shared" si="58"/>
        <v>23600</v>
      </c>
      <c r="R464" s="6">
        <f t="shared" si="59"/>
        <v>1180</v>
      </c>
      <c r="S464" s="6">
        <f t="shared" si="60"/>
        <v>0</v>
      </c>
      <c r="T464" s="6">
        <f t="shared" si="61"/>
        <v>0</v>
      </c>
      <c r="U464" s="6">
        <f t="shared" si="62"/>
        <v>0</v>
      </c>
      <c r="V464" s="5">
        <f t="shared" si="63"/>
        <v>0</v>
      </c>
    </row>
    <row r="465" spans="1:22">
      <c r="A465" t="s">
        <v>778</v>
      </c>
      <c r="B465" s="4">
        <v>45759</v>
      </c>
      <c r="C465" t="s">
        <v>51</v>
      </c>
      <c r="D465" t="s">
        <v>61</v>
      </c>
      <c r="E465" t="s">
        <v>66</v>
      </c>
      <c r="F465" t="s">
        <v>123</v>
      </c>
      <c r="G465" t="s">
        <v>68</v>
      </c>
      <c r="H465" t="s">
        <v>104</v>
      </c>
      <c r="I465">
        <v>3</v>
      </c>
      <c r="J465" s="6">
        <v>320000</v>
      </c>
      <c r="K465" s="6">
        <v>244000</v>
      </c>
      <c r="L465" s="5">
        <v>0.12</v>
      </c>
      <c r="M465" t="s">
        <v>57</v>
      </c>
      <c r="N465" t="s">
        <v>81</v>
      </c>
      <c r="O465">
        <f t="shared" si="56"/>
        <v>4</v>
      </c>
      <c r="P465">
        <f t="shared" si="57"/>
        <v>2</v>
      </c>
      <c r="Q465" s="6">
        <f t="shared" si="58"/>
        <v>960000</v>
      </c>
      <c r="R465" s="6">
        <f t="shared" si="59"/>
        <v>115200</v>
      </c>
      <c r="S465" s="6">
        <f t="shared" si="60"/>
        <v>844800</v>
      </c>
      <c r="T465" s="6">
        <f t="shared" si="61"/>
        <v>732000</v>
      </c>
      <c r="U465" s="6">
        <f t="shared" si="62"/>
        <v>112800</v>
      </c>
      <c r="V465" s="5">
        <f t="shared" si="63"/>
        <v>0.13352272727272727</v>
      </c>
    </row>
    <row r="466" spans="1:22">
      <c r="A466" t="s">
        <v>779</v>
      </c>
      <c r="B466" s="4">
        <v>45805</v>
      </c>
      <c r="C466" t="s">
        <v>60</v>
      </c>
      <c r="D466" t="s">
        <v>61</v>
      </c>
      <c r="E466" t="s">
        <v>94</v>
      </c>
      <c r="F466" t="s">
        <v>62</v>
      </c>
      <c r="G466" t="s">
        <v>55</v>
      </c>
      <c r="H466" t="s">
        <v>56</v>
      </c>
      <c r="I466">
        <v>4</v>
      </c>
      <c r="J466" s="6">
        <v>138000</v>
      </c>
      <c r="K466" s="6">
        <v>99000</v>
      </c>
      <c r="L466" s="5">
        <v>0.12</v>
      </c>
      <c r="M466" t="s">
        <v>57</v>
      </c>
      <c r="N466" t="s">
        <v>58</v>
      </c>
      <c r="O466">
        <f t="shared" si="56"/>
        <v>5</v>
      </c>
      <c r="P466">
        <f t="shared" si="57"/>
        <v>2</v>
      </c>
      <c r="Q466" s="6">
        <f t="shared" si="58"/>
        <v>552000</v>
      </c>
      <c r="R466" s="6">
        <f t="shared" si="59"/>
        <v>66240</v>
      </c>
      <c r="S466" s="6">
        <f t="shared" si="60"/>
        <v>485760</v>
      </c>
      <c r="T466" s="6">
        <f t="shared" si="61"/>
        <v>396000</v>
      </c>
      <c r="U466" s="6">
        <f t="shared" si="62"/>
        <v>89760</v>
      </c>
      <c r="V466" s="5">
        <f t="shared" si="63"/>
        <v>0.18478260869565216</v>
      </c>
    </row>
    <row r="467" spans="1:22">
      <c r="A467" t="s">
        <v>780</v>
      </c>
      <c r="B467" s="4">
        <v>45890</v>
      </c>
      <c r="C467" t="s">
        <v>120</v>
      </c>
      <c r="D467" t="s">
        <v>61</v>
      </c>
      <c r="E467" t="s">
        <v>73</v>
      </c>
      <c r="F467" t="s">
        <v>389</v>
      </c>
      <c r="G467" t="s">
        <v>68</v>
      </c>
      <c r="H467" t="s">
        <v>69</v>
      </c>
      <c r="I467">
        <v>8</v>
      </c>
      <c r="J467" s="6">
        <v>115000</v>
      </c>
      <c r="K467" s="6">
        <v>82000</v>
      </c>
      <c r="L467" s="5">
        <v>0</v>
      </c>
      <c r="M467" t="s">
        <v>57</v>
      </c>
      <c r="N467" t="s">
        <v>58</v>
      </c>
      <c r="O467">
        <f t="shared" si="56"/>
        <v>8</v>
      </c>
      <c r="P467">
        <f t="shared" si="57"/>
        <v>3</v>
      </c>
      <c r="Q467" s="6">
        <f t="shared" si="58"/>
        <v>920000</v>
      </c>
      <c r="R467" s="6">
        <f t="shared" si="59"/>
        <v>0</v>
      </c>
      <c r="S467" s="6">
        <f t="shared" si="60"/>
        <v>920000</v>
      </c>
      <c r="T467" s="6">
        <f t="shared" si="61"/>
        <v>656000</v>
      </c>
      <c r="U467" s="6">
        <f t="shared" si="62"/>
        <v>264000</v>
      </c>
      <c r="V467" s="5">
        <f t="shared" si="63"/>
        <v>0.28695652173913044</v>
      </c>
    </row>
    <row r="468" spans="1:22">
      <c r="A468" t="s">
        <v>781</v>
      </c>
      <c r="B468" s="4">
        <v>45725</v>
      </c>
      <c r="C468" t="s">
        <v>83</v>
      </c>
      <c r="D468" t="s">
        <v>61</v>
      </c>
      <c r="E468" t="s">
        <v>94</v>
      </c>
      <c r="F468" t="s">
        <v>282</v>
      </c>
      <c r="G468" t="s">
        <v>89</v>
      </c>
      <c r="H468" t="s">
        <v>95</v>
      </c>
      <c r="I468">
        <v>5</v>
      </c>
      <c r="J468" s="6">
        <v>32000</v>
      </c>
      <c r="K468" s="6">
        <v>21000</v>
      </c>
      <c r="L468" s="5">
        <v>0</v>
      </c>
      <c r="M468" t="s">
        <v>109</v>
      </c>
      <c r="N468" t="s">
        <v>75</v>
      </c>
      <c r="O468">
        <f t="shared" si="56"/>
        <v>3</v>
      </c>
      <c r="P468">
        <f t="shared" si="57"/>
        <v>1</v>
      </c>
      <c r="Q468" s="6">
        <f t="shared" si="58"/>
        <v>160000</v>
      </c>
      <c r="R468" s="6">
        <f t="shared" si="59"/>
        <v>0</v>
      </c>
      <c r="S468" s="6">
        <f t="shared" si="60"/>
        <v>0</v>
      </c>
      <c r="T468" s="6">
        <f t="shared" si="61"/>
        <v>0</v>
      </c>
      <c r="U468" s="6">
        <f t="shared" si="62"/>
        <v>0</v>
      </c>
      <c r="V468" s="5">
        <f t="shared" si="63"/>
        <v>0</v>
      </c>
    </row>
    <row r="469" spans="1:22">
      <c r="A469" t="s">
        <v>782</v>
      </c>
      <c r="B469" s="4">
        <v>45891</v>
      </c>
      <c r="C469" t="s">
        <v>102</v>
      </c>
      <c r="D469" t="s">
        <v>65</v>
      </c>
      <c r="E469" t="s">
        <v>84</v>
      </c>
      <c r="F469" t="s">
        <v>236</v>
      </c>
      <c r="G469" t="s">
        <v>55</v>
      </c>
      <c r="H469" t="s">
        <v>115</v>
      </c>
      <c r="I469">
        <v>5</v>
      </c>
      <c r="J469" s="6">
        <v>105000</v>
      </c>
      <c r="K469" s="6">
        <v>76000</v>
      </c>
      <c r="L469" s="5">
        <v>0.1</v>
      </c>
      <c r="M469" t="s">
        <v>109</v>
      </c>
      <c r="N469" t="s">
        <v>58</v>
      </c>
      <c r="O469">
        <f t="shared" si="56"/>
        <v>8</v>
      </c>
      <c r="P469">
        <f t="shared" si="57"/>
        <v>3</v>
      </c>
      <c r="Q469" s="6">
        <f t="shared" si="58"/>
        <v>525000</v>
      </c>
      <c r="R469" s="6">
        <f t="shared" si="59"/>
        <v>52500</v>
      </c>
      <c r="S469" s="6">
        <f t="shared" si="60"/>
        <v>0</v>
      </c>
      <c r="T469" s="6">
        <f t="shared" si="61"/>
        <v>0</v>
      </c>
      <c r="U469" s="6">
        <f t="shared" si="62"/>
        <v>0</v>
      </c>
      <c r="V469" s="5">
        <f t="shared" si="63"/>
        <v>0</v>
      </c>
    </row>
    <row r="470" spans="1:22">
      <c r="A470" t="s">
        <v>783</v>
      </c>
      <c r="B470" s="4">
        <v>45847</v>
      </c>
      <c r="C470" t="s">
        <v>83</v>
      </c>
      <c r="D470" t="s">
        <v>61</v>
      </c>
      <c r="E470" t="s">
        <v>73</v>
      </c>
      <c r="F470" t="s">
        <v>784</v>
      </c>
      <c r="G470" t="s">
        <v>89</v>
      </c>
      <c r="H470" t="s">
        <v>95</v>
      </c>
      <c r="I470">
        <v>6</v>
      </c>
      <c r="J470" s="6">
        <v>32000</v>
      </c>
      <c r="K470" s="6">
        <v>21000</v>
      </c>
      <c r="L470" s="5">
        <v>0.1</v>
      </c>
      <c r="M470" t="s">
        <v>57</v>
      </c>
      <c r="N470" t="s">
        <v>63</v>
      </c>
      <c r="O470">
        <f t="shared" si="56"/>
        <v>7</v>
      </c>
      <c r="P470">
        <f t="shared" si="57"/>
        <v>3</v>
      </c>
      <c r="Q470" s="6">
        <f t="shared" si="58"/>
        <v>192000</v>
      </c>
      <c r="R470" s="6">
        <f t="shared" si="59"/>
        <v>19200</v>
      </c>
      <c r="S470" s="6">
        <f t="shared" si="60"/>
        <v>172800</v>
      </c>
      <c r="T470" s="6">
        <f t="shared" si="61"/>
        <v>126000</v>
      </c>
      <c r="U470" s="6">
        <f t="shared" si="62"/>
        <v>46800</v>
      </c>
      <c r="V470" s="5">
        <f t="shared" si="63"/>
        <v>0.27083333333333331</v>
      </c>
    </row>
    <row r="471" spans="1:22">
      <c r="A471" t="s">
        <v>785</v>
      </c>
      <c r="B471" s="4">
        <v>45690</v>
      </c>
      <c r="C471" t="s">
        <v>60</v>
      </c>
      <c r="D471" t="s">
        <v>52</v>
      </c>
      <c r="E471" t="s">
        <v>66</v>
      </c>
      <c r="F471" t="s">
        <v>786</v>
      </c>
      <c r="G471" t="s">
        <v>68</v>
      </c>
      <c r="H471" t="s">
        <v>79</v>
      </c>
      <c r="I471">
        <v>7</v>
      </c>
      <c r="J471" s="6">
        <v>19000</v>
      </c>
      <c r="K471" s="6">
        <v>11500</v>
      </c>
      <c r="L471" s="5">
        <v>0.03</v>
      </c>
      <c r="M471" t="s">
        <v>57</v>
      </c>
      <c r="N471" t="s">
        <v>75</v>
      </c>
      <c r="O471">
        <f t="shared" si="56"/>
        <v>2</v>
      </c>
      <c r="P471">
        <f t="shared" si="57"/>
        <v>1</v>
      </c>
      <c r="Q471" s="6">
        <f t="shared" si="58"/>
        <v>133000</v>
      </c>
      <c r="R471" s="6">
        <f t="shared" si="59"/>
        <v>3990</v>
      </c>
      <c r="S471" s="6">
        <f t="shared" si="60"/>
        <v>129010</v>
      </c>
      <c r="T471" s="6">
        <f t="shared" si="61"/>
        <v>80500</v>
      </c>
      <c r="U471" s="6">
        <f t="shared" si="62"/>
        <v>48510</v>
      </c>
      <c r="V471" s="5">
        <f t="shared" si="63"/>
        <v>0.37601736299511668</v>
      </c>
    </row>
    <row r="472" spans="1:22">
      <c r="A472" t="s">
        <v>787</v>
      </c>
      <c r="B472" s="4">
        <v>45835</v>
      </c>
      <c r="C472" t="s">
        <v>83</v>
      </c>
      <c r="D472" t="s">
        <v>61</v>
      </c>
      <c r="E472" t="s">
        <v>84</v>
      </c>
      <c r="F472" t="s">
        <v>788</v>
      </c>
      <c r="G472" t="s">
        <v>55</v>
      </c>
      <c r="H472" t="s">
        <v>115</v>
      </c>
      <c r="I472">
        <v>4</v>
      </c>
      <c r="J472" s="6">
        <v>105000</v>
      </c>
      <c r="K472" s="6">
        <v>76000</v>
      </c>
      <c r="L472" s="5">
        <v>0.1</v>
      </c>
      <c r="M472" t="s">
        <v>80</v>
      </c>
      <c r="N472" t="s">
        <v>63</v>
      </c>
      <c r="O472">
        <f t="shared" si="56"/>
        <v>6</v>
      </c>
      <c r="P472">
        <f t="shared" si="57"/>
        <v>2</v>
      </c>
      <c r="Q472" s="6">
        <f t="shared" si="58"/>
        <v>420000</v>
      </c>
      <c r="R472" s="6">
        <f t="shared" si="59"/>
        <v>42000</v>
      </c>
      <c r="S472" s="6">
        <f t="shared" si="60"/>
        <v>0</v>
      </c>
      <c r="T472" s="6">
        <f t="shared" si="61"/>
        <v>0</v>
      </c>
      <c r="U472" s="6">
        <f t="shared" si="62"/>
        <v>0</v>
      </c>
      <c r="V472" s="5">
        <f t="shared" si="63"/>
        <v>0</v>
      </c>
    </row>
    <row r="473" spans="1:22">
      <c r="A473" t="s">
        <v>789</v>
      </c>
      <c r="B473" s="4">
        <v>45856</v>
      </c>
      <c r="C473" t="s">
        <v>77</v>
      </c>
      <c r="D473" t="s">
        <v>65</v>
      </c>
      <c r="E473" t="s">
        <v>94</v>
      </c>
      <c r="F473" t="s">
        <v>790</v>
      </c>
      <c r="G473" t="s">
        <v>68</v>
      </c>
      <c r="H473" t="s">
        <v>104</v>
      </c>
      <c r="I473">
        <v>2</v>
      </c>
      <c r="J473" s="6">
        <v>320000</v>
      </c>
      <c r="K473" s="6">
        <v>244000</v>
      </c>
      <c r="L473" s="5">
        <v>0.1</v>
      </c>
      <c r="M473" t="s">
        <v>57</v>
      </c>
      <c r="N473" t="s">
        <v>81</v>
      </c>
      <c r="O473">
        <f t="shared" si="56"/>
        <v>7</v>
      </c>
      <c r="P473">
        <f t="shared" si="57"/>
        <v>3</v>
      </c>
      <c r="Q473" s="6">
        <f t="shared" si="58"/>
        <v>640000</v>
      </c>
      <c r="R473" s="6">
        <f t="shared" si="59"/>
        <v>64000</v>
      </c>
      <c r="S473" s="6">
        <f t="shared" si="60"/>
        <v>576000</v>
      </c>
      <c r="T473" s="6">
        <f t="shared" si="61"/>
        <v>488000</v>
      </c>
      <c r="U473" s="6">
        <f t="shared" si="62"/>
        <v>88000</v>
      </c>
      <c r="V473" s="5">
        <f t="shared" si="63"/>
        <v>0.15277777777777779</v>
      </c>
    </row>
    <row r="474" spans="1:22">
      <c r="A474" t="s">
        <v>791</v>
      </c>
      <c r="B474" s="4">
        <v>45763</v>
      </c>
      <c r="C474" t="s">
        <v>120</v>
      </c>
      <c r="D474" t="s">
        <v>61</v>
      </c>
      <c r="E474" t="s">
        <v>53</v>
      </c>
      <c r="F474" t="s">
        <v>420</v>
      </c>
      <c r="G474" t="s">
        <v>68</v>
      </c>
      <c r="H474" t="s">
        <v>104</v>
      </c>
      <c r="I474">
        <v>4</v>
      </c>
      <c r="J474" s="6">
        <v>320000</v>
      </c>
      <c r="K474" s="6">
        <v>244000</v>
      </c>
      <c r="L474" s="5">
        <v>0</v>
      </c>
      <c r="M474" t="s">
        <v>57</v>
      </c>
      <c r="N474" t="s">
        <v>63</v>
      </c>
      <c r="O474">
        <f t="shared" si="56"/>
        <v>4</v>
      </c>
      <c r="P474">
        <f t="shared" si="57"/>
        <v>2</v>
      </c>
      <c r="Q474" s="6">
        <f t="shared" si="58"/>
        <v>1280000</v>
      </c>
      <c r="R474" s="6">
        <f t="shared" si="59"/>
        <v>0</v>
      </c>
      <c r="S474" s="6">
        <f t="shared" si="60"/>
        <v>1280000</v>
      </c>
      <c r="T474" s="6">
        <f t="shared" si="61"/>
        <v>976000</v>
      </c>
      <c r="U474" s="6">
        <f t="shared" si="62"/>
        <v>304000</v>
      </c>
      <c r="V474" s="5">
        <f t="shared" si="63"/>
        <v>0.23749999999999999</v>
      </c>
    </row>
    <row r="475" spans="1:22">
      <c r="A475" t="s">
        <v>792</v>
      </c>
      <c r="B475" s="4">
        <v>45916</v>
      </c>
      <c r="C475" t="s">
        <v>60</v>
      </c>
      <c r="D475" t="s">
        <v>106</v>
      </c>
      <c r="E475" t="s">
        <v>73</v>
      </c>
      <c r="F475" t="s">
        <v>649</v>
      </c>
      <c r="G475" t="s">
        <v>89</v>
      </c>
      <c r="H475" t="s">
        <v>95</v>
      </c>
      <c r="I475">
        <v>4</v>
      </c>
      <c r="J475" s="6">
        <v>32000</v>
      </c>
      <c r="K475" s="6">
        <v>21000</v>
      </c>
      <c r="L475" s="5">
        <v>0.12</v>
      </c>
      <c r="M475" t="s">
        <v>80</v>
      </c>
      <c r="N475" t="s">
        <v>81</v>
      </c>
      <c r="O475">
        <f t="shared" si="56"/>
        <v>9</v>
      </c>
      <c r="P475">
        <f t="shared" si="57"/>
        <v>3</v>
      </c>
      <c r="Q475" s="6">
        <f t="shared" si="58"/>
        <v>128000</v>
      </c>
      <c r="R475" s="6">
        <f t="shared" si="59"/>
        <v>15360</v>
      </c>
      <c r="S475" s="6">
        <f t="shared" si="60"/>
        <v>0</v>
      </c>
      <c r="T475" s="6">
        <f t="shared" si="61"/>
        <v>0</v>
      </c>
      <c r="U475" s="6">
        <f t="shared" si="62"/>
        <v>0</v>
      </c>
      <c r="V475" s="5">
        <f t="shared" si="63"/>
        <v>0</v>
      </c>
    </row>
    <row r="476" spans="1:22">
      <c r="A476" t="s">
        <v>793</v>
      </c>
      <c r="B476" s="4">
        <v>45769</v>
      </c>
      <c r="C476" t="s">
        <v>111</v>
      </c>
      <c r="D476" t="s">
        <v>61</v>
      </c>
      <c r="E476" t="s">
        <v>94</v>
      </c>
      <c r="F476" t="s">
        <v>794</v>
      </c>
      <c r="G476" t="s">
        <v>68</v>
      </c>
      <c r="H476" t="s">
        <v>108</v>
      </c>
      <c r="I476">
        <v>2</v>
      </c>
      <c r="J476" s="6">
        <v>175000</v>
      </c>
      <c r="K476" s="6">
        <v>129000</v>
      </c>
      <c r="L476" s="5">
        <v>0.12</v>
      </c>
      <c r="M476" t="s">
        <v>57</v>
      </c>
      <c r="N476" t="s">
        <v>75</v>
      </c>
      <c r="O476">
        <f t="shared" si="56"/>
        <v>4</v>
      </c>
      <c r="P476">
        <f t="shared" si="57"/>
        <v>2</v>
      </c>
      <c r="Q476" s="6">
        <f t="shared" si="58"/>
        <v>350000</v>
      </c>
      <c r="R476" s="6">
        <f t="shared" si="59"/>
        <v>42000</v>
      </c>
      <c r="S476" s="6">
        <f t="shared" si="60"/>
        <v>308000</v>
      </c>
      <c r="T476" s="6">
        <f t="shared" si="61"/>
        <v>258000</v>
      </c>
      <c r="U476" s="6">
        <f t="shared" si="62"/>
        <v>50000</v>
      </c>
      <c r="V476" s="5">
        <f t="shared" si="63"/>
        <v>0.16233766233766234</v>
      </c>
    </row>
    <row r="477" spans="1:22">
      <c r="A477" t="s">
        <v>795</v>
      </c>
      <c r="B477" s="4">
        <v>45922</v>
      </c>
      <c r="C477" t="s">
        <v>60</v>
      </c>
      <c r="D477" t="s">
        <v>72</v>
      </c>
      <c r="E477" t="s">
        <v>94</v>
      </c>
      <c r="F477" t="s">
        <v>187</v>
      </c>
      <c r="G477" t="s">
        <v>55</v>
      </c>
      <c r="H477" t="s">
        <v>115</v>
      </c>
      <c r="I477">
        <v>2</v>
      </c>
      <c r="J477" s="6">
        <v>105000</v>
      </c>
      <c r="K477" s="6">
        <v>76000</v>
      </c>
      <c r="L477" s="5">
        <v>0.12</v>
      </c>
      <c r="M477" t="s">
        <v>57</v>
      </c>
      <c r="N477" t="s">
        <v>70</v>
      </c>
      <c r="O477">
        <f t="shared" si="56"/>
        <v>9</v>
      </c>
      <c r="P477">
        <f t="shared" si="57"/>
        <v>3</v>
      </c>
      <c r="Q477" s="6">
        <f t="shared" si="58"/>
        <v>210000</v>
      </c>
      <c r="R477" s="6">
        <f t="shared" si="59"/>
        <v>25200</v>
      </c>
      <c r="S477" s="6">
        <f t="shared" si="60"/>
        <v>184800</v>
      </c>
      <c r="T477" s="6">
        <f t="shared" si="61"/>
        <v>152000</v>
      </c>
      <c r="U477" s="6">
        <f t="shared" si="62"/>
        <v>32800</v>
      </c>
      <c r="V477" s="5">
        <f t="shared" si="63"/>
        <v>0.1774891774891775</v>
      </c>
    </row>
    <row r="478" spans="1:22">
      <c r="A478" t="s">
        <v>796</v>
      </c>
      <c r="B478" s="4">
        <v>45719</v>
      </c>
      <c r="C478" t="s">
        <v>77</v>
      </c>
      <c r="D478" t="s">
        <v>61</v>
      </c>
      <c r="E478" t="s">
        <v>73</v>
      </c>
      <c r="F478" t="s">
        <v>206</v>
      </c>
      <c r="G478" t="s">
        <v>89</v>
      </c>
      <c r="H478" t="s">
        <v>98</v>
      </c>
      <c r="I478">
        <v>6</v>
      </c>
      <c r="J478" s="6">
        <v>16500</v>
      </c>
      <c r="K478" s="6">
        <v>10000</v>
      </c>
      <c r="L478" s="5">
        <v>0.08</v>
      </c>
      <c r="M478" t="s">
        <v>57</v>
      </c>
      <c r="N478" t="s">
        <v>58</v>
      </c>
      <c r="O478">
        <f t="shared" si="56"/>
        <v>3</v>
      </c>
      <c r="P478">
        <f t="shared" si="57"/>
        <v>1</v>
      </c>
      <c r="Q478" s="6">
        <f t="shared" si="58"/>
        <v>99000</v>
      </c>
      <c r="R478" s="6">
        <f t="shared" si="59"/>
        <v>7920</v>
      </c>
      <c r="S478" s="6">
        <f t="shared" si="60"/>
        <v>91080</v>
      </c>
      <c r="T478" s="6">
        <f t="shared" si="61"/>
        <v>60000</v>
      </c>
      <c r="U478" s="6">
        <f t="shared" si="62"/>
        <v>31080</v>
      </c>
      <c r="V478" s="5">
        <f t="shared" si="63"/>
        <v>0.34123847167325427</v>
      </c>
    </row>
    <row r="479" spans="1:22">
      <c r="A479" t="s">
        <v>797</v>
      </c>
      <c r="B479" s="4">
        <v>45871</v>
      </c>
      <c r="C479" t="s">
        <v>51</v>
      </c>
      <c r="D479" t="s">
        <v>106</v>
      </c>
      <c r="E479" t="s">
        <v>73</v>
      </c>
      <c r="F479" t="s">
        <v>353</v>
      </c>
      <c r="G479" t="s">
        <v>55</v>
      </c>
      <c r="H479" t="s">
        <v>115</v>
      </c>
      <c r="I479">
        <v>5</v>
      </c>
      <c r="J479" s="6">
        <v>105000</v>
      </c>
      <c r="K479" s="6">
        <v>76000</v>
      </c>
      <c r="L479" s="5">
        <v>0.12</v>
      </c>
      <c r="M479" t="s">
        <v>57</v>
      </c>
      <c r="N479" t="s">
        <v>63</v>
      </c>
      <c r="O479">
        <f t="shared" si="56"/>
        <v>8</v>
      </c>
      <c r="P479">
        <f t="shared" si="57"/>
        <v>3</v>
      </c>
      <c r="Q479" s="6">
        <f t="shared" si="58"/>
        <v>525000</v>
      </c>
      <c r="R479" s="6">
        <f t="shared" si="59"/>
        <v>63000</v>
      </c>
      <c r="S479" s="6">
        <f t="shared" si="60"/>
        <v>462000</v>
      </c>
      <c r="T479" s="6">
        <f t="shared" si="61"/>
        <v>380000</v>
      </c>
      <c r="U479" s="6">
        <f t="shared" si="62"/>
        <v>82000</v>
      </c>
      <c r="V479" s="5">
        <f t="shared" si="63"/>
        <v>0.1774891774891775</v>
      </c>
    </row>
    <row r="480" spans="1:22">
      <c r="A480" t="s">
        <v>798</v>
      </c>
      <c r="B480" s="4">
        <v>45999</v>
      </c>
      <c r="C480" t="s">
        <v>83</v>
      </c>
      <c r="D480" t="s">
        <v>106</v>
      </c>
      <c r="E480" t="s">
        <v>73</v>
      </c>
      <c r="F480" t="s">
        <v>799</v>
      </c>
      <c r="G480" t="s">
        <v>89</v>
      </c>
      <c r="H480" t="s">
        <v>95</v>
      </c>
      <c r="I480">
        <v>3</v>
      </c>
      <c r="J480" s="6">
        <v>32000</v>
      </c>
      <c r="K480" s="6">
        <v>21000</v>
      </c>
      <c r="L480" s="5">
        <v>0</v>
      </c>
      <c r="M480" t="s">
        <v>57</v>
      </c>
      <c r="N480" t="s">
        <v>63</v>
      </c>
      <c r="O480">
        <f t="shared" si="56"/>
        <v>12</v>
      </c>
      <c r="P480">
        <f t="shared" si="57"/>
        <v>4</v>
      </c>
      <c r="Q480" s="6">
        <f t="shared" si="58"/>
        <v>96000</v>
      </c>
      <c r="R480" s="6">
        <f t="shared" si="59"/>
        <v>0</v>
      </c>
      <c r="S480" s="6">
        <f t="shared" si="60"/>
        <v>96000</v>
      </c>
      <c r="T480" s="6">
        <f t="shared" si="61"/>
        <v>63000</v>
      </c>
      <c r="U480" s="6">
        <f t="shared" si="62"/>
        <v>33000</v>
      </c>
      <c r="V480" s="5">
        <f t="shared" si="63"/>
        <v>0.34375</v>
      </c>
    </row>
    <row r="481" spans="1:22">
      <c r="A481" t="s">
        <v>800</v>
      </c>
      <c r="B481" s="4">
        <v>45821</v>
      </c>
      <c r="C481" t="s">
        <v>92</v>
      </c>
      <c r="D481" t="s">
        <v>65</v>
      </c>
      <c r="E481" t="s">
        <v>84</v>
      </c>
      <c r="F481" t="s">
        <v>353</v>
      </c>
      <c r="G481" t="s">
        <v>68</v>
      </c>
      <c r="H481" t="s">
        <v>79</v>
      </c>
      <c r="I481">
        <v>1</v>
      </c>
      <c r="J481" s="6">
        <v>19000</v>
      </c>
      <c r="K481" s="6">
        <v>11500</v>
      </c>
      <c r="L481" s="5">
        <v>0.1</v>
      </c>
      <c r="M481" t="s">
        <v>57</v>
      </c>
      <c r="N481" t="s">
        <v>70</v>
      </c>
      <c r="O481">
        <f t="shared" si="56"/>
        <v>6</v>
      </c>
      <c r="P481">
        <f t="shared" si="57"/>
        <v>2</v>
      </c>
      <c r="Q481" s="6">
        <f t="shared" si="58"/>
        <v>19000</v>
      </c>
      <c r="R481" s="6">
        <f t="shared" si="59"/>
        <v>1900</v>
      </c>
      <c r="S481" s="6">
        <f t="shared" si="60"/>
        <v>17100</v>
      </c>
      <c r="T481" s="6">
        <f t="shared" si="61"/>
        <v>11500</v>
      </c>
      <c r="U481" s="6">
        <f t="shared" si="62"/>
        <v>5600</v>
      </c>
      <c r="V481" s="5">
        <f t="shared" si="63"/>
        <v>0.32748538011695905</v>
      </c>
    </row>
    <row r="482" spans="1:22">
      <c r="A482" t="s">
        <v>801</v>
      </c>
      <c r="B482" s="4">
        <v>45939</v>
      </c>
      <c r="C482" t="s">
        <v>102</v>
      </c>
      <c r="D482" t="s">
        <v>61</v>
      </c>
      <c r="E482" t="s">
        <v>66</v>
      </c>
      <c r="F482" t="s">
        <v>365</v>
      </c>
      <c r="G482" t="s">
        <v>68</v>
      </c>
      <c r="H482" t="s">
        <v>79</v>
      </c>
      <c r="I482">
        <v>4</v>
      </c>
      <c r="J482" s="6">
        <v>19000</v>
      </c>
      <c r="K482" s="6">
        <v>11500</v>
      </c>
      <c r="L482" s="5">
        <v>0</v>
      </c>
      <c r="M482" t="s">
        <v>57</v>
      </c>
      <c r="N482" t="s">
        <v>70</v>
      </c>
      <c r="O482">
        <f t="shared" si="56"/>
        <v>10</v>
      </c>
      <c r="P482">
        <f t="shared" si="57"/>
        <v>4</v>
      </c>
      <c r="Q482" s="6">
        <f t="shared" si="58"/>
        <v>76000</v>
      </c>
      <c r="R482" s="6">
        <f t="shared" si="59"/>
        <v>0</v>
      </c>
      <c r="S482" s="6">
        <f t="shared" si="60"/>
        <v>76000</v>
      </c>
      <c r="T482" s="6">
        <f t="shared" si="61"/>
        <v>46000</v>
      </c>
      <c r="U482" s="6">
        <f t="shared" si="62"/>
        <v>30000</v>
      </c>
      <c r="V482" s="5">
        <f t="shared" si="63"/>
        <v>0.39473684210526316</v>
      </c>
    </row>
    <row r="483" spans="1:22">
      <c r="A483" t="s">
        <v>802</v>
      </c>
      <c r="B483" s="4">
        <v>45991</v>
      </c>
      <c r="C483" t="s">
        <v>60</v>
      </c>
      <c r="D483" t="s">
        <v>61</v>
      </c>
      <c r="E483" t="s">
        <v>66</v>
      </c>
      <c r="F483" t="s">
        <v>709</v>
      </c>
      <c r="G483" t="s">
        <v>68</v>
      </c>
      <c r="H483" t="s">
        <v>69</v>
      </c>
      <c r="I483">
        <v>2</v>
      </c>
      <c r="J483" s="6">
        <v>115000</v>
      </c>
      <c r="K483" s="6">
        <v>82000</v>
      </c>
      <c r="L483" s="5">
        <v>0.1</v>
      </c>
      <c r="M483" t="s">
        <v>57</v>
      </c>
      <c r="N483" t="s">
        <v>58</v>
      </c>
      <c r="O483">
        <f t="shared" si="56"/>
        <v>11</v>
      </c>
      <c r="P483">
        <f t="shared" si="57"/>
        <v>4</v>
      </c>
      <c r="Q483" s="6">
        <f t="shared" si="58"/>
        <v>230000</v>
      </c>
      <c r="R483" s="6">
        <f t="shared" si="59"/>
        <v>23000</v>
      </c>
      <c r="S483" s="6">
        <f t="shared" si="60"/>
        <v>207000</v>
      </c>
      <c r="T483" s="6">
        <f t="shared" si="61"/>
        <v>164000</v>
      </c>
      <c r="U483" s="6">
        <f t="shared" si="62"/>
        <v>43000</v>
      </c>
      <c r="V483" s="5">
        <f t="shared" si="63"/>
        <v>0.20772946859903382</v>
      </c>
    </row>
    <row r="484" spans="1:22">
      <c r="A484" t="s">
        <v>803</v>
      </c>
      <c r="B484" s="4">
        <v>45689</v>
      </c>
      <c r="C484" t="s">
        <v>92</v>
      </c>
      <c r="D484" t="s">
        <v>72</v>
      </c>
      <c r="E484" t="s">
        <v>94</v>
      </c>
      <c r="F484" t="s">
        <v>114</v>
      </c>
      <c r="G484" t="s">
        <v>55</v>
      </c>
      <c r="H484" t="s">
        <v>86</v>
      </c>
      <c r="I484">
        <v>2</v>
      </c>
      <c r="J484" s="6">
        <v>92000</v>
      </c>
      <c r="K484" s="6">
        <v>60000</v>
      </c>
      <c r="L484" s="5">
        <v>0.1</v>
      </c>
      <c r="M484" t="s">
        <v>57</v>
      </c>
      <c r="N484" t="s">
        <v>70</v>
      </c>
      <c r="O484">
        <f t="shared" si="56"/>
        <v>2</v>
      </c>
      <c r="P484">
        <f t="shared" si="57"/>
        <v>1</v>
      </c>
      <c r="Q484" s="6">
        <f t="shared" si="58"/>
        <v>184000</v>
      </c>
      <c r="R484" s="6">
        <f t="shared" si="59"/>
        <v>18400</v>
      </c>
      <c r="S484" s="6">
        <f t="shared" si="60"/>
        <v>165600</v>
      </c>
      <c r="T484" s="6">
        <f t="shared" si="61"/>
        <v>120000</v>
      </c>
      <c r="U484" s="6">
        <f t="shared" si="62"/>
        <v>45600</v>
      </c>
      <c r="V484" s="5">
        <f t="shared" si="63"/>
        <v>0.27536231884057971</v>
      </c>
    </row>
    <row r="485" spans="1:22">
      <c r="A485" t="s">
        <v>804</v>
      </c>
      <c r="B485" s="4">
        <v>45876</v>
      </c>
      <c r="C485" t="s">
        <v>51</v>
      </c>
      <c r="D485" t="s">
        <v>61</v>
      </c>
      <c r="E485" t="s">
        <v>66</v>
      </c>
      <c r="F485" t="s">
        <v>88</v>
      </c>
      <c r="G485" t="s">
        <v>68</v>
      </c>
      <c r="H485" t="s">
        <v>108</v>
      </c>
      <c r="I485">
        <v>3</v>
      </c>
      <c r="J485" s="6">
        <v>175000</v>
      </c>
      <c r="K485" s="6">
        <v>129000</v>
      </c>
      <c r="L485" s="5">
        <v>0.08</v>
      </c>
      <c r="M485" t="s">
        <v>57</v>
      </c>
      <c r="N485" t="s">
        <v>75</v>
      </c>
      <c r="O485">
        <f t="shared" si="56"/>
        <v>8</v>
      </c>
      <c r="P485">
        <f t="shared" si="57"/>
        <v>3</v>
      </c>
      <c r="Q485" s="6">
        <f t="shared" si="58"/>
        <v>525000</v>
      </c>
      <c r="R485" s="6">
        <f t="shared" si="59"/>
        <v>42000</v>
      </c>
      <c r="S485" s="6">
        <f t="shared" si="60"/>
        <v>483000</v>
      </c>
      <c r="T485" s="6">
        <f t="shared" si="61"/>
        <v>387000</v>
      </c>
      <c r="U485" s="6">
        <f t="shared" si="62"/>
        <v>96000</v>
      </c>
      <c r="V485" s="5">
        <f t="shared" si="63"/>
        <v>0.19875776397515527</v>
      </c>
    </row>
    <row r="486" spans="1:22">
      <c r="A486" t="s">
        <v>805</v>
      </c>
      <c r="B486" s="4">
        <v>45806</v>
      </c>
      <c r="C486" t="s">
        <v>102</v>
      </c>
      <c r="D486" t="s">
        <v>61</v>
      </c>
      <c r="E486" t="s">
        <v>94</v>
      </c>
      <c r="F486" t="s">
        <v>806</v>
      </c>
      <c r="G486" t="s">
        <v>68</v>
      </c>
      <c r="H486" t="s">
        <v>69</v>
      </c>
      <c r="I486">
        <v>1</v>
      </c>
      <c r="J486" s="6">
        <v>115000</v>
      </c>
      <c r="K486" s="6">
        <v>82000</v>
      </c>
      <c r="L486" s="5">
        <v>0.1</v>
      </c>
      <c r="M486" t="s">
        <v>80</v>
      </c>
      <c r="N486" t="s">
        <v>58</v>
      </c>
      <c r="O486">
        <f t="shared" si="56"/>
        <v>5</v>
      </c>
      <c r="P486">
        <f t="shared" si="57"/>
        <v>2</v>
      </c>
      <c r="Q486" s="6">
        <f t="shared" si="58"/>
        <v>115000</v>
      </c>
      <c r="R486" s="6">
        <f t="shared" si="59"/>
        <v>11500</v>
      </c>
      <c r="S486" s="6">
        <f t="shared" si="60"/>
        <v>0</v>
      </c>
      <c r="T486" s="6">
        <f t="shared" si="61"/>
        <v>0</v>
      </c>
      <c r="U486" s="6">
        <f t="shared" si="62"/>
        <v>0</v>
      </c>
      <c r="V486" s="5">
        <f t="shared" si="63"/>
        <v>0</v>
      </c>
    </row>
    <row r="487" spans="1:22">
      <c r="A487" t="s">
        <v>807</v>
      </c>
      <c r="B487" s="4">
        <v>45764</v>
      </c>
      <c r="C487" t="s">
        <v>102</v>
      </c>
      <c r="D487" t="s">
        <v>61</v>
      </c>
      <c r="E487" t="s">
        <v>73</v>
      </c>
      <c r="F487" t="s">
        <v>405</v>
      </c>
      <c r="G487" t="s">
        <v>68</v>
      </c>
      <c r="H487" t="s">
        <v>79</v>
      </c>
      <c r="I487">
        <v>1</v>
      </c>
      <c r="J487" s="6">
        <v>19000</v>
      </c>
      <c r="K487" s="6">
        <v>11500</v>
      </c>
      <c r="L487" s="5">
        <v>0.03</v>
      </c>
      <c r="M487" t="s">
        <v>80</v>
      </c>
      <c r="N487" t="s">
        <v>63</v>
      </c>
      <c r="O487">
        <f t="shared" si="56"/>
        <v>4</v>
      </c>
      <c r="P487">
        <f t="shared" si="57"/>
        <v>2</v>
      </c>
      <c r="Q487" s="6">
        <f t="shared" si="58"/>
        <v>19000</v>
      </c>
      <c r="R487" s="6">
        <f t="shared" si="59"/>
        <v>570</v>
      </c>
      <c r="S487" s="6">
        <f t="shared" si="60"/>
        <v>0</v>
      </c>
      <c r="T487" s="6">
        <f t="shared" si="61"/>
        <v>0</v>
      </c>
      <c r="U487" s="6">
        <f t="shared" si="62"/>
        <v>0</v>
      </c>
      <c r="V487" s="5">
        <f t="shared" si="63"/>
        <v>0</v>
      </c>
    </row>
    <row r="488" spans="1:22">
      <c r="A488" t="s">
        <v>808</v>
      </c>
      <c r="B488" s="4">
        <v>45817</v>
      </c>
      <c r="C488" t="s">
        <v>102</v>
      </c>
      <c r="D488" t="s">
        <v>106</v>
      </c>
      <c r="E488" t="s">
        <v>73</v>
      </c>
      <c r="F488" t="s">
        <v>295</v>
      </c>
      <c r="G488" t="s">
        <v>68</v>
      </c>
      <c r="H488" t="s">
        <v>108</v>
      </c>
      <c r="I488">
        <v>7</v>
      </c>
      <c r="J488" s="6">
        <v>175000</v>
      </c>
      <c r="K488" s="6">
        <v>129000</v>
      </c>
      <c r="L488" s="5">
        <v>0.05</v>
      </c>
      <c r="M488" t="s">
        <v>57</v>
      </c>
      <c r="N488" t="s">
        <v>81</v>
      </c>
      <c r="O488">
        <f t="shared" si="56"/>
        <v>6</v>
      </c>
      <c r="P488">
        <f t="shared" si="57"/>
        <v>2</v>
      </c>
      <c r="Q488" s="6">
        <f t="shared" si="58"/>
        <v>1225000</v>
      </c>
      <c r="R488" s="6">
        <f t="shared" si="59"/>
        <v>61250</v>
      </c>
      <c r="S488" s="6">
        <f t="shared" si="60"/>
        <v>1163750</v>
      </c>
      <c r="T488" s="6">
        <f t="shared" si="61"/>
        <v>903000</v>
      </c>
      <c r="U488" s="6">
        <f t="shared" si="62"/>
        <v>260750</v>
      </c>
      <c r="V488" s="5">
        <f t="shared" si="63"/>
        <v>0.22406015037593985</v>
      </c>
    </row>
    <row r="489" spans="1:22">
      <c r="A489" t="s">
        <v>809</v>
      </c>
      <c r="B489" s="4">
        <v>45851</v>
      </c>
      <c r="C489" t="s">
        <v>102</v>
      </c>
      <c r="D489" t="s">
        <v>65</v>
      </c>
      <c r="E489" t="s">
        <v>53</v>
      </c>
      <c r="F489" t="s">
        <v>349</v>
      </c>
      <c r="G489" t="s">
        <v>55</v>
      </c>
      <c r="H489" t="s">
        <v>115</v>
      </c>
      <c r="I489">
        <v>2</v>
      </c>
      <c r="J489" s="6">
        <v>105000</v>
      </c>
      <c r="K489" s="6">
        <v>76000</v>
      </c>
      <c r="L489" s="5">
        <v>0.03</v>
      </c>
      <c r="M489" t="s">
        <v>57</v>
      </c>
      <c r="N489" t="s">
        <v>81</v>
      </c>
      <c r="O489">
        <f t="shared" si="56"/>
        <v>7</v>
      </c>
      <c r="P489">
        <f t="shared" si="57"/>
        <v>3</v>
      </c>
      <c r="Q489" s="6">
        <f t="shared" si="58"/>
        <v>210000</v>
      </c>
      <c r="R489" s="6">
        <f t="shared" si="59"/>
        <v>6300</v>
      </c>
      <c r="S489" s="6">
        <f t="shared" si="60"/>
        <v>203700</v>
      </c>
      <c r="T489" s="6">
        <f t="shared" si="61"/>
        <v>152000</v>
      </c>
      <c r="U489" s="6">
        <f t="shared" si="62"/>
        <v>51700</v>
      </c>
      <c r="V489" s="5">
        <f t="shared" si="63"/>
        <v>0.25380461462935688</v>
      </c>
    </row>
    <row r="490" spans="1:22">
      <c r="A490" t="s">
        <v>810</v>
      </c>
      <c r="B490" s="4">
        <v>45904</v>
      </c>
      <c r="C490" t="s">
        <v>60</v>
      </c>
      <c r="D490" t="s">
        <v>72</v>
      </c>
      <c r="E490" t="s">
        <v>66</v>
      </c>
      <c r="F490" t="s">
        <v>811</v>
      </c>
      <c r="G490" t="s">
        <v>89</v>
      </c>
      <c r="H490" t="s">
        <v>90</v>
      </c>
      <c r="I490">
        <v>3</v>
      </c>
      <c r="J490" s="6">
        <v>5900</v>
      </c>
      <c r="K490" s="6">
        <v>3700</v>
      </c>
      <c r="L490" s="5">
        <v>0.03</v>
      </c>
      <c r="M490" t="s">
        <v>80</v>
      </c>
      <c r="N490" t="s">
        <v>63</v>
      </c>
      <c r="O490">
        <f t="shared" si="56"/>
        <v>9</v>
      </c>
      <c r="P490">
        <f t="shared" si="57"/>
        <v>3</v>
      </c>
      <c r="Q490" s="6">
        <f t="shared" si="58"/>
        <v>17700</v>
      </c>
      <c r="R490" s="6">
        <f t="shared" si="59"/>
        <v>531</v>
      </c>
      <c r="S490" s="6">
        <f t="shared" si="60"/>
        <v>0</v>
      </c>
      <c r="T490" s="6">
        <f t="shared" si="61"/>
        <v>0</v>
      </c>
      <c r="U490" s="6">
        <f t="shared" si="62"/>
        <v>0</v>
      </c>
      <c r="V490" s="5">
        <f t="shared" si="63"/>
        <v>0</v>
      </c>
    </row>
    <row r="491" spans="1:22">
      <c r="A491" t="s">
        <v>812</v>
      </c>
      <c r="B491" s="4">
        <v>45745</v>
      </c>
      <c r="C491" t="s">
        <v>92</v>
      </c>
      <c r="D491" t="s">
        <v>106</v>
      </c>
      <c r="E491" t="s">
        <v>73</v>
      </c>
      <c r="F491" t="s">
        <v>256</v>
      </c>
      <c r="G491" t="s">
        <v>55</v>
      </c>
      <c r="H491" t="s">
        <v>115</v>
      </c>
      <c r="I491">
        <v>6</v>
      </c>
      <c r="J491" s="6">
        <v>105000</v>
      </c>
      <c r="K491" s="6">
        <v>76000</v>
      </c>
      <c r="L491" s="5">
        <v>0.08</v>
      </c>
      <c r="M491" t="s">
        <v>57</v>
      </c>
      <c r="N491" t="s">
        <v>58</v>
      </c>
      <c r="O491">
        <f t="shared" si="56"/>
        <v>3</v>
      </c>
      <c r="P491">
        <f t="shared" si="57"/>
        <v>1</v>
      </c>
      <c r="Q491" s="6">
        <f t="shared" si="58"/>
        <v>630000</v>
      </c>
      <c r="R491" s="6">
        <f t="shared" si="59"/>
        <v>50400</v>
      </c>
      <c r="S491" s="6">
        <f t="shared" si="60"/>
        <v>579600</v>
      </c>
      <c r="T491" s="6">
        <f t="shared" si="61"/>
        <v>456000</v>
      </c>
      <c r="U491" s="6">
        <f t="shared" si="62"/>
        <v>123600</v>
      </c>
      <c r="V491" s="5">
        <f t="shared" si="63"/>
        <v>0.21325051759834368</v>
      </c>
    </row>
    <row r="492" spans="1:22">
      <c r="A492" t="s">
        <v>813</v>
      </c>
      <c r="B492" s="4">
        <v>45930</v>
      </c>
      <c r="C492" t="s">
        <v>111</v>
      </c>
      <c r="D492" t="s">
        <v>106</v>
      </c>
      <c r="E492" t="s">
        <v>66</v>
      </c>
      <c r="F492" t="s">
        <v>814</v>
      </c>
      <c r="G492" t="s">
        <v>68</v>
      </c>
      <c r="H492" t="s">
        <v>108</v>
      </c>
      <c r="I492">
        <v>5</v>
      </c>
      <c r="J492" s="6">
        <v>175000</v>
      </c>
      <c r="K492" s="6">
        <v>129000</v>
      </c>
      <c r="L492" s="5">
        <v>0</v>
      </c>
      <c r="M492" t="s">
        <v>57</v>
      </c>
      <c r="N492" t="s">
        <v>58</v>
      </c>
      <c r="O492">
        <f t="shared" si="56"/>
        <v>9</v>
      </c>
      <c r="P492">
        <f t="shared" si="57"/>
        <v>3</v>
      </c>
      <c r="Q492" s="6">
        <f t="shared" si="58"/>
        <v>875000</v>
      </c>
      <c r="R492" s="6">
        <f t="shared" si="59"/>
        <v>0</v>
      </c>
      <c r="S492" s="6">
        <f t="shared" si="60"/>
        <v>875000</v>
      </c>
      <c r="T492" s="6">
        <f t="shared" si="61"/>
        <v>645000</v>
      </c>
      <c r="U492" s="6">
        <f t="shared" si="62"/>
        <v>230000</v>
      </c>
      <c r="V492" s="5">
        <f t="shared" si="63"/>
        <v>0.26285714285714284</v>
      </c>
    </row>
    <row r="493" spans="1:22">
      <c r="A493" t="s">
        <v>815</v>
      </c>
      <c r="B493" s="4">
        <v>45928</v>
      </c>
      <c r="C493" t="s">
        <v>120</v>
      </c>
      <c r="D493" t="s">
        <v>106</v>
      </c>
      <c r="E493" t="s">
        <v>53</v>
      </c>
      <c r="F493" t="s">
        <v>262</v>
      </c>
      <c r="G493" t="s">
        <v>55</v>
      </c>
      <c r="H493" t="s">
        <v>86</v>
      </c>
      <c r="I493">
        <v>3</v>
      </c>
      <c r="J493" s="6">
        <v>92000</v>
      </c>
      <c r="K493" s="6">
        <v>60000</v>
      </c>
      <c r="L493" s="5">
        <v>0.12</v>
      </c>
      <c r="M493" t="s">
        <v>57</v>
      </c>
      <c r="N493" t="s">
        <v>75</v>
      </c>
      <c r="O493">
        <f t="shared" si="56"/>
        <v>9</v>
      </c>
      <c r="P493">
        <f t="shared" si="57"/>
        <v>3</v>
      </c>
      <c r="Q493" s="6">
        <f t="shared" si="58"/>
        <v>276000</v>
      </c>
      <c r="R493" s="6">
        <f t="shared" si="59"/>
        <v>33120</v>
      </c>
      <c r="S493" s="6">
        <f t="shared" si="60"/>
        <v>242880</v>
      </c>
      <c r="T493" s="6">
        <f t="shared" si="61"/>
        <v>180000</v>
      </c>
      <c r="U493" s="6">
        <f t="shared" si="62"/>
        <v>62880</v>
      </c>
      <c r="V493" s="5">
        <f t="shared" si="63"/>
        <v>0.25889328063241107</v>
      </c>
    </row>
    <row r="494" spans="1:22">
      <c r="A494" t="s">
        <v>816</v>
      </c>
      <c r="B494" s="4">
        <v>46009</v>
      </c>
      <c r="C494" t="s">
        <v>83</v>
      </c>
      <c r="D494" t="s">
        <v>65</v>
      </c>
      <c r="E494" t="s">
        <v>84</v>
      </c>
      <c r="F494" t="s">
        <v>817</v>
      </c>
      <c r="G494" t="s">
        <v>55</v>
      </c>
      <c r="H494" t="s">
        <v>86</v>
      </c>
      <c r="I494">
        <v>3</v>
      </c>
      <c r="J494" s="6">
        <v>92000</v>
      </c>
      <c r="K494" s="6">
        <v>60000</v>
      </c>
      <c r="L494" s="5">
        <v>0.08</v>
      </c>
      <c r="M494" t="s">
        <v>80</v>
      </c>
      <c r="N494" t="s">
        <v>81</v>
      </c>
      <c r="O494">
        <f t="shared" si="56"/>
        <v>12</v>
      </c>
      <c r="P494">
        <f t="shared" si="57"/>
        <v>4</v>
      </c>
      <c r="Q494" s="6">
        <f t="shared" si="58"/>
        <v>276000</v>
      </c>
      <c r="R494" s="6">
        <f t="shared" si="59"/>
        <v>22080</v>
      </c>
      <c r="S494" s="6">
        <f t="shared" si="60"/>
        <v>0</v>
      </c>
      <c r="T494" s="6">
        <f t="shared" si="61"/>
        <v>0</v>
      </c>
      <c r="U494" s="6">
        <f t="shared" si="62"/>
        <v>0</v>
      </c>
      <c r="V494" s="5">
        <f t="shared" si="63"/>
        <v>0</v>
      </c>
    </row>
    <row r="495" spans="1:22">
      <c r="A495" t="s">
        <v>818</v>
      </c>
      <c r="B495" s="4">
        <v>45661</v>
      </c>
      <c r="C495" t="s">
        <v>92</v>
      </c>
      <c r="D495" t="s">
        <v>93</v>
      </c>
      <c r="E495" t="s">
        <v>73</v>
      </c>
      <c r="F495" t="s">
        <v>392</v>
      </c>
      <c r="G495" t="s">
        <v>68</v>
      </c>
      <c r="H495" t="s">
        <v>108</v>
      </c>
      <c r="I495">
        <v>8</v>
      </c>
      <c r="J495" s="6">
        <v>175000</v>
      </c>
      <c r="K495" s="6">
        <v>129000</v>
      </c>
      <c r="L495" s="5">
        <v>0.05</v>
      </c>
      <c r="M495" t="s">
        <v>57</v>
      </c>
      <c r="N495" t="s">
        <v>63</v>
      </c>
      <c r="O495">
        <f t="shared" si="56"/>
        <v>1</v>
      </c>
      <c r="P495">
        <f t="shared" si="57"/>
        <v>1</v>
      </c>
      <c r="Q495" s="6">
        <f t="shared" si="58"/>
        <v>1400000</v>
      </c>
      <c r="R495" s="6">
        <f t="shared" si="59"/>
        <v>70000</v>
      </c>
      <c r="S495" s="6">
        <f t="shared" si="60"/>
        <v>1330000</v>
      </c>
      <c r="T495" s="6">
        <f t="shared" si="61"/>
        <v>1032000</v>
      </c>
      <c r="U495" s="6">
        <f t="shared" si="62"/>
        <v>298000</v>
      </c>
      <c r="V495" s="5">
        <f t="shared" si="63"/>
        <v>0.22406015037593985</v>
      </c>
    </row>
    <row r="496" spans="1:22">
      <c r="A496" t="s">
        <v>819</v>
      </c>
      <c r="B496" s="4">
        <v>45733</v>
      </c>
      <c r="C496" t="s">
        <v>60</v>
      </c>
      <c r="D496" t="s">
        <v>72</v>
      </c>
      <c r="E496" t="s">
        <v>84</v>
      </c>
      <c r="F496" t="s">
        <v>487</v>
      </c>
      <c r="G496" t="s">
        <v>89</v>
      </c>
      <c r="H496" t="s">
        <v>95</v>
      </c>
      <c r="I496">
        <v>6</v>
      </c>
      <c r="J496" s="6">
        <v>32000</v>
      </c>
      <c r="K496" s="6">
        <v>21000</v>
      </c>
      <c r="L496" s="5">
        <v>0</v>
      </c>
      <c r="M496" t="s">
        <v>80</v>
      </c>
      <c r="N496" t="s">
        <v>63</v>
      </c>
      <c r="O496">
        <f t="shared" si="56"/>
        <v>3</v>
      </c>
      <c r="P496">
        <f t="shared" si="57"/>
        <v>1</v>
      </c>
      <c r="Q496" s="6">
        <f t="shared" si="58"/>
        <v>192000</v>
      </c>
      <c r="R496" s="6">
        <f t="shared" si="59"/>
        <v>0</v>
      </c>
      <c r="S496" s="6">
        <f t="shared" si="60"/>
        <v>0</v>
      </c>
      <c r="T496" s="6">
        <f t="shared" si="61"/>
        <v>0</v>
      </c>
      <c r="U496" s="6">
        <f t="shared" si="62"/>
        <v>0</v>
      </c>
      <c r="V496" s="5">
        <f t="shared" si="63"/>
        <v>0</v>
      </c>
    </row>
    <row r="497" spans="1:22">
      <c r="A497" t="s">
        <v>820</v>
      </c>
      <c r="B497" s="4">
        <v>45983</v>
      </c>
      <c r="C497" t="s">
        <v>102</v>
      </c>
      <c r="D497" t="s">
        <v>61</v>
      </c>
      <c r="E497" t="s">
        <v>66</v>
      </c>
      <c r="F497" t="s">
        <v>547</v>
      </c>
      <c r="G497" t="s">
        <v>55</v>
      </c>
      <c r="H497" t="s">
        <v>115</v>
      </c>
      <c r="I497">
        <v>3</v>
      </c>
      <c r="J497" s="6">
        <v>105000</v>
      </c>
      <c r="K497" s="6">
        <v>76000</v>
      </c>
      <c r="L497" s="5">
        <v>0</v>
      </c>
      <c r="M497" t="s">
        <v>57</v>
      </c>
      <c r="N497" t="s">
        <v>75</v>
      </c>
      <c r="O497">
        <f t="shared" si="56"/>
        <v>11</v>
      </c>
      <c r="P497">
        <f t="shared" si="57"/>
        <v>4</v>
      </c>
      <c r="Q497" s="6">
        <f t="shared" si="58"/>
        <v>315000</v>
      </c>
      <c r="R497" s="6">
        <f t="shared" si="59"/>
        <v>0</v>
      </c>
      <c r="S497" s="6">
        <f t="shared" si="60"/>
        <v>315000</v>
      </c>
      <c r="T497" s="6">
        <f t="shared" si="61"/>
        <v>228000</v>
      </c>
      <c r="U497" s="6">
        <f t="shared" si="62"/>
        <v>87000</v>
      </c>
      <c r="V497" s="5">
        <f t="shared" si="63"/>
        <v>0.27619047619047621</v>
      </c>
    </row>
    <row r="498" spans="1:22">
      <c r="A498" t="s">
        <v>821</v>
      </c>
      <c r="B498" s="4">
        <v>45744</v>
      </c>
      <c r="C498" t="s">
        <v>102</v>
      </c>
      <c r="D498" t="s">
        <v>61</v>
      </c>
      <c r="E498" t="s">
        <v>73</v>
      </c>
      <c r="F498" t="s">
        <v>416</v>
      </c>
      <c r="G498" t="s">
        <v>68</v>
      </c>
      <c r="H498" t="s">
        <v>79</v>
      </c>
      <c r="I498">
        <v>5</v>
      </c>
      <c r="J498" s="6">
        <v>19000</v>
      </c>
      <c r="K498" s="6">
        <v>11500</v>
      </c>
      <c r="L498" s="5">
        <v>0.1</v>
      </c>
      <c r="M498" t="s">
        <v>80</v>
      </c>
      <c r="N498" t="s">
        <v>63</v>
      </c>
      <c r="O498">
        <f t="shared" si="56"/>
        <v>3</v>
      </c>
      <c r="P498">
        <f t="shared" si="57"/>
        <v>1</v>
      </c>
      <c r="Q498" s="6">
        <f t="shared" si="58"/>
        <v>95000</v>
      </c>
      <c r="R498" s="6">
        <f t="shared" si="59"/>
        <v>9500</v>
      </c>
      <c r="S498" s="6">
        <f t="shared" si="60"/>
        <v>0</v>
      </c>
      <c r="T498" s="6">
        <f t="shared" si="61"/>
        <v>0</v>
      </c>
      <c r="U498" s="6">
        <f t="shared" si="62"/>
        <v>0</v>
      </c>
      <c r="V498" s="5">
        <f t="shared" si="63"/>
        <v>0</v>
      </c>
    </row>
    <row r="499" spans="1:22">
      <c r="A499" t="s">
        <v>822</v>
      </c>
      <c r="B499" s="4">
        <v>45767</v>
      </c>
      <c r="C499" t="s">
        <v>77</v>
      </c>
      <c r="D499" t="s">
        <v>61</v>
      </c>
      <c r="E499" t="s">
        <v>94</v>
      </c>
      <c r="F499" t="s">
        <v>823</v>
      </c>
      <c r="G499" t="s">
        <v>89</v>
      </c>
      <c r="H499" t="s">
        <v>90</v>
      </c>
      <c r="I499">
        <v>1</v>
      </c>
      <c r="J499" s="6">
        <v>5900</v>
      </c>
      <c r="K499" s="6">
        <v>3700</v>
      </c>
      <c r="L499" s="5">
        <v>0.08</v>
      </c>
      <c r="M499" t="s">
        <v>57</v>
      </c>
      <c r="N499" t="s">
        <v>75</v>
      </c>
      <c r="O499">
        <f t="shared" si="56"/>
        <v>4</v>
      </c>
      <c r="P499">
        <f t="shared" si="57"/>
        <v>2</v>
      </c>
      <c r="Q499" s="6">
        <f t="shared" si="58"/>
        <v>5900</v>
      </c>
      <c r="R499" s="6">
        <f t="shared" si="59"/>
        <v>472</v>
      </c>
      <c r="S499" s="6">
        <f t="shared" si="60"/>
        <v>5428</v>
      </c>
      <c r="T499" s="6">
        <f t="shared" si="61"/>
        <v>3700</v>
      </c>
      <c r="U499" s="6">
        <f t="shared" si="62"/>
        <v>1728</v>
      </c>
      <c r="V499" s="5">
        <f t="shared" si="63"/>
        <v>0.318349299926308</v>
      </c>
    </row>
    <row r="500" spans="1:22">
      <c r="A500" t="s">
        <v>824</v>
      </c>
      <c r="B500" s="4">
        <v>45755</v>
      </c>
      <c r="C500" t="s">
        <v>120</v>
      </c>
      <c r="D500" t="s">
        <v>61</v>
      </c>
      <c r="E500" t="s">
        <v>73</v>
      </c>
      <c r="F500" t="s">
        <v>387</v>
      </c>
      <c r="G500" t="s">
        <v>89</v>
      </c>
      <c r="H500" t="s">
        <v>90</v>
      </c>
      <c r="I500">
        <v>8</v>
      </c>
      <c r="J500" s="6">
        <v>5900</v>
      </c>
      <c r="K500" s="6">
        <v>3700</v>
      </c>
      <c r="L500" s="5">
        <v>0.12</v>
      </c>
      <c r="M500" t="s">
        <v>109</v>
      </c>
      <c r="N500" t="s">
        <v>81</v>
      </c>
      <c r="O500">
        <f t="shared" si="56"/>
        <v>4</v>
      </c>
      <c r="P500">
        <f t="shared" si="57"/>
        <v>2</v>
      </c>
      <c r="Q500" s="6">
        <f t="shared" si="58"/>
        <v>47200</v>
      </c>
      <c r="R500" s="6">
        <f t="shared" si="59"/>
        <v>5664</v>
      </c>
      <c r="S500" s="6">
        <f t="shared" si="60"/>
        <v>0</v>
      </c>
      <c r="T500" s="6">
        <f t="shared" si="61"/>
        <v>0</v>
      </c>
      <c r="U500" s="6">
        <f t="shared" si="62"/>
        <v>0</v>
      </c>
      <c r="V500" s="5">
        <f t="shared" si="63"/>
        <v>0</v>
      </c>
    </row>
    <row r="501" spans="1:22">
      <c r="A501" t="s">
        <v>825</v>
      </c>
      <c r="B501" s="4">
        <v>45913</v>
      </c>
      <c r="C501" t="s">
        <v>120</v>
      </c>
      <c r="D501" t="s">
        <v>61</v>
      </c>
      <c r="E501" t="s">
        <v>84</v>
      </c>
      <c r="F501" t="s">
        <v>187</v>
      </c>
      <c r="G501" t="s">
        <v>55</v>
      </c>
      <c r="H501" t="s">
        <v>86</v>
      </c>
      <c r="I501">
        <v>4</v>
      </c>
      <c r="J501" s="6">
        <v>92000</v>
      </c>
      <c r="K501" s="6">
        <v>60000</v>
      </c>
      <c r="L501" s="5">
        <v>0</v>
      </c>
      <c r="M501" t="s">
        <v>57</v>
      </c>
      <c r="N501" t="s">
        <v>81</v>
      </c>
      <c r="O501">
        <f t="shared" si="56"/>
        <v>9</v>
      </c>
      <c r="P501">
        <f t="shared" si="57"/>
        <v>3</v>
      </c>
      <c r="Q501" s="6">
        <f t="shared" si="58"/>
        <v>368000</v>
      </c>
      <c r="R501" s="6">
        <f t="shared" si="59"/>
        <v>0</v>
      </c>
      <c r="S501" s="6">
        <f t="shared" si="60"/>
        <v>368000</v>
      </c>
      <c r="T501" s="6">
        <f t="shared" si="61"/>
        <v>240000</v>
      </c>
      <c r="U501" s="6">
        <f t="shared" si="62"/>
        <v>128000</v>
      </c>
      <c r="V501" s="5">
        <f t="shared" si="63"/>
        <v>0.34782608695652173</v>
      </c>
    </row>
    <row r="502" spans="1:22">
      <c r="A502" t="s">
        <v>826</v>
      </c>
      <c r="B502" s="4">
        <v>45881</v>
      </c>
      <c r="C502" t="s">
        <v>120</v>
      </c>
      <c r="D502" t="s">
        <v>106</v>
      </c>
      <c r="E502" t="s">
        <v>73</v>
      </c>
      <c r="F502" t="s">
        <v>224</v>
      </c>
      <c r="G502" t="s">
        <v>68</v>
      </c>
      <c r="H502" t="s">
        <v>69</v>
      </c>
      <c r="I502">
        <v>7</v>
      </c>
      <c r="J502" s="6">
        <v>115000</v>
      </c>
      <c r="K502" s="6">
        <v>82000</v>
      </c>
      <c r="L502" s="5">
        <v>0</v>
      </c>
      <c r="M502" t="s">
        <v>57</v>
      </c>
      <c r="N502" t="s">
        <v>70</v>
      </c>
      <c r="O502">
        <f t="shared" si="56"/>
        <v>8</v>
      </c>
      <c r="P502">
        <f t="shared" si="57"/>
        <v>3</v>
      </c>
      <c r="Q502" s="6">
        <f t="shared" si="58"/>
        <v>805000</v>
      </c>
      <c r="R502" s="6">
        <f t="shared" si="59"/>
        <v>0</v>
      </c>
      <c r="S502" s="6">
        <f t="shared" si="60"/>
        <v>805000</v>
      </c>
      <c r="T502" s="6">
        <f t="shared" si="61"/>
        <v>574000</v>
      </c>
      <c r="U502" s="6">
        <f t="shared" si="62"/>
        <v>231000</v>
      </c>
      <c r="V502" s="5">
        <f t="shared" si="63"/>
        <v>0.28695652173913044</v>
      </c>
    </row>
    <row r="503" spans="1:22">
      <c r="A503" t="s">
        <v>827</v>
      </c>
      <c r="B503" s="4">
        <v>45721</v>
      </c>
      <c r="C503" t="s">
        <v>83</v>
      </c>
      <c r="D503" t="s">
        <v>72</v>
      </c>
      <c r="E503" t="s">
        <v>94</v>
      </c>
      <c r="F503" t="s">
        <v>441</v>
      </c>
      <c r="G503" t="s">
        <v>55</v>
      </c>
      <c r="H503" t="s">
        <v>86</v>
      </c>
      <c r="I503">
        <v>6</v>
      </c>
      <c r="J503" s="6">
        <v>92000</v>
      </c>
      <c r="K503" s="6">
        <v>60000</v>
      </c>
      <c r="L503" s="5">
        <v>0.05</v>
      </c>
      <c r="M503" t="s">
        <v>57</v>
      </c>
      <c r="N503" t="s">
        <v>75</v>
      </c>
      <c r="O503">
        <f t="shared" si="56"/>
        <v>3</v>
      </c>
      <c r="P503">
        <f t="shared" si="57"/>
        <v>1</v>
      </c>
      <c r="Q503" s="6">
        <f t="shared" si="58"/>
        <v>552000</v>
      </c>
      <c r="R503" s="6">
        <f t="shared" si="59"/>
        <v>27600</v>
      </c>
      <c r="S503" s="6">
        <f t="shared" si="60"/>
        <v>524400</v>
      </c>
      <c r="T503" s="6">
        <f t="shared" si="61"/>
        <v>360000</v>
      </c>
      <c r="U503" s="6">
        <f t="shared" si="62"/>
        <v>164400</v>
      </c>
      <c r="V503" s="5">
        <f t="shared" si="63"/>
        <v>0.31350114416475972</v>
      </c>
    </row>
    <row r="504" spans="1:22">
      <c r="A504" t="s">
        <v>828</v>
      </c>
      <c r="B504" s="4">
        <v>45938</v>
      </c>
      <c r="C504" t="s">
        <v>77</v>
      </c>
      <c r="D504" t="s">
        <v>65</v>
      </c>
      <c r="E504" t="s">
        <v>94</v>
      </c>
      <c r="F504" t="s">
        <v>772</v>
      </c>
      <c r="G504" t="s">
        <v>89</v>
      </c>
      <c r="H504" t="s">
        <v>98</v>
      </c>
      <c r="I504">
        <v>3</v>
      </c>
      <c r="J504" s="6">
        <v>16500</v>
      </c>
      <c r="K504" s="6">
        <v>10000</v>
      </c>
      <c r="L504" s="5">
        <v>0.03</v>
      </c>
      <c r="M504" t="s">
        <v>57</v>
      </c>
      <c r="N504" t="s">
        <v>70</v>
      </c>
      <c r="O504">
        <f t="shared" si="56"/>
        <v>10</v>
      </c>
      <c r="P504">
        <f t="shared" si="57"/>
        <v>4</v>
      </c>
      <c r="Q504" s="6">
        <f t="shared" si="58"/>
        <v>49500</v>
      </c>
      <c r="R504" s="6">
        <f t="shared" si="59"/>
        <v>1485</v>
      </c>
      <c r="S504" s="6">
        <f t="shared" si="60"/>
        <v>48015</v>
      </c>
      <c r="T504" s="6">
        <f t="shared" si="61"/>
        <v>30000</v>
      </c>
      <c r="U504" s="6">
        <f t="shared" si="62"/>
        <v>18015</v>
      </c>
      <c r="V504" s="5">
        <f t="shared" si="63"/>
        <v>0.37519525148391125</v>
      </c>
    </row>
    <row r="505" spans="1:22">
      <c r="A505" t="s">
        <v>829</v>
      </c>
      <c r="B505" s="4">
        <v>45843</v>
      </c>
      <c r="C505" t="s">
        <v>51</v>
      </c>
      <c r="D505" t="s">
        <v>72</v>
      </c>
      <c r="E505" t="s">
        <v>84</v>
      </c>
      <c r="F505" t="s">
        <v>461</v>
      </c>
      <c r="G505" t="s">
        <v>68</v>
      </c>
      <c r="H505" t="s">
        <v>79</v>
      </c>
      <c r="I505">
        <v>6</v>
      </c>
      <c r="J505" s="6">
        <v>19000</v>
      </c>
      <c r="K505" s="6">
        <v>11500</v>
      </c>
      <c r="L505" s="5">
        <v>0.12</v>
      </c>
      <c r="M505" t="s">
        <v>57</v>
      </c>
      <c r="N505" t="s">
        <v>63</v>
      </c>
      <c r="O505">
        <f t="shared" si="56"/>
        <v>7</v>
      </c>
      <c r="P505">
        <f t="shared" si="57"/>
        <v>3</v>
      </c>
      <c r="Q505" s="6">
        <f t="shared" si="58"/>
        <v>114000</v>
      </c>
      <c r="R505" s="6">
        <f t="shared" si="59"/>
        <v>13680</v>
      </c>
      <c r="S505" s="6">
        <f t="shared" si="60"/>
        <v>100320</v>
      </c>
      <c r="T505" s="6">
        <f t="shared" si="61"/>
        <v>69000</v>
      </c>
      <c r="U505" s="6">
        <f t="shared" si="62"/>
        <v>31320</v>
      </c>
      <c r="V505" s="5">
        <f t="shared" si="63"/>
        <v>0.31220095693779903</v>
      </c>
    </row>
    <row r="506" spans="1:22">
      <c r="A506" t="s">
        <v>830</v>
      </c>
      <c r="B506" s="4">
        <v>45782</v>
      </c>
      <c r="C506" t="s">
        <v>60</v>
      </c>
      <c r="D506" t="s">
        <v>72</v>
      </c>
      <c r="E506" t="s">
        <v>94</v>
      </c>
      <c r="F506" t="s">
        <v>246</v>
      </c>
      <c r="G506" t="s">
        <v>55</v>
      </c>
      <c r="H506" t="s">
        <v>86</v>
      </c>
      <c r="I506">
        <v>6</v>
      </c>
      <c r="J506" s="6">
        <v>92000</v>
      </c>
      <c r="K506" s="6">
        <v>60000</v>
      </c>
      <c r="L506" s="5">
        <v>0.03</v>
      </c>
      <c r="M506" t="s">
        <v>57</v>
      </c>
      <c r="N506" t="s">
        <v>75</v>
      </c>
      <c r="O506">
        <f t="shared" si="56"/>
        <v>5</v>
      </c>
      <c r="P506">
        <f t="shared" si="57"/>
        <v>2</v>
      </c>
      <c r="Q506" s="6">
        <f t="shared" si="58"/>
        <v>552000</v>
      </c>
      <c r="R506" s="6">
        <f t="shared" si="59"/>
        <v>16560</v>
      </c>
      <c r="S506" s="6">
        <f t="shared" si="60"/>
        <v>535440</v>
      </c>
      <c r="T506" s="6">
        <f t="shared" si="61"/>
        <v>360000</v>
      </c>
      <c r="U506" s="6">
        <f t="shared" si="62"/>
        <v>175440</v>
      </c>
      <c r="V506" s="5">
        <f t="shared" si="63"/>
        <v>0.32765575974899147</v>
      </c>
    </row>
    <row r="507" spans="1:22">
      <c r="A507" t="s">
        <v>831</v>
      </c>
      <c r="B507" s="4">
        <v>45829</v>
      </c>
      <c r="C507" t="s">
        <v>92</v>
      </c>
      <c r="D507" t="s">
        <v>61</v>
      </c>
      <c r="E507" t="s">
        <v>53</v>
      </c>
      <c r="F507" t="s">
        <v>447</v>
      </c>
      <c r="G507" t="s">
        <v>89</v>
      </c>
      <c r="H507" t="s">
        <v>98</v>
      </c>
      <c r="I507">
        <v>1</v>
      </c>
      <c r="J507" s="6">
        <v>16500</v>
      </c>
      <c r="K507" s="6">
        <v>10000</v>
      </c>
      <c r="L507" s="5">
        <v>0.12</v>
      </c>
      <c r="M507" t="s">
        <v>57</v>
      </c>
      <c r="N507" t="s">
        <v>81</v>
      </c>
      <c r="O507">
        <f t="shared" si="56"/>
        <v>6</v>
      </c>
      <c r="P507">
        <f t="shared" si="57"/>
        <v>2</v>
      </c>
      <c r="Q507" s="6">
        <f t="shared" si="58"/>
        <v>16500</v>
      </c>
      <c r="R507" s="6">
        <f t="shared" si="59"/>
        <v>1980</v>
      </c>
      <c r="S507" s="6">
        <f t="shared" si="60"/>
        <v>14520</v>
      </c>
      <c r="T507" s="6">
        <f t="shared" si="61"/>
        <v>10000</v>
      </c>
      <c r="U507" s="6">
        <f t="shared" si="62"/>
        <v>4520</v>
      </c>
      <c r="V507" s="5">
        <f t="shared" si="63"/>
        <v>0.31129476584022037</v>
      </c>
    </row>
    <row r="508" spans="1:22">
      <c r="A508" t="s">
        <v>832</v>
      </c>
      <c r="B508" s="4">
        <v>45673</v>
      </c>
      <c r="C508" t="s">
        <v>102</v>
      </c>
      <c r="D508" t="s">
        <v>61</v>
      </c>
      <c r="E508" t="s">
        <v>94</v>
      </c>
      <c r="F508" t="s">
        <v>475</v>
      </c>
      <c r="G508" t="s">
        <v>55</v>
      </c>
      <c r="H508" t="s">
        <v>56</v>
      </c>
      <c r="I508">
        <v>2</v>
      </c>
      <c r="J508" s="6">
        <v>138000</v>
      </c>
      <c r="K508" s="6">
        <v>99000</v>
      </c>
      <c r="L508" s="5">
        <v>0</v>
      </c>
      <c r="M508" t="s">
        <v>57</v>
      </c>
      <c r="N508" t="s">
        <v>63</v>
      </c>
      <c r="O508">
        <f t="shared" si="56"/>
        <v>1</v>
      </c>
      <c r="P508">
        <f t="shared" si="57"/>
        <v>1</v>
      </c>
      <c r="Q508" s="6">
        <f t="shared" si="58"/>
        <v>276000</v>
      </c>
      <c r="R508" s="6">
        <f t="shared" si="59"/>
        <v>0</v>
      </c>
      <c r="S508" s="6">
        <f t="shared" si="60"/>
        <v>276000</v>
      </c>
      <c r="T508" s="6">
        <f t="shared" si="61"/>
        <v>198000</v>
      </c>
      <c r="U508" s="6">
        <f t="shared" si="62"/>
        <v>78000</v>
      </c>
      <c r="V508" s="5">
        <f t="shared" si="63"/>
        <v>0.28260869565217389</v>
      </c>
    </row>
    <row r="509" spans="1:22">
      <c r="A509" t="s">
        <v>833</v>
      </c>
      <c r="B509" s="4">
        <v>45749</v>
      </c>
      <c r="C509" t="s">
        <v>77</v>
      </c>
      <c r="D509" t="s">
        <v>106</v>
      </c>
      <c r="E509" t="s">
        <v>73</v>
      </c>
      <c r="F509" t="s">
        <v>88</v>
      </c>
      <c r="G509" t="s">
        <v>55</v>
      </c>
      <c r="H509" t="s">
        <v>86</v>
      </c>
      <c r="I509">
        <v>3</v>
      </c>
      <c r="J509" s="6">
        <v>92000</v>
      </c>
      <c r="K509" s="6">
        <v>60000</v>
      </c>
      <c r="L509" s="5">
        <v>0.12</v>
      </c>
      <c r="M509" t="s">
        <v>57</v>
      </c>
      <c r="N509" t="s">
        <v>81</v>
      </c>
      <c r="O509">
        <f t="shared" si="56"/>
        <v>4</v>
      </c>
      <c r="P509">
        <f t="shared" si="57"/>
        <v>2</v>
      </c>
      <c r="Q509" s="6">
        <f t="shared" si="58"/>
        <v>276000</v>
      </c>
      <c r="R509" s="6">
        <f t="shared" si="59"/>
        <v>33120</v>
      </c>
      <c r="S509" s="6">
        <f t="shared" si="60"/>
        <v>242880</v>
      </c>
      <c r="T509" s="6">
        <f t="shared" si="61"/>
        <v>180000</v>
      </c>
      <c r="U509" s="6">
        <f t="shared" si="62"/>
        <v>62880</v>
      </c>
      <c r="V509" s="5">
        <f t="shared" si="63"/>
        <v>0.25889328063241107</v>
      </c>
    </row>
    <row r="510" spans="1:22">
      <c r="A510" t="s">
        <v>834</v>
      </c>
      <c r="B510" s="4">
        <v>45661</v>
      </c>
      <c r="C510" t="s">
        <v>83</v>
      </c>
      <c r="D510" t="s">
        <v>61</v>
      </c>
      <c r="E510" t="s">
        <v>94</v>
      </c>
      <c r="F510" t="s">
        <v>195</v>
      </c>
      <c r="G510" t="s">
        <v>68</v>
      </c>
      <c r="H510" t="s">
        <v>108</v>
      </c>
      <c r="I510">
        <v>7</v>
      </c>
      <c r="J510" s="6">
        <v>175000</v>
      </c>
      <c r="K510" s="6">
        <v>129000</v>
      </c>
      <c r="L510" s="5">
        <v>0.03</v>
      </c>
      <c r="M510" t="s">
        <v>57</v>
      </c>
      <c r="N510" t="s">
        <v>58</v>
      </c>
      <c r="O510">
        <f t="shared" si="56"/>
        <v>1</v>
      </c>
      <c r="P510">
        <f t="shared" si="57"/>
        <v>1</v>
      </c>
      <c r="Q510" s="6">
        <f t="shared" si="58"/>
        <v>1225000</v>
      </c>
      <c r="R510" s="6">
        <f t="shared" si="59"/>
        <v>36750</v>
      </c>
      <c r="S510" s="6">
        <f t="shared" si="60"/>
        <v>1188250</v>
      </c>
      <c r="T510" s="6">
        <f t="shared" si="61"/>
        <v>903000</v>
      </c>
      <c r="U510" s="6">
        <f t="shared" si="62"/>
        <v>285250</v>
      </c>
      <c r="V510" s="5">
        <f t="shared" si="63"/>
        <v>0.24005891016200295</v>
      </c>
    </row>
    <row r="511" spans="1:22">
      <c r="A511" t="s">
        <v>835</v>
      </c>
      <c r="B511" s="4">
        <v>45796</v>
      </c>
      <c r="C511" t="s">
        <v>102</v>
      </c>
      <c r="D511" t="s">
        <v>106</v>
      </c>
      <c r="E511" t="s">
        <v>94</v>
      </c>
      <c r="F511" t="s">
        <v>836</v>
      </c>
      <c r="G511" t="s">
        <v>89</v>
      </c>
      <c r="H511" t="s">
        <v>98</v>
      </c>
      <c r="I511">
        <v>4</v>
      </c>
      <c r="J511" s="6">
        <v>16500</v>
      </c>
      <c r="K511" s="6">
        <v>10000</v>
      </c>
      <c r="L511" s="5">
        <v>0.05</v>
      </c>
      <c r="M511" t="s">
        <v>57</v>
      </c>
      <c r="N511" t="s">
        <v>75</v>
      </c>
      <c r="O511">
        <f t="shared" si="56"/>
        <v>5</v>
      </c>
      <c r="P511">
        <f t="shared" si="57"/>
        <v>2</v>
      </c>
      <c r="Q511" s="6">
        <f t="shared" si="58"/>
        <v>66000</v>
      </c>
      <c r="R511" s="6">
        <f t="shared" si="59"/>
        <v>3300</v>
      </c>
      <c r="S511" s="6">
        <f t="shared" si="60"/>
        <v>62700</v>
      </c>
      <c r="T511" s="6">
        <f t="shared" si="61"/>
        <v>40000</v>
      </c>
      <c r="U511" s="6">
        <f t="shared" si="62"/>
        <v>22700</v>
      </c>
      <c r="V511" s="5">
        <f t="shared" si="63"/>
        <v>0.36204146730462522</v>
      </c>
    </row>
    <row r="512" spans="1:22">
      <c r="A512" t="s">
        <v>837</v>
      </c>
      <c r="B512" s="4">
        <v>45711</v>
      </c>
      <c r="C512" t="s">
        <v>111</v>
      </c>
      <c r="D512" t="s">
        <v>61</v>
      </c>
      <c r="E512" t="s">
        <v>73</v>
      </c>
      <c r="F512" t="s">
        <v>593</v>
      </c>
      <c r="G512" t="s">
        <v>89</v>
      </c>
      <c r="H512" t="s">
        <v>98</v>
      </c>
      <c r="I512">
        <v>4</v>
      </c>
      <c r="J512" s="6">
        <v>16500</v>
      </c>
      <c r="K512" s="6">
        <v>10000</v>
      </c>
      <c r="L512" s="5">
        <v>0.12</v>
      </c>
      <c r="M512" t="s">
        <v>57</v>
      </c>
      <c r="N512" t="s">
        <v>75</v>
      </c>
      <c r="O512">
        <f t="shared" si="56"/>
        <v>2</v>
      </c>
      <c r="P512">
        <f t="shared" si="57"/>
        <v>1</v>
      </c>
      <c r="Q512" s="6">
        <f t="shared" si="58"/>
        <v>66000</v>
      </c>
      <c r="R512" s="6">
        <f t="shared" si="59"/>
        <v>7920</v>
      </c>
      <c r="S512" s="6">
        <f t="shared" si="60"/>
        <v>58080</v>
      </c>
      <c r="T512" s="6">
        <f t="shared" si="61"/>
        <v>40000</v>
      </c>
      <c r="U512" s="6">
        <f t="shared" si="62"/>
        <v>18080</v>
      </c>
      <c r="V512" s="5">
        <f t="shared" si="63"/>
        <v>0.31129476584022037</v>
      </c>
    </row>
    <row r="513" spans="1:22">
      <c r="A513" t="s">
        <v>838</v>
      </c>
      <c r="B513" s="4">
        <v>45857</v>
      </c>
      <c r="C513" t="s">
        <v>60</v>
      </c>
      <c r="D513" t="s">
        <v>106</v>
      </c>
      <c r="E513" t="s">
        <v>84</v>
      </c>
      <c r="F513" t="s">
        <v>577</v>
      </c>
      <c r="G513" t="s">
        <v>55</v>
      </c>
      <c r="H513" t="s">
        <v>86</v>
      </c>
      <c r="I513">
        <v>2</v>
      </c>
      <c r="J513" s="6">
        <v>92000</v>
      </c>
      <c r="K513" s="6">
        <v>60000</v>
      </c>
      <c r="L513" s="5">
        <v>0.08</v>
      </c>
      <c r="M513" t="s">
        <v>80</v>
      </c>
      <c r="N513" t="s">
        <v>81</v>
      </c>
      <c r="O513">
        <f t="shared" si="56"/>
        <v>7</v>
      </c>
      <c r="P513">
        <f t="shared" si="57"/>
        <v>3</v>
      </c>
      <c r="Q513" s="6">
        <f t="shared" si="58"/>
        <v>184000</v>
      </c>
      <c r="R513" s="6">
        <f t="shared" si="59"/>
        <v>14720</v>
      </c>
      <c r="S513" s="6">
        <f t="shared" si="60"/>
        <v>0</v>
      </c>
      <c r="T513" s="6">
        <f t="shared" si="61"/>
        <v>0</v>
      </c>
      <c r="U513" s="6">
        <f t="shared" si="62"/>
        <v>0</v>
      </c>
      <c r="V513" s="5">
        <f t="shared" si="63"/>
        <v>0</v>
      </c>
    </row>
    <row r="514" spans="1:22">
      <c r="A514" t="s">
        <v>839</v>
      </c>
      <c r="B514" s="4">
        <v>45752</v>
      </c>
      <c r="C514" t="s">
        <v>60</v>
      </c>
      <c r="D514" t="s">
        <v>61</v>
      </c>
      <c r="E514" t="s">
        <v>73</v>
      </c>
      <c r="F514" t="s">
        <v>528</v>
      </c>
      <c r="G514" t="s">
        <v>68</v>
      </c>
      <c r="H514" t="s">
        <v>69</v>
      </c>
      <c r="I514">
        <v>8</v>
      </c>
      <c r="J514" s="6">
        <v>115000</v>
      </c>
      <c r="K514" s="6">
        <v>82000</v>
      </c>
      <c r="L514" s="5">
        <v>0.08</v>
      </c>
      <c r="M514" t="s">
        <v>109</v>
      </c>
      <c r="N514" t="s">
        <v>63</v>
      </c>
      <c r="O514">
        <f t="shared" ref="O514:O577" si="64">MONTH(B514)</f>
        <v>4</v>
      </c>
      <c r="P514">
        <f t="shared" ref="P514:P577" si="65">ROUNDUP(O514/3,0)</f>
        <v>2</v>
      </c>
      <c r="Q514" s="6">
        <f t="shared" ref="Q514:Q577" si="66">I514*J514</f>
        <v>920000</v>
      </c>
      <c r="R514" s="6">
        <f t="shared" ref="R514:R577" si="67">Q514*L514</f>
        <v>73600</v>
      </c>
      <c r="S514" s="6">
        <f t="shared" ref="S514:S577" si="68">IF(M514="Ganho",Q514-R514,0)</f>
        <v>0</v>
      </c>
      <c r="T514" s="6">
        <f t="shared" ref="T514:T577" si="69">IF(M514="Ganho",I514*K514,0)</f>
        <v>0</v>
      </c>
      <c r="U514" s="6">
        <f t="shared" ref="U514:U577" si="70">S514-T514</f>
        <v>0</v>
      </c>
      <c r="V514" s="5">
        <f t="shared" ref="V514:V577" si="71">IFERROR(U514/S514,0)</f>
        <v>0</v>
      </c>
    </row>
    <row r="515" spans="1:22">
      <c r="A515" t="s">
        <v>840</v>
      </c>
      <c r="B515" s="4">
        <v>45894</v>
      </c>
      <c r="C515" t="s">
        <v>92</v>
      </c>
      <c r="D515" t="s">
        <v>61</v>
      </c>
      <c r="E515" t="s">
        <v>53</v>
      </c>
      <c r="F515" t="s">
        <v>295</v>
      </c>
      <c r="G515" t="s">
        <v>68</v>
      </c>
      <c r="H515" t="s">
        <v>69</v>
      </c>
      <c r="I515">
        <v>6</v>
      </c>
      <c r="J515" s="6">
        <v>115000</v>
      </c>
      <c r="K515" s="6">
        <v>82000</v>
      </c>
      <c r="L515" s="5">
        <v>0.12</v>
      </c>
      <c r="M515" t="s">
        <v>57</v>
      </c>
      <c r="N515" t="s">
        <v>81</v>
      </c>
      <c r="O515">
        <f t="shared" si="64"/>
        <v>8</v>
      </c>
      <c r="P515">
        <f t="shared" si="65"/>
        <v>3</v>
      </c>
      <c r="Q515" s="6">
        <f t="shared" si="66"/>
        <v>690000</v>
      </c>
      <c r="R515" s="6">
        <f t="shared" si="67"/>
        <v>82800</v>
      </c>
      <c r="S515" s="6">
        <f t="shared" si="68"/>
        <v>607200</v>
      </c>
      <c r="T515" s="6">
        <f t="shared" si="69"/>
        <v>492000</v>
      </c>
      <c r="U515" s="6">
        <f t="shared" si="70"/>
        <v>115200</v>
      </c>
      <c r="V515" s="5">
        <f t="shared" si="71"/>
        <v>0.18972332015810275</v>
      </c>
    </row>
    <row r="516" spans="1:22">
      <c r="A516" t="s">
        <v>841</v>
      </c>
      <c r="B516" s="4">
        <v>46011</v>
      </c>
      <c r="C516" t="s">
        <v>111</v>
      </c>
      <c r="D516" t="s">
        <v>61</v>
      </c>
      <c r="E516" t="s">
        <v>84</v>
      </c>
      <c r="F516" t="s">
        <v>174</v>
      </c>
      <c r="G516" t="s">
        <v>55</v>
      </c>
      <c r="H516" t="s">
        <v>86</v>
      </c>
      <c r="I516">
        <v>2</v>
      </c>
      <c r="J516" s="6">
        <v>92000</v>
      </c>
      <c r="K516" s="6">
        <v>60000</v>
      </c>
      <c r="L516" s="5">
        <v>0.1</v>
      </c>
      <c r="M516" t="s">
        <v>57</v>
      </c>
      <c r="N516" t="s">
        <v>81</v>
      </c>
      <c r="O516">
        <f t="shared" si="64"/>
        <v>12</v>
      </c>
      <c r="P516">
        <f t="shared" si="65"/>
        <v>4</v>
      </c>
      <c r="Q516" s="6">
        <f t="shared" si="66"/>
        <v>184000</v>
      </c>
      <c r="R516" s="6">
        <f t="shared" si="67"/>
        <v>18400</v>
      </c>
      <c r="S516" s="6">
        <f t="shared" si="68"/>
        <v>165600</v>
      </c>
      <c r="T516" s="6">
        <f t="shared" si="69"/>
        <v>120000</v>
      </c>
      <c r="U516" s="6">
        <f t="shared" si="70"/>
        <v>45600</v>
      </c>
      <c r="V516" s="5">
        <f t="shared" si="71"/>
        <v>0.27536231884057971</v>
      </c>
    </row>
    <row r="517" spans="1:22">
      <c r="A517" t="s">
        <v>842</v>
      </c>
      <c r="B517" s="4">
        <v>45658</v>
      </c>
      <c r="C517" t="s">
        <v>120</v>
      </c>
      <c r="D517" t="s">
        <v>106</v>
      </c>
      <c r="E517" t="s">
        <v>66</v>
      </c>
      <c r="F517" t="s">
        <v>577</v>
      </c>
      <c r="G517" t="s">
        <v>89</v>
      </c>
      <c r="H517" t="s">
        <v>90</v>
      </c>
      <c r="I517">
        <v>4</v>
      </c>
      <c r="J517" s="6">
        <v>5900</v>
      </c>
      <c r="K517" s="6">
        <v>3700</v>
      </c>
      <c r="L517" s="5">
        <v>0.12</v>
      </c>
      <c r="M517" t="s">
        <v>57</v>
      </c>
      <c r="N517" t="s">
        <v>75</v>
      </c>
      <c r="O517">
        <f t="shared" si="64"/>
        <v>1</v>
      </c>
      <c r="P517">
        <f t="shared" si="65"/>
        <v>1</v>
      </c>
      <c r="Q517" s="6">
        <f t="shared" si="66"/>
        <v>23600</v>
      </c>
      <c r="R517" s="6">
        <f t="shared" si="67"/>
        <v>2832</v>
      </c>
      <c r="S517" s="6">
        <f t="shared" si="68"/>
        <v>20768</v>
      </c>
      <c r="T517" s="6">
        <f t="shared" si="69"/>
        <v>14800</v>
      </c>
      <c r="U517" s="6">
        <f t="shared" si="70"/>
        <v>5968</v>
      </c>
      <c r="V517" s="5">
        <f t="shared" si="71"/>
        <v>0.28736517719568566</v>
      </c>
    </row>
    <row r="518" spans="1:22">
      <c r="A518" t="s">
        <v>843</v>
      </c>
      <c r="B518" s="4">
        <v>45821</v>
      </c>
      <c r="C518" t="s">
        <v>60</v>
      </c>
      <c r="D518" t="s">
        <v>61</v>
      </c>
      <c r="E518" t="s">
        <v>94</v>
      </c>
      <c r="F518" t="s">
        <v>614</v>
      </c>
      <c r="G518" t="s">
        <v>55</v>
      </c>
      <c r="H518" t="s">
        <v>86</v>
      </c>
      <c r="I518">
        <v>1</v>
      </c>
      <c r="J518" s="6">
        <v>92000</v>
      </c>
      <c r="K518" s="6">
        <v>60000</v>
      </c>
      <c r="L518" s="5">
        <v>0.08</v>
      </c>
      <c r="M518" t="s">
        <v>57</v>
      </c>
      <c r="N518" t="s">
        <v>81</v>
      </c>
      <c r="O518">
        <f t="shared" si="64"/>
        <v>6</v>
      </c>
      <c r="P518">
        <f t="shared" si="65"/>
        <v>2</v>
      </c>
      <c r="Q518" s="6">
        <f t="shared" si="66"/>
        <v>92000</v>
      </c>
      <c r="R518" s="6">
        <f t="shared" si="67"/>
        <v>7360</v>
      </c>
      <c r="S518" s="6">
        <f t="shared" si="68"/>
        <v>84640</v>
      </c>
      <c r="T518" s="6">
        <f t="shared" si="69"/>
        <v>60000</v>
      </c>
      <c r="U518" s="6">
        <f t="shared" si="70"/>
        <v>24640</v>
      </c>
      <c r="V518" s="5">
        <f t="shared" si="71"/>
        <v>0.29111531190926276</v>
      </c>
    </row>
    <row r="519" spans="1:22">
      <c r="A519" t="s">
        <v>844</v>
      </c>
      <c r="B519" s="4">
        <v>45689</v>
      </c>
      <c r="C519" t="s">
        <v>60</v>
      </c>
      <c r="D519" t="s">
        <v>93</v>
      </c>
      <c r="E519" t="s">
        <v>94</v>
      </c>
      <c r="F519" t="s">
        <v>258</v>
      </c>
      <c r="G519" t="s">
        <v>68</v>
      </c>
      <c r="H519" t="s">
        <v>108</v>
      </c>
      <c r="I519">
        <v>5</v>
      </c>
      <c r="J519" s="6">
        <v>175000</v>
      </c>
      <c r="K519" s="6">
        <v>129000</v>
      </c>
      <c r="L519" s="5">
        <v>0.1</v>
      </c>
      <c r="M519" t="s">
        <v>57</v>
      </c>
      <c r="N519" t="s">
        <v>75</v>
      </c>
      <c r="O519">
        <f t="shared" si="64"/>
        <v>2</v>
      </c>
      <c r="P519">
        <f t="shared" si="65"/>
        <v>1</v>
      </c>
      <c r="Q519" s="6">
        <f t="shared" si="66"/>
        <v>875000</v>
      </c>
      <c r="R519" s="6">
        <f t="shared" si="67"/>
        <v>87500</v>
      </c>
      <c r="S519" s="6">
        <f t="shared" si="68"/>
        <v>787500</v>
      </c>
      <c r="T519" s="6">
        <f t="shared" si="69"/>
        <v>645000</v>
      </c>
      <c r="U519" s="6">
        <f t="shared" si="70"/>
        <v>142500</v>
      </c>
      <c r="V519" s="5">
        <f t="shared" si="71"/>
        <v>0.18095238095238095</v>
      </c>
    </row>
    <row r="520" spans="1:22">
      <c r="A520" t="s">
        <v>845</v>
      </c>
      <c r="B520" s="4">
        <v>45970</v>
      </c>
      <c r="C520" t="s">
        <v>77</v>
      </c>
      <c r="D520" t="s">
        <v>61</v>
      </c>
      <c r="E520" t="s">
        <v>66</v>
      </c>
      <c r="F520" t="s">
        <v>321</v>
      </c>
      <c r="G520" t="s">
        <v>89</v>
      </c>
      <c r="H520" t="s">
        <v>95</v>
      </c>
      <c r="I520">
        <v>8</v>
      </c>
      <c r="J520" s="6">
        <v>32000</v>
      </c>
      <c r="K520" s="6">
        <v>21000</v>
      </c>
      <c r="L520" s="5">
        <v>0.08</v>
      </c>
      <c r="M520" t="s">
        <v>80</v>
      </c>
      <c r="N520" t="s">
        <v>70</v>
      </c>
      <c r="O520">
        <f t="shared" si="64"/>
        <v>11</v>
      </c>
      <c r="P520">
        <f t="shared" si="65"/>
        <v>4</v>
      </c>
      <c r="Q520" s="6">
        <f t="shared" si="66"/>
        <v>256000</v>
      </c>
      <c r="R520" s="6">
        <f t="shared" si="67"/>
        <v>20480</v>
      </c>
      <c r="S520" s="6">
        <f t="shared" si="68"/>
        <v>0</v>
      </c>
      <c r="T520" s="6">
        <f t="shared" si="69"/>
        <v>0</v>
      </c>
      <c r="U520" s="6">
        <f t="shared" si="70"/>
        <v>0</v>
      </c>
      <c r="V520" s="5">
        <f t="shared" si="71"/>
        <v>0</v>
      </c>
    </row>
    <row r="521" spans="1:22">
      <c r="A521" t="s">
        <v>846</v>
      </c>
      <c r="B521" s="4">
        <v>45800</v>
      </c>
      <c r="C521" t="s">
        <v>60</v>
      </c>
      <c r="D521" t="s">
        <v>106</v>
      </c>
      <c r="E521" t="s">
        <v>94</v>
      </c>
      <c r="F521" t="s">
        <v>817</v>
      </c>
      <c r="G521" t="s">
        <v>89</v>
      </c>
      <c r="H521" t="s">
        <v>95</v>
      </c>
      <c r="I521">
        <v>5</v>
      </c>
      <c r="J521" s="6">
        <v>32000</v>
      </c>
      <c r="K521" s="6">
        <v>21000</v>
      </c>
      <c r="L521" s="5">
        <v>0.03</v>
      </c>
      <c r="M521" t="s">
        <v>109</v>
      </c>
      <c r="N521" t="s">
        <v>81</v>
      </c>
      <c r="O521">
        <f t="shared" si="64"/>
        <v>5</v>
      </c>
      <c r="P521">
        <f t="shared" si="65"/>
        <v>2</v>
      </c>
      <c r="Q521" s="6">
        <f t="shared" si="66"/>
        <v>160000</v>
      </c>
      <c r="R521" s="6">
        <f t="shared" si="67"/>
        <v>4800</v>
      </c>
      <c r="S521" s="6">
        <f t="shared" si="68"/>
        <v>0</v>
      </c>
      <c r="T521" s="6">
        <f t="shared" si="69"/>
        <v>0</v>
      </c>
      <c r="U521" s="6">
        <f t="shared" si="70"/>
        <v>0</v>
      </c>
      <c r="V521" s="5">
        <f t="shared" si="71"/>
        <v>0</v>
      </c>
    </row>
    <row r="522" spans="1:22">
      <c r="A522" t="s">
        <v>847</v>
      </c>
      <c r="B522" s="4">
        <v>45967</v>
      </c>
      <c r="C522" t="s">
        <v>83</v>
      </c>
      <c r="D522" t="s">
        <v>52</v>
      </c>
      <c r="E522" t="s">
        <v>66</v>
      </c>
      <c r="F522" t="s">
        <v>451</v>
      </c>
      <c r="G522" t="s">
        <v>55</v>
      </c>
      <c r="H522" t="s">
        <v>115</v>
      </c>
      <c r="I522">
        <v>4</v>
      </c>
      <c r="J522" s="6">
        <v>105000</v>
      </c>
      <c r="K522" s="6">
        <v>76000</v>
      </c>
      <c r="L522" s="5">
        <v>0.03</v>
      </c>
      <c r="M522" t="s">
        <v>57</v>
      </c>
      <c r="N522" t="s">
        <v>63</v>
      </c>
      <c r="O522">
        <f t="shared" si="64"/>
        <v>11</v>
      </c>
      <c r="P522">
        <f t="shared" si="65"/>
        <v>4</v>
      </c>
      <c r="Q522" s="6">
        <f t="shared" si="66"/>
        <v>420000</v>
      </c>
      <c r="R522" s="6">
        <f t="shared" si="67"/>
        <v>12600</v>
      </c>
      <c r="S522" s="6">
        <f t="shared" si="68"/>
        <v>407400</v>
      </c>
      <c r="T522" s="6">
        <f t="shared" si="69"/>
        <v>304000</v>
      </c>
      <c r="U522" s="6">
        <f t="shared" si="70"/>
        <v>103400</v>
      </c>
      <c r="V522" s="5">
        <f t="shared" si="71"/>
        <v>0.25380461462935688</v>
      </c>
    </row>
    <row r="523" spans="1:22">
      <c r="A523" t="s">
        <v>848</v>
      </c>
      <c r="B523" s="4">
        <v>45712</v>
      </c>
      <c r="C523" t="s">
        <v>120</v>
      </c>
      <c r="D523" t="s">
        <v>61</v>
      </c>
      <c r="E523" t="s">
        <v>66</v>
      </c>
      <c r="F523" t="s">
        <v>335</v>
      </c>
      <c r="G523" t="s">
        <v>89</v>
      </c>
      <c r="H523" t="s">
        <v>98</v>
      </c>
      <c r="I523">
        <v>4</v>
      </c>
      <c r="J523" s="6">
        <v>16500</v>
      </c>
      <c r="K523" s="6">
        <v>10000</v>
      </c>
      <c r="L523" s="5">
        <v>0.1</v>
      </c>
      <c r="M523" t="s">
        <v>80</v>
      </c>
      <c r="N523" t="s">
        <v>75</v>
      </c>
      <c r="O523">
        <f t="shared" si="64"/>
        <v>2</v>
      </c>
      <c r="P523">
        <f t="shared" si="65"/>
        <v>1</v>
      </c>
      <c r="Q523" s="6">
        <f t="shared" si="66"/>
        <v>66000</v>
      </c>
      <c r="R523" s="6">
        <f t="shared" si="67"/>
        <v>6600</v>
      </c>
      <c r="S523" s="6">
        <f t="shared" si="68"/>
        <v>0</v>
      </c>
      <c r="T523" s="6">
        <f t="shared" si="69"/>
        <v>0</v>
      </c>
      <c r="U523" s="6">
        <f t="shared" si="70"/>
        <v>0</v>
      </c>
      <c r="V523" s="5">
        <f t="shared" si="71"/>
        <v>0</v>
      </c>
    </row>
    <row r="524" spans="1:22">
      <c r="A524" t="s">
        <v>849</v>
      </c>
      <c r="B524" s="4">
        <v>46004</v>
      </c>
      <c r="C524" t="s">
        <v>111</v>
      </c>
      <c r="D524" t="s">
        <v>106</v>
      </c>
      <c r="E524" t="s">
        <v>53</v>
      </c>
      <c r="F524" t="s">
        <v>850</v>
      </c>
      <c r="G524" t="s">
        <v>55</v>
      </c>
      <c r="H524" t="s">
        <v>56</v>
      </c>
      <c r="I524">
        <v>5</v>
      </c>
      <c r="J524" s="6">
        <v>138000</v>
      </c>
      <c r="K524" s="6">
        <v>99000</v>
      </c>
      <c r="L524" s="5">
        <v>0</v>
      </c>
      <c r="M524" t="s">
        <v>57</v>
      </c>
      <c r="N524" t="s">
        <v>70</v>
      </c>
      <c r="O524">
        <f t="shared" si="64"/>
        <v>12</v>
      </c>
      <c r="P524">
        <f t="shared" si="65"/>
        <v>4</v>
      </c>
      <c r="Q524" s="6">
        <f t="shared" si="66"/>
        <v>690000</v>
      </c>
      <c r="R524" s="6">
        <f t="shared" si="67"/>
        <v>0</v>
      </c>
      <c r="S524" s="6">
        <f t="shared" si="68"/>
        <v>690000</v>
      </c>
      <c r="T524" s="6">
        <f t="shared" si="69"/>
        <v>495000</v>
      </c>
      <c r="U524" s="6">
        <f t="shared" si="70"/>
        <v>195000</v>
      </c>
      <c r="V524" s="5">
        <f t="shared" si="71"/>
        <v>0.28260869565217389</v>
      </c>
    </row>
    <row r="525" spans="1:22">
      <c r="A525" t="s">
        <v>851</v>
      </c>
      <c r="B525" s="4">
        <v>45966</v>
      </c>
      <c r="C525" t="s">
        <v>77</v>
      </c>
      <c r="D525" t="s">
        <v>72</v>
      </c>
      <c r="E525" t="s">
        <v>73</v>
      </c>
      <c r="F525" t="s">
        <v>709</v>
      </c>
      <c r="G525" t="s">
        <v>68</v>
      </c>
      <c r="H525" t="s">
        <v>69</v>
      </c>
      <c r="I525">
        <v>4</v>
      </c>
      <c r="J525" s="6">
        <v>115000</v>
      </c>
      <c r="K525" s="6">
        <v>82000</v>
      </c>
      <c r="L525" s="5">
        <v>0.12</v>
      </c>
      <c r="M525" t="s">
        <v>57</v>
      </c>
      <c r="N525" t="s">
        <v>81</v>
      </c>
      <c r="O525">
        <f t="shared" si="64"/>
        <v>11</v>
      </c>
      <c r="P525">
        <f t="shared" si="65"/>
        <v>4</v>
      </c>
      <c r="Q525" s="6">
        <f t="shared" si="66"/>
        <v>460000</v>
      </c>
      <c r="R525" s="6">
        <f t="shared" si="67"/>
        <v>55200</v>
      </c>
      <c r="S525" s="6">
        <f t="shared" si="68"/>
        <v>404800</v>
      </c>
      <c r="T525" s="6">
        <f t="shared" si="69"/>
        <v>328000</v>
      </c>
      <c r="U525" s="6">
        <f t="shared" si="70"/>
        <v>76800</v>
      </c>
      <c r="V525" s="5">
        <f t="shared" si="71"/>
        <v>0.18972332015810275</v>
      </c>
    </row>
    <row r="526" spans="1:22">
      <c r="A526" t="s">
        <v>852</v>
      </c>
      <c r="B526" s="4">
        <v>45667</v>
      </c>
      <c r="C526" t="s">
        <v>60</v>
      </c>
      <c r="D526" t="s">
        <v>93</v>
      </c>
      <c r="E526" t="s">
        <v>94</v>
      </c>
      <c r="F526" t="s">
        <v>238</v>
      </c>
      <c r="G526" t="s">
        <v>68</v>
      </c>
      <c r="H526" t="s">
        <v>104</v>
      </c>
      <c r="I526">
        <v>1</v>
      </c>
      <c r="J526" s="6">
        <v>320000</v>
      </c>
      <c r="K526" s="6">
        <v>244000</v>
      </c>
      <c r="L526" s="5">
        <v>0.1</v>
      </c>
      <c r="M526" t="s">
        <v>109</v>
      </c>
      <c r="N526" t="s">
        <v>58</v>
      </c>
      <c r="O526">
        <f t="shared" si="64"/>
        <v>1</v>
      </c>
      <c r="P526">
        <f t="shared" si="65"/>
        <v>1</v>
      </c>
      <c r="Q526" s="6">
        <f t="shared" si="66"/>
        <v>320000</v>
      </c>
      <c r="R526" s="6">
        <f t="shared" si="67"/>
        <v>32000</v>
      </c>
      <c r="S526" s="6">
        <f t="shared" si="68"/>
        <v>0</v>
      </c>
      <c r="T526" s="6">
        <f t="shared" si="69"/>
        <v>0</v>
      </c>
      <c r="U526" s="6">
        <f t="shared" si="70"/>
        <v>0</v>
      </c>
      <c r="V526" s="5">
        <f t="shared" si="71"/>
        <v>0</v>
      </c>
    </row>
    <row r="527" spans="1:22">
      <c r="A527" t="s">
        <v>853</v>
      </c>
      <c r="B527" s="4">
        <v>45670</v>
      </c>
      <c r="C527" t="s">
        <v>60</v>
      </c>
      <c r="D527" t="s">
        <v>61</v>
      </c>
      <c r="E527" t="s">
        <v>66</v>
      </c>
      <c r="F527" t="s">
        <v>767</v>
      </c>
      <c r="G527" t="s">
        <v>89</v>
      </c>
      <c r="H527" t="s">
        <v>95</v>
      </c>
      <c r="I527">
        <v>5</v>
      </c>
      <c r="J527" s="6">
        <v>32000</v>
      </c>
      <c r="K527" s="6">
        <v>21000</v>
      </c>
      <c r="L527" s="5">
        <v>0.12</v>
      </c>
      <c r="M527" t="s">
        <v>109</v>
      </c>
      <c r="N527" t="s">
        <v>58</v>
      </c>
      <c r="O527">
        <f t="shared" si="64"/>
        <v>1</v>
      </c>
      <c r="P527">
        <f t="shared" si="65"/>
        <v>1</v>
      </c>
      <c r="Q527" s="6">
        <f t="shared" si="66"/>
        <v>160000</v>
      </c>
      <c r="R527" s="6">
        <f t="shared" si="67"/>
        <v>19200</v>
      </c>
      <c r="S527" s="6">
        <f t="shared" si="68"/>
        <v>0</v>
      </c>
      <c r="T527" s="6">
        <f t="shared" si="69"/>
        <v>0</v>
      </c>
      <c r="U527" s="6">
        <f t="shared" si="70"/>
        <v>0</v>
      </c>
      <c r="V527" s="5">
        <f t="shared" si="71"/>
        <v>0</v>
      </c>
    </row>
    <row r="528" spans="1:22">
      <c r="A528" t="s">
        <v>854</v>
      </c>
      <c r="B528" s="4">
        <v>45950</v>
      </c>
      <c r="C528" t="s">
        <v>51</v>
      </c>
      <c r="D528" t="s">
        <v>72</v>
      </c>
      <c r="E528" t="s">
        <v>73</v>
      </c>
      <c r="F528" t="s">
        <v>202</v>
      </c>
      <c r="G528" t="s">
        <v>68</v>
      </c>
      <c r="H528" t="s">
        <v>69</v>
      </c>
      <c r="I528">
        <v>7</v>
      </c>
      <c r="J528" s="6">
        <v>115000</v>
      </c>
      <c r="K528" s="6">
        <v>82000</v>
      </c>
      <c r="L528" s="5">
        <v>0</v>
      </c>
      <c r="M528" t="s">
        <v>57</v>
      </c>
      <c r="N528" t="s">
        <v>70</v>
      </c>
      <c r="O528">
        <f t="shared" si="64"/>
        <v>10</v>
      </c>
      <c r="P528">
        <f t="shared" si="65"/>
        <v>4</v>
      </c>
      <c r="Q528" s="6">
        <f t="shared" si="66"/>
        <v>805000</v>
      </c>
      <c r="R528" s="6">
        <f t="shared" si="67"/>
        <v>0</v>
      </c>
      <c r="S528" s="6">
        <f t="shared" si="68"/>
        <v>805000</v>
      </c>
      <c r="T528" s="6">
        <f t="shared" si="69"/>
        <v>574000</v>
      </c>
      <c r="U528" s="6">
        <f t="shared" si="70"/>
        <v>231000</v>
      </c>
      <c r="V528" s="5">
        <f t="shared" si="71"/>
        <v>0.28695652173913044</v>
      </c>
    </row>
    <row r="529" spans="1:22">
      <c r="A529" t="s">
        <v>855</v>
      </c>
      <c r="B529" s="4">
        <v>45690</v>
      </c>
      <c r="C529" t="s">
        <v>60</v>
      </c>
      <c r="D529" t="s">
        <v>52</v>
      </c>
      <c r="E529" t="s">
        <v>53</v>
      </c>
      <c r="F529" t="s">
        <v>274</v>
      </c>
      <c r="G529" t="s">
        <v>55</v>
      </c>
      <c r="H529" t="s">
        <v>86</v>
      </c>
      <c r="I529">
        <v>4</v>
      </c>
      <c r="J529" s="6">
        <v>92000</v>
      </c>
      <c r="K529" s="6">
        <v>60000</v>
      </c>
      <c r="L529" s="5">
        <v>0.1</v>
      </c>
      <c r="M529" t="s">
        <v>109</v>
      </c>
      <c r="N529" t="s">
        <v>75</v>
      </c>
      <c r="O529">
        <f t="shared" si="64"/>
        <v>2</v>
      </c>
      <c r="P529">
        <f t="shared" si="65"/>
        <v>1</v>
      </c>
      <c r="Q529" s="6">
        <f t="shared" si="66"/>
        <v>368000</v>
      </c>
      <c r="R529" s="6">
        <f t="shared" si="67"/>
        <v>36800</v>
      </c>
      <c r="S529" s="6">
        <f t="shared" si="68"/>
        <v>0</v>
      </c>
      <c r="T529" s="6">
        <f t="shared" si="69"/>
        <v>0</v>
      </c>
      <c r="U529" s="6">
        <f t="shared" si="70"/>
        <v>0</v>
      </c>
      <c r="V529" s="5">
        <f t="shared" si="71"/>
        <v>0</v>
      </c>
    </row>
    <row r="530" spans="1:22">
      <c r="A530" t="s">
        <v>856</v>
      </c>
      <c r="B530" s="4">
        <v>45955</v>
      </c>
      <c r="C530" t="s">
        <v>51</v>
      </c>
      <c r="D530" t="s">
        <v>61</v>
      </c>
      <c r="E530" t="s">
        <v>66</v>
      </c>
      <c r="F530" t="s">
        <v>857</v>
      </c>
      <c r="G530" t="s">
        <v>55</v>
      </c>
      <c r="H530" t="s">
        <v>115</v>
      </c>
      <c r="I530">
        <v>2</v>
      </c>
      <c r="J530" s="6">
        <v>105000</v>
      </c>
      <c r="K530" s="6">
        <v>76000</v>
      </c>
      <c r="L530" s="5">
        <v>0.12</v>
      </c>
      <c r="M530" t="s">
        <v>57</v>
      </c>
      <c r="N530" t="s">
        <v>75</v>
      </c>
      <c r="O530">
        <f t="shared" si="64"/>
        <v>10</v>
      </c>
      <c r="P530">
        <f t="shared" si="65"/>
        <v>4</v>
      </c>
      <c r="Q530" s="6">
        <f t="shared" si="66"/>
        <v>210000</v>
      </c>
      <c r="R530" s="6">
        <f t="shared" si="67"/>
        <v>25200</v>
      </c>
      <c r="S530" s="6">
        <f t="shared" si="68"/>
        <v>184800</v>
      </c>
      <c r="T530" s="6">
        <f t="shared" si="69"/>
        <v>152000</v>
      </c>
      <c r="U530" s="6">
        <f t="shared" si="70"/>
        <v>32800</v>
      </c>
      <c r="V530" s="5">
        <f t="shared" si="71"/>
        <v>0.1774891774891775</v>
      </c>
    </row>
    <row r="531" spans="1:22">
      <c r="A531" t="s">
        <v>858</v>
      </c>
      <c r="B531" s="4">
        <v>46010</v>
      </c>
      <c r="C531" t="s">
        <v>60</v>
      </c>
      <c r="D531" t="s">
        <v>61</v>
      </c>
      <c r="E531" t="s">
        <v>94</v>
      </c>
      <c r="F531" t="s">
        <v>859</v>
      </c>
      <c r="G531" t="s">
        <v>55</v>
      </c>
      <c r="H531" t="s">
        <v>86</v>
      </c>
      <c r="I531">
        <v>4</v>
      </c>
      <c r="J531" s="6">
        <v>92000</v>
      </c>
      <c r="K531" s="6">
        <v>60000</v>
      </c>
      <c r="L531" s="5">
        <v>0.12</v>
      </c>
      <c r="M531" t="s">
        <v>57</v>
      </c>
      <c r="N531" t="s">
        <v>75</v>
      </c>
      <c r="O531">
        <f t="shared" si="64"/>
        <v>12</v>
      </c>
      <c r="P531">
        <f t="shared" si="65"/>
        <v>4</v>
      </c>
      <c r="Q531" s="6">
        <f t="shared" si="66"/>
        <v>368000</v>
      </c>
      <c r="R531" s="6">
        <f t="shared" si="67"/>
        <v>44160</v>
      </c>
      <c r="S531" s="6">
        <f t="shared" si="68"/>
        <v>323840</v>
      </c>
      <c r="T531" s="6">
        <f t="shared" si="69"/>
        <v>240000</v>
      </c>
      <c r="U531" s="6">
        <f t="shared" si="70"/>
        <v>83840</v>
      </c>
      <c r="V531" s="5">
        <f t="shared" si="71"/>
        <v>0.25889328063241107</v>
      </c>
    </row>
    <row r="532" spans="1:22">
      <c r="A532" t="s">
        <v>860</v>
      </c>
      <c r="B532" s="4">
        <v>45936</v>
      </c>
      <c r="C532" t="s">
        <v>51</v>
      </c>
      <c r="D532" t="s">
        <v>61</v>
      </c>
      <c r="E532" t="s">
        <v>94</v>
      </c>
      <c r="F532" t="s">
        <v>174</v>
      </c>
      <c r="G532" t="s">
        <v>55</v>
      </c>
      <c r="H532" t="s">
        <v>86</v>
      </c>
      <c r="I532">
        <v>2</v>
      </c>
      <c r="J532" s="6">
        <v>92000</v>
      </c>
      <c r="K532" s="6">
        <v>60000</v>
      </c>
      <c r="L532" s="5">
        <v>0.03</v>
      </c>
      <c r="M532" t="s">
        <v>57</v>
      </c>
      <c r="N532" t="s">
        <v>63</v>
      </c>
      <c r="O532">
        <f t="shared" si="64"/>
        <v>10</v>
      </c>
      <c r="P532">
        <f t="shared" si="65"/>
        <v>4</v>
      </c>
      <c r="Q532" s="6">
        <f t="shared" si="66"/>
        <v>184000</v>
      </c>
      <c r="R532" s="6">
        <f t="shared" si="67"/>
        <v>5520</v>
      </c>
      <c r="S532" s="6">
        <f t="shared" si="68"/>
        <v>178480</v>
      </c>
      <c r="T532" s="6">
        <f t="shared" si="69"/>
        <v>120000</v>
      </c>
      <c r="U532" s="6">
        <f t="shared" si="70"/>
        <v>58480</v>
      </c>
      <c r="V532" s="5">
        <f t="shared" si="71"/>
        <v>0.32765575974899147</v>
      </c>
    </row>
    <row r="533" spans="1:22">
      <c r="A533" t="s">
        <v>861</v>
      </c>
      <c r="B533" s="4">
        <v>45971</v>
      </c>
      <c r="C533" t="s">
        <v>51</v>
      </c>
      <c r="D533" t="s">
        <v>52</v>
      </c>
      <c r="E533" t="s">
        <v>73</v>
      </c>
      <c r="F533" t="s">
        <v>862</v>
      </c>
      <c r="G533" t="s">
        <v>55</v>
      </c>
      <c r="H533" t="s">
        <v>86</v>
      </c>
      <c r="I533">
        <v>7</v>
      </c>
      <c r="J533" s="6">
        <v>92000</v>
      </c>
      <c r="K533" s="6">
        <v>60000</v>
      </c>
      <c r="L533" s="5">
        <v>0</v>
      </c>
      <c r="M533" t="s">
        <v>57</v>
      </c>
      <c r="N533" t="s">
        <v>63</v>
      </c>
      <c r="O533">
        <f t="shared" si="64"/>
        <v>11</v>
      </c>
      <c r="P533">
        <f t="shared" si="65"/>
        <v>4</v>
      </c>
      <c r="Q533" s="6">
        <f t="shared" si="66"/>
        <v>644000</v>
      </c>
      <c r="R533" s="6">
        <f t="shared" si="67"/>
        <v>0</v>
      </c>
      <c r="S533" s="6">
        <f t="shared" si="68"/>
        <v>644000</v>
      </c>
      <c r="T533" s="6">
        <f t="shared" si="69"/>
        <v>420000</v>
      </c>
      <c r="U533" s="6">
        <f t="shared" si="70"/>
        <v>224000</v>
      </c>
      <c r="V533" s="5">
        <f t="shared" si="71"/>
        <v>0.34782608695652173</v>
      </c>
    </row>
    <row r="534" spans="1:22">
      <c r="A534" t="s">
        <v>863</v>
      </c>
      <c r="B534" s="4">
        <v>45997</v>
      </c>
      <c r="C534" t="s">
        <v>102</v>
      </c>
      <c r="D534" t="s">
        <v>61</v>
      </c>
      <c r="E534" t="s">
        <v>73</v>
      </c>
      <c r="F534" t="s">
        <v>625</v>
      </c>
      <c r="G534" t="s">
        <v>89</v>
      </c>
      <c r="H534" t="s">
        <v>98</v>
      </c>
      <c r="I534">
        <v>3</v>
      </c>
      <c r="J534" s="6">
        <v>16500</v>
      </c>
      <c r="K534" s="6">
        <v>10000</v>
      </c>
      <c r="L534" s="5">
        <v>0</v>
      </c>
      <c r="M534" t="s">
        <v>57</v>
      </c>
      <c r="N534" t="s">
        <v>70</v>
      </c>
      <c r="O534">
        <f t="shared" si="64"/>
        <v>12</v>
      </c>
      <c r="P534">
        <f t="shared" si="65"/>
        <v>4</v>
      </c>
      <c r="Q534" s="6">
        <f t="shared" si="66"/>
        <v>49500</v>
      </c>
      <c r="R534" s="6">
        <f t="shared" si="67"/>
        <v>0</v>
      </c>
      <c r="S534" s="6">
        <f t="shared" si="68"/>
        <v>49500</v>
      </c>
      <c r="T534" s="6">
        <f t="shared" si="69"/>
        <v>30000</v>
      </c>
      <c r="U534" s="6">
        <f t="shared" si="70"/>
        <v>19500</v>
      </c>
      <c r="V534" s="5">
        <f t="shared" si="71"/>
        <v>0.39393939393939392</v>
      </c>
    </row>
    <row r="535" spans="1:22">
      <c r="A535" t="s">
        <v>864</v>
      </c>
      <c r="B535" s="4">
        <v>45706</v>
      </c>
      <c r="C535" t="s">
        <v>111</v>
      </c>
      <c r="D535" t="s">
        <v>61</v>
      </c>
      <c r="E535" t="s">
        <v>53</v>
      </c>
      <c r="F535" t="s">
        <v>865</v>
      </c>
      <c r="G535" t="s">
        <v>68</v>
      </c>
      <c r="H535" t="s">
        <v>108</v>
      </c>
      <c r="I535">
        <v>6</v>
      </c>
      <c r="J535" s="6">
        <v>175000</v>
      </c>
      <c r="K535" s="6">
        <v>129000</v>
      </c>
      <c r="L535" s="5">
        <v>0.12</v>
      </c>
      <c r="M535" t="s">
        <v>57</v>
      </c>
      <c r="N535" t="s">
        <v>70</v>
      </c>
      <c r="O535">
        <f t="shared" si="64"/>
        <v>2</v>
      </c>
      <c r="P535">
        <f t="shared" si="65"/>
        <v>1</v>
      </c>
      <c r="Q535" s="6">
        <f t="shared" si="66"/>
        <v>1050000</v>
      </c>
      <c r="R535" s="6">
        <f t="shared" si="67"/>
        <v>126000</v>
      </c>
      <c r="S535" s="6">
        <f t="shared" si="68"/>
        <v>924000</v>
      </c>
      <c r="T535" s="6">
        <f t="shared" si="69"/>
        <v>774000</v>
      </c>
      <c r="U535" s="6">
        <f t="shared" si="70"/>
        <v>150000</v>
      </c>
      <c r="V535" s="5">
        <f t="shared" si="71"/>
        <v>0.16233766233766234</v>
      </c>
    </row>
    <row r="536" spans="1:22">
      <c r="A536" t="s">
        <v>866</v>
      </c>
      <c r="B536" s="4">
        <v>45855</v>
      </c>
      <c r="C536" t="s">
        <v>102</v>
      </c>
      <c r="D536" t="s">
        <v>72</v>
      </c>
      <c r="E536" t="s">
        <v>66</v>
      </c>
      <c r="F536" t="s">
        <v>669</v>
      </c>
      <c r="G536" t="s">
        <v>55</v>
      </c>
      <c r="H536" t="s">
        <v>56</v>
      </c>
      <c r="I536">
        <v>3</v>
      </c>
      <c r="J536" s="6">
        <v>138000</v>
      </c>
      <c r="K536" s="6">
        <v>99000</v>
      </c>
      <c r="L536" s="5">
        <v>0</v>
      </c>
      <c r="M536" t="s">
        <v>57</v>
      </c>
      <c r="N536" t="s">
        <v>63</v>
      </c>
      <c r="O536">
        <f t="shared" si="64"/>
        <v>7</v>
      </c>
      <c r="P536">
        <f t="shared" si="65"/>
        <v>3</v>
      </c>
      <c r="Q536" s="6">
        <f t="shared" si="66"/>
        <v>414000</v>
      </c>
      <c r="R536" s="6">
        <f t="shared" si="67"/>
        <v>0</v>
      </c>
      <c r="S536" s="6">
        <f t="shared" si="68"/>
        <v>414000</v>
      </c>
      <c r="T536" s="6">
        <f t="shared" si="69"/>
        <v>297000</v>
      </c>
      <c r="U536" s="6">
        <f t="shared" si="70"/>
        <v>117000</v>
      </c>
      <c r="V536" s="5">
        <f t="shared" si="71"/>
        <v>0.28260869565217389</v>
      </c>
    </row>
    <row r="537" spans="1:22">
      <c r="A537" t="s">
        <v>867</v>
      </c>
      <c r="B537" s="4">
        <v>45945</v>
      </c>
      <c r="C537" t="s">
        <v>111</v>
      </c>
      <c r="D537" t="s">
        <v>61</v>
      </c>
      <c r="E537" t="s">
        <v>66</v>
      </c>
      <c r="F537" t="s">
        <v>868</v>
      </c>
      <c r="G537" t="s">
        <v>89</v>
      </c>
      <c r="H537" t="s">
        <v>90</v>
      </c>
      <c r="I537">
        <v>4</v>
      </c>
      <c r="J537" s="6">
        <v>5900</v>
      </c>
      <c r="K537" s="6">
        <v>3700</v>
      </c>
      <c r="L537" s="5">
        <v>0.12</v>
      </c>
      <c r="M537" t="s">
        <v>80</v>
      </c>
      <c r="N537" t="s">
        <v>58</v>
      </c>
      <c r="O537">
        <f t="shared" si="64"/>
        <v>10</v>
      </c>
      <c r="P537">
        <f t="shared" si="65"/>
        <v>4</v>
      </c>
      <c r="Q537" s="6">
        <f t="shared" si="66"/>
        <v>23600</v>
      </c>
      <c r="R537" s="6">
        <f t="shared" si="67"/>
        <v>2832</v>
      </c>
      <c r="S537" s="6">
        <f t="shared" si="68"/>
        <v>0</v>
      </c>
      <c r="T537" s="6">
        <f t="shared" si="69"/>
        <v>0</v>
      </c>
      <c r="U537" s="6">
        <f t="shared" si="70"/>
        <v>0</v>
      </c>
      <c r="V537" s="5">
        <f t="shared" si="71"/>
        <v>0</v>
      </c>
    </row>
    <row r="538" spans="1:22">
      <c r="A538" t="s">
        <v>869</v>
      </c>
      <c r="B538" s="4">
        <v>45982</v>
      </c>
      <c r="C538" t="s">
        <v>77</v>
      </c>
      <c r="D538" t="s">
        <v>61</v>
      </c>
      <c r="E538" t="s">
        <v>53</v>
      </c>
      <c r="F538" t="s">
        <v>400</v>
      </c>
      <c r="G538" t="s">
        <v>89</v>
      </c>
      <c r="H538" t="s">
        <v>90</v>
      </c>
      <c r="I538">
        <v>7</v>
      </c>
      <c r="J538" s="6">
        <v>5900</v>
      </c>
      <c r="K538" s="6">
        <v>3700</v>
      </c>
      <c r="L538" s="5">
        <v>0</v>
      </c>
      <c r="M538" t="s">
        <v>57</v>
      </c>
      <c r="N538" t="s">
        <v>81</v>
      </c>
      <c r="O538">
        <f t="shared" si="64"/>
        <v>11</v>
      </c>
      <c r="P538">
        <f t="shared" si="65"/>
        <v>4</v>
      </c>
      <c r="Q538" s="6">
        <f t="shared" si="66"/>
        <v>41300</v>
      </c>
      <c r="R538" s="6">
        <f t="shared" si="67"/>
        <v>0</v>
      </c>
      <c r="S538" s="6">
        <f t="shared" si="68"/>
        <v>41300</v>
      </c>
      <c r="T538" s="6">
        <f t="shared" si="69"/>
        <v>25900</v>
      </c>
      <c r="U538" s="6">
        <f t="shared" si="70"/>
        <v>15400</v>
      </c>
      <c r="V538" s="5">
        <f t="shared" si="71"/>
        <v>0.3728813559322034</v>
      </c>
    </row>
    <row r="539" spans="1:22">
      <c r="A539" t="s">
        <v>870</v>
      </c>
      <c r="B539" s="4">
        <v>45664</v>
      </c>
      <c r="C539" t="s">
        <v>77</v>
      </c>
      <c r="D539" t="s">
        <v>106</v>
      </c>
      <c r="E539" t="s">
        <v>73</v>
      </c>
      <c r="F539" t="s">
        <v>220</v>
      </c>
      <c r="G539" t="s">
        <v>68</v>
      </c>
      <c r="H539" t="s">
        <v>69</v>
      </c>
      <c r="I539">
        <v>2</v>
      </c>
      <c r="J539" s="6">
        <v>115000</v>
      </c>
      <c r="K539" s="6">
        <v>82000</v>
      </c>
      <c r="L539" s="5">
        <v>0.03</v>
      </c>
      <c r="M539" t="s">
        <v>57</v>
      </c>
      <c r="N539" t="s">
        <v>58</v>
      </c>
      <c r="O539">
        <f t="shared" si="64"/>
        <v>1</v>
      </c>
      <c r="P539">
        <f t="shared" si="65"/>
        <v>1</v>
      </c>
      <c r="Q539" s="6">
        <f t="shared" si="66"/>
        <v>230000</v>
      </c>
      <c r="R539" s="6">
        <f t="shared" si="67"/>
        <v>6900</v>
      </c>
      <c r="S539" s="6">
        <f t="shared" si="68"/>
        <v>223100</v>
      </c>
      <c r="T539" s="6">
        <f t="shared" si="69"/>
        <v>164000</v>
      </c>
      <c r="U539" s="6">
        <f t="shared" si="70"/>
        <v>59100</v>
      </c>
      <c r="V539" s="5">
        <f t="shared" si="71"/>
        <v>0.26490363065889738</v>
      </c>
    </row>
    <row r="540" spans="1:22">
      <c r="A540" t="s">
        <v>871</v>
      </c>
      <c r="B540" s="4">
        <v>45815</v>
      </c>
      <c r="C540" t="s">
        <v>51</v>
      </c>
      <c r="D540" t="s">
        <v>61</v>
      </c>
      <c r="E540" t="s">
        <v>84</v>
      </c>
      <c r="F540" t="s">
        <v>157</v>
      </c>
      <c r="G540" t="s">
        <v>68</v>
      </c>
      <c r="H540" t="s">
        <v>108</v>
      </c>
      <c r="I540">
        <v>8</v>
      </c>
      <c r="J540" s="6">
        <v>175000</v>
      </c>
      <c r="K540" s="6">
        <v>129000</v>
      </c>
      <c r="L540" s="5">
        <v>0.12</v>
      </c>
      <c r="M540" t="s">
        <v>57</v>
      </c>
      <c r="N540" t="s">
        <v>58</v>
      </c>
      <c r="O540">
        <f t="shared" si="64"/>
        <v>6</v>
      </c>
      <c r="P540">
        <f t="shared" si="65"/>
        <v>2</v>
      </c>
      <c r="Q540" s="6">
        <f t="shared" si="66"/>
        <v>1400000</v>
      </c>
      <c r="R540" s="6">
        <f t="shared" si="67"/>
        <v>168000</v>
      </c>
      <c r="S540" s="6">
        <f t="shared" si="68"/>
        <v>1232000</v>
      </c>
      <c r="T540" s="6">
        <f t="shared" si="69"/>
        <v>1032000</v>
      </c>
      <c r="U540" s="6">
        <f t="shared" si="70"/>
        <v>200000</v>
      </c>
      <c r="V540" s="5">
        <f t="shared" si="71"/>
        <v>0.16233766233766234</v>
      </c>
    </row>
    <row r="541" spans="1:22">
      <c r="A541" t="s">
        <v>872</v>
      </c>
      <c r="B541" s="4">
        <v>45720</v>
      </c>
      <c r="C541" t="s">
        <v>83</v>
      </c>
      <c r="D541" t="s">
        <v>61</v>
      </c>
      <c r="E541" t="s">
        <v>84</v>
      </c>
      <c r="F541" t="s">
        <v>767</v>
      </c>
      <c r="G541" t="s">
        <v>55</v>
      </c>
      <c r="H541" t="s">
        <v>86</v>
      </c>
      <c r="I541">
        <v>4</v>
      </c>
      <c r="J541" s="6">
        <v>92000</v>
      </c>
      <c r="K541" s="6">
        <v>60000</v>
      </c>
      <c r="L541" s="5">
        <v>0.05</v>
      </c>
      <c r="M541" t="s">
        <v>109</v>
      </c>
      <c r="N541" t="s">
        <v>81</v>
      </c>
      <c r="O541">
        <f t="shared" si="64"/>
        <v>3</v>
      </c>
      <c r="P541">
        <f t="shared" si="65"/>
        <v>1</v>
      </c>
      <c r="Q541" s="6">
        <f t="shared" si="66"/>
        <v>368000</v>
      </c>
      <c r="R541" s="6">
        <f t="shared" si="67"/>
        <v>18400</v>
      </c>
      <c r="S541" s="6">
        <f t="shared" si="68"/>
        <v>0</v>
      </c>
      <c r="T541" s="6">
        <f t="shared" si="69"/>
        <v>0</v>
      </c>
      <c r="U541" s="6">
        <f t="shared" si="70"/>
        <v>0</v>
      </c>
      <c r="V541" s="5">
        <f t="shared" si="71"/>
        <v>0</v>
      </c>
    </row>
    <row r="542" spans="1:22">
      <c r="A542" t="s">
        <v>873</v>
      </c>
      <c r="B542" s="4">
        <v>45873</v>
      </c>
      <c r="C542" t="s">
        <v>92</v>
      </c>
      <c r="D542" t="s">
        <v>61</v>
      </c>
      <c r="E542" t="s">
        <v>66</v>
      </c>
      <c r="F542" t="s">
        <v>396</v>
      </c>
      <c r="G542" t="s">
        <v>55</v>
      </c>
      <c r="H542" t="s">
        <v>115</v>
      </c>
      <c r="I542">
        <v>7</v>
      </c>
      <c r="J542" s="6">
        <v>105000</v>
      </c>
      <c r="K542" s="6">
        <v>76000</v>
      </c>
      <c r="L542" s="5">
        <v>0.12</v>
      </c>
      <c r="M542" t="s">
        <v>80</v>
      </c>
      <c r="N542" t="s">
        <v>63</v>
      </c>
      <c r="O542">
        <f t="shared" si="64"/>
        <v>8</v>
      </c>
      <c r="P542">
        <f t="shared" si="65"/>
        <v>3</v>
      </c>
      <c r="Q542" s="6">
        <f t="shared" si="66"/>
        <v>735000</v>
      </c>
      <c r="R542" s="6">
        <f t="shared" si="67"/>
        <v>88200</v>
      </c>
      <c r="S542" s="6">
        <f t="shared" si="68"/>
        <v>0</v>
      </c>
      <c r="T542" s="6">
        <f t="shared" si="69"/>
        <v>0</v>
      </c>
      <c r="U542" s="6">
        <f t="shared" si="70"/>
        <v>0</v>
      </c>
      <c r="V542" s="5">
        <f t="shared" si="71"/>
        <v>0</v>
      </c>
    </row>
    <row r="543" spans="1:22">
      <c r="A543" t="s">
        <v>874</v>
      </c>
      <c r="B543" s="4">
        <v>45908</v>
      </c>
      <c r="C543" t="s">
        <v>120</v>
      </c>
      <c r="D543" t="s">
        <v>61</v>
      </c>
      <c r="E543" t="s">
        <v>73</v>
      </c>
      <c r="F543" t="s">
        <v>857</v>
      </c>
      <c r="G543" t="s">
        <v>68</v>
      </c>
      <c r="H543" t="s">
        <v>79</v>
      </c>
      <c r="I543">
        <v>2</v>
      </c>
      <c r="J543" s="6">
        <v>19000</v>
      </c>
      <c r="K543" s="6">
        <v>11500</v>
      </c>
      <c r="L543" s="5">
        <v>0.03</v>
      </c>
      <c r="M543" t="s">
        <v>80</v>
      </c>
      <c r="N543" t="s">
        <v>58</v>
      </c>
      <c r="O543">
        <f t="shared" si="64"/>
        <v>9</v>
      </c>
      <c r="P543">
        <f t="shared" si="65"/>
        <v>3</v>
      </c>
      <c r="Q543" s="6">
        <f t="shared" si="66"/>
        <v>38000</v>
      </c>
      <c r="R543" s="6">
        <f t="shared" si="67"/>
        <v>1140</v>
      </c>
      <c r="S543" s="6">
        <f t="shared" si="68"/>
        <v>0</v>
      </c>
      <c r="T543" s="6">
        <f t="shared" si="69"/>
        <v>0</v>
      </c>
      <c r="U543" s="6">
        <f t="shared" si="70"/>
        <v>0</v>
      </c>
      <c r="V543" s="5">
        <f t="shared" si="71"/>
        <v>0</v>
      </c>
    </row>
    <row r="544" spans="1:22">
      <c r="A544" t="s">
        <v>875</v>
      </c>
      <c r="B544" s="4">
        <v>45750</v>
      </c>
      <c r="C544" t="s">
        <v>83</v>
      </c>
      <c r="D544" t="s">
        <v>61</v>
      </c>
      <c r="E544" t="s">
        <v>66</v>
      </c>
      <c r="F544" t="s">
        <v>876</v>
      </c>
      <c r="G544" t="s">
        <v>55</v>
      </c>
      <c r="H544" t="s">
        <v>86</v>
      </c>
      <c r="I544">
        <v>2</v>
      </c>
      <c r="J544" s="6">
        <v>92000</v>
      </c>
      <c r="K544" s="6">
        <v>60000</v>
      </c>
      <c r="L544" s="5">
        <v>0</v>
      </c>
      <c r="M544" t="s">
        <v>57</v>
      </c>
      <c r="N544" t="s">
        <v>58</v>
      </c>
      <c r="O544">
        <f t="shared" si="64"/>
        <v>4</v>
      </c>
      <c r="P544">
        <f t="shared" si="65"/>
        <v>2</v>
      </c>
      <c r="Q544" s="6">
        <f t="shared" si="66"/>
        <v>184000</v>
      </c>
      <c r="R544" s="6">
        <f t="shared" si="67"/>
        <v>0</v>
      </c>
      <c r="S544" s="6">
        <f t="shared" si="68"/>
        <v>184000</v>
      </c>
      <c r="T544" s="6">
        <f t="shared" si="69"/>
        <v>120000</v>
      </c>
      <c r="U544" s="6">
        <f t="shared" si="70"/>
        <v>64000</v>
      </c>
      <c r="V544" s="5">
        <f t="shared" si="71"/>
        <v>0.34782608695652173</v>
      </c>
    </row>
    <row r="545" spans="1:22">
      <c r="A545" t="s">
        <v>877</v>
      </c>
      <c r="B545" s="4">
        <v>45895</v>
      </c>
      <c r="C545" t="s">
        <v>102</v>
      </c>
      <c r="D545" t="s">
        <v>65</v>
      </c>
      <c r="E545" t="s">
        <v>66</v>
      </c>
      <c r="F545" t="s">
        <v>396</v>
      </c>
      <c r="G545" t="s">
        <v>89</v>
      </c>
      <c r="H545" t="s">
        <v>98</v>
      </c>
      <c r="I545">
        <v>3</v>
      </c>
      <c r="J545" s="6">
        <v>16500</v>
      </c>
      <c r="K545" s="6">
        <v>10000</v>
      </c>
      <c r="L545" s="5">
        <v>0.05</v>
      </c>
      <c r="M545" t="s">
        <v>57</v>
      </c>
      <c r="N545" t="s">
        <v>81</v>
      </c>
      <c r="O545">
        <f t="shared" si="64"/>
        <v>8</v>
      </c>
      <c r="P545">
        <f t="shared" si="65"/>
        <v>3</v>
      </c>
      <c r="Q545" s="6">
        <f t="shared" si="66"/>
        <v>49500</v>
      </c>
      <c r="R545" s="6">
        <f t="shared" si="67"/>
        <v>2475</v>
      </c>
      <c r="S545" s="6">
        <f t="shared" si="68"/>
        <v>47025</v>
      </c>
      <c r="T545" s="6">
        <f t="shared" si="69"/>
        <v>30000</v>
      </c>
      <c r="U545" s="6">
        <f t="shared" si="70"/>
        <v>17025</v>
      </c>
      <c r="V545" s="5">
        <f t="shared" si="71"/>
        <v>0.36204146730462522</v>
      </c>
    </row>
    <row r="546" spans="1:22">
      <c r="A546" t="s">
        <v>878</v>
      </c>
      <c r="B546" s="4">
        <v>45999</v>
      </c>
      <c r="C546" t="s">
        <v>77</v>
      </c>
      <c r="D546" t="s">
        <v>61</v>
      </c>
      <c r="E546" t="s">
        <v>94</v>
      </c>
      <c r="F546" t="s">
        <v>234</v>
      </c>
      <c r="G546" t="s">
        <v>89</v>
      </c>
      <c r="H546" t="s">
        <v>90</v>
      </c>
      <c r="I546">
        <v>5</v>
      </c>
      <c r="J546" s="6">
        <v>5900</v>
      </c>
      <c r="K546" s="6">
        <v>3700</v>
      </c>
      <c r="L546" s="5">
        <v>0.03</v>
      </c>
      <c r="M546" t="s">
        <v>80</v>
      </c>
      <c r="N546" t="s">
        <v>75</v>
      </c>
      <c r="O546">
        <f t="shared" si="64"/>
        <v>12</v>
      </c>
      <c r="P546">
        <f t="shared" si="65"/>
        <v>4</v>
      </c>
      <c r="Q546" s="6">
        <f t="shared" si="66"/>
        <v>29500</v>
      </c>
      <c r="R546" s="6">
        <f t="shared" si="67"/>
        <v>885</v>
      </c>
      <c r="S546" s="6">
        <f t="shared" si="68"/>
        <v>0</v>
      </c>
      <c r="T546" s="6">
        <f t="shared" si="69"/>
        <v>0</v>
      </c>
      <c r="U546" s="6">
        <f t="shared" si="70"/>
        <v>0</v>
      </c>
      <c r="V546" s="5">
        <f t="shared" si="71"/>
        <v>0</v>
      </c>
    </row>
    <row r="547" spans="1:22">
      <c r="A547" t="s">
        <v>879</v>
      </c>
      <c r="B547" s="4">
        <v>45658</v>
      </c>
      <c r="C547" t="s">
        <v>92</v>
      </c>
      <c r="D547" t="s">
        <v>61</v>
      </c>
      <c r="E547" t="s">
        <v>66</v>
      </c>
      <c r="F547" t="s">
        <v>480</v>
      </c>
      <c r="G547" t="s">
        <v>89</v>
      </c>
      <c r="H547" t="s">
        <v>95</v>
      </c>
      <c r="I547">
        <v>7</v>
      </c>
      <c r="J547" s="6">
        <v>32000</v>
      </c>
      <c r="K547" s="6">
        <v>21000</v>
      </c>
      <c r="L547" s="5">
        <v>0</v>
      </c>
      <c r="M547" t="s">
        <v>80</v>
      </c>
      <c r="N547" t="s">
        <v>75</v>
      </c>
      <c r="O547">
        <f t="shared" si="64"/>
        <v>1</v>
      </c>
      <c r="P547">
        <f t="shared" si="65"/>
        <v>1</v>
      </c>
      <c r="Q547" s="6">
        <f t="shared" si="66"/>
        <v>224000</v>
      </c>
      <c r="R547" s="6">
        <f t="shared" si="67"/>
        <v>0</v>
      </c>
      <c r="S547" s="6">
        <f t="shared" si="68"/>
        <v>0</v>
      </c>
      <c r="T547" s="6">
        <f t="shared" si="69"/>
        <v>0</v>
      </c>
      <c r="U547" s="6">
        <f t="shared" si="70"/>
        <v>0</v>
      </c>
      <c r="V547" s="5">
        <f t="shared" si="71"/>
        <v>0</v>
      </c>
    </row>
    <row r="548" spans="1:22">
      <c r="A548" t="s">
        <v>880</v>
      </c>
      <c r="B548" s="4">
        <v>45730</v>
      </c>
      <c r="C548" t="s">
        <v>77</v>
      </c>
      <c r="D548" t="s">
        <v>93</v>
      </c>
      <c r="E548" t="s">
        <v>73</v>
      </c>
      <c r="F548" t="s">
        <v>571</v>
      </c>
      <c r="G548" t="s">
        <v>68</v>
      </c>
      <c r="H548" t="s">
        <v>108</v>
      </c>
      <c r="I548">
        <v>1</v>
      </c>
      <c r="J548" s="6">
        <v>175000</v>
      </c>
      <c r="K548" s="6">
        <v>129000</v>
      </c>
      <c r="L548" s="5">
        <v>0.1</v>
      </c>
      <c r="M548" t="s">
        <v>57</v>
      </c>
      <c r="N548" t="s">
        <v>81</v>
      </c>
      <c r="O548">
        <f t="shared" si="64"/>
        <v>3</v>
      </c>
      <c r="P548">
        <f t="shared" si="65"/>
        <v>1</v>
      </c>
      <c r="Q548" s="6">
        <f t="shared" si="66"/>
        <v>175000</v>
      </c>
      <c r="R548" s="6">
        <f t="shared" si="67"/>
        <v>17500</v>
      </c>
      <c r="S548" s="6">
        <f t="shared" si="68"/>
        <v>157500</v>
      </c>
      <c r="T548" s="6">
        <f t="shared" si="69"/>
        <v>129000</v>
      </c>
      <c r="U548" s="6">
        <f t="shared" si="70"/>
        <v>28500</v>
      </c>
      <c r="V548" s="5">
        <f t="shared" si="71"/>
        <v>0.18095238095238095</v>
      </c>
    </row>
    <row r="549" spans="1:22">
      <c r="A549" t="s">
        <v>881</v>
      </c>
      <c r="B549" s="4">
        <v>45763</v>
      </c>
      <c r="C549" t="s">
        <v>111</v>
      </c>
      <c r="D549" t="s">
        <v>52</v>
      </c>
      <c r="E549" t="s">
        <v>66</v>
      </c>
      <c r="F549" t="s">
        <v>208</v>
      </c>
      <c r="G549" t="s">
        <v>68</v>
      </c>
      <c r="H549" t="s">
        <v>79</v>
      </c>
      <c r="I549">
        <v>3</v>
      </c>
      <c r="J549" s="6">
        <v>19000</v>
      </c>
      <c r="K549" s="6">
        <v>11500</v>
      </c>
      <c r="L549" s="5">
        <v>0.08</v>
      </c>
      <c r="M549" t="s">
        <v>57</v>
      </c>
      <c r="N549" t="s">
        <v>75</v>
      </c>
      <c r="O549">
        <f t="shared" si="64"/>
        <v>4</v>
      </c>
      <c r="P549">
        <f t="shared" si="65"/>
        <v>2</v>
      </c>
      <c r="Q549" s="6">
        <f t="shared" si="66"/>
        <v>57000</v>
      </c>
      <c r="R549" s="6">
        <f t="shared" si="67"/>
        <v>4560</v>
      </c>
      <c r="S549" s="6">
        <f t="shared" si="68"/>
        <v>52440</v>
      </c>
      <c r="T549" s="6">
        <f t="shared" si="69"/>
        <v>34500</v>
      </c>
      <c r="U549" s="6">
        <f t="shared" si="70"/>
        <v>17940</v>
      </c>
      <c r="V549" s="5">
        <f t="shared" si="71"/>
        <v>0.34210526315789475</v>
      </c>
    </row>
    <row r="550" spans="1:22">
      <c r="A550" t="s">
        <v>882</v>
      </c>
      <c r="B550" s="4">
        <v>45746</v>
      </c>
      <c r="C550" t="s">
        <v>92</v>
      </c>
      <c r="D550" t="s">
        <v>61</v>
      </c>
      <c r="E550" t="s">
        <v>73</v>
      </c>
      <c r="F550" t="s">
        <v>409</v>
      </c>
      <c r="G550" t="s">
        <v>55</v>
      </c>
      <c r="H550" t="s">
        <v>115</v>
      </c>
      <c r="I550">
        <v>5</v>
      </c>
      <c r="J550" s="6">
        <v>105000</v>
      </c>
      <c r="K550" s="6">
        <v>76000</v>
      </c>
      <c r="L550" s="5">
        <v>0.05</v>
      </c>
      <c r="M550" t="s">
        <v>109</v>
      </c>
      <c r="N550" t="s">
        <v>63</v>
      </c>
      <c r="O550">
        <f t="shared" si="64"/>
        <v>3</v>
      </c>
      <c r="P550">
        <f t="shared" si="65"/>
        <v>1</v>
      </c>
      <c r="Q550" s="6">
        <f t="shared" si="66"/>
        <v>525000</v>
      </c>
      <c r="R550" s="6">
        <f t="shared" si="67"/>
        <v>26250</v>
      </c>
      <c r="S550" s="6">
        <f t="shared" si="68"/>
        <v>0</v>
      </c>
      <c r="T550" s="6">
        <f t="shared" si="69"/>
        <v>0</v>
      </c>
      <c r="U550" s="6">
        <f t="shared" si="70"/>
        <v>0</v>
      </c>
      <c r="V550" s="5">
        <f t="shared" si="71"/>
        <v>0</v>
      </c>
    </row>
    <row r="551" spans="1:22">
      <c r="A551" t="s">
        <v>883</v>
      </c>
      <c r="B551" s="4">
        <v>45865</v>
      </c>
      <c r="C551" t="s">
        <v>120</v>
      </c>
      <c r="D551" t="s">
        <v>72</v>
      </c>
      <c r="E551" t="s">
        <v>94</v>
      </c>
      <c r="F551" t="s">
        <v>337</v>
      </c>
      <c r="G551" t="s">
        <v>89</v>
      </c>
      <c r="H551" t="s">
        <v>98</v>
      </c>
      <c r="I551">
        <v>6</v>
      </c>
      <c r="J551" s="6">
        <v>16500</v>
      </c>
      <c r="K551" s="6">
        <v>10000</v>
      </c>
      <c r="L551" s="5">
        <v>0</v>
      </c>
      <c r="M551" t="s">
        <v>57</v>
      </c>
      <c r="N551" t="s">
        <v>63</v>
      </c>
      <c r="O551">
        <f t="shared" si="64"/>
        <v>7</v>
      </c>
      <c r="P551">
        <f t="shared" si="65"/>
        <v>3</v>
      </c>
      <c r="Q551" s="6">
        <f t="shared" si="66"/>
        <v>99000</v>
      </c>
      <c r="R551" s="6">
        <f t="shared" si="67"/>
        <v>0</v>
      </c>
      <c r="S551" s="6">
        <f t="shared" si="68"/>
        <v>99000</v>
      </c>
      <c r="T551" s="6">
        <f t="shared" si="69"/>
        <v>60000</v>
      </c>
      <c r="U551" s="6">
        <f t="shared" si="70"/>
        <v>39000</v>
      </c>
      <c r="V551" s="5">
        <f t="shared" si="71"/>
        <v>0.39393939393939392</v>
      </c>
    </row>
    <row r="552" spans="1:22">
      <c r="A552" t="s">
        <v>884</v>
      </c>
      <c r="B552" s="4">
        <v>45666</v>
      </c>
      <c r="C552" t="s">
        <v>92</v>
      </c>
      <c r="D552" t="s">
        <v>61</v>
      </c>
      <c r="E552" t="s">
        <v>73</v>
      </c>
      <c r="F552" t="s">
        <v>770</v>
      </c>
      <c r="G552" t="s">
        <v>55</v>
      </c>
      <c r="H552" t="s">
        <v>86</v>
      </c>
      <c r="I552">
        <v>6</v>
      </c>
      <c r="J552" s="6">
        <v>92000</v>
      </c>
      <c r="K552" s="6">
        <v>60000</v>
      </c>
      <c r="L552" s="5">
        <v>0</v>
      </c>
      <c r="M552" t="s">
        <v>57</v>
      </c>
      <c r="N552" t="s">
        <v>70</v>
      </c>
      <c r="O552">
        <f t="shared" si="64"/>
        <v>1</v>
      </c>
      <c r="P552">
        <f t="shared" si="65"/>
        <v>1</v>
      </c>
      <c r="Q552" s="6">
        <f t="shared" si="66"/>
        <v>552000</v>
      </c>
      <c r="R552" s="6">
        <f t="shared" si="67"/>
        <v>0</v>
      </c>
      <c r="S552" s="6">
        <f t="shared" si="68"/>
        <v>552000</v>
      </c>
      <c r="T552" s="6">
        <f t="shared" si="69"/>
        <v>360000</v>
      </c>
      <c r="U552" s="6">
        <f t="shared" si="70"/>
        <v>192000</v>
      </c>
      <c r="V552" s="5">
        <f t="shared" si="71"/>
        <v>0.34782608695652173</v>
      </c>
    </row>
    <row r="553" spans="1:22">
      <c r="A553" t="s">
        <v>885</v>
      </c>
      <c r="B553" s="4">
        <v>45722</v>
      </c>
      <c r="C553" t="s">
        <v>111</v>
      </c>
      <c r="D553" t="s">
        <v>61</v>
      </c>
      <c r="E553" t="s">
        <v>66</v>
      </c>
      <c r="F553" t="s">
        <v>252</v>
      </c>
      <c r="G553" t="s">
        <v>55</v>
      </c>
      <c r="H553" t="s">
        <v>86</v>
      </c>
      <c r="I553">
        <v>6</v>
      </c>
      <c r="J553" s="6">
        <v>92000</v>
      </c>
      <c r="K553" s="6">
        <v>60000</v>
      </c>
      <c r="L553" s="5">
        <v>0.12</v>
      </c>
      <c r="M553" t="s">
        <v>57</v>
      </c>
      <c r="N553" t="s">
        <v>75</v>
      </c>
      <c r="O553">
        <f t="shared" si="64"/>
        <v>3</v>
      </c>
      <c r="P553">
        <f t="shared" si="65"/>
        <v>1</v>
      </c>
      <c r="Q553" s="6">
        <f t="shared" si="66"/>
        <v>552000</v>
      </c>
      <c r="R553" s="6">
        <f t="shared" si="67"/>
        <v>66240</v>
      </c>
      <c r="S553" s="6">
        <f t="shared" si="68"/>
        <v>485760</v>
      </c>
      <c r="T553" s="6">
        <f t="shared" si="69"/>
        <v>360000</v>
      </c>
      <c r="U553" s="6">
        <f t="shared" si="70"/>
        <v>125760</v>
      </c>
      <c r="V553" s="5">
        <f t="shared" si="71"/>
        <v>0.25889328063241107</v>
      </c>
    </row>
    <row r="554" spans="1:22">
      <c r="A554" t="s">
        <v>886</v>
      </c>
      <c r="B554" s="4">
        <v>45674</v>
      </c>
      <c r="C554" t="s">
        <v>83</v>
      </c>
      <c r="D554" t="s">
        <v>65</v>
      </c>
      <c r="E554" t="s">
        <v>53</v>
      </c>
      <c r="F554" t="s">
        <v>887</v>
      </c>
      <c r="G554" t="s">
        <v>89</v>
      </c>
      <c r="H554" t="s">
        <v>98</v>
      </c>
      <c r="I554">
        <v>8</v>
      </c>
      <c r="J554" s="6">
        <v>16500</v>
      </c>
      <c r="K554" s="6">
        <v>10000</v>
      </c>
      <c r="L554" s="5">
        <v>0.03</v>
      </c>
      <c r="M554" t="s">
        <v>80</v>
      </c>
      <c r="N554" t="s">
        <v>58</v>
      </c>
      <c r="O554">
        <f t="shared" si="64"/>
        <v>1</v>
      </c>
      <c r="P554">
        <f t="shared" si="65"/>
        <v>1</v>
      </c>
      <c r="Q554" s="6">
        <f t="shared" si="66"/>
        <v>132000</v>
      </c>
      <c r="R554" s="6">
        <f t="shared" si="67"/>
        <v>3960</v>
      </c>
      <c r="S554" s="6">
        <f t="shared" si="68"/>
        <v>0</v>
      </c>
      <c r="T554" s="6">
        <f t="shared" si="69"/>
        <v>0</v>
      </c>
      <c r="U554" s="6">
        <f t="shared" si="70"/>
        <v>0</v>
      </c>
      <c r="V554" s="5">
        <f t="shared" si="71"/>
        <v>0</v>
      </c>
    </row>
    <row r="555" spans="1:22">
      <c r="A555" t="s">
        <v>888</v>
      </c>
      <c r="B555" s="4">
        <v>45752</v>
      </c>
      <c r="C555" t="s">
        <v>102</v>
      </c>
      <c r="D555" t="s">
        <v>61</v>
      </c>
      <c r="E555" t="s">
        <v>66</v>
      </c>
      <c r="F555" t="s">
        <v>669</v>
      </c>
      <c r="G555" t="s">
        <v>68</v>
      </c>
      <c r="H555" t="s">
        <v>104</v>
      </c>
      <c r="I555">
        <v>3</v>
      </c>
      <c r="J555" s="6">
        <v>320000</v>
      </c>
      <c r="K555" s="6">
        <v>244000</v>
      </c>
      <c r="L555" s="5">
        <v>0.03</v>
      </c>
      <c r="M555" t="s">
        <v>57</v>
      </c>
      <c r="N555" t="s">
        <v>63</v>
      </c>
      <c r="O555">
        <f t="shared" si="64"/>
        <v>4</v>
      </c>
      <c r="P555">
        <f t="shared" si="65"/>
        <v>2</v>
      </c>
      <c r="Q555" s="6">
        <f t="shared" si="66"/>
        <v>960000</v>
      </c>
      <c r="R555" s="6">
        <f t="shared" si="67"/>
        <v>28800</v>
      </c>
      <c r="S555" s="6">
        <f t="shared" si="68"/>
        <v>931200</v>
      </c>
      <c r="T555" s="6">
        <f t="shared" si="69"/>
        <v>732000</v>
      </c>
      <c r="U555" s="6">
        <f t="shared" si="70"/>
        <v>199200</v>
      </c>
      <c r="V555" s="5">
        <f t="shared" si="71"/>
        <v>0.21391752577319587</v>
      </c>
    </row>
    <row r="556" spans="1:22">
      <c r="A556" t="s">
        <v>889</v>
      </c>
      <c r="B556" s="4">
        <v>45722</v>
      </c>
      <c r="C556" t="s">
        <v>111</v>
      </c>
      <c r="D556" t="s">
        <v>61</v>
      </c>
      <c r="E556" t="s">
        <v>94</v>
      </c>
      <c r="F556" t="s">
        <v>317</v>
      </c>
      <c r="G556" t="s">
        <v>68</v>
      </c>
      <c r="H556" t="s">
        <v>108</v>
      </c>
      <c r="I556">
        <v>8</v>
      </c>
      <c r="J556" s="6">
        <v>175000</v>
      </c>
      <c r="K556" s="6">
        <v>129000</v>
      </c>
      <c r="L556" s="5">
        <v>0</v>
      </c>
      <c r="M556" t="s">
        <v>57</v>
      </c>
      <c r="N556" t="s">
        <v>75</v>
      </c>
      <c r="O556">
        <f t="shared" si="64"/>
        <v>3</v>
      </c>
      <c r="P556">
        <f t="shared" si="65"/>
        <v>1</v>
      </c>
      <c r="Q556" s="6">
        <f t="shared" si="66"/>
        <v>1400000</v>
      </c>
      <c r="R556" s="6">
        <f t="shared" si="67"/>
        <v>0</v>
      </c>
      <c r="S556" s="6">
        <f t="shared" si="68"/>
        <v>1400000</v>
      </c>
      <c r="T556" s="6">
        <f t="shared" si="69"/>
        <v>1032000</v>
      </c>
      <c r="U556" s="6">
        <f t="shared" si="70"/>
        <v>368000</v>
      </c>
      <c r="V556" s="5">
        <f t="shared" si="71"/>
        <v>0.26285714285714284</v>
      </c>
    </row>
    <row r="557" spans="1:22">
      <c r="A557" t="s">
        <v>890</v>
      </c>
      <c r="B557" s="4">
        <v>45833</v>
      </c>
      <c r="C557" t="s">
        <v>83</v>
      </c>
      <c r="D557" t="s">
        <v>61</v>
      </c>
      <c r="E557" t="s">
        <v>66</v>
      </c>
      <c r="F557" t="s">
        <v>568</v>
      </c>
      <c r="G557" t="s">
        <v>68</v>
      </c>
      <c r="H557" t="s">
        <v>108</v>
      </c>
      <c r="I557">
        <v>2</v>
      </c>
      <c r="J557" s="6">
        <v>175000</v>
      </c>
      <c r="K557" s="6">
        <v>129000</v>
      </c>
      <c r="L557" s="5">
        <v>0.12</v>
      </c>
      <c r="M557" t="s">
        <v>57</v>
      </c>
      <c r="N557" t="s">
        <v>75</v>
      </c>
      <c r="O557">
        <f t="shared" si="64"/>
        <v>6</v>
      </c>
      <c r="P557">
        <f t="shared" si="65"/>
        <v>2</v>
      </c>
      <c r="Q557" s="6">
        <f t="shared" si="66"/>
        <v>350000</v>
      </c>
      <c r="R557" s="6">
        <f t="shared" si="67"/>
        <v>42000</v>
      </c>
      <c r="S557" s="6">
        <f t="shared" si="68"/>
        <v>308000</v>
      </c>
      <c r="T557" s="6">
        <f t="shared" si="69"/>
        <v>258000</v>
      </c>
      <c r="U557" s="6">
        <f t="shared" si="70"/>
        <v>50000</v>
      </c>
      <c r="V557" s="5">
        <f t="shared" si="71"/>
        <v>0.16233766233766234</v>
      </c>
    </row>
    <row r="558" spans="1:22">
      <c r="A558" t="s">
        <v>891</v>
      </c>
      <c r="B558" s="4">
        <v>45932</v>
      </c>
      <c r="C558" t="s">
        <v>120</v>
      </c>
      <c r="D558" t="s">
        <v>52</v>
      </c>
      <c r="E558" t="s">
        <v>84</v>
      </c>
      <c r="F558" t="s">
        <v>371</v>
      </c>
      <c r="G558" t="s">
        <v>55</v>
      </c>
      <c r="H558" t="s">
        <v>115</v>
      </c>
      <c r="I558">
        <v>6</v>
      </c>
      <c r="J558" s="6">
        <v>105000</v>
      </c>
      <c r="K558" s="6">
        <v>76000</v>
      </c>
      <c r="L558" s="5">
        <v>0</v>
      </c>
      <c r="M558" t="s">
        <v>57</v>
      </c>
      <c r="N558" t="s">
        <v>70</v>
      </c>
      <c r="O558">
        <f t="shared" si="64"/>
        <v>10</v>
      </c>
      <c r="P558">
        <f t="shared" si="65"/>
        <v>4</v>
      </c>
      <c r="Q558" s="6">
        <f t="shared" si="66"/>
        <v>630000</v>
      </c>
      <c r="R558" s="6">
        <f t="shared" si="67"/>
        <v>0</v>
      </c>
      <c r="S558" s="6">
        <f t="shared" si="68"/>
        <v>630000</v>
      </c>
      <c r="T558" s="6">
        <f t="shared" si="69"/>
        <v>456000</v>
      </c>
      <c r="U558" s="6">
        <f t="shared" si="70"/>
        <v>174000</v>
      </c>
      <c r="V558" s="5">
        <f t="shared" si="71"/>
        <v>0.27619047619047621</v>
      </c>
    </row>
    <row r="559" spans="1:22">
      <c r="A559" t="s">
        <v>892</v>
      </c>
      <c r="B559" s="4">
        <v>45955</v>
      </c>
      <c r="C559" t="s">
        <v>102</v>
      </c>
      <c r="D559" t="s">
        <v>61</v>
      </c>
      <c r="E559" t="s">
        <v>73</v>
      </c>
      <c r="F559" t="s">
        <v>405</v>
      </c>
      <c r="G559" t="s">
        <v>55</v>
      </c>
      <c r="H559" t="s">
        <v>115</v>
      </c>
      <c r="I559">
        <v>6</v>
      </c>
      <c r="J559" s="6">
        <v>105000</v>
      </c>
      <c r="K559" s="6">
        <v>76000</v>
      </c>
      <c r="L559" s="5">
        <v>0.12</v>
      </c>
      <c r="M559" t="s">
        <v>57</v>
      </c>
      <c r="N559" t="s">
        <v>81</v>
      </c>
      <c r="O559">
        <f t="shared" si="64"/>
        <v>10</v>
      </c>
      <c r="P559">
        <f t="shared" si="65"/>
        <v>4</v>
      </c>
      <c r="Q559" s="6">
        <f t="shared" si="66"/>
        <v>630000</v>
      </c>
      <c r="R559" s="6">
        <f t="shared" si="67"/>
        <v>75600</v>
      </c>
      <c r="S559" s="6">
        <f t="shared" si="68"/>
        <v>554400</v>
      </c>
      <c r="T559" s="6">
        <f t="shared" si="69"/>
        <v>456000</v>
      </c>
      <c r="U559" s="6">
        <f t="shared" si="70"/>
        <v>98400</v>
      </c>
      <c r="V559" s="5">
        <f t="shared" si="71"/>
        <v>0.1774891774891775</v>
      </c>
    </row>
    <row r="560" spans="1:22">
      <c r="A560" t="s">
        <v>893</v>
      </c>
      <c r="B560" s="4">
        <v>45951</v>
      </c>
      <c r="C560" t="s">
        <v>102</v>
      </c>
      <c r="D560" t="s">
        <v>106</v>
      </c>
      <c r="E560" t="s">
        <v>84</v>
      </c>
      <c r="F560" t="s">
        <v>325</v>
      </c>
      <c r="G560" t="s">
        <v>55</v>
      </c>
      <c r="H560" t="s">
        <v>86</v>
      </c>
      <c r="I560">
        <v>8</v>
      </c>
      <c r="J560" s="6">
        <v>92000</v>
      </c>
      <c r="K560" s="6">
        <v>60000</v>
      </c>
      <c r="L560" s="5">
        <v>0.08</v>
      </c>
      <c r="M560" t="s">
        <v>57</v>
      </c>
      <c r="N560" t="s">
        <v>58</v>
      </c>
      <c r="O560">
        <f t="shared" si="64"/>
        <v>10</v>
      </c>
      <c r="P560">
        <f t="shared" si="65"/>
        <v>4</v>
      </c>
      <c r="Q560" s="6">
        <f t="shared" si="66"/>
        <v>736000</v>
      </c>
      <c r="R560" s="6">
        <f t="shared" si="67"/>
        <v>58880</v>
      </c>
      <c r="S560" s="6">
        <f t="shared" si="68"/>
        <v>677120</v>
      </c>
      <c r="T560" s="6">
        <f t="shared" si="69"/>
        <v>480000</v>
      </c>
      <c r="U560" s="6">
        <f t="shared" si="70"/>
        <v>197120</v>
      </c>
      <c r="V560" s="5">
        <f t="shared" si="71"/>
        <v>0.29111531190926276</v>
      </c>
    </row>
    <row r="561" spans="1:22">
      <c r="A561" t="s">
        <v>894</v>
      </c>
      <c r="B561" s="4">
        <v>45811</v>
      </c>
      <c r="C561" t="s">
        <v>92</v>
      </c>
      <c r="D561" t="s">
        <v>61</v>
      </c>
      <c r="E561" t="s">
        <v>73</v>
      </c>
      <c r="F561" t="s">
        <v>684</v>
      </c>
      <c r="G561" t="s">
        <v>55</v>
      </c>
      <c r="H561" t="s">
        <v>115</v>
      </c>
      <c r="I561">
        <v>1</v>
      </c>
      <c r="J561" s="6">
        <v>105000</v>
      </c>
      <c r="K561" s="6">
        <v>76000</v>
      </c>
      <c r="L561" s="5">
        <v>0.12</v>
      </c>
      <c r="M561" t="s">
        <v>80</v>
      </c>
      <c r="N561" t="s">
        <v>58</v>
      </c>
      <c r="O561">
        <f t="shared" si="64"/>
        <v>6</v>
      </c>
      <c r="P561">
        <f t="shared" si="65"/>
        <v>2</v>
      </c>
      <c r="Q561" s="6">
        <f t="shared" si="66"/>
        <v>105000</v>
      </c>
      <c r="R561" s="6">
        <f t="shared" si="67"/>
        <v>12600</v>
      </c>
      <c r="S561" s="6">
        <f t="shared" si="68"/>
        <v>0</v>
      </c>
      <c r="T561" s="6">
        <f t="shared" si="69"/>
        <v>0</v>
      </c>
      <c r="U561" s="6">
        <f t="shared" si="70"/>
        <v>0</v>
      </c>
      <c r="V561" s="5">
        <f t="shared" si="71"/>
        <v>0</v>
      </c>
    </row>
    <row r="562" spans="1:22">
      <c r="A562" t="s">
        <v>895</v>
      </c>
      <c r="B562" s="4">
        <v>45764</v>
      </c>
      <c r="C562" t="s">
        <v>51</v>
      </c>
      <c r="D562" t="s">
        <v>72</v>
      </c>
      <c r="E562" t="s">
        <v>94</v>
      </c>
      <c r="F562" t="s">
        <v>689</v>
      </c>
      <c r="G562" t="s">
        <v>68</v>
      </c>
      <c r="H562" t="s">
        <v>79</v>
      </c>
      <c r="I562">
        <v>6</v>
      </c>
      <c r="J562" s="6">
        <v>19000</v>
      </c>
      <c r="K562" s="6">
        <v>11500</v>
      </c>
      <c r="L562" s="5">
        <v>0.05</v>
      </c>
      <c r="M562" t="s">
        <v>57</v>
      </c>
      <c r="N562" t="s">
        <v>63</v>
      </c>
      <c r="O562">
        <f t="shared" si="64"/>
        <v>4</v>
      </c>
      <c r="P562">
        <f t="shared" si="65"/>
        <v>2</v>
      </c>
      <c r="Q562" s="6">
        <f t="shared" si="66"/>
        <v>114000</v>
      </c>
      <c r="R562" s="6">
        <f t="shared" si="67"/>
        <v>5700</v>
      </c>
      <c r="S562" s="6">
        <f t="shared" si="68"/>
        <v>108300</v>
      </c>
      <c r="T562" s="6">
        <f t="shared" si="69"/>
        <v>69000</v>
      </c>
      <c r="U562" s="6">
        <f t="shared" si="70"/>
        <v>39300</v>
      </c>
      <c r="V562" s="5">
        <f t="shared" si="71"/>
        <v>0.36288088642659277</v>
      </c>
    </row>
    <row r="563" spans="1:22">
      <c r="A563" t="s">
        <v>896</v>
      </c>
      <c r="B563" s="4">
        <v>45988</v>
      </c>
      <c r="C563" t="s">
        <v>102</v>
      </c>
      <c r="D563" t="s">
        <v>65</v>
      </c>
      <c r="E563" t="s">
        <v>73</v>
      </c>
      <c r="F563" t="s">
        <v>78</v>
      </c>
      <c r="G563" t="s">
        <v>68</v>
      </c>
      <c r="H563" t="s">
        <v>69</v>
      </c>
      <c r="I563">
        <v>8</v>
      </c>
      <c r="J563" s="6">
        <v>115000</v>
      </c>
      <c r="K563" s="6">
        <v>82000</v>
      </c>
      <c r="L563" s="5">
        <v>0.08</v>
      </c>
      <c r="M563" t="s">
        <v>109</v>
      </c>
      <c r="N563" t="s">
        <v>63</v>
      </c>
      <c r="O563">
        <f t="shared" si="64"/>
        <v>11</v>
      </c>
      <c r="P563">
        <f t="shared" si="65"/>
        <v>4</v>
      </c>
      <c r="Q563" s="6">
        <f t="shared" si="66"/>
        <v>920000</v>
      </c>
      <c r="R563" s="6">
        <f t="shared" si="67"/>
        <v>73600</v>
      </c>
      <c r="S563" s="6">
        <f t="shared" si="68"/>
        <v>0</v>
      </c>
      <c r="T563" s="6">
        <f t="shared" si="69"/>
        <v>0</v>
      </c>
      <c r="U563" s="6">
        <f t="shared" si="70"/>
        <v>0</v>
      </c>
      <c r="V563" s="5">
        <f t="shared" si="71"/>
        <v>0</v>
      </c>
    </row>
    <row r="564" spans="1:22">
      <c r="A564" t="s">
        <v>897</v>
      </c>
      <c r="B564" s="4">
        <v>46004</v>
      </c>
      <c r="C564" t="s">
        <v>120</v>
      </c>
      <c r="D564" t="s">
        <v>65</v>
      </c>
      <c r="E564" t="s">
        <v>73</v>
      </c>
      <c r="F564" t="s">
        <v>346</v>
      </c>
      <c r="G564" t="s">
        <v>55</v>
      </c>
      <c r="H564" t="s">
        <v>56</v>
      </c>
      <c r="I564">
        <v>3</v>
      </c>
      <c r="J564" s="6">
        <v>138000</v>
      </c>
      <c r="K564" s="6">
        <v>99000</v>
      </c>
      <c r="L564" s="5">
        <v>0.12</v>
      </c>
      <c r="M564" t="s">
        <v>57</v>
      </c>
      <c r="N564" t="s">
        <v>81</v>
      </c>
      <c r="O564">
        <f t="shared" si="64"/>
        <v>12</v>
      </c>
      <c r="P564">
        <f t="shared" si="65"/>
        <v>4</v>
      </c>
      <c r="Q564" s="6">
        <f t="shared" si="66"/>
        <v>414000</v>
      </c>
      <c r="R564" s="6">
        <f t="shared" si="67"/>
        <v>49680</v>
      </c>
      <c r="S564" s="6">
        <f t="shared" si="68"/>
        <v>364320</v>
      </c>
      <c r="T564" s="6">
        <f t="shared" si="69"/>
        <v>297000</v>
      </c>
      <c r="U564" s="6">
        <f t="shared" si="70"/>
        <v>67320</v>
      </c>
      <c r="V564" s="5">
        <f t="shared" si="71"/>
        <v>0.18478260869565216</v>
      </c>
    </row>
    <row r="565" spans="1:22">
      <c r="A565" t="s">
        <v>898</v>
      </c>
      <c r="B565" s="4">
        <v>45786</v>
      </c>
      <c r="C565" t="s">
        <v>120</v>
      </c>
      <c r="D565" t="s">
        <v>72</v>
      </c>
      <c r="E565" t="s">
        <v>53</v>
      </c>
      <c r="F565" t="s">
        <v>899</v>
      </c>
      <c r="G565" t="s">
        <v>68</v>
      </c>
      <c r="H565" t="s">
        <v>79</v>
      </c>
      <c r="I565">
        <v>4</v>
      </c>
      <c r="J565" s="6">
        <v>19000</v>
      </c>
      <c r="K565" s="6">
        <v>11500</v>
      </c>
      <c r="L565" s="5">
        <v>0.03</v>
      </c>
      <c r="M565" t="s">
        <v>57</v>
      </c>
      <c r="N565" t="s">
        <v>70</v>
      </c>
      <c r="O565">
        <f t="shared" si="64"/>
        <v>5</v>
      </c>
      <c r="P565">
        <f t="shared" si="65"/>
        <v>2</v>
      </c>
      <c r="Q565" s="6">
        <f t="shared" si="66"/>
        <v>76000</v>
      </c>
      <c r="R565" s="6">
        <f t="shared" si="67"/>
        <v>2280</v>
      </c>
      <c r="S565" s="6">
        <f t="shared" si="68"/>
        <v>73720</v>
      </c>
      <c r="T565" s="6">
        <f t="shared" si="69"/>
        <v>46000</v>
      </c>
      <c r="U565" s="6">
        <f t="shared" si="70"/>
        <v>27720</v>
      </c>
      <c r="V565" s="5">
        <f t="shared" si="71"/>
        <v>0.37601736299511668</v>
      </c>
    </row>
    <row r="566" spans="1:22">
      <c r="A566" t="s">
        <v>900</v>
      </c>
      <c r="B566" s="4">
        <v>45917</v>
      </c>
      <c r="C566" t="s">
        <v>120</v>
      </c>
      <c r="D566" t="s">
        <v>61</v>
      </c>
      <c r="E566" t="s">
        <v>94</v>
      </c>
      <c r="F566" t="s">
        <v>389</v>
      </c>
      <c r="G566" t="s">
        <v>68</v>
      </c>
      <c r="H566" t="s">
        <v>69</v>
      </c>
      <c r="I566">
        <v>7</v>
      </c>
      <c r="J566" s="6">
        <v>115000</v>
      </c>
      <c r="K566" s="6">
        <v>82000</v>
      </c>
      <c r="L566" s="5">
        <v>0.05</v>
      </c>
      <c r="M566" t="s">
        <v>80</v>
      </c>
      <c r="N566" t="s">
        <v>70</v>
      </c>
      <c r="O566">
        <f t="shared" si="64"/>
        <v>9</v>
      </c>
      <c r="P566">
        <f t="shared" si="65"/>
        <v>3</v>
      </c>
      <c r="Q566" s="6">
        <f t="shared" si="66"/>
        <v>805000</v>
      </c>
      <c r="R566" s="6">
        <f t="shared" si="67"/>
        <v>40250</v>
      </c>
      <c r="S566" s="6">
        <f t="shared" si="68"/>
        <v>0</v>
      </c>
      <c r="T566" s="6">
        <f t="shared" si="69"/>
        <v>0</v>
      </c>
      <c r="U566" s="6">
        <f t="shared" si="70"/>
        <v>0</v>
      </c>
      <c r="V566" s="5">
        <f t="shared" si="71"/>
        <v>0</v>
      </c>
    </row>
    <row r="567" spans="1:22">
      <c r="A567" t="s">
        <v>901</v>
      </c>
      <c r="B567" s="4">
        <v>45996</v>
      </c>
      <c r="C567" t="s">
        <v>60</v>
      </c>
      <c r="D567" t="s">
        <v>61</v>
      </c>
      <c r="E567" t="s">
        <v>66</v>
      </c>
      <c r="F567" t="s">
        <v>127</v>
      </c>
      <c r="G567" t="s">
        <v>68</v>
      </c>
      <c r="H567" t="s">
        <v>108</v>
      </c>
      <c r="I567">
        <v>3</v>
      </c>
      <c r="J567" s="6">
        <v>175000</v>
      </c>
      <c r="K567" s="6">
        <v>129000</v>
      </c>
      <c r="L567" s="5">
        <v>0</v>
      </c>
      <c r="M567" t="s">
        <v>57</v>
      </c>
      <c r="N567" t="s">
        <v>75</v>
      </c>
      <c r="O567">
        <f t="shared" si="64"/>
        <v>12</v>
      </c>
      <c r="P567">
        <f t="shared" si="65"/>
        <v>4</v>
      </c>
      <c r="Q567" s="6">
        <f t="shared" si="66"/>
        <v>525000</v>
      </c>
      <c r="R567" s="6">
        <f t="shared" si="67"/>
        <v>0</v>
      </c>
      <c r="S567" s="6">
        <f t="shared" si="68"/>
        <v>525000</v>
      </c>
      <c r="T567" s="6">
        <f t="shared" si="69"/>
        <v>387000</v>
      </c>
      <c r="U567" s="6">
        <f t="shared" si="70"/>
        <v>138000</v>
      </c>
      <c r="V567" s="5">
        <f t="shared" si="71"/>
        <v>0.26285714285714284</v>
      </c>
    </row>
    <row r="568" spans="1:22">
      <c r="A568" t="s">
        <v>902</v>
      </c>
      <c r="B568" s="4">
        <v>45754</v>
      </c>
      <c r="C568" t="s">
        <v>111</v>
      </c>
      <c r="D568" t="s">
        <v>93</v>
      </c>
      <c r="E568" t="s">
        <v>84</v>
      </c>
      <c r="F568" t="s">
        <v>903</v>
      </c>
      <c r="G568" t="s">
        <v>89</v>
      </c>
      <c r="H568" t="s">
        <v>98</v>
      </c>
      <c r="I568">
        <v>8</v>
      </c>
      <c r="J568" s="6">
        <v>16500</v>
      </c>
      <c r="K568" s="6">
        <v>10000</v>
      </c>
      <c r="L568" s="5">
        <v>0.1</v>
      </c>
      <c r="M568" t="s">
        <v>57</v>
      </c>
      <c r="N568" t="s">
        <v>63</v>
      </c>
      <c r="O568">
        <f t="shared" si="64"/>
        <v>4</v>
      </c>
      <c r="P568">
        <f t="shared" si="65"/>
        <v>2</v>
      </c>
      <c r="Q568" s="6">
        <f t="shared" si="66"/>
        <v>132000</v>
      </c>
      <c r="R568" s="6">
        <f t="shared" si="67"/>
        <v>13200</v>
      </c>
      <c r="S568" s="6">
        <f t="shared" si="68"/>
        <v>118800</v>
      </c>
      <c r="T568" s="6">
        <f t="shared" si="69"/>
        <v>80000</v>
      </c>
      <c r="U568" s="6">
        <f t="shared" si="70"/>
        <v>38800</v>
      </c>
      <c r="V568" s="5">
        <f t="shared" si="71"/>
        <v>0.32659932659932661</v>
      </c>
    </row>
    <row r="569" spans="1:22">
      <c r="A569" t="s">
        <v>904</v>
      </c>
      <c r="B569" s="4">
        <v>45859</v>
      </c>
      <c r="C569" t="s">
        <v>92</v>
      </c>
      <c r="D569" t="s">
        <v>61</v>
      </c>
      <c r="E569" t="s">
        <v>66</v>
      </c>
      <c r="F569" t="s">
        <v>623</v>
      </c>
      <c r="G569" t="s">
        <v>89</v>
      </c>
      <c r="H569" t="s">
        <v>95</v>
      </c>
      <c r="I569">
        <v>7</v>
      </c>
      <c r="J569" s="6">
        <v>32000</v>
      </c>
      <c r="K569" s="6">
        <v>21000</v>
      </c>
      <c r="L569" s="5">
        <v>0.05</v>
      </c>
      <c r="M569" t="s">
        <v>57</v>
      </c>
      <c r="N569" t="s">
        <v>75</v>
      </c>
      <c r="O569">
        <f t="shared" si="64"/>
        <v>7</v>
      </c>
      <c r="P569">
        <f t="shared" si="65"/>
        <v>3</v>
      </c>
      <c r="Q569" s="6">
        <f t="shared" si="66"/>
        <v>224000</v>
      </c>
      <c r="R569" s="6">
        <f t="shared" si="67"/>
        <v>11200</v>
      </c>
      <c r="S569" s="6">
        <f t="shared" si="68"/>
        <v>212800</v>
      </c>
      <c r="T569" s="6">
        <f t="shared" si="69"/>
        <v>147000</v>
      </c>
      <c r="U569" s="6">
        <f t="shared" si="70"/>
        <v>65800</v>
      </c>
      <c r="V569" s="5">
        <f t="shared" si="71"/>
        <v>0.30921052631578949</v>
      </c>
    </row>
    <row r="570" spans="1:22">
      <c r="A570" t="s">
        <v>905</v>
      </c>
      <c r="B570" s="4">
        <v>45709</v>
      </c>
      <c r="C570" t="s">
        <v>111</v>
      </c>
      <c r="D570" t="s">
        <v>61</v>
      </c>
      <c r="E570" t="s">
        <v>73</v>
      </c>
      <c r="F570" t="s">
        <v>155</v>
      </c>
      <c r="G570" t="s">
        <v>55</v>
      </c>
      <c r="H570" t="s">
        <v>115</v>
      </c>
      <c r="I570">
        <v>1</v>
      </c>
      <c r="J570" s="6">
        <v>105000</v>
      </c>
      <c r="K570" s="6">
        <v>76000</v>
      </c>
      <c r="L570" s="5">
        <v>0</v>
      </c>
      <c r="M570" t="s">
        <v>80</v>
      </c>
      <c r="N570" t="s">
        <v>75</v>
      </c>
      <c r="O570">
        <f t="shared" si="64"/>
        <v>2</v>
      </c>
      <c r="P570">
        <f t="shared" si="65"/>
        <v>1</v>
      </c>
      <c r="Q570" s="6">
        <f t="shared" si="66"/>
        <v>105000</v>
      </c>
      <c r="R570" s="6">
        <f t="shared" si="67"/>
        <v>0</v>
      </c>
      <c r="S570" s="6">
        <f t="shared" si="68"/>
        <v>0</v>
      </c>
      <c r="T570" s="6">
        <f t="shared" si="69"/>
        <v>0</v>
      </c>
      <c r="U570" s="6">
        <f t="shared" si="70"/>
        <v>0</v>
      </c>
      <c r="V570" s="5">
        <f t="shared" si="71"/>
        <v>0</v>
      </c>
    </row>
    <row r="571" spans="1:22">
      <c r="A571" t="s">
        <v>906</v>
      </c>
      <c r="B571" s="4">
        <v>45783</v>
      </c>
      <c r="C571" t="s">
        <v>51</v>
      </c>
      <c r="D571" t="s">
        <v>61</v>
      </c>
      <c r="E571" t="s">
        <v>73</v>
      </c>
      <c r="F571" t="s">
        <v>349</v>
      </c>
      <c r="G571" t="s">
        <v>68</v>
      </c>
      <c r="H571" t="s">
        <v>79</v>
      </c>
      <c r="I571">
        <v>6</v>
      </c>
      <c r="J571" s="6">
        <v>19000</v>
      </c>
      <c r="K571" s="6">
        <v>11500</v>
      </c>
      <c r="L571" s="5">
        <v>0</v>
      </c>
      <c r="M571" t="s">
        <v>80</v>
      </c>
      <c r="N571" t="s">
        <v>63</v>
      </c>
      <c r="O571">
        <f t="shared" si="64"/>
        <v>5</v>
      </c>
      <c r="P571">
        <f t="shared" si="65"/>
        <v>2</v>
      </c>
      <c r="Q571" s="6">
        <f t="shared" si="66"/>
        <v>114000</v>
      </c>
      <c r="R571" s="6">
        <f t="shared" si="67"/>
        <v>0</v>
      </c>
      <c r="S571" s="6">
        <f t="shared" si="68"/>
        <v>0</v>
      </c>
      <c r="T571" s="6">
        <f t="shared" si="69"/>
        <v>0</v>
      </c>
      <c r="U571" s="6">
        <f t="shared" si="70"/>
        <v>0</v>
      </c>
      <c r="V571" s="5">
        <f t="shared" si="71"/>
        <v>0</v>
      </c>
    </row>
    <row r="572" spans="1:22">
      <c r="A572" t="s">
        <v>907</v>
      </c>
      <c r="B572" s="4">
        <v>45900</v>
      </c>
      <c r="C572" t="s">
        <v>120</v>
      </c>
      <c r="D572" t="s">
        <v>93</v>
      </c>
      <c r="E572" t="s">
        <v>94</v>
      </c>
      <c r="F572" t="s">
        <v>418</v>
      </c>
      <c r="G572" t="s">
        <v>55</v>
      </c>
      <c r="H572" t="s">
        <v>115</v>
      </c>
      <c r="I572">
        <v>7</v>
      </c>
      <c r="J572" s="6">
        <v>105000</v>
      </c>
      <c r="K572" s="6">
        <v>76000</v>
      </c>
      <c r="L572" s="5">
        <v>0.03</v>
      </c>
      <c r="M572" t="s">
        <v>57</v>
      </c>
      <c r="N572" t="s">
        <v>63</v>
      </c>
      <c r="O572">
        <f t="shared" si="64"/>
        <v>8</v>
      </c>
      <c r="P572">
        <f t="shared" si="65"/>
        <v>3</v>
      </c>
      <c r="Q572" s="6">
        <f t="shared" si="66"/>
        <v>735000</v>
      </c>
      <c r="R572" s="6">
        <f t="shared" si="67"/>
        <v>22050</v>
      </c>
      <c r="S572" s="6">
        <f t="shared" si="68"/>
        <v>712950</v>
      </c>
      <c r="T572" s="6">
        <f t="shared" si="69"/>
        <v>532000</v>
      </c>
      <c r="U572" s="6">
        <f t="shared" si="70"/>
        <v>180950</v>
      </c>
      <c r="V572" s="5">
        <f t="shared" si="71"/>
        <v>0.25380461462935688</v>
      </c>
    </row>
    <row r="573" spans="1:22">
      <c r="A573" t="s">
        <v>908</v>
      </c>
      <c r="B573" s="4">
        <v>45681</v>
      </c>
      <c r="C573" t="s">
        <v>83</v>
      </c>
      <c r="D573" t="s">
        <v>61</v>
      </c>
      <c r="E573" t="s">
        <v>94</v>
      </c>
      <c r="F573" t="s">
        <v>416</v>
      </c>
      <c r="G573" t="s">
        <v>68</v>
      </c>
      <c r="H573" t="s">
        <v>108</v>
      </c>
      <c r="I573">
        <v>6</v>
      </c>
      <c r="J573" s="6">
        <v>175000</v>
      </c>
      <c r="K573" s="6">
        <v>129000</v>
      </c>
      <c r="L573" s="5">
        <v>0.05</v>
      </c>
      <c r="M573" t="s">
        <v>109</v>
      </c>
      <c r="N573" t="s">
        <v>81</v>
      </c>
      <c r="O573">
        <f t="shared" si="64"/>
        <v>1</v>
      </c>
      <c r="P573">
        <f t="shared" si="65"/>
        <v>1</v>
      </c>
      <c r="Q573" s="6">
        <f t="shared" si="66"/>
        <v>1050000</v>
      </c>
      <c r="R573" s="6">
        <f t="shared" si="67"/>
        <v>52500</v>
      </c>
      <c r="S573" s="6">
        <f t="shared" si="68"/>
        <v>0</v>
      </c>
      <c r="T573" s="6">
        <f t="shared" si="69"/>
        <v>0</v>
      </c>
      <c r="U573" s="6">
        <f t="shared" si="70"/>
        <v>0</v>
      </c>
      <c r="V573" s="5">
        <f t="shared" si="71"/>
        <v>0</v>
      </c>
    </row>
    <row r="574" spans="1:22">
      <c r="A574" t="s">
        <v>909</v>
      </c>
      <c r="B574" s="4">
        <v>45814</v>
      </c>
      <c r="C574" t="s">
        <v>92</v>
      </c>
      <c r="D574" t="s">
        <v>93</v>
      </c>
      <c r="E574" t="s">
        <v>53</v>
      </c>
      <c r="F574" t="s">
        <v>910</v>
      </c>
      <c r="G574" t="s">
        <v>89</v>
      </c>
      <c r="H574" t="s">
        <v>98</v>
      </c>
      <c r="I574">
        <v>7</v>
      </c>
      <c r="J574" s="6">
        <v>16500</v>
      </c>
      <c r="K574" s="6">
        <v>10000</v>
      </c>
      <c r="L574" s="5">
        <v>0.12</v>
      </c>
      <c r="M574" t="s">
        <v>57</v>
      </c>
      <c r="N574" t="s">
        <v>63</v>
      </c>
      <c r="O574">
        <f t="shared" si="64"/>
        <v>6</v>
      </c>
      <c r="P574">
        <f t="shared" si="65"/>
        <v>2</v>
      </c>
      <c r="Q574" s="6">
        <f t="shared" si="66"/>
        <v>115500</v>
      </c>
      <c r="R574" s="6">
        <f t="shared" si="67"/>
        <v>13860</v>
      </c>
      <c r="S574" s="6">
        <f t="shared" si="68"/>
        <v>101640</v>
      </c>
      <c r="T574" s="6">
        <f t="shared" si="69"/>
        <v>70000</v>
      </c>
      <c r="U574" s="6">
        <f t="shared" si="70"/>
        <v>31640</v>
      </c>
      <c r="V574" s="5">
        <f t="shared" si="71"/>
        <v>0.31129476584022037</v>
      </c>
    </row>
    <row r="575" spans="1:22">
      <c r="A575" t="s">
        <v>911</v>
      </c>
      <c r="B575" s="4">
        <v>45897</v>
      </c>
      <c r="C575" t="s">
        <v>60</v>
      </c>
      <c r="D575" t="s">
        <v>61</v>
      </c>
      <c r="E575" t="s">
        <v>84</v>
      </c>
      <c r="F575" t="s">
        <v>400</v>
      </c>
      <c r="G575" t="s">
        <v>68</v>
      </c>
      <c r="H575" t="s">
        <v>104</v>
      </c>
      <c r="I575">
        <v>6</v>
      </c>
      <c r="J575" s="6">
        <v>320000</v>
      </c>
      <c r="K575" s="6">
        <v>244000</v>
      </c>
      <c r="L575" s="5">
        <v>0.1</v>
      </c>
      <c r="M575" t="s">
        <v>57</v>
      </c>
      <c r="N575" t="s">
        <v>75</v>
      </c>
      <c r="O575">
        <f t="shared" si="64"/>
        <v>8</v>
      </c>
      <c r="P575">
        <f t="shared" si="65"/>
        <v>3</v>
      </c>
      <c r="Q575" s="6">
        <f t="shared" si="66"/>
        <v>1920000</v>
      </c>
      <c r="R575" s="6">
        <f t="shared" si="67"/>
        <v>192000</v>
      </c>
      <c r="S575" s="6">
        <f t="shared" si="68"/>
        <v>1728000</v>
      </c>
      <c r="T575" s="6">
        <f t="shared" si="69"/>
        <v>1464000</v>
      </c>
      <c r="U575" s="6">
        <f t="shared" si="70"/>
        <v>264000</v>
      </c>
      <c r="V575" s="5">
        <f t="shared" si="71"/>
        <v>0.15277777777777779</v>
      </c>
    </row>
    <row r="576" spans="1:22">
      <c r="A576" t="s">
        <v>912</v>
      </c>
      <c r="B576" s="4">
        <v>45946</v>
      </c>
      <c r="C576" t="s">
        <v>77</v>
      </c>
      <c r="D576" t="s">
        <v>52</v>
      </c>
      <c r="E576" t="s">
        <v>66</v>
      </c>
      <c r="F576" t="s">
        <v>535</v>
      </c>
      <c r="G576" t="s">
        <v>68</v>
      </c>
      <c r="H576" t="s">
        <v>79</v>
      </c>
      <c r="I576">
        <v>4</v>
      </c>
      <c r="J576" s="6">
        <v>19000</v>
      </c>
      <c r="K576" s="6">
        <v>11500</v>
      </c>
      <c r="L576" s="5">
        <v>0.03</v>
      </c>
      <c r="M576" t="s">
        <v>57</v>
      </c>
      <c r="N576" t="s">
        <v>63</v>
      </c>
      <c r="O576">
        <f t="shared" si="64"/>
        <v>10</v>
      </c>
      <c r="P576">
        <f t="shared" si="65"/>
        <v>4</v>
      </c>
      <c r="Q576" s="6">
        <f t="shared" si="66"/>
        <v>76000</v>
      </c>
      <c r="R576" s="6">
        <f t="shared" si="67"/>
        <v>2280</v>
      </c>
      <c r="S576" s="6">
        <f t="shared" si="68"/>
        <v>73720</v>
      </c>
      <c r="T576" s="6">
        <f t="shared" si="69"/>
        <v>46000</v>
      </c>
      <c r="U576" s="6">
        <f t="shared" si="70"/>
        <v>27720</v>
      </c>
      <c r="V576" s="5">
        <f t="shared" si="71"/>
        <v>0.37601736299511668</v>
      </c>
    </row>
    <row r="577" spans="1:22">
      <c r="A577" t="s">
        <v>913</v>
      </c>
      <c r="B577" s="4">
        <v>45809</v>
      </c>
      <c r="C577" t="s">
        <v>92</v>
      </c>
      <c r="D577" t="s">
        <v>72</v>
      </c>
      <c r="E577" t="s">
        <v>73</v>
      </c>
      <c r="F577" t="s">
        <v>772</v>
      </c>
      <c r="G577" t="s">
        <v>55</v>
      </c>
      <c r="H577" t="s">
        <v>86</v>
      </c>
      <c r="I577">
        <v>3</v>
      </c>
      <c r="J577" s="6">
        <v>92000</v>
      </c>
      <c r="K577" s="6">
        <v>60000</v>
      </c>
      <c r="L577" s="5">
        <v>0</v>
      </c>
      <c r="M577" t="s">
        <v>57</v>
      </c>
      <c r="N577" t="s">
        <v>63</v>
      </c>
      <c r="O577">
        <f t="shared" si="64"/>
        <v>6</v>
      </c>
      <c r="P577">
        <f t="shared" si="65"/>
        <v>2</v>
      </c>
      <c r="Q577" s="6">
        <f t="shared" si="66"/>
        <v>276000</v>
      </c>
      <c r="R577" s="6">
        <f t="shared" si="67"/>
        <v>0</v>
      </c>
      <c r="S577" s="6">
        <f t="shared" si="68"/>
        <v>276000</v>
      </c>
      <c r="T577" s="6">
        <f t="shared" si="69"/>
        <v>180000</v>
      </c>
      <c r="U577" s="6">
        <f t="shared" si="70"/>
        <v>96000</v>
      </c>
      <c r="V577" s="5">
        <f t="shared" si="71"/>
        <v>0.34782608695652173</v>
      </c>
    </row>
    <row r="578" spans="1:22">
      <c r="A578" t="s">
        <v>914</v>
      </c>
      <c r="B578" s="4">
        <v>45882</v>
      </c>
      <c r="C578" t="s">
        <v>51</v>
      </c>
      <c r="D578" t="s">
        <v>72</v>
      </c>
      <c r="E578" t="s">
        <v>94</v>
      </c>
      <c r="F578" t="s">
        <v>790</v>
      </c>
      <c r="G578" t="s">
        <v>68</v>
      </c>
      <c r="H578" t="s">
        <v>108</v>
      </c>
      <c r="I578">
        <v>6</v>
      </c>
      <c r="J578" s="6">
        <v>175000</v>
      </c>
      <c r="K578" s="6">
        <v>129000</v>
      </c>
      <c r="L578" s="5">
        <v>0.1</v>
      </c>
      <c r="M578" t="s">
        <v>109</v>
      </c>
      <c r="N578" t="s">
        <v>63</v>
      </c>
      <c r="O578">
        <f t="shared" ref="O578:O601" si="72">MONTH(B578)</f>
        <v>8</v>
      </c>
      <c r="P578">
        <f t="shared" ref="P578:P641" si="73">ROUNDUP(O578/3,0)</f>
        <v>3</v>
      </c>
      <c r="Q578" s="6">
        <f t="shared" ref="Q578:Q601" si="74">I578*J578</f>
        <v>1050000</v>
      </c>
      <c r="R578" s="6">
        <f t="shared" ref="R578:R641" si="75">Q578*L578</f>
        <v>105000</v>
      </c>
      <c r="S578" s="6">
        <f t="shared" ref="S578:S641" si="76">IF(M578="Ganho",Q578-R578,0)</f>
        <v>0</v>
      </c>
      <c r="T578" s="6">
        <f t="shared" ref="T578:T601" si="77">IF(M578="Ganho",I578*K578,0)</f>
        <v>0</v>
      </c>
      <c r="U578" s="6">
        <f t="shared" ref="U578:U641" si="78">S578-T578</f>
        <v>0</v>
      </c>
      <c r="V578" s="5">
        <f t="shared" ref="V578:V641" si="79">IFERROR(U578/S578,0)</f>
        <v>0</v>
      </c>
    </row>
    <row r="579" spans="1:22">
      <c r="A579" t="s">
        <v>915</v>
      </c>
      <c r="B579" s="4">
        <v>45811</v>
      </c>
      <c r="C579" t="s">
        <v>60</v>
      </c>
      <c r="D579" t="s">
        <v>106</v>
      </c>
      <c r="E579" t="s">
        <v>73</v>
      </c>
      <c r="F579" t="s">
        <v>916</v>
      </c>
      <c r="G579" t="s">
        <v>55</v>
      </c>
      <c r="H579" t="s">
        <v>115</v>
      </c>
      <c r="I579">
        <v>2</v>
      </c>
      <c r="J579" s="6">
        <v>105000</v>
      </c>
      <c r="K579" s="6">
        <v>76000</v>
      </c>
      <c r="L579" s="5">
        <v>0.03</v>
      </c>
      <c r="M579" t="s">
        <v>57</v>
      </c>
      <c r="N579" t="s">
        <v>81</v>
      </c>
      <c r="O579">
        <f t="shared" si="72"/>
        <v>6</v>
      </c>
      <c r="P579">
        <f t="shared" si="73"/>
        <v>2</v>
      </c>
      <c r="Q579" s="6">
        <f t="shared" si="74"/>
        <v>210000</v>
      </c>
      <c r="R579" s="6">
        <f t="shared" si="75"/>
        <v>6300</v>
      </c>
      <c r="S579" s="6">
        <f t="shared" si="76"/>
        <v>203700</v>
      </c>
      <c r="T579" s="6">
        <f t="shared" si="77"/>
        <v>152000</v>
      </c>
      <c r="U579" s="6">
        <f t="shared" si="78"/>
        <v>51700</v>
      </c>
      <c r="V579" s="5">
        <f t="shared" si="79"/>
        <v>0.25380461462935688</v>
      </c>
    </row>
    <row r="580" spans="1:22">
      <c r="A580" t="s">
        <v>917</v>
      </c>
      <c r="B580" s="4">
        <v>45872</v>
      </c>
      <c r="C580" t="s">
        <v>92</v>
      </c>
      <c r="D580" t="s">
        <v>106</v>
      </c>
      <c r="E580" t="s">
        <v>94</v>
      </c>
      <c r="F580" t="s">
        <v>859</v>
      </c>
      <c r="G580" t="s">
        <v>68</v>
      </c>
      <c r="H580" t="s">
        <v>104</v>
      </c>
      <c r="I580">
        <v>4</v>
      </c>
      <c r="J580" s="6">
        <v>320000</v>
      </c>
      <c r="K580" s="6">
        <v>244000</v>
      </c>
      <c r="L580" s="5">
        <v>0.08</v>
      </c>
      <c r="M580" t="s">
        <v>57</v>
      </c>
      <c r="N580" t="s">
        <v>81</v>
      </c>
      <c r="O580">
        <f t="shared" si="72"/>
        <v>8</v>
      </c>
      <c r="P580">
        <f t="shared" si="73"/>
        <v>3</v>
      </c>
      <c r="Q580" s="6">
        <f t="shared" si="74"/>
        <v>1280000</v>
      </c>
      <c r="R580" s="6">
        <f t="shared" si="75"/>
        <v>102400</v>
      </c>
      <c r="S580" s="6">
        <f t="shared" si="76"/>
        <v>1177600</v>
      </c>
      <c r="T580" s="6">
        <f t="shared" si="77"/>
        <v>976000</v>
      </c>
      <c r="U580" s="6">
        <f t="shared" si="78"/>
        <v>201600</v>
      </c>
      <c r="V580" s="5">
        <f t="shared" si="79"/>
        <v>0.17119565217391305</v>
      </c>
    </row>
    <row r="581" spans="1:22">
      <c r="A581" t="s">
        <v>918</v>
      </c>
      <c r="B581" s="4">
        <v>45839</v>
      </c>
      <c r="C581" t="s">
        <v>102</v>
      </c>
      <c r="D581" t="s">
        <v>72</v>
      </c>
      <c r="E581" t="s">
        <v>84</v>
      </c>
      <c r="F581" t="s">
        <v>619</v>
      </c>
      <c r="G581" t="s">
        <v>68</v>
      </c>
      <c r="H581" t="s">
        <v>79</v>
      </c>
      <c r="I581">
        <v>6</v>
      </c>
      <c r="J581" s="6">
        <v>19000</v>
      </c>
      <c r="K581" s="6">
        <v>11500</v>
      </c>
      <c r="L581" s="5">
        <v>0.1</v>
      </c>
      <c r="M581" t="s">
        <v>80</v>
      </c>
      <c r="N581" t="s">
        <v>58</v>
      </c>
      <c r="O581">
        <f t="shared" si="72"/>
        <v>7</v>
      </c>
      <c r="P581">
        <f t="shared" si="73"/>
        <v>3</v>
      </c>
      <c r="Q581" s="6">
        <f t="shared" si="74"/>
        <v>114000</v>
      </c>
      <c r="R581" s="6">
        <f t="shared" si="75"/>
        <v>11400</v>
      </c>
      <c r="S581" s="6">
        <f t="shared" si="76"/>
        <v>0</v>
      </c>
      <c r="T581" s="6">
        <f t="shared" si="77"/>
        <v>0</v>
      </c>
      <c r="U581" s="6">
        <f t="shared" si="78"/>
        <v>0</v>
      </c>
      <c r="V581" s="5">
        <f t="shared" si="79"/>
        <v>0</v>
      </c>
    </row>
    <row r="582" spans="1:22">
      <c r="A582" t="s">
        <v>919</v>
      </c>
      <c r="B582" s="4">
        <v>45806</v>
      </c>
      <c r="C582" t="s">
        <v>77</v>
      </c>
      <c r="D582" t="s">
        <v>61</v>
      </c>
      <c r="E582" t="s">
        <v>53</v>
      </c>
      <c r="F582" t="s">
        <v>920</v>
      </c>
      <c r="G582" t="s">
        <v>89</v>
      </c>
      <c r="H582" t="s">
        <v>98</v>
      </c>
      <c r="I582">
        <v>4</v>
      </c>
      <c r="J582" s="6">
        <v>16500</v>
      </c>
      <c r="K582" s="6">
        <v>10000</v>
      </c>
      <c r="L582" s="5">
        <v>0.1</v>
      </c>
      <c r="M582" t="s">
        <v>109</v>
      </c>
      <c r="N582" t="s">
        <v>63</v>
      </c>
      <c r="O582">
        <f t="shared" si="72"/>
        <v>5</v>
      </c>
      <c r="P582">
        <f t="shared" si="73"/>
        <v>2</v>
      </c>
      <c r="Q582" s="6">
        <f t="shared" si="74"/>
        <v>66000</v>
      </c>
      <c r="R582" s="6">
        <f t="shared" si="75"/>
        <v>6600</v>
      </c>
      <c r="S582" s="6">
        <f t="shared" si="76"/>
        <v>0</v>
      </c>
      <c r="T582" s="6">
        <f t="shared" si="77"/>
        <v>0</v>
      </c>
      <c r="U582" s="6">
        <f t="shared" si="78"/>
        <v>0</v>
      </c>
      <c r="V582" s="5">
        <f t="shared" si="79"/>
        <v>0</v>
      </c>
    </row>
    <row r="583" spans="1:22">
      <c r="A583" t="s">
        <v>921</v>
      </c>
      <c r="B583" s="4">
        <v>45827</v>
      </c>
      <c r="C583" t="s">
        <v>51</v>
      </c>
      <c r="D583" t="s">
        <v>61</v>
      </c>
      <c r="E583" t="s">
        <v>94</v>
      </c>
      <c r="F583" t="s">
        <v>441</v>
      </c>
      <c r="G583" t="s">
        <v>55</v>
      </c>
      <c r="H583" t="s">
        <v>115</v>
      </c>
      <c r="I583">
        <v>7</v>
      </c>
      <c r="J583" s="6">
        <v>105000</v>
      </c>
      <c r="K583" s="6">
        <v>76000</v>
      </c>
      <c r="L583" s="5">
        <v>0.12</v>
      </c>
      <c r="M583" t="s">
        <v>57</v>
      </c>
      <c r="N583" t="s">
        <v>58</v>
      </c>
      <c r="O583">
        <f t="shared" si="72"/>
        <v>6</v>
      </c>
      <c r="P583">
        <f t="shared" si="73"/>
        <v>2</v>
      </c>
      <c r="Q583" s="6">
        <f t="shared" si="74"/>
        <v>735000</v>
      </c>
      <c r="R583" s="6">
        <f t="shared" si="75"/>
        <v>88200</v>
      </c>
      <c r="S583" s="6">
        <f t="shared" si="76"/>
        <v>646800</v>
      </c>
      <c r="T583" s="6">
        <f t="shared" si="77"/>
        <v>532000</v>
      </c>
      <c r="U583" s="6">
        <f t="shared" si="78"/>
        <v>114800</v>
      </c>
      <c r="V583" s="5">
        <f t="shared" si="79"/>
        <v>0.1774891774891775</v>
      </c>
    </row>
    <row r="584" spans="1:22">
      <c r="A584" t="s">
        <v>922</v>
      </c>
      <c r="B584" s="4">
        <v>45702</v>
      </c>
      <c r="C584" t="s">
        <v>77</v>
      </c>
      <c r="D584" t="s">
        <v>72</v>
      </c>
      <c r="E584" t="s">
        <v>66</v>
      </c>
      <c r="F584" t="s">
        <v>695</v>
      </c>
      <c r="G584" t="s">
        <v>68</v>
      </c>
      <c r="H584" t="s">
        <v>108</v>
      </c>
      <c r="I584">
        <v>1</v>
      </c>
      <c r="J584" s="6">
        <v>175000</v>
      </c>
      <c r="K584" s="6">
        <v>129000</v>
      </c>
      <c r="L584" s="5">
        <v>0.1</v>
      </c>
      <c r="M584" t="s">
        <v>57</v>
      </c>
      <c r="N584" t="s">
        <v>75</v>
      </c>
      <c r="O584">
        <f t="shared" si="72"/>
        <v>2</v>
      </c>
      <c r="P584">
        <f t="shared" si="73"/>
        <v>1</v>
      </c>
      <c r="Q584" s="6">
        <f t="shared" si="74"/>
        <v>175000</v>
      </c>
      <c r="R584" s="6">
        <f t="shared" si="75"/>
        <v>17500</v>
      </c>
      <c r="S584" s="6">
        <f t="shared" si="76"/>
        <v>157500</v>
      </c>
      <c r="T584" s="6">
        <f t="shared" si="77"/>
        <v>129000</v>
      </c>
      <c r="U584" s="6">
        <f t="shared" si="78"/>
        <v>28500</v>
      </c>
      <c r="V584" s="5">
        <f t="shared" si="79"/>
        <v>0.18095238095238095</v>
      </c>
    </row>
    <row r="585" spans="1:22">
      <c r="A585" t="s">
        <v>923</v>
      </c>
      <c r="B585" s="4">
        <v>45826</v>
      </c>
      <c r="C585" t="s">
        <v>120</v>
      </c>
      <c r="D585" t="s">
        <v>61</v>
      </c>
      <c r="E585" t="s">
        <v>84</v>
      </c>
      <c r="F585" t="s">
        <v>162</v>
      </c>
      <c r="G585" t="s">
        <v>89</v>
      </c>
      <c r="H585" t="s">
        <v>98</v>
      </c>
      <c r="I585">
        <v>2</v>
      </c>
      <c r="J585" s="6">
        <v>16500</v>
      </c>
      <c r="K585" s="6">
        <v>10000</v>
      </c>
      <c r="L585" s="5">
        <v>0.12</v>
      </c>
      <c r="M585" t="s">
        <v>57</v>
      </c>
      <c r="N585" t="s">
        <v>58</v>
      </c>
      <c r="O585">
        <f t="shared" si="72"/>
        <v>6</v>
      </c>
      <c r="P585">
        <f t="shared" si="73"/>
        <v>2</v>
      </c>
      <c r="Q585" s="6">
        <f t="shared" si="74"/>
        <v>33000</v>
      </c>
      <c r="R585" s="6">
        <f t="shared" si="75"/>
        <v>3960</v>
      </c>
      <c r="S585" s="6">
        <f t="shared" si="76"/>
        <v>29040</v>
      </c>
      <c r="T585" s="6">
        <f t="shared" si="77"/>
        <v>20000</v>
      </c>
      <c r="U585" s="6">
        <f t="shared" si="78"/>
        <v>9040</v>
      </c>
      <c r="V585" s="5">
        <f t="shared" si="79"/>
        <v>0.31129476584022037</v>
      </c>
    </row>
    <row r="586" spans="1:22">
      <c r="A586" t="s">
        <v>924</v>
      </c>
      <c r="B586" s="4">
        <v>45728</v>
      </c>
      <c r="C586" t="s">
        <v>60</v>
      </c>
      <c r="D586" t="s">
        <v>65</v>
      </c>
      <c r="E586" t="s">
        <v>73</v>
      </c>
      <c r="F586" t="s">
        <v>836</v>
      </c>
      <c r="G586" t="s">
        <v>68</v>
      </c>
      <c r="H586" t="s">
        <v>69</v>
      </c>
      <c r="I586">
        <v>6</v>
      </c>
      <c r="J586" s="6">
        <v>115000</v>
      </c>
      <c r="K586" s="6">
        <v>82000</v>
      </c>
      <c r="L586" s="5">
        <v>0.05</v>
      </c>
      <c r="M586" t="s">
        <v>57</v>
      </c>
      <c r="N586" t="s">
        <v>63</v>
      </c>
      <c r="O586">
        <f t="shared" si="72"/>
        <v>3</v>
      </c>
      <c r="P586">
        <f t="shared" si="73"/>
        <v>1</v>
      </c>
      <c r="Q586" s="6">
        <f t="shared" si="74"/>
        <v>690000</v>
      </c>
      <c r="R586" s="6">
        <f t="shared" si="75"/>
        <v>34500</v>
      </c>
      <c r="S586" s="6">
        <f t="shared" si="76"/>
        <v>655500</v>
      </c>
      <c r="T586" s="6">
        <f t="shared" si="77"/>
        <v>492000</v>
      </c>
      <c r="U586" s="6">
        <f t="shared" si="78"/>
        <v>163500</v>
      </c>
      <c r="V586" s="5">
        <f t="shared" si="79"/>
        <v>0.2494279176201373</v>
      </c>
    </row>
    <row r="587" spans="1:22">
      <c r="A587" t="s">
        <v>925</v>
      </c>
      <c r="B587" s="4">
        <v>45853</v>
      </c>
      <c r="C587" t="s">
        <v>51</v>
      </c>
      <c r="D587" t="s">
        <v>52</v>
      </c>
      <c r="E587" t="s">
        <v>94</v>
      </c>
      <c r="F587" t="s">
        <v>679</v>
      </c>
      <c r="G587" t="s">
        <v>55</v>
      </c>
      <c r="H587" t="s">
        <v>115</v>
      </c>
      <c r="I587">
        <v>3</v>
      </c>
      <c r="J587" s="6">
        <v>105000</v>
      </c>
      <c r="K587" s="6">
        <v>76000</v>
      </c>
      <c r="L587" s="5">
        <v>0.1</v>
      </c>
      <c r="M587" t="s">
        <v>57</v>
      </c>
      <c r="N587" t="s">
        <v>70</v>
      </c>
      <c r="O587">
        <f t="shared" si="72"/>
        <v>7</v>
      </c>
      <c r="P587">
        <f t="shared" si="73"/>
        <v>3</v>
      </c>
      <c r="Q587" s="6">
        <f t="shared" si="74"/>
        <v>315000</v>
      </c>
      <c r="R587" s="6">
        <f t="shared" si="75"/>
        <v>31500</v>
      </c>
      <c r="S587" s="6">
        <f t="shared" si="76"/>
        <v>283500</v>
      </c>
      <c r="T587" s="6">
        <f t="shared" si="77"/>
        <v>228000</v>
      </c>
      <c r="U587" s="6">
        <f t="shared" si="78"/>
        <v>55500</v>
      </c>
      <c r="V587" s="5">
        <f t="shared" si="79"/>
        <v>0.19576719576719576</v>
      </c>
    </row>
    <row r="588" spans="1:22">
      <c r="A588" t="s">
        <v>926</v>
      </c>
      <c r="B588" s="4">
        <v>45754</v>
      </c>
      <c r="C588" t="s">
        <v>51</v>
      </c>
      <c r="D588" t="s">
        <v>61</v>
      </c>
      <c r="E588" t="s">
        <v>73</v>
      </c>
      <c r="F588" t="s">
        <v>422</v>
      </c>
      <c r="G588" t="s">
        <v>89</v>
      </c>
      <c r="H588" t="s">
        <v>98</v>
      </c>
      <c r="I588">
        <v>3</v>
      </c>
      <c r="J588" s="6">
        <v>16500</v>
      </c>
      <c r="K588" s="6">
        <v>10000</v>
      </c>
      <c r="L588" s="5">
        <v>0</v>
      </c>
      <c r="M588" t="s">
        <v>57</v>
      </c>
      <c r="N588" t="s">
        <v>58</v>
      </c>
      <c r="O588">
        <f t="shared" si="72"/>
        <v>4</v>
      </c>
      <c r="P588">
        <f t="shared" si="73"/>
        <v>2</v>
      </c>
      <c r="Q588" s="6">
        <f t="shared" si="74"/>
        <v>49500</v>
      </c>
      <c r="R588" s="6">
        <f t="shared" si="75"/>
        <v>0</v>
      </c>
      <c r="S588" s="6">
        <f t="shared" si="76"/>
        <v>49500</v>
      </c>
      <c r="T588" s="6">
        <f t="shared" si="77"/>
        <v>30000</v>
      </c>
      <c r="U588" s="6">
        <f t="shared" si="78"/>
        <v>19500</v>
      </c>
      <c r="V588" s="5">
        <f t="shared" si="79"/>
        <v>0.39393939393939392</v>
      </c>
    </row>
    <row r="589" spans="1:22">
      <c r="A589" t="s">
        <v>927</v>
      </c>
      <c r="B589" s="4">
        <v>45816</v>
      </c>
      <c r="C589" t="s">
        <v>111</v>
      </c>
      <c r="D589" t="s">
        <v>72</v>
      </c>
      <c r="E589" t="s">
        <v>66</v>
      </c>
      <c r="F589" t="s">
        <v>335</v>
      </c>
      <c r="G589" t="s">
        <v>55</v>
      </c>
      <c r="H589" t="s">
        <v>115</v>
      </c>
      <c r="I589">
        <v>7</v>
      </c>
      <c r="J589" s="6">
        <v>105000</v>
      </c>
      <c r="K589" s="6">
        <v>76000</v>
      </c>
      <c r="L589" s="5">
        <v>0.05</v>
      </c>
      <c r="M589" t="s">
        <v>80</v>
      </c>
      <c r="N589" t="s">
        <v>70</v>
      </c>
      <c r="O589">
        <f t="shared" si="72"/>
        <v>6</v>
      </c>
      <c r="P589">
        <f t="shared" si="73"/>
        <v>2</v>
      </c>
      <c r="Q589" s="6">
        <f t="shared" si="74"/>
        <v>735000</v>
      </c>
      <c r="R589" s="6">
        <f t="shared" si="75"/>
        <v>36750</v>
      </c>
      <c r="S589" s="6">
        <f t="shared" si="76"/>
        <v>0</v>
      </c>
      <c r="T589" s="6">
        <f t="shared" si="77"/>
        <v>0</v>
      </c>
      <c r="U589" s="6">
        <f t="shared" si="78"/>
        <v>0</v>
      </c>
      <c r="V589" s="5">
        <f t="shared" si="79"/>
        <v>0</v>
      </c>
    </row>
    <row r="590" spans="1:22">
      <c r="A590" t="s">
        <v>928</v>
      </c>
      <c r="B590" s="4">
        <v>45718</v>
      </c>
      <c r="C590" t="s">
        <v>51</v>
      </c>
      <c r="D590" t="s">
        <v>106</v>
      </c>
      <c r="E590" t="s">
        <v>53</v>
      </c>
      <c r="F590" t="s">
        <v>675</v>
      </c>
      <c r="G590" t="s">
        <v>68</v>
      </c>
      <c r="H590" t="s">
        <v>79</v>
      </c>
      <c r="I590">
        <v>2</v>
      </c>
      <c r="J590" s="6">
        <v>19000</v>
      </c>
      <c r="K590" s="6">
        <v>11500</v>
      </c>
      <c r="L590" s="5">
        <v>0.05</v>
      </c>
      <c r="M590" t="s">
        <v>57</v>
      </c>
      <c r="N590" t="s">
        <v>70</v>
      </c>
      <c r="O590">
        <f t="shared" si="72"/>
        <v>3</v>
      </c>
      <c r="P590">
        <f t="shared" si="73"/>
        <v>1</v>
      </c>
      <c r="Q590" s="6">
        <f t="shared" si="74"/>
        <v>38000</v>
      </c>
      <c r="R590" s="6">
        <f t="shared" si="75"/>
        <v>1900</v>
      </c>
      <c r="S590" s="6">
        <f t="shared" si="76"/>
        <v>36100</v>
      </c>
      <c r="T590" s="6">
        <f t="shared" si="77"/>
        <v>23000</v>
      </c>
      <c r="U590" s="6">
        <f t="shared" si="78"/>
        <v>13100</v>
      </c>
      <c r="V590" s="5">
        <f t="shared" si="79"/>
        <v>0.36288088642659277</v>
      </c>
    </row>
    <row r="591" spans="1:22">
      <c r="A591" t="s">
        <v>929</v>
      </c>
      <c r="B591" s="4">
        <v>45761</v>
      </c>
      <c r="C591" t="s">
        <v>102</v>
      </c>
      <c r="D591" t="s">
        <v>106</v>
      </c>
      <c r="E591" t="s">
        <v>94</v>
      </c>
      <c r="F591" t="s">
        <v>930</v>
      </c>
      <c r="G591" t="s">
        <v>68</v>
      </c>
      <c r="H591" t="s">
        <v>104</v>
      </c>
      <c r="I591">
        <v>7</v>
      </c>
      <c r="J591" s="6">
        <v>320000</v>
      </c>
      <c r="K591" s="6">
        <v>244000</v>
      </c>
      <c r="L591" s="5">
        <v>0.1</v>
      </c>
      <c r="M591" t="s">
        <v>57</v>
      </c>
      <c r="N591" t="s">
        <v>58</v>
      </c>
      <c r="O591">
        <f t="shared" si="72"/>
        <v>4</v>
      </c>
      <c r="P591">
        <f t="shared" si="73"/>
        <v>2</v>
      </c>
      <c r="Q591" s="6">
        <f t="shared" si="74"/>
        <v>2240000</v>
      </c>
      <c r="R591" s="6">
        <f t="shared" si="75"/>
        <v>224000</v>
      </c>
      <c r="S591" s="6">
        <f t="shared" si="76"/>
        <v>2016000</v>
      </c>
      <c r="T591" s="6">
        <f t="shared" si="77"/>
        <v>1708000</v>
      </c>
      <c r="U591" s="6">
        <f t="shared" si="78"/>
        <v>308000</v>
      </c>
      <c r="V591" s="5">
        <f t="shared" si="79"/>
        <v>0.15277777777777779</v>
      </c>
    </row>
    <row r="592" spans="1:22">
      <c r="A592" t="s">
        <v>931</v>
      </c>
      <c r="B592" s="4">
        <v>45934</v>
      </c>
      <c r="C592" t="s">
        <v>102</v>
      </c>
      <c r="D592" t="s">
        <v>65</v>
      </c>
      <c r="E592" t="s">
        <v>66</v>
      </c>
      <c r="F592" t="s">
        <v>500</v>
      </c>
      <c r="G592" t="s">
        <v>89</v>
      </c>
      <c r="H592" t="s">
        <v>90</v>
      </c>
      <c r="I592">
        <v>2</v>
      </c>
      <c r="J592" s="6">
        <v>5900</v>
      </c>
      <c r="K592" s="6">
        <v>3700</v>
      </c>
      <c r="L592" s="5">
        <v>0.08</v>
      </c>
      <c r="M592" t="s">
        <v>57</v>
      </c>
      <c r="N592" t="s">
        <v>81</v>
      </c>
      <c r="O592">
        <f t="shared" si="72"/>
        <v>10</v>
      </c>
      <c r="P592">
        <f t="shared" si="73"/>
        <v>4</v>
      </c>
      <c r="Q592" s="6">
        <f t="shared" si="74"/>
        <v>11800</v>
      </c>
      <c r="R592" s="6">
        <f t="shared" si="75"/>
        <v>944</v>
      </c>
      <c r="S592" s="6">
        <f t="shared" si="76"/>
        <v>10856</v>
      </c>
      <c r="T592" s="6">
        <f t="shared" si="77"/>
        <v>7400</v>
      </c>
      <c r="U592" s="6">
        <f t="shared" si="78"/>
        <v>3456</v>
      </c>
      <c r="V592" s="5">
        <f t="shared" si="79"/>
        <v>0.318349299926308</v>
      </c>
    </row>
    <row r="593" spans="1:22">
      <c r="A593" t="s">
        <v>932</v>
      </c>
      <c r="B593" s="4">
        <v>45926</v>
      </c>
      <c r="C593" t="s">
        <v>83</v>
      </c>
      <c r="D593" t="s">
        <v>61</v>
      </c>
      <c r="E593" t="s">
        <v>53</v>
      </c>
      <c r="F593" t="s">
        <v>571</v>
      </c>
      <c r="G593" t="s">
        <v>68</v>
      </c>
      <c r="H593" t="s">
        <v>104</v>
      </c>
      <c r="I593">
        <v>1</v>
      </c>
      <c r="J593" s="6">
        <v>320000</v>
      </c>
      <c r="K593" s="6">
        <v>244000</v>
      </c>
      <c r="L593" s="5">
        <v>0.1</v>
      </c>
      <c r="M593" t="s">
        <v>57</v>
      </c>
      <c r="N593" t="s">
        <v>70</v>
      </c>
      <c r="O593">
        <f t="shared" si="72"/>
        <v>9</v>
      </c>
      <c r="P593">
        <f t="shared" si="73"/>
        <v>3</v>
      </c>
      <c r="Q593" s="6">
        <f t="shared" si="74"/>
        <v>320000</v>
      </c>
      <c r="R593" s="6">
        <f t="shared" si="75"/>
        <v>32000</v>
      </c>
      <c r="S593" s="6">
        <f t="shared" si="76"/>
        <v>288000</v>
      </c>
      <c r="T593" s="6">
        <f t="shared" si="77"/>
        <v>244000</v>
      </c>
      <c r="U593" s="6">
        <f t="shared" si="78"/>
        <v>44000</v>
      </c>
      <c r="V593" s="5">
        <f t="shared" si="79"/>
        <v>0.15277777777777779</v>
      </c>
    </row>
    <row r="594" spans="1:22">
      <c r="A594" t="s">
        <v>933</v>
      </c>
      <c r="B594" s="4">
        <v>45734</v>
      </c>
      <c r="C594" t="s">
        <v>120</v>
      </c>
      <c r="D594" t="s">
        <v>61</v>
      </c>
      <c r="E594" t="s">
        <v>73</v>
      </c>
      <c r="F594" t="s">
        <v>218</v>
      </c>
      <c r="G594" t="s">
        <v>68</v>
      </c>
      <c r="H594" t="s">
        <v>79</v>
      </c>
      <c r="I594">
        <v>8</v>
      </c>
      <c r="J594" s="6">
        <v>19000</v>
      </c>
      <c r="K594" s="6">
        <v>11500</v>
      </c>
      <c r="L594" s="5">
        <v>0</v>
      </c>
      <c r="M594" t="s">
        <v>80</v>
      </c>
      <c r="N594" t="s">
        <v>58</v>
      </c>
      <c r="O594">
        <f t="shared" si="72"/>
        <v>3</v>
      </c>
      <c r="P594">
        <f t="shared" si="73"/>
        <v>1</v>
      </c>
      <c r="Q594" s="6">
        <f t="shared" si="74"/>
        <v>152000</v>
      </c>
      <c r="R594" s="6">
        <f t="shared" si="75"/>
        <v>0</v>
      </c>
      <c r="S594" s="6">
        <f t="shared" si="76"/>
        <v>0</v>
      </c>
      <c r="T594" s="6">
        <f t="shared" si="77"/>
        <v>0</v>
      </c>
      <c r="U594" s="6">
        <f t="shared" si="78"/>
        <v>0</v>
      </c>
      <c r="V594" s="5">
        <f t="shared" si="79"/>
        <v>0</v>
      </c>
    </row>
    <row r="595" spans="1:22">
      <c r="A595" t="s">
        <v>934</v>
      </c>
      <c r="B595" s="4">
        <v>45917</v>
      </c>
      <c r="C595" t="s">
        <v>77</v>
      </c>
      <c r="D595" t="s">
        <v>72</v>
      </c>
      <c r="E595" t="s">
        <v>94</v>
      </c>
      <c r="F595" t="s">
        <v>457</v>
      </c>
      <c r="G595" t="s">
        <v>68</v>
      </c>
      <c r="H595" t="s">
        <v>108</v>
      </c>
      <c r="I595">
        <v>1</v>
      </c>
      <c r="J595" s="6">
        <v>175000</v>
      </c>
      <c r="K595" s="6">
        <v>129000</v>
      </c>
      <c r="L595" s="5">
        <v>0.08</v>
      </c>
      <c r="M595" t="s">
        <v>109</v>
      </c>
      <c r="N595" t="s">
        <v>63</v>
      </c>
      <c r="O595">
        <f t="shared" si="72"/>
        <v>9</v>
      </c>
      <c r="P595">
        <f t="shared" si="73"/>
        <v>3</v>
      </c>
      <c r="Q595" s="6">
        <f t="shared" si="74"/>
        <v>175000</v>
      </c>
      <c r="R595" s="6">
        <f t="shared" si="75"/>
        <v>14000</v>
      </c>
      <c r="S595" s="6">
        <f t="shared" si="76"/>
        <v>0</v>
      </c>
      <c r="T595" s="6">
        <f t="shared" si="77"/>
        <v>0</v>
      </c>
      <c r="U595" s="6">
        <f t="shared" si="78"/>
        <v>0</v>
      </c>
      <c r="V595" s="5">
        <f t="shared" si="79"/>
        <v>0</v>
      </c>
    </row>
    <row r="596" spans="1:22">
      <c r="A596" t="s">
        <v>935</v>
      </c>
      <c r="B596" s="4">
        <v>45813</v>
      </c>
      <c r="C596" t="s">
        <v>51</v>
      </c>
      <c r="D596" t="s">
        <v>61</v>
      </c>
      <c r="E596" t="s">
        <v>53</v>
      </c>
      <c r="F596" t="s">
        <v>695</v>
      </c>
      <c r="G596" t="s">
        <v>89</v>
      </c>
      <c r="H596" t="s">
        <v>98</v>
      </c>
      <c r="I596">
        <v>6</v>
      </c>
      <c r="J596" s="6">
        <v>16500</v>
      </c>
      <c r="K596" s="6">
        <v>10000</v>
      </c>
      <c r="L596" s="5">
        <v>0.03</v>
      </c>
      <c r="M596" t="s">
        <v>57</v>
      </c>
      <c r="N596" t="s">
        <v>81</v>
      </c>
      <c r="O596">
        <f t="shared" si="72"/>
        <v>6</v>
      </c>
      <c r="P596">
        <f t="shared" si="73"/>
        <v>2</v>
      </c>
      <c r="Q596" s="6">
        <f t="shared" si="74"/>
        <v>99000</v>
      </c>
      <c r="R596" s="6">
        <f t="shared" si="75"/>
        <v>2970</v>
      </c>
      <c r="S596" s="6">
        <f t="shared" si="76"/>
        <v>96030</v>
      </c>
      <c r="T596" s="6">
        <f t="shared" si="77"/>
        <v>60000</v>
      </c>
      <c r="U596" s="6">
        <f t="shared" si="78"/>
        <v>36030</v>
      </c>
      <c r="V596" s="5">
        <f t="shared" si="79"/>
        <v>0.37519525148391125</v>
      </c>
    </row>
    <row r="597" spans="1:22">
      <c r="A597" t="s">
        <v>936</v>
      </c>
      <c r="B597" s="4">
        <v>45687</v>
      </c>
      <c r="C597" t="s">
        <v>92</v>
      </c>
      <c r="D597" t="s">
        <v>61</v>
      </c>
      <c r="E597" t="s">
        <v>66</v>
      </c>
      <c r="F597" t="s">
        <v>937</v>
      </c>
      <c r="G597" t="s">
        <v>89</v>
      </c>
      <c r="H597" t="s">
        <v>98</v>
      </c>
      <c r="I597">
        <v>3</v>
      </c>
      <c r="J597" s="6">
        <v>16500</v>
      </c>
      <c r="K597" s="6">
        <v>10000</v>
      </c>
      <c r="L597" s="5">
        <v>0</v>
      </c>
      <c r="M597" t="s">
        <v>57</v>
      </c>
      <c r="N597" t="s">
        <v>58</v>
      </c>
      <c r="O597">
        <f t="shared" si="72"/>
        <v>1</v>
      </c>
      <c r="P597">
        <f t="shared" si="73"/>
        <v>1</v>
      </c>
      <c r="Q597" s="6">
        <f t="shared" si="74"/>
        <v>49500</v>
      </c>
      <c r="R597" s="6">
        <f t="shared" si="75"/>
        <v>0</v>
      </c>
      <c r="S597" s="6">
        <f t="shared" si="76"/>
        <v>49500</v>
      </c>
      <c r="T597" s="6">
        <f t="shared" si="77"/>
        <v>30000</v>
      </c>
      <c r="U597" s="6">
        <f t="shared" si="78"/>
        <v>19500</v>
      </c>
      <c r="V597" s="5">
        <f t="shared" si="79"/>
        <v>0.39393939393939392</v>
      </c>
    </row>
    <row r="598" spans="1:22">
      <c r="A598" t="s">
        <v>938</v>
      </c>
      <c r="B598" s="4">
        <v>45757</v>
      </c>
      <c r="C598" t="s">
        <v>111</v>
      </c>
      <c r="D598" t="s">
        <v>52</v>
      </c>
      <c r="E598" t="s">
        <v>94</v>
      </c>
      <c r="F598" t="s">
        <v>451</v>
      </c>
      <c r="G598" t="s">
        <v>55</v>
      </c>
      <c r="H598" t="s">
        <v>86</v>
      </c>
      <c r="I598">
        <v>4</v>
      </c>
      <c r="J598" s="6">
        <v>92000</v>
      </c>
      <c r="K598" s="6">
        <v>60000</v>
      </c>
      <c r="L598" s="5">
        <v>0.12</v>
      </c>
      <c r="M598" t="s">
        <v>57</v>
      </c>
      <c r="N598" t="s">
        <v>75</v>
      </c>
      <c r="O598">
        <f t="shared" si="72"/>
        <v>4</v>
      </c>
      <c r="P598">
        <f t="shared" si="73"/>
        <v>2</v>
      </c>
      <c r="Q598" s="6">
        <f t="shared" si="74"/>
        <v>368000</v>
      </c>
      <c r="R598" s="6">
        <f t="shared" si="75"/>
        <v>44160</v>
      </c>
      <c r="S598" s="6">
        <f t="shared" si="76"/>
        <v>323840</v>
      </c>
      <c r="T598" s="6">
        <f t="shared" si="77"/>
        <v>240000</v>
      </c>
      <c r="U598" s="6">
        <f t="shared" si="78"/>
        <v>83840</v>
      </c>
      <c r="V598" s="5">
        <f t="shared" si="79"/>
        <v>0.25889328063241107</v>
      </c>
    </row>
    <row r="599" spans="1:22">
      <c r="A599" t="s">
        <v>939</v>
      </c>
      <c r="B599" s="4">
        <v>45668</v>
      </c>
      <c r="C599" t="s">
        <v>83</v>
      </c>
      <c r="D599" t="s">
        <v>61</v>
      </c>
      <c r="E599" t="s">
        <v>84</v>
      </c>
      <c r="F599" t="s">
        <v>466</v>
      </c>
      <c r="G599" t="s">
        <v>55</v>
      </c>
      <c r="H599" t="s">
        <v>86</v>
      </c>
      <c r="I599">
        <v>3</v>
      </c>
      <c r="J599" s="6">
        <v>92000</v>
      </c>
      <c r="K599" s="6">
        <v>60000</v>
      </c>
      <c r="L599" s="5">
        <v>0.03</v>
      </c>
      <c r="M599" t="s">
        <v>80</v>
      </c>
      <c r="N599" t="s">
        <v>70</v>
      </c>
      <c r="O599">
        <f t="shared" si="72"/>
        <v>1</v>
      </c>
      <c r="P599">
        <f t="shared" si="73"/>
        <v>1</v>
      </c>
      <c r="Q599" s="6">
        <f t="shared" si="74"/>
        <v>276000</v>
      </c>
      <c r="R599" s="6">
        <f t="shared" si="75"/>
        <v>8280</v>
      </c>
      <c r="S599" s="6">
        <f t="shared" si="76"/>
        <v>0</v>
      </c>
      <c r="T599" s="6">
        <f t="shared" si="77"/>
        <v>0</v>
      </c>
      <c r="U599" s="6">
        <f t="shared" si="78"/>
        <v>0</v>
      </c>
      <c r="V599" s="5">
        <f t="shared" si="79"/>
        <v>0</v>
      </c>
    </row>
    <row r="600" spans="1:22">
      <c r="A600" t="s">
        <v>940</v>
      </c>
      <c r="B600" s="4">
        <v>45698</v>
      </c>
      <c r="C600" t="s">
        <v>102</v>
      </c>
      <c r="D600" t="s">
        <v>61</v>
      </c>
      <c r="E600" t="s">
        <v>66</v>
      </c>
      <c r="F600" t="s">
        <v>185</v>
      </c>
      <c r="G600" t="s">
        <v>55</v>
      </c>
      <c r="H600" t="s">
        <v>86</v>
      </c>
      <c r="I600">
        <v>3</v>
      </c>
      <c r="J600" s="6">
        <v>92000</v>
      </c>
      <c r="K600" s="6">
        <v>60000</v>
      </c>
      <c r="L600" s="5">
        <v>0.05</v>
      </c>
      <c r="M600" t="s">
        <v>80</v>
      </c>
      <c r="N600" t="s">
        <v>58</v>
      </c>
      <c r="O600">
        <f t="shared" si="72"/>
        <v>2</v>
      </c>
      <c r="P600">
        <f t="shared" si="73"/>
        <v>1</v>
      </c>
      <c r="Q600" s="6">
        <f t="shared" si="74"/>
        <v>276000</v>
      </c>
      <c r="R600" s="6">
        <f t="shared" si="75"/>
        <v>13800</v>
      </c>
      <c r="S600" s="6">
        <f t="shared" si="76"/>
        <v>0</v>
      </c>
      <c r="T600" s="6">
        <f t="shared" si="77"/>
        <v>0</v>
      </c>
      <c r="U600" s="6">
        <f t="shared" si="78"/>
        <v>0</v>
      </c>
      <c r="V600" s="5">
        <f t="shared" si="79"/>
        <v>0</v>
      </c>
    </row>
    <row r="601" spans="1:22">
      <c r="A601" t="s">
        <v>941</v>
      </c>
      <c r="B601" s="4">
        <v>45987</v>
      </c>
      <c r="C601" t="s">
        <v>77</v>
      </c>
      <c r="D601" t="s">
        <v>65</v>
      </c>
      <c r="E601" t="s">
        <v>53</v>
      </c>
      <c r="F601" t="s">
        <v>942</v>
      </c>
      <c r="G601" t="s">
        <v>89</v>
      </c>
      <c r="H601" t="s">
        <v>95</v>
      </c>
      <c r="I601">
        <v>7</v>
      </c>
      <c r="J601" s="6">
        <v>32000</v>
      </c>
      <c r="K601" s="6">
        <v>21000</v>
      </c>
      <c r="L601" s="5">
        <v>0</v>
      </c>
      <c r="M601" t="s">
        <v>57</v>
      </c>
      <c r="N601" t="s">
        <v>81</v>
      </c>
      <c r="O601">
        <f t="shared" si="72"/>
        <v>11</v>
      </c>
      <c r="P601">
        <f t="shared" si="73"/>
        <v>4</v>
      </c>
      <c r="Q601" s="6">
        <f t="shared" si="74"/>
        <v>224000</v>
      </c>
      <c r="R601" s="6">
        <f t="shared" si="75"/>
        <v>0</v>
      </c>
      <c r="S601" s="6">
        <f t="shared" si="76"/>
        <v>224000</v>
      </c>
      <c r="T601" s="6">
        <f t="shared" si="77"/>
        <v>147000</v>
      </c>
      <c r="U601" s="6">
        <f t="shared" si="78"/>
        <v>77000</v>
      </c>
      <c r="V601" s="5">
        <f t="shared" si="79"/>
        <v>0.34375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A4" sqref="A4"/>
    </sheetView>
  </sheetViews>
  <sheetFormatPr defaultRowHeight="14.25"/>
  <cols>
    <col min="1" max="5" width="25" customWidth="1"/>
  </cols>
  <sheetData>
    <row r="1" spans="1:5" ht="32.1" customHeight="1">
      <c r="A1" s="8" t="s">
        <v>943</v>
      </c>
      <c r="B1" s="8"/>
      <c r="C1" s="8"/>
      <c r="D1" s="8"/>
      <c r="E1" s="8"/>
    </row>
    <row r="3" spans="1:5" ht="27" customHeight="1">
      <c r="A3" s="3" t="s">
        <v>944</v>
      </c>
      <c r="B3" s="3" t="s">
        <v>945</v>
      </c>
      <c r="C3" s="3" t="s">
        <v>946</v>
      </c>
      <c r="D3" s="3" t="s">
        <v>947</v>
      </c>
      <c r="E3" s="3" t="s">
        <v>948</v>
      </c>
    </row>
    <row r="4" spans="1:5">
      <c r="A4">
        <v>1</v>
      </c>
      <c r="B4" s="6">
        <v>16000000</v>
      </c>
      <c r="C4" s="6">
        <f>SUMIF(Base_Vendas!$O$2:$O$601,A4,Base_Vendas!$S$2:$S$601)</f>
        <v>16665223</v>
      </c>
      <c r="D4" s="5">
        <f t="shared" ref="D4:D15" si="0">IFERROR(C4/B4,0)</f>
        <v>1.0415764375000001</v>
      </c>
      <c r="E4" s="6">
        <f t="shared" ref="E4:E15" si="1">C4-B4</f>
        <v>665223</v>
      </c>
    </row>
    <row r="5" spans="1:5">
      <c r="A5">
        <v>2</v>
      </c>
      <c r="B5" s="6">
        <v>16500000</v>
      </c>
      <c r="C5" s="6">
        <f>SUMIF(Base_Vendas!$O$2:$O$601,A5,Base_Vendas!$S$2:$S$601)</f>
        <v>13995946</v>
      </c>
      <c r="D5" s="5">
        <f t="shared" si="0"/>
        <v>0.8482391515151515</v>
      </c>
      <c r="E5" s="6">
        <f t="shared" si="1"/>
        <v>-2504054</v>
      </c>
    </row>
    <row r="6" spans="1:5">
      <c r="A6">
        <v>3</v>
      </c>
      <c r="B6" s="6">
        <v>18000000</v>
      </c>
      <c r="C6" s="6">
        <f>SUMIF(Base_Vendas!$O$2:$O$601,A6,Base_Vendas!$S$2:$S$601)</f>
        <v>14582310</v>
      </c>
      <c r="D6" s="5">
        <f t="shared" si="0"/>
        <v>0.81012833333333334</v>
      </c>
      <c r="E6" s="6">
        <f t="shared" si="1"/>
        <v>-3417690</v>
      </c>
    </row>
    <row r="7" spans="1:5">
      <c r="A7">
        <v>4</v>
      </c>
      <c r="B7" s="6">
        <v>18000000</v>
      </c>
      <c r="C7" s="6">
        <f>SUMIF(Base_Vendas!$O$2:$O$601,A7,Base_Vendas!$S$2:$S$601)</f>
        <v>14525823</v>
      </c>
      <c r="D7" s="5">
        <f t="shared" si="0"/>
        <v>0.80699016666666668</v>
      </c>
      <c r="E7" s="6">
        <f t="shared" si="1"/>
        <v>-3474177</v>
      </c>
    </row>
    <row r="8" spans="1:5">
      <c r="A8">
        <v>5</v>
      </c>
      <c r="B8" s="6">
        <v>19000000</v>
      </c>
      <c r="C8" s="6">
        <f>SUMIF(Base_Vendas!$O$2:$O$601,A8,Base_Vendas!$S$2:$S$601)</f>
        <v>9597740</v>
      </c>
      <c r="D8" s="5">
        <f t="shared" si="0"/>
        <v>0.50514421052631575</v>
      </c>
      <c r="E8" s="6">
        <f t="shared" si="1"/>
        <v>-9402260</v>
      </c>
    </row>
    <row r="9" spans="1:5">
      <c r="A9">
        <v>6</v>
      </c>
      <c r="B9" s="6">
        <v>17000000</v>
      </c>
      <c r="C9" s="6">
        <f>SUMIF(Base_Vendas!$O$2:$O$601,A9,Base_Vendas!$S$2:$S$601)</f>
        <v>12004764</v>
      </c>
      <c r="D9" s="5">
        <f t="shared" si="0"/>
        <v>0.7061625882352941</v>
      </c>
      <c r="E9" s="6">
        <f t="shared" si="1"/>
        <v>-4995236</v>
      </c>
    </row>
    <row r="10" spans="1:5">
      <c r="A10">
        <v>7</v>
      </c>
      <c r="B10" s="6">
        <v>18000000</v>
      </c>
      <c r="C10" s="6">
        <f>SUMIF(Base_Vendas!$O$2:$O$601,A10,Base_Vendas!$S$2:$S$601)</f>
        <v>13976404</v>
      </c>
      <c r="D10" s="5">
        <f t="shared" si="0"/>
        <v>0.77646688888888893</v>
      </c>
      <c r="E10" s="6">
        <f t="shared" si="1"/>
        <v>-4023596</v>
      </c>
    </row>
    <row r="11" spans="1:5">
      <c r="A11">
        <v>8</v>
      </c>
      <c r="B11" s="6">
        <v>19000000</v>
      </c>
      <c r="C11" s="6">
        <f>SUMIF(Base_Vendas!$O$2:$O$601,A11,Base_Vendas!$S$2:$S$601)</f>
        <v>15764706</v>
      </c>
      <c r="D11" s="5">
        <f t="shared" si="0"/>
        <v>0.8297213684210526</v>
      </c>
      <c r="E11" s="6">
        <f t="shared" si="1"/>
        <v>-3235294</v>
      </c>
    </row>
    <row r="12" spans="1:5">
      <c r="A12">
        <v>9</v>
      </c>
      <c r="B12" s="6">
        <v>19000000</v>
      </c>
      <c r="C12" s="6">
        <f>SUMIF(Base_Vendas!$O$2:$O$601,A12,Base_Vendas!$S$2:$S$601)</f>
        <v>10649043</v>
      </c>
      <c r="D12" s="5">
        <f t="shared" si="0"/>
        <v>0.5604759473684211</v>
      </c>
      <c r="E12" s="6">
        <f t="shared" si="1"/>
        <v>-8350957</v>
      </c>
    </row>
    <row r="13" spans="1:5">
      <c r="A13">
        <v>10</v>
      </c>
      <c r="B13" s="6">
        <v>13500000</v>
      </c>
      <c r="C13" s="6">
        <f>SUMIF(Base_Vendas!$O$2:$O$601,A13,Base_Vendas!$S$2:$S$601)</f>
        <v>13958937</v>
      </c>
      <c r="D13" s="5">
        <f t="shared" si="0"/>
        <v>1.0339953333333334</v>
      </c>
      <c r="E13" s="6">
        <f t="shared" si="1"/>
        <v>458937</v>
      </c>
    </row>
    <row r="14" spans="1:5">
      <c r="A14">
        <v>11</v>
      </c>
      <c r="B14" s="6">
        <v>19000000</v>
      </c>
      <c r="C14" s="6">
        <f>SUMIF(Base_Vendas!$O$2:$O$601,A14,Base_Vendas!$S$2:$S$601)</f>
        <v>11237946</v>
      </c>
      <c r="D14" s="5">
        <f t="shared" si="0"/>
        <v>0.59147084210526313</v>
      </c>
      <c r="E14" s="6">
        <f t="shared" si="1"/>
        <v>-7762054</v>
      </c>
    </row>
    <row r="15" spans="1:5">
      <c r="A15">
        <v>12</v>
      </c>
      <c r="B15" s="6">
        <v>19500000</v>
      </c>
      <c r="C15" s="6">
        <f>SUMIF(Base_Vendas!$O$2:$O$601,A15,Base_Vendas!$S$2:$S$601)</f>
        <v>12684684</v>
      </c>
      <c r="D15" s="5">
        <f t="shared" si="0"/>
        <v>0.65049661538461534</v>
      </c>
      <c r="E15" s="6">
        <f t="shared" si="1"/>
        <v>-6815316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E5" sqref="E5"/>
    </sheetView>
  </sheetViews>
  <sheetFormatPr defaultRowHeight="14.25"/>
  <cols>
    <col min="1" max="1" width="34" customWidth="1"/>
    <col min="2" max="2" width="25" customWidth="1"/>
    <col min="3" max="3" width="16.625" customWidth="1"/>
    <col min="4" max="6" width="20" customWidth="1"/>
  </cols>
  <sheetData>
    <row r="1" spans="1:8" ht="32.1" customHeight="1">
      <c r="A1" s="8" t="s">
        <v>949</v>
      </c>
      <c r="B1" s="8"/>
      <c r="C1" s="8"/>
      <c r="D1" s="8"/>
      <c r="E1" s="8"/>
      <c r="F1" s="8"/>
      <c r="G1" s="8"/>
      <c r="H1" s="8"/>
    </row>
    <row r="3" spans="1:8" ht="27" customHeight="1">
      <c r="D3" s="3" t="s">
        <v>944</v>
      </c>
      <c r="E3" s="3" t="s">
        <v>950</v>
      </c>
      <c r="F3" s="3" t="s">
        <v>951</v>
      </c>
    </row>
    <row r="4" spans="1:8" ht="15">
      <c r="A4" s="1" t="s">
        <v>952</v>
      </c>
      <c r="B4" s="6">
        <f>SUM(Base_Vendas!S2:S601)</f>
        <v>159643526</v>
      </c>
      <c r="D4">
        <f>Metas!A4</f>
        <v>1</v>
      </c>
      <c r="E4">
        <f>Metas!C4</f>
        <v>16665223</v>
      </c>
      <c r="F4">
        <f>Metas!B4</f>
        <v>16000000</v>
      </c>
    </row>
    <row r="5" spans="1:8" ht="15">
      <c r="A5" s="1" t="s">
        <v>953</v>
      </c>
      <c r="B5">
        <f>COUNTIF(Base_Vendas!M2:M601,"Ganho")</f>
        <v>406</v>
      </c>
      <c r="D5">
        <f>Metas!A5</f>
        <v>2</v>
      </c>
      <c r="E5">
        <f>Metas!C5</f>
        <v>13995946</v>
      </c>
      <c r="F5">
        <f>Metas!B5</f>
        <v>16500000</v>
      </c>
    </row>
    <row r="6" spans="1:8" ht="15">
      <c r="A6" s="1" t="s">
        <v>954</v>
      </c>
      <c r="B6">
        <f>SUMIF(Base_Vendas!M2:M601,"Ganho",Base_Vendas!I2:I601)</f>
        <v>1749</v>
      </c>
      <c r="D6">
        <f>Metas!A6</f>
        <v>3</v>
      </c>
      <c r="E6">
        <f>Metas!C6</f>
        <v>14582310</v>
      </c>
      <c r="F6">
        <f>Metas!B6</f>
        <v>18000000</v>
      </c>
    </row>
    <row r="7" spans="1:8" ht="15">
      <c r="A7" s="1" t="s">
        <v>955</v>
      </c>
      <c r="B7" s="6">
        <f>IFERROR(B4/B5,0)</f>
        <v>393210.6551724138</v>
      </c>
      <c r="D7">
        <f>Metas!A7</f>
        <v>4</v>
      </c>
      <c r="E7">
        <f>Metas!C7</f>
        <v>14525823</v>
      </c>
      <c r="F7">
        <f>Metas!B7</f>
        <v>18000000</v>
      </c>
    </row>
    <row r="8" spans="1:8" ht="15">
      <c r="A8" s="1" t="s">
        <v>956</v>
      </c>
      <c r="B8" s="6">
        <f>SUM(Base_Vendas!U2:U601)</f>
        <v>37694326</v>
      </c>
      <c r="D8">
        <f>Metas!A8</f>
        <v>5</v>
      </c>
      <c r="E8">
        <f>Metas!C8</f>
        <v>9597740</v>
      </c>
      <c r="F8">
        <f>Metas!B8</f>
        <v>19000000</v>
      </c>
    </row>
    <row r="9" spans="1:8" ht="15">
      <c r="A9" s="1" t="s">
        <v>957</v>
      </c>
      <c r="B9" s="5">
        <f>IFERROR(B8/B4,0)</f>
        <v>0.23611559418951947</v>
      </c>
      <c r="D9">
        <f>Metas!A9</f>
        <v>6</v>
      </c>
      <c r="E9">
        <f>Metas!C9</f>
        <v>12004764</v>
      </c>
      <c r="F9">
        <f>Metas!B9</f>
        <v>17000000</v>
      </c>
    </row>
    <row r="10" spans="1:8" ht="15">
      <c r="A10" s="1" t="s">
        <v>958</v>
      </c>
      <c r="B10" s="5">
        <f>IFERROR(B5/COUNTA(Base_Vendas!A2:A601),0)</f>
        <v>0.67666666666666664</v>
      </c>
      <c r="D10">
        <f>Metas!A10</f>
        <v>7</v>
      </c>
      <c r="E10">
        <f>Metas!C10</f>
        <v>13976404</v>
      </c>
      <c r="F10">
        <f>Metas!B10</f>
        <v>18000000</v>
      </c>
    </row>
    <row r="11" spans="1:8" ht="15">
      <c r="A11" s="1" t="s">
        <v>959</v>
      </c>
      <c r="B11" s="5">
        <f>IFERROR(SUMIF(Base_Vendas!M2:M601,"Ganho",Base_Vendas!R2:R601)/SUMIF(Base_Vendas!M2:M601,"Ganho",Base_Vendas!Q2:Q601),0)</f>
        <v>5.865789185064809E-2</v>
      </c>
      <c r="D11">
        <f>Metas!A11</f>
        <v>8</v>
      </c>
      <c r="E11">
        <f>Metas!C11</f>
        <v>15764706</v>
      </c>
      <c r="F11">
        <f>Metas!B11</f>
        <v>19000000</v>
      </c>
    </row>
    <row r="12" spans="1:8" ht="15">
      <c r="A12" s="1" t="s">
        <v>960</v>
      </c>
      <c r="B12" s="5">
        <f>IFERROR(B4/SUM(Metas!B4:B15),0)</f>
        <v>0.75126365176470589</v>
      </c>
      <c r="D12">
        <f>Metas!A12</f>
        <v>9</v>
      </c>
      <c r="E12">
        <f>Metas!C12</f>
        <v>10649043</v>
      </c>
      <c r="F12">
        <f>Metas!B12</f>
        <v>19000000</v>
      </c>
    </row>
    <row r="13" spans="1:8">
      <c r="D13">
        <f>Metas!A13</f>
        <v>10</v>
      </c>
      <c r="E13">
        <f>Metas!C13</f>
        <v>13958937</v>
      </c>
      <c r="F13">
        <f>Metas!B13</f>
        <v>13500000</v>
      </c>
    </row>
    <row r="14" spans="1:8">
      <c r="D14">
        <f>Metas!A14</f>
        <v>11</v>
      </c>
      <c r="E14">
        <f>Metas!C14</f>
        <v>11237946</v>
      </c>
      <c r="F14">
        <f>Metas!B14</f>
        <v>19000000</v>
      </c>
    </row>
    <row r="15" spans="1:8">
      <c r="A15" s="7" t="s">
        <v>961</v>
      </c>
      <c r="D15">
        <f>Metas!A15</f>
        <v>12</v>
      </c>
      <c r="E15">
        <f>Metas!C15</f>
        <v>12684684</v>
      </c>
      <c r="F15">
        <f>Metas!B15</f>
        <v>19500000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sqref="A1:D1"/>
    </sheetView>
  </sheetViews>
  <sheetFormatPr defaultRowHeight="14.25"/>
  <cols>
    <col min="1" max="1" width="28" customWidth="1"/>
    <col min="2" max="2" width="49" customWidth="1"/>
    <col min="3" max="3" width="20" customWidth="1"/>
    <col min="4" max="4" width="53" customWidth="1"/>
  </cols>
  <sheetData>
    <row r="1" spans="1:4" ht="32.1" customHeight="1">
      <c r="A1" s="8" t="s">
        <v>962</v>
      </c>
      <c r="B1" s="8"/>
      <c r="C1" s="8"/>
      <c r="D1" s="8"/>
    </row>
    <row r="3" spans="1:4" ht="27" customHeight="1">
      <c r="A3" s="3" t="s">
        <v>963</v>
      </c>
      <c r="B3" s="3" t="s">
        <v>964</v>
      </c>
      <c r="C3" s="3" t="s">
        <v>965</v>
      </c>
      <c r="D3" s="3" t="s">
        <v>966</v>
      </c>
    </row>
    <row r="4" spans="1:4">
      <c r="A4" t="s">
        <v>28</v>
      </c>
      <c r="B4" t="s">
        <v>967</v>
      </c>
      <c r="C4" t="s">
        <v>968</v>
      </c>
      <c r="D4" t="s">
        <v>969</v>
      </c>
    </row>
    <row r="5" spans="1:4">
      <c r="A5" t="s">
        <v>29</v>
      </c>
      <c r="B5" t="s">
        <v>970</v>
      </c>
      <c r="C5" t="s">
        <v>29</v>
      </c>
      <c r="D5" t="s">
        <v>971</v>
      </c>
    </row>
    <row r="6" spans="1:4">
      <c r="A6" t="s">
        <v>30</v>
      </c>
      <c r="B6" t="s">
        <v>972</v>
      </c>
      <c r="C6" t="s">
        <v>968</v>
      </c>
      <c r="D6" t="s">
        <v>973</v>
      </c>
    </row>
    <row r="7" spans="1:4">
      <c r="A7" t="s">
        <v>31</v>
      </c>
      <c r="B7" t="s">
        <v>974</v>
      </c>
      <c r="C7" t="s">
        <v>968</v>
      </c>
      <c r="D7" t="s">
        <v>975</v>
      </c>
    </row>
    <row r="8" spans="1:4">
      <c r="A8" t="s">
        <v>32</v>
      </c>
      <c r="B8" t="s">
        <v>976</v>
      </c>
      <c r="C8" t="s">
        <v>968</v>
      </c>
      <c r="D8" t="s">
        <v>977</v>
      </c>
    </row>
    <row r="9" spans="1:4">
      <c r="A9" t="s">
        <v>33</v>
      </c>
      <c r="B9" t="s">
        <v>978</v>
      </c>
      <c r="C9" t="s">
        <v>968</v>
      </c>
      <c r="D9" t="s">
        <v>979</v>
      </c>
    </row>
    <row r="10" spans="1:4">
      <c r="A10" t="s">
        <v>980</v>
      </c>
      <c r="B10" t="s">
        <v>981</v>
      </c>
      <c r="C10" t="s">
        <v>968</v>
      </c>
      <c r="D10" t="s">
        <v>982</v>
      </c>
    </row>
    <row r="11" spans="1:4">
      <c r="A11" t="s">
        <v>36</v>
      </c>
      <c r="B11" t="s">
        <v>983</v>
      </c>
      <c r="C11" t="s">
        <v>984</v>
      </c>
      <c r="D11" t="s">
        <v>985</v>
      </c>
    </row>
    <row r="12" spans="1:4">
      <c r="A12" t="s">
        <v>37</v>
      </c>
      <c r="B12" t="s">
        <v>986</v>
      </c>
      <c r="C12" t="s">
        <v>987</v>
      </c>
      <c r="D12" t="s">
        <v>988</v>
      </c>
    </row>
    <row r="13" spans="1:4">
      <c r="A13" t="s">
        <v>38</v>
      </c>
      <c r="B13" t="s">
        <v>989</v>
      </c>
      <c r="C13" t="s">
        <v>987</v>
      </c>
      <c r="D13" t="s">
        <v>988</v>
      </c>
    </row>
    <row r="14" spans="1:4">
      <c r="A14" t="s">
        <v>39</v>
      </c>
      <c r="B14" t="s">
        <v>990</v>
      </c>
      <c r="C14" t="s">
        <v>991</v>
      </c>
      <c r="D14" t="s">
        <v>992</v>
      </c>
    </row>
    <row r="15" spans="1:4">
      <c r="A15" t="s">
        <v>40</v>
      </c>
      <c r="B15" t="s">
        <v>993</v>
      </c>
      <c r="C15" t="s">
        <v>968</v>
      </c>
      <c r="D15" t="s">
        <v>994</v>
      </c>
    </row>
    <row r="16" spans="1:4">
      <c r="A16" t="s">
        <v>41</v>
      </c>
      <c r="B16" t="s">
        <v>995</v>
      </c>
      <c r="C16" t="s">
        <v>968</v>
      </c>
      <c r="D16" t="s">
        <v>996</v>
      </c>
    </row>
    <row r="17" spans="1:4">
      <c r="A17" t="s">
        <v>46</v>
      </c>
      <c r="B17" t="s">
        <v>997</v>
      </c>
      <c r="C17" t="s">
        <v>987</v>
      </c>
      <c r="D17" t="s">
        <v>998</v>
      </c>
    </row>
    <row r="18" spans="1:4">
      <c r="A18" t="s">
        <v>48</v>
      </c>
      <c r="B18" t="s">
        <v>999</v>
      </c>
      <c r="C18" t="s">
        <v>987</v>
      </c>
      <c r="D18" t="s">
        <v>1000</v>
      </c>
    </row>
    <row r="19" spans="1:4">
      <c r="A19" t="s">
        <v>958</v>
      </c>
      <c r="B19" t="s">
        <v>1001</v>
      </c>
      <c r="C19" t="s">
        <v>991</v>
      </c>
      <c r="D19" t="s">
        <v>1002</v>
      </c>
    </row>
    <row r="20" spans="1:4">
      <c r="A20" t="s">
        <v>1003</v>
      </c>
      <c r="B20" t="s">
        <v>1004</v>
      </c>
      <c r="C20" t="s">
        <v>991</v>
      </c>
      <c r="D20" t="s">
        <v>1005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Enunciado</vt:lpstr>
      <vt:lpstr>Base_Vendas</vt:lpstr>
      <vt:lpstr>Metas</vt:lpstr>
      <vt:lpstr>Dashboard_Modelo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Aniceto José Jolela</cp:lastModifiedBy>
  <dcterms:modified xsi:type="dcterms:W3CDTF">2026-10-10T10:09:06Z</dcterms:modified>
</cp:coreProperties>
</file>