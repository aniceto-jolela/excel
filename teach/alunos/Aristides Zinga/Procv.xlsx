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Aristides Zinga\"/>
    </mc:Choice>
  </mc:AlternateContent>
  <bookViews>
    <workbookView xWindow="0" yWindow="0" windowWidth="20490" windowHeight="7620" activeTab="5"/>
  </bookViews>
  <sheets>
    <sheet name="0-0" sheetId="1" r:id="rId1"/>
    <sheet name="0-1" sheetId="3" r:id="rId2"/>
    <sheet name="1-0" sheetId="4" r:id="rId3"/>
    <sheet name="1-1" sheetId="5" r:id="rId4"/>
    <sheet name="2-0" sheetId="6" r:id="rId5"/>
    <sheet name="2-1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L7" i="7" l="1"/>
  <c r="M7" i="7"/>
  <c r="N7" i="7"/>
  <c r="O7" i="7"/>
  <c r="P7" i="7"/>
  <c r="K7" i="7"/>
  <c r="B6" i="7"/>
  <c r="B7" i="7" s="1"/>
  <c r="B8" i="7" s="1"/>
  <c r="B9" i="7" s="1"/>
  <c r="B10" i="7" s="1"/>
  <c r="B6" i="6"/>
  <c r="B7" i="6" s="1"/>
  <c r="B8" i="6" s="1"/>
  <c r="B9" i="6" s="1"/>
  <c r="B10" i="6" s="1"/>
  <c r="F6" i="5"/>
  <c r="F7" i="5"/>
  <c r="F8" i="5"/>
  <c r="F9" i="5"/>
  <c r="F10" i="5"/>
  <c r="F5" i="5"/>
  <c r="E6" i="5"/>
  <c r="E5" i="5"/>
  <c r="B6" i="5"/>
  <c r="B7" i="5" s="1"/>
  <c r="B8" i="5" s="1"/>
  <c r="B9" i="5" s="1"/>
  <c r="B10" i="5" s="1"/>
  <c r="B6" i="4"/>
  <c r="B7" i="4" s="1"/>
  <c r="B8" i="4" s="1"/>
  <c r="B9" i="4" s="1"/>
  <c r="B10" i="4" s="1"/>
  <c r="B6" i="3"/>
  <c r="B7" i="3" s="1"/>
  <c r="B8" i="3" s="1"/>
  <c r="B9" i="3" s="1"/>
  <c r="B10" i="3" s="1"/>
  <c r="B10" i="1"/>
  <c r="B7" i="1"/>
  <c r="B8" i="1" s="1"/>
  <c r="B9" i="1" s="1"/>
  <c r="B6" i="1"/>
  <c r="H5" i="3" l="1"/>
  <c r="H7" i="3"/>
  <c r="H6" i="3"/>
</calcChain>
</file>

<file path=xl/sharedStrings.xml><?xml version="1.0" encoding="utf-8"?>
<sst xmlns="http://schemas.openxmlformats.org/spreadsheetml/2006/main" count="125" uniqueCount="43">
  <si>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</si>
  <si>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</si>
  <si>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</si>
  <si>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</si>
  <si>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</si>
  <si>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</si>
  <si>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</si>
  <si>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</si>
  <si>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</si>
  <si>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</si>
  <si>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</si>
  <si>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aproximada</t>
  </si>
  <si>
    <t xml:space="preserve">exata </t>
  </si>
  <si>
    <t>TURNO</t>
  </si>
  <si>
    <t>HORÁRIO</t>
  </si>
  <si>
    <t>Manhã</t>
  </si>
  <si>
    <t>Tarde</t>
  </si>
  <si>
    <t>Noite</t>
  </si>
  <si>
    <t>=PROCV(D5;G4:H7;2;VERDADEIRO)</t>
  </si>
  <si>
    <t>Referencia absoluta</t>
  </si>
  <si>
    <t>=PROCV(D5;$G$4:$H$8;2;1)</t>
  </si>
  <si>
    <t>JAN</t>
  </si>
  <si>
    <t>FEV</t>
  </si>
  <si>
    <t>MAR</t>
  </si>
  <si>
    <t>ABR</t>
  </si>
  <si>
    <t>MAI</t>
  </si>
  <si>
    <t>JUN</t>
  </si>
  <si>
    <t>RELATÓRO DE DESEMPENHO</t>
  </si>
  <si>
    <t>Analia</t>
  </si>
  <si>
    <t>Joana</t>
  </si>
  <si>
    <t>Wilma</t>
  </si>
  <si>
    <t>Liliana</t>
  </si>
  <si>
    <t>=PROCV($L$5;$C$4:$I$10;COL(D5);0)</t>
  </si>
  <si>
    <t>erro ref</t>
  </si>
  <si>
    <t>'=PROCV(H4;B4:E10;2;FALSO)</t>
  </si>
  <si>
    <r>
      <t>=PROCV(H4;B4:E10;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</si>
  <si>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r>
      <t>=PROCV(H4;B4:E10;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</si>
  <si>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r>
      <t>=PROCV(H4;B4:E10;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</si>
  <si>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t>Alice</t>
  </si>
  <si>
    <t>Jordão</t>
  </si>
  <si>
    <t>Zelia</t>
  </si>
  <si>
    <t>Carmo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</si>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</sst>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5" fontId="0" fillId="0" borderId="1" xfId="1" applyNumberFormat="1" applyFont="1" applyBorder="1" applyAlignment="1">
      <alignment horizontal="center"/>
    </xf>
    <xf numFmtId="0" fontId="0" fillId="0" borderId="0" xfId="0" quotePrefix="1"/>
    <xf numFmtId="20" fontId="3" fillId="0" borderId="1" xfId="0" applyNumberFormat="1" applyFont="1" applyBorder="1"/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0" xfId="0" applyFill="1"/>
    <xf numFmtId="0" fontId="0" fillId="4" borderId="0" xfId="0" quotePrefix="1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0" fontId="4" fillId="0" borderId="5" xfId="0" applyFont="1" applyBorder="1"/>
    <xf numFmtId="0" fontId="0" fillId="0" borderId="0" xfId="0" quotePrefix="1" applyFill="1" applyBorder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6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'2-1'!$K$6:$P$6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'2-1'!$K$7:$P$7</c:f>
              <c:numCache>
                <c:formatCode>General</c:formatCode>
                <c:ptCount val="6"/>
                <c:pt idx="0">
                  <c:v>234</c:v>
                </c:pt>
                <c:pt idx="1">
                  <c:v>186</c:v>
                </c:pt>
                <c:pt idx="2">
                  <c:v>656</c:v>
                </c:pt>
                <c:pt idx="3">
                  <c:v>667</c:v>
                </c:pt>
                <c:pt idx="4">
                  <c:v>117</c:v>
                </c:pt>
                <c:pt idx="5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1-4E28-9900-E178410FDF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1829808"/>
        <c:axId val="511824400"/>
      </c:lineChart>
      <c:catAx>
        <c:axId val="5118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511824400"/>
        <c:crosses val="autoZero"/>
        <c:auto val="1"/>
        <c:lblAlgn val="ctr"/>
        <c:lblOffset val="100"/>
        <c:noMultiLvlLbl val="0"/>
      </c:catAx>
      <c:valAx>
        <c:axId val="511824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18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5</xdr:row>
      <xdr:rowOff>9525</xdr:rowOff>
    </xdr:from>
    <xdr:to>
      <xdr:col>17</xdr:col>
      <xdr:colOff>38100</xdr:colOff>
      <xdr:row>13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4"/>
  <sheetViews>
    <sheetView zoomScale="160" zoomScaleNormal="160" workbookViewId="0">
      <selection activeCell="H9" sqref="H9"/>
    </sheetView>
  </sheetViews>
  <sheetFormatPr defaultRowHeight="15" x14ac:dyDescent="0.25"/>
  <cols>
    <col min="1" max="1" width="10" bestFit="1" customWidth="1"/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9" ht="16.5" customHeight="1" x14ac:dyDescent="0.25"/>
    <row r="2" spans="2:9" ht="14.25" customHeight="1" x14ac:dyDescent="0.25">
      <c r="B2" s="25" t="s">
        <v>1</v>
      </c>
      <c r="C2" s="26"/>
      <c r="D2" s="26"/>
      <c r="E2" s="27"/>
    </row>
    <row r="4" spans="2:9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16">
        <v>6</v>
      </c>
    </row>
    <row r="5" spans="2:9" x14ac:dyDescent="0.25">
      <c r="B5" s="3">
        <v>1</v>
      </c>
      <c r="C5" s="3" t="s">
        <v>38</v>
      </c>
      <c r="D5" s="4">
        <v>1.0416666666666666E-2</v>
      </c>
      <c r="E5" s="3" t="s">
        <v>8</v>
      </c>
      <c r="G5" s="6" t="s">
        <v>2</v>
      </c>
      <c r="H5" s="16" t="str">
        <f>VLOOKUP(H4,B4:E10,2,)</f>
        <v>Liliana</v>
      </c>
    </row>
    <row r="6" spans="2:9" x14ac:dyDescent="0.25">
      <c r="B6" s="3">
        <f>B5+1</f>
        <v>2</v>
      </c>
      <c r="C6" s="3" t="s">
        <v>6</v>
      </c>
      <c r="D6" s="4">
        <v>8.3333333333333332E-3</v>
      </c>
      <c r="E6" s="3" t="s">
        <v>9</v>
      </c>
      <c r="G6" s="6" t="s">
        <v>3</v>
      </c>
      <c r="H6" s="30">
        <f>VLOOKUP(H4,B4:E10,3,0)</f>
        <v>9.7222222222222224E-3</v>
      </c>
    </row>
    <row r="7" spans="2:9" x14ac:dyDescent="0.25">
      <c r="B7" s="3">
        <f t="shared" ref="B7:B9" si="0">B6+1</f>
        <v>3</v>
      </c>
      <c r="C7" s="3" t="s">
        <v>7</v>
      </c>
      <c r="D7" s="4">
        <v>6.9444444444444441E-3</v>
      </c>
      <c r="E7" s="3" t="s">
        <v>8</v>
      </c>
      <c r="G7" s="6" t="s">
        <v>4</v>
      </c>
      <c r="H7" s="16" t="str">
        <f>VLOOKUP(H4,B4:E10,4,FALSE)</f>
        <v>|||</v>
      </c>
    </row>
    <row r="8" spans="2:9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9" x14ac:dyDescent="0.25">
      <c r="B9" s="3">
        <f t="shared" si="0"/>
        <v>5</v>
      </c>
      <c r="C9" s="3" t="s">
        <v>39</v>
      </c>
      <c r="D9" s="4">
        <v>6.2499999999999995E-3</v>
      </c>
      <c r="E9" s="3" t="s">
        <v>8</v>
      </c>
    </row>
    <row r="10" spans="2:9" x14ac:dyDescent="0.25">
      <c r="B10" s="3">
        <f>B9+1</f>
        <v>6</v>
      </c>
      <c r="C10" s="3" t="s">
        <v>31</v>
      </c>
      <c r="D10" s="4">
        <v>9.7222222222222224E-3</v>
      </c>
      <c r="E10" s="3" t="s">
        <v>10</v>
      </c>
    </row>
    <row r="14" spans="2:9" x14ac:dyDescent="0.25">
      <c r="I14" t="s">
        <v>34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workbookViewId="0">
      <selection activeCell="P9" sqref="P9"/>
    </sheetView>
  </sheetViews>
  <sheetFormatPr defaultRowHeight="15" x14ac:dyDescent="0.25"/>
  <cols>
    <col min="7" max="7" width="9.7109375" bestFit="1" customWidth="1"/>
    <col min="12" max="12" width="12.42578125" bestFit="1" customWidth="1"/>
    <col min="13" max="13" width="11.42578125" bestFit="1" customWidth="1"/>
  </cols>
  <sheetData>
    <row r="2" spans="2:14" x14ac:dyDescent="0.25">
      <c r="B2" s="25" t="s">
        <v>1</v>
      </c>
      <c r="C2" s="26"/>
      <c r="D2" s="26"/>
      <c r="E2" s="27"/>
    </row>
    <row r="3" spans="2:14" x14ac:dyDescent="0.25">
      <c r="B3" s="22">
        <v>1</v>
      </c>
      <c r="C3" s="22">
        <v>2</v>
      </c>
      <c r="D3" s="22">
        <v>3</v>
      </c>
      <c r="E3" s="22">
        <v>4</v>
      </c>
    </row>
    <row r="4" spans="2:14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3">
        <v>6</v>
      </c>
      <c r="L4" s="23" t="b">
        <v>1</v>
      </c>
      <c r="M4" s="1" t="s">
        <v>11</v>
      </c>
      <c r="N4" s="1">
        <v>1</v>
      </c>
    </row>
    <row r="5" spans="2:14" x14ac:dyDescent="0.25">
      <c r="B5" s="3">
        <v>1</v>
      </c>
      <c r="C5" s="3" t="s">
        <v>5</v>
      </c>
      <c r="D5" s="4">
        <v>1.0416666666666666E-2</v>
      </c>
      <c r="E5" s="3" t="s">
        <v>8</v>
      </c>
      <c r="G5" s="6" t="s">
        <v>2</v>
      </c>
      <c r="H5" s="3" t="str">
        <f>VLOOKUP(H4,B4:E10,2,FALSE)</f>
        <v>Lucas</v>
      </c>
      <c r="I5" s="8" t="s">
        <v>35</v>
      </c>
      <c r="L5" s="24" t="b">
        <v>0</v>
      </c>
      <c r="M5" s="1" t="s">
        <v>12</v>
      </c>
      <c r="N5" s="24">
        <v>0</v>
      </c>
    </row>
    <row r="6" spans="2:14" x14ac:dyDescent="0.25">
      <c r="B6" s="3">
        <f>B5+1</f>
        <v>2</v>
      </c>
      <c r="C6" s="3" t="s">
        <v>6</v>
      </c>
      <c r="D6" s="4">
        <v>8.3333333333333332E-3</v>
      </c>
      <c r="E6" s="3" t="s">
        <v>9</v>
      </c>
      <c r="G6" s="6" t="s">
        <v>3</v>
      </c>
      <c r="H6" s="7">
        <f>VLOOKUP(H4,B4:E10,3,FALSE)</f>
        <v>9.7222222222222224E-3</v>
      </c>
      <c r="I6" s="8" t="s">
        <v>36</v>
      </c>
    </row>
    <row r="7" spans="2:14" x14ac:dyDescent="0.25">
      <c r="B7" s="3">
        <f t="shared" ref="B7:B9" si="0">B6+1</f>
        <v>3</v>
      </c>
      <c r="C7" s="3" t="s">
        <v>7</v>
      </c>
      <c r="D7" s="4">
        <v>6.9444444444444441E-3</v>
      </c>
      <c r="E7" s="3" t="s">
        <v>8</v>
      </c>
      <c r="G7" s="6" t="s">
        <v>4</v>
      </c>
      <c r="H7" s="3" t="str">
        <f>VLOOKUP(H4,B4:E10,4,FALSE)</f>
        <v>|||</v>
      </c>
      <c r="I7" s="8" t="s">
        <v>37</v>
      </c>
    </row>
    <row r="8" spans="2:14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14" x14ac:dyDescent="0.25">
      <c r="B9" s="3">
        <f t="shared" si="0"/>
        <v>5</v>
      </c>
      <c r="C9" s="3" t="s">
        <v>6</v>
      </c>
      <c r="D9" s="4">
        <v>6.2499999999999995E-3</v>
      </c>
      <c r="E9" s="3" t="s">
        <v>8</v>
      </c>
    </row>
    <row r="10" spans="2:14" x14ac:dyDescent="0.25">
      <c r="B10" s="3">
        <f>B9+1</f>
        <v>6</v>
      </c>
      <c r="C10" s="3" t="s">
        <v>7</v>
      </c>
      <c r="D10" s="4">
        <v>9.7222222222222224E-3</v>
      </c>
      <c r="E10" s="3" t="s">
        <v>10</v>
      </c>
      <c r="I10" s="21"/>
    </row>
    <row r="11" spans="2:14" x14ac:dyDescent="0.25">
      <c r="I11" s="8"/>
    </row>
    <row r="13" spans="2:14" x14ac:dyDescent="0.25">
      <c r="I13" s="8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zoomScale="175" zoomScaleNormal="175" workbookViewId="0">
      <selection activeCell="D4" sqref="D4:D10"/>
    </sheetView>
  </sheetViews>
  <sheetFormatPr defaultRowHeight="15" x14ac:dyDescent="0.25"/>
  <sheetData>
    <row r="2" spans="2:8" x14ac:dyDescent="0.25">
      <c r="B2" s="25" t="s">
        <v>1</v>
      </c>
      <c r="C2" s="26"/>
      <c r="D2" s="26"/>
      <c r="E2" s="27"/>
    </row>
    <row r="4" spans="2:8" x14ac:dyDescent="0.25">
      <c r="B4" s="5" t="s">
        <v>0</v>
      </c>
      <c r="C4" s="5" t="s">
        <v>2</v>
      </c>
      <c r="D4" s="5" t="s">
        <v>14</v>
      </c>
      <c r="E4" s="5" t="s">
        <v>13</v>
      </c>
      <c r="G4" s="5" t="s">
        <v>14</v>
      </c>
      <c r="H4" s="5" t="s">
        <v>13</v>
      </c>
    </row>
    <row r="5" spans="2:8" x14ac:dyDescent="0.25">
      <c r="B5" s="3">
        <v>1</v>
      </c>
      <c r="C5" s="3" t="s">
        <v>40</v>
      </c>
      <c r="D5" s="4">
        <v>0.33333333333333331</v>
      </c>
      <c r="E5" s="3"/>
      <c r="G5" s="2">
        <v>0.29166666666666669</v>
      </c>
      <c r="H5" s="1" t="s">
        <v>15</v>
      </c>
    </row>
    <row r="6" spans="2:8" x14ac:dyDescent="0.25">
      <c r="B6" s="3">
        <f>B5+1</f>
        <v>2</v>
      </c>
      <c r="C6" s="3" t="s">
        <v>6</v>
      </c>
      <c r="D6" s="4">
        <v>0.25</v>
      </c>
      <c r="E6" s="3"/>
      <c r="G6" s="2">
        <v>0.58333333333333337</v>
      </c>
      <c r="H6" s="1" t="s">
        <v>16</v>
      </c>
    </row>
    <row r="7" spans="2:8" x14ac:dyDescent="0.25">
      <c r="B7" s="3">
        <f t="shared" ref="B7:B9" si="0">B6+1</f>
        <v>3</v>
      </c>
      <c r="C7" s="3" t="s">
        <v>7</v>
      </c>
      <c r="D7" s="4">
        <v>0.66666666666666663</v>
      </c>
      <c r="E7" s="3"/>
      <c r="G7" s="2">
        <v>0.91666666666666663</v>
      </c>
      <c r="H7" s="1" t="s">
        <v>17</v>
      </c>
    </row>
    <row r="8" spans="2:8" x14ac:dyDescent="0.25">
      <c r="B8" s="3">
        <f t="shared" si="0"/>
        <v>4</v>
      </c>
      <c r="C8" s="3" t="s">
        <v>5</v>
      </c>
      <c r="D8" s="4">
        <v>0.79166666666666663</v>
      </c>
      <c r="E8" s="3"/>
    </row>
    <row r="9" spans="2:8" x14ac:dyDescent="0.25">
      <c r="B9" s="3">
        <f t="shared" si="0"/>
        <v>5</v>
      </c>
      <c r="C9" s="3" t="s">
        <v>41</v>
      </c>
      <c r="D9" s="4">
        <v>0.91666666666666663</v>
      </c>
      <c r="E9" s="3"/>
    </row>
    <row r="10" spans="2:8" x14ac:dyDescent="0.25">
      <c r="B10" s="3">
        <f>B9+1</f>
        <v>6</v>
      </c>
      <c r="C10" s="3" t="s">
        <v>42</v>
      </c>
      <c r="D10" s="4">
        <v>9.7222222222222224E-3</v>
      </c>
      <c r="E10" s="3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workbookViewId="0">
      <selection activeCell="F5" sqref="F5"/>
    </sheetView>
  </sheetViews>
  <sheetFormatPr defaultRowHeight="15" x14ac:dyDescent="0.25"/>
  <sheetData>
    <row r="2" spans="2:10" x14ac:dyDescent="0.25">
      <c r="B2" s="25" t="s">
        <v>1</v>
      </c>
      <c r="C2" s="26"/>
      <c r="D2" s="26"/>
      <c r="E2" s="27"/>
    </row>
    <row r="4" spans="2:10" x14ac:dyDescent="0.25">
      <c r="B4" s="5" t="s">
        <v>0</v>
      </c>
      <c r="C4" s="5" t="s">
        <v>2</v>
      </c>
      <c r="D4" s="5" t="s">
        <v>14</v>
      </c>
      <c r="E4" s="5" t="s">
        <v>13</v>
      </c>
      <c r="G4" s="5" t="s">
        <v>14</v>
      </c>
      <c r="H4" s="5" t="s">
        <v>13</v>
      </c>
    </row>
    <row r="5" spans="2:10" x14ac:dyDescent="0.25">
      <c r="B5" s="3">
        <v>1</v>
      </c>
      <c r="C5" s="3" t="s">
        <v>5</v>
      </c>
      <c r="D5" s="4">
        <v>0.33333333333333331</v>
      </c>
      <c r="E5" s="3" t="str">
        <f>VLOOKUP(D5,G4:H8,2,TRUE)</f>
        <v>Manhã</v>
      </c>
      <c r="F5" s="13" t="str">
        <f>VLOOKUP(D5,$G$4:$H$8,2,1)</f>
        <v>Manhã</v>
      </c>
      <c r="G5" s="9">
        <v>0</v>
      </c>
      <c r="H5" s="10" t="s">
        <v>17</v>
      </c>
      <c r="J5" s="8" t="s">
        <v>18</v>
      </c>
    </row>
    <row r="6" spans="2:10" x14ac:dyDescent="0.25">
      <c r="B6" s="3">
        <f>B5+1</f>
        <v>2</v>
      </c>
      <c r="C6" s="3" t="s">
        <v>6</v>
      </c>
      <c r="D6" s="11">
        <v>0.25</v>
      </c>
      <c r="E6" s="12" t="str">
        <f>VLOOKUP(D6,G4:H8,2,1)</f>
        <v>Noite</v>
      </c>
      <c r="F6" s="13" t="str">
        <f t="shared" ref="F6:F10" si="0">VLOOKUP(D6,$G$4:$H$8,2,1)</f>
        <v>Noite</v>
      </c>
      <c r="G6" s="2">
        <v>0.29166666666666669</v>
      </c>
      <c r="H6" s="1" t="s">
        <v>15</v>
      </c>
    </row>
    <row r="7" spans="2:10" x14ac:dyDescent="0.25">
      <c r="B7" s="3">
        <f t="shared" ref="B7:B9" si="1">B6+1</f>
        <v>3</v>
      </c>
      <c r="C7" s="3" t="s">
        <v>7</v>
      </c>
      <c r="D7" s="4">
        <v>0.66666666666666663</v>
      </c>
      <c r="E7" s="3"/>
      <c r="F7" s="13" t="str">
        <f t="shared" si="0"/>
        <v>Tarde</v>
      </c>
      <c r="G7" s="2">
        <v>0.58333333333333337</v>
      </c>
      <c r="H7" s="1" t="s">
        <v>16</v>
      </c>
    </row>
    <row r="8" spans="2:10" x14ac:dyDescent="0.25">
      <c r="B8" s="3">
        <f t="shared" si="1"/>
        <v>4</v>
      </c>
      <c r="C8" s="3" t="s">
        <v>5</v>
      </c>
      <c r="D8" s="4">
        <v>0.79166666666666663</v>
      </c>
      <c r="E8" s="3"/>
      <c r="F8" s="13" t="str">
        <f t="shared" si="0"/>
        <v>Tarde</v>
      </c>
      <c r="G8" s="2">
        <v>0.91666666666666663</v>
      </c>
      <c r="H8" s="1" t="s">
        <v>17</v>
      </c>
    </row>
    <row r="9" spans="2:10" x14ac:dyDescent="0.25">
      <c r="B9" s="3">
        <f t="shared" si="1"/>
        <v>5</v>
      </c>
      <c r="C9" s="3" t="s">
        <v>6</v>
      </c>
      <c r="D9" s="4">
        <v>0.91666666666666663</v>
      </c>
      <c r="E9" s="3"/>
      <c r="F9" s="13" t="str">
        <f t="shared" si="0"/>
        <v>Noite</v>
      </c>
    </row>
    <row r="10" spans="2:10" x14ac:dyDescent="0.25">
      <c r="B10" s="3">
        <f>B9+1</f>
        <v>6</v>
      </c>
      <c r="C10" s="3" t="s">
        <v>7</v>
      </c>
      <c r="D10" s="4">
        <v>9.7222222222222224E-3</v>
      </c>
      <c r="E10" s="3"/>
      <c r="F10" s="13" t="str">
        <f t="shared" si="0"/>
        <v>Noite</v>
      </c>
    </row>
    <row r="12" spans="2:10" x14ac:dyDescent="0.25">
      <c r="F12" s="15" t="s">
        <v>19</v>
      </c>
      <c r="G12" s="15"/>
      <c r="H12" s="15"/>
    </row>
    <row r="13" spans="2:10" x14ac:dyDescent="0.25">
      <c r="F13" s="14" t="s">
        <v>20</v>
      </c>
      <c r="G13" s="13"/>
      <c r="H13" s="13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F13" sqref="F13"/>
    </sheetView>
  </sheetViews>
  <sheetFormatPr defaultRowHeight="15" x14ac:dyDescent="0.25"/>
  <sheetData>
    <row r="2" spans="2:9" x14ac:dyDescent="0.25">
      <c r="B2" s="28" t="s">
        <v>1</v>
      </c>
      <c r="C2" s="28"/>
      <c r="D2" s="28"/>
      <c r="E2" s="28"/>
      <c r="F2" s="28"/>
      <c r="G2" s="28"/>
      <c r="H2" s="28"/>
      <c r="I2" s="28"/>
    </row>
    <row r="4" spans="2:9" x14ac:dyDescent="0.25">
      <c r="B4" s="5" t="s">
        <v>0</v>
      </c>
      <c r="C4" s="5" t="s">
        <v>2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</row>
    <row r="5" spans="2:9" x14ac:dyDescent="0.25">
      <c r="B5" s="3">
        <v>1</v>
      </c>
      <c r="C5" s="16" t="s">
        <v>5</v>
      </c>
      <c r="D5" s="17">
        <v>234</v>
      </c>
      <c r="E5" s="16">
        <v>186</v>
      </c>
      <c r="F5" s="16">
        <v>656</v>
      </c>
      <c r="G5" s="16">
        <v>667</v>
      </c>
      <c r="H5" s="16">
        <v>117</v>
      </c>
      <c r="I5" s="16">
        <v>124</v>
      </c>
    </row>
    <row r="6" spans="2:9" x14ac:dyDescent="0.25">
      <c r="B6" s="3">
        <f>B5+1</f>
        <v>2</v>
      </c>
      <c r="C6" s="16" t="s">
        <v>28</v>
      </c>
      <c r="D6" s="17">
        <v>124</v>
      </c>
      <c r="E6" s="16">
        <v>352</v>
      </c>
      <c r="F6" s="16">
        <v>147</v>
      </c>
      <c r="G6" s="16">
        <v>123</v>
      </c>
      <c r="H6" s="16">
        <v>234</v>
      </c>
      <c r="I6" s="16">
        <v>109</v>
      </c>
    </row>
    <row r="7" spans="2:9" x14ac:dyDescent="0.25">
      <c r="B7" s="3">
        <f t="shared" ref="B7:B9" si="0">B6+1</f>
        <v>3</v>
      </c>
      <c r="C7" s="16" t="s">
        <v>7</v>
      </c>
      <c r="D7" s="17">
        <v>456</v>
      </c>
      <c r="E7" s="16">
        <v>235</v>
      </c>
      <c r="F7" s="16">
        <v>186</v>
      </c>
      <c r="G7" s="16">
        <v>86</v>
      </c>
      <c r="H7" s="16">
        <v>234</v>
      </c>
      <c r="I7" s="16">
        <v>325</v>
      </c>
    </row>
    <row r="8" spans="2:9" x14ac:dyDescent="0.25">
      <c r="B8" s="3">
        <f t="shared" si="0"/>
        <v>4</v>
      </c>
      <c r="C8" s="16" t="s">
        <v>29</v>
      </c>
      <c r="D8" s="17">
        <v>234</v>
      </c>
      <c r="E8" s="16">
        <v>468</v>
      </c>
      <c r="F8" s="16">
        <v>124</v>
      </c>
      <c r="G8" s="16">
        <v>98</v>
      </c>
      <c r="H8" s="16">
        <v>357</v>
      </c>
      <c r="I8" s="16">
        <v>168</v>
      </c>
    </row>
    <row r="9" spans="2:9" x14ac:dyDescent="0.25">
      <c r="B9" s="3">
        <f t="shared" si="0"/>
        <v>5</v>
      </c>
      <c r="C9" s="16" t="s">
        <v>30</v>
      </c>
      <c r="D9" s="17">
        <v>110</v>
      </c>
      <c r="E9" s="16">
        <v>153</v>
      </c>
      <c r="F9" s="16">
        <v>879</v>
      </c>
      <c r="G9" s="16">
        <v>352</v>
      </c>
      <c r="H9" s="16">
        <v>436</v>
      </c>
      <c r="I9" s="16">
        <v>254</v>
      </c>
    </row>
    <row r="10" spans="2:9" x14ac:dyDescent="0.25">
      <c r="B10" s="3">
        <f>B9+1</f>
        <v>6</v>
      </c>
      <c r="C10" s="16" t="s">
        <v>31</v>
      </c>
      <c r="D10" s="17">
        <v>325</v>
      </c>
      <c r="E10" s="16">
        <v>257</v>
      </c>
      <c r="F10" s="16">
        <v>946</v>
      </c>
      <c r="G10" s="16">
        <v>543</v>
      </c>
      <c r="H10" s="16">
        <v>234</v>
      </c>
      <c r="I10" s="16">
        <v>298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"/>
  <sheetViews>
    <sheetView showGridLines="0" tabSelected="1" topLeftCell="B1" workbookViewId="0">
      <selection activeCell="T20" sqref="C4:T20"/>
    </sheetView>
  </sheetViews>
  <sheetFormatPr defaultRowHeight="15" x14ac:dyDescent="0.25"/>
  <cols>
    <col min="11" max="11" width="9.7109375" bestFit="1" customWidth="1"/>
  </cols>
  <sheetData>
    <row r="2" spans="1:17" x14ac:dyDescent="0.25">
      <c r="B2" s="28" t="s">
        <v>1</v>
      </c>
      <c r="C2" s="28"/>
      <c r="D2" s="28"/>
      <c r="E2" s="28"/>
      <c r="F2" s="28"/>
      <c r="G2" s="28"/>
      <c r="H2" s="28"/>
      <c r="I2" s="28"/>
    </row>
    <row r="4" spans="1:17" x14ac:dyDescent="0.25">
      <c r="B4" s="5" t="s">
        <v>0</v>
      </c>
      <c r="C4" s="5" t="s">
        <v>2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K4" s="29" t="s">
        <v>27</v>
      </c>
      <c r="L4" s="29"/>
      <c r="M4" s="29"/>
    </row>
    <row r="5" spans="1:17" x14ac:dyDescent="0.25">
      <c r="B5" s="3">
        <v>1</v>
      </c>
      <c r="C5" s="16" t="s">
        <v>5</v>
      </c>
      <c r="D5" s="17">
        <v>234</v>
      </c>
      <c r="E5" s="16">
        <v>186</v>
      </c>
      <c r="F5" s="16">
        <v>656</v>
      </c>
      <c r="G5" s="16">
        <v>667</v>
      </c>
      <c r="H5" s="16">
        <v>117</v>
      </c>
      <c r="I5" s="16">
        <v>124</v>
      </c>
      <c r="K5" s="20" t="s">
        <v>2</v>
      </c>
      <c r="L5" s="19" t="s">
        <v>5</v>
      </c>
      <c r="M5" s="19"/>
      <c r="N5" s="19"/>
      <c r="O5" s="19"/>
      <c r="P5" s="19"/>
      <c r="Q5" s="19"/>
    </row>
    <row r="6" spans="1:17" x14ac:dyDescent="0.25">
      <c r="B6" s="3">
        <f>B5+1</f>
        <v>2</v>
      </c>
      <c r="C6" s="16" t="s">
        <v>28</v>
      </c>
      <c r="D6" s="17">
        <v>124</v>
      </c>
      <c r="E6" s="16">
        <v>352</v>
      </c>
      <c r="F6" s="16">
        <v>147</v>
      </c>
      <c r="G6" s="16">
        <v>123</v>
      </c>
      <c r="H6" s="16">
        <v>234</v>
      </c>
      <c r="I6" s="16">
        <v>109</v>
      </c>
      <c r="K6" s="18" t="s">
        <v>21</v>
      </c>
      <c r="L6" s="18" t="s">
        <v>22</v>
      </c>
      <c r="M6" s="18" t="s">
        <v>23</v>
      </c>
      <c r="N6" s="18" t="s">
        <v>24</v>
      </c>
      <c r="O6" s="18" t="s">
        <v>25</v>
      </c>
      <c r="P6" s="18" t="s">
        <v>26</v>
      </c>
    </row>
    <row r="7" spans="1:17" x14ac:dyDescent="0.25">
      <c r="B7" s="3">
        <f t="shared" ref="B7:B9" si="0">B6+1</f>
        <v>3</v>
      </c>
      <c r="C7" s="16" t="s">
        <v>7</v>
      </c>
      <c r="D7" s="17">
        <v>456</v>
      </c>
      <c r="E7" s="16">
        <v>235</v>
      </c>
      <c r="F7" s="16">
        <v>186</v>
      </c>
      <c r="G7" s="16">
        <v>86</v>
      </c>
      <c r="H7" s="16">
        <v>234</v>
      </c>
      <c r="I7" s="16">
        <v>325</v>
      </c>
      <c r="K7">
        <f>VLOOKUP($L$5,$C$4:$I$10,COLUMN(B1),0)</f>
        <v>234</v>
      </c>
      <c r="L7">
        <f t="shared" ref="L7:P7" si="1">VLOOKUP($L$5,$C$4:$I$10,COLUMN(C1),0)</f>
        <v>186</v>
      </c>
      <c r="M7">
        <f t="shared" si="1"/>
        <v>656</v>
      </c>
      <c r="N7">
        <f t="shared" si="1"/>
        <v>667</v>
      </c>
      <c r="O7">
        <f t="shared" si="1"/>
        <v>117</v>
      </c>
      <c r="P7">
        <f t="shared" si="1"/>
        <v>124</v>
      </c>
    </row>
    <row r="8" spans="1:17" x14ac:dyDescent="0.25">
      <c r="B8" s="3">
        <f t="shared" si="0"/>
        <v>4</v>
      </c>
      <c r="C8" s="16" t="s">
        <v>29</v>
      </c>
      <c r="D8" s="17">
        <v>234</v>
      </c>
      <c r="E8" s="16">
        <v>468</v>
      </c>
      <c r="F8" s="16">
        <v>124</v>
      </c>
      <c r="G8" s="16">
        <v>98</v>
      </c>
      <c r="H8" s="16">
        <v>357</v>
      </c>
      <c r="I8" s="16">
        <v>168</v>
      </c>
    </row>
    <row r="9" spans="1:17" x14ac:dyDescent="0.25">
      <c r="B9" s="3">
        <f t="shared" si="0"/>
        <v>5</v>
      </c>
      <c r="C9" s="16" t="s">
        <v>30</v>
      </c>
      <c r="D9" s="17">
        <v>110</v>
      </c>
      <c r="E9" s="16">
        <v>153</v>
      </c>
      <c r="F9" s="16">
        <v>879</v>
      </c>
      <c r="G9" s="16">
        <v>352</v>
      </c>
      <c r="H9" s="16">
        <v>436</v>
      </c>
      <c r="I9" s="16">
        <v>254</v>
      </c>
    </row>
    <row r="10" spans="1:17" x14ac:dyDescent="0.25">
      <c r="B10" s="3">
        <f>B9+1</f>
        <v>6</v>
      </c>
      <c r="C10" s="16" t="s">
        <v>31</v>
      </c>
      <c r="D10" s="17">
        <v>325</v>
      </c>
      <c r="E10" s="16">
        <v>257</v>
      </c>
      <c r="F10" s="16">
        <v>946</v>
      </c>
      <c r="G10" s="16">
        <v>543</v>
      </c>
      <c r="H10" s="16">
        <v>234</v>
      </c>
      <c r="I10" s="16">
        <v>298</v>
      </c>
    </row>
    <row r="13" spans="1:17" x14ac:dyDescent="0.25">
      <c r="A13" t="s">
        <v>33</v>
      </c>
      <c r="B13" s="8" t="s">
        <v>32</v>
      </c>
    </row>
  </sheetData>
  <mergeCells count="2">
    <mergeCell ref="B2:I2"/>
    <mergeCell ref="K4:M4"/>
  </mergeCells>
  <dataValidations count="1">
    <dataValidation type="list" allowBlank="1" showInputMessage="1" showErrorMessage="1" sqref="L5">
      <formula1>$C$5:$C$10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0-0</vt:lpstr>
      <vt:lpstr>0-1</vt:lpstr>
      <vt:lpstr>1-0</vt:lpstr>
      <vt:lpstr>1-1</vt:lpstr>
      <vt:lpstr>2-0</vt:lpstr>
      <vt:lpstr>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Aniceto José Jolela</cp:lastModifiedBy>
  <dcterms:created xsi:type="dcterms:W3CDTF">2025-09-09T08:26:56Z</dcterms:created>
  <dcterms:modified xsi:type="dcterms:W3CDTF">2026-05-07T19:54:19Z</dcterms:modified>
</cp:coreProperties>
</file>