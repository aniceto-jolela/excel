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Silvestre\"/>
    </mc:Choice>
  </mc:AlternateContent>
  <bookViews>
    <workbookView xWindow="0" yWindow="0" windowWidth="20490" windowHeight="7620" activeTab="2"/>
  </bookViews>
  <sheets>
    <sheet name="0" sheetId="1" r:id="rId1"/>
    <sheet name="1" sheetId="4" r:id="rId2"/>
    <sheet name="2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6" l="1"/>
  <c r="O7" i="6"/>
  <c r="N7" i="6"/>
  <c r="M7" i="6"/>
  <c r="L7" i="6"/>
  <c r="K7" i="6"/>
  <c r="E6" i="4"/>
  <c r="E7" i="4"/>
  <c r="E8" i="4"/>
  <c r="E9" i="4"/>
  <c r="E10" i="4"/>
  <c r="E5" i="4"/>
  <c r="H7" i="1"/>
  <c r="H6" i="1"/>
  <c r="H5" i="1"/>
  <c r="B6" i="6" l="1"/>
  <c r="B7" i="6" s="1"/>
  <c r="B8" i="6" s="1"/>
  <c r="B9" i="6" s="1"/>
  <c r="B10" i="6" s="1"/>
  <c r="B6" i="4"/>
  <c r="B7" i="4" s="1"/>
  <c r="B8" i="4" s="1"/>
  <c r="B9" i="4" s="1"/>
  <c r="B10" i="4" s="1"/>
  <c r="B10" i="1"/>
  <c r="B7" i="1"/>
  <c r="B8" i="1" s="1"/>
  <c r="B9" i="1" s="1"/>
  <c r="B6" i="1"/>
</calcChain>
</file>

<file path=xl/sharedStrings.xml><?xml version="1.0" encoding="utf-8"?>
<sst xmlns="http://schemas.openxmlformats.org/spreadsheetml/2006/main" count="70" uniqueCount="40">
  <si>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</si>
  <si>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</si>
  <si>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</si>
  <si>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</si>
  <si>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</si>
  <si>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</si>
  <si>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</si>
  <si>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</si>
  <si>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</si>
  <si>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</si>
  <si>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</si>
  <si>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</si>
  <si>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</si>
  <si>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</si>
  <si>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</si>
  <si>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</si>
  <si>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</si>
  <si>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</si>
  <si>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</si>
  <si>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</si>
  <si>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</si>
  <si>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</si>
  <si>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</si>
  <si>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</si>
  <si>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</si>
  <si>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</si>
  <si>
    <t>Termos</t>
  </si>
  <si>
    <t>Inglês</t>
  </si>
  <si>
    <t>Português</t>
  </si>
  <si>
    <t>VLOOKUP</t>
  </si>
  <si>
    <t>PROCV</t>
  </si>
  <si>
    <t>Busca vertical</t>
  </si>
  <si>
    <t>Matilde</t>
  </si>
  <si>
    <t>Fatima</t>
  </si>
  <si>
    <t>Julia</t>
  </si>
  <si>
    <t>$</t>
  </si>
  <si>
    <t>[7;22]</t>
  </si>
  <si>
    <t>Madrugada</t>
  </si>
  <si>
    <t>Relatorio de desempenho</t>
  </si>
  <si>
    <t>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</si>
</sst>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/>
    <xf numFmtId="0" fontId="2" fillId="0" borderId="0" xfId="0" applyFont="1"/>
    <xf numFmtId="165" fontId="0" fillId="0" borderId="1" xfId="0" applyNumberFormat="1" applyBorder="1" applyAlignment="1">
      <alignment horizontal="center"/>
    </xf>
    <xf numFmtId="20" fontId="0" fillId="0" borderId="4" xfId="0" applyNumberFormat="1" applyBorder="1"/>
    <xf numFmtId="0" fontId="0" fillId="0" borderId="2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0" fontId="0" fillId="0" borderId="7" xfId="0" applyNumberFormat="1" applyBorder="1"/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'2'!$K$6:$P$6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'2'!$K$7:$P$7</c:f>
              <c:numCache>
                <c:formatCode>General</c:formatCode>
                <c:ptCount val="6"/>
                <c:pt idx="0">
                  <c:v>325</c:v>
                </c:pt>
                <c:pt idx="1">
                  <c:v>257</c:v>
                </c:pt>
                <c:pt idx="2">
                  <c:v>946</c:v>
                </c:pt>
                <c:pt idx="3">
                  <c:v>543</c:v>
                </c:pt>
                <c:pt idx="4">
                  <c:v>234</c:v>
                </c:pt>
                <c:pt idx="5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3-48A7-B40D-94D6130732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0781327"/>
        <c:axId val="1620783823"/>
      </c:lineChart>
      <c:catAx>
        <c:axId val="162078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83823"/>
        <c:crosses val="autoZero"/>
        <c:auto val="1"/>
        <c:lblAlgn val="ctr"/>
        <c:lblOffset val="100"/>
        <c:noMultiLvlLbl val="0"/>
      </c:catAx>
      <c:valAx>
        <c:axId val="1620783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2078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581026</xdr:colOff>
      <xdr:row>4</xdr:row>
      <xdr:rowOff>180975</xdr:rowOff>
    </xdr:from>
    <xdr:to>
      <xdr:col>17</xdr:col>
      <xdr:colOff>400050</xdr:colOff>
      <xdr:row>16</xdr:row>
      <xdr:rowOff>123825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G4:H8" totalsRowShown="0" headerRowDxfId="0" headerRowBorderDxfId="4" tableBorderDxfId="5" totalsRowBorderDxfId="3">
  <autoFilter ref="G4:H8"/>
  <tableColumns count="2">
    <tableColumn id="1" name="HORÁRIO" dataDxfId="2"/>
    <tableColumn id="2" name="TUR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workbookViewId="0">
      <selection activeCell="H4" sqref="H4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8" ht="16.5" customHeight="1" x14ac:dyDescent="0.25"/>
    <row r="2" spans="2:8" ht="14.25" customHeight="1" x14ac:dyDescent="0.25">
      <c r="B2" s="8" t="s">
        <v>1</v>
      </c>
      <c r="C2" s="9"/>
      <c r="D2" s="9"/>
      <c r="E2" s="10"/>
    </row>
    <row r="3" spans="2:8" x14ac:dyDescent="0.25">
      <c r="B3" s="16">
        <v>1</v>
      </c>
      <c r="C3" s="16">
        <v>2</v>
      </c>
      <c r="D3" s="16">
        <v>3</v>
      </c>
      <c r="E3" s="16">
        <v>4</v>
      </c>
    </row>
    <row r="4" spans="2:8" x14ac:dyDescent="0.25">
      <c r="B4" s="4" t="s">
        <v>0</v>
      </c>
      <c r="C4" s="4" t="s">
        <v>2</v>
      </c>
      <c r="D4" s="4" t="s">
        <v>3</v>
      </c>
      <c r="E4" s="4" t="s">
        <v>4</v>
      </c>
      <c r="G4" s="4" t="s">
        <v>0</v>
      </c>
      <c r="H4" s="1">
        <v>2</v>
      </c>
    </row>
    <row r="5" spans="2:8" x14ac:dyDescent="0.25">
      <c r="B5" s="2">
        <v>1</v>
      </c>
      <c r="C5" s="2" t="s">
        <v>5</v>
      </c>
      <c r="D5" s="3">
        <v>1.0416666666666666E-2</v>
      </c>
      <c r="E5" s="2" t="s">
        <v>8</v>
      </c>
      <c r="G5" s="5" t="s">
        <v>2</v>
      </c>
      <c r="H5" s="2" t="str">
        <f>VLOOKUP(H4,B4:E10,2,FALSE)</f>
        <v>Ana</v>
      </c>
    </row>
    <row r="6" spans="2:8" x14ac:dyDescent="0.25">
      <c r="B6" s="2">
        <f>B5+1</f>
        <v>2</v>
      </c>
      <c r="C6" s="2" t="s">
        <v>6</v>
      </c>
      <c r="D6" s="3">
        <v>8.3333333333333332E-3</v>
      </c>
      <c r="E6" s="2" t="s">
        <v>9</v>
      </c>
      <c r="G6" s="5" t="s">
        <v>3</v>
      </c>
      <c r="H6" s="17">
        <f>VLOOKUP(H4,B4:E10,3,FALSE)</f>
        <v>8.3333333333333332E-3</v>
      </c>
    </row>
    <row r="7" spans="2:8" x14ac:dyDescent="0.25">
      <c r="B7" s="2">
        <f t="shared" ref="B7:B9" si="0">B6+1</f>
        <v>3</v>
      </c>
      <c r="C7" s="2" t="s">
        <v>7</v>
      </c>
      <c r="D7" s="3">
        <v>6.9444444444444441E-3</v>
      </c>
      <c r="E7" s="2" t="s">
        <v>8</v>
      </c>
      <c r="G7" s="5" t="s">
        <v>4</v>
      </c>
      <c r="H7" s="2" t="str">
        <f>VLOOKUP(H4,B4:E10,4,FALSE)</f>
        <v>||</v>
      </c>
    </row>
    <row r="8" spans="2:8" x14ac:dyDescent="0.25">
      <c r="B8" s="2">
        <f t="shared" si="0"/>
        <v>4</v>
      </c>
      <c r="C8" s="2" t="s">
        <v>32</v>
      </c>
      <c r="D8" s="3">
        <v>6.9444444444444441E-3</v>
      </c>
      <c r="E8" s="2" t="s">
        <v>8</v>
      </c>
    </row>
    <row r="9" spans="2:8" x14ac:dyDescent="0.25">
      <c r="B9" s="2">
        <f t="shared" si="0"/>
        <v>5</v>
      </c>
      <c r="C9" s="2" t="s">
        <v>34</v>
      </c>
      <c r="D9" s="3">
        <v>6.2499999999999995E-3</v>
      </c>
      <c r="E9" s="2" t="s">
        <v>8</v>
      </c>
    </row>
    <row r="10" spans="2:8" x14ac:dyDescent="0.25">
      <c r="B10" s="2">
        <f>B9+1</f>
        <v>6</v>
      </c>
      <c r="C10" s="2" t="s">
        <v>33</v>
      </c>
      <c r="D10" s="3">
        <v>9.7222222222222224E-3</v>
      </c>
      <c r="E10" s="2" t="s">
        <v>10</v>
      </c>
    </row>
    <row r="14" spans="2:8" x14ac:dyDescent="0.25">
      <c r="C14" s="12" t="s">
        <v>26</v>
      </c>
      <c r="D14" s="13"/>
      <c r="E14" s="14"/>
    </row>
    <row r="15" spans="2:8" x14ac:dyDescent="0.25">
      <c r="C15" s="15" t="s">
        <v>27</v>
      </c>
      <c r="D15" s="1"/>
      <c r="E15" s="15" t="s">
        <v>28</v>
      </c>
    </row>
    <row r="16" spans="2:8" x14ac:dyDescent="0.25">
      <c r="C16" s="1" t="s">
        <v>29</v>
      </c>
      <c r="D16" s="1"/>
      <c r="E16" s="1" t="s">
        <v>30</v>
      </c>
      <c r="F16" t="s">
        <v>31</v>
      </c>
    </row>
  </sheetData>
  <mergeCells count="2">
    <mergeCell ref="B2:E2"/>
    <mergeCell ref="C14:E14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zoomScale="115" zoomScaleNormal="115" workbookViewId="0">
      <selection activeCell="F11" sqref="F11"/>
    </sheetView>
  </sheetViews>
  <sheetFormatPr defaultRowHeight="15" x14ac:dyDescent="0.25"/>
  <cols>
    <col min="5" max="5" width="11.140625" bestFit="1" customWidth="1"/>
    <col min="7" max="7" width="13.85546875" bestFit="1" customWidth="1"/>
    <col min="8" max="8" width="12" bestFit="1" customWidth="1"/>
  </cols>
  <sheetData>
    <row r="2" spans="2:10" x14ac:dyDescent="0.25">
      <c r="B2" s="8" t="s">
        <v>1</v>
      </c>
      <c r="C2" s="9"/>
      <c r="D2" s="9"/>
      <c r="E2" s="10"/>
    </row>
    <row r="3" spans="2:10" x14ac:dyDescent="0.25">
      <c r="G3" s="16">
        <v>1</v>
      </c>
      <c r="H3" s="16">
        <v>2</v>
      </c>
    </row>
    <row r="4" spans="2:10" x14ac:dyDescent="0.25">
      <c r="B4" s="4" t="s">
        <v>0</v>
      </c>
      <c r="C4" s="4" t="s">
        <v>2</v>
      </c>
      <c r="D4" s="4" t="s">
        <v>12</v>
      </c>
      <c r="E4" s="4" t="s">
        <v>11</v>
      </c>
      <c r="G4" s="20" t="s">
        <v>12</v>
      </c>
      <c r="H4" s="21" t="s">
        <v>11</v>
      </c>
    </row>
    <row r="5" spans="2:10" x14ac:dyDescent="0.25">
      <c r="B5" s="2">
        <v>1</v>
      </c>
      <c r="C5" s="2" t="s">
        <v>5</v>
      </c>
      <c r="D5" s="3">
        <v>0.33333333333333331</v>
      </c>
      <c r="E5" s="2" t="str">
        <f>VLOOKUP(D5,G$4:H$8,2,1)</f>
        <v>Manhã</v>
      </c>
      <c r="G5" s="18">
        <v>0</v>
      </c>
      <c r="H5" s="18" t="s">
        <v>37</v>
      </c>
    </row>
    <row r="6" spans="2:10" x14ac:dyDescent="0.25">
      <c r="B6" s="2">
        <f>B5+1</f>
        <v>2</v>
      </c>
      <c r="C6" s="2" t="s">
        <v>6</v>
      </c>
      <c r="D6" s="3">
        <v>0.25</v>
      </c>
      <c r="E6" s="2" t="str">
        <f t="shared" ref="E6:E10" si="0">VLOOKUP(D6,G$4:H$8,2,1)</f>
        <v>Madrugada</v>
      </c>
      <c r="G6" s="18">
        <v>0.29166666666666669</v>
      </c>
      <c r="H6" s="19" t="s">
        <v>13</v>
      </c>
      <c r="J6" t="s">
        <v>36</v>
      </c>
    </row>
    <row r="7" spans="2:10" x14ac:dyDescent="0.25">
      <c r="B7" s="2">
        <f t="shared" ref="B7:B9" si="1">B6+1</f>
        <v>3</v>
      </c>
      <c r="C7" s="2" t="s">
        <v>7</v>
      </c>
      <c r="D7" s="3">
        <v>0.66666666666666663</v>
      </c>
      <c r="E7" s="2" t="str">
        <f t="shared" si="0"/>
        <v>Tarde</v>
      </c>
      <c r="G7" s="18">
        <v>0.58333333333333337</v>
      </c>
      <c r="H7" s="19" t="s">
        <v>14</v>
      </c>
    </row>
    <row r="8" spans="2:10" x14ac:dyDescent="0.25">
      <c r="B8" s="2">
        <f t="shared" si="1"/>
        <v>4</v>
      </c>
      <c r="C8" s="2" t="s">
        <v>5</v>
      </c>
      <c r="D8" s="3">
        <v>0.79166666666666663</v>
      </c>
      <c r="E8" s="2" t="str">
        <f t="shared" si="0"/>
        <v>Tarde</v>
      </c>
      <c r="G8" s="22">
        <v>0.91666666666666663</v>
      </c>
      <c r="H8" s="23" t="s">
        <v>15</v>
      </c>
    </row>
    <row r="9" spans="2:10" x14ac:dyDescent="0.25">
      <c r="B9" s="2">
        <f t="shared" si="1"/>
        <v>5</v>
      </c>
      <c r="C9" s="2" t="s">
        <v>6</v>
      </c>
      <c r="D9" s="3">
        <v>0.91666666666666663</v>
      </c>
      <c r="E9" s="2" t="str">
        <f t="shared" si="0"/>
        <v>Noite</v>
      </c>
    </row>
    <row r="10" spans="2:10" x14ac:dyDescent="0.25">
      <c r="B10" s="2">
        <f>B9+1</f>
        <v>6</v>
      </c>
      <c r="C10" s="2" t="s">
        <v>7</v>
      </c>
      <c r="D10" s="3">
        <v>9.7222222222222224E-3</v>
      </c>
      <c r="E10" s="2" t="str">
        <f t="shared" si="0"/>
        <v>Madrugada</v>
      </c>
      <c r="I10" s="16" t="s">
        <v>35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"/>
  <sheetViews>
    <sheetView tabSelected="1" workbookViewId="0">
      <selection activeCell="Q2" sqref="Q2"/>
    </sheetView>
  </sheetViews>
  <sheetFormatPr defaultRowHeight="15" x14ac:dyDescent="0.25"/>
  <sheetData>
    <row r="2" spans="2:16" x14ac:dyDescent="0.25">
      <c r="B2" s="11" t="s">
        <v>1</v>
      </c>
      <c r="C2" s="11"/>
      <c r="D2" s="11"/>
      <c r="E2" s="11"/>
      <c r="F2" s="11"/>
      <c r="G2" s="11"/>
      <c r="H2" s="11"/>
      <c r="I2" s="11"/>
    </row>
    <row r="3" spans="2:16" x14ac:dyDescent="0.25"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</row>
    <row r="4" spans="2:16" x14ac:dyDescent="0.25">
      <c r="B4" s="4" t="s">
        <v>0</v>
      </c>
      <c r="C4" s="4" t="s">
        <v>2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K4" s="24" t="s">
        <v>38</v>
      </c>
      <c r="L4" s="25"/>
      <c r="M4" s="25"/>
    </row>
    <row r="5" spans="2:16" x14ac:dyDescent="0.25">
      <c r="B5" s="2">
        <v>1</v>
      </c>
      <c r="C5" s="6" t="s">
        <v>5</v>
      </c>
      <c r="D5" s="7">
        <v>234</v>
      </c>
      <c r="E5" s="6">
        <v>186</v>
      </c>
      <c r="F5" s="6">
        <v>656</v>
      </c>
      <c r="G5" s="6">
        <v>667</v>
      </c>
      <c r="H5" s="6">
        <v>117</v>
      </c>
      <c r="I5" s="6">
        <v>124</v>
      </c>
      <c r="K5" s="26" t="s">
        <v>39</v>
      </c>
      <c r="L5" t="s">
        <v>25</v>
      </c>
    </row>
    <row r="6" spans="2:16" x14ac:dyDescent="0.25">
      <c r="B6" s="2">
        <f>B5+1</f>
        <v>2</v>
      </c>
      <c r="C6" s="6" t="s">
        <v>22</v>
      </c>
      <c r="D6" s="7">
        <v>124</v>
      </c>
      <c r="E6" s="6">
        <v>352</v>
      </c>
      <c r="F6" s="6">
        <v>147</v>
      </c>
      <c r="G6" s="6">
        <v>123</v>
      </c>
      <c r="H6" s="6">
        <v>234</v>
      </c>
      <c r="I6" s="6">
        <v>109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</row>
    <row r="7" spans="2:16" x14ac:dyDescent="0.25">
      <c r="B7" s="2">
        <f t="shared" ref="B7:B9" si="0">B6+1</f>
        <v>3</v>
      </c>
      <c r="C7" s="6" t="s">
        <v>7</v>
      </c>
      <c r="D7" s="7">
        <v>456</v>
      </c>
      <c r="E7" s="6">
        <v>235</v>
      </c>
      <c r="F7" s="6">
        <v>186</v>
      </c>
      <c r="G7" s="6">
        <v>86</v>
      </c>
      <c r="H7" s="6">
        <v>234</v>
      </c>
      <c r="I7" s="6">
        <v>325</v>
      </c>
      <c r="K7" s="7">
        <f>VLOOKUP($L5,$C4:$I10,2,FALSE)</f>
        <v>325</v>
      </c>
      <c r="L7" s="7">
        <f>VLOOKUP($L5,$C4:$I10,3,FALSE)</f>
        <v>257</v>
      </c>
      <c r="M7" s="7">
        <f>VLOOKUP($L5,$C4:$I10,4,FALSE)</f>
        <v>946</v>
      </c>
      <c r="N7" s="7">
        <f>VLOOKUP($L5,$C4:$I10,5,FALSE)</f>
        <v>543</v>
      </c>
      <c r="O7" s="7">
        <f>VLOOKUP($L5,$C4:$I10,6,FALSE)</f>
        <v>234</v>
      </c>
      <c r="P7" s="7">
        <f>VLOOKUP($L5,$C4:$I10,7,FALSE)</f>
        <v>298</v>
      </c>
    </row>
    <row r="8" spans="2:16" x14ac:dyDescent="0.25">
      <c r="B8" s="2">
        <f t="shared" si="0"/>
        <v>4</v>
      </c>
      <c r="C8" s="6" t="s">
        <v>23</v>
      </c>
      <c r="D8" s="7">
        <v>234</v>
      </c>
      <c r="E8" s="6">
        <v>468</v>
      </c>
      <c r="F8" s="6">
        <v>124</v>
      </c>
      <c r="G8" s="6">
        <v>98</v>
      </c>
      <c r="H8" s="6">
        <v>357</v>
      </c>
      <c r="I8" s="6">
        <v>168</v>
      </c>
    </row>
    <row r="9" spans="2:16" x14ac:dyDescent="0.25">
      <c r="B9" s="2">
        <f t="shared" si="0"/>
        <v>5</v>
      </c>
      <c r="C9" s="6" t="s">
        <v>24</v>
      </c>
      <c r="D9" s="7">
        <v>110</v>
      </c>
      <c r="E9" s="6">
        <v>153</v>
      </c>
      <c r="F9" s="6">
        <v>879</v>
      </c>
      <c r="G9" s="6">
        <v>352</v>
      </c>
      <c r="H9" s="6">
        <v>436</v>
      </c>
      <c r="I9" s="6">
        <v>254</v>
      </c>
    </row>
    <row r="10" spans="2:16" x14ac:dyDescent="0.25">
      <c r="B10" s="2">
        <f>B9+1</f>
        <v>6</v>
      </c>
      <c r="C10" s="6" t="s">
        <v>25</v>
      </c>
      <c r="D10" s="7">
        <v>325</v>
      </c>
      <c r="E10" s="6">
        <v>257</v>
      </c>
      <c r="F10" s="6">
        <v>946</v>
      </c>
      <c r="G10" s="6">
        <v>543</v>
      </c>
      <c r="H10" s="6">
        <v>234</v>
      </c>
      <c r="I10" s="6">
        <v>298</v>
      </c>
    </row>
  </sheetData>
  <mergeCells count="2">
    <mergeCell ref="B2:I2"/>
    <mergeCell ref="K4:M4"/>
  </mergeCells>
  <dataValidations count="1">
    <dataValidation type="list" allowBlank="1" showInputMessage="1" showErrorMessage="1" sqref="L5">
      <formula1>$C$5:$C$10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Aniceto José Jolela</cp:lastModifiedBy>
  <dcterms:created xsi:type="dcterms:W3CDTF">2025-09-09T08:26:56Z</dcterms:created>
  <dcterms:modified xsi:type="dcterms:W3CDTF">2026-03-11T19:01:48Z</dcterms:modified>
</cp:coreProperties>
</file>