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sej\Documents\Git\excel\teach\alunos\Paulo Panzo\projecto\"/>
    </mc:Choice>
  </mc:AlternateContent>
  <bookViews>
    <workbookView xWindow="0" yWindow="0" windowWidth="20490" windowHeight="7530" tabRatio="729" activeTab="3"/>
  </bookViews>
  <sheets>
    <sheet name="Instruções" sheetId="1" r:id="rId1"/>
    <sheet name="AI" sheetId="7" r:id="rId2"/>
    <sheet name="Manutenção" sheetId="2" r:id="rId3"/>
    <sheet name="Reparação" sheetId="3" r:id="rId4"/>
    <sheet name="Compliance" sheetId="4" r:id="rId5"/>
    <sheet name="Dashboard_Graficos" sheetId="5" r:id="rId6"/>
    <sheet name="Tabelas_Dinamicas" sheetId="6" r:id="rId7"/>
  </sheets>
  <calcPr calcId="162913"/>
  <pivotCaches>
    <pivotCache cacheId="0" r:id="rId8"/>
    <pivotCache cacheId="1" r:id="rId9"/>
    <pivotCache cacheId="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" i="2" l="1"/>
  <c r="P7" i="2" l="1"/>
  <c r="P8" i="2"/>
  <c r="P6" i="2"/>
</calcChain>
</file>

<file path=xl/sharedStrings.xml><?xml version="1.0" encoding="utf-8"?>
<sst xmlns="http://schemas.openxmlformats.org/spreadsheetml/2006/main" count="6765" uniqueCount="1264">
  <si>
    <t>Passo</t>
  </si>
  <si>
    <t>Tarefa</t>
  </si>
  <si>
    <t>O que fazer</t>
  </si>
  <si>
    <t>1</t>
  </si>
  <si>
    <t>Analisar Dados Base</t>
  </si>
  <si>
    <t>Explore as abas de Manutenção, Reparação e Compliance. Existem 300 registos fictícios em cada.</t>
  </si>
  <si>
    <t>2</t>
  </si>
  <si>
    <t>Criar Tabelas Dinâmicas</t>
  </si>
  <si>
    <t>Na aba 'Tabelas_Dinamicas', crie resumos por Província e por Tipo de Equipamento.</t>
  </si>
  <si>
    <t>3</t>
  </si>
  <si>
    <t>Gerar Gráficos</t>
  </si>
  <si>
    <t>Na aba 'Dashboard_Graficos', crie um gráfico de barras para Custos por Mês e um Circular para o Estado das Manutenções.</t>
  </si>
  <si>
    <t>4</t>
  </si>
  <si>
    <t>Dashboard de Gestão</t>
  </si>
  <si>
    <t>Combine os gráficos para mostrar a eficiência da equipa técnica em Angola.</t>
  </si>
  <si>
    <t>5</t>
  </si>
  <si>
    <t>Relatório de Compliance</t>
  </si>
  <si>
    <t>Identifique na aba Compliance quais as normas que têm maior índice de 'Não-Conformidade'.</t>
  </si>
  <si>
    <t>ID_Ordem</t>
  </si>
  <si>
    <t>Data_Programada</t>
  </si>
  <si>
    <t>Tag_Equipamento</t>
  </si>
  <si>
    <t>Tipo_Equipamento</t>
  </si>
  <si>
    <t>Província</t>
  </si>
  <si>
    <t>Unidade_Operacional</t>
  </si>
  <si>
    <t>Técnico_Responsável</t>
  </si>
  <si>
    <t>Tipo_Manutenção</t>
  </si>
  <si>
    <t>Estado</t>
  </si>
  <si>
    <t>Custo_Estimado_AKZ</t>
  </si>
  <si>
    <t>Observações</t>
  </si>
  <si>
    <t>MAN-001</t>
  </si>
  <si>
    <t>PT-137</t>
  </si>
  <si>
    <t>Controlador PID</t>
  </si>
  <si>
    <t>Huíla</t>
  </si>
  <si>
    <t>Plataforma Offshore</t>
  </si>
  <si>
    <t>Eng.ª Maria Pemba</t>
  </si>
  <si>
    <t>Preventiva</t>
  </si>
  <si>
    <t>Concluído</t>
  </si>
  <si>
    <t>Verificar selos de calibração</t>
  </si>
  <si>
    <t>MAN-002</t>
  </si>
  <si>
    <t>PT-329</t>
  </si>
  <si>
    <t>Transmissor de Pressão</t>
  </si>
  <si>
    <t>Cabinda</t>
  </si>
  <si>
    <t>Fábrica de Cimento</t>
  </si>
  <si>
    <t>Téc. João Neto</t>
  </si>
  <si>
    <t>Em Atraso</t>
  </si>
  <si>
    <t>MAN-003</t>
  </si>
  <si>
    <t>PT-150</t>
  </si>
  <si>
    <t>Válvula de Controlo</t>
  </si>
  <si>
    <t>Benguela</t>
  </si>
  <si>
    <t>Refinaria</t>
  </si>
  <si>
    <t>Calibração</t>
  </si>
  <si>
    <t>MAN-004</t>
  </si>
  <si>
    <t>PT-363</t>
  </si>
  <si>
    <t>Eng. Manuel Santos</t>
  </si>
  <si>
    <t>MAN-005</t>
  </si>
  <si>
    <t>PT-382</t>
  </si>
  <si>
    <t>Zaire</t>
  </si>
  <si>
    <t>Pendente</t>
  </si>
  <si>
    <t>MAN-006</t>
  </si>
  <si>
    <t>PT-126</t>
  </si>
  <si>
    <t>Analisador de Gás</t>
  </si>
  <si>
    <t>Central Hídrica</t>
  </si>
  <si>
    <t>Preditiva</t>
  </si>
  <si>
    <t>MAN-007</t>
  </si>
  <si>
    <t>PT-325</t>
  </si>
  <si>
    <t>Eng. Helder Lucas</t>
  </si>
  <si>
    <t>MAN-008</t>
  </si>
  <si>
    <t>PT-376</t>
  </si>
  <si>
    <t>Atuador Pneumático</t>
  </si>
  <si>
    <t>MAN-009</t>
  </si>
  <si>
    <t>PT-385</t>
  </si>
  <si>
    <t>Luanda</t>
  </si>
  <si>
    <t>Terminal Oceânico</t>
  </si>
  <si>
    <t>MAN-010</t>
  </si>
  <si>
    <t>PT-196</t>
  </si>
  <si>
    <t>MAN-011</t>
  </si>
  <si>
    <t>PT-383</t>
  </si>
  <si>
    <t>Sensor de Fluxo</t>
  </si>
  <si>
    <t>Téc. António Costa</t>
  </si>
  <si>
    <t>MAN-012</t>
  </si>
  <si>
    <t>PT-246</t>
  </si>
  <si>
    <t>MAN-013</t>
  </si>
  <si>
    <t>PT-103</t>
  </si>
  <si>
    <t>MAN-014</t>
  </si>
  <si>
    <t>PT-134</t>
  </si>
  <si>
    <t>MAN-015</t>
  </si>
  <si>
    <t>PT-291</t>
  </si>
  <si>
    <t>MAN-016</t>
  </si>
  <si>
    <t>PT-148</t>
  </si>
  <si>
    <t>MAN-017</t>
  </si>
  <si>
    <t>PT-116</t>
  </si>
  <si>
    <t>MAN-018</t>
  </si>
  <si>
    <t>PT-271</t>
  </si>
  <si>
    <t>MAN-019</t>
  </si>
  <si>
    <t>PT-319</t>
  </si>
  <si>
    <t>Huambo</t>
  </si>
  <si>
    <t>MAN-020</t>
  </si>
  <si>
    <t>PT-257</t>
  </si>
  <si>
    <t>MAN-021</t>
  </si>
  <si>
    <t>PT-145</t>
  </si>
  <si>
    <t>MAN-022</t>
  </si>
  <si>
    <t>PT-105</t>
  </si>
  <si>
    <t>MAN-023</t>
  </si>
  <si>
    <t>PT-198</t>
  </si>
  <si>
    <t>MAN-024</t>
  </si>
  <si>
    <t>PT-332</t>
  </si>
  <si>
    <t>MAN-025</t>
  </si>
  <si>
    <t>PT-136</t>
  </si>
  <si>
    <t>MAN-026</t>
  </si>
  <si>
    <t>PT-379</t>
  </si>
  <si>
    <t>MAN-027</t>
  </si>
  <si>
    <t>PT-280</t>
  </si>
  <si>
    <t>MAN-028</t>
  </si>
  <si>
    <t>PT-194</t>
  </si>
  <si>
    <t>MAN-029</t>
  </si>
  <si>
    <t>MAN-030</t>
  </si>
  <si>
    <t>PT-287</t>
  </si>
  <si>
    <t>MAN-031</t>
  </si>
  <si>
    <t>PT-215</t>
  </si>
  <si>
    <t>MAN-032</t>
  </si>
  <si>
    <t>PT-290</t>
  </si>
  <si>
    <t>MAN-033</t>
  </si>
  <si>
    <t>PT-352</t>
  </si>
  <si>
    <t>MAN-034</t>
  </si>
  <si>
    <t>PT-260</t>
  </si>
  <si>
    <t>MAN-035</t>
  </si>
  <si>
    <t>PT-355</t>
  </si>
  <si>
    <t>MAN-036</t>
  </si>
  <si>
    <t>PT-227</t>
  </si>
  <si>
    <t>MAN-037</t>
  </si>
  <si>
    <t>PT-117</t>
  </si>
  <si>
    <t>MAN-038</t>
  </si>
  <si>
    <t>PT-380</t>
  </si>
  <si>
    <t>MAN-039</t>
  </si>
  <si>
    <t>PT-322</t>
  </si>
  <si>
    <t>MAN-040</t>
  </si>
  <si>
    <t>PT-153</t>
  </si>
  <si>
    <t>MAN-041</t>
  </si>
  <si>
    <t>PT-157</t>
  </si>
  <si>
    <t>MAN-042</t>
  </si>
  <si>
    <t>PT-273</t>
  </si>
  <si>
    <t>MAN-043</t>
  </si>
  <si>
    <t>MAN-044</t>
  </si>
  <si>
    <t>PT-213</t>
  </si>
  <si>
    <t>MAN-045</t>
  </si>
  <si>
    <t>PT-387</t>
  </si>
  <si>
    <t>MAN-046</t>
  </si>
  <si>
    <t>PT-250</t>
  </si>
  <si>
    <t>MAN-047</t>
  </si>
  <si>
    <t>PT-226</t>
  </si>
  <si>
    <t>MAN-048</t>
  </si>
  <si>
    <t>PT-254</t>
  </si>
  <si>
    <t>MAN-049</t>
  </si>
  <si>
    <t>PT-372</t>
  </si>
  <si>
    <t>MAN-050</t>
  </si>
  <si>
    <t>PT-203</t>
  </si>
  <si>
    <t>MAN-051</t>
  </si>
  <si>
    <t>PT-398</t>
  </si>
  <si>
    <t>MAN-052</t>
  </si>
  <si>
    <t>PT-345</t>
  </si>
  <si>
    <t>MAN-053</t>
  </si>
  <si>
    <t>PT-275</t>
  </si>
  <si>
    <t>MAN-054</t>
  </si>
  <si>
    <t>PT-138</t>
  </si>
  <si>
    <t>MAN-055</t>
  </si>
  <si>
    <t>PT-269</t>
  </si>
  <si>
    <t>MAN-056</t>
  </si>
  <si>
    <t>PT-346</t>
  </si>
  <si>
    <t>MAN-057</t>
  </si>
  <si>
    <t>PT-125</t>
  </si>
  <si>
    <t>MAN-058</t>
  </si>
  <si>
    <t>PT-112</t>
  </si>
  <si>
    <t>MAN-059</t>
  </si>
  <si>
    <t>PT-135</t>
  </si>
  <si>
    <t>MAN-060</t>
  </si>
  <si>
    <t>PT-272</t>
  </si>
  <si>
    <t>MAN-061</t>
  </si>
  <si>
    <t>PT-119</t>
  </si>
  <si>
    <t>MAN-062</t>
  </si>
  <si>
    <t>MAN-063</t>
  </si>
  <si>
    <t>PT-241</t>
  </si>
  <si>
    <t>MAN-064</t>
  </si>
  <si>
    <t>PT-242</t>
  </si>
  <si>
    <t>MAN-065</t>
  </si>
  <si>
    <t>PT-191</t>
  </si>
  <si>
    <t>MAN-066</t>
  </si>
  <si>
    <t>MAN-067</t>
  </si>
  <si>
    <t>PT-314</t>
  </si>
  <si>
    <t>MAN-068</t>
  </si>
  <si>
    <t>MAN-069</t>
  </si>
  <si>
    <t>PT-252</t>
  </si>
  <si>
    <t>MAN-070</t>
  </si>
  <si>
    <t>PT-285</t>
  </si>
  <si>
    <t>MAN-071</t>
  </si>
  <si>
    <t>PT-162</t>
  </si>
  <si>
    <t>MAN-072</t>
  </si>
  <si>
    <t>PT-289</t>
  </si>
  <si>
    <t>MAN-073</t>
  </si>
  <si>
    <t>PT-224</t>
  </si>
  <si>
    <t>MAN-074</t>
  </si>
  <si>
    <t>PT-249</t>
  </si>
  <si>
    <t>MAN-075</t>
  </si>
  <si>
    <t>MAN-076</t>
  </si>
  <si>
    <t>PT-279</t>
  </si>
  <si>
    <t>MAN-077</t>
  </si>
  <si>
    <t>MAN-078</t>
  </si>
  <si>
    <t>PT-370</t>
  </si>
  <si>
    <t>MAN-079</t>
  </si>
  <si>
    <t>MAN-080</t>
  </si>
  <si>
    <t>PT-200</t>
  </si>
  <si>
    <t>MAN-081</t>
  </si>
  <si>
    <t>MAN-082</t>
  </si>
  <si>
    <t>PT-152</t>
  </si>
  <si>
    <t>MAN-083</t>
  </si>
  <si>
    <t>PT-159</t>
  </si>
  <si>
    <t>MAN-084</t>
  </si>
  <si>
    <t>PT-207</t>
  </si>
  <si>
    <t>MAN-085</t>
  </si>
  <si>
    <t>PT-104</t>
  </si>
  <si>
    <t>MAN-086</t>
  </si>
  <si>
    <t>PT-202</t>
  </si>
  <si>
    <t>MAN-087</t>
  </si>
  <si>
    <t>PT-295</t>
  </si>
  <si>
    <t>MAN-088</t>
  </si>
  <si>
    <t>PT-361</t>
  </si>
  <si>
    <t>MAN-089</t>
  </si>
  <si>
    <t>PT-146</t>
  </si>
  <si>
    <t>MAN-090</t>
  </si>
  <si>
    <t>PT-243</t>
  </si>
  <si>
    <t>MAN-091</t>
  </si>
  <si>
    <t>PT-368</t>
  </si>
  <si>
    <t>MAN-092</t>
  </si>
  <si>
    <t>PT-223</t>
  </si>
  <si>
    <t>MAN-093</t>
  </si>
  <si>
    <t>PT-205</t>
  </si>
  <si>
    <t>MAN-094</t>
  </si>
  <si>
    <t>MAN-095</t>
  </si>
  <si>
    <t>MAN-096</t>
  </si>
  <si>
    <t>PT-244</t>
  </si>
  <si>
    <t>MAN-097</t>
  </si>
  <si>
    <t>PT-219</t>
  </si>
  <si>
    <t>MAN-098</t>
  </si>
  <si>
    <t>PT-374</t>
  </si>
  <si>
    <t>MAN-099</t>
  </si>
  <si>
    <t>MAN-100</t>
  </si>
  <si>
    <t>MAN-101</t>
  </si>
  <si>
    <t>PT-328</t>
  </si>
  <si>
    <t>MAN-102</t>
  </si>
  <si>
    <t>PT-216</t>
  </si>
  <si>
    <t>MAN-103</t>
  </si>
  <si>
    <t>PT-378</t>
  </si>
  <si>
    <t>MAN-104</t>
  </si>
  <si>
    <t>MAN-105</t>
  </si>
  <si>
    <t>PT-228</t>
  </si>
  <si>
    <t>MAN-106</t>
  </si>
  <si>
    <t>MAN-107</t>
  </si>
  <si>
    <t>PT-221</t>
  </si>
  <si>
    <t>MAN-108</t>
  </si>
  <si>
    <t>PT-100</t>
  </si>
  <si>
    <t>MAN-109</t>
  </si>
  <si>
    <t>PT-338</t>
  </si>
  <si>
    <t>MAN-110</t>
  </si>
  <si>
    <t>PT-389</t>
  </si>
  <si>
    <t>MAN-111</t>
  </si>
  <si>
    <t>PT-195</t>
  </si>
  <si>
    <t>MAN-112</t>
  </si>
  <si>
    <t>PT-225</t>
  </si>
  <si>
    <t>MAN-113</t>
  </si>
  <si>
    <t>PT-217</t>
  </si>
  <si>
    <t>MAN-114</t>
  </si>
  <si>
    <t>PT-147</t>
  </si>
  <si>
    <t>MAN-115</t>
  </si>
  <si>
    <t>PT-188</t>
  </si>
  <si>
    <t>MAN-116</t>
  </si>
  <si>
    <t>PT-336</t>
  </si>
  <si>
    <t>MAN-117</t>
  </si>
  <si>
    <t>PT-371</t>
  </si>
  <si>
    <t>MAN-118</t>
  </si>
  <si>
    <t>PT-288</t>
  </si>
  <si>
    <t>MAN-119</t>
  </si>
  <si>
    <t>MAN-120</t>
  </si>
  <si>
    <t>PT-168</t>
  </si>
  <si>
    <t>MAN-121</t>
  </si>
  <si>
    <t>PT-377</t>
  </si>
  <si>
    <t>MAN-122</t>
  </si>
  <si>
    <t>MAN-123</t>
  </si>
  <si>
    <t>PT-175</t>
  </si>
  <si>
    <t>MAN-124</t>
  </si>
  <si>
    <t>PT-253</t>
  </si>
  <si>
    <t>MAN-125</t>
  </si>
  <si>
    <t>MAN-126</t>
  </si>
  <si>
    <t>PT-185</t>
  </si>
  <si>
    <t>MAN-127</t>
  </si>
  <si>
    <t>PT-284</t>
  </si>
  <si>
    <t>MAN-128</t>
  </si>
  <si>
    <t>PT-384</t>
  </si>
  <si>
    <t>MAN-129</t>
  </si>
  <si>
    <t>MAN-130</t>
  </si>
  <si>
    <t>MAN-131</t>
  </si>
  <si>
    <t>MAN-132</t>
  </si>
  <si>
    <t>PT-193</t>
  </si>
  <si>
    <t>MAN-133</t>
  </si>
  <si>
    <t>PT-337</t>
  </si>
  <si>
    <t>MAN-134</t>
  </si>
  <si>
    <t>PT-303</t>
  </si>
  <si>
    <t>MAN-135</t>
  </si>
  <si>
    <t>PT-317</t>
  </si>
  <si>
    <t>MAN-136</t>
  </si>
  <si>
    <t>MAN-137</t>
  </si>
  <si>
    <t>PT-199</t>
  </si>
  <si>
    <t>MAN-138</t>
  </si>
  <si>
    <t>PT-388</t>
  </si>
  <si>
    <t>MAN-139</t>
  </si>
  <si>
    <t>PT-353</t>
  </si>
  <si>
    <t>MAN-140</t>
  </si>
  <si>
    <t>PT-321</t>
  </si>
  <si>
    <t>MAN-141</t>
  </si>
  <si>
    <t>PT-122</t>
  </si>
  <si>
    <t>MAN-142</t>
  </si>
  <si>
    <t>PT-349</t>
  </si>
  <si>
    <t>MAN-143</t>
  </si>
  <si>
    <t>PT-109</t>
  </si>
  <si>
    <t>MAN-144</t>
  </si>
  <si>
    <t>MAN-145</t>
  </si>
  <si>
    <t>MAN-146</t>
  </si>
  <si>
    <t>MAN-147</t>
  </si>
  <si>
    <t>MAN-148</t>
  </si>
  <si>
    <t>MAN-149</t>
  </si>
  <si>
    <t>MAN-150</t>
  </si>
  <si>
    <t>MAN-151</t>
  </si>
  <si>
    <t>MAN-152</t>
  </si>
  <si>
    <t>PT-356</t>
  </si>
  <si>
    <t>MAN-153</t>
  </si>
  <si>
    <t>MAN-154</t>
  </si>
  <si>
    <t>PT-115</t>
  </si>
  <si>
    <t>MAN-155</t>
  </si>
  <si>
    <t>MAN-156</t>
  </si>
  <si>
    <t>MAN-157</t>
  </si>
  <si>
    <t>PT-357</t>
  </si>
  <si>
    <t>MAN-158</t>
  </si>
  <si>
    <t>PT-259</t>
  </si>
  <si>
    <t>MAN-159</t>
  </si>
  <si>
    <t>PT-251</t>
  </si>
  <si>
    <t>MAN-160</t>
  </si>
  <si>
    <t>PT-277</t>
  </si>
  <si>
    <t>MAN-161</t>
  </si>
  <si>
    <t>PT-262</t>
  </si>
  <si>
    <t>MAN-162</t>
  </si>
  <si>
    <t>PT-132</t>
  </si>
  <si>
    <t>MAN-163</t>
  </si>
  <si>
    <t>PT-278</t>
  </si>
  <si>
    <t>MAN-164</t>
  </si>
  <si>
    <t>MAN-165</t>
  </si>
  <si>
    <t>PT-367</t>
  </si>
  <si>
    <t>MAN-166</t>
  </si>
  <si>
    <t>PT-164</t>
  </si>
  <si>
    <t>MAN-167</t>
  </si>
  <si>
    <t>PT-267</t>
  </si>
  <si>
    <t>MAN-168</t>
  </si>
  <si>
    <t>PT-142</t>
  </si>
  <si>
    <t>MAN-169</t>
  </si>
  <si>
    <t>PT-143</t>
  </si>
  <si>
    <t>MAN-170</t>
  </si>
  <si>
    <t>MAN-171</t>
  </si>
  <si>
    <t>PT-111</t>
  </si>
  <si>
    <t>MAN-172</t>
  </si>
  <si>
    <t>MAN-173</t>
  </si>
  <si>
    <t>MAN-174</t>
  </si>
  <si>
    <t>PT-341</t>
  </si>
  <si>
    <t>MAN-175</t>
  </si>
  <si>
    <t>MAN-176</t>
  </si>
  <si>
    <t>MAN-177</t>
  </si>
  <si>
    <t>PT-189</t>
  </si>
  <si>
    <t>MAN-178</t>
  </si>
  <si>
    <t>MAN-179</t>
  </si>
  <si>
    <t>PT-192</t>
  </si>
  <si>
    <t>MAN-180</t>
  </si>
  <si>
    <t>MAN-181</t>
  </si>
  <si>
    <t>PT-214</t>
  </si>
  <si>
    <t>MAN-182</t>
  </si>
  <si>
    <t>PT-204</t>
  </si>
  <si>
    <t>MAN-183</t>
  </si>
  <si>
    <t>MAN-184</t>
  </si>
  <si>
    <t>MAN-185</t>
  </si>
  <si>
    <t>PT-174</t>
  </si>
  <si>
    <t>MAN-186</t>
  </si>
  <si>
    <t>PT-316</t>
  </si>
  <si>
    <t>MAN-187</t>
  </si>
  <si>
    <t>MAN-188</t>
  </si>
  <si>
    <t>PT-348</t>
  </si>
  <si>
    <t>MAN-189</t>
  </si>
  <si>
    <t>PT-263</t>
  </si>
  <si>
    <t>MAN-190</t>
  </si>
  <si>
    <t>MAN-191</t>
  </si>
  <si>
    <t>PT-326</t>
  </si>
  <si>
    <t>MAN-192</t>
  </si>
  <si>
    <t>PT-276</t>
  </si>
  <si>
    <t>MAN-193</t>
  </si>
  <si>
    <t>MAN-194</t>
  </si>
  <si>
    <t>MAN-195</t>
  </si>
  <si>
    <t>MAN-196</t>
  </si>
  <si>
    <t>MAN-197</t>
  </si>
  <si>
    <t>MAN-198</t>
  </si>
  <si>
    <t>MAN-199</t>
  </si>
  <si>
    <t>PT-323</t>
  </si>
  <si>
    <t>MAN-200</t>
  </si>
  <si>
    <t>MAN-201</t>
  </si>
  <si>
    <t>MAN-202</t>
  </si>
  <si>
    <t>PT-282</t>
  </si>
  <si>
    <t>MAN-203</t>
  </si>
  <si>
    <t>MAN-204</t>
  </si>
  <si>
    <t>MAN-205</t>
  </si>
  <si>
    <t>MAN-206</t>
  </si>
  <si>
    <t>MAN-207</t>
  </si>
  <si>
    <t>MAN-208</t>
  </si>
  <si>
    <t>PT-161</t>
  </si>
  <si>
    <t>MAN-209</t>
  </si>
  <si>
    <t>PT-183</t>
  </si>
  <si>
    <t>MAN-210</t>
  </si>
  <si>
    <t>MAN-211</t>
  </si>
  <si>
    <t>PT-286</t>
  </si>
  <si>
    <t>MAN-212</t>
  </si>
  <si>
    <t>PT-118</t>
  </si>
  <si>
    <t>MAN-213</t>
  </si>
  <si>
    <t>MAN-214</t>
  </si>
  <si>
    <t>MAN-215</t>
  </si>
  <si>
    <t>MAN-216</t>
  </si>
  <si>
    <t>MAN-217</t>
  </si>
  <si>
    <t>PT-364</t>
  </si>
  <si>
    <t>MAN-218</t>
  </si>
  <si>
    <t>MAN-219</t>
  </si>
  <si>
    <t>PT-305</t>
  </si>
  <si>
    <t>MAN-220</t>
  </si>
  <si>
    <t>MAN-221</t>
  </si>
  <si>
    <t>PT-151</t>
  </si>
  <si>
    <t>MAN-222</t>
  </si>
  <si>
    <t>MAN-223</t>
  </si>
  <si>
    <t>MAN-224</t>
  </si>
  <si>
    <t>MAN-225</t>
  </si>
  <si>
    <t>PT-124</t>
  </si>
  <si>
    <t>MAN-226</t>
  </si>
  <si>
    <t>MAN-227</t>
  </si>
  <si>
    <t>MAN-228</t>
  </si>
  <si>
    <t>MAN-229</t>
  </si>
  <si>
    <t>PT-156</t>
  </si>
  <si>
    <t>MAN-230</t>
  </si>
  <si>
    <t>MAN-231</t>
  </si>
  <si>
    <t>PT-208</t>
  </si>
  <si>
    <t>MAN-232</t>
  </si>
  <si>
    <t>MAN-233</t>
  </si>
  <si>
    <t>PT-141</t>
  </si>
  <si>
    <t>MAN-234</t>
  </si>
  <si>
    <t>MAN-235</t>
  </si>
  <si>
    <t>MAN-236</t>
  </si>
  <si>
    <t>MAN-237</t>
  </si>
  <si>
    <t>PT-232</t>
  </si>
  <si>
    <t>MAN-238</t>
  </si>
  <si>
    <t>MAN-239</t>
  </si>
  <si>
    <t>MAN-240</t>
  </si>
  <si>
    <t>PT-320</t>
  </si>
  <si>
    <t>MAN-241</t>
  </si>
  <si>
    <t>PT-334</t>
  </si>
  <si>
    <t>MAN-242</t>
  </si>
  <si>
    <t>PT-245</t>
  </si>
  <si>
    <t>MAN-243</t>
  </si>
  <si>
    <t>MAN-244</t>
  </si>
  <si>
    <t>MAN-245</t>
  </si>
  <si>
    <t>PT-108</t>
  </si>
  <si>
    <t>MAN-246</t>
  </si>
  <si>
    <t>PT-173</t>
  </si>
  <si>
    <t>MAN-247</t>
  </si>
  <si>
    <t>MAN-248</t>
  </si>
  <si>
    <t>MAN-249</t>
  </si>
  <si>
    <t>PT-106</t>
  </si>
  <si>
    <t>MAN-250</t>
  </si>
  <si>
    <t>MAN-251</t>
  </si>
  <si>
    <t>PT-240</t>
  </si>
  <si>
    <t>MAN-252</t>
  </si>
  <si>
    <t>MAN-253</t>
  </si>
  <si>
    <t>MAN-254</t>
  </si>
  <si>
    <t>MAN-255</t>
  </si>
  <si>
    <t>MAN-256</t>
  </si>
  <si>
    <t>PT-293</t>
  </si>
  <si>
    <t>MAN-257</t>
  </si>
  <si>
    <t>MAN-258</t>
  </si>
  <si>
    <t>PT-128</t>
  </si>
  <si>
    <t>MAN-259</t>
  </si>
  <si>
    <t>PT-264</t>
  </si>
  <si>
    <t>MAN-260</t>
  </si>
  <si>
    <t>PT-235</t>
  </si>
  <si>
    <t>MAN-261</t>
  </si>
  <si>
    <t>MAN-262</t>
  </si>
  <si>
    <t>MAN-263</t>
  </si>
  <si>
    <t>PT-231</t>
  </si>
  <si>
    <t>MAN-264</t>
  </si>
  <si>
    <t>PT-391</t>
  </si>
  <si>
    <t>MAN-265</t>
  </si>
  <si>
    <t>PT-169</t>
  </si>
  <si>
    <t>MAN-266</t>
  </si>
  <si>
    <t>PT-351</t>
  </si>
  <si>
    <t>MAN-267</t>
  </si>
  <si>
    <t>MAN-268</t>
  </si>
  <si>
    <t>PT-281</t>
  </si>
  <si>
    <t>MAN-269</t>
  </si>
  <si>
    <t>PT-266</t>
  </si>
  <si>
    <t>MAN-270</t>
  </si>
  <si>
    <t>PT-190</t>
  </si>
  <si>
    <t>MAN-271</t>
  </si>
  <si>
    <t>PT-301</t>
  </si>
  <si>
    <t>MAN-272</t>
  </si>
  <si>
    <t>MAN-273</t>
  </si>
  <si>
    <t>MAN-274</t>
  </si>
  <si>
    <t>MAN-275</t>
  </si>
  <si>
    <t>MAN-276</t>
  </si>
  <si>
    <t>MAN-277</t>
  </si>
  <si>
    <t>MAN-278</t>
  </si>
  <si>
    <t>MAN-279</t>
  </si>
  <si>
    <t>MAN-280</t>
  </si>
  <si>
    <t>MAN-281</t>
  </si>
  <si>
    <t>PT-247</t>
  </si>
  <si>
    <t>MAN-282</t>
  </si>
  <si>
    <t>MAN-283</t>
  </si>
  <si>
    <t>MAN-284</t>
  </si>
  <si>
    <t>MAN-285</t>
  </si>
  <si>
    <t>MAN-286</t>
  </si>
  <si>
    <t>PT-233</t>
  </si>
  <si>
    <t>MAN-287</t>
  </si>
  <si>
    <t>MAN-288</t>
  </si>
  <si>
    <t>MAN-289</t>
  </si>
  <si>
    <t>MAN-290</t>
  </si>
  <si>
    <t>MAN-291</t>
  </si>
  <si>
    <t>MAN-292</t>
  </si>
  <si>
    <t>PT-248</t>
  </si>
  <si>
    <t>MAN-293</t>
  </si>
  <si>
    <t>PT-179</t>
  </si>
  <si>
    <t>MAN-294</t>
  </si>
  <si>
    <t>PT-312</t>
  </si>
  <si>
    <t>MAN-295</t>
  </si>
  <si>
    <t>PT-302</t>
  </si>
  <si>
    <t>MAN-296</t>
  </si>
  <si>
    <t>MAN-297</t>
  </si>
  <si>
    <t>MAN-298</t>
  </si>
  <si>
    <t>MAN-299</t>
  </si>
  <si>
    <t>MAN-300</t>
  </si>
  <si>
    <t>Ticket_Reparação</t>
  </si>
  <si>
    <t>Data_Falha</t>
  </si>
  <si>
    <t>Equipamento</t>
  </si>
  <si>
    <t>Sintoma_Detectado</t>
  </si>
  <si>
    <t>Prioridade</t>
  </si>
  <si>
    <t>Peça_Substituída</t>
  </si>
  <si>
    <t>Fornecedor_Local</t>
  </si>
  <si>
    <t>Tempo_Paragem_Horas</t>
  </si>
  <si>
    <t>Custo_Reparação_AKZ</t>
  </si>
  <si>
    <t>Garantia_Meses</t>
  </si>
  <si>
    <t>REP-001</t>
  </si>
  <si>
    <t>Manómetro</t>
  </si>
  <si>
    <t>Curto-circuito</t>
  </si>
  <si>
    <t>Crítica</t>
  </si>
  <si>
    <t>Fusível 5A</t>
  </si>
  <si>
    <t>Lunda Instrumentos</t>
  </si>
  <si>
    <t>REP-002</t>
  </si>
  <si>
    <t>Cabo de Sinal</t>
  </si>
  <si>
    <t>Corrosão</t>
  </si>
  <si>
    <t>Conversor A/D</t>
  </si>
  <si>
    <t>Instrumentação de Angola SARL</t>
  </si>
  <si>
    <t>REP-003</t>
  </si>
  <si>
    <t>Sinal Intermitente</t>
  </si>
  <si>
    <t>Baixa</t>
  </si>
  <si>
    <t>Kit de Vedação</t>
  </si>
  <si>
    <t>AngoPecas Lda</t>
  </si>
  <si>
    <t>REP-004</t>
  </si>
  <si>
    <t>Switch de Nível</t>
  </si>
  <si>
    <t>Média</t>
  </si>
  <si>
    <t>Diafragma</t>
  </si>
  <si>
    <t>REP-005</t>
  </si>
  <si>
    <t>Placa de I/O</t>
  </si>
  <si>
    <t>Alta</t>
  </si>
  <si>
    <t>REP-006</t>
  </si>
  <si>
    <t>Erro de Zero</t>
  </si>
  <si>
    <t>REP-007</t>
  </si>
  <si>
    <t>REP-008</t>
  </si>
  <si>
    <t>REP-009</t>
  </si>
  <si>
    <t>REP-010</t>
  </si>
  <si>
    <t>REP-011</t>
  </si>
  <si>
    <t>Fuga de Ar</t>
  </si>
  <si>
    <t>REP-012</t>
  </si>
  <si>
    <t>REP-013</t>
  </si>
  <si>
    <t>REP-014</t>
  </si>
  <si>
    <t>Posicionador</t>
  </si>
  <si>
    <t>REP-015</t>
  </si>
  <si>
    <t>Pro-Automation Angola</t>
  </si>
  <si>
    <t>REP-016</t>
  </si>
  <si>
    <t>REP-017</t>
  </si>
  <si>
    <t>REP-018</t>
  </si>
  <si>
    <t>REP-019</t>
  </si>
  <si>
    <t>REP-020</t>
  </si>
  <si>
    <t>Obstrução</t>
  </si>
  <si>
    <t>REP-021</t>
  </si>
  <si>
    <t>REP-022</t>
  </si>
  <si>
    <t>REP-023</t>
  </si>
  <si>
    <t>REP-024</t>
  </si>
  <si>
    <t>REP-025</t>
  </si>
  <si>
    <t>REP-026</t>
  </si>
  <si>
    <t>REP-027</t>
  </si>
  <si>
    <t>REP-028</t>
  </si>
  <si>
    <t>REP-029</t>
  </si>
  <si>
    <t>REP-030</t>
  </si>
  <si>
    <t>REP-031</t>
  </si>
  <si>
    <t>REP-032</t>
  </si>
  <si>
    <t>REP-033</t>
  </si>
  <si>
    <t>REP-034</t>
  </si>
  <si>
    <t>REP-035</t>
  </si>
  <si>
    <t>REP-036</t>
  </si>
  <si>
    <t>REP-037</t>
  </si>
  <si>
    <t>REP-038</t>
  </si>
  <si>
    <t>REP-039</t>
  </si>
  <si>
    <t>REP-040</t>
  </si>
  <si>
    <t>REP-041</t>
  </si>
  <si>
    <t>REP-042</t>
  </si>
  <si>
    <t>REP-043</t>
  </si>
  <si>
    <t>REP-044</t>
  </si>
  <si>
    <t>REP-045</t>
  </si>
  <si>
    <t>REP-046</t>
  </si>
  <si>
    <t>REP-047</t>
  </si>
  <si>
    <t>REP-048</t>
  </si>
  <si>
    <t>REP-049</t>
  </si>
  <si>
    <t>REP-050</t>
  </si>
  <si>
    <t>REP-051</t>
  </si>
  <si>
    <t>REP-052</t>
  </si>
  <si>
    <t>REP-053</t>
  </si>
  <si>
    <t>REP-054</t>
  </si>
  <si>
    <t>REP-055</t>
  </si>
  <si>
    <t>REP-056</t>
  </si>
  <si>
    <t>REP-057</t>
  </si>
  <si>
    <t>REP-058</t>
  </si>
  <si>
    <t>REP-059</t>
  </si>
  <si>
    <t>REP-060</t>
  </si>
  <si>
    <t>REP-061</t>
  </si>
  <si>
    <t>REP-062</t>
  </si>
  <si>
    <t>REP-063</t>
  </si>
  <si>
    <t>REP-064</t>
  </si>
  <si>
    <t>REP-065</t>
  </si>
  <si>
    <t>REP-066</t>
  </si>
  <si>
    <t>REP-067</t>
  </si>
  <si>
    <t>REP-068</t>
  </si>
  <si>
    <t>REP-069</t>
  </si>
  <si>
    <t>REP-070</t>
  </si>
  <si>
    <t>REP-071</t>
  </si>
  <si>
    <t>REP-072</t>
  </si>
  <si>
    <t>REP-073</t>
  </si>
  <si>
    <t>REP-074</t>
  </si>
  <si>
    <t>REP-075</t>
  </si>
  <si>
    <t>REP-076</t>
  </si>
  <si>
    <t>REP-077</t>
  </si>
  <si>
    <t>REP-078</t>
  </si>
  <si>
    <t>REP-079</t>
  </si>
  <si>
    <t>REP-080</t>
  </si>
  <si>
    <t>REP-081</t>
  </si>
  <si>
    <t>REP-082</t>
  </si>
  <si>
    <t>REP-083</t>
  </si>
  <si>
    <t>REP-084</t>
  </si>
  <si>
    <t>REP-085</t>
  </si>
  <si>
    <t>REP-086</t>
  </si>
  <si>
    <t>REP-087</t>
  </si>
  <si>
    <t>REP-088</t>
  </si>
  <si>
    <t>REP-089</t>
  </si>
  <si>
    <t>REP-090</t>
  </si>
  <si>
    <t>REP-091</t>
  </si>
  <si>
    <t>REP-092</t>
  </si>
  <si>
    <t>REP-093</t>
  </si>
  <si>
    <t>REP-094</t>
  </si>
  <si>
    <t>REP-095</t>
  </si>
  <si>
    <t>REP-096</t>
  </si>
  <si>
    <t>REP-097</t>
  </si>
  <si>
    <t>REP-098</t>
  </si>
  <si>
    <t>REP-099</t>
  </si>
  <si>
    <t>REP-100</t>
  </si>
  <si>
    <t>REP-101</t>
  </si>
  <si>
    <t>REP-102</t>
  </si>
  <si>
    <t>REP-103</t>
  </si>
  <si>
    <t>REP-104</t>
  </si>
  <si>
    <t>REP-105</t>
  </si>
  <si>
    <t>REP-106</t>
  </si>
  <si>
    <t>REP-107</t>
  </si>
  <si>
    <t>REP-108</t>
  </si>
  <si>
    <t>REP-109</t>
  </si>
  <si>
    <t>REP-110</t>
  </si>
  <si>
    <t>REP-111</t>
  </si>
  <si>
    <t>REP-112</t>
  </si>
  <si>
    <t>REP-113</t>
  </si>
  <si>
    <t>REP-114</t>
  </si>
  <si>
    <t>REP-115</t>
  </si>
  <si>
    <t>REP-116</t>
  </si>
  <si>
    <t>REP-117</t>
  </si>
  <si>
    <t>REP-118</t>
  </si>
  <si>
    <t>REP-119</t>
  </si>
  <si>
    <t>REP-120</t>
  </si>
  <si>
    <t>REP-121</t>
  </si>
  <si>
    <t>REP-122</t>
  </si>
  <si>
    <t>REP-123</t>
  </si>
  <si>
    <t>REP-124</t>
  </si>
  <si>
    <t>REP-125</t>
  </si>
  <si>
    <t>REP-126</t>
  </si>
  <si>
    <t>REP-127</t>
  </si>
  <si>
    <t>REP-128</t>
  </si>
  <si>
    <t>REP-129</t>
  </si>
  <si>
    <t>REP-130</t>
  </si>
  <si>
    <t>REP-131</t>
  </si>
  <si>
    <t>REP-132</t>
  </si>
  <si>
    <t>REP-133</t>
  </si>
  <si>
    <t>REP-134</t>
  </si>
  <si>
    <t>REP-135</t>
  </si>
  <si>
    <t>REP-136</t>
  </si>
  <si>
    <t>REP-137</t>
  </si>
  <si>
    <t>REP-138</t>
  </si>
  <si>
    <t>REP-139</t>
  </si>
  <si>
    <t>REP-140</t>
  </si>
  <si>
    <t>REP-141</t>
  </si>
  <si>
    <t>REP-142</t>
  </si>
  <si>
    <t>REP-143</t>
  </si>
  <si>
    <t>REP-144</t>
  </si>
  <si>
    <t>REP-145</t>
  </si>
  <si>
    <t>REP-146</t>
  </si>
  <si>
    <t>REP-147</t>
  </si>
  <si>
    <t>REP-148</t>
  </si>
  <si>
    <t>REP-149</t>
  </si>
  <si>
    <t>REP-150</t>
  </si>
  <si>
    <t>REP-151</t>
  </si>
  <si>
    <t>REP-152</t>
  </si>
  <si>
    <t>REP-153</t>
  </si>
  <si>
    <t>REP-154</t>
  </si>
  <si>
    <t>REP-155</t>
  </si>
  <si>
    <t>REP-156</t>
  </si>
  <si>
    <t>REP-157</t>
  </si>
  <si>
    <t>REP-158</t>
  </si>
  <si>
    <t>REP-159</t>
  </si>
  <si>
    <t>REP-160</t>
  </si>
  <si>
    <t>REP-161</t>
  </si>
  <si>
    <t>REP-162</t>
  </si>
  <si>
    <t>REP-163</t>
  </si>
  <si>
    <t>REP-164</t>
  </si>
  <si>
    <t>REP-165</t>
  </si>
  <si>
    <t>REP-166</t>
  </si>
  <si>
    <t>REP-167</t>
  </si>
  <si>
    <t>REP-168</t>
  </si>
  <si>
    <t>REP-169</t>
  </si>
  <si>
    <t>REP-170</t>
  </si>
  <si>
    <t>REP-171</t>
  </si>
  <si>
    <t>REP-172</t>
  </si>
  <si>
    <t>REP-173</t>
  </si>
  <si>
    <t>REP-174</t>
  </si>
  <si>
    <t>REP-175</t>
  </si>
  <si>
    <t>REP-176</t>
  </si>
  <si>
    <t>REP-177</t>
  </si>
  <si>
    <t>REP-178</t>
  </si>
  <si>
    <t>REP-179</t>
  </si>
  <si>
    <t>REP-180</t>
  </si>
  <si>
    <t>REP-181</t>
  </si>
  <si>
    <t>REP-182</t>
  </si>
  <si>
    <t>REP-183</t>
  </si>
  <si>
    <t>REP-184</t>
  </si>
  <si>
    <t>REP-185</t>
  </si>
  <si>
    <t>REP-186</t>
  </si>
  <si>
    <t>REP-187</t>
  </si>
  <si>
    <t>REP-188</t>
  </si>
  <si>
    <t>REP-189</t>
  </si>
  <si>
    <t>REP-190</t>
  </si>
  <si>
    <t>REP-191</t>
  </si>
  <si>
    <t>REP-192</t>
  </si>
  <si>
    <t>REP-193</t>
  </si>
  <si>
    <t>REP-194</t>
  </si>
  <si>
    <t>REP-195</t>
  </si>
  <si>
    <t>REP-196</t>
  </si>
  <si>
    <t>REP-197</t>
  </si>
  <si>
    <t>REP-198</t>
  </si>
  <si>
    <t>REP-199</t>
  </si>
  <si>
    <t>REP-200</t>
  </si>
  <si>
    <t>REP-201</t>
  </si>
  <si>
    <t>REP-202</t>
  </si>
  <si>
    <t>REP-203</t>
  </si>
  <si>
    <t>REP-204</t>
  </si>
  <si>
    <t>REP-205</t>
  </si>
  <si>
    <t>REP-206</t>
  </si>
  <si>
    <t>REP-207</t>
  </si>
  <si>
    <t>REP-208</t>
  </si>
  <si>
    <t>REP-209</t>
  </si>
  <si>
    <t>REP-210</t>
  </si>
  <si>
    <t>REP-211</t>
  </si>
  <si>
    <t>REP-212</t>
  </si>
  <si>
    <t>REP-213</t>
  </si>
  <si>
    <t>REP-214</t>
  </si>
  <si>
    <t>REP-215</t>
  </si>
  <si>
    <t>REP-216</t>
  </si>
  <si>
    <t>REP-217</t>
  </si>
  <si>
    <t>REP-218</t>
  </si>
  <si>
    <t>REP-219</t>
  </si>
  <si>
    <t>REP-220</t>
  </si>
  <si>
    <t>REP-221</t>
  </si>
  <si>
    <t>REP-222</t>
  </si>
  <si>
    <t>REP-223</t>
  </si>
  <si>
    <t>REP-224</t>
  </si>
  <si>
    <t>REP-225</t>
  </si>
  <si>
    <t>REP-226</t>
  </si>
  <si>
    <t>REP-227</t>
  </si>
  <si>
    <t>REP-228</t>
  </si>
  <si>
    <t>REP-229</t>
  </si>
  <si>
    <t>REP-230</t>
  </si>
  <si>
    <t>REP-231</t>
  </si>
  <si>
    <t>REP-232</t>
  </si>
  <si>
    <t>REP-233</t>
  </si>
  <si>
    <t>REP-234</t>
  </si>
  <si>
    <t>REP-235</t>
  </si>
  <si>
    <t>REP-236</t>
  </si>
  <si>
    <t>REP-237</t>
  </si>
  <si>
    <t>REP-238</t>
  </si>
  <si>
    <t>REP-239</t>
  </si>
  <si>
    <t>REP-240</t>
  </si>
  <si>
    <t>REP-241</t>
  </si>
  <si>
    <t>REP-242</t>
  </si>
  <si>
    <t>REP-243</t>
  </si>
  <si>
    <t>REP-244</t>
  </si>
  <si>
    <t>REP-245</t>
  </si>
  <si>
    <t>REP-246</t>
  </si>
  <si>
    <t>REP-247</t>
  </si>
  <si>
    <t>REP-248</t>
  </si>
  <si>
    <t>REP-249</t>
  </si>
  <si>
    <t>REP-250</t>
  </si>
  <si>
    <t>REP-251</t>
  </si>
  <si>
    <t>REP-252</t>
  </si>
  <si>
    <t>REP-253</t>
  </si>
  <si>
    <t>REP-254</t>
  </si>
  <si>
    <t>REP-255</t>
  </si>
  <si>
    <t>REP-256</t>
  </si>
  <si>
    <t>REP-257</t>
  </si>
  <si>
    <t>REP-258</t>
  </si>
  <si>
    <t>REP-259</t>
  </si>
  <si>
    <t>REP-260</t>
  </si>
  <si>
    <t>REP-261</t>
  </si>
  <si>
    <t>REP-262</t>
  </si>
  <si>
    <t>REP-263</t>
  </si>
  <si>
    <t>REP-264</t>
  </si>
  <si>
    <t>REP-265</t>
  </si>
  <si>
    <t>REP-266</t>
  </si>
  <si>
    <t>REP-267</t>
  </si>
  <si>
    <t>REP-268</t>
  </si>
  <si>
    <t>REP-269</t>
  </si>
  <si>
    <t>REP-270</t>
  </si>
  <si>
    <t>REP-271</t>
  </si>
  <si>
    <t>REP-272</t>
  </si>
  <si>
    <t>REP-273</t>
  </si>
  <si>
    <t>REP-274</t>
  </si>
  <si>
    <t>REP-275</t>
  </si>
  <si>
    <t>REP-276</t>
  </si>
  <si>
    <t>REP-277</t>
  </si>
  <si>
    <t>REP-278</t>
  </si>
  <si>
    <t>REP-279</t>
  </si>
  <si>
    <t>REP-280</t>
  </si>
  <si>
    <t>REP-281</t>
  </si>
  <si>
    <t>REP-282</t>
  </si>
  <si>
    <t>REP-283</t>
  </si>
  <si>
    <t>REP-284</t>
  </si>
  <si>
    <t>REP-285</t>
  </si>
  <si>
    <t>REP-286</t>
  </si>
  <si>
    <t>REP-287</t>
  </si>
  <si>
    <t>REP-288</t>
  </si>
  <si>
    <t>REP-289</t>
  </si>
  <si>
    <t>REP-290</t>
  </si>
  <si>
    <t>REP-291</t>
  </si>
  <si>
    <t>REP-292</t>
  </si>
  <si>
    <t>REP-293</t>
  </si>
  <si>
    <t>REP-294</t>
  </si>
  <si>
    <t>REP-295</t>
  </si>
  <si>
    <t>REP-296</t>
  </si>
  <si>
    <t>REP-297</t>
  </si>
  <si>
    <t>REP-298</t>
  </si>
  <si>
    <t>REP-299</t>
  </si>
  <si>
    <t>REP-300</t>
  </si>
  <si>
    <t>ID_Auditoria</t>
  </si>
  <si>
    <t>Norma_Referência</t>
  </si>
  <si>
    <t>Área_Auditada</t>
  </si>
  <si>
    <t>Data_Inspecção</t>
  </si>
  <si>
    <t>Resultado</t>
  </si>
  <si>
    <t>Inspector</t>
  </si>
  <si>
    <t>Validade_Certificado</t>
  </si>
  <si>
    <t>Risco_Multa_AKZ</t>
  </si>
  <si>
    <t>Ação_Corretiva</t>
  </si>
  <si>
    <t>COMP-001</t>
  </si>
  <si>
    <t>ISA S5.1</t>
  </si>
  <si>
    <t>Segurança Industrial</t>
  </si>
  <si>
    <t>Conforme</t>
  </si>
  <si>
    <t>ANPG</t>
  </si>
  <si>
    <t>Actualizar registos no portal da empresa</t>
  </si>
  <si>
    <t>COMP-002</t>
  </si>
  <si>
    <t>Proteção Explosão</t>
  </si>
  <si>
    <t>Não-Conforme</t>
  </si>
  <si>
    <t>Inspeção Geral do Trabalho</t>
  </si>
  <si>
    <t>COMP-003</t>
  </si>
  <si>
    <t>Regulamento Técnico de Angola</t>
  </si>
  <si>
    <t>INEE (Instituto Nacional de Estradas)</t>
  </si>
  <si>
    <t>COMP-004</t>
  </si>
  <si>
    <t>Auditoria Interna</t>
  </si>
  <si>
    <t>COMP-005</t>
  </si>
  <si>
    <t>ISO 9001</t>
  </si>
  <si>
    <t>COMP-006</t>
  </si>
  <si>
    <t>COMP-007</t>
  </si>
  <si>
    <t>COMP-008</t>
  </si>
  <si>
    <t>API 551</t>
  </si>
  <si>
    <t>COMP-009</t>
  </si>
  <si>
    <t>Conforme com Observações</t>
  </si>
  <si>
    <t>COMP-010</t>
  </si>
  <si>
    <t>ISO 45001</t>
  </si>
  <si>
    <t>COMP-011</t>
  </si>
  <si>
    <t>COMP-012</t>
  </si>
  <si>
    <t>COMP-013</t>
  </si>
  <si>
    <t>COMP-014</t>
  </si>
  <si>
    <t>COMP-015</t>
  </si>
  <si>
    <t>COMP-016</t>
  </si>
  <si>
    <t>COMP-017</t>
  </si>
  <si>
    <t>COMP-018</t>
  </si>
  <si>
    <t>COMP-019</t>
  </si>
  <si>
    <t>COMP-020</t>
  </si>
  <si>
    <t>COMP-021</t>
  </si>
  <si>
    <t>COMP-022</t>
  </si>
  <si>
    <t>COMP-023</t>
  </si>
  <si>
    <t>Documentação Técnica</t>
  </si>
  <si>
    <t>COMP-024</t>
  </si>
  <si>
    <t>COMP-025</t>
  </si>
  <si>
    <t>COMP-026</t>
  </si>
  <si>
    <t>COMP-027</t>
  </si>
  <si>
    <t>COMP-028</t>
  </si>
  <si>
    <t>COMP-029</t>
  </si>
  <si>
    <t>COMP-030</t>
  </si>
  <si>
    <t>COMP-031</t>
  </si>
  <si>
    <t>COMP-032</t>
  </si>
  <si>
    <t>COMP-033</t>
  </si>
  <si>
    <t>COMP-034</t>
  </si>
  <si>
    <t>COMP-035</t>
  </si>
  <si>
    <t>COMP-036</t>
  </si>
  <si>
    <t>COMP-037</t>
  </si>
  <si>
    <t>COMP-038</t>
  </si>
  <si>
    <t>COMP-039</t>
  </si>
  <si>
    <t>COMP-040</t>
  </si>
  <si>
    <t>COMP-041</t>
  </si>
  <si>
    <t>COMP-042</t>
  </si>
  <si>
    <t>COMP-043</t>
  </si>
  <si>
    <t>COMP-044</t>
  </si>
  <si>
    <t>COMP-045</t>
  </si>
  <si>
    <t>COMP-046</t>
  </si>
  <si>
    <t>COMP-047</t>
  </si>
  <si>
    <t>COMP-048</t>
  </si>
  <si>
    <t>COMP-049</t>
  </si>
  <si>
    <t>COMP-050</t>
  </si>
  <si>
    <t>COMP-051</t>
  </si>
  <si>
    <t>COMP-052</t>
  </si>
  <si>
    <t>COMP-053</t>
  </si>
  <si>
    <t>COMP-054</t>
  </si>
  <si>
    <t>COMP-055</t>
  </si>
  <si>
    <t>COMP-056</t>
  </si>
  <si>
    <t>COMP-057</t>
  </si>
  <si>
    <t>COMP-058</t>
  </si>
  <si>
    <t>COMP-059</t>
  </si>
  <si>
    <t>COMP-060</t>
  </si>
  <si>
    <t>COMP-061</t>
  </si>
  <si>
    <t>COMP-062</t>
  </si>
  <si>
    <t>COMP-063</t>
  </si>
  <si>
    <t>COMP-064</t>
  </si>
  <si>
    <t>COMP-065</t>
  </si>
  <si>
    <t>COMP-066</t>
  </si>
  <si>
    <t>COMP-067</t>
  </si>
  <si>
    <t>COMP-068</t>
  </si>
  <si>
    <t>COMP-069</t>
  </si>
  <si>
    <t>COMP-070</t>
  </si>
  <si>
    <t>COMP-071</t>
  </si>
  <si>
    <t>COMP-072</t>
  </si>
  <si>
    <t>COMP-073</t>
  </si>
  <si>
    <t>COMP-074</t>
  </si>
  <si>
    <t>COMP-075</t>
  </si>
  <si>
    <t>COMP-076</t>
  </si>
  <si>
    <t>COMP-077</t>
  </si>
  <si>
    <t>COMP-078</t>
  </si>
  <si>
    <t>COMP-079</t>
  </si>
  <si>
    <t>COMP-080</t>
  </si>
  <si>
    <t>COMP-081</t>
  </si>
  <si>
    <t>COMP-082</t>
  </si>
  <si>
    <t>COMP-083</t>
  </si>
  <si>
    <t>COMP-084</t>
  </si>
  <si>
    <t>COMP-085</t>
  </si>
  <si>
    <t>COMP-086</t>
  </si>
  <si>
    <t>COMP-087</t>
  </si>
  <si>
    <t>COMP-088</t>
  </si>
  <si>
    <t>COMP-089</t>
  </si>
  <si>
    <t>COMP-090</t>
  </si>
  <si>
    <t>COMP-091</t>
  </si>
  <si>
    <t>COMP-092</t>
  </si>
  <si>
    <t>COMP-093</t>
  </si>
  <si>
    <t>COMP-094</t>
  </si>
  <si>
    <t>COMP-095</t>
  </si>
  <si>
    <t>COMP-096</t>
  </si>
  <si>
    <t>COMP-097</t>
  </si>
  <si>
    <t>COMP-098</t>
  </si>
  <si>
    <t>COMP-099</t>
  </si>
  <si>
    <t>COMP-100</t>
  </si>
  <si>
    <t>COMP-101</t>
  </si>
  <si>
    <t>COMP-102</t>
  </si>
  <si>
    <t>COMP-103</t>
  </si>
  <si>
    <t>COMP-104</t>
  </si>
  <si>
    <t>COMP-105</t>
  </si>
  <si>
    <t>COMP-106</t>
  </si>
  <si>
    <t>COMP-107</t>
  </si>
  <si>
    <t>COMP-108</t>
  </si>
  <si>
    <t>COMP-109</t>
  </si>
  <si>
    <t>COMP-110</t>
  </si>
  <si>
    <t>COMP-111</t>
  </si>
  <si>
    <t>COMP-112</t>
  </si>
  <si>
    <t>COMP-113</t>
  </si>
  <si>
    <t>COMP-114</t>
  </si>
  <si>
    <t>COMP-115</t>
  </si>
  <si>
    <t>COMP-116</t>
  </si>
  <si>
    <t>COMP-117</t>
  </si>
  <si>
    <t>COMP-118</t>
  </si>
  <si>
    <t>COMP-119</t>
  </si>
  <si>
    <t>COMP-120</t>
  </si>
  <si>
    <t>COMP-121</t>
  </si>
  <si>
    <t>COMP-122</t>
  </si>
  <si>
    <t>COMP-123</t>
  </si>
  <si>
    <t>COMP-124</t>
  </si>
  <si>
    <t>COMP-125</t>
  </si>
  <si>
    <t>COMP-126</t>
  </si>
  <si>
    <t>COMP-127</t>
  </si>
  <si>
    <t>COMP-128</t>
  </si>
  <si>
    <t>COMP-129</t>
  </si>
  <si>
    <t>COMP-130</t>
  </si>
  <si>
    <t>COMP-131</t>
  </si>
  <si>
    <t>COMP-132</t>
  </si>
  <si>
    <t>COMP-133</t>
  </si>
  <si>
    <t>COMP-134</t>
  </si>
  <si>
    <t>COMP-135</t>
  </si>
  <si>
    <t>COMP-136</t>
  </si>
  <si>
    <t>COMP-137</t>
  </si>
  <si>
    <t>COMP-138</t>
  </si>
  <si>
    <t>COMP-139</t>
  </si>
  <si>
    <t>COMP-140</t>
  </si>
  <si>
    <t>COMP-141</t>
  </si>
  <si>
    <t>COMP-142</t>
  </si>
  <si>
    <t>COMP-143</t>
  </si>
  <si>
    <t>COMP-144</t>
  </si>
  <si>
    <t>COMP-145</t>
  </si>
  <si>
    <t>COMP-146</t>
  </si>
  <si>
    <t>COMP-147</t>
  </si>
  <si>
    <t>COMP-148</t>
  </si>
  <si>
    <t>COMP-149</t>
  </si>
  <si>
    <t>COMP-150</t>
  </si>
  <si>
    <t>COMP-151</t>
  </si>
  <si>
    <t>COMP-152</t>
  </si>
  <si>
    <t>COMP-153</t>
  </si>
  <si>
    <t>COMP-154</t>
  </si>
  <si>
    <t>COMP-155</t>
  </si>
  <si>
    <t>COMP-156</t>
  </si>
  <si>
    <t>COMP-157</t>
  </si>
  <si>
    <t>COMP-158</t>
  </si>
  <si>
    <t>COMP-159</t>
  </si>
  <si>
    <t>COMP-160</t>
  </si>
  <si>
    <t>COMP-161</t>
  </si>
  <si>
    <t>COMP-162</t>
  </si>
  <si>
    <t>COMP-163</t>
  </si>
  <si>
    <t>COMP-164</t>
  </si>
  <si>
    <t>COMP-165</t>
  </si>
  <si>
    <t>COMP-166</t>
  </si>
  <si>
    <t>COMP-167</t>
  </si>
  <si>
    <t>COMP-168</t>
  </si>
  <si>
    <t>COMP-169</t>
  </si>
  <si>
    <t>COMP-170</t>
  </si>
  <si>
    <t>COMP-171</t>
  </si>
  <si>
    <t>COMP-172</t>
  </si>
  <si>
    <t>COMP-173</t>
  </si>
  <si>
    <t>COMP-174</t>
  </si>
  <si>
    <t>COMP-175</t>
  </si>
  <si>
    <t>COMP-176</t>
  </si>
  <si>
    <t>COMP-177</t>
  </si>
  <si>
    <t>COMP-178</t>
  </si>
  <si>
    <t>COMP-179</t>
  </si>
  <si>
    <t>COMP-180</t>
  </si>
  <si>
    <t>COMP-181</t>
  </si>
  <si>
    <t>COMP-182</t>
  </si>
  <si>
    <t>COMP-183</t>
  </si>
  <si>
    <t>COMP-184</t>
  </si>
  <si>
    <t>COMP-185</t>
  </si>
  <si>
    <t>COMP-186</t>
  </si>
  <si>
    <t>COMP-187</t>
  </si>
  <si>
    <t>COMP-188</t>
  </si>
  <si>
    <t>COMP-189</t>
  </si>
  <si>
    <t>COMP-190</t>
  </si>
  <si>
    <t>COMP-191</t>
  </si>
  <si>
    <t>COMP-192</t>
  </si>
  <si>
    <t>COMP-193</t>
  </si>
  <si>
    <t>COMP-194</t>
  </si>
  <si>
    <t>COMP-195</t>
  </si>
  <si>
    <t>COMP-196</t>
  </si>
  <si>
    <t>COMP-197</t>
  </si>
  <si>
    <t>COMP-198</t>
  </si>
  <si>
    <t>COMP-199</t>
  </si>
  <si>
    <t>COMP-200</t>
  </si>
  <si>
    <t>COMP-201</t>
  </si>
  <si>
    <t>COMP-202</t>
  </si>
  <si>
    <t>COMP-203</t>
  </si>
  <si>
    <t>COMP-204</t>
  </si>
  <si>
    <t>COMP-205</t>
  </si>
  <si>
    <t>COMP-206</t>
  </si>
  <si>
    <t>COMP-207</t>
  </si>
  <si>
    <t>COMP-208</t>
  </si>
  <si>
    <t>COMP-209</t>
  </si>
  <si>
    <t>COMP-210</t>
  </si>
  <si>
    <t>COMP-211</t>
  </si>
  <si>
    <t>COMP-212</t>
  </si>
  <si>
    <t>COMP-213</t>
  </si>
  <si>
    <t>COMP-214</t>
  </si>
  <si>
    <t>COMP-215</t>
  </si>
  <si>
    <t>COMP-216</t>
  </si>
  <si>
    <t>COMP-217</t>
  </si>
  <si>
    <t>COMP-218</t>
  </si>
  <si>
    <t>COMP-219</t>
  </si>
  <si>
    <t>COMP-220</t>
  </si>
  <si>
    <t>COMP-221</t>
  </si>
  <si>
    <t>COMP-222</t>
  </si>
  <si>
    <t>COMP-223</t>
  </si>
  <si>
    <t>COMP-224</t>
  </si>
  <si>
    <t>COMP-225</t>
  </si>
  <si>
    <t>COMP-226</t>
  </si>
  <si>
    <t>COMP-227</t>
  </si>
  <si>
    <t>COMP-228</t>
  </si>
  <si>
    <t>COMP-229</t>
  </si>
  <si>
    <t>COMP-230</t>
  </si>
  <si>
    <t>COMP-231</t>
  </si>
  <si>
    <t>COMP-232</t>
  </si>
  <si>
    <t>COMP-233</t>
  </si>
  <si>
    <t>COMP-234</t>
  </si>
  <si>
    <t>COMP-235</t>
  </si>
  <si>
    <t>COMP-236</t>
  </si>
  <si>
    <t>COMP-237</t>
  </si>
  <si>
    <t>COMP-238</t>
  </si>
  <si>
    <t>COMP-239</t>
  </si>
  <si>
    <t>COMP-240</t>
  </si>
  <si>
    <t>COMP-241</t>
  </si>
  <si>
    <t>COMP-242</t>
  </si>
  <si>
    <t>COMP-243</t>
  </si>
  <si>
    <t>COMP-244</t>
  </si>
  <si>
    <t>COMP-245</t>
  </si>
  <si>
    <t>COMP-246</t>
  </si>
  <si>
    <t>COMP-247</t>
  </si>
  <si>
    <t>COMP-248</t>
  </si>
  <si>
    <t>COMP-249</t>
  </si>
  <si>
    <t>COMP-250</t>
  </si>
  <si>
    <t>COMP-251</t>
  </si>
  <si>
    <t>COMP-252</t>
  </si>
  <si>
    <t>COMP-253</t>
  </si>
  <si>
    <t>COMP-254</t>
  </si>
  <si>
    <t>COMP-255</t>
  </si>
  <si>
    <t>COMP-256</t>
  </si>
  <si>
    <t>COMP-257</t>
  </si>
  <si>
    <t>COMP-258</t>
  </si>
  <si>
    <t>COMP-259</t>
  </si>
  <si>
    <t>COMP-260</t>
  </si>
  <si>
    <t>COMP-261</t>
  </si>
  <si>
    <t>COMP-262</t>
  </si>
  <si>
    <t>COMP-263</t>
  </si>
  <si>
    <t>COMP-264</t>
  </si>
  <si>
    <t>COMP-265</t>
  </si>
  <si>
    <t>COMP-266</t>
  </si>
  <si>
    <t>COMP-267</t>
  </si>
  <si>
    <t>COMP-268</t>
  </si>
  <si>
    <t>COMP-269</t>
  </si>
  <si>
    <t>COMP-270</t>
  </si>
  <si>
    <t>COMP-271</t>
  </si>
  <si>
    <t>COMP-272</t>
  </si>
  <si>
    <t>COMP-273</t>
  </si>
  <si>
    <t>COMP-274</t>
  </si>
  <si>
    <t>COMP-275</t>
  </si>
  <si>
    <t>COMP-276</t>
  </si>
  <si>
    <t>COMP-277</t>
  </si>
  <si>
    <t>COMP-278</t>
  </si>
  <si>
    <t>COMP-279</t>
  </si>
  <si>
    <t>COMP-280</t>
  </si>
  <si>
    <t>COMP-281</t>
  </si>
  <si>
    <t>COMP-282</t>
  </si>
  <si>
    <t>COMP-283</t>
  </si>
  <si>
    <t>COMP-284</t>
  </si>
  <si>
    <t>COMP-285</t>
  </si>
  <si>
    <t>COMP-286</t>
  </si>
  <si>
    <t>COMP-287</t>
  </si>
  <si>
    <t>COMP-288</t>
  </si>
  <si>
    <t>COMP-289</t>
  </si>
  <si>
    <t>COMP-290</t>
  </si>
  <si>
    <t>COMP-291</t>
  </si>
  <si>
    <t>COMP-292</t>
  </si>
  <si>
    <t>COMP-293</t>
  </si>
  <si>
    <t>COMP-294</t>
  </si>
  <si>
    <t>COMP-295</t>
  </si>
  <si>
    <t>COMP-296</t>
  </si>
  <si>
    <t>COMP-297</t>
  </si>
  <si>
    <t>COMP-298</t>
  </si>
  <si>
    <t>COMP-299</t>
  </si>
  <si>
    <t>COMP-300</t>
  </si>
  <si>
    <t>Área para Gráficos - Use os dados das outras abas</t>
  </si>
  <si>
    <t>Área para Tabelas Dinâmicas - Insira aqui os seus resumos</t>
  </si>
  <si>
    <t>Categoria</t>
  </si>
  <si>
    <t>Exercício</t>
  </si>
  <si>
    <t>O que o aluno deve fazer</t>
  </si>
  <si>
    <t>PROCV (VLOOKUP)</t>
  </si>
  <si>
    <t>Pesquisa de Custo por ID</t>
  </si>
  <si>
    <t>Na aba 'Tabelas_Dinamicas', use a função PROCV para encontrar o 'Custo_Estimado_AKZ' da Ordem de Manutenção MAN-150 consultando a aba 'Manutenção'.</t>
  </si>
  <si>
    <t>Verificação de Estado de Ticket</t>
  </si>
  <si>
    <t>A partir do ID 'REP-045', use o PROCV para descobrir qual foi a 'Peça_Substituída' na aba 'Reparação'.</t>
  </si>
  <si>
    <t>Tabelas Dinâmicas</t>
  </si>
  <si>
    <t>Resumo Financeiro por Província</t>
  </si>
  <si>
    <t>Crie uma Tabela Dinâmica que mostre a soma do 'Custo_Estimado_AKZ' agrupado por 'Província'. Qual província teve o maior gasto?</t>
  </si>
  <si>
    <t>Análise de Falhas Críticas</t>
  </si>
  <si>
    <t>Crie uma Tabela Dinâmica que conte quantos equipamentos de cada 'Tipo_Equipamento' estão com o estado 'Em Atraso' na aba 'Manutenção'.</t>
  </si>
  <si>
    <t>Gráficos</t>
  </si>
  <si>
    <t>Distribuição de Manutenção</t>
  </si>
  <si>
    <t>Gere um gráfico de 'Pizza' (Circular) baseado na Tabela Dinâmica de 'Estado' das manutenções.</t>
  </si>
  <si>
    <t>Evolução de Custos de Reparação</t>
  </si>
  <si>
    <t>Crie um gráfico de 'Colunas' que compare o 'Tempo_Paragem_Horas' médio por 'Prioridade' na aba 'Reparação'.</t>
  </si>
  <si>
    <t>Desafio Final</t>
  </si>
  <si>
    <t>Crie um pequeno Dashboard na aba 'Dashboard_Graficos' que combine 2 gráficos e 1 segmentação de dados (Slicer) por 'Unidade_Operacional'.</t>
  </si>
  <si>
    <t>Rótulos de Linha</t>
  </si>
  <si>
    <t>(em branco)</t>
  </si>
  <si>
    <t>Total Geral</t>
  </si>
  <si>
    <t>Numeros</t>
  </si>
  <si>
    <t>Total</t>
  </si>
  <si>
    <t>TABELA DE NORMA COM INDICE DE MAIOR NÃO CONFORMIDADE</t>
  </si>
  <si>
    <t>PROVINCIAS</t>
  </si>
  <si>
    <t>TIPO DE EQUIPAMENTO</t>
  </si>
  <si>
    <t>RESULTADO</t>
  </si>
  <si>
    <t>NORMAIS</t>
  </si>
  <si>
    <t>RISCO DE MULTA</t>
  </si>
  <si>
    <t>Soma de Custo_Estimado_AKZ</t>
  </si>
  <si>
    <t>Chatgpt</t>
  </si>
  <si>
    <t>Copilot</t>
  </si>
  <si>
    <t>Gemini ai</t>
  </si>
  <si>
    <t>Grok</t>
  </si>
  <si>
    <t>Manus</t>
  </si>
  <si>
    <t>Deepseek</t>
  </si>
  <si>
    <t>Claude</t>
  </si>
  <si>
    <t>Perplexity</t>
  </si>
  <si>
    <t>Meta ai</t>
  </si>
  <si>
    <t>Veo 3</t>
  </si>
  <si>
    <t>Kling</t>
  </si>
  <si>
    <t>Sora 2</t>
  </si>
  <si>
    <t>Kimi</t>
  </si>
  <si>
    <t>Canva ai</t>
  </si>
  <si>
    <t>Leonardo</t>
  </si>
  <si>
    <t>Lovable</t>
  </si>
  <si>
    <t>Nano Banana</t>
  </si>
  <si>
    <t>Assemply</t>
  </si>
  <si>
    <t>Replit</t>
  </si>
  <si>
    <t>trrtr</t>
  </si>
  <si>
    <t>=COUNTIFS(Tipo_Equipamento;"Analisador de Gás";Estado;"Concluído")</t>
  </si>
  <si>
    <t>=UNIQUE(Manutenção!E:E)</t>
  </si>
  <si>
    <t>=CONT.SES(Manutenção!$E:$E; $A2; Manutenção!$J:$J; "Concluído")</t>
  </si>
  <si>
    <t>Tipo de Equipamento</t>
  </si>
  <si>
    <t>Estados</t>
  </si>
  <si>
    <t>Rótulos de Coluna</t>
  </si>
  <si>
    <t>Contagem de ID_Ordem</t>
  </si>
  <si>
    <t>Te enviei um arquivo de Excel, quero que na planilha Reparação, Crias a tabela dinamica, e a o lado dessa tabela faz 5 analises profisionais e gera 6 graficos tudo alianhado e organizado. Na planilha Compliance tem uma tabela quero que melhoras ela, crias analises, faça KPLs, e faça automatização. Preciso tambem que criar um descrição passo a passo de tudo que fizeste para eu mostar no meu boss.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</si>
</sst>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&quot;Kz&quot;_-;\-* #,##0.00\ &quot;Kz&quot;_-;_-* &quot;-&quot;??\ &quot;Kz&quot;_-;_-@_-"/>
    <numFmt numFmtId="165" formatCode="yyyy\-mm\-dd\ hh:mm:ss"/>
    <numFmt numFmtId="166" formatCode="[$-816]d\ &quot;de&quot;\ mmmm\ &quot;de&quot;\ yyyy;@"/>
    <numFmt numFmtId="167" formatCode="_-* #,##0.000\ &quot;Kz&quot;_-;\-* #,##0.000\ &quot;Kz&quot;_-;_-* &quot;-&quot;???\ &quot;Kz&quot;_-;_-@_-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9" fontId="1" fillId="0" borderId="3" xfId="0" applyNumberFormat="1" applyFont="1" applyBorder="1" applyAlignment="1">
      <alignment horizontal="center" vertical="top"/>
    </xf>
    <xf numFmtId="49" fontId="0" fillId="0" borderId="0" xfId="0" applyNumberFormat="1"/>
    <xf numFmtId="164" fontId="1" fillId="0" borderId="3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1" fillId="0" borderId="3" xfId="0" applyNumberFormat="1" applyFont="1" applyBorder="1" applyAlignment="1">
      <alignment horizontal="center" vertical="top"/>
    </xf>
    <xf numFmtId="166" fontId="0" fillId="0" borderId="0" xfId="0" applyNumberFormat="1"/>
    <xf numFmtId="49" fontId="1" fillId="2" borderId="1" xfId="0" applyNumberFormat="1" applyFont="1" applyFill="1" applyBorder="1" applyAlignment="1">
      <alignment horizontal="center" vertical="top"/>
    </xf>
    <xf numFmtId="49" fontId="0" fillId="3" borderId="4" xfId="0" applyNumberFormat="1" applyFont="1" applyFill="1" applyBorder="1"/>
    <xf numFmtId="1" fontId="1" fillId="0" borderId="3" xfId="0" applyNumberFormat="1" applyFont="1" applyBorder="1" applyAlignment="1">
      <alignment horizontal="center" vertical="top"/>
    </xf>
    <xf numFmtId="1" fontId="0" fillId="0" borderId="0" xfId="0" applyNumberFormat="1"/>
    <xf numFmtId="0" fontId="1" fillId="4" borderId="3" xfId="0" applyFont="1" applyFill="1" applyBorder="1" applyAlignment="1">
      <alignment horizontal="center" vertical="top"/>
    </xf>
    <xf numFmtId="167" fontId="1" fillId="4" borderId="3" xfId="0" applyNumberFormat="1" applyFont="1" applyFill="1" applyBorder="1" applyAlignment="1">
      <alignment horizontal="center" vertical="top"/>
    </xf>
    <xf numFmtId="167" fontId="0" fillId="0" borderId="0" xfId="0" applyNumberFormat="1"/>
    <xf numFmtId="0" fontId="0" fillId="0" borderId="0" xfId="0" applyNumberFormat="1"/>
    <xf numFmtId="164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5" borderId="0" xfId="0" applyFont="1" applyFill="1" applyAlignment="1">
      <alignment horizontal="center"/>
    </xf>
    <xf numFmtId="49" fontId="0" fillId="6" borderId="4" xfId="0" applyNumberFormat="1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5" fillId="0" borderId="0" xfId="0" quotePrefix="1" applyFont="1" applyAlignment="1">
      <alignment vertical="center"/>
    </xf>
    <xf numFmtId="49" fontId="3" fillId="10" borderId="4" xfId="0" applyNumberFormat="1" applyFont="1" applyFill="1" applyBorder="1"/>
    <xf numFmtId="0" fontId="0" fillId="0" borderId="0" xfId="0" quotePrefix="1"/>
  </cellXfs>
  <cellStyles count="1">
    <cellStyle name="Normal" xfId="0" builtinId="0"/>
  </cellStyles>
  <dxfs count="22">
    <dxf>
      <numFmt numFmtId="164" formatCode="_-* #,##0.00\ &quot;Kz&quot;_-;\-* #,##0.00\ &quot;Kz&quot;_-;_-* &quot;-&quot;??\ &quot;Kz&quot;_-;_-@_-"/>
    </dxf>
    <dxf>
      <numFmt numFmtId="165" formatCode="yyyy\-mm\-dd\ hh:mm:ss"/>
    </dxf>
    <dxf>
      <numFmt numFmtId="165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30" formatCode="@"/>
    </dxf>
    <dxf>
      <numFmt numFmtId="164" formatCode="_-* #,##0.00\ &quot;Kz&quot;_-;\-* #,##0.00\ &quot;Kz&quot;_-;_-* &quot;-&quot;??\ &quot;Kz&quot;_-;_-@_-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[$-816]d\ &quot;de&quot;\ mmmm\ &quot;de&quot;\ yyyy;@"/>
    </dxf>
    <dxf>
      <numFmt numFmtId="1" formatCode="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731889763779529E-2"/>
          <c:y val="0.2269153225806452"/>
          <c:w val="0.76685984251968509"/>
          <c:h val="0.530482971382609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Manutenção!$K$1</c:f>
              <c:strCache>
                <c:ptCount val="1"/>
                <c:pt idx="0">
                  <c:v>Custo_Estimado_AKZ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Manutenção!$B$2:$B$302</c15:sqref>
                  </c15:fullRef>
                </c:ext>
              </c:extLst>
              <c:f>Manutenção!$B$2:$B$4</c:f>
              <c:numCache>
                <c:formatCode>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Manutenção!$J$2:$J$302</c15:sqref>
                  </c15:fullRef>
                </c:ext>
              </c:extLst>
              <c:f>Manutenção!$J$2:$J$4</c:f>
              <c:numCache>
                <c:formatCode>@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9-41AF-927A-92293AEE31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477612815"/>
        <c:axId val="1477627215"/>
      </c:barChart>
      <c:catAx>
        <c:axId val="1477612815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27215"/>
        <c:crosses val="autoZero"/>
        <c:auto val="1"/>
        <c:lblAlgn val="ctr"/>
        <c:lblOffset val="100"/>
        <c:noMultiLvlLbl val="1"/>
      </c:catAx>
      <c:valAx>
        <c:axId val="147762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61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</a:t>
            </a:r>
          </a:p>
        </c:rich>
      </c:tx>
      <c:layout>
        <c:manualLayout>
          <c:xMode val="edge"/>
          <c:yMode val="edge"/>
          <c:x val="0.385555555555555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Manutenção!$P$5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31E-44F9-9BB2-998A333326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31E-44F9-9BB2-998A333326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31E-44F9-9BB2-998A333326A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Manutenção!$O$6:$O$8</c:f>
              <c:strCache>
                <c:ptCount val="3"/>
                <c:pt idx="0">
                  <c:v>Concluído</c:v>
                </c:pt>
                <c:pt idx="1">
                  <c:v>Pendente</c:v>
                </c:pt>
                <c:pt idx="2">
                  <c:v>Em Atraso</c:v>
                </c:pt>
              </c:strCache>
            </c:strRef>
          </c:cat>
          <c:val>
            <c:numRef>
              <c:f>Manutenção!$P$6:$P$8</c:f>
              <c:numCache>
                <c:formatCode>General</c:formatCode>
                <c:ptCount val="3"/>
                <c:pt idx="0">
                  <c:v>190</c:v>
                </c:pt>
                <c:pt idx="1">
                  <c:v>87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1E-44F9-9BB2-998A333326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3</xdr:row>
      <xdr:rowOff>83820</xdr:rowOff>
    </xdr:from>
    <xdr:to>
      <xdr:col>13</xdr:col>
      <xdr:colOff>76200</xdr:colOff>
      <xdr:row>24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36484BB-7917-4FB4-AAD3-156BD065A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175260</xdr:rowOff>
    </xdr:from>
    <xdr:to>
      <xdr:col>24</xdr:col>
      <xdr:colOff>304800</xdr:colOff>
      <xdr:row>24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86E8C9-9F69-428F-8442-20A1BE911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54.454934027781" createdVersion="8" refreshedVersion="8" minRefreshableVersion="3" recordCount="302">
  <cacheSource type="worksheet">
    <worksheetSource ref="D1:E1048576" sheet="Manutenção"/>
  </cacheSource>
  <cacheFields count="2">
    <cacheField name="Tipo_Equipamento" numFmtId="49">
      <sharedItems containsBlank="1" count="7">
        <s v="Transmissor de Pressão"/>
        <s v="Válvula de Controlo"/>
        <s v="Controlador PID"/>
        <s v="Analisador de Gás"/>
        <s v="Sensor de Fluxo"/>
        <s v="Atuador Pneumático"/>
        <m/>
      </sharedItems>
    </cacheField>
    <cacheField name="Província" numFmtId="49">
      <sharedItems containsBlank="1" count="7">
        <s v="Zaire"/>
        <s v="Luanda"/>
        <s v="Huíla"/>
        <s v="Huambo"/>
        <s v="Cabinda"/>
        <s v="Benguel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154.499284490739" createdVersion="8" refreshedVersion="8" minRefreshableVersion="3" recordCount="300">
  <cacheSource type="worksheet">
    <worksheetSource name="Tabela3"/>
  </cacheSource>
  <cacheFields count="9">
    <cacheField name="ID_Auditoria" numFmtId="0">
      <sharedItems/>
    </cacheField>
    <cacheField name="Norma_Referência" numFmtId="0">
      <sharedItems count="5">
        <s v="ISA S5.1"/>
        <s v="Regulamento Técnico de Angola"/>
        <s v="ISO 9001"/>
        <s v="API 551"/>
        <s v="ISO 45001"/>
      </sharedItems>
    </cacheField>
    <cacheField name="Área_Auditada" numFmtId="0">
      <sharedItems/>
    </cacheField>
    <cacheField name="Data_Inspecção" numFmtId="165">
      <sharedItems containsSemiMixedTypes="0" containsNonDate="0" containsDate="1" containsString="0" minDate="2026-01-01T00:00:00" maxDate="2026-05-31T00:00:00"/>
    </cacheField>
    <cacheField name="Resultado" numFmtId="0">
      <sharedItems count="3">
        <s v="Conforme"/>
        <s v="Não-Conforme"/>
        <s v="Conforme com Observações"/>
      </sharedItems>
    </cacheField>
    <cacheField name="Inspector" numFmtId="0">
      <sharedItems/>
    </cacheField>
    <cacheField name="Validade_Certificado" numFmtId="165">
      <sharedItems containsSemiMixedTypes="0" containsNonDate="0" containsDate="1" containsString="0" minDate="2027-01-01T00:00:00" maxDate="2027-12-30T00:00:00"/>
    </cacheField>
    <cacheField name="Risco_Multa_AKZ" numFmtId="0">
      <sharedItems containsSemiMixedTypes="0" containsString="0" containsNumber="1" containsInteger="1" minValue="519156" maxValue="9968740"/>
    </cacheField>
    <cacheField name="Ação_Corretiv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o" refreshedDate="46154.514700115738" createdVersion="8" refreshedVersion="8" minRefreshableVersion="3" recordCount="300">
  <cacheSource type="worksheet">
    <worksheetSource name="Tabela1"/>
  </cacheSource>
  <cacheFields count="12">
    <cacheField name="ID_Ordem" numFmtId="49">
      <sharedItems count="300">
        <s v="MAN-272"/>
        <s v="MAN-061"/>
        <s v="MAN-225"/>
        <s v="MAN-175"/>
        <s v="MAN-059"/>
        <s v="MAN-233"/>
        <s v="MAN-168"/>
        <s v="MAN-114"/>
        <s v="MAN-016"/>
        <s v="MAN-229"/>
        <s v="MAN-041"/>
        <s v="MAN-280"/>
        <s v="MAN-075"/>
        <s v="MAN-071"/>
        <s v="MAN-293"/>
        <s v="MAN-126"/>
        <s v="MAN-115"/>
        <s v="MAN-270"/>
        <s v="MAN-214"/>
        <s v="MAN-164"/>
        <s v="MAN-184"/>
        <s v="MAN-092"/>
        <s v="MAN-237"/>
        <s v="MAN-012"/>
        <s v="MAN-300"/>
        <s v="MAN-197"/>
        <s v="MAN-159"/>
        <s v="MAN-158"/>
        <s v="MAN-238"/>
        <s v="MAN-018"/>
        <s v="MAN-042"/>
        <s v="MAN-250"/>
        <s v="MAN-160"/>
        <s v="MAN-076"/>
        <s v="MAN-202"/>
        <s v="MAN-118"/>
        <s v="MAN-284"/>
        <s v="MAN-119"/>
        <s v="MAN-087"/>
        <s v="MAN-271"/>
        <s v="MAN-134"/>
        <s v="MAN-240"/>
        <s v="MAN-235"/>
        <s v="MAN-297"/>
        <s v="MAN-241"/>
        <s v="MAN-142"/>
        <s v="MAN-081"/>
        <s v="MAN-165"/>
        <s v="MAN-091"/>
        <s v="MAN-103"/>
        <s v="MAN-026"/>
        <s v="MAN-038"/>
        <s v="MAN-005"/>
        <s v="MAN-108"/>
        <s v="MAN-282"/>
        <s v="MAN-257"/>
        <s v="MAN-058"/>
        <s v="MAN-203"/>
        <s v="MAN-212"/>
        <s v="MAN-057"/>
        <s v="MAN-014"/>
        <s v="MAN-200"/>
        <s v="MAN-054"/>
        <s v="MAN-131"/>
        <s v="MAN-221"/>
        <s v="MAN-082"/>
        <s v="MAN-100"/>
        <s v="MAN-106"/>
        <s v="MAN-130"/>
        <s v="MAN-123"/>
        <s v="MAN-216"/>
        <s v="MAN-028"/>
        <s v="MAN-195"/>
        <s v="MAN-224"/>
        <s v="MAN-182"/>
        <s v="MAN-181"/>
        <s v="MAN-097"/>
        <s v="MAN-107"/>
        <s v="MAN-236"/>
        <s v="MAN-260"/>
        <s v="MAN-276"/>
        <s v="MAN-063"/>
        <s v="MAN-227"/>
        <s v="MAN-259"/>
        <s v="MAN-077"/>
        <s v="MAN-289"/>
        <s v="MAN-192"/>
        <s v="MAN-211"/>
        <s v="MAN-030"/>
        <s v="MAN-072"/>
        <s v="MAN-032"/>
        <s v="MAN-256"/>
        <s v="MAN-295"/>
        <s v="MAN-135"/>
        <s v="MAN-248"/>
        <s v="MAN-109"/>
        <s v="MAN-243"/>
        <s v="MAN-144"/>
        <s v="MAN-056"/>
        <s v="MAN-266"/>
        <s v="MAN-247"/>
        <s v="MAN-267"/>
        <s v="MAN-043"/>
        <s v="MAN-218"/>
        <s v="MAN-009"/>
        <s v="MAN-110"/>
        <s v="MAN-013"/>
        <s v="MAN-022"/>
        <s v="MAN-245"/>
        <s v="MAN-171"/>
        <s v="MAN-037"/>
        <s v="MAN-001"/>
        <s v="MAN-136"/>
        <s v="MAN-273"/>
        <s v="MAN-230"/>
        <s v="MAN-169"/>
        <s v="MAN-287"/>
        <s v="MAN-208"/>
        <s v="MAN-065"/>
        <s v="MAN-179"/>
        <s v="MAN-172"/>
        <s v="MAN-010"/>
        <s v="MAN-145"/>
        <s v="MAN-086"/>
        <s v="MAN-093"/>
        <s v="MAN-084"/>
        <s v="MAN-044"/>
        <s v="MAN-102"/>
        <s v="MAN-279"/>
        <s v="MAN-112"/>
        <s v="MAN-274"/>
        <s v="MAN-105"/>
        <s v="MAN-263"/>
        <s v="MAN-251"/>
        <s v="MAN-125"/>
        <s v="MAN-242"/>
        <s v="MAN-095"/>
        <s v="MAN-292"/>
        <s v="MAN-196"/>
        <s v="MAN-069"/>
        <s v="MAN-034"/>
        <s v="MAN-269"/>
        <s v="MAN-060"/>
        <s v="MAN-291"/>
        <s v="MAN-213"/>
        <s v="MAN-283"/>
        <s v="MAN-210"/>
        <s v="MAN-262"/>
        <s v="MAN-129"/>
        <s v="MAN-199"/>
        <s v="MAN-007"/>
        <s v="MAN-024"/>
        <s v="MAN-116"/>
        <s v="MAN-174"/>
        <s v="MAN-035"/>
        <s v="MAN-062"/>
        <s v="MAN-201"/>
        <s v="MAN-078"/>
        <s v="MAN-117"/>
        <s v="MAN-008"/>
        <s v="MAN-204"/>
        <s v="MAN-011"/>
        <s v="MAN-138"/>
        <s v="MAN-146"/>
        <s v="MAN-153"/>
        <s v="MAN-249"/>
        <s v="MAN-141"/>
        <s v="MAN-021"/>
        <s v="MAN-089"/>
        <s v="MAN-040"/>
        <s v="MAN-083"/>
        <s v="MAN-166"/>
        <s v="MAN-265"/>
        <s v="MAN-246"/>
        <s v="MAN-132"/>
        <s v="MAN-151"/>
        <s v="MAN-080"/>
        <s v="MAN-113"/>
        <s v="MAN-255"/>
        <s v="MAN-047"/>
        <s v="MAN-104"/>
        <s v="MAN-036"/>
        <s v="MAN-064"/>
        <s v="MAN-090"/>
        <s v="MAN-222"/>
        <s v="MAN-189"/>
        <s v="MAN-055"/>
        <s v="MAN-275"/>
        <s v="MAN-147"/>
        <s v="MAN-268"/>
        <s v="MAN-070"/>
        <s v="MAN-198"/>
        <s v="MAN-190"/>
        <s v="MAN-205"/>
        <s v="MAN-019"/>
        <s v="MAN-278"/>
        <s v="MAN-215"/>
        <s v="MAN-133"/>
        <s v="MAN-277"/>
        <s v="MAN-156"/>
        <s v="MAN-122"/>
        <s v="MAN-149"/>
        <s v="MAN-296"/>
        <s v="MAN-152"/>
        <s v="MAN-088"/>
        <s v="MAN-178"/>
        <s v="MAN-217"/>
        <s v="MAN-098"/>
        <s v="MAN-128"/>
        <s v="MAN-206"/>
        <s v="MAN-051"/>
        <s v="MAN-143"/>
        <s v="MAN-017"/>
        <s v="MAN-194"/>
        <s v="MAN-068"/>
        <s v="MAN-223"/>
        <s v="MAN-120"/>
        <s v="MAN-180"/>
        <s v="MAN-177"/>
        <s v="MAN-099"/>
        <s v="MAN-111"/>
        <s v="MAN-023"/>
        <s v="MAN-050"/>
        <s v="MAN-231"/>
        <s v="MAN-285"/>
        <s v="MAN-073"/>
        <s v="MAN-286"/>
        <s v="MAN-228"/>
        <s v="MAN-281"/>
        <s v="MAN-046"/>
        <s v="MAN-048"/>
        <s v="MAN-094"/>
        <s v="MAN-290"/>
        <s v="MAN-298"/>
        <s v="MAN-252"/>
        <s v="MAN-163"/>
        <s v="MAN-232"/>
        <s v="MAN-234"/>
        <s v="MAN-015"/>
        <s v="MAN-219"/>
        <s v="MAN-140"/>
        <s v="MAN-299"/>
        <s v="MAN-191"/>
        <s v="MAN-101"/>
        <s v="MAN-002"/>
        <s v="MAN-052"/>
        <s v="MAN-033"/>
        <s v="MAN-173"/>
        <s v="MAN-139"/>
        <s v="MAN-157"/>
        <s v="MAN-207"/>
        <s v="MAN-254"/>
        <s v="MAN-170"/>
        <s v="MAN-045"/>
        <s v="MAN-085"/>
        <s v="MAN-154"/>
        <s v="MAN-006"/>
        <s v="MAN-258"/>
        <s v="MAN-162"/>
        <s v="MAN-025"/>
        <s v="MAN-288"/>
        <s v="MAN-003"/>
        <s v="MAN-226"/>
        <s v="MAN-079"/>
        <s v="MAN-185"/>
        <s v="MAN-244"/>
        <s v="MAN-209"/>
        <s v="MAN-193"/>
        <s v="MAN-029"/>
        <s v="MAN-137"/>
        <s v="MAN-031"/>
        <s v="MAN-096"/>
        <s v="MAN-261"/>
        <s v="MAN-150"/>
        <s v="MAN-074"/>
        <s v="MAN-124"/>
        <s v="MAN-020"/>
        <s v="MAN-161"/>
        <s v="MAN-167"/>
        <s v="MAN-253"/>
        <s v="MAN-053"/>
        <s v="MAN-027"/>
        <s v="MAN-127"/>
        <s v="MAN-183"/>
        <s v="MAN-294"/>
        <s v="MAN-067"/>
        <s v="MAN-176"/>
        <s v="MAN-239"/>
        <s v="MAN-186"/>
        <s v="MAN-039"/>
        <s v="MAN-220"/>
        <s v="MAN-148"/>
        <s v="MAN-188"/>
        <s v="MAN-004"/>
        <s v="MAN-049"/>
        <s v="MAN-187"/>
        <s v="MAN-121"/>
        <s v="MAN-155"/>
        <s v="MAN-066"/>
        <s v="MAN-264"/>
      </sharedItems>
    </cacheField>
    <cacheField name="Numeros" numFmtId="1">
      <sharedItems containsSemiMixedTypes="0" containsString="0" containsNumber="1" containsInteger="1" minValue="1" maxValue="1"/>
    </cacheField>
    <cacheField name="Data_Programada" numFmtId="166">
      <sharedItems containsSemiMixedTypes="0" containsNonDate="0" containsDate="1" containsString="0" minDate="2026-01-01T00:00:00" maxDate="2026-06-30T00:00:00"/>
    </cacheField>
    <cacheField name="Tag_Equipamento" numFmtId="49">
      <sharedItems/>
    </cacheField>
    <cacheField name="Tipo_Equipamento" numFmtId="49">
      <sharedItems count="6">
        <s v="Transmissor de Pressão"/>
        <s v="Válvula de Controlo"/>
        <s v="Controlador PID"/>
        <s v="Analisador de Gás"/>
        <s v="Sensor de Fluxo"/>
        <s v="Atuador Pneumático"/>
      </sharedItems>
    </cacheField>
    <cacheField name="Província" numFmtId="49">
      <sharedItems/>
    </cacheField>
    <cacheField name="Unidade_Operacional" numFmtId="49">
      <sharedItems/>
    </cacheField>
    <cacheField name="Técnico_Responsável" numFmtId="49">
      <sharedItems/>
    </cacheField>
    <cacheField name="Tipo_Manutenção" numFmtId="49">
      <sharedItems/>
    </cacheField>
    <cacheField name="Estado" numFmtId="49">
      <sharedItems count="3">
        <s v="Concluído"/>
        <s v="Pendente"/>
        <s v="Em Atraso"/>
      </sharedItems>
    </cacheField>
    <cacheField name="Custo_Estimado_AKZ" numFmtId="164">
      <sharedItems containsSemiMixedTypes="0" containsString="0" containsNumber="1" containsInteger="1" minValue="57531" maxValue="1494331"/>
    </cacheField>
    <cacheField name="Observaçõe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x v="0"/>
    <x v="0"/>
  </r>
  <r>
    <x v="1"/>
    <x v="0"/>
  </r>
  <r>
    <x v="1"/>
    <x v="0"/>
  </r>
  <r>
    <x v="2"/>
    <x v="0"/>
  </r>
  <r>
    <x v="3"/>
    <x v="0"/>
  </r>
  <r>
    <x v="4"/>
    <x v="0"/>
  </r>
  <r>
    <x v="4"/>
    <x v="0"/>
  </r>
  <r>
    <x v="1"/>
    <x v="0"/>
  </r>
  <r>
    <x v="3"/>
    <x v="0"/>
  </r>
  <r>
    <x v="5"/>
    <x v="0"/>
  </r>
  <r>
    <x v="5"/>
    <x v="0"/>
  </r>
  <r>
    <x v="5"/>
    <x v="0"/>
  </r>
  <r>
    <x v="4"/>
    <x v="0"/>
  </r>
  <r>
    <x v="5"/>
    <x v="0"/>
  </r>
  <r>
    <x v="3"/>
    <x v="0"/>
  </r>
  <r>
    <x v="5"/>
    <x v="0"/>
  </r>
  <r>
    <x v="2"/>
    <x v="0"/>
  </r>
  <r>
    <x v="4"/>
    <x v="0"/>
  </r>
  <r>
    <x v="5"/>
    <x v="0"/>
  </r>
  <r>
    <x v="1"/>
    <x v="0"/>
  </r>
  <r>
    <x v="4"/>
    <x v="0"/>
  </r>
  <r>
    <x v="0"/>
    <x v="0"/>
  </r>
  <r>
    <x v="2"/>
    <x v="0"/>
  </r>
  <r>
    <x v="0"/>
    <x v="0"/>
  </r>
  <r>
    <x v="2"/>
    <x v="0"/>
  </r>
  <r>
    <x v="0"/>
    <x v="0"/>
  </r>
  <r>
    <x v="2"/>
    <x v="0"/>
  </r>
  <r>
    <x v="2"/>
    <x v="0"/>
  </r>
  <r>
    <x v="5"/>
    <x v="0"/>
  </r>
  <r>
    <x v="2"/>
    <x v="0"/>
  </r>
  <r>
    <x v="5"/>
    <x v="0"/>
  </r>
  <r>
    <x v="3"/>
    <x v="0"/>
  </r>
  <r>
    <x v="5"/>
    <x v="0"/>
  </r>
  <r>
    <x v="0"/>
    <x v="0"/>
  </r>
  <r>
    <x v="0"/>
    <x v="0"/>
  </r>
  <r>
    <x v="2"/>
    <x v="0"/>
  </r>
  <r>
    <x v="0"/>
    <x v="0"/>
  </r>
  <r>
    <x v="5"/>
    <x v="0"/>
  </r>
  <r>
    <x v="5"/>
    <x v="0"/>
  </r>
  <r>
    <x v="1"/>
    <x v="0"/>
  </r>
  <r>
    <x v="3"/>
    <x v="0"/>
  </r>
  <r>
    <x v="1"/>
    <x v="0"/>
  </r>
  <r>
    <x v="3"/>
    <x v="0"/>
  </r>
  <r>
    <x v="4"/>
    <x v="0"/>
  </r>
  <r>
    <x v="3"/>
    <x v="0"/>
  </r>
  <r>
    <x v="2"/>
    <x v="0"/>
  </r>
  <r>
    <x v="5"/>
    <x v="0"/>
  </r>
  <r>
    <x v="5"/>
    <x v="0"/>
  </r>
  <r>
    <x v="4"/>
    <x v="0"/>
  </r>
  <r>
    <x v="0"/>
    <x v="0"/>
  </r>
  <r>
    <x v="1"/>
    <x v="0"/>
  </r>
  <r>
    <x v="2"/>
    <x v="0"/>
  </r>
  <r>
    <x v="0"/>
    <x v="0"/>
  </r>
  <r>
    <x v="1"/>
    <x v="1"/>
  </r>
  <r>
    <x v="5"/>
    <x v="1"/>
  </r>
  <r>
    <x v="2"/>
    <x v="1"/>
  </r>
  <r>
    <x v="0"/>
    <x v="1"/>
  </r>
  <r>
    <x v="3"/>
    <x v="1"/>
  </r>
  <r>
    <x v="3"/>
    <x v="1"/>
  </r>
  <r>
    <x v="5"/>
    <x v="1"/>
  </r>
  <r>
    <x v="2"/>
    <x v="1"/>
  </r>
  <r>
    <x v="3"/>
    <x v="1"/>
  </r>
  <r>
    <x v="1"/>
    <x v="1"/>
  </r>
  <r>
    <x v="3"/>
    <x v="1"/>
  </r>
  <r>
    <x v="5"/>
    <x v="1"/>
  </r>
  <r>
    <x v="5"/>
    <x v="1"/>
  </r>
  <r>
    <x v="5"/>
    <x v="1"/>
  </r>
  <r>
    <x v="2"/>
    <x v="1"/>
  </r>
  <r>
    <x v="4"/>
    <x v="1"/>
  </r>
  <r>
    <x v="0"/>
    <x v="1"/>
  </r>
  <r>
    <x v="1"/>
    <x v="1"/>
  </r>
  <r>
    <x v="2"/>
    <x v="1"/>
  </r>
  <r>
    <x v="0"/>
    <x v="1"/>
  </r>
  <r>
    <x v="3"/>
    <x v="1"/>
  </r>
  <r>
    <x v="5"/>
    <x v="1"/>
  </r>
  <r>
    <x v="1"/>
    <x v="1"/>
  </r>
  <r>
    <x v="0"/>
    <x v="1"/>
  </r>
  <r>
    <x v="1"/>
    <x v="1"/>
  </r>
  <r>
    <x v="4"/>
    <x v="1"/>
  </r>
  <r>
    <x v="1"/>
    <x v="1"/>
  </r>
  <r>
    <x v="1"/>
    <x v="1"/>
  </r>
  <r>
    <x v="4"/>
    <x v="1"/>
  </r>
  <r>
    <x v="3"/>
    <x v="1"/>
  </r>
  <r>
    <x v="2"/>
    <x v="1"/>
  </r>
  <r>
    <x v="5"/>
    <x v="1"/>
  </r>
  <r>
    <x v="3"/>
    <x v="1"/>
  </r>
  <r>
    <x v="3"/>
    <x v="1"/>
  </r>
  <r>
    <x v="3"/>
    <x v="1"/>
  </r>
  <r>
    <x v="0"/>
    <x v="1"/>
  </r>
  <r>
    <x v="0"/>
    <x v="1"/>
  </r>
  <r>
    <x v="4"/>
    <x v="1"/>
  </r>
  <r>
    <x v="5"/>
    <x v="1"/>
  </r>
  <r>
    <x v="3"/>
    <x v="1"/>
  </r>
  <r>
    <x v="1"/>
    <x v="1"/>
  </r>
  <r>
    <x v="0"/>
    <x v="1"/>
  </r>
  <r>
    <x v="1"/>
    <x v="1"/>
  </r>
  <r>
    <x v="4"/>
    <x v="1"/>
  </r>
  <r>
    <x v="3"/>
    <x v="1"/>
  </r>
  <r>
    <x v="5"/>
    <x v="1"/>
  </r>
  <r>
    <x v="3"/>
    <x v="1"/>
  </r>
  <r>
    <x v="1"/>
    <x v="1"/>
  </r>
  <r>
    <x v="1"/>
    <x v="1"/>
  </r>
  <r>
    <x v="3"/>
    <x v="1"/>
  </r>
  <r>
    <x v="0"/>
    <x v="1"/>
  </r>
  <r>
    <x v="3"/>
    <x v="1"/>
  </r>
  <r>
    <x v="3"/>
    <x v="1"/>
  </r>
  <r>
    <x v="4"/>
    <x v="2"/>
  </r>
  <r>
    <x v="2"/>
    <x v="2"/>
  </r>
  <r>
    <x v="5"/>
    <x v="2"/>
  </r>
  <r>
    <x v="0"/>
    <x v="2"/>
  </r>
  <r>
    <x v="5"/>
    <x v="2"/>
  </r>
  <r>
    <x v="2"/>
    <x v="2"/>
  </r>
  <r>
    <x v="1"/>
    <x v="2"/>
  </r>
  <r>
    <x v="5"/>
    <x v="2"/>
  </r>
  <r>
    <x v="1"/>
    <x v="2"/>
  </r>
  <r>
    <x v="4"/>
    <x v="2"/>
  </r>
  <r>
    <x v="5"/>
    <x v="2"/>
  </r>
  <r>
    <x v="1"/>
    <x v="2"/>
  </r>
  <r>
    <x v="1"/>
    <x v="2"/>
  </r>
  <r>
    <x v="4"/>
    <x v="2"/>
  </r>
  <r>
    <x v="4"/>
    <x v="2"/>
  </r>
  <r>
    <x v="3"/>
    <x v="2"/>
  </r>
  <r>
    <x v="0"/>
    <x v="2"/>
  </r>
  <r>
    <x v="5"/>
    <x v="2"/>
  </r>
  <r>
    <x v="5"/>
    <x v="2"/>
  </r>
  <r>
    <x v="4"/>
    <x v="2"/>
  </r>
  <r>
    <x v="4"/>
    <x v="2"/>
  </r>
  <r>
    <x v="3"/>
    <x v="2"/>
  </r>
  <r>
    <x v="4"/>
    <x v="2"/>
  </r>
  <r>
    <x v="4"/>
    <x v="2"/>
  </r>
  <r>
    <x v="3"/>
    <x v="2"/>
  </r>
  <r>
    <x v="1"/>
    <x v="2"/>
  </r>
  <r>
    <x v="5"/>
    <x v="2"/>
  </r>
  <r>
    <x v="1"/>
    <x v="2"/>
  </r>
  <r>
    <x v="5"/>
    <x v="2"/>
  </r>
  <r>
    <x v="4"/>
    <x v="2"/>
  </r>
  <r>
    <x v="0"/>
    <x v="2"/>
  </r>
  <r>
    <x v="4"/>
    <x v="2"/>
  </r>
  <r>
    <x v="5"/>
    <x v="2"/>
  </r>
  <r>
    <x v="4"/>
    <x v="2"/>
  </r>
  <r>
    <x v="0"/>
    <x v="2"/>
  </r>
  <r>
    <x v="2"/>
    <x v="2"/>
  </r>
  <r>
    <x v="0"/>
    <x v="2"/>
  </r>
  <r>
    <x v="3"/>
    <x v="2"/>
  </r>
  <r>
    <x v="4"/>
    <x v="2"/>
  </r>
  <r>
    <x v="0"/>
    <x v="2"/>
  </r>
  <r>
    <x v="0"/>
    <x v="2"/>
  </r>
  <r>
    <x v="0"/>
    <x v="2"/>
  </r>
  <r>
    <x v="4"/>
    <x v="2"/>
  </r>
  <r>
    <x v="1"/>
    <x v="2"/>
  </r>
  <r>
    <x v="0"/>
    <x v="2"/>
  </r>
  <r>
    <x v="1"/>
    <x v="2"/>
  </r>
  <r>
    <x v="0"/>
    <x v="2"/>
  </r>
  <r>
    <x v="2"/>
    <x v="2"/>
  </r>
  <r>
    <x v="0"/>
    <x v="2"/>
  </r>
  <r>
    <x v="0"/>
    <x v="2"/>
  </r>
  <r>
    <x v="1"/>
    <x v="2"/>
  </r>
  <r>
    <x v="3"/>
    <x v="2"/>
  </r>
  <r>
    <x v="3"/>
    <x v="2"/>
  </r>
  <r>
    <x v="5"/>
    <x v="2"/>
  </r>
  <r>
    <x v="1"/>
    <x v="2"/>
  </r>
  <r>
    <x v="4"/>
    <x v="2"/>
  </r>
  <r>
    <x v="3"/>
    <x v="2"/>
  </r>
  <r>
    <x v="2"/>
    <x v="2"/>
  </r>
  <r>
    <x v="2"/>
    <x v="3"/>
  </r>
  <r>
    <x v="0"/>
    <x v="3"/>
  </r>
  <r>
    <x v="1"/>
    <x v="3"/>
  </r>
  <r>
    <x v="2"/>
    <x v="3"/>
  </r>
  <r>
    <x v="1"/>
    <x v="3"/>
  </r>
  <r>
    <x v="2"/>
    <x v="3"/>
  </r>
  <r>
    <x v="3"/>
    <x v="3"/>
  </r>
  <r>
    <x v="3"/>
    <x v="3"/>
  </r>
  <r>
    <x v="2"/>
    <x v="3"/>
  </r>
  <r>
    <x v="2"/>
    <x v="3"/>
  </r>
  <r>
    <x v="2"/>
    <x v="3"/>
  </r>
  <r>
    <x v="5"/>
    <x v="3"/>
  </r>
  <r>
    <x v="0"/>
    <x v="3"/>
  </r>
  <r>
    <x v="4"/>
    <x v="3"/>
  </r>
  <r>
    <x v="0"/>
    <x v="3"/>
  </r>
  <r>
    <x v="1"/>
    <x v="3"/>
  </r>
  <r>
    <x v="0"/>
    <x v="3"/>
  </r>
  <r>
    <x v="0"/>
    <x v="3"/>
  </r>
  <r>
    <x v="5"/>
    <x v="3"/>
  </r>
  <r>
    <x v="1"/>
    <x v="3"/>
  </r>
  <r>
    <x v="2"/>
    <x v="3"/>
  </r>
  <r>
    <x v="2"/>
    <x v="3"/>
  </r>
  <r>
    <x v="4"/>
    <x v="3"/>
  </r>
  <r>
    <x v="2"/>
    <x v="3"/>
  </r>
  <r>
    <x v="3"/>
    <x v="3"/>
  </r>
  <r>
    <x v="0"/>
    <x v="3"/>
  </r>
  <r>
    <x v="0"/>
    <x v="3"/>
  </r>
  <r>
    <x v="2"/>
    <x v="3"/>
  </r>
  <r>
    <x v="1"/>
    <x v="3"/>
  </r>
  <r>
    <x v="5"/>
    <x v="3"/>
  </r>
  <r>
    <x v="5"/>
    <x v="3"/>
  </r>
  <r>
    <x v="4"/>
    <x v="3"/>
  </r>
  <r>
    <x v="0"/>
    <x v="3"/>
  </r>
  <r>
    <x v="1"/>
    <x v="3"/>
  </r>
  <r>
    <x v="1"/>
    <x v="3"/>
  </r>
  <r>
    <x v="1"/>
    <x v="3"/>
  </r>
  <r>
    <x v="4"/>
    <x v="3"/>
  </r>
  <r>
    <x v="4"/>
    <x v="3"/>
  </r>
  <r>
    <x v="0"/>
    <x v="3"/>
  </r>
  <r>
    <x v="5"/>
    <x v="3"/>
  </r>
  <r>
    <x v="5"/>
    <x v="3"/>
  </r>
  <r>
    <x v="4"/>
    <x v="3"/>
  </r>
  <r>
    <x v="2"/>
    <x v="3"/>
  </r>
  <r>
    <x v="4"/>
    <x v="3"/>
  </r>
  <r>
    <x v="1"/>
    <x v="3"/>
  </r>
  <r>
    <x v="4"/>
    <x v="3"/>
  </r>
  <r>
    <x v="1"/>
    <x v="3"/>
  </r>
  <r>
    <x v="0"/>
    <x v="4"/>
  </r>
  <r>
    <x v="2"/>
    <x v="4"/>
  </r>
  <r>
    <x v="3"/>
    <x v="4"/>
  </r>
  <r>
    <x v="4"/>
    <x v="4"/>
  </r>
  <r>
    <x v="3"/>
    <x v="4"/>
  </r>
  <r>
    <x v="3"/>
    <x v="4"/>
  </r>
  <r>
    <x v="5"/>
    <x v="4"/>
  </r>
  <r>
    <x v="4"/>
    <x v="4"/>
  </r>
  <r>
    <x v="5"/>
    <x v="4"/>
  </r>
  <r>
    <x v="3"/>
    <x v="4"/>
  </r>
  <r>
    <x v="1"/>
    <x v="4"/>
  </r>
  <r>
    <x v="0"/>
    <x v="4"/>
  </r>
  <r>
    <x v="3"/>
    <x v="4"/>
  </r>
  <r>
    <x v="5"/>
    <x v="4"/>
  </r>
  <r>
    <x v="1"/>
    <x v="4"/>
  </r>
  <r>
    <x v="3"/>
    <x v="4"/>
  </r>
  <r>
    <x v="1"/>
    <x v="4"/>
  </r>
  <r>
    <x v="3"/>
    <x v="4"/>
  </r>
  <r>
    <x v="3"/>
    <x v="4"/>
  </r>
  <r>
    <x v="4"/>
    <x v="4"/>
  </r>
  <r>
    <x v="3"/>
    <x v="4"/>
  </r>
  <r>
    <x v="2"/>
    <x v="4"/>
  </r>
  <r>
    <x v="4"/>
    <x v="4"/>
  </r>
  <r>
    <x v="3"/>
    <x v="4"/>
  </r>
  <r>
    <x v="5"/>
    <x v="4"/>
  </r>
  <r>
    <x v="4"/>
    <x v="4"/>
  </r>
  <r>
    <x v="4"/>
    <x v="4"/>
  </r>
  <r>
    <x v="1"/>
    <x v="4"/>
  </r>
  <r>
    <x v="0"/>
    <x v="4"/>
  </r>
  <r>
    <x v="4"/>
    <x v="4"/>
  </r>
  <r>
    <x v="5"/>
    <x v="4"/>
  </r>
  <r>
    <x v="5"/>
    <x v="4"/>
  </r>
  <r>
    <x v="2"/>
    <x v="4"/>
  </r>
  <r>
    <x v="0"/>
    <x v="4"/>
  </r>
  <r>
    <x v="1"/>
    <x v="4"/>
  </r>
  <r>
    <x v="3"/>
    <x v="4"/>
  </r>
  <r>
    <x v="3"/>
    <x v="4"/>
  </r>
  <r>
    <x v="4"/>
    <x v="4"/>
  </r>
  <r>
    <x v="0"/>
    <x v="4"/>
  </r>
  <r>
    <x v="0"/>
    <x v="4"/>
  </r>
  <r>
    <x v="0"/>
    <x v="4"/>
  </r>
  <r>
    <x v="4"/>
    <x v="4"/>
  </r>
  <r>
    <x v="5"/>
    <x v="4"/>
  </r>
  <r>
    <x v="5"/>
    <x v="5"/>
  </r>
  <r>
    <x v="1"/>
    <x v="5"/>
  </r>
  <r>
    <x v="3"/>
    <x v="5"/>
  </r>
  <r>
    <x v="0"/>
    <x v="5"/>
  </r>
  <r>
    <x v="3"/>
    <x v="5"/>
  </r>
  <r>
    <x v="2"/>
    <x v="5"/>
  </r>
  <r>
    <x v="3"/>
    <x v="5"/>
  </r>
  <r>
    <x v="1"/>
    <x v="5"/>
  </r>
  <r>
    <x v="2"/>
    <x v="5"/>
  </r>
  <r>
    <x v="2"/>
    <x v="5"/>
  </r>
  <r>
    <x v="4"/>
    <x v="5"/>
  </r>
  <r>
    <x v="0"/>
    <x v="5"/>
  </r>
  <r>
    <x v="0"/>
    <x v="5"/>
  </r>
  <r>
    <x v="5"/>
    <x v="5"/>
  </r>
  <r>
    <x v="5"/>
    <x v="5"/>
  </r>
  <r>
    <x v="1"/>
    <x v="5"/>
  </r>
  <r>
    <x v="2"/>
    <x v="5"/>
  </r>
  <r>
    <x v="3"/>
    <x v="5"/>
  </r>
  <r>
    <x v="4"/>
    <x v="5"/>
  </r>
  <r>
    <x v="0"/>
    <x v="5"/>
  </r>
  <r>
    <x v="0"/>
    <x v="5"/>
  </r>
  <r>
    <x v="0"/>
    <x v="5"/>
  </r>
  <r>
    <x v="1"/>
    <x v="5"/>
  </r>
  <r>
    <x v="1"/>
    <x v="5"/>
  </r>
  <r>
    <x v="4"/>
    <x v="5"/>
  </r>
  <r>
    <x v="2"/>
    <x v="5"/>
  </r>
  <r>
    <x v="3"/>
    <x v="5"/>
  </r>
  <r>
    <x v="2"/>
    <x v="5"/>
  </r>
  <r>
    <x v="3"/>
    <x v="5"/>
  </r>
  <r>
    <x v="1"/>
    <x v="5"/>
  </r>
  <r>
    <x v="3"/>
    <x v="5"/>
  </r>
  <r>
    <x v="3"/>
    <x v="5"/>
  </r>
  <r>
    <x v="0"/>
    <x v="5"/>
  </r>
  <r>
    <x v="1"/>
    <x v="5"/>
  </r>
  <r>
    <x v="5"/>
    <x v="5"/>
  </r>
  <r>
    <x v="5"/>
    <x v="5"/>
  </r>
  <r>
    <x v="4"/>
    <x v="5"/>
  </r>
  <r>
    <x v="1"/>
    <x v="5"/>
  </r>
  <r>
    <x v="1"/>
    <x v="5"/>
  </r>
  <r>
    <x v="0"/>
    <x v="5"/>
  </r>
  <r>
    <x v="5"/>
    <x v="5"/>
  </r>
  <r>
    <x v="5"/>
    <x v="5"/>
  </r>
  <r>
    <x v="3"/>
    <x v="5"/>
  </r>
  <r>
    <x v="0"/>
    <x v="5"/>
  </r>
  <r>
    <x v="0"/>
    <x v="5"/>
  </r>
  <r>
    <x v="1"/>
    <x v="5"/>
  </r>
  <r>
    <x v="6"/>
    <x v="6"/>
  </r>
  <r>
    <x v="6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COMP-001"/>
    <x v="0"/>
    <s v="Segurança Industrial"/>
    <d v="2026-03-13T00:00:00"/>
    <x v="0"/>
    <s v="ANPG"/>
    <d v="2027-05-10T00:00:00"/>
    <n v="6052612"/>
    <s v="Actualizar registos no portal da empresa"/>
  </r>
  <r>
    <s v="COMP-002"/>
    <x v="0"/>
    <s v="Proteção Explosão"/>
    <d v="2026-02-21T00:00:00"/>
    <x v="1"/>
    <s v="Inspeção Geral do Trabalho"/>
    <d v="2027-12-28T00:00:00"/>
    <n v="7589109"/>
    <s v="Actualizar registos no portal da empresa"/>
  </r>
  <r>
    <s v="COMP-003"/>
    <x v="1"/>
    <s v="Calibração"/>
    <d v="2026-04-28T00:00:00"/>
    <x v="0"/>
    <s v="INEE (Instituto Nacional de Estradas)"/>
    <d v="2027-02-17T00:00:00"/>
    <n v="7329313"/>
    <s v="Actualizar registos no portal da empresa"/>
  </r>
  <r>
    <s v="COMP-004"/>
    <x v="0"/>
    <s v="Proteção Explosão"/>
    <d v="2026-04-30T00:00:00"/>
    <x v="0"/>
    <s v="Auditoria Interna"/>
    <d v="2027-02-23T00:00:00"/>
    <n v="6712695"/>
    <s v="Actualizar registos no portal da empresa"/>
  </r>
  <r>
    <s v="COMP-005"/>
    <x v="2"/>
    <s v="Calibração"/>
    <d v="2026-01-07T00:00:00"/>
    <x v="0"/>
    <s v="INEE (Instituto Nacional de Estradas)"/>
    <d v="2027-06-02T00:00:00"/>
    <n v="9557483"/>
    <s v="Actualizar registos no portal da empresa"/>
  </r>
  <r>
    <s v="COMP-006"/>
    <x v="0"/>
    <s v="Calibração"/>
    <d v="2026-01-11T00:00:00"/>
    <x v="0"/>
    <s v="Inspeção Geral do Trabalho"/>
    <d v="2027-12-20T00:00:00"/>
    <n v="5290287"/>
    <s v="Actualizar registos no portal da empresa"/>
  </r>
  <r>
    <s v="COMP-007"/>
    <x v="1"/>
    <s v="Proteção Explosão"/>
    <d v="2026-04-13T00:00:00"/>
    <x v="0"/>
    <s v="INEE (Instituto Nacional de Estradas)"/>
    <d v="2027-07-18T00:00:00"/>
    <n v="753078"/>
    <s v="Actualizar registos no portal da empresa"/>
  </r>
  <r>
    <s v="COMP-008"/>
    <x v="3"/>
    <s v="Calibração"/>
    <d v="2026-03-02T00:00:00"/>
    <x v="0"/>
    <s v="ANPG"/>
    <d v="2027-11-03T00:00:00"/>
    <n v="868893"/>
    <s v="Actualizar registos no portal da empresa"/>
  </r>
  <r>
    <s v="COMP-009"/>
    <x v="0"/>
    <s v="Proteção Explosão"/>
    <d v="2026-03-09T00:00:00"/>
    <x v="2"/>
    <s v="INEE (Instituto Nacional de Estradas)"/>
    <d v="2027-12-21T00:00:00"/>
    <n v="3601883"/>
    <s v="Actualizar registos no portal da empresa"/>
  </r>
  <r>
    <s v="COMP-010"/>
    <x v="4"/>
    <s v="Segurança Industrial"/>
    <d v="2026-05-20T00:00:00"/>
    <x v="0"/>
    <s v="INEE (Instituto Nacional de Estradas)"/>
    <d v="2027-04-27T00:00:00"/>
    <n v="5898856"/>
    <s v="Actualizar registos no portal da empresa"/>
  </r>
  <r>
    <s v="COMP-011"/>
    <x v="2"/>
    <s v="Proteção Explosão"/>
    <d v="2026-04-12T00:00:00"/>
    <x v="0"/>
    <s v="Inspeção Geral do Trabalho"/>
    <d v="2027-09-19T00:00:00"/>
    <n v="1215295"/>
    <s v="Actualizar registos no portal da empresa"/>
  </r>
  <r>
    <s v="COMP-012"/>
    <x v="2"/>
    <s v="Segurança Industrial"/>
    <d v="2026-04-20T00:00:00"/>
    <x v="0"/>
    <s v="ANPG"/>
    <d v="2027-02-14T00:00:00"/>
    <n v="2378798"/>
    <s v="Actualizar registos no portal da empresa"/>
  </r>
  <r>
    <s v="COMP-013"/>
    <x v="4"/>
    <s v="Calibração"/>
    <d v="2026-05-20T00:00:00"/>
    <x v="0"/>
    <s v="Inspeção Geral do Trabalho"/>
    <d v="2027-10-28T00:00:00"/>
    <n v="4500740"/>
    <s v="Actualizar registos no portal da empresa"/>
  </r>
  <r>
    <s v="COMP-014"/>
    <x v="4"/>
    <s v="Proteção Explosão"/>
    <d v="2026-02-20T00:00:00"/>
    <x v="0"/>
    <s v="INEE (Instituto Nacional de Estradas)"/>
    <d v="2027-12-21T00:00:00"/>
    <n v="9881260"/>
    <s v="Actualizar registos no portal da empresa"/>
  </r>
  <r>
    <s v="COMP-015"/>
    <x v="0"/>
    <s v="Calibração"/>
    <d v="2026-04-27T00:00:00"/>
    <x v="2"/>
    <s v="Auditoria Interna"/>
    <d v="2027-07-07T00:00:00"/>
    <n v="1554212"/>
    <s v="Actualizar registos no portal da empresa"/>
  </r>
  <r>
    <s v="COMP-016"/>
    <x v="4"/>
    <s v="Proteção Explosão"/>
    <d v="2026-02-15T00:00:00"/>
    <x v="0"/>
    <s v="INEE (Instituto Nacional de Estradas)"/>
    <d v="2027-11-05T00:00:00"/>
    <n v="2858730"/>
    <s v="Actualizar registos no portal da empresa"/>
  </r>
  <r>
    <s v="COMP-017"/>
    <x v="3"/>
    <s v="Segurança Industrial"/>
    <d v="2026-02-22T00:00:00"/>
    <x v="0"/>
    <s v="Inspeção Geral do Trabalho"/>
    <d v="2027-11-13T00:00:00"/>
    <n v="3985001"/>
    <s v="Actualizar registos no portal da empresa"/>
  </r>
  <r>
    <s v="COMP-018"/>
    <x v="1"/>
    <s v="Segurança Industrial"/>
    <d v="2026-03-29T00:00:00"/>
    <x v="0"/>
    <s v="Auditoria Interna"/>
    <d v="2027-05-08T00:00:00"/>
    <n v="2580563"/>
    <s v="Actualizar registos no portal da empresa"/>
  </r>
  <r>
    <s v="COMP-019"/>
    <x v="4"/>
    <s v="Proteção Explosão"/>
    <d v="2026-05-01T00:00:00"/>
    <x v="0"/>
    <s v="Inspeção Geral do Trabalho"/>
    <d v="2027-02-17T00:00:00"/>
    <n v="9172424"/>
    <s v="Actualizar registos no portal da empresa"/>
  </r>
  <r>
    <s v="COMP-020"/>
    <x v="4"/>
    <s v="Segurança Industrial"/>
    <d v="2026-01-13T00:00:00"/>
    <x v="0"/>
    <s v="Inspeção Geral do Trabalho"/>
    <d v="2027-01-24T00:00:00"/>
    <n v="5215697"/>
    <s v="Actualizar registos no portal da empresa"/>
  </r>
  <r>
    <s v="COMP-021"/>
    <x v="3"/>
    <s v="Calibração"/>
    <d v="2026-03-30T00:00:00"/>
    <x v="0"/>
    <s v="ANPG"/>
    <d v="2027-09-22T00:00:00"/>
    <n v="5743534"/>
    <s v="Actualizar registos no portal da empresa"/>
  </r>
  <r>
    <s v="COMP-022"/>
    <x v="2"/>
    <s v="Calibração"/>
    <d v="2026-05-05T00:00:00"/>
    <x v="0"/>
    <s v="Auditoria Interna"/>
    <d v="2027-04-27T00:00:00"/>
    <n v="8169510"/>
    <s v="Actualizar registos no portal da empresa"/>
  </r>
  <r>
    <s v="COMP-023"/>
    <x v="2"/>
    <s v="Documentação Técnica"/>
    <d v="2026-04-28T00:00:00"/>
    <x v="0"/>
    <s v="INEE (Instituto Nacional de Estradas)"/>
    <d v="2027-05-23T00:00:00"/>
    <n v="625851"/>
    <s v="Actualizar registos no portal da empresa"/>
  </r>
  <r>
    <s v="COMP-024"/>
    <x v="0"/>
    <s v="Segurança Industrial"/>
    <d v="2026-02-23T00:00:00"/>
    <x v="1"/>
    <s v="Inspeção Geral do Trabalho"/>
    <d v="2027-07-18T00:00:00"/>
    <n v="3150527"/>
    <s v="Actualizar registos no portal da empresa"/>
  </r>
  <r>
    <s v="COMP-025"/>
    <x v="3"/>
    <s v="Calibração"/>
    <d v="2026-04-26T00:00:00"/>
    <x v="0"/>
    <s v="INEE (Instituto Nacional de Estradas)"/>
    <d v="2027-06-05T00:00:00"/>
    <n v="5361282"/>
    <s v="Actualizar registos no portal da empresa"/>
  </r>
  <r>
    <s v="COMP-026"/>
    <x v="1"/>
    <s v="Proteção Explosão"/>
    <d v="2026-04-28T00:00:00"/>
    <x v="0"/>
    <s v="ANPG"/>
    <d v="2027-12-13T00:00:00"/>
    <n v="1294878"/>
    <s v="Actualizar registos no portal da empresa"/>
  </r>
  <r>
    <s v="COMP-027"/>
    <x v="1"/>
    <s v="Segurança Industrial"/>
    <d v="2026-01-04T00:00:00"/>
    <x v="0"/>
    <s v="ANPG"/>
    <d v="2027-05-13T00:00:00"/>
    <n v="2553262"/>
    <s v="Actualizar registos no portal da empresa"/>
  </r>
  <r>
    <s v="COMP-028"/>
    <x v="3"/>
    <s v="Calibração"/>
    <d v="2026-03-16T00:00:00"/>
    <x v="0"/>
    <s v="Auditoria Interna"/>
    <d v="2027-05-27T00:00:00"/>
    <n v="2437135"/>
    <s v="Actualizar registos no portal da empresa"/>
  </r>
  <r>
    <s v="COMP-029"/>
    <x v="1"/>
    <s v="Segurança Industrial"/>
    <d v="2026-02-18T00:00:00"/>
    <x v="0"/>
    <s v="ANPG"/>
    <d v="2027-12-01T00:00:00"/>
    <n v="8686565"/>
    <s v="Actualizar registos no portal da empresa"/>
  </r>
  <r>
    <s v="COMP-030"/>
    <x v="2"/>
    <s v="Proteção Explosão"/>
    <d v="2026-01-07T00:00:00"/>
    <x v="0"/>
    <s v="ANPG"/>
    <d v="2027-03-11T00:00:00"/>
    <n v="6949728"/>
    <s v="Actualizar registos no portal da empresa"/>
  </r>
  <r>
    <s v="COMP-031"/>
    <x v="1"/>
    <s v="Calibração"/>
    <d v="2026-04-20T00:00:00"/>
    <x v="0"/>
    <s v="INEE (Instituto Nacional de Estradas)"/>
    <d v="2027-08-20T00:00:00"/>
    <n v="9114787"/>
    <s v="Actualizar registos no portal da empresa"/>
  </r>
  <r>
    <s v="COMP-032"/>
    <x v="1"/>
    <s v="Documentação Técnica"/>
    <d v="2026-05-02T00:00:00"/>
    <x v="0"/>
    <s v="ANPG"/>
    <d v="2027-11-29T00:00:00"/>
    <n v="2572171"/>
    <s v="Actualizar registos no portal da empresa"/>
  </r>
  <r>
    <s v="COMP-033"/>
    <x v="3"/>
    <s v="Documentação Técnica"/>
    <d v="2026-01-11T00:00:00"/>
    <x v="0"/>
    <s v="ANPG"/>
    <d v="2027-10-25T00:00:00"/>
    <n v="5960388"/>
    <s v="Actualizar registos no portal da empresa"/>
  </r>
  <r>
    <s v="COMP-034"/>
    <x v="3"/>
    <s v="Segurança Industrial"/>
    <d v="2026-04-02T00:00:00"/>
    <x v="0"/>
    <s v="Inspeção Geral do Trabalho"/>
    <d v="2027-06-02T00:00:00"/>
    <n v="8881660"/>
    <s v="Actualizar registos no portal da empresa"/>
  </r>
  <r>
    <s v="COMP-035"/>
    <x v="1"/>
    <s v="Proteção Explosão"/>
    <d v="2026-01-23T00:00:00"/>
    <x v="2"/>
    <s v="ANPG"/>
    <d v="2027-03-30T00:00:00"/>
    <n v="5044340"/>
    <s v="Actualizar registos no portal da empresa"/>
  </r>
  <r>
    <s v="COMP-036"/>
    <x v="4"/>
    <s v="Calibração"/>
    <d v="2026-01-28T00:00:00"/>
    <x v="0"/>
    <s v="Inspeção Geral do Trabalho"/>
    <d v="2027-11-29T00:00:00"/>
    <n v="6612240"/>
    <s v="Actualizar registos no portal da empresa"/>
  </r>
  <r>
    <s v="COMP-037"/>
    <x v="3"/>
    <s v="Proteção Explosão"/>
    <d v="2026-04-21T00:00:00"/>
    <x v="0"/>
    <s v="ANPG"/>
    <d v="2027-07-17T00:00:00"/>
    <n v="1700346"/>
    <s v="Actualizar registos no portal da empresa"/>
  </r>
  <r>
    <s v="COMP-038"/>
    <x v="0"/>
    <s v="Calibração"/>
    <d v="2026-02-26T00:00:00"/>
    <x v="0"/>
    <s v="ANPG"/>
    <d v="2027-06-09T00:00:00"/>
    <n v="9373895"/>
    <s v="Actualizar registos no portal da empresa"/>
  </r>
  <r>
    <s v="COMP-039"/>
    <x v="0"/>
    <s v="Segurança Industrial"/>
    <d v="2026-01-26T00:00:00"/>
    <x v="0"/>
    <s v="Auditoria Interna"/>
    <d v="2027-01-25T00:00:00"/>
    <n v="6714294"/>
    <s v="Actualizar registos no portal da empresa"/>
  </r>
  <r>
    <s v="COMP-040"/>
    <x v="2"/>
    <s v="Calibração"/>
    <d v="2026-02-23T00:00:00"/>
    <x v="0"/>
    <s v="Auditoria Interna"/>
    <d v="2027-04-30T00:00:00"/>
    <n v="2260399"/>
    <s v="Actualizar registos no portal da empresa"/>
  </r>
  <r>
    <s v="COMP-041"/>
    <x v="1"/>
    <s v="Proteção Explosão"/>
    <d v="2026-01-29T00:00:00"/>
    <x v="0"/>
    <s v="Inspeção Geral do Trabalho"/>
    <d v="2027-10-27T00:00:00"/>
    <n v="9184509"/>
    <s v="Actualizar registos no portal da empresa"/>
  </r>
  <r>
    <s v="COMP-042"/>
    <x v="4"/>
    <s v="Proteção Explosão"/>
    <d v="2026-04-07T00:00:00"/>
    <x v="1"/>
    <s v="ANPG"/>
    <d v="2027-07-30T00:00:00"/>
    <n v="6636062"/>
    <s v="Actualizar registos no portal da empresa"/>
  </r>
  <r>
    <s v="COMP-043"/>
    <x v="2"/>
    <s v="Segurança Industrial"/>
    <d v="2026-01-14T00:00:00"/>
    <x v="0"/>
    <s v="INEE (Instituto Nacional de Estradas)"/>
    <d v="2027-03-03T00:00:00"/>
    <n v="6847572"/>
    <s v="Actualizar registos no portal da empresa"/>
  </r>
  <r>
    <s v="COMP-044"/>
    <x v="1"/>
    <s v="Proteção Explosão"/>
    <d v="2026-03-19T00:00:00"/>
    <x v="0"/>
    <s v="Auditoria Interna"/>
    <d v="2027-03-08T00:00:00"/>
    <n v="6935689"/>
    <s v="Actualizar registos no portal da empresa"/>
  </r>
  <r>
    <s v="COMP-045"/>
    <x v="3"/>
    <s v="Calibração"/>
    <d v="2026-02-04T00:00:00"/>
    <x v="0"/>
    <s v="INEE (Instituto Nacional de Estradas)"/>
    <d v="2027-09-09T00:00:00"/>
    <n v="4643403"/>
    <s v="Actualizar registos no portal da empresa"/>
  </r>
  <r>
    <s v="COMP-046"/>
    <x v="0"/>
    <s v="Segurança Industrial"/>
    <d v="2026-01-30T00:00:00"/>
    <x v="0"/>
    <s v="Auditoria Interna"/>
    <d v="2027-01-01T00:00:00"/>
    <n v="2703531"/>
    <s v="Actualizar registos no portal da empresa"/>
  </r>
  <r>
    <s v="COMP-047"/>
    <x v="4"/>
    <s v="Calibração"/>
    <d v="2026-04-02T00:00:00"/>
    <x v="0"/>
    <s v="Auditoria Interna"/>
    <d v="2027-04-17T00:00:00"/>
    <n v="1569412"/>
    <s v="Actualizar registos no portal da empresa"/>
  </r>
  <r>
    <s v="COMP-048"/>
    <x v="0"/>
    <s v="Proteção Explosão"/>
    <d v="2026-01-17T00:00:00"/>
    <x v="2"/>
    <s v="ANPG"/>
    <d v="2027-10-12T00:00:00"/>
    <n v="4915743"/>
    <s v="Actualizar registos no portal da empresa"/>
  </r>
  <r>
    <s v="COMP-049"/>
    <x v="3"/>
    <s v="Segurança Industrial"/>
    <d v="2026-04-03T00:00:00"/>
    <x v="0"/>
    <s v="Auditoria Interna"/>
    <d v="2027-02-17T00:00:00"/>
    <n v="3803131"/>
    <s v="Actualizar registos no portal da empresa"/>
  </r>
  <r>
    <s v="COMP-050"/>
    <x v="1"/>
    <s v="Calibração"/>
    <d v="2026-03-20T00:00:00"/>
    <x v="1"/>
    <s v="INEE (Instituto Nacional de Estradas)"/>
    <d v="2027-05-19T00:00:00"/>
    <n v="6766376"/>
    <s v="Actualizar registos no portal da empresa"/>
  </r>
  <r>
    <s v="COMP-051"/>
    <x v="3"/>
    <s v="Proteção Explosão"/>
    <d v="2026-04-20T00:00:00"/>
    <x v="1"/>
    <s v="Auditoria Interna"/>
    <d v="2027-08-05T00:00:00"/>
    <n v="3453028"/>
    <s v="Actualizar registos no portal da empresa"/>
  </r>
  <r>
    <s v="COMP-052"/>
    <x v="3"/>
    <s v="Proteção Explosão"/>
    <d v="2026-04-12T00:00:00"/>
    <x v="1"/>
    <s v="Inspeção Geral do Trabalho"/>
    <d v="2027-02-12T00:00:00"/>
    <n v="7990291"/>
    <s v="Actualizar registos no portal da empresa"/>
  </r>
  <r>
    <s v="COMP-053"/>
    <x v="0"/>
    <s v="Documentação Técnica"/>
    <d v="2026-04-16T00:00:00"/>
    <x v="0"/>
    <s v="ANPG"/>
    <d v="2027-09-25T00:00:00"/>
    <n v="5885909"/>
    <s v="Actualizar registos no portal da empresa"/>
  </r>
  <r>
    <s v="COMP-054"/>
    <x v="4"/>
    <s v="Proteção Explosão"/>
    <d v="2026-02-16T00:00:00"/>
    <x v="0"/>
    <s v="ANPG"/>
    <d v="2027-03-18T00:00:00"/>
    <n v="897595"/>
    <s v="Actualizar registos no portal da empresa"/>
  </r>
  <r>
    <s v="COMP-055"/>
    <x v="3"/>
    <s v="Calibração"/>
    <d v="2026-03-05T00:00:00"/>
    <x v="0"/>
    <s v="Inspeção Geral do Trabalho"/>
    <d v="2027-08-03T00:00:00"/>
    <n v="6688343"/>
    <s v="Actualizar registos no portal da empresa"/>
  </r>
  <r>
    <s v="COMP-056"/>
    <x v="0"/>
    <s v="Segurança Industrial"/>
    <d v="2026-03-05T00:00:00"/>
    <x v="0"/>
    <s v="Inspeção Geral do Trabalho"/>
    <d v="2027-04-07T00:00:00"/>
    <n v="4293092"/>
    <s v="Actualizar registos no portal da empresa"/>
  </r>
  <r>
    <s v="COMP-057"/>
    <x v="4"/>
    <s v="Documentação Técnica"/>
    <d v="2026-03-28T00:00:00"/>
    <x v="0"/>
    <s v="Inspeção Geral do Trabalho"/>
    <d v="2027-08-23T00:00:00"/>
    <n v="2231041"/>
    <s v="Actualizar registos no portal da empresa"/>
  </r>
  <r>
    <s v="COMP-058"/>
    <x v="1"/>
    <s v="Proteção Explosão"/>
    <d v="2026-01-07T00:00:00"/>
    <x v="2"/>
    <s v="Auditoria Interna"/>
    <d v="2027-10-08T00:00:00"/>
    <n v="8234125"/>
    <s v="Actualizar registos no portal da empresa"/>
  </r>
  <r>
    <s v="COMP-059"/>
    <x v="1"/>
    <s v="Proteção Explosão"/>
    <d v="2026-01-22T00:00:00"/>
    <x v="0"/>
    <s v="ANPG"/>
    <d v="2027-05-28T00:00:00"/>
    <n v="6613100"/>
    <s v="Actualizar registos no portal da empresa"/>
  </r>
  <r>
    <s v="COMP-060"/>
    <x v="2"/>
    <s v="Proteção Explosão"/>
    <d v="2026-03-22T00:00:00"/>
    <x v="0"/>
    <s v="Inspeção Geral do Trabalho"/>
    <d v="2027-10-30T00:00:00"/>
    <n v="4090511"/>
    <s v="Actualizar registos no portal da empresa"/>
  </r>
  <r>
    <s v="COMP-061"/>
    <x v="0"/>
    <s v="Calibração"/>
    <d v="2026-03-15T00:00:00"/>
    <x v="0"/>
    <s v="Auditoria Interna"/>
    <d v="2027-03-06T00:00:00"/>
    <n v="2917209"/>
    <s v="Actualizar registos no portal da empresa"/>
  </r>
  <r>
    <s v="COMP-062"/>
    <x v="4"/>
    <s v="Documentação Técnica"/>
    <d v="2026-05-18T00:00:00"/>
    <x v="0"/>
    <s v="Inspeção Geral do Trabalho"/>
    <d v="2027-08-21T00:00:00"/>
    <n v="1026925"/>
    <s v="Actualizar registos no portal da empresa"/>
  </r>
  <r>
    <s v="COMP-063"/>
    <x v="3"/>
    <s v="Calibração"/>
    <d v="2026-05-15T00:00:00"/>
    <x v="0"/>
    <s v="INEE (Instituto Nacional de Estradas)"/>
    <d v="2027-03-27T00:00:00"/>
    <n v="7257450"/>
    <s v="Actualizar registos no portal da empresa"/>
  </r>
  <r>
    <s v="COMP-064"/>
    <x v="1"/>
    <s v="Documentação Técnica"/>
    <d v="2026-05-05T00:00:00"/>
    <x v="1"/>
    <s v="INEE (Instituto Nacional de Estradas)"/>
    <d v="2027-03-19T00:00:00"/>
    <n v="3425609"/>
    <s v="Actualizar registos no portal da empresa"/>
  </r>
  <r>
    <s v="COMP-065"/>
    <x v="4"/>
    <s v="Segurança Industrial"/>
    <d v="2026-02-19T00:00:00"/>
    <x v="0"/>
    <s v="ANPG"/>
    <d v="2027-07-23T00:00:00"/>
    <n v="9645155"/>
    <s v="Actualizar registos no portal da empresa"/>
  </r>
  <r>
    <s v="COMP-066"/>
    <x v="0"/>
    <s v="Calibração"/>
    <d v="2026-02-21T00:00:00"/>
    <x v="2"/>
    <s v="Auditoria Interna"/>
    <d v="2027-10-05T00:00:00"/>
    <n v="1106752"/>
    <s v="Actualizar registos no portal da empresa"/>
  </r>
  <r>
    <s v="COMP-067"/>
    <x v="2"/>
    <s v="Calibração"/>
    <d v="2026-01-01T00:00:00"/>
    <x v="2"/>
    <s v="INEE (Instituto Nacional de Estradas)"/>
    <d v="2027-12-02T00:00:00"/>
    <n v="1839462"/>
    <s v="Actualizar registos no portal da empresa"/>
  </r>
  <r>
    <s v="COMP-068"/>
    <x v="1"/>
    <s v="Segurança Industrial"/>
    <d v="2026-01-04T00:00:00"/>
    <x v="2"/>
    <s v="INEE (Instituto Nacional de Estradas)"/>
    <d v="2027-09-10T00:00:00"/>
    <n v="7327575"/>
    <s v="Actualizar registos no portal da empresa"/>
  </r>
  <r>
    <s v="COMP-069"/>
    <x v="4"/>
    <s v="Documentação Técnica"/>
    <d v="2026-05-25T00:00:00"/>
    <x v="0"/>
    <s v="Auditoria Interna"/>
    <d v="2027-10-30T00:00:00"/>
    <n v="8187268"/>
    <s v="Actualizar registos no portal da empresa"/>
  </r>
  <r>
    <s v="COMP-070"/>
    <x v="4"/>
    <s v="Proteção Explosão"/>
    <d v="2026-05-12T00:00:00"/>
    <x v="1"/>
    <s v="Inspeção Geral do Trabalho"/>
    <d v="2027-05-09T00:00:00"/>
    <n v="6617682"/>
    <s v="Actualizar registos no portal da empresa"/>
  </r>
  <r>
    <s v="COMP-071"/>
    <x v="4"/>
    <s v="Segurança Industrial"/>
    <d v="2026-01-04T00:00:00"/>
    <x v="0"/>
    <s v="Auditoria Interna"/>
    <d v="2027-03-24T00:00:00"/>
    <n v="7704425"/>
    <s v="Actualizar registos no portal da empresa"/>
  </r>
  <r>
    <s v="COMP-072"/>
    <x v="0"/>
    <s v="Proteção Explosão"/>
    <d v="2026-01-01T00:00:00"/>
    <x v="0"/>
    <s v="Inspeção Geral do Trabalho"/>
    <d v="2027-10-02T00:00:00"/>
    <n v="5658570"/>
    <s v="Actualizar registos no portal da empresa"/>
  </r>
  <r>
    <s v="COMP-073"/>
    <x v="0"/>
    <s v="Proteção Explosão"/>
    <d v="2026-03-12T00:00:00"/>
    <x v="0"/>
    <s v="INEE (Instituto Nacional de Estradas)"/>
    <d v="2027-07-05T00:00:00"/>
    <n v="5323416"/>
    <s v="Actualizar registos no portal da empresa"/>
  </r>
  <r>
    <s v="COMP-074"/>
    <x v="0"/>
    <s v="Segurança Industrial"/>
    <d v="2026-02-04T00:00:00"/>
    <x v="0"/>
    <s v="INEE (Instituto Nacional de Estradas)"/>
    <d v="2027-02-14T00:00:00"/>
    <n v="5710766"/>
    <s v="Actualizar registos no portal da empresa"/>
  </r>
  <r>
    <s v="COMP-075"/>
    <x v="3"/>
    <s v="Documentação Técnica"/>
    <d v="2026-01-08T00:00:00"/>
    <x v="0"/>
    <s v="INEE (Instituto Nacional de Estradas)"/>
    <d v="2027-07-01T00:00:00"/>
    <n v="1637317"/>
    <s v="Actualizar registos no portal da empresa"/>
  </r>
  <r>
    <s v="COMP-076"/>
    <x v="4"/>
    <s v="Proteção Explosão"/>
    <d v="2026-02-05T00:00:00"/>
    <x v="0"/>
    <s v="ANPG"/>
    <d v="2027-09-24T00:00:00"/>
    <n v="7858862"/>
    <s v="Actualizar registos no portal da empresa"/>
  </r>
  <r>
    <s v="COMP-077"/>
    <x v="1"/>
    <s v="Segurança Industrial"/>
    <d v="2026-05-03T00:00:00"/>
    <x v="0"/>
    <s v="ANPG"/>
    <d v="2027-10-22T00:00:00"/>
    <n v="6060068"/>
    <s v="Actualizar registos no portal da empresa"/>
  </r>
  <r>
    <s v="COMP-078"/>
    <x v="0"/>
    <s v="Calibração"/>
    <d v="2026-02-12T00:00:00"/>
    <x v="2"/>
    <s v="ANPG"/>
    <d v="2027-11-17T00:00:00"/>
    <n v="3457532"/>
    <s v="Actualizar registos no portal da empresa"/>
  </r>
  <r>
    <s v="COMP-079"/>
    <x v="0"/>
    <s v="Calibração"/>
    <d v="2026-01-27T00:00:00"/>
    <x v="0"/>
    <s v="Auditoria Interna"/>
    <d v="2027-04-09T00:00:00"/>
    <n v="2666354"/>
    <s v="Actualizar registos no portal da empresa"/>
  </r>
  <r>
    <s v="COMP-080"/>
    <x v="4"/>
    <s v="Calibração"/>
    <d v="2026-02-01T00:00:00"/>
    <x v="0"/>
    <s v="INEE (Instituto Nacional de Estradas)"/>
    <d v="2027-03-18T00:00:00"/>
    <n v="799189"/>
    <s v="Actualizar registos no portal da empresa"/>
  </r>
  <r>
    <s v="COMP-081"/>
    <x v="0"/>
    <s v="Segurança Industrial"/>
    <d v="2026-03-19T00:00:00"/>
    <x v="0"/>
    <s v="INEE (Instituto Nacional de Estradas)"/>
    <d v="2027-09-28T00:00:00"/>
    <n v="7008850"/>
    <s v="Actualizar registos no portal da empresa"/>
  </r>
  <r>
    <s v="COMP-082"/>
    <x v="3"/>
    <s v="Calibração"/>
    <d v="2026-05-01T00:00:00"/>
    <x v="0"/>
    <s v="Auditoria Interna"/>
    <d v="2027-12-04T00:00:00"/>
    <n v="2059049"/>
    <s v="Actualizar registos no portal da empresa"/>
  </r>
  <r>
    <s v="COMP-083"/>
    <x v="3"/>
    <s v="Proteção Explosão"/>
    <d v="2026-05-26T00:00:00"/>
    <x v="2"/>
    <s v="ANPG"/>
    <d v="2027-06-10T00:00:00"/>
    <n v="6636821"/>
    <s v="Actualizar registos no portal da empresa"/>
  </r>
  <r>
    <s v="COMP-084"/>
    <x v="0"/>
    <s v="Calibração"/>
    <d v="2026-01-16T00:00:00"/>
    <x v="0"/>
    <s v="Auditoria Interna"/>
    <d v="2027-02-12T00:00:00"/>
    <n v="2874494"/>
    <s v="Actualizar registos no portal da empresa"/>
  </r>
  <r>
    <s v="COMP-085"/>
    <x v="4"/>
    <s v="Calibração"/>
    <d v="2026-04-09T00:00:00"/>
    <x v="0"/>
    <s v="ANPG"/>
    <d v="2027-08-25T00:00:00"/>
    <n v="9744561"/>
    <s v="Actualizar registos no portal da empresa"/>
  </r>
  <r>
    <s v="COMP-086"/>
    <x v="4"/>
    <s v="Proteção Explosão"/>
    <d v="2026-02-16T00:00:00"/>
    <x v="0"/>
    <s v="INEE (Instituto Nacional de Estradas)"/>
    <d v="2027-05-13T00:00:00"/>
    <n v="1004655"/>
    <s v="Actualizar registos no portal da empresa"/>
  </r>
  <r>
    <s v="COMP-087"/>
    <x v="4"/>
    <s v="Calibração"/>
    <d v="2026-01-31T00:00:00"/>
    <x v="2"/>
    <s v="Inspeção Geral do Trabalho"/>
    <d v="2027-07-10T00:00:00"/>
    <n v="736824"/>
    <s v="Actualizar registos no portal da empresa"/>
  </r>
  <r>
    <s v="COMP-088"/>
    <x v="2"/>
    <s v="Proteção Explosão"/>
    <d v="2026-01-04T00:00:00"/>
    <x v="0"/>
    <s v="ANPG"/>
    <d v="2027-12-21T00:00:00"/>
    <n v="9956587"/>
    <s v="Actualizar registos no portal da empresa"/>
  </r>
  <r>
    <s v="COMP-089"/>
    <x v="0"/>
    <s v="Calibração"/>
    <d v="2026-01-17T00:00:00"/>
    <x v="2"/>
    <s v="INEE (Instituto Nacional de Estradas)"/>
    <d v="2027-10-04T00:00:00"/>
    <n v="3649409"/>
    <s v="Actualizar registos no portal da empresa"/>
  </r>
  <r>
    <s v="COMP-090"/>
    <x v="4"/>
    <s v="Proteção Explosão"/>
    <d v="2026-02-08T00:00:00"/>
    <x v="0"/>
    <s v="INEE (Instituto Nacional de Estradas)"/>
    <d v="2027-01-17T00:00:00"/>
    <n v="5048003"/>
    <s v="Actualizar registos no portal da empresa"/>
  </r>
  <r>
    <s v="COMP-091"/>
    <x v="3"/>
    <s v="Calibração"/>
    <d v="2026-02-17T00:00:00"/>
    <x v="0"/>
    <s v="Inspeção Geral do Trabalho"/>
    <d v="2027-01-11T00:00:00"/>
    <n v="4525282"/>
    <s v="Actualizar registos no portal da empresa"/>
  </r>
  <r>
    <s v="COMP-092"/>
    <x v="1"/>
    <s v="Proteção Explosão"/>
    <d v="2026-02-08T00:00:00"/>
    <x v="0"/>
    <s v="INEE (Instituto Nacional de Estradas)"/>
    <d v="2027-06-28T00:00:00"/>
    <n v="4666289"/>
    <s v="Actualizar registos no portal da empresa"/>
  </r>
  <r>
    <s v="COMP-093"/>
    <x v="1"/>
    <s v="Segurança Industrial"/>
    <d v="2026-05-12T00:00:00"/>
    <x v="2"/>
    <s v="INEE (Instituto Nacional de Estradas)"/>
    <d v="2027-05-02T00:00:00"/>
    <n v="593246"/>
    <s v="Actualizar registos no portal da empresa"/>
  </r>
  <r>
    <s v="COMP-094"/>
    <x v="4"/>
    <s v="Proteção Explosão"/>
    <d v="2026-01-30T00:00:00"/>
    <x v="0"/>
    <s v="ANPG"/>
    <d v="2027-09-02T00:00:00"/>
    <n v="5838744"/>
    <s v="Actualizar registos no portal da empresa"/>
  </r>
  <r>
    <s v="COMP-095"/>
    <x v="1"/>
    <s v="Calibração"/>
    <d v="2026-01-22T00:00:00"/>
    <x v="0"/>
    <s v="ANPG"/>
    <d v="2027-08-09T00:00:00"/>
    <n v="9097494"/>
    <s v="Actualizar registos no portal da empresa"/>
  </r>
  <r>
    <s v="COMP-096"/>
    <x v="1"/>
    <s v="Calibração"/>
    <d v="2026-03-07T00:00:00"/>
    <x v="0"/>
    <s v="Inspeção Geral do Trabalho"/>
    <d v="2027-02-19T00:00:00"/>
    <n v="2867713"/>
    <s v="Actualizar registos no portal da empresa"/>
  </r>
  <r>
    <s v="COMP-097"/>
    <x v="2"/>
    <s v="Documentação Técnica"/>
    <d v="2026-04-18T00:00:00"/>
    <x v="0"/>
    <s v="Inspeção Geral do Trabalho"/>
    <d v="2027-03-11T00:00:00"/>
    <n v="4563068"/>
    <s v="Actualizar registos no portal da empresa"/>
  </r>
  <r>
    <s v="COMP-098"/>
    <x v="3"/>
    <s v="Proteção Explosão"/>
    <d v="2026-01-12T00:00:00"/>
    <x v="0"/>
    <s v="INEE (Instituto Nacional de Estradas)"/>
    <d v="2027-02-16T00:00:00"/>
    <n v="2784798"/>
    <s v="Actualizar registos no portal da empresa"/>
  </r>
  <r>
    <s v="COMP-099"/>
    <x v="3"/>
    <s v="Segurança Industrial"/>
    <d v="2026-02-05T00:00:00"/>
    <x v="2"/>
    <s v="ANPG"/>
    <d v="2027-01-18T00:00:00"/>
    <n v="2032337"/>
    <s v="Actualizar registos no portal da empresa"/>
  </r>
  <r>
    <s v="COMP-100"/>
    <x v="2"/>
    <s v="Proteção Explosão"/>
    <d v="2026-01-18T00:00:00"/>
    <x v="0"/>
    <s v="Inspeção Geral do Trabalho"/>
    <d v="2027-09-18T00:00:00"/>
    <n v="1283566"/>
    <s v="Actualizar registos no portal da empresa"/>
  </r>
  <r>
    <s v="COMP-101"/>
    <x v="2"/>
    <s v="Proteção Explosão"/>
    <d v="2026-03-31T00:00:00"/>
    <x v="0"/>
    <s v="Inspeção Geral do Trabalho"/>
    <d v="2027-03-24T00:00:00"/>
    <n v="8096713"/>
    <s v="Actualizar registos no portal da empresa"/>
  </r>
  <r>
    <s v="COMP-102"/>
    <x v="1"/>
    <s v="Segurança Industrial"/>
    <d v="2026-01-01T00:00:00"/>
    <x v="1"/>
    <s v="Auditoria Interna"/>
    <d v="2027-06-03T00:00:00"/>
    <n v="1279105"/>
    <s v="Actualizar registos no portal da empresa"/>
  </r>
  <r>
    <s v="COMP-103"/>
    <x v="0"/>
    <s v="Proteção Explosão"/>
    <d v="2026-05-07T00:00:00"/>
    <x v="0"/>
    <s v="Inspeção Geral do Trabalho"/>
    <d v="2027-02-21T00:00:00"/>
    <n v="7597065"/>
    <s v="Actualizar registos no portal da empresa"/>
  </r>
  <r>
    <s v="COMP-104"/>
    <x v="1"/>
    <s v="Segurança Industrial"/>
    <d v="2026-03-31T00:00:00"/>
    <x v="0"/>
    <s v="INEE (Instituto Nacional de Estradas)"/>
    <d v="2027-04-16T00:00:00"/>
    <n v="9805600"/>
    <s v="Actualizar registos no portal da empresa"/>
  </r>
  <r>
    <s v="COMP-105"/>
    <x v="2"/>
    <s v="Segurança Industrial"/>
    <d v="2026-03-28T00:00:00"/>
    <x v="0"/>
    <s v="ANPG"/>
    <d v="2027-12-22T00:00:00"/>
    <n v="720326"/>
    <s v="Actualizar registos no portal da empresa"/>
  </r>
  <r>
    <s v="COMP-106"/>
    <x v="3"/>
    <s v="Proteção Explosão"/>
    <d v="2026-03-31T00:00:00"/>
    <x v="0"/>
    <s v="Inspeção Geral do Trabalho"/>
    <d v="2027-10-30T00:00:00"/>
    <n v="5013552"/>
    <s v="Actualizar registos no portal da empresa"/>
  </r>
  <r>
    <s v="COMP-107"/>
    <x v="1"/>
    <s v="Proteção Explosão"/>
    <d v="2026-05-14T00:00:00"/>
    <x v="0"/>
    <s v="Auditoria Interna"/>
    <d v="2027-05-14T00:00:00"/>
    <n v="7137935"/>
    <s v="Actualizar registos no portal da empresa"/>
  </r>
  <r>
    <s v="COMP-108"/>
    <x v="0"/>
    <s v="Calibração"/>
    <d v="2026-03-11T00:00:00"/>
    <x v="0"/>
    <s v="ANPG"/>
    <d v="2027-03-09T00:00:00"/>
    <n v="4022810"/>
    <s v="Actualizar registos no portal da empresa"/>
  </r>
  <r>
    <s v="COMP-109"/>
    <x v="1"/>
    <s v="Calibração"/>
    <d v="2026-02-13T00:00:00"/>
    <x v="0"/>
    <s v="Inspeção Geral do Trabalho"/>
    <d v="2027-01-10T00:00:00"/>
    <n v="5980354"/>
    <s v="Actualizar registos no portal da empresa"/>
  </r>
  <r>
    <s v="COMP-110"/>
    <x v="4"/>
    <s v="Documentação Técnica"/>
    <d v="2026-03-27T00:00:00"/>
    <x v="0"/>
    <s v="Auditoria Interna"/>
    <d v="2027-05-22T00:00:00"/>
    <n v="7075273"/>
    <s v="Actualizar registos no portal da empresa"/>
  </r>
  <r>
    <s v="COMP-111"/>
    <x v="1"/>
    <s v="Documentação Técnica"/>
    <d v="2026-01-19T00:00:00"/>
    <x v="2"/>
    <s v="Inspeção Geral do Trabalho"/>
    <d v="2027-07-10T00:00:00"/>
    <n v="9789461"/>
    <s v="Actualizar registos no portal da empresa"/>
  </r>
  <r>
    <s v="COMP-112"/>
    <x v="2"/>
    <s v="Proteção Explosão"/>
    <d v="2026-04-11T00:00:00"/>
    <x v="2"/>
    <s v="ANPG"/>
    <d v="2027-03-09T00:00:00"/>
    <n v="4947321"/>
    <s v="Actualizar registos no portal da empresa"/>
  </r>
  <r>
    <s v="COMP-113"/>
    <x v="3"/>
    <s v="Segurança Industrial"/>
    <d v="2026-05-26T00:00:00"/>
    <x v="2"/>
    <s v="ANPG"/>
    <d v="2027-01-22T00:00:00"/>
    <n v="1151824"/>
    <s v="Actualizar registos no portal da empresa"/>
  </r>
  <r>
    <s v="COMP-114"/>
    <x v="3"/>
    <s v="Documentação Técnica"/>
    <d v="2026-04-05T00:00:00"/>
    <x v="1"/>
    <s v="ANPG"/>
    <d v="2027-06-29T00:00:00"/>
    <n v="3406405"/>
    <s v="Actualizar registos no portal da empresa"/>
  </r>
  <r>
    <s v="COMP-115"/>
    <x v="2"/>
    <s v="Proteção Explosão"/>
    <d v="2026-04-11T00:00:00"/>
    <x v="0"/>
    <s v="INEE (Instituto Nacional de Estradas)"/>
    <d v="2027-10-19T00:00:00"/>
    <n v="6366645"/>
    <s v="Actualizar registos no portal da empresa"/>
  </r>
  <r>
    <s v="COMP-116"/>
    <x v="4"/>
    <s v="Documentação Técnica"/>
    <d v="2026-01-30T00:00:00"/>
    <x v="1"/>
    <s v="Inspeção Geral do Trabalho"/>
    <d v="2027-01-08T00:00:00"/>
    <n v="8569552"/>
    <s v="Actualizar registos no portal da empresa"/>
  </r>
  <r>
    <s v="COMP-117"/>
    <x v="2"/>
    <s v="Segurança Industrial"/>
    <d v="2026-02-02T00:00:00"/>
    <x v="0"/>
    <s v="INEE (Instituto Nacional de Estradas)"/>
    <d v="2027-09-27T00:00:00"/>
    <n v="5069146"/>
    <s v="Actualizar registos no portal da empresa"/>
  </r>
  <r>
    <s v="COMP-118"/>
    <x v="1"/>
    <s v="Proteção Explosão"/>
    <d v="2026-01-12T00:00:00"/>
    <x v="0"/>
    <s v="ANPG"/>
    <d v="2027-04-02T00:00:00"/>
    <n v="2970856"/>
    <s v="Actualizar registos no portal da empresa"/>
  </r>
  <r>
    <s v="COMP-119"/>
    <x v="2"/>
    <s v="Segurança Industrial"/>
    <d v="2026-04-28T00:00:00"/>
    <x v="0"/>
    <s v="Auditoria Interna"/>
    <d v="2027-01-16T00:00:00"/>
    <n v="3639782"/>
    <s v="Actualizar registos no portal da empresa"/>
  </r>
  <r>
    <s v="COMP-120"/>
    <x v="2"/>
    <s v="Proteção Explosão"/>
    <d v="2026-04-04T00:00:00"/>
    <x v="0"/>
    <s v="Inspeção Geral do Trabalho"/>
    <d v="2027-06-02T00:00:00"/>
    <n v="2150224"/>
    <s v="Actualizar registos no portal da empresa"/>
  </r>
  <r>
    <s v="COMP-121"/>
    <x v="4"/>
    <s v="Documentação Técnica"/>
    <d v="2026-05-17T00:00:00"/>
    <x v="1"/>
    <s v="INEE (Instituto Nacional de Estradas)"/>
    <d v="2027-11-23T00:00:00"/>
    <n v="1848055"/>
    <s v="Actualizar registos no portal da empresa"/>
  </r>
  <r>
    <s v="COMP-122"/>
    <x v="1"/>
    <s v="Calibração"/>
    <d v="2026-05-29T00:00:00"/>
    <x v="2"/>
    <s v="Inspeção Geral do Trabalho"/>
    <d v="2027-05-28T00:00:00"/>
    <n v="9744391"/>
    <s v="Actualizar registos no portal da empresa"/>
  </r>
  <r>
    <s v="COMP-123"/>
    <x v="0"/>
    <s v="Documentação Técnica"/>
    <d v="2026-03-17T00:00:00"/>
    <x v="0"/>
    <s v="Auditoria Interna"/>
    <d v="2027-09-23T00:00:00"/>
    <n v="5595670"/>
    <s v="Actualizar registos no portal da empresa"/>
  </r>
  <r>
    <s v="COMP-124"/>
    <x v="0"/>
    <s v="Documentação Técnica"/>
    <d v="2026-01-29T00:00:00"/>
    <x v="2"/>
    <s v="INEE (Instituto Nacional de Estradas)"/>
    <d v="2027-11-23T00:00:00"/>
    <n v="2730653"/>
    <s v="Actualizar registos no portal da empresa"/>
  </r>
  <r>
    <s v="COMP-125"/>
    <x v="3"/>
    <s v="Calibração"/>
    <d v="2026-04-27T00:00:00"/>
    <x v="0"/>
    <s v="ANPG"/>
    <d v="2027-04-15T00:00:00"/>
    <n v="1084942"/>
    <s v="Actualizar registos no portal da empresa"/>
  </r>
  <r>
    <s v="COMP-126"/>
    <x v="2"/>
    <s v="Calibração"/>
    <d v="2026-01-15T00:00:00"/>
    <x v="0"/>
    <s v="INEE (Instituto Nacional de Estradas)"/>
    <d v="2027-02-03T00:00:00"/>
    <n v="5063870"/>
    <s v="Actualizar registos no portal da empresa"/>
  </r>
  <r>
    <s v="COMP-127"/>
    <x v="3"/>
    <s v="Proteção Explosão"/>
    <d v="2026-01-02T00:00:00"/>
    <x v="0"/>
    <s v="Inspeção Geral do Trabalho"/>
    <d v="2027-04-28T00:00:00"/>
    <n v="1920654"/>
    <s v="Actualizar registos no portal da empresa"/>
  </r>
  <r>
    <s v="COMP-128"/>
    <x v="4"/>
    <s v="Proteção Explosão"/>
    <d v="2026-04-27T00:00:00"/>
    <x v="0"/>
    <s v="Inspeção Geral do Trabalho"/>
    <d v="2027-01-13T00:00:00"/>
    <n v="9612111"/>
    <s v="Actualizar registos no portal da empresa"/>
  </r>
  <r>
    <s v="COMP-129"/>
    <x v="0"/>
    <s v="Segurança Industrial"/>
    <d v="2026-01-18T00:00:00"/>
    <x v="2"/>
    <s v="Inspeção Geral do Trabalho"/>
    <d v="2027-01-13T00:00:00"/>
    <n v="8855425"/>
    <s v="Actualizar registos no portal da empresa"/>
  </r>
  <r>
    <s v="COMP-130"/>
    <x v="2"/>
    <s v="Segurança Industrial"/>
    <d v="2026-01-03T00:00:00"/>
    <x v="2"/>
    <s v="Inspeção Geral do Trabalho"/>
    <d v="2027-09-22T00:00:00"/>
    <n v="6369494"/>
    <s v="Actualizar registos no portal da empresa"/>
  </r>
  <r>
    <s v="COMP-131"/>
    <x v="4"/>
    <s v="Documentação Técnica"/>
    <d v="2026-05-15T00:00:00"/>
    <x v="1"/>
    <s v="ANPG"/>
    <d v="2027-05-19T00:00:00"/>
    <n v="9237456"/>
    <s v="Actualizar registos no portal da empresa"/>
  </r>
  <r>
    <s v="COMP-132"/>
    <x v="4"/>
    <s v="Calibração"/>
    <d v="2026-04-18T00:00:00"/>
    <x v="0"/>
    <s v="INEE (Instituto Nacional de Estradas)"/>
    <d v="2027-10-20T00:00:00"/>
    <n v="1981177"/>
    <s v="Actualizar registos no portal da empresa"/>
  </r>
  <r>
    <s v="COMP-133"/>
    <x v="2"/>
    <s v="Segurança Industrial"/>
    <d v="2026-04-05T00:00:00"/>
    <x v="2"/>
    <s v="ANPG"/>
    <d v="2027-12-29T00:00:00"/>
    <n v="666991"/>
    <s v="Actualizar registos no portal da empresa"/>
  </r>
  <r>
    <s v="COMP-134"/>
    <x v="4"/>
    <s v="Documentação Técnica"/>
    <d v="2026-05-02T00:00:00"/>
    <x v="0"/>
    <s v="ANPG"/>
    <d v="2027-04-28T00:00:00"/>
    <n v="4791256"/>
    <s v="Actualizar registos no portal da empresa"/>
  </r>
  <r>
    <s v="COMP-135"/>
    <x v="2"/>
    <s v="Calibração"/>
    <d v="2026-01-11T00:00:00"/>
    <x v="2"/>
    <s v="ANPG"/>
    <d v="2027-08-25T00:00:00"/>
    <n v="4492942"/>
    <s v="Actualizar registos no portal da empresa"/>
  </r>
  <r>
    <s v="COMP-136"/>
    <x v="2"/>
    <s v="Proteção Explosão"/>
    <d v="2026-03-09T00:00:00"/>
    <x v="0"/>
    <s v="Inspeção Geral do Trabalho"/>
    <d v="2027-02-02T00:00:00"/>
    <n v="5160110"/>
    <s v="Actualizar registos no portal da empresa"/>
  </r>
  <r>
    <s v="COMP-137"/>
    <x v="1"/>
    <s v="Documentação Técnica"/>
    <d v="2026-05-03T00:00:00"/>
    <x v="0"/>
    <s v="Inspeção Geral do Trabalho"/>
    <d v="2027-06-17T00:00:00"/>
    <n v="9764666"/>
    <s v="Actualizar registos no portal da empresa"/>
  </r>
  <r>
    <s v="COMP-138"/>
    <x v="3"/>
    <s v="Proteção Explosão"/>
    <d v="2026-04-23T00:00:00"/>
    <x v="0"/>
    <s v="Inspeção Geral do Trabalho"/>
    <d v="2027-01-09T00:00:00"/>
    <n v="6414063"/>
    <s v="Actualizar registos no portal da empresa"/>
  </r>
  <r>
    <s v="COMP-139"/>
    <x v="4"/>
    <s v="Segurança Industrial"/>
    <d v="2026-04-08T00:00:00"/>
    <x v="0"/>
    <s v="INEE (Instituto Nacional de Estradas)"/>
    <d v="2027-05-01T00:00:00"/>
    <n v="8991485"/>
    <s v="Actualizar registos no portal da empresa"/>
  </r>
  <r>
    <s v="COMP-140"/>
    <x v="4"/>
    <s v="Segurança Industrial"/>
    <d v="2026-04-03T00:00:00"/>
    <x v="0"/>
    <s v="Auditoria Interna"/>
    <d v="2027-05-24T00:00:00"/>
    <n v="8498883"/>
    <s v="Actualizar registos no portal da empresa"/>
  </r>
  <r>
    <s v="COMP-141"/>
    <x v="1"/>
    <s v="Calibração"/>
    <d v="2026-01-22T00:00:00"/>
    <x v="0"/>
    <s v="Inspeção Geral do Trabalho"/>
    <d v="2027-08-10T00:00:00"/>
    <n v="8461813"/>
    <s v="Actualizar registos no portal da empresa"/>
  </r>
  <r>
    <s v="COMP-142"/>
    <x v="1"/>
    <s v="Documentação Técnica"/>
    <d v="2026-05-07T00:00:00"/>
    <x v="0"/>
    <s v="INEE (Instituto Nacional de Estradas)"/>
    <d v="2027-09-13T00:00:00"/>
    <n v="7462544"/>
    <s v="Actualizar registos no portal da empresa"/>
  </r>
  <r>
    <s v="COMP-143"/>
    <x v="1"/>
    <s v="Proteção Explosão"/>
    <d v="2026-05-14T00:00:00"/>
    <x v="0"/>
    <s v="Inspeção Geral do Trabalho"/>
    <d v="2027-09-24T00:00:00"/>
    <n v="5618805"/>
    <s v="Actualizar registos no portal da empresa"/>
  </r>
  <r>
    <s v="COMP-144"/>
    <x v="0"/>
    <s v="Calibração"/>
    <d v="2026-01-25T00:00:00"/>
    <x v="0"/>
    <s v="Inspeção Geral do Trabalho"/>
    <d v="2027-12-24T00:00:00"/>
    <n v="2045329"/>
    <s v="Actualizar registos no portal da empresa"/>
  </r>
  <r>
    <s v="COMP-145"/>
    <x v="0"/>
    <s v="Segurança Industrial"/>
    <d v="2026-03-26T00:00:00"/>
    <x v="0"/>
    <s v="ANPG"/>
    <d v="2027-01-03T00:00:00"/>
    <n v="3572753"/>
    <s v="Actualizar registos no portal da empresa"/>
  </r>
  <r>
    <s v="COMP-146"/>
    <x v="0"/>
    <s v="Segurança Industrial"/>
    <d v="2026-02-24T00:00:00"/>
    <x v="0"/>
    <s v="ANPG"/>
    <d v="2027-12-19T00:00:00"/>
    <n v="891670"/>
    <s v="Actualizar registos no portal da empresa"/>
  </r>
  <r>
    <s v="COMP-147"/>
    <x v="2"/>
    <s v="Documentação Técnica"/>
    <d v="2026-05-24T00:00:00"/>
    <x v="0"/>
    <s v="ANPG"/>
    <d v="2027-04-15T00:00:00"/>
    <n v="5126043"/>
    <s v="Actualizar registos no portal da empresa"/>
  </r>
  <r>
    <s v="COMP-148"/>
    <x v="4"/>
    <s v="Proteção Explosão"/>
    <d v="2026-04-05T00:00:00"/>
    <x v="0"/>
    <s v="INEE (Instituto Nacional de Estradas)"/>
    <d v="2027-03-25T00:00:00"/>
    <n v="8127339"/>
    <s v="Actualizar registos no portal da empresa"/>
  </r>
  <r>
    <s v="COMP-149"/>
    <x v="3"/>
    <s v="Documentação Técnica"/>
    <d v="2026-05-22T00:00:00"/>
    <x v="2"/>
    <s v="Auditoria Interna"/>
    <d v="2027-08-01T00:00:00"/>
    <n v="1850339"/>
    <s v="Actualizar registos no portal da empresa"/>
  </r>
  <r>
    <s v="COMP-150"/>
    <x v="2"/>
    <s v="Proteção Explosão"/>
    <d v="2026-04-29T00:00:00"/>
    <x v="2"/>
    <s v="Auditoria Interna"/>
    <d v="2027-04-30T00:00:00"/>
    <n v="4234942"/>
    <s v="Actualizar registos no portal da empresa"/>
  </r>
  <r>
    <s v="COMP-151"/>
    <x v="4"/>
    <s v="Proteção Explosão"/>
    <d v="2026-01-09T00:00:00"/>
    <x v="0"/>
    <s v="INEE (Instituto Nacional de Estradas)"/>
    <d v="2027-05-11T00:00:00"/>
    <n v="8929241"/>
    <s v="Actualizar registos no portal da empresa"/>
  </r>
  <r>
    <s v="COMP-152"/>
    <x v="4"/>
    <s v="Documentação Técnica"/>
    <d v="2026-05-30T00:00:00"/>
    <x v="1"/>
    <s v="Inspeção Geral do Trabalho"/>
    <d v="2027-12-03T00:00:00"/>
    <n v="9940501"/>
    <s v="Actualizar registos no portal da empresa"/>
  </r>
  <r>
    <s v="COMP-153"/>
    <x v="1"/>
    <s v="Calibração"/>
    <d v="2026-02-11T00:00:00"/>
    <x v="2"/>
    <s v="INEE (Instituto Nacional de Estradas)"/>
    <d v="2027-07-15T00:00:00"/>
    <n v="4350404"/>
    <s v="Actualizar registos no portal da empresa"/>
  </r>
  <r>
    <s v="COMP-154"/>
    <x v="1"/>
    <s v="Documentação Técnica"/>
    <d v="2026-02-22T00:00:00"/>
    <x v="2"/>
    <s v="Inspeção Geral do Trabalho"/>
    <d v="2027-01-18T00:00:00"/>
    <n v="8292590"/>
    <s v="Actualizar registos no portal da empresa"/>
  </r>
  <r>
    <s v="COMP-155"/>
    <x v="2"/>
    <s v="Documentação Técnica"/>
    <d v="2026-03-15T00:00:00"/>
    <x v="0"/>
    <s v="INEE (Instituto Nacional de Estradas)"/>
    <d v="2027-05-09T00:00:00"/>
    <n v="3321105"/>
    <s v="Actualizar registos no portal da empresa"/>
  </r>
  <r>
    <s v="COMP-156"/>
    <x v="1"/>
    <s v="Segurança Industrial"/>
    <d v="2026-02-08T00:00:00"/>
    <x v="0"/>
    <s v="INEE (Instituto Nacional de Estradas)"/>
    <d v="2027-01-11T00:00:00"/>
    <n v="1426109"/>
    <s v="Actualizar registos no portal da empresa"/>
  </r>
  <r>
    <s v="COMP-157"/>
    <x v="4"/>
    <s v="Segurança Industrial"/>
    <d v="2026-05-02T00:00:00"/>
    <x v="0"/>
    <s v="INEE (Instituto Nacional de Estradas)"/>
    <d v="2027-03-21T00:00:00"/>
    <n v="8159564"/>
    <s v="Actualizar registos no portal da empresa"/>
  </r>
  <r>
    <s v="COMP-158"/>
    <x v="1"/>
    <s v="Documentação Técnica"/>
    <d v="2026-01-15T00:00:00"/>
    <x v="0"/>
    <s v="Auditoria Interna"/>
    <d v="2027-11-25T00:00:00"/>
    <n v="5955249"/>
    <s v="Actualizar registos no portal da empresa"/>
  </r>
  <r>
    <s v="COMP-159"/>
    <x v="0"/>
    <s v="Documentação Técnica"/>
    <d v="2026-05-03T00:00:00"/>
    <x v="0"/>
    <s v="ANPG"/>
    <d v="2027-12-19T00:00:00"/>
    <n v="1208669"/>
    <s v="Actualizar registos no portal da empresa"/>
  </r>
  <r>
    <s v="COMP-160"/>
    <x v="1"/>
    <s v="Segurança Industrial"/>
    <d v="2026-04-21T00:00:00"/>
    <x v="0"/>
    <s v="INEE (Instituto Nacional de Estradas)"/>
    <d v="2027-09-18T00:00:00"/>
    <n v="6818499"/>
    <s v="Actualizar registos no portal da empresa"/>
  </r>
  <r>
    <s v="COMP-161"/>
    <x v="4"/>
    <s v="Proteção Explosão"/>
    <d v="2026-05-11T00:00:00"/>
    <x v="2"/>
    <s v="Auditoria Interna"/>
    <d v="2027-05-04T00:00:00"/>
    <n v="4727939"/>
    <s v="Actualizar registos no portal da empresa"/>
  </r>
  <r>
    <s v="COMP-162"/>
    <x v="2"/>
    <s v="Documentação Técnica"/>
    <d v="2026-03-24T00:00:00"/>
    <x v="2"/>
    <s v="ANPG"/>
    <d v="2027-11-02T00:00:00"/>
    <n v="2807539"/>
    <s v="Actualizar registos no portal da empresa"/>
  </r>
  <r>
    <s v="COMP-163"/>
    <x v="3"/>
    <s v="Calibração"/>
    <d v="2026-01-10T00:00:00"/>
    <x v="0"/>
    <s v="ANPG"/>
    <d v="2027-09-23T00:00:00"/>
    <n v="3096882"/>
    <s v="Actualizar registos no portal da empresa"/>
  </r>
  <r>
    <s v="COMP-164"/>
    <x v="1"/>
    <s v="Calibração"/>
    <d v="2026-04-02T00:00:00"/>
    <x v="0"/>
    <s v="INEE (Instituto Nacional de Estradas)"/>
    <d v="2027-05-19T00:00:00"/>
    <n v="9895499"/>
    <s v="Actualizar registos no portal da empresa"/>
  </r>
  <r>
    <s v="COMP-165"/>
    <x v="4"/>
    <s v="Calibração"/>
    <d v="2026-01-29T00:00:00"/>
    <x v="0"/>
    <s v="Inspeção Geral do Trabalho"/>
    <d v="2027-11-24T00:00:00"/>
    <n v="4447526"/>
    <s v="Actualizar registos no portal da empresa"/>
  </r>
  <r>
    <s v="COMP-166"/>
    <x v="3"/>
    <s v="Documentação Técnica"/>
    <d v="2026-02-04T00:00:00"/>
    <x v="2"/>
    <s v="Inspeção Geral do Trabalho"/>
    <d v="2027-01-01T00:00:00"/>
    <n v="7933976"/>
    <s v="Actualizar registos no portal da empresa"/>
  </r>
  <r>
    <s v="COMP-167"/>
    <x v="3"/>
    <s v="Proteção Explosão"/>
    <d v="2026-01-06T00:00:00"/>
    <x v="0"/>
    <s v="Inspeção Geral do Trabalho"/>
    <d v="2027-01-07T00:00:00"/>
    <n v="9616075"/>
    <s v="Actualizar registos no portal da empresa"/>
  </r>
  <r>
    <s v="COMP-168"/>
    <x v="0"/>
    <s v="Proteção Explosão"/>
    <d v="2026-05-20T00:00:00"/>
    <x v="0"/>
    <s v="INEE (Instituto Nacional de Estradas)"/>
    <d v="2027-09-06T00:00:00"/>
    <n v="5150100"/>
    <s v="Actualizar registos no portal da empresa"/>
  </r>
  <r>
    <s v="COMP-169"/>
    <x v="3"/>
    <s v="Segurança Industrial"/>
    <d v="2026-04-21T00:00:00"/>
    <x v="0"/>
    <s v="Inspeção Geral do Trabalho"/>
    <d v="2027-05-18T00:00:00"/>
    <n v="3498851"/>
    <s v="Actualizar registos no portal da empresa"/>
  </r>
  <r>
    <s v="COMP-170"/>
    <x v="4"/>
    <s v="Documentação Técnica"/>
    <d v="2026-02-07T00:00:00"/>
    <x v="0"/>
    <s v="Auditoria Interna"/>
    <d v="2027-05-03T00:00:00"/>
    <n v="4161306"/>
    <s v="Actualizar registos no portal da empresa"/>
  </r>
  <r>
    <s v="COMP-171"/>
    <x v="4"/>
    <s v="Proteção Explosão"/>
    <d v="2026-03-18T00:00:00"/>
    <x v="0"/>
    <s v="Auditoria Interna"/>
    <d v="2027-11-04T00:00:00"/>
    <n v="1497057"/>
    <s v="Actualizar registos no portal da empresa"/>
  </r>
  <r>
    <s v="COMP-172"/>
    <x v="1"/>
    <s v="Documentação Técnica"/>
    <d v="2026-04-03T00:00:00"/>
    <x v="0"/>
    <s v="Auditoria Interna"/>
    <d v="2027-08-15T00:00:00"/>
    <n v="4174153"/>
    <s v="Actualizar registos no portal da empresa"/>
  </r>
  <r>
    <s v="COMP-173"/>
    <x v="1"/>
    <s v="Segurança Industrial"/>
    <d v="2026-05-27T00:00:00"/>
    <x v="1"/>
    <s v="Auditoria Interna"/>
    <d v="2027-01-09T00:00:00"/>
    <n v="5248584"/>
    <s v="Actualizar registos no portal da empresa"/>
  </r>
  <r>
    <s v="COMP-174"/>
    <x v="1"/>
    <s v="Segurança Industrial"/>
    <d v="2026-03-08T00:00:00"/>
    <x v="2"/>
    <s v="ANPG"/>
    <d v="2027-07-30T00:00:00"/>
    <n v="7803398"/>
    <s v="Actualizar registos no portal da empresa"/>
  </r>
  <r>
    <s v="COMP-175"/>
    <x v="3"/>
    <s v="Segurança Industrial"/>
    <d v="2026-05-16T00:00:00"/>
    <x v="2"/>
    <s v="Auditoria Interna"/>
    <d v="2027-04-21T00:00:00"/>
    <n v="2712292"/>
    <s v="Actualizar registos no portal da empresa"/>
  </r>
  <r>
    <s v="COMP-176"/>
    <x v="3"/>
    <s v="Calibração"/>
    <d v="2026-01-08T00:00:00"/>
    <x v="2"/>
    <s v="Inspeção Geral do Trabalho"/>
    <d v="2027-01-07T00:00:00"/>
    <n v="4870297"/>
    <s v="Actualizar registos no portal da empresa"/>
  </r>
  <r>
    <s v="COMP-177"/>
    <x v="0"/>
    <s v="Documentação Técnica"/>
    <d v="2026-05-02T00:00:00"/>
    <x v="0"/>
    <s v="INEE (Instituto Nacional de Estradas)"/>
    <d v="2027-10-18T00:00:00"/>
    <n v="4118313"/>
    <s v="Actualizar registos no portal da empresa"/>
  </r>
  <r>
    <s v="COMP-178"/>
    <x v="1"/>
    <s v="Segurança Industrial"/>
    <d v="2026-03-25T00:00:00"/>
    <x v="0"/>
    <s v="Inspeção Geral do Trabalho"/>
    <d v="2027-12-27T00:00:00"/>
    <n v="1884410"/>
    <s v="Actualizar registos no portal da empresa"/>
  </r>
  <r>
    <s v="COMP-179"/>
    <x v="2"/>
    <s v="Documentação Técnica"/>
    <d v="2026-05-12T00:00:00"/>
    <x v="1"/>
    <s v="Auditoria Interna"/>
    <d v="2027-09-09T00:00:00"/>
    <n v="9174708"/>
    <s v="Actualizar registos no portal da empresa"/>
  </r>
  <r>
    <s v="COMP-180"/>
    <x v="0"/>
    <s v="Calibração"/>
    <d v="2026-03-26T00:00:00"/>
    <x v="2"/>
    <s v="ANPG"/>
    <d v="2027-01-13T00:00:00"/>
    <n v="7830395"/>
    <s v="Actualizar registos no portal da empresa"/>
  </r>
  <r>
    <s v="COMP-181"/>
    <x v="2"/>
    <s v="Calibração"/>
    <d v="2026-02-14T00:00:00"/>
    <x v="0"/>
    <s v="Auditoria Interna"/>
    <d v="2027-08-27T00:00:00"/>
    <n v="2548880"/>
    <s v="Actualizar registos no portal da empresa"/>
  </r>
  <r>
    <s v="COMP-182"/>
    <x v="3"/>
    <s v="Segurança Industrial"/>
    <d v="2026-05-16T00:00:00"/>
    <x v="0"/>
    <s v="INEE (Instituto Nacional de Estradas)"/>
    <d v="2027-08-29T00:00:00"/>
    <n v="2969606"/>
    <s v="Actualizar registos no portal da empresa"/>
  </r>
  <r>
    <s v="COMP-183"/>
    <x v="0"/>
    <s v="Segurança Industrial"/>
    <d v="2026-03-28T00:00:00"/>
    <x v="0"/>
    <s v="Inspeção Geral do Trabalho"/>
    <d v="2027-12-07T00:00:00"/>
    <n v="3539316"/>
    <s v="Actualizar registos no portal da empresa"/>
  </r>
  <r>
    <s v="COMP-184"/>
    <x v="0"/>
    <s v="Proteção Explosão"/>
    <d v="2026-01-16T00:00:00"/>
    <x v="0"/>
    <s v="INEE (Instituto Nacional de Estradas)"/>
    <d v="2027-05-28T00:00:00"/>
    <n v="1545533"/>
    <s v="Actualizar registos no portal da empresa"/>
  </r>
  <r>
    <s v="COMP-185"/>
    <x v="4"/>
    <s v="Documentação Técnica"/>
    <d v="2026-03-18T00:00:00"/>
    <x v="0"/>
    <s v="INEE (Instituto Nacional de Estradas)"/>
    <d v="2027-08-23T00:00:00"/>
    <n v="1785844"/>
    <s v="Actualizar registos no portal da empresa"/>
  </r>
  <r>
    <s v="COMP-186"/>
    <x v="3"/>
    <s v="Segurança Industrial"/>
    <d v="2026-01-09T00:00:00"/>
    <x v="0"/>
    <s v="INEE (Instituto Nacional de Estradas)"/>
    <d v="2027-11-01T00:00:00"/>
    <n v="5173584"/>
    <s v="Actualizar registos no portal da empresa"/>
  </r>
  <r>
    <s v="COMP-187"/>
    <x v="3"/>
    <s v="Proteção Explosão"/>
    <d v="2026-03-01T00:00:00"/>
    <x v="0"/>
    <s v="Inspeção Geral do Trabalho"/>
    <d v="2027-06-15T00:00:00"/>
    <n v="1287600"/>
    <s v="Actualizar registos no portal da empresa"/>
  </r>
  <r>
    <s v="COMP-188"/>
    <x v="0"/>
    <s v="Documentação Técnica"/>
    <d v="2026-03-19T00:00:00"/>
    <x v="0"/>
    <s v="Auditoria Interna"/>
    <d v="2027-01-19T00:00:00"/>
    <n v="5001572"/>
    <s v="Actualizar registos no portal da empresa"/>
  </r>
  <r>
    <s v="COMP-189"/>
    <x v="3"/>
    <s v="Segurança Industrial"/>
    <d v="2026-03-18T00:00:00"/>
    <x v="2"/>
    <s v="INEE (Instituto Nacional de Estradas)"/>
    <d v="2027-08-03T00:00:00"/>
    <n v="7461848"/>
    <s v="Actualizar registos no portal da empresa"/>
  </r>
  <r>
    <s v="COMP-190"/>
    <x v="0"/>
    <s v="Proteção Explosão"/>
    <d v="2026-03-12T00:00:00"/>
    <x v="0"/>
    <s v="Inspeção Geral do Trabalho"/>
    <d v="2027-12-08T00:00:00"/>
    <n v="6057821"/>
    <s v="Actualizar registos no portal da empresa"/>
  </r>
  <r>
    <s v="COMP-191"/>
    <x v="4"/>
    <s v="Proteção Explosão"/>
    <d v="2026-01-15T00:00:00"/>
    <x v="0"/>
    <s v="ANPG"/>
    <d v="2027-05-14T00:00:00"/>
    <n v="1985619"/>
    <s v="Actualizar registos no portal da empresa"/>
  </r>
  <r>
    <s v="COMP-192"/>
    <x v="0"/>
    <s v="Documentação Técnica"/>
    <d v="2026-03-12T00:00:00"/>
    <x v="0"/>
    <s v="Inspeção Geral do Trabalho"/>
    <d v="2027-05-08T00:00:00"/>
    <n v="2338524"/>
    <s v="Actualizar registos no portal da empresa"/>
  </r>
  <r>
    <s v="COMP-193"/>
    <x v="3"/>
    <s v="Proteção Explosão"/>
    <d v="2026-04-12T00:00:00"/>
    <x v="2"/>
    <s v="ANPG"/>
    <d v="2027-10-20T00:00:00"/>
    <n v="622026"/>
    <s v="Actualizar registos no portal da empresa"/>
  </r>
  <r>
    <s v="COMP-194"/>
    <x v="3"/>
    <s v="Documentação Técnica"/>
    <d v="2026-01-22T00:00:00"/>
    <x v="0"/>
    <s v="Inspeção Geral do Trabalho"/>
    <d v="2027-09-02T00:00:00"/>
    <n v="5622194"/>
    <s v="Actualizar registos no portal da empresa"/>
  </r>
  <r>
    <s v="COMP-195"/>
    <x v="0"/>
    <s v="Documentação Técnica"/>
    <d v="2026-04-23T00:00:00"/>
    <x v="2"/>
    <s v="Auditoria Interna"/>
    <d v="2027-07-07T00:00:00"/>
    <n v="1235053"/>
    <s v="Actualizar registos no portal da empresa"/>
  </r>
  <r>
    <s v="COMP-196"/>
    <x v="0"/>
    <s v="Documentação Técnica"/>
    <d v="2026-01-01T00:00:00"/>
    <x v="0"/>
    <s v="INEE (Instituto Nacional de Estradas)"/>
    <d v="2027-02-12T00:00:00"/>
    <n v="1062167"/>
    <s v="Actualizar registos no portal da empresa"/>
  </r>
  <r>
    <s v="COMP-197"/>
    <x v="0"/>
    <s v="Calibração"/>
    <d v="2026-01-10T00:00:00"/>
    <x v="2"/>
    <s v="Auditoria Interna"/>
    <d v="2027-03-26T00:00:00"/>
    <n v="9200349"/>
    <s v="Actualizar registos no portal da empresa"/>
  </r>
  <r>
    <s v="COMP-198"/>
    <x v="1"/>
    <s v="Proteção Explosão"/>
    <d v="2026-04-20T00:00:00"/>
    <x v="2"/>
    <s v="Inspeção Geral do Trabalho"/>
    <d v="2027-02-12T00:00:00"/>
    <n v="2158800"/>
    <s v="Actualizar registos no portal da empresa"/>
  </r>
  <r>
    <s v="COMP-199"/>
    <x v="3"/>
    <s v="Documentação Técnica"/>
    <d v="2026-04-23T00:00:00"/>
    <x v="0"/>
    <s v="INEE (Instituto Nacional de Estradas)"/>
    <d v="2027-11-25T00:00:00"/>
    <n v="2307737"/>
    <s v="Actualizar registos no portal da empresa"/>
  </r>
  <r>
    <s v="COMP-200"/>
    <x v="3"/>
    <s v="Segurança Industrial"/>
    <d v="2026-02-19T00:00:00"/>
    <x v="0"/>
    <s v="ANPG"/>
    <d v="2027-05-24T00:00:00"/>
    <n v="4251531"/>
    <s v="Actualizar registos no portal da empresa"/>
  </r>
  <r>
    <s v="COMP-201"/>
    <x v="1"/>
    <s v="Calibração"/>
    <d v="2026-01-12T00:00:00"/>
    <x v="0"/>
    <s v="Inspeção Geral do Trabalho"/>
    <d v="2027-02-19T00:00:00"/>
    <n v="8419710"/>
    <s v="Actualizar registos no portal da empresa"/>
  </r>
  <r>
    <s v="COMP-202"/>
    <x v="0"/>
    <s v="Calibração"/>
    <d v="2026-03-30T00:00:00"/>
    <x v="0"/>
    <s v="INEE (Instituto Nacional de Estradas)"/>
    <d v="2027-08-29T00:00:00"/>
    <n v="3531301"/>
    <s v="Actualizar registos no portal da empresa"/>
  </r>
  <r>
    <s v="COMP-203"/>
    <x v="4"/>
    <s v="Proteção Explosão"/>
    <d v="2026-04-22T00:00:00"/>
    <x v="0"/>
    <s v="ANPG"/>
    <d v="2027-10-20T00:00:00"/>
    <n v="644454"/>
    <s v="Actualizar registos no portal da empresa"/>
  </r>
  <r>
    <s v="COMP-204"/>
    <x v="0"/>
    <s v="Documentação Técnica"/>
    <d v="2026-03-19T00:00:00"/>
    <x v="0"/>
    <s v="ANPG"/>
    <d v="2027-02-19T00:00:00"/>
    <n v="8181556"/>
    <s v="Actualizar registos no portal da empresa"/>
  </r>
  <r>
    <s v="COMP-205"/>
    <x v="0"/>
    <s v="Proteção Explosão"/>
    <d v="2026-05-01T00:00:00"/>
    <x v="0"/>
    <s v="Auditoria Interna"/>
    <d v="2027-09-22T00:00:00"/>
    <n v="754043"/>
    <s v="Actualizar registos no portal da empresa"/>
  </r>
  <r>
    <s v="COMP-206"/>
    <x v="1"/>
    <s v="Calibração"/>
    <d v="2026-01-23T00:00:00"/>
    <x v="0"/>
    <s v="Inspeção Geral do Trabalho"/>
    <d v="2027-04-29T00:00:00"/>
    <n v="5337502"/>
    <s v="Actualizar registos no portal da empresa"/>
  </r>
  <r>
    <s v="COMP-207"/>
    <x v="3"/>
    <s v="Documentação Técnica"/>
    <d v="2026-05-14T00:00:00"/>
    <x v="0"/>
    <s v="ANPG"/>
    <d v="2027-07-18T00:00:00"/>
    <n v="5314647"/>
    <s v="Actualizar registos no portal da empresa"/>
  </r>
  <r>
    <s v="COMP-208"/>
    <x v="0"/>
    <s v="Segurança Industrial"/>
    <d v="2026-01-25T00:00:00"/>
    <x v="0"/>
    <s v="INEE (Instituto Nacional de Estradas)"/>
    <d v="2027-09-04T00:00:00"/>
    <n v="6131213"/>
    <s v="Actualizar registos no portal da empresa"/>
  </r>
  <r>
    <s v="COMP-209"/>
    <x v="3"/>
    <s v="Documentação Técnica"/>
    <d v="2026-01-18T00:00:00"/>
    <x v="0"/>
    <s v="ANPG"/>
    <d v="2027-03-10T00:00:00"/>
    <n v="5424374"/>
    <s v="Actualizar registos no portal da empresa"/>
  </r>
  <r>
    <s v="COMP-210"/>
    <x v="2"/>
    <s v="Calibração"/>
    <d v="2026-05-21T00:00:00"/>
    <x v="0"/>
    <s v="ANPG"/>
    <d v="2027-12-06T00:00:00"/>
    <n v="2345733"/>
    <s v="Actualizar registos no portal da empresa"/>
  </r>
  <r>
    <s v="COMP-211"/>
    <x v="3"/>
    <s v="Segurança Industrial"/>
    <d v="2026-02-12T00:00:00"/>
    <x v="0"/>
    <s v="Auditoria Interna"/>
    <d v="2027-02-25T00:00:00"/>
    <n v="6300629"/>
    <s v="Actualizar registos no portal da empresa"/>
  </r>
  <r>
    <s v="COMP-212"/>
    <x v="4"/>
    <s v="Documentação Técnica"/>
    <d v="2026-03-19T00:00:00"/>
    <x v="0"/>
    <s v="Auditoria Interna"/>
    <d v="2027-02-07T00:00:00"/>
    <n v="8405435"/>
    <s v="Actualizar registos no portal da empresa"/>
  </r>
  <r>
    <s v="COMP-213"/>
    <x v="4"/>
    <s v="Segurança Industrial"/>
    <d v="2026-01-28T00:00:00"/>
    <x v="2"/>
    <s v="INEE (Instituto Nacional de Estradas)"/>
    <d v="2027-10-15T00:00:00"/>
    <n v="4804388"/>
    <s v="Actualizar registos no portal da empresa"/>
  </r>
  <r>
    <s v="COMP-214"/>
    <x v="0"/>
    <s v="Segurança Industrial"/>
    <d v="2026-05-26T00:00:00"/>
    <x v="0"/>
    <s v="Auditoria Interna"/>
    <d v="2027-01-17T00:00:00"/>
    <n v="9902999"/>
    <s v="Actualizar registos no portal da empresa"/>
  </r>
  <r>
    <s v="COMP-215"/>
    <x v="3"/>
    <s v="Calibração"/>
    <d v="2026-02-28T00:00:00"/>
    <x v="0"/>
    <s v="ANPG"/>
    <d v="2027-08-07T00:00:00"/>
    <n v="7821105"/>
    <s v="Actualizar registos no portal da empresa"/>
  </r>
  <r>
    <s v="COMP-216"/>
    <x v="0"/>
    <s v="Segurança Industrial"/>
    <d v="2026-03-04T00:00:00"/>
    <x v="0"/>
    <s v="ANPG"/>
    <d v="2027-11-08T00:00:00"/>
    <n v="973006"/>
    <s v="Actualizar registos no portal da empresa"/>
  </r>
  <r>
    <s v="COMP-217"/>
    <x v="1"/>
    <s v="Proteção Explosão"/>
    <d v="2026-04-02T00:00:00"/>
    <x v="2"/>
    <s v="Auditoria Interna"/>
    <d v="2027-08-31T00:00:00"/>
    <n v="6084581"/>
    <s v="Actualizar registos no portal da empresa"/>
  </r>
  <r>
    <s v="COMP-218"/>
    <x v="4"/>
    <s v="Calibração"/>
    <d v="2026-02-25T00:00:00"/>
    <x v="2"/>
    <s v="ANPG"/>
    <d v="2027-12-17T00:00:00"/>
    <n v="7649148"/>
    <s v="Actualizar registos no portal da empresa"/>
  </r>
  <r>
    <s v="COMP-219"/>
    <x v="0"/>
    <s v="Proteção Explosão"/>
    <d v="2026-04-21T00:00:00"/>
    <x v="2"/>
    <s v="ANPG"/>
    <d v="2027-10-30T00:00:00"/>
    <n v="8962176"/>
    <s v="Actualizar registos no portal da empresa"/>
  </r>
  <r>
    <s v="COMP-220"/>
    <x v="1"/>
    <s v="Segurança Industrial"/>
    <d v="2026-05-17T00:00:00"/>
    <x v="0"/>
    <s v="INEE (Instituto Nacional de Estradas)"/>
    <d v="2027-10-24T00:00:00"/>
    <n v="7756300"/>
    <s v="Actualizar registos no portal da empresa"/>
  </r>
  <r>
    <s v="COMP-221"/>
    <x v="0"/>
    <s v="Proteção Explosão"/>
    <d v="2026-03-09T00:00:00"/>
    <x v="0"/>
    <s v="Auditoria Interna"/>
    <d v="2027-10-09T00:00:00"/>
    <n v="1697442"/>
    <s v="Actualizar registos no portal da empresa"/>
  </r>
  <r>
    <s v="COMP-222"/>
    <x v="3"/>
    <s v="Documentação Técnica"/>
    <d v="2026-02-15T00:00:00"/>
    <x v="0"/>
    <s v="ANPG"/>
    <d v="2027-03-14T00:00:00"/>
    <n v="1699529"/>
    <s v="Actualizar registos no portal da empresa"/>
  </r>
  <r>
    <s v="COMP-223"/>
    <x v="3"/>
    <s v="Segurança Industrial"/>
    <d v="2026-03-08T00:00:00"/>
    <x v="0"/>
    <s v="Auditoria Interna"/>
    <d v="2027-04-19T00:00:00"/>
    <n v="2290228"/>
    <s v="Actualizar registos no portal da empresa"/>
  </r>
  <r>
    <s v="COMP-224"/>
    <x v="3"/>
    <s v="Documentação Técnica"/>
    <d v="2026-05-16T00:00:00"/>
    <x v="2"/>
    <s v="INEE (Instituto Nacional de Estradas)"/>
    <d v="2027-06-28T00:00:00"/>
    <n v="7552514"/>
    <s v="Actualizar registos no portal da empresa"/>
  </r>
  <r>
    <s v="COMP-225"/>
    <x v="3"/>
    <s v="Proteção Explosão"/>
    <d v="2026-01-06T00:00:00"/>
    <x v="0"/>
    <s v="Auditoria Interna"/>
    <d v="2027-01-31T00:00:00"/>
    <n v="2823176"/>
    <s v="Actualizar registos no portal da empresa"/>
  </r>
  <r>
    <s v="COMP-226"/>
    <x v="2"/>
    <s v="Documentação Técnica"/>
    <d v="2026-01-24T00:00:00"/>
    <x v="1"/>
    <s v="ANPG"/>
    <d v="2027-08-21T00:00:00"/>
    <n v="9850466"/>
    <s v="Actualizar registos no portal da empresa"/>
  </r>
  <r>
    <s v="COMP-227"/>
    <x v="1"/>
    <s v="Segurança Industrial"/>
    <d v="2026-04-04T00:00:00"/>
    <x v="0"/>
    <s v="Auditoria Interna"/>
    <d v="2027-10-08T00:00:00"/>
    <n v="9360286"/>
    <s v="Actualizar registos no portal da empresa"/>
  </r>
  <r>
    <s v="COMP-228"/>
    <x v="1"/>
    <s v="Documentação Técnica"/>
    <d v="2026-01-13T00:00:00"/>
    <x v="2"/>
    <s v="ANPG"/>
    <d v="2027-01-24T00:00:00"/>
    <n v="6517004"/>
    <s v="Actualizar registos no portal da empresa"/>
  </r>
  <r>
    <s v="COMP-229"/>
    <x v="3"/>
    <s v="Proteção Explosão"/>
    <d v="2026-01-25T00:00:00"/>
    <x v="0"/>
    <s v="ANPG"/>
    <d v="2027-11-26T00:00:00"/>
    <n v="4708694"/>
    <s v="Actualizar registos no portal da empresa"/>
  </r>
  <r>
    <s v="COMP-230"/>
    <x v="2"/>
    <s v="Proteção Explosão"/>
    <d v="2026-05-28T00:00:00"/>
    <x v="0"/>
    <s v="ANPG"/>
    <d v="2027-10-05T00:00:00"/>
    <n v="997619"/>
    <s v="Actualizar registos no portal da empresa"/>
  </r>
  <r>
    <s v="COMP-231"/>
    <x v="3"/>
    <s v="Proteção Explosão"/>
    <d v="2026-04-28T00:00:00"/>
    <x v="0"/>
    <s v="INEE (Instituto Nacional de Estradas)"/>
    <d v="2027-08-13T00:00:00"/>
    <n v="718547"/>
    <s v="Actualizar registos no portal da empresa"/>
  </r>
  <r>
    <s v="COMP-232"/>
    <x v="2"/>
    <s v="Segurança Industrial"/>
    <d v="2026-03-23T00:00:00"/>
    <x v="0"/>
    <s v="Auditoria Interna"/>
    <d v="2027-02-25T00:00:00"/>
    <n v="9440203"/>
    <s v="Actualizar registos no portal da empresa"/>
  </r>
  <r>
    <s v="COMP-233"/>
    <x v="3"/>
    <s v="Proteção Explosão"/>
    <d v="2026-04-21T00:00:00"/>
    <x v="0"/>
    <s v="INEE (Instituto Nacional de Estradas)"/>
    <d v="2027-06-28T00:00:00"/>
    <n v="4921740"/>
    <s v="Actualizar registos no portal da empresa"/>
  </r>
  <r>
    <s v="COMP-234"/>
    <x v="4"/>
    <s v="Segurança Industrial"/>
    <d v="2026-03-23T00:00:00"/>
    <x v="2"/>
    <s v="Auditoria Interna"/>
    <d v="2027-08-19T00:00:00"/>
    <n v="7864534"/>
    <s v="Actualizar registos no portal da empresa"/>
  </r>
  <r>
    <s v="COMP-235"/>
    <x v="4"/>
    <s v="Documentação Técnica"/>
    <d v="2026-03-07T00:00:00"/>
    <x v="0"/>
    <s v="INEE (Instituto Nacional de Estradas)"/>
    <d v="2027-12-08T00:00:00"/>
    <n v="8853135"/>
    <s v="Actualizar registos no portal da empresa"/>
  </r>
  <r>
    <s v="COMP-236"/>
    <x v="0"/>
    <s v="Proteção Explosão"/>
    <d v="2026-02-14T00:00:00"/>
    <x v="0"/>
    <s v="Inspeção Geral do Trabalho"/>
    <d v="2027-10-13T00:00:00"/>
    <n v="4358804"/>
    <s v="Actualizar registos no portal da empresa"/>
  </r>
  <r>
    <s v="COMP-237"/>
    <x v="3"/>
    <s v="Documentação Técnica"/>
    <d v="2026-04-24T00:00:00"/>
    <x v="0"/>
    <s v="ANPG"/>
    <d v="2027-03-04T00:00:00"/>
    <n v="2825452"/>
    <s v="Actualizar registos no portal da empresa"/>
  </r>
  <r>
    <s v="COMP-238"/>
    <x v="1"/>
    <s v="Calibração"/>
    <d v="2026-03-04T00:00:00"/>
    <x v="0"/>
    <s v="ANPG"/>
    <d v="2027-08-19T00:00:00"/>
    <n v="5712360"/>
    <s v="Actualizar registos no portal da empresa"/>
  </r>
  <r>
    <s v="COMP-239"/>
    <x v="0"/>
    <s v="Documentação Técnica"/>
    <d v="2026-03-17T00:00:00"/>
    <x v="2"/>
    <s v="INEE (Instituto Nacional de Estradas)"/>
    <d v="2027-10-15T00:00:00"/>
    <n v="1428252"/>
    <s v="Actualizar registos no portal da empresa"/>
  </r>
  <r>
    <s v="COMP-240"/>
    <x v="4"/>
    <s v="Calibração"/>
    <d v="2026-04-24T00:00:00"/>
    <x v="1"/>
    <s v="Inspeção Geral do Trabalho"/>
    <d v="2027-07-31T00:00:00"/>
    <n v="9475681"/>
    <s v="Actualizar registos no portal da empresa"/>
  </r>
  <r>
    <s v="COMP-241"/>
    <x v="3"/>
    <s v="Documentação Técnica"/>
    <d v="2026-04-21T00:00:00"/>
    <x v="1"/>
    <s v="ANPG"/>
    <d v="2027-09-14T00:00:00"/>
    <n v="1100338"/>
    <s v="Actualizar registos no portal da empresa"/>
  </r>
  <r>
    <s v="COMP-242"/>
    <x v="0"/>
    <s v="Segurança Industrial"/>
    <d v="2026-05-27T00:00:00"/>
    <x v="2"/>
    <s v="Auditoria Interna"/>
    <d v="2027-01-17T00:00:00"/>
    <n v="574231"/>
    <s v="Actualizar registos no portal da empresa"/>
  </r>
  <r>
    <s v="COMP-243"/>
    <x v="3"/>
    <s v="Documentação Técnica"/>
    <d v="2026-02-04T00:00:00"/>
    <x v="1"/>
    <s v="INEE (Instituto Nacional de Estradas)"/>
    <d v="2027-06-23T00:00:00"/>
    <n v="6865062"/>
    <s v="Actualizar registos no portal da empresa"/>
  </r>
  <r>
    <s v="COMP-244"/>
    <x v="4"/>
    <s v="Segurança Industrial"/>
    <d v="2026-02-22T00:00:00"/>
    <x v="0"/>
    <s v="ANPG"/>
    <d v="2027-08-16T00:00:00"/>
    <n v="6046686"/>
    <s v="Actualizar registos no portal da empresa"/>
  </r>
  <r>
    <s v="COMP-245"/>
    <x v="0"/>
    <s v="Segurança Industrial"/>
    <d v="2026-01-26T00:00:00"/>
    <x v="1"/>
    <s v="ANPG"/>
    <d v="2027-08-13T00:00:00"/>
    <n v="4026185"/>
    <s v="Actualizar registos no portal da empresa"/>
  </r>
  <r>
    <s v="COMP-246"/>
    <x v="4"/>
    <s v="Proteção Explosão"/>
    <d v="2026-01-14T00:00:00"/>
    <x v="0"/>
    <s v="INEE (Instituto Nacional de Estradas)"/>
    <d v="2027-03-24T00:00:00"/>
    <n v="4645466"/>
    <s v="Actualizar registos no portal da empresa"/>
  </r>
  <r>
    <s v="COMP-247"/>
    <x v="2"/>
    <s v="Segurança Industrial"/>
    <d v="2026-04-28T00:00:00"/>
    <x v="0"/>
    <s v="INEE (Instituto Nacional de Estradas)"/>
    <d v="2027-10-17T00:00:00"/>
    <n v="3093050"/>
    <s v="Actualizar registos no portal da empresa"/>
  </r>
  <r>
    <s v="COMP-248"/>
    <x v="4"/>
    <s v="Calibração"/>
    <d v="2026-02-14T00:00:00"/>
    <x v="0"/>
    <s v="Auditoria Interna"/>
    <d v="2027-09-02T00:00:00"/>
    <n v="3613534"/>
    <s v="Actualizar registos no portal da empresa"/>
  </r>
  <r>
    <s v="COMP-249"/>
    <x v="3"/>
    <s v="Proteção Explosão"/>
    <d v="2026-02-20T00:00:00"/>
    <x v="1"/>
    <s v="Auditoria Interna"/>
    <d v="2027-04-19T00:00:00"/>
    <n v="4100957"/>
    <s v="Actualizar registos no portal da empresa"/>
  </r>
  <r>
    <s v="COMP-250"/>
    <x v="1"/>
    <s v="Proteção Explosão"/>
    <d v="2026-04-29T00:00:00"/>
    <x v="1"/>
    <s v="ANPG"/>
    <d v="2027-09-10T00:00:00"/>
    <n v="6953859"/>
    <s v="Actualizar registos no portal da empresa"/>
  </r>
  <r>
    <s v="COMP-251"/>
    <x v="4"/>
    <s v="Documentação Técnica"/>
    <d v="2026-01-19T00:00:00"/>
    <x v="0"/>
    <s v="ANPG"/>
    <d v="2027-03-28T00:00:00"/>
    <n v="9968740"/>
    <s v="Actualizar registos no portal da empresa"/>
  </r>
  <r>
    <s v="COMP-252"/>
    <x v="1"/>
    <s v="Segurança Industrial"/>
    <d v="2026-03-23T00:00:00"/>
    <x v="1"/>
    <s v="INEE (Instituto Nacional de Estradas)"/>
    <d v="2027-03-12T00:00:00"/>
    <n v="9405808"/>
    <s v="Actualizar registos no portal da empresa"/>
  </r>
  <r>
    <s v="COMP-253"/>
    <x v="2"/>
    <s v="Segurança Industrial"/>
    <d v="2026-03-17T00:00:00"/>
    <x v="2"/>
    <s v="ANPG"/>
    <d v="2027-01-29T00:00:00"/>
    <n v="5624524"/>
    <s v="Actualizar registos no portal da empresa"/>
  </r>
  <r>
    <s v="COMP-254"/>
    <x v="0"/>
    <s v="Calibração"/>
    <d v="2026-04-02T00:00:00"/>
    <x v="0"/>
    <s v="ANPG"/>
    <d v="2027-06-20T00:00:00"/>
    <n v="4877987"/>
    <s v="Actualizar registos no portal da empresa"/>
  </r>
  <r>
    <s v="COMP-255"/>
    <x v="0"/>
    <s v="Documentação Técnica"/>
    <d v="2026-02-02T00:00:00"/>
    <x v="0"/>
    <s v="INEE (Instituto Nacional de Estradas)"/>
    <d v="2027-11-04T00:00:00"/>
    <n v="4339973"/>
    <s v="Actualizar registos no portal da empresa"/>
  </r>
  <r>
    <s v="COMP-256"/>
    <x v="1"/>
    <s v="Documentação Técnica"/>
    <d v="2026-05-27T00:00:00"/>
    <x v="1"/>
    <s v="ANPG"/>
    <d v="2027-12-08T00:00:00"/>
    <n v="1863864"/>
    <s v="Actualizar registos no portal da empresa"/>
  </r>
  <r>
    <s v="COMP-257"/>
    <x v="0"/>
    <s v="Proteção Explosão"/>
    <d v="2026-01-28T00:00:00"/>
    <x v="0"/>
    <s v="ANPG"/>
    <d v="2027-06-25T00:00:00"/>
    <n v="8036324"/>
    <s v="Actualizar registos no portal da empresa"/>
  </r>
  <r>
    <s v="COMP-258"/>
    <x v="4"/>
    <s v="Proteção Explosão"/>
    <d v="2026-05-03T00:00:00"/>
    <x v="0"/>
    <s v="Inspeção Geral do Trabalho"/>
    <d v="2027-05-18T00:00:00"/>
    <n v="5921251"/>
    <s v="Actualizar registos no portal da empresa"/>
  </r>
  <r>
    <s v="COMP-259"/>
    <x v="1"/>
    <s v="Proteção Explosão"/>
    <d v="2026-05-06T00:00:00"/>
    <x v="0"/>
    <s v="Auditoria Interna"/>
    <d v="2027-07-12T00:00:00"/>
    <n v="7728119"/>
    <s v="Actualizar registos no portal da empresa"/>
  </r>
  <r>
    <s v="COMP-260"/>
    <x v="3"/>
    <s v="Calibração"/>
    <d v="2026-02-06T00:00:00"/>
    <x v="0"/>
    <s v="INEE (Instituto Nacional de Estradas)"/>
    <d v="2027-07-04T00:00:00"/>
    <n v="2460220"/>
    <s v="Actualizar registos no portal da empresa"/>
  </r>
  <r>
    <s v="COMP-261"/>
    <x v="4"/>
    <s v="Calibração"/>
    <d v="2026-04-09T00:00:00"/>
    <x v="1"/>
    <s v="Inspeção Geral do Trabalho"/>
    <d v="2027-08-05T00:00:00"/>
    <n v="3500264"/>
    <s v="Actualizar registos no portal da empresa"/>
  </r>
  <r>
    <s v="COMP-262"/>
    <x v="4"/>
    <s v="Proteção Explosão"/>
    <d v="2026-04-08T00:00:00"/>
    <x v="0"/>
    <s v="Auditoria Interna"/>
    <d v="2027-06-12T00:00:00"/>
    <n v="9660899"/>
    <s v="Actualizar registos no portal da empresa"/>
  </r>
  <r>
    <s v="COMP-263"/>
    <x v="4"/>
    <s v="Documentação Técnica"/>
    <d v="2026-05-07T00:00:00"/>
    <x v="2"/>
    <s v="Auditoria Interna"/>
    <d v="2027-06-09T00:00:00"/>
    <n v="4014674"/>
    <s v="Actualizar registos no portal da empresa"/>
  </r>
  <r>
    <s v="COMP-264"/>
    <x v="3"/>
    <s v="Calibração"/>
    <d v="2026-03-21T00:00:00"/>
    <x v="2"/>
    <s v="Auditoria Interna"/>
    <d v="2027-01-12T00:00:00"/>
    <n v="9922487"/>
    <s v="Actualizar registos no portal da empresa"/>
  </r>
  <r>
    <s v="COMP-265"/>
    <x v="2"/>
    <s v="Documentação Técnica"/>
    <d v="2026-02-07T00:00:00"/>
    <x v="1"/>
    <s v="Inspeção Geral do Trabalho"/>
    <d v="2027-10-22T00:00:00"/>
    <n v="3573961"/>
    <s v="Actualizar registos no portal da empresa"/>
  </r>
  <r>
    <s v="COMP-266"/>
    <x v="0"/>
    <s v="Documentação Técnica"/>
    <d v="2026-03-18T00:00:00"/>
    <x v="0"/>
    <s v="Inspeção Geral do Trabalho"/>
    <d v="2027-03-29T00:00:00"/>
    <n v="9106776"/>
    <s v="Actualizar registos no portal da empresa"/>
  </r>
  <r>
    <s v="COMP-267"/>
    <x v="1"/>
    <s v="Segurança Industrial"/>
    <d v="2026-05-06T00:00:00"/>
    <x v="0"/>
    <s v="Auditoria Interna"/>
    <d v="2027-11-19T00:00:00"/>
    <n v="648178"/>
    <s v="Actualizar registos no portal da empresa"/>
  </r>
  <r>
    <s v="COMP-268"/>
    <x v="2"/>
    <s v="Proteção Explosão"/>
    <d v="2026-03-28T00:00:00"/>
    <x v="0"/>
    <s v="ANPG"/>
    <d v="2027-02-10T00:00:00"/>
    <n v="8946731"/>
    <s v="Actualizar registos no portal da empresa"/>
  </r>
  <r>
    <s v="COMP-269"/>
    <x v="1"/>
    <s v="Segurança Industrial"/>
    <d v="2026-02-23T00:00:00"/>
    <x v="0"/>
    <s v="ANPG"/>
    <d v="2027-07-28T00:00:00"/>
    <n v="2708977"/>
    <s v="Actualizar registos no portal da empresa"/>
  </r>
  <r>
    <s v="COMP-270"/>
    <x v="0"/>
    <s v="Proteção Explosão"/>
    <d v="2026-05-30T00:00:00"/>
    <x v="2"/>
    <s v="Inspeção Geral do Trabalho"/>
    <d v="2027-08-16T00:00:00"/>
    <n v="1717309"/>
    <s v="Actualizar registos no portal da empresa"/>
  </r>
  <r>
    <s v="COMP-271"/>
    <x v="3"/>
    <s v="Proteção Explosão"/>
    <d v="2026-01-16T00:00:00"/>
    <x v="0"/>
    <s v="Inspeção Geral do Trabalho"/>
    <d v="2027-12-15T00:00:00"/>
    <n v="3870698"/>
    <s v="Actualizar registos no portal da empresa"/>
  </r>
  <r>
    <s v="COMP-272"/>
    <x v="4"/>
    <s v="Documentação Técnica"/>
    <d v="2026-01-28T00:00:00"/>
    <x v="0"/>
    <s v="Inspeção Geral do Trabalho"/>
    <d v="2027-10-01T00:00:00"/>
    <n v="8844854"/>
    <s v="Actualizar registos no portal da empresa"/>
  </r>
  <r>
    <s v="COMP-273"/>
    <x v="4"/>
    <s v="Proteção Explosão"/>
    <d v="2026-02-15T00:00:00"/>
    <x v="0"/>
    <s v="Auditoria Interna"/>
    <d v="2027-10-05T00:00:00"/>
    <n v="7815664"/>
    <s v="Actualizar registos no portal da empresa"/>
  </r>
  <r>
    <s v="COMP-274"/>
    <x v="3"/>
    <s v="Documentação Técnica"/>
    <d v="2026-03-13T00:00:00"/>
    <x v="1"/>
    <s v="ANPG"/>
    <d v="2027-09-07T00:00:00"/>
    <n v="5632928"/>
    <s v="Actualizar registos no portal da empresa"/>
  </r>
  <r>
    <s v="COMP-275"/>
    <x v="2"/>
    <s v="Documentação Técnica"/>
    <d v="2026-03-26T00:00:00"/>
    <x v="2"/>
    <s v="Inspeção Geral do Trabalho"/>
    <d v="2027-11-05T00:00:00"/>
    <n v="7374399"/>
    <s v="Actualizar registos no portal da empresa"/>
  </r>
  <r>
    <s v="COMP-276"/>
    <x v="2"/>
    <s v="Proteção Explosão"/>
    <d v="2026-01-26T00:00:00"/>
    <x v="0"/>
    <s v="Inspeção Geral do Trabalho"/>
    <d v="2027-07-26T00:00:00"/>
    <n v="9603611"/>
    <s v="Actualizar registos no portal da empresa"/>
  </r>
  <r>
    <s v="COMP-277"/>
    <x v="1"/>
    <s v="Documentação Técnica"/>
    <d v="2026-03-26T00:00:00"/>
    <x v="2"/>
    <s v="INEE (Instituto Nacional de Estradas)"/>
    <d v="2027-11-16T00:00:00"/>
    <n v="6360616"/>
    <s v="Actualizar registos no portal da empresa"/>
  </r>
  <r>
    <s v="COMP-278"/>
    <x v="3"/>
    <s v="Documentação Técnica"/>
    <d v="2026-03-06T00:00:00"/>
    <x v="0"/>
    <s v="Auditoria Interna"/>
    <d v="2027-05-19T00:00:00"/>
    <n v="2775598"/>
    <s v="Actualizar registos no portal da empresa"/>
  </r>
  <r>
    <s v="COMP-279"/>
    <x v="2"/>
    <s v="Documentação Técnica"/>
    <d v="2026-05-14T00:00:00"/>
    <x v="0"/>
    <s v="INEE (Instituto Nacional de Estradas)"/>
    <d v="2027-10-06T00:00:00"/>
    <n v="5392571"/>
    <s v="Actualizar registos no portal da empresa"/>
  </r>
  <r>
    <s v="COMP-280"/>
    <x v="3"/>
    <s v="Calibração"/>
    <d v="2026-04-25T00:00:00"/>
    <x v="2"/>
    <s v="ANPG"/>
    <d v="2027-02-02T00:00:00"/>
    <n v="4991260"/>
    <s v="Actualizar registos no portal da empresa"/>
  </r>
  <r>
    <s v="COMP-281"/>
    <x v="0"/>
    <s v="Documentação Técnica"/>
    <d v="2026-03-05T00:00:00"/>
    <x v="0"/>
    <s v="INEE (Instituto Nacional de Estradas)"/>
    <d v="2027-11-04T00:00:00"/>
    <n v="9724610"/>
    <s v="Actualizar registos no portal da empresa"/>
  </r>
  <r>
    <s v="COMP-282"/>
    <x v="4"/>
    <s v="Calibração"/>
    <d v="2026-03-28T00:00:00"/>
    <x v="2"/>
    <s v="INEE (Instituto Nacional de Estradas)"/>
    <d v="2027-01-17T00:00:00"/>
    <n v="9279116"/>
    <s v="Actualizar registos no portal da empresa"/>
  </r>
  <r>
    <s v="COMP-283"/>
    <x v="4"/>
    <s v="Calibração"/>
    <d v="2026-04-17T00:00:00"/>
    <x v="0"/>
    <s v="INEE (Instituto Nacional de Estradas)"/>
    <d v="2027-02-25T00:00:00"/>
    <n v="6448491"/>
    <s v="Actualizar registos no portal da empresa"/>
  </r>
  <r>
    <s v="COMP-284"/>
    <x v="4"/>
    <s v="Documentação Técnica"/>
    <d v="2026-04-06T00:00:00"/>
    <x v="0"/>
    <s v="Auditoria Interna"/>
    <d v="2027-04-21T00:00:00"/>
    <n v="536160"/>
    <s v="Actualizar registos no portal da empresa"/>
  </r>
  <r>
    <s v="COMP-285"/>
    <x v="3"/>
    <s v="Documentação Técnica"/>
    <d v="2026-03-18T00:00:00"/>
    <x v="2"/>
    <s v="ANPG"/>
    <d v="2027-01-04T00:00:00"/>
    <n v="519156"/>
    <s v="Actualizar registos no portal da empresa"/>
  </r>
  <r>
    <s v="COMP-286"/>
    <x v="3"/>
    <s v="Calibração"/>
    <d v="2026-05-26T00:00:00"/>
    <x v="0"/>
    <s v="INEE (Instituto Nacional de Estradas)"/>
    <d v="2027-06-30T00:00:00"/>
    <n v="7916240"/>
    <s v="Actualizar registos no portal da empresa"/>
  </r>
  <r>
    <s v="COMP-287"/>
    <x v="1"/>
    <s v="Calibração"/>
    <d v="2026-03-28T00:00:00"/>
    <x v="2"/>
    <s v="Auditoria Interna"/>
    <d v="2027-01-12T00:00:00"/>
    <n v="3070348"/>
    <s v="Actualizar registos no portal da empresa"/>
  </r>
  <r>
    <s v="COMP-288"/>
    <x v="4"/>
    <s v="Documentação Técnica"/>
    <d v="2026-05-29T00:00:00"/>
    <x v="2"/>
    <s v="ANPG"/>
    <d v="2027-12-04T00:00:00"/>
    <n v="3062688"/>
    <s v="Actualizar registos no portal da empresa"/>
  </r>
  <r>
    <s v="COMP-289"/>
    <x v="1"/>
    <s v="Documentação Técnica"/>
    <d v="2026-02-26T00:00:00"/>
    <x v="0"/>
    <s v="Inspeção Geral do Trabalho"/>
    <d v="2027-10-11T00:00:00"/>
    <n v="7464745"/>
    <s v="Actualizar registos no portal da empresa"/>
  </r>
  <r>
    <s v="COMP-290"/>
    <x v="4"/>
    <s v="Proteção Explosão"/>
    <d v="2026-04-13T00:00:00"/>
    <x v="0"/>
    <s v="INEE (Instituto Nacional de Estradas)"/>
    <d v="2027-09-15T00:00:00"/>
    <n v="5974106"/>
    <s v="Actualizar registos no portal da empresa"/>
  </r>
  <r>
    <s v="COMP-291"/>
    <x v="1"/>
    <s v="Calibração"/>
    <d v="2026-04-01T00:00:00"/>
    <x v="0"/>
    <s v="ANPG"/>
    <d v="2027-03-30T00:00:00"/>
    <n v="8295807"/>
    <s v="Actualizar registos no portal da empresa"/>
  </r>
  <r>
    <s v="COMP-292"/>
    <x v="1"/>
    <s v="Calibração"/>
    <d v="2026-02-14T00:00:00"/>
    <x v="0"/>
    <s v="INEE (Instituto Nacional de Estradas)"/>
    <d v="2027-04-13T00:00:00"/>
    <n v="5414005"/>
    <s v="Actualizar registos no portal da empresa"/>
  </r>
  <r>
    <s v="COMP-293"/>
    <x v="0"/>
    <s v="Proteção Explosão"/>
    <d v="2026-03-29T00:00:00"/>
    <x v="0"/>
    <s v="Inspeção Geral do Trabalho"/>
    <d v="2027-07-04T00:00:00"/>
    <n v="1381809"/>
    <s v="Actualizar registos no portal da empresa"/>
  </r>
  <r>
    <s v="COMP-294"/>
    <x v="1"/>
    <s v="Calibração"/>
    <d v="2026-04-25T00:00:00"/>
    <x v="0"/>
    <s v="ANPG"/>
    <d v="2027-09-06T00:00:00"/>
    <n v="4999311"/>
    <s v="Actualizar registos no portal da empresa"/>
  </r>
  <r>
    <s v="COMP-295"/>
    <x v="3"/>
    <s v="Segurança Industrial"/>
    <d v="2026-02-16T00:00:00"/>
    <x v="0"/>
    <s v="Auditoria Interna"/>
    <d v="2027-09-11T00:00:00"/>
    <n v="9625805"/>
    <s v="Actualizar registos no portal da empresa"/>
  </r>
  <r>
    <s v="COMP-296"/>
    <x v="1"/>
    <s v="Calibração"/>
    <d v="2026-05-15T00:00:00"/>
    <x v="0"/>
    <s v="ANPG"/>
    <d v="2027-03-16T00:00:00"/>
    <n v="6856895"/>
    <s v="Actualizar registos no portal da empresa"/>
  </r>
  <r>
    <s v="COMP-297"/>
    <x v="4"/>
    <s v="Proteção Explosão"/>
    <d v="2026-02-19T00:00:00"/>
    <x v="2"/>
    <s v="Auditoria Interna"/>
    <d v="2027-04-17T00:00:00"/>
    <n v="4308282"/>
    <s v="Actualizar registos no portal da empresa"/>
  </r>
  <r>
    <s v="COMP-298"/>
    <x v="1"/>
    <s v="Segurança Industrial"/>
    <d v="2026-03-25T00:00:00"/>
    <x v="2"/>
    <s v="ANPG"/>
    <d v="2027-06-04T00:00:00"/>
    <n v="1145649"/>
    <s v="Actualizar registos no portal da empresa"/>
  </r>
  <r>
    <s v="COMP-299"/>
    <x v="2"/>
    <s v="Documentação Técnica"/>
    <d v="2026-04-01T00:00:00"/>
    <x v="1"/>
    <s v="Auditoria Interna"/>
    <d v="2027-03-22T00:00:00"/>
    <n v="9101594"/>
    <s v="Actualizar registos no portal da empresa"/>
  </r>
  <r>
    <s v="COMP-300"/>
    <x v="4"/>
    <s v="Proteção Explosão"/>
    <d v="2026-05-14T00:00:00"/>
    <x v="0"/>
    <s v="Inspeção Geral do Trabalho"/>
    <d v="2027-03-17T00:00:00"/>
    <n v="6625488"/>
    <s v="Actualizar registos no portal da empres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0">
  <r>
    <x v="0"/>
    <n v="1"/>
    <d v="2026-04-22T00:00:00"/>
    <s v="PT-118"/>
    <x v="0"/>
    <s v="Zaire"/>
    <s v="Refinaria"/>
    <s v="Eng. Manuel Santos"/>
    <s v="Calibração"/>
    <x v="0"/>
    <n v="1237169"/>
    <s v="Verificar selos de calibração"/>
  </r>
  <r>
    <x v="1"/>
    <n v="1"/>
    <d v="2026-06-13T00:00:00"/>
    <s v="PT-119"/>
    <x v="1"/>
    <s v="Zaire"/>
    <s v="Terminal Oceânico"/>
    <s v="Eng. Helder Lucas"/>
    <s v="Preventiva"/>
    <x v="0"/>
    <n v="615609"/>
    <s v="Verificar selos de calibração"/>
  </r>
  <r>
    <x v="2"/>
    <n v="1"/>
    <d v="2026-05-27T00:00:00"/>
    <s v="PT-124"/>
    <x v="1"/>
    <s v="Zaire"/>
    <s v="Plataforma Offshore"/>
    <s v="Téc. João Neto"/>
    <s v="Calibração"/>
    <x v="1"/>
    <n v="190905"/>
    <s v="Verificar selos de calibração"/>
  </r>
  <r>
    <x v="3"/>
    <n v="1"/>
    <d v="2026-06-21T00:00:00"/>
    <s v="PT-134"/>
    <x v="2"/>
    <s v="Zaire"/>
    <s v="Central Hídrica"/>
    <s v="Eng.ª Maria Pemba"/>
    <s v="Calibração"/>
    <x v="1"/>
    <n v="215937"/>
    <s v="Verificar selos de calibração"/>
  </r>
  <r>
    <x v="4"/>
    <n v="1"/>
    <d v="2026-02-04T00:00:00"/>
    <s v="PT-135"/>
    <x v="3"/>
    <s v="Zaire"/>
    <s v="Refinaria"/>
    <s v="Eng.ª Maria Pemba"/>
    <s v="Preventiva"/>
    <x v="0"/>
    <n v="938036"/>
    <s v="Verificar selos de calibração"/>
  </r>
  <r>
    <x v="5"/>
    <n v="1"/>
    <d v="2026-03-23T00:00:00"/>
    <s v="PT-141"/>
    <x v="4"/>
    <s v="Zaire"/>
    <s v="Fábrica de Cimento"/>
    <s v="Eng. Manuel Santos"/>
    <s v="Calibração"/>
    <x v="1"/>
    <n v="352929"/>
    <s v="Verificar selos de calibração"/>
  </r>
  <r>
    <x v="6"/>
    <n v="1"/>
    <d v="2026-01-03T00:00:00"/>
    <s v="PT-142"/>
    <x v="4"/>
    <s v="Zaire"/>
    <s v="Plataforma Offshore"/>
    <s v="Eng. Helder Lucas"/>
    <s v="Preditiva"/>
    <x v="0"/>
    <n v="238490"/>
    <s v="Verificar selos de calibração"/>
  </r>
  <r>
    <x v="7"/>
    <n v="1"/>
    <d v="2026-03-03T00:00:00"/>
    <s v="PT-147"/>
    <x v="1"/>
    <s v="Zaire"/>
    <s v="Plataforma Offshore"/>
    <s v="Eng. Manuel Santos"/>
    <s v="Calibração"/>
    <x v="0"/>
    <n v="154195"/>
    <s v="Verificar selos de calibração"/>
  </r>
  <r>
    <x v="8"/>
    <n v="1"/>
    <d v="2026-05-11T00:00:00"/>
    <s v="PT-148"/>
    <x v="3"/>
    <s v="Zaire"/>
    <s v="Refinaria"/>
    <s v="Eng.ª Maria Pemba"/>
    <s v="Calibração"/>
    <x v="0"/>
    <n v="1436992"/>
    <s v="Verificar selos de calibração"/>
  </r>
  <r>
    <x v="9"/>
    <n v="1"/>
    <d v="2026-06-10T00:00:00"/>
    <s v="PT-156"/>
    <x v="5"/>
    <s v="Zaire"/>
    <s v="Central Hídrica"/>
    <s v="Eng. Manuel Santos"/>
    <s v="Calibração"/>
    <x v="0"/>
    <n v="1194620"/>
    <s v="Verificar selos de calibração"/>
  </r>
  <r>
    <x v="10"/>
    <n v="1"/>
    <d v="2026-01-21T00:00:00"/>
    <s v="PT-157"/>
    <x v="5"/>
    <s v="Zaire"/>
    <s v="Plataforma Offshore"/>
    <s v="Eng. Helder Lucas"/>
    <s v="Preventiva"/>
    <x v="0"/>
    <n v="618926"/>
    <s v="Verificar selos de calibração"/>
  </r>
  <r>
    <x v="11"/>
    <n v="1"/>
    <d v="2026-02-23T00:00:00"/>
    <s v="PT-157"/>
    <x v="5"/>
    <s v="Zaire"/>
    <s v="Central Hídrica"/>
    <s v="Eng. Helder Lucas"/>
    <s v="Preditiva"/>
    <x v="0"/>
    <n v="398688"/>
    <s v="Verificar selos de calibração"/>
  </r>
  <r>
    <x v="12"/>
    <n v="1"/>
    <d v="2026-04-05T00:00:00"/>
    <s v="PT-157"/>
    <x v="4"/>
    <s v="Zaire"/>
    <s v="Central Hídrica"/>
    <s v="Eng.ª Maria Pemba"/>
    <s v="Preventiva"/>
    <x v="0"/>
    <n v="742095"/>
    <s v="Verificar selos de calibração"/>
  </r>
  <r>
    <x v="13"/>
    <n v="1"/>
    <d v="2026-05-26T00:00:00"/>
    <s v="PT-162"/>
    <x v="5"/>
    <s v="Zaire"/>
    <s v="Plataforma Offshore"/>
    <s v="Eng.ª Maria Pemba"/>
    <s v="Calibração"/>
    <x v="0"/>
    <n v="596015"/>
    <s v="Verificar selos de calibração"/>
  </r>
  <r>
    <x v="14"/>
    <n v="1"/>
    <d v="2026-05-25T00:00:00"/>
    <s v="PT-179"/>
    <x v="3"/>
    <s v="Zaire"/>
    <s v="Refinaria"/>
    <s v="Eng.ª Maria Pemba"/>
    <s v="Calibração"/>
    <x v="1"/>
    <n v="670399"/>
    <s v="Verificar selos de calibração"/>
  </r>
  <r>
    <x v="15"/>
    <n v="1"/>
    <d v="2026-04-13T00:00:00"/>
    <s v="PT-185"/>
    <x v="5"/>
    <s v="Zaire"/>
    <s v="Plataforma Offshore"/>
    <s v="Téc. António Costa"/>
    <s v="Preditiva"/>
    <x v="0"/>
    <n v="348871"/>
    <s v="Verificar selos de calibração"/>
  </r>
  <r>
    <x v="16"/>
    <n v="1"/>
    <d v="2026-02-06T00:00:00"/>
    <s v="PT-188"/>
    <x v="2"/>
    <s v="Zaire"/>
    <s v="Central Hídrica"/>
    <s v="Téc. João Neto"/>
    <s v="Calibração"/>
    <x v="0"/>
    <n v="766987"/>
    <s v="Verificar selos de calibração"/>
  </r>
  <r>
    <x v="17"/>
    <n v="1"/>
    <d v="2026-04-14T00:00:00"/>
    <s v="PT-190"/>
    <x v="4"/>
    <s v="Zaire"/>
    <s v="Central Hídrica"/>
    <s v="Téc. António Costa"/>
    <s v="Calibração"/>
    <x v="0"/>
    <n v="256487"/>
    <s v="Verificar selos de calibração"/>
  </r>
  <r>
    <x v="18"/>
    <n v="1"/>
    <d v="2026-05-19T00:00:00"/>
    <s v="PT-199"/>
    <x v="5"/>
    <s v="Zaire"/>
    <s v="Fábrica de Cimento"/>
    <s v="Eng. Manuel Santos"/>
    <s v="Calibração"/>
    <x v="0"/>
    <n v="742841"/>
    <s v="Verificar selos de calibração"/>
  </r>
  <r>
    <x v="19"/>
    <n v="1"/>
    <d v="2026-05-01T00:00:00"/>
    <s v="PT-200"/>
    <x v="1"/>
    <s v="Zaire"/>
    <s v="Terminal Oceânico"/>
    <s v="Eng. Manuel Santos"/>
    <s v="Preventiva"/>
    <x v="1"/>
    <n v="178046"/>
    <s v="Verificar selos de calibração"/>
  </r>
  <r>
    <x v="20"/>
    <n v="1"/>
    <d v="2026-02-21T00:00:00"/>
    <s v="PT-213"/>
    <x v="4"/>
    <s v="Zaire"/>
    <s v="Plataforma Offshore"/>
    <s v="Eng.ª Maria Pemba"/>
    <s v="Preventiva"/>
    <x v="1"/>
    <n v="1121860"/>
    <s v="Verificar selos de calibração"/>
  </r>
  <r>
    <x v="21"/>
    <n v="1"/>
    <d v="2026-01-09T00:00:00"/>
    <s v="PT-223"/>
    <x v="0"/>
    <s v="Zaire"/>
    <s v="Refinaria"/>
    <s v="Téc. João Neto"/>
    <s v="Calibração"/>
    <x v="0"/>
    <n v="195016"/>
    <s v="Verificar selos de calibração"/>
  </r>
  <r>
    <x v="22"/>
    <n v="1"/>
    <d v="2026-06-27T00:00:00"/>
    <s v="PT-232"/>
    <x v="2"/>
    <s v="Zaire"/>
    <s v="Central Hídrica"/>
    <s v="Téc. João Neto"/>
    <s v="Calibração"/>
    <x v="0"/>
    <n v="883731"/>
    <s v="Verificar selos de calibração"/>
  </r>
  <r>
    <x v="23"/>
    <n v="1"/>
    <d v="2026-04-27T00:00:00"/>
    <s v="PT-246"/>
    <x v="0"/>
    <s v="Zaire"/>
    <s v="Refinaria"/>
    <s v="Eng. Helder Lucas"/>
    <s v="Preditiva"/>
    <x v="0"/>
    <n v="342985"/>
    <s v="Verificar selos de calibração"/>
  </r>
  <r>
    <x v="24"/>
    <n v="1"/>
    <d v="2026-06-07T00:00:00"/>
    <s v="PT-246"/>
    <x v="2"/>
    <s v="Zaire"/>
    <s v="Plataforma Offshore"/>
    <s v="Téc. João Neto"/>
    <s v="Calibração"/>
    <x v="0"/>
    <n v="1319671"/>
    <s v="Verificar selos de calibração"/>
  </r>
  <r>
    <x v="25"/>
    <n v="1"/>
    <d v="2026-03-28T00:00:00"/>
    <s v="PT-250"/>
    <x v="0"/>
    <s v="Zaire"/>
    <s v="Fábrica de Cimento"/>
    <s v="Eng. Manuel Santos"/>
    <s v="Calibração"/>
    <x v="0"/>
    <n v="210381"/>
    <s v="Verificar selos de calibração"/>
  </r>
  <r>
    <x v="26"/>
    <n v="1"/>
    <d v="2026-01-30T00:00:00"/>
    <s v="PT-251"/>
    <x v="2"/>
    <s v="Zaire"/>
    <s v="Fábrica de Cimento"/>
    <s v="Eng.ª Maria Pemba"/>
    <s v="Preventiva"/>
    <x v="0"/>
    <n v="83787"/>
    <s v="Verificar selos de calibração"/>
  </r>
  <r>
    <x v="27"/>
    <n v="1"/>
    <d v="2026-03-25T00:00:00"/>
    <s v="PT-259"/>
    <x v="2"/>
    <s v="Zaire"/>
    <s v="Plataforma Offshore"/>
    <s v="Téc. António Costa"/>
    <s v="Calibração"/>
    <x v="1"/>
    <n v="983688"/>
    <s v="Verificar selos de calibração"/>
  </r>
  <r>
    <x v="28"/>
    <n v="1"/>
    <d v="2026-05-31T00:00:00"/>
    <s v="PT-262"/>
    <x v="5"/>
    <s v="Zaire"/>
    <s v="Fábrica de Cimento"/>
    <s v="Téc. João Neto"/>
    <s v="Calibração"/>
    <x v="2"/>
    <n v="1115649"/>
    <s v="Verificar selos de calibração"/>
  </r>
  <r>
    <x v="29"/>
    <n v="1"/>
    <d v="2026-02-22T00:00:00"/>
    <s v="PT-271"/>
    <x v="2"/>
    <s v="Zaire"/>
    <s v="Plataforma Offshore"/>
    <s v="Téc. António Costa"/>
    <s v="Preditiva"/>
    <x v="1"/>
    <n v="356094"/>
    <s v="Verificar selos de calibração"/>
  </r>
  <r>
    <x v="30"/>
    <n v="1"/>
    <d v="2026-03-14T00:00:00"/>
    <s v="PT-273"/>
    <x v="5"/>
    <s v="Zaire"/>
    <s v="Plataforma Offshore"/>
    <s v="Eng. Helder Lucas"/>
    <s v="Calibração"/>
    <x v="0"/>
    <n v="534814"/>
    <s v="Verificar selos de calibração"/>
  </r>
  <r>
    <x v="31"/>
    <n v="1"/>
    <d v="2026-02-17T00:00:00"/>
    <s v="PT-273"/>
    <x v="3"/>
    <s v="Zaire"/>
    <s v="Plataforma Offshore"/>
    <s v="Eng. Manuel Santos"/>
    <s v="Preditiva"/>
    <x v="2"/>
    <n v="545479"/>
    <s v="Verificar selos de calibração"/>
  </r>
  <r>
    <x v="32"/>
    <n v="1"/>
    <d v="2026-03-16T00:00:00"/>
    <s v="PT-277"/>
    <x v="5"/>
    <s v="Zaire"/>
    <s v="Terminal Oceânico"/>
    <s v="Eng. Manuel Santos"/>
    <s v="Calibração"/>
    <x v="0"/>
    <n v="595909"/>
    <s v="Verificar selos de calibração"/>
  </r>
  <r>
    <x v="33"/>
    <n v="1"/>
    <d v="2026-02-17T00:00:00"/>
    <s v="PT-279"/>
    <x v="0"/>
    <s v="Zaire"/>
    <s v="Terminal Oceânico"/>
    <s v="Téc. João Neto"/>
    <s v="Preventiva"/>
    <x v="0"/>
    <n v="810109"/>
    <s v="Verificar selos de calibração"/>
  </r>
  <r>
    <x v="34"/>
    <n v="1"/>
    <d v="2026-02-22T00:00:00"/>
    <s v="PT-282"/>
    <x v="0"/>
    <s v="Zaire"/>
    <s v="Refinaria"/>
    <s v="Téc. João Neto"/>
    <s v="Preditiva"/>
    <x v="0"/>
    <n v="880051"/>
    <s v="Verificar selos de calibração"/>
  </r>
  <r>
    <x v="35"/>
    <n v="1"/>
    <d v="2026-04-14T00:00:00"/>
    <s v="PT-288"/>
    <x v="2"/>
    <s v="Zaire"/>
    <s v="Terminal Oceânico"/>
    <s v="Téc. João Neto"/>
    <s v="Preditiva"/>
    <x v="2"/>
    <n v="1388486"/>
    <s v="Verificar selos de calibração"/>
  </r>
  <r>
    <x v="36"/>
    <n v="1"/>
    <d v="2026-03-09T00:00:00"/>
    <s v="PT-290"/>
    <x v="0"/>
    <s v="Zaire"/>
    <s v="Refinaria"/>
    <s v="Téc. João Neto"/>
    <s v="Calibração"/>
    <x v="0"/>
    <n v="1307669"/>
    <s v="Verificar selos de calibração"/>
  </r>
  <r>
    <x v="37"/>
    <n v="1"/>
    <d v="2026-02-04T00:00:00"/>
    <s v="PT-291"/>
    <x v="5"/>
    <s v="Zaire"/>
    <s v="Fábrica de Cimento"/>
    <s v="Eng. Helder Lucas"/>
    <s v="Preditiva"/>
    <x v="1"/>
    <n v="1076630"/>
    <s v="Verificar selos de calibração"/>
  </r>
  <r>
    <x v="38"/>
    <n v="1"/>
    <d v="2026-01-15T00:00:00"/>
    <s v="PT-295"/>
    <x v="5"/>
    <s v="Zaire"/>
    <s v="Fábrica de Cimento"/>
    <s v="Eng. Helder Lucas"/>
    <s v="Preventiva"/>
    <x v="0"/>
    <n v="716165"/>
    <s v="Verificar selos de calibração"/>
  </r>
  <r>
    <x v="39"/>
    <n v="1"/>
    <d v="2026-03-25T00:00:00"/>
    <s v="PT-301"/>
    <x v="1"/>
    <s v="Zaire"/>
    <s v="Plataforma Offshore"/>
    <s v="Eng. Helder Lucas"/>
    <s v="Preditiva"/>
    <x v="0"/>
    <n v="147852"/>
    <s v="Verificar selos de calibração"/>
  </r>
  <r>
    <x v="40"/>
    <n v="1"/>
    <d v="2026-03-04T00:00:00"/>
    <s v="PT-303"/>
    <x v="3"/>
    <s v="Zaire"/>
    <s v="Terminal Oceânico"/>
    <s v="Téc. João Neto"/>
    <s v="Calibração"/>
    <x v="1"/>
    <n v="946816"/>
    <s v="Verificar selos de calibração"/>
  </r>
  <r>
    <x v="41"/>
    <n v="1"/>
    <d v="2026-02-11T00:00:00"/>
    <s v="PT-320"/>
    <x v="1"/>
    <s v="Zaire"/>
    <s v="Fábrica de Cimento"/>
    <s v="Téc. João Neto"/>
    <s v="Preventiva"/>
    <x v="1"/>
    <n v="165359"/>
    <s v="Verificar selos de calibração"/>
  </r>
  <r>
    <x v="42"/>
    <n v="1"/>
    <d v="2026-05-09T00:00:00"/>
    <s v="PT-322"/>
    <x v="3"/>
    <s v="Zaire"/>
    <s v="Refinaria"/>
    <s v="Téc. António Costa"/>
    <s v="Preditiva"/>
    <x v="1"/>
    <n v="416008"/>
    <s v="Verificar selos de calibração"/>
  </r>
  <r>
    <x v="43"/>
    <n v="1"/>
    <d v="2026-04-25T00:00:00"/>
    <s v="PT-328"/>
    <x v="4"/>
    <s v="Zaire"/>
    <s v="Refinaria"/>
    <s v="Téc. António Costa"/>
    <s v="Preditiva"/>
    <x v="0"/>
    <n v="143269"/>
    <s v="Verificar selos de calibração"/>
  </r>
  <r>
    <x v="44"/>
    <n v="1"/>
    <d v="2026-04-09T00:00:00"/>
    <s v="PT-334"/>
    <x v="3"/>
    <s v="Zaire"/>
    <s v="Refinaria"/>
    <s v="Téc. João Neto"/>
    <s v="Preventiva"/>
    <x v="1"/>
    <n v="975431"/>
    <s v="Verificar selos de calibração"/>
  </r>
  <r>
    <x v="45"/>
    <n v="1"/>
    <d v="2026-01-29T00:00:00"/>
    <s v="PT-349"/>
    <x v="2"/>
    <s v="Zaire"/>
    <s v="Refinaria"/>
    <s v="Eng. Helder Lucas"/>
    <s v="Preditiva"/>
    <x v="0"/>
    <n v="743221"/>
    <s v="Verificar selos de calibração"/>
  </r>
  <r>
    <x v="46"/>
    <n v="1"/>
    <d v="2026-02-22T00:00:00"/>
    <s v="PT-363"/>
    <x v="5"/>
    <s v="Zaire"/>
    <s v="Refinaria"/>
    <s v="Téc. António Costa"/>
    <s v="Calibração"/>
    <x v="0"/>
    <n v="481116"/>
    <s v="Verificar selos de calibração"/>
  </r>
  <r>
    <x v="47"/>
    <n v="1"/>
    <d v="2026-01-27T00:00:00"/>
    <s v="PT-367"/>
    <x v="5"/>
    <s v="Zaire"/>
    <s v="Refinaria"/>
    <s v="Téc. João Neto"/>
    <s v="Calibração"/>
    <x v="0"/>
    <n v="789290"/>
    <s v="Verificar selos de calibração"/>
  </r>
  <r>
    <x v="48"/>
    <n v="1"/>
    <d v="2026-03-12T00:00:00"/>
    <s v="PT-368"/>
    <x v="4"/>
    <s v="Zaire"/>
    <s v="Terminal Oceânico"/>
    <s v="Eng. Manuel Santos"/>
    <s v="Preditiva"/>
    <x v="2"/>
    <n v="1476445"/>
    <s v="Verificar selos de calibração"/>
  </r>
  <r>
    <x v="49"/>
    <n v="1"/>
    <d v="2026-05-03T00:00:00"/>
    <s v="PT-378"/>
    <x v="0"/>
    <s v="Zaire"/>
    <s v="Central Hídrica"/>
    <s v="Eng. Helder Lucas"/>
    <s v="Preventiva"/>
    <x v="1"/>
    <n v="674771"/>
    <s v="Verificar selos de calibração"/>
  </r>
  <r>
    <x v="50"/>
    <n v="1"/>
    <d v="2026-02-27T00:00:00"/>
    <s v="PT-379"/>
    <x v="1"/>
    <s v="Zaire"/>
    <s v="Plataforma Offshore"/>
    <s v="Eng. Manuel Santos"/>
    <s v="Preditiva"/>
    <x v="1"/>
    <n v="394710"/>
    <s v="Verificar selos de calibração"/>
  </r>
  <r>
    <x v="51"/>
    <n v="1"/>
    <d v="2026-05-11T00:00:00"/>
    <s v="PT-380"/>
    <x v="2"/>
    <s v="Zaire"/>
    <s v="Central Hídrica"/>
    <s v="Téc. António Costa"/>
    <s v="Preventiva"/>
    <x v="1"/>
    <n v="1078308"/>
    <s v="Verificar selos de calibração"/>
  </r>
  <r>
    <x v="52"/>
    <n v="1"/>
    <d v="2026-04-17T00:00:00"/>
    <s v="PT-382"/>
    <x v="0"/>
    <s v="Zaire"/>
    <s v="Plataforma Offshore"/>
    <s v="Eng.ª Maria Pemba"/>
    <s v="Preventiva"/>
    <x v="1"/>
    <n v="913403"/>
    <s v="Verificar selos de calibração"/>
  </r>
  <r>
    <x v="53"/>
    <n v="1"/>
    <d v="2026-03-13T00:00:00"/>
    <s v="PT-100"/>
    <x v="1"/>
    <s v="Luanda"/>
    <s v="Terminal Oceânico"/>
    <s v="Téc. António Costa"/>
    <s v="Preventiva"/>
    <x v="0"/>
    <n v="597993"/>
    <s v="Verificar selos de calibração"/>
  </r>
  <r>
    <x v="54"/>
    <n v="1"/>
    <d v="2026-06-18T00:00:00"/>
    <s v="PT-100"/>
    <x v="5"/>
    <s v="Luanda"/>
    <s v="Terminal Oceânico"/>
    <s v="Téc. António Costa"/>
    <s v="Calibração"/>
    <x v="0"/>
    <n v="833301"/>
    <s v="Verificar selos de calibração"/>
  </r>
  <r>
    <x v="55"/>
    <n v="1"/>
    <d v="2026-02-17T00:00:00"/>
    <s v="PT-104"/>
    <x v="2"/>
    <s v="Luanda"/>
    <s v="Refinaria"/>
    <s v="Eng.ª Maria Pemba"/>
    <s v="Preventiva"/>
    <x v="0"/>
    <n v="1448616"/>
    <s v="Verificar selos de calibração"/>
  </r>
  <r>
    <x v="56"/>
    <n v="1"/>
    <d v="2026-06-24T00:00:00"/>
    <s v="PT-112"/>
    <x v="0"/>
    <s v="Luanda"/>
    <s v="Terminal Oceânico"/>
    <s v="Eng.ª Maria Pemba"/>
    <s v="Preventiva"/>
    <x v="0"/>
    <n v="845928"/>
    <s v="Verificar selos de calibração"/>
  </r>
  <r>
    <x v="57"/>
    <n v="1"/>
    <d v="2026-06-21T00:00:00"/>
    <s v="PT-112"/>
    <x v="3"/>
    <s v="Luanda"/>
    <s v="Terminal Oceânico"/>
    <s v="Eng.ª Maria Pemba"/>
    <s v="Preditiva"/>
    <x v="0"/>
    <n v="700024"/>
    <s v="Verificar selos de calibração"/>
  </r>
  <r>
    <x v="58"/>
    <n v="1"/>
    <d v="2026-04-26T00:00:00"/>
    <s v="PT-118"/>
    <x v="3"/>
    <s v="Luanda"/>
    <s v="Fábrica de Cimento"/>
    <s v="Eng. Manuel Santos"/>
    <s v="Preditiva"/>
    <x v="1"/>
    <n v="524013"/>
    <s v="Verificar selos de calibração"/>
  </r>
  <r>
    <x v="59"/>
    <n v="1"/>
    <d v="2026-01-08T00:00:00"/>
    <s v="PT-125"/>
    <x v="5"/>
    <s v="Luanda"/>
    <s v="Plataforma Offshore"/>
    <s v="Eng. Manuel Santos"/>
    <s v="Preditiva"/>
    <x v="1"/>
    <n v="311486"/>
    <s v="Verificar selos de calibração"/>
  </r>
  <r>
    <x v="60"/>
    <n v="1"/>
    <d v="2026-04-14T00:00:00"/>
    <s v="PT-134"/>
    <x v="2"/>
    <s v="Luanda"/>
    <s v="Terminal Oceânico"/>
    <s v="Eng.ª Maria Pemba"/>
    <s v="Calibração"/>
    <x v="1"/>
    <n v="170029"/>
    <s v="Verificar selos de calibração"/>
  </r>
  <r>
    <x v="61"/>
    <n v="1"/>
    <d v="2026-05-06T00:00:00"/>
    <s v="PT-136"/>
    <x v="3"/>
    <s v="Luanda"/>
    <s v="Terminal Oceânico"/>
    <s v="Eng. Helder Lucas"/>
    <s v="Preventiva"/>
    <x v="0"/>
    <n v="1455568"/>
    <s v="Verificar selos de calibração"/>
  </r>
  <r>
    <x v="62"/>
    <n v="1"/>
    <d v="2026-04-02T00:00:00"/>
    <s v="PT-138"/>
    <x v="1"/>
    <s v="Luanda"/>
    <s v="Plataforma Offshore"/>
    <s v="Eng. Manuel Santos"/>
    <s v="Preventiva"/>
    <x v="2"/>
    <n v="79725"/>
    <s v="Verificar selos de calibração"/>
  </r>
  <r>
    <x v="63"/>
    <n v="1"/>
    <d v="2026-02-11T00:00:00"/>
    <s v="PT-146"/>
    <x v="3"/>
    <s v="Luanda"/>
    <s v="Fábrica de Cimento"/>
    <s v="Eng.ª Maria Pemba"/>
    <s v="Preditiva"/>
    <x v="1"/>
    <n v="457442"/>
    <s v="Verificar selos de calibração"/>
  </r>
  <r>
    <x v="64"/>
    <n v="1"/>
    <d v="2026-05-28T00:00:00"/>
    <s v="PT-151"/>
    <x v="5"/>
    <s v="Luanda"/>
    <s v="Plataforma Offshore"/>
    <s v="Téc. António Costa"/>
    <s v="Preventiva"/>
    <x v="0"/>
    <n v="1017561"/>
    <s v="Verificar selos de calibração"/>
  </r>
  <r>
    <x v="65"/>
    <n v="1"/>
    <d v="2026-01-24T00:00:00"/>
    <s v="PT-152"/>
    <x v="5"/>
    <s v="Luanda"/>
    <s v="Plataforma Offshore"/>
    <s v="Téc. João Neto"/>
    <s v="Preventiva"/>
    <x v="2"/>
    <n v="571608"/>
    <s v="Verificar selos de calibração"/>
  </r>
  <r>
    <x v="66"/>
    <n v="1"/>
    <d v="2026-06-12T00:00:00"/>
    <s v="PT-157"/>
    <x v="5"/>
    <s v="Luanda"/>
    <s v="Central Hídrica"/>
    <s v="Téc. António Costa"/>
    <s v="Preventiva"/>
    <x v="1"/>
    <n v="466978"/>
    <s v="Verificar selos de calibração"/>
  </r>
  <r>
    <x v="67"/>
    <n v="1"/>
    <d v="2026-01-28T00:00:00"/>
    <s v="PT-157"/>
    <x v="2"/>
    <s v="Luanda"/>
    <s v="Plataforma Offshore"/>
    <s v="Téc. António Costa"/>
    <s v="Calibração"/>
    <x v="0"/>
    <n v="592601"/>
    <s v="Verificar selos de calibração"/>
  </r>
  <r>
    <x v="68"/>
    <n v="1"/>
    <d v="2026-03-31T00:00:00"/>
    <s v="PT-168"/>
    <x v="4"/>
    <s v="Luanda"/>
    <s v="Terminal Oceânico"/>
    <s v="Eng.ª Maria Pemba"/>
    <s v="Calibração"/>
    <x v="0"/>
    <n v="1344929"/>
    <s v="Verificar selos de calibração"/>
  </r>
  <r>
    <x v="69"/>
    <n v="1"/>
    <d v="2026-01-01T00:00:00"/>
    <s v="PT-175"/>
    <x v="0"/>
    <s v="Luanda"/>
    <s v="Plataforma Offshore"/>
    <s v="Eng.ª Maria Pemba"/>
    <s v="Calibração"/>
    <x v="0"/>
    <n v="623156"/>
    <s v="Verificar selos de calibração"/>
  </r>
  <r>
    <x v="70"/>
    <n v="1"/>
    <d v="2026-04-07T00:00:00"/>
    <s v="PT-175"/>
    <x v="1"/>
    <s v="Luanda"/>
    <s v="Refinaria"/>
    <s v="Eng.ª Maria Pemba"/>
    <s v="Preditiva"/>
    <x v="0"/>
    <n v="1464022"/>
    <s v="Verificar selos de calibração"/>
  </r>
  <r>
    <x v="71"/>
    <n v="1"/>
    <d v="2026-03-30T00:00:00"/>
    <s v="PT-194"/>
    <x v="2"/>
    <s v="Luanda"/>
    <s v="Central Hídrica"/>
    <s v="Eng. Helder Lucas"/>
    <s v="Preditiva"/>
    <x v="0"/>
    <n v="834586"/>
    <s v="Verificar selos de calibração"/>
  </r>
  <r>
    <x v="72"/>
    <n v="1"/>
    <d v="2026-05-10T00:00:00"/>
    <s v="PT-195"/>
    <x v="0"/>
    <s v="Luanda"/>
    <s v="Central Hídrica"/>
    <s v="Téc. António Costa"/>
    <s v="Calibração"/>
    <x v="1"/>
    <n v="1386921"/>
    <s v="Verificar selos de calibração"/>
  </r>
  <r>
    <x v="73"/>
    <n v="1"/>
    <d v="2026-03-31T00:00:00"/>
    <s v="PT-198"/>
    <x v="3"/>
    <s v="Luanda"/>
    <s v="Terminal Oceânico"/>
    <s v="Téc. João Neto"/>
    <s v="Preditiva"/>
    <x v="0"/>
    <n v="805678"/>
    <s v="Verificar selos de calibração"/>
  </r>
  <r>
    <x v="74"/>
    <n v="1"/>
    <d v="2026-04-23T00:00:00"/>
    <s v="PT-204"/>
    <x v="5"/>
    <s v="Luanda"/>
    <s v="Refinaria"/>
    <s v="Téc. João Neto"/>
    <s v="Preventiva"/>
    <x v="0"/>
    <n v="572220"/>
    <s v="Verificar selos de calibração"/>
  </r>
  <r>
    <x v="75"/>
    <n v="1"/>
    <d v="2026-06-29T00:00:00"/>
    <s v="PT-214"/>
    <x v="1"/>
    <s v="Luanda"/>
    <s v="Plataforma Offshore"/>
    <s v="Eng.ª Maria Pemba"/>
    <s v="Preventiva"/>
    <x v="0"/>
    <n v="278981"/>
    <s v="Verificar selos de calibração"/>
  </r>
  <r>
    <x v="76"/>
    <n v="1"/>
    <d v="2026-05-19T00:00:00"/>
    <s v="PT-219"/>
    <x v="0"/>
    <s v="Luanda"/>
    <s v="Refinaria"/>
    <s v="Téc. João Neto"/>
    <s v="Calibração"/>
    <x v="1"/>
    <n v="795182"/>
    <s v="Verificar selos de calibração"/>
  </r>
  <r>
    <x v="77"/>
    <n v="1"/>
    <d v="2026-05-15T00:00:00"/>
    <s v="PT-221"/>
    <x v="1"/>
    <s v="Luanda"/>
    <s v="Fábrica de Cimento"/>
    <s v="Téc. João Neto"/>
    <s v="Preventiva"/>
    <x v="0"/>
    <n v="1213490"/>
    <s v="Verificar selos de calibração"/>
  </r>
  <r>
    <x v="78"/>
    <n v="1"/>
    <d v="2026-01-11T00:00:00"/>
    <s v="PT-221"/>
    <x v="4"/>
    <s v="Luanda"/>
    <s v="Central Hídrica"/>
    <s v="Téc. João Neto"/>
    <s v="Preventiva"/>
    <x v="0"/>
    <n v="983396"/>
    <s v="Verificar selos de calibração"/>
  </r>
  <r>
    <x v="79"/>
    <n v="1"/>
    <d v="2026-06-01T00:00:00"/>
    <s v="PT-235"/>
    <x v="1"/>
    <s v="Luanda"/>
    <s v="Fábrica de Cimento"/>
    <s v="Téc. António Costa"/>
    <s v="Preditiva"/>
    <x v="0"/>
    <n v="355035"/>
    <s v="Verificar selos de calibração"/>
  </r>
  <r>
    <x v="80"/>
    <n v="1"/>
    <d v="2026-05-26T00:00:00"/>
    <s v="PT-240"/>
    <x v="1"/>
    <s v="Luanda"/>
    <s v="Fábrica de Cimento"/>
    <s v="Eng.ª Maria Pemba"/>
    <s v="Calibração"/>
    <x v="0"/>
    <n v="1276408"/>
    <s v="Verificar selos de calibração"/>
  </r>
  <r>
    <x v="81"/>
    <n v="1"/>
    <d v="2026-04-14T00:00:00"/>
    <s v="PT-241"/>
    <x v="4"/>
    <s v="Luanda"/>
    <s v="Refinaria"/>
    <s v="Eng. Helder Lucas"/>
    <s v="Preditiva"/>
    <x v="0"/>
    <n v="1032599"/>
    <s v="Verificar selos de calibração"/>
  </r>
  <r>
    <x v="82"/>
    <n v="1"/>
    <d v="2026-04-06T00:00:00"/>
    <s v="PT-250"/>
    <x v="3"/>
    <s v="Luanda"/>
    <s v="Terminal Oceânico"/>
    <s v="Eng. Manuel Santos"/>
    <s v="Preditiva"/>
    <x v="1"/>
    <n v="361877"/>
    <s v="Verificar selos de calibração"/>
  </r>
  <r>
    <x v="83"/>
    <n v="1"/>
    <d v="2026-05-28T00:00:00"/>
    <s v="PT-264"/>
    <x v="2"/>
    <s v="Luanda"/>
    <s v="Refinaria"/>
    <s v="Téc. António Costa"/>
    <s v="Preditiva"/>
    <x v="0"/>
    <n v="603343"/>
    <s v="Verificar selos de calibração"/>
  </r>
  <r>
    <x v="84"/>
    <n v="1"/>
    <d v="2026-01-15T00:00:00"/>
    <s v="PT-269"/>
    <x v="5"/>
    <s v="Luanda"/>
    <s v="Plataforma Offshore"/>
    <s v="Téc. João Neto"/>
    <s v="Preventiva"/>
    <x v="2"/>
    <n v="1178678"/>
    <s v="Verificar selos de calibração"/>
  </r>
  <r>
    <x v="85"/>
    <n v="1"/>
    <d v="2026-05-28T00:00:00"/>
    <s v="PT-272"/>
    <x v="3"/>
    <s v="Luanda"/>
    <s v="Terminal Oceânico"/>
    <s v="Eng.ª Maria Pemba"/>
    <s v="Calibração"/>
    <x v="0"/>
    <n v="588645"/>
    <s v="Verificar selos de calibração"/>
  </r>
  <r>
    <x v="86"/>
    <n v="1"/>
    <d v="2026-03-22T00:00:00"/>
    <s v="PT-276"/>
    <x v="3"/>
    <s v="Luanda"/>
    <s v="Terminal Oceânico"/>
    <s v="Eng. Manuel Santos"/>
    <s v="Preventiva"/>
    <x v="1"/>
    <n v="819097"/>
    <s v="Verificar selos de calibração"/>
  </r>
  <r>
    <x v="87"/>
    <n v="1"/>
    <d v="2026-03-10T00:00:00"/>
    <s v="PT-286"/>
    <x v="3"/>
    <s v="Luanda"/>
    <s v="Plataforma Offshore"/>
    <s v="Eng. Manuel Santos"/>
    <s v="Preventiva"/>
    <x v="1"/>
    <n v="990756"/>
    <s v="Verificar selos de calibração"/>
  </r>
  <r>
    <x v="88"/>
    <n v="1"/>
    <d v="2026-02-28T00:00:00"/>
    <s v="PT-287"/>
    <x v="0"/>
    <s v="Luanda"/>
    <s v="Central Hídrica"/>
    <s v="Eng.ª Maria Pemba"/>
    <s v="Calibração"/>
    <x v="0"/>
    <n v="501157"/>
    <s v="Verificar selos de calibração"/>
  </r>
  <r>
    <x v="89"/>
    <n v="1"/>
    <d v="2026-02-13T00:00:00"/>
    <s v="PT-289"/>
    <x v="0"/>
    <s v="Luanda"/>
    <s v="Central Hídrica"/>
    <s v="Eng. Helder Lucas"/>
    <s v="Preventiva"/>
    <x v="0"/>
    <n v="1193657"/>
    <s v="Verificar selos de calibração"/>
  </r>
  <r>
    <x v="90"/>
    <n v="1"/>
    <d v="2026-01-15T00:00:00"/>
    <s v="PT-290"/>
    <x v="4"/>
    <s v="Luanda"/>
    <s v="Fábrica de Cimento"/>
    <s v="Téc. António Costa"/>
    <s v="Calibração"/>
    <x v="0"/>
    <n v="1315898"/>
    <s v="Verificar selos de calibração"/>
  </r>
  <r>
    <x v="91"/>
    <n v="1"/>
    <d v="2026-05-27T00:00:00"/>
    <s v="PT-293"/>
    <x v="5"/>
    <s v="Luanda"/>
    <s v="Central Hídrica"/>
    <s v="Téc. António Costa"/>
    <s v="Preventiva"/>
    <x v="1"/>
    <n v="500930"/>
    <s v="Verificar selos de calibração"/>
  </r>
  <r>
    <x v="92"/>
    <n v="1"/>
    <d v="2026-02-02T00:00:00"/>
    <s v="PT-302"/>
    <x v="3"/>
    <s v="Luanda"/>
    <s v="Fábrica de Cimento"/>
    <s v="Eng. Helder Lucas"/>
    <s v="Preventiva"/>
    <x v="0"/>
    <n v="456140"/>
    <s v="Verificar selos de calibração"/>
  </r>
  <r>
    <x v="93"/>
    <n v="1"/>
    <d v="2026-04-06T00:00:00"/>
    <s v="PT-317"/>
    <x v="1"/>
    <s v="Luanda"/>
    <s v="Central Hídrica"/>
    <s v="Téc. João Neto"/>
    <s v="Preventiva"/>
    <x v="0"/>
    <n v="1167502"/>
    <s v="Verificar selos de calibração"/>
  </r>
  <r>
    <x v="94"/>
    <n v="1"/>
    <d v="2026-01-02T00:00:00"/>
    <s v="PT-329"/>
    <x v="0"/>
    <s v="Luanda"/>
    <s v="Terminal Oceânico"/>
    <s v="Eng.ª Maria Pemba"/>
    <s v="Preditiva"/>
    <x v="1"/>
    <n v="1044969"/>
    <s v="Verificar selos de calibração"/>
  </r>
  <r>
    <x v="95"/>
    <n v="1"/>
    <d v="2026-01-12T00:00:00"/>
    <s v="PT-338"/>
    <x v="1"/>
    <s v="Luanda"/>
    <s v="Refinaria"/>
    <s v="Eng.ª Maria Pemba"/>
    <s v="Preditiva"/>
    <x v="0"/>
    <n v="153892"/>
    <s v="Verificar selos de calibração"/>
  </r>
  <r>
    <x v="96"/>
    <n v="1"/>
    <d v="2026-05-24T00:00:00"/>
    <s v="PT-338"/>
    <x v="4"/>
    <s v="Luanda"/>
    <s v="Refinaria"/>
    <s v="Téc. António Costa"/>
    <s v="Preventiva"/>
    <x v="0"/>
    <n v="301351"/>
    <s v="Verificar selos de calibração"/>
  </r>
  <r>
    <x v="97"/>
    <n v="1"/>
    <d v="2026-01-13T00:00:00"/>
    <s v="PT-345"/>
    <x v="3"/>
    <s v="Luanda"/>
    <s v="Refinaria"/>
    <s v="Eng.ª Maria Pemba"/>
    <s v="Calibração"/>
    <x v="0"/>
    <n v="819727"/>
    <s v="Verificar selos de calibração"/>
  </r>
  <r>
    <x v="98"/>
    <n v="1"/>
    <d v="2026-06-21T00:00:00"/>
    <s v="PT-346"/>
    <x v="5"/>
    <s v="Luanda"/>
    <s v="Refinaria"/>
    <s v="Téc. António Costa"/>
    <s v="Calibração"/>
    <x v="0"/>
    <n v="154555"/>
    <s v="Verificar selos de calibração"/>
  </r>
  <r>
    <x v="99"/>
    <n v="1"/>
    <d v="2026-03-16T00:00:00"/>
    <s v="PT-351"/>
    <x v="3"/>
    <s v="Luanda"/>
    <s v="Central Hídrica"/>
    <s v="Téc. João Neto"/>
    <s v="Preditiva"/>
    <x v="0"/>
    <n v="179350"/>
    <s v="Verificar selos de calibração"/>
  </r>
  <r>
    <x v="100"/>
    <n v="1"/>
    <d v="2026-04-23T00:00:00"/>
    <s v="PT-352"/>
    <x v="1"/>
    <s v="Luanda"/>
    <s v="Refinaria"/>
    <s v="Eng.ª Maria Pemba"/>
    <s v="Preditiva"/>
    <x v="0"/>
    <n v="100601"/>
    <s v="Verificar selos de calibração"/>
  </r>
  <r>
    <x v="101"/>
    <n v="1"/>
    <d v="2026-04-23T00:00:00"/>
    <s v="PT-374"/>
    <x v="1"/>
    <s v="Luanda"/>
    <s v="Terminal Oceânico"/>
    <s v="Eng.ª Maria Pemba"/>
    <s v="Preditiva"/>
    <x v="0"/>
    <n v="738725"/>
    <s v="Verificar selos de calibração"/>
  </r>
  <r>
    <x v="102"/>
    <n v="1"/>
    <d v="2026-06-16T00:00:00"/>
    <s v="PT-379"/>
    <x v="3"/>
    <s v="Luanda"/>
    <s v="Terminal Oceânico"/>
    <s v="Eng. Manuel Santos"/>
    <s v="Calibração"/>
    <x v="0"/>
    <n v="1276134"/>
    <s v="Verificar selos de calibração"/>
  </r>
  <r>
    <x v="103"/>
    <n v="1"/>
    <d v="2026-03-11T00:00:00"/>
    <s v="PT-383"/>
    <x v="0"/>
    <s v="Luanda"/>
    <s v="Plataforma Offshore"/>
    <s v="Eng. Manuel Santos"/>
    <s v="Preditiva"/>
    <x v="1"/>
    <n v="69675"/>
    <s v="Verificar selos de calibração"/>
  </r>
  <r>
    <x v="104"/>
    <n v="1"/>
    <d v="2026-05-02T00:00:00"/>
    <s v="PT-385"/>
    <x v="3"/>
    <s v="Luanda"/>
    <s v="Terminal Oceânico"/>
    <s v="Eng. Manuel Santos"/>
    <s v="Preventiva"/>
    <x v="0"/>
    <n v="1351367"/>
    <s v="Verificar selos de calibração"/>
  </r>
  <r>
    <x v="105"/>
    <n v="1"/>
    <d v="2026-06-11T00:00:00"/>
    <s v="PT-389"/>
    <x v="3"/>
    <s v="Luanda"/>
    <s v="Terminal Oceânico"/>
    <s v="Eng. Manuel Santos"/>
    <s v="Preventiva"/>
    <x v="0"/>
    <n v="1362743"/>
    <s v="Verificar selos de calibração"/>
  </r>
  <r>
    <x v="106"/>
    <n v="1"/>
    <d v="2026-04-10T00:00:00"/>
    <s v="PT-103"/>
    <x v="4"/>
    <s v="Huíla"/>
    <s v="Central Hídrica"/>
    <s v="Téc. João Neto"/>
    <s v="Calibração"/>
    <x v="1"/>
    <n v="174447"/>
    <s v="Verificar selos de calibração"/>
  </r>
  <r>
    <x v="107"/>
    <n v="1"/>
    <d v="2026-02-07T00:00:00"/>
    <s v="PT-105"/>
    <x v="2"/>
    <s v="Huíla"/>
    <s v="Fábrica de Cimento"/>
    <s v="Eng. Manuel Santos"/>
    <s v="Preditiva"/>
    <x v="1"/>
    <n v="437732"/>
    <s v="Verificar selos de calibração"/>
  </r>
  <r>
    <x v="108"/>
    <n v="1"/>
    <d v="2026-04-22T00:00:00"/>
    <s v="PT-108"/>
    <x v="5"/>
    <s v="Huíla"/>
    <s v="Central Hídrica"/>
    <s v="Eng.ª Maria Pemba"/>
    <s v="Calibração"/>
    <x v="0"/>
    <n v="1337087"/>
    <s v="Verificar selos de calibração"/>
  </r>
  <r>
    <x v="109"/>
    <n v="1"/>
    <d v="2026-05-17T00:00:00"/>
    <s v="PT-111"/>
    <x v="0"/>
    <s v="Huíla"/>
    <s v="Fábrica de Cimento"/>
    <s v="Eng. Manuel Santos"/>
    <s v="Preventiva"/>
    <x v="0"/>
    <n v="554409"/>
    <s v="Verificar selos de calibração"/>
  </r>
  <r>
    <x v="110"/>
    <n v="1"/>
    <d v="2026-03-05T00:00:00"/>
    <s v="PT-117"/>
    <x v="5"/>
    <s v="Huíla"/>
    <s v="Refinaria"/>
    <s v="Eng. Helder Lucas"/>
    <s v="Preventiva"/>
    <x v="0"/>
    <n v="194129"/>
    <s v="Verificar selos de calibração"/>
  </r>
  <r>
    <x v="111"/>
    <n v="1"/>
    <d v="2026-04-13T00:00:00"/>
    <s v="PT-137"/>
    <x v="2"/>
    <s v="Huíla"/>
    <s v="Plataforma Offshore"/>
    <s v="Eng.ª Maria Pemba"/>
    <s v="Preventiva"/>
    <x v="0"/>
    <n v="679720"/>
    <s v="Verificar selos de calibração"/>
  </r>
  <r>
    <x v="112"/>
    <n v="1"/>
    <d v="2026-02-21T00:00:00"/>
    <s v="PT-138"/>
    <x v="1"/>
    <s v="Huíla"/>
    <s v="Terminal Oceânico"/>
    <s v="Eng. Helder Lucas"/>
    <s v="Calibração"/>
    <x v="0"/>
    <n v="367650"/>
    <s v="Verificar selos de calibração"/>
  </r>
  <r>
    <x v="113"/>
    <n v="1"/>
    <d v="2026-04-09T00:00:00"/>
    <s v="PT-138"/>
    <x v="5"/>
    <s v="Huíla"/>
    <s v="Fábrica de Cimento"/>
    <s v="Eng. Helder Lucas"/>
    <s v="Calibração"/>
    <x v="0"/>
    <n v="777067"/>
    <s v="Verificar selos de calibração"/>
  </r>
  <r>
    <x v="114"/>
    <n v="1"/>
    <d v="2026-06-17T00:00:00"/>
    <s v="PT-138"/>
    <x v="1"/>
    <s v="Huíla"/>
    <s v="Plataforma Offshore"/>
    <s v="Eng. Manuel Santos"/>
    <s v="Calibração"/>
    <x v="2"/>
    <n v="317491"/>
    <s v="Verificar selos de calibração"/>
  </r>
  <r>
    <x v="115"/>
    <n v="1"/>
    <d v="2026-04-13T00:00:00"/>
    <s v="PT-143"/>
    <x v="4"/>
    <s v="Huíla"/>
    <s v="Refinaria"/>
    <s v="Eng.ª Maria Pemba"/>
    <s v="Preditiva"/>
    <x v="0"/>
    <n v="1082038"/>
    <s v="Verificar selos de calibração"/>
  </r>
  <r>
    <x v="116"/>
    <n v="1"/>
    <d v="2026-01-21T00:00:00"/>
    <s v="PT-157"/>
    <x v="5"/>
    <s v="Huíla"/>
    <s v="Refinaria"/>
    <s v="Eng. Manuel Santos"/>
    <s v="Calibração"/>
    <x v="0"/>
    <n v="1111716"/>
    <s v="Verificar selos de calibração"/>
  </r>
  <r>
    <x v="117"/>
    <n v="1"/>
    <d v="2026-05-25T00:00:00"/>
    <s v="PT-161"/>
    <x v="1"/>
    <s v="Huíla"/>
    <s v="Terminal Oceânico"/>
    <s v="Téc. João Neto"/>
    <s v="Calibração"/>
    <x v="0"/>
    <n v="1165731"/>
    <s v="Verificar selos de calibração"/>
  </r>
  <r>
    <x v="118"/>
    <n v="1"/>
    <d v="2026-01-02T00:00:00"/>
    <s v="PT-191"/>
    <x v="1"/>
    <s v="Huíla"/>
    <s v="Central Hídrica"/>
    <s v="Eng. Helder Lucas"/>
    <s v="Preditiva"/>
    <x v="1"/>
    <n v="105147"/>
    <s v="Verificar selos de calibração"/>
  </r>
  <r>
    <x v="119"/>
    <n v="1"/>
    <d v="2026-06-09T00:00:00"/>
    <s v="PT-192"/>
    <x v="4"/>
    <s v="Huíla"/>
    <s v="Fábrica de Cimento"/>
    <s v="Eng. Helder Lucas"/>
    <s v="Preditiva"/>
    <x v="0"/>
    <n v="1192384"/>
    <s v="Verificar selos de calibração"/>
  </r>
  <r>
    <x v="120"/>
    <n v="1"/>
    <d v="2026-03-03T00:00:00"/>
    <s v="PT-194"/>
    <x v="4"/>
    <s v="Huíla"/>
    <s v="Terminal Oceânico"/>
    <s v="Téc. António Costa"/>
    <s v="Preventiva"/>
    <x v="0"/>
    <n v="1336980"/>
    <s v="Verificar selos de calibração"/>
  </r>
  <r>
    <x v="121"/>
    <n v="1"/>
    <d v="2026-03-16T00:00:00"/>
    <s v="PT-196"/>
    <x v="3"/>
    <s v="Huíla"/>
    <s v="Terminal Oceânico"/>
    <s v="Eng. Manuel Santos"/>
    <s v="Calibração"/>
    <x v="1"/>
    <n v="1028836"/>
    <s v="Verificar selos de calibração"/>
  </r>
  <r>
    <x v="122"/>
    <n v="1"/>
    <d v="2026-06-09T00:00:00"/>
    <s v="PT-199"/>
    <x v="0"/>
    <s v="Huíla"/>
    <s v="Refinaria"/>
    <s v="Téc. António Costa"/>
    <s v="Preventiva"/>
    <x v="1"/>
    <n v="1239906"/>
    <s v="Verificar selos de calibração"/>
  </r>
  <r>
    <x v="123"/>
    <n v="1"/>
    <d v="2026-06-06T00:00:00"/>
    <s v="PT-202"/>
    <x v="5"/>
    <s v="Huíla"/>
    <s v="Plataforma Offshore"/>
    <s v="Téc. João Neto"/>
    <s v="Preventiva"/>
    <x v="0"/>
    <n v="566409"/>
    <s v="Verificar selos de calibração"/>
  </r>
  <r>
    <x v="124"/>
    <n v="1"/>
    <d v="2026-03-29T00:00:00"/>
    <s v="PT-205"/>
    <x v="5"/>
    <s v="Huíla"/>
    <s v="Terminal Oceânico"/>
    <s v="Téc. António Costa"/>
    <s v="Preditiva"/>
    <x v="0"/>
    <n v="332017"/>
    <s v="Verificar selos de calibração"/>
  </r>
  <r>
    <x v="125"/>
    <n v="1"/>
    <d v="2026-05-04T00:00:00"/>
    <s v="PT-207"/>
    <x v="4"/>
    <s v="Huíla"/>
    <s v="Central Hídrica"/>
    <s v="Eng. Helder Lucas"/>
    <s v="Preventiva"/>
    <x v="1"/>
    <n v="1052403"/>
    <s v="Verificar selos de calibração"/>
  </r>
  <r>
    <x v="126"/>
    <n v="1"/>
    <d v="2026-01-18T00:00:00"/>
    <s v="PT-213"/>
    <x v="4"/>
    <s v="Huíla"/>
    <s v="Fábrica de Cimento"/>
    <s v="Téc. João Neto"/>
    <s v="Preventiva"/>
    <x v="0"/>
    <n v="472955"/>
    <s v="Verificar selos de calibração"/>
  </r>
  <r>
    <x v="127"/>
    <n v="1"/>
    <d v="2026-02-02T00:00:00"/>
    <s v="PT-216"/>
    <x v="3"/>
    <s v="Huíla"/>
    <s v="Plataforma Offshore"/>
    <s v="Eng. Helder Lucas"/>
    <s v="Preventiva"/>
    <x v="0"/>
    <n v="919049"/>
    <s v="Verificar selos de calibração"/>
  </r>
  <r>
    <x v="128"/>
    <n v="1"/>
    <d v="2026-03-23T00:00:00"/>
    <s v="PT-225"/>
    <x v="4"/>
    <s v="Huíla"/>
    <s v="Terminal Oceânico"/>
    <s v="Eng. Helder Lucas"/>
    <s v="Preditiva"/>
    <x v="0"/>
    <n v="95232"/>
    <s v="Verificar selos de calibração"/>
  </r>
  <r>
    <x v="129"/>
    <n v="1"/>
    <d v="2026-02-17T00:00:00"/>
    <s v="PT-225"/>
    <x v="4"/>
    <s v="Huíla"/>
    <s v="Fábrica de Cimento"/>
    <s v="Eng. Manuel Santos"/>
    <s v="Preventiva"/>
    <x v="0"/>
    <n v="1289444"/>
    <s v="Verificar selos de calibração"/>
  </r>
  <r>
    <x v="130"/>
    <n v="1"/>
    <d v="2026-06-02T00:00:00"/>
    <s v="PT-225"/>
    <x v="3"/>
    <s v="Huíla"/>
    <s v="Fábrica de Cimento"/>
    <s v="Eng.ª Maria Pemba"/>
    <s v="Preventiva"/>
    <x v="1"/>
    <n v="728841"/>
    <s v="Verificar selos de calibração"/>
  </r>
  <r>
    <x v="131"/>
    <n v="1"/>
    <d v="2026-02-10T00:00:00"/>
    <s v="PT-228"/>
    <x v="1"/>
    <s v="Huíla"/>
    <s v="Plataforma Offshore"/>
    <s v="Téc. António Costa"/>
    <s v="Preditiva"/>
    <x v="1"/>
    <n v="1333203"/>
    <s v="Verificar selos de calibração"/>
  </r>
  <r>
    <x v="132"/>
    <n v="1"/>
    <d v="2026-06-10T00:00:00"/>
    <s v="PT-231"/>
    <x v="5"/>
    <s v="Huíla"/>
    <s v="Plataforma Offshore"/>
    <s v="Eng.ª Maria Pemba"/>
    <s v="Preditiva"/>
    <x v="2"/>
    <n v="1258948"/>
    <s v="Verificar selos de calibração"/>
  </r>
  <r>
    <x v="133"/>
    <n v="1"/>
    <d v="2026-05-20T00:00:00"/>
    <s v="PT-240"/>
    <x v="1"/>
    <s v="Huíla"/>
    <s v="Fábrica de Cimento"/>
    <s v="Eng. Manuel Santos"/>
    <s v="Calibração"/>
    <x v="0"/>
    <n v="301924"/>
    <s v="Verificar selos de calibração"/>
  </r>
  <r>
    <x v="134"/>
    <n v="1"/>
    <d v="2026-05-22T00:00:00"/>
    <s v="PT-243"/>
    <x v="5"/>
    <s v="Huíla"/>
    <s v="Refinaria"/>
    <s v="Eng. Helder Lucas"/>
    <s v="Preventiva"/>
    <x v="0"/>
    <n v="536275"/>
    <s v="Verificar selos de calibração"/>
  </r>
  <r>
    <x v="135"/>
    <n v="1"/>
    <d v="2026-01-07T00:00:00"/>
    <s v="PT-245"/>
    <x v="4"/>
    <s v="Huíla"/>
    <s v="Plataforma Offshore"/>
    <s v="Téc. João Neto"/>
    <s v="Calibração"/>
    <x v="0"/>
    <n v="116707"/>
    <s v="Verificar selos de calibração"/>
  </r>
  <r>
    <x v="136"/>
    <n v="1"/>
    <d v="2026-05-16T00:00:00"/>
    <s v="PT-246"/>
    <x v="0"/>
    <s v="Huíla"/>
    <s v="Fábrica de Cimento"/>
    <s v="Eng.ª Maria Pemba"/>
    <s v="Calibração"/>
    <x v="2"/>
    <n v="720739"/>
    <s v="Verificar selos de calibração"/>
  </r>
  <r>
    <x v="137"/>
    <n v="1"/>
    <d v="2026-05-15T00:00:00"/>
    <s v="PT-248"/>
    <x v="4"/>
    <s v="Huíla"/>
    <s v="Refinaria"/>
    <s v="Eng.ª Maria Pemba"/>
    <s v="Preditiva"/>
    <x v="0"/>
    <n v="782303"/>
    <s v="Verificar selos de calibração"/>
  </r>
  <r>
    <x v="138"/>
    <n v="1"/>
    <d v="2026-02-23T00:00:00"/>
    <s v="PT-251"/>
    <x v="5"/>
    <s v="Huíla"/>
    <s v="Plataforma Offshore"/>
    <s v="Téc. António Costa"/>
    <s v="Preditiva"/>
    <x v="0"/>
    <n v="200787"/>
    <s v="Verificar selos de calibração"/>
  </r>
  <r>
    <x v="139"/>
    <n v="1"/>
    <d v="2026-01-04T00:00:00"/>
    <s v="PT-252"/>
    <x v="4"/>
    <s v="Huíla"/>
    <s v="Fábrica de Cimento"/>
    <s v="Téc. António Costa"/>
    <s v="Calibração"/>
    <x v="0"/>
    <n v="294839"/>
    <s v="Verificar selos de calibração"/>
  </r>
  <r>
    <x v="140"/>
    <n v="1"/>
    <d v="2026-02-20T00:00:00"/>
    <s v="PT-260"/>
    <x v="0"/>
    <s v="Huíla"/>
    <s v="Fábrica de Cimento"/>
    <s v="Eng. Helder Lucas"/>
    <s v="Calibração"/>
    <x v="0"/>
    <n v="73387"/>
    <s v="Verificar selos de calibração"/>
  </r>
  <r>
    <x v="141"/>
    <n v="1"/>
    <d v="2026-06-15T00:00:00"/>
    <s v="PT-266"/>
    <x v="2"/>
    <s v="Huíla"/>
    <s v="Terminal Oceânico"/>
    <s v="Téc. António Costa"/>
    <s v="Preventiva"/>
    <x v="1"/>
    <n v="838768"/>
    <s v="Verificar selos de calibração"/>
  </r>
  <r>
    <x v="142"/>
    <n v="1"/>
    <d v="2026-03-22T00:00:00"/>
    <s v="PT-272"/>
    <x v="0"/>
    <s v="Huíla"/>
    <s v="Plataforma Offshore"/>
    <s v="Eng. Manuel Santos"/>
    <s v="Preditiva"/>
    <x v="0"/>
    <n v="924631"/>
    <s v="Verificar selos de calibração"/>
  </r>
  <r>
    <x v="143"/>
    <n v="1"/>
    <d v="2026-05-16T00:00:00"/>
    <s v="PT-272"/>
    <x v="3"/>
    <s v="Huíla"/>
    <s v="Central Hídrica"/>
    <s v="Téc. João Neto"/>
    <s v="Preditiva"/>
    <x v="2"/>
    <n v="380817"/>
    <s v="Verificar selos de calibração"/>
  </r>
  <r>
    <x v="144"/>
    <n v="1"/>
    <d v="2026-04-08T00:00:00"/>
    <s v="PT-276"/>
    <x v="4"/>
    <s v="Huíla"/>
    <s v="Refinaria"/>
    <s v="Téc. António Costa"/>
    <s v="Preventiva"/>
    <x v="0"/>
    <n v="182503"/>
    <s v="Verificar selos de calibração"/>
  </r>
  <r>
    <x v="145"/>
    <n v="1"/>
    <d v="2026-06-10T00:00:00"/>
    <s v="PT-289"/>
    <x v="0"/>
    <s v="Huíla"/>
    <s v="Plataforma Offshore"/>
    <s v="Téc. João Neto"/>
    <s v="Calibração"/>
    <x v="2"/>
    <n v="362813"/>
    <s v="Verificar selos de calibração"/>
  </r>
  <r>
    <x v="146"/>
    <n v="1"/>
    <d v="2026-01-24T00:00:00"/>
    <s v="PT-316"/>
    <x v="0"/>
    <s v="Huíla"/>
    <s v="Terminal Oceânico"/>
    <s v="Eng. Helder Lucas"/>
    <s v="Preventiva"/>
    <x v="0"/>
    <n v="357747"/>
    <s v="Verificar selos de calibração"/>
  </r>
  <r>
    <x v="147"/>
    <n v="1"/>
    <d v="2026-04-30T00:00:00"/>
    <s v="PT-316"/>
    <x v="0"/>
    <s v="Huíla"/>
    <s v="Terminal Oceânico"/>
    <s v="Téc. João Neto"/>
    <s v="Preventiva"/>
    <x v="2"/>
    <n v="318448"/>
    <s v="Verificar selos de calibração"/>
  </r>
  <r>
    <x v="148"/>
    <n v="1"/>
    <d v="2026-01-15T00:00:00"/>
    <s v="PT-319"/>
    <x v="4"/>
    <s v="Huíla"/>
    <s v="Terminal Oceânico"/>
    <s v="Eng. Manuel Santos"/>
    <s v="Preditiva"/>
    <x v="1"/>
    <n v="1114605"/>
    <s v="Verificar selos de calibração"/>
  </r>
  <r>
    <x v="149"/>
    <n v="1"/>
    <d v="2026-05-27T00:00:00"/>
    <s v="PT-323"/>
    <x v="1"/>
    <s v="Huíla"/>
    <s v="Plataforma Offshore"/>
    <s v="Téc. António Costa"/>
    <s v="Calibração"/>
    <x v="0"/>
    <n v="954098"/>
    <s v="Verificar selos de calibração"/>
  </r>
  <r>
    <x v="150"/>
    <n v="1"/>
    <d v="2026-01-21T00:00:00"/>
    <s v="PT-325"/>
    <x v="0"/>
    <s v="Huíla"/>
    <s v="Refinaria"/>
    <s v="Eng. Helder Lucas"/>
    <s v="Preventiva"/>
    <x v="0"/>
    <n v="935421"/>
    <s v="Verificar selos de calibração"/>
  </r>
  <r>
    <x v="151"/>
    <n v="1"/>
    <d v="2026-01-21T00:00:00"/>
    <s v="PT-332"/>
    <x v="1"/>
    <s v="Huíla"/>
    <s v="Central Hídrica"/>
    <s v="Téc. António Costa"/>
    <s v="Calibração"/>
    <x v="1"/>
    <n v="672893"/>
    <s v="Verificar selos de calibração"/>
  </r>
  <r>
    <x v="152"/>
    <n v="1"/>
    <d v="2026-04-09T00:00:00"/>
    <s v="PT-336"/>
    <x v="0"/>
    <s v="Huíla"/>
    <s v="Central Hídrica"/>
    <s v="Eng.ª Maria Pemba"/>
    <s v="Preventiva"/>
    <x v="1"/>
    <n v="1132424"/>
    <s v="Verificar selos de calibração"/>
  </r>
  <r>
    <x v="153"/>
    <n v="1"/>
    <d v="2026-02-20T00:00:00"/>
    <s v="PT-341"/>
    <x v="2"/>
    <s v="Huíla"/>
    <s v="Refinaria"/>
    <s v="Téc. António Costa"/>
    <s v="Calibração"/>
    <x v="1"/>
    <n v="713689"/>
    <s v="Verificar selos de calibração"/>
  </r>
  <r>
    <x v="154"/>
    <n v="1"/>
    <d v="2026-04-18T00:00:00"/>
    <s v="PT-355"/>
    <x v="0"/>
    <s v="Huíla"/>
    <s v="Plataforma Offshore"/>
    <s v="Téc. João Neto"/>
    <s v="Calibração"/>
    <x v="0"/>
    <n v="930412"/>
    <s v="Verificar selos de calibração"/>
  </r>
  <r>
    <x v="155"/>
    <n v="1"/>
    <d v="2026-02-19T00:00:00"/>
    <s v="PT-363"/>
    <x v="0"/>
    <s v="Huíla"/>
    <s v="Refinaria"/>
    <s v="Eng.ª Maria Pemba"/>
    <s v="Preventiva"/>
    <x v="1"/>
    <n v="283103"/>
    <s v="Verificar selos de calibração"/>
  </r>
  <r>
    <x v="156"/>
    <n v="1"/>
    <d v="2026-05-10T00:00:00"/>
    <s v="PT-367"/>
    <x v="1"/>
    <s v="Huíla"/>
    <s v="Plataforma Offshore"/>
    <s v="Eng. Helder Lucas"/>
    <s v="Preventiva"/>
    <x v="2"/>
    <n v="118920"/>
    <s v="Verificar selos de calibração"/>
  </r>
  <r>
    <x v="157"/>
    <n v="1"/>
    <d v="2026-02-09T00:00:00"/>
    <s v="PT-370"/>
    <x v="3"/>
    <s v="Huíla"/>
    <s v="Central Hídrica"/>
    <s v="Eng.ª Maria Pemba"/>
    <s v="Preditiva"/>
    <x v="0"/>
    <n v="1047082"/>
    <s v="Verificar selos de calibração"/>
  </r>
  <r>
    <x v="158"/>
    <n v="1"/>
    <d v="2026-06-21T00:00:00"/>
    <s v="PT-371"/>
    <x v="3"/>
    <s v="Huíla"/>
    <s v="Terminal Oceânico"/>
    <s v="Téc. João Neto"/>
    <s v="Calibração"/>
    <x v="0"/>
    <n v="982883"/>
    <s v="Verificar selos de calibração"/>
  </r>
  <r>
    <x v="159"/>
    <n v="1"/>
    <d v="2026-04-13T00:00:00"/>
    <s v="PT-376"/>
    <x v="5"/>
    <s v="Huíla"/>
    <s v="Refinaria"/>
    <s v="Eng. Helder Lucas"/>
    <s v="Calibração"/>
    <x v="0"/>
    <n v="134080"/>
    <s v="Verificar selos de calibração"/>
  </r>
  <r>
    <x v="160"/>
    <n v="1"/>
    <d v="2026-06-09T00:00:00"/>
    <s v="PT-378"/>
    <x v="1"/>
    <s v="Huíla"/>
    <s v="Fábrica de Cimento"/>
    <s v="Eng. Helder Lucas"/>
    <s v="Preventiva"/>
    <x v="0"/>
    <n v="980997"/>
    <s v="Verificar selos de calibração"/>
  </r>
  <r>
    <x v="161"/>
    <n v="1"/>
    <d v="2026-03-29T00:00:00"/>
    <s v="PT-383"/>
    <x v="4"/>
    <s v="Huíla"/>
    <s v="Central Hídrica"/>
    <s v="Téc. António Costa"/>
    <s v="Calibração"/>
    <x v="0"/>
    <n v="1176370"/>
    <s v="Verificar selos de calibração"/>
  </r>
  <r>
    <x v="162"/>
    <n v="1"/>
    <d v="2026-05-12T00:00:00"/>
    <s v="PT-388"/>
    <x v="3"/>
    <s v="Huíla"/>
    <s v="Refinaria"/>
    <s v="Eng. Manuel Santos"/>
    <s v="Preditiva"/>
    <x v="0"/>
    <n v="1140668"/>
    <s v="Verificar selos de calibração"/>
  </r>
  <r>
    <x v="163"/>
    <n v="1"/>
    <d v="2026-03-12T00:00:00"/>
    <s v="PT-389"/>
    <x v="2"/>
    <s v="Huíla"/>
    <s v="Refinaria"/>
    <s v="Téc. João Neto"/>
    <s v="Preditiva"/>
    <x v="0"/>
    <n v="1156351"/>
    <s v="Verificar selos de calibração"/>
  </r>
  <r>
    <x v="164"/>
    <n v="1"/>
    <d v="2026-05-14T00:00:00"/>
    <s v="PT-103"/>
    <x v="2"/>
    <s v="Huambo"/>
    <s v="Plataforma Offshore"/>
    <s v="Téc. António Costa"/>
    <s v="Calibração"/>
    <x v="0"/>
    <n v="231360"/>
    <s v="Verificar selos de calibração"/>
  </r>
  <r>
    <x v="165"/>
    <n v="1"/>
    <d v="2026-05-09T00:00:00"/>
    <s v="PT-106"/>
    <x v="0"/>
    <s v="Huambo"/>
    <s v="Central Hídrica"/>
    <s v="Eng. Manuel Santos"/>
    <s v="Preditiva"/>
    <x v="0"/>
    <n v="1494331"/>
    <s v="Verificar selos de calibração"/>
  </r>
  <r>
    <x v="166"/>
    <n v="1"/>
    <d v="2026-06-20T00:00:00"/>
    <s v="PT-122"/>
    <x v="1"/>
    <s v="Huambo"/>
    <s v="Central Hídrica"/>
    <s v="Eng. Manuel Santos"/>
    <s v="Preventiva"/>
    <x v="2"/>
    <n v="202889"/>
    <s v="Verificar selos de calibração"/>
  </r>
  <r>
    <x v="167"/>
    <n v="1"/>
    <d v="2026-06-07T00:00:00"/>
    <s v="PT-145"/>
    <x v="2"/>
    <s v="Huambo"/>
    <s v="Fábrica de Cimento"/>
    <s v="Eng.ª Maria Pemba"/>
    <s v="Preventiva"/>
    <x v="0"/>
    <n v="733404"/>
    <s v="Verificar selos de calibração"/>
  </r>
  <r>
    <x v="168"/>
    <n v="1"/>
    <d v="2026-03-06T00:00:00"/>
    <s v="PT-146"/>
    <x v="1"/>
    <s v="Huambo"/>
    <s v="Plataforma Offshore"/>
    <s v="Eng. Manuel Santos"/>
    <s v="Preventiva"/>
    <x v="0"/>
    <n v="601120"/>
    <s v="Verificar selos de calibração"/>
  </r>
  <r>
    <x v="169"/>
    <n v="1"/>
    <d v="2026-05-15T00:00:00"/>
    <s v="PT-153"/>
    <x v="2"/>
    <s v="Huambo"/>
    <s v="Terminal Oceânico"/>
    <s v="Téc. António Costa"/>
    <s v="Preventiva"/>
    <x v="1"/>
    <n v="1278337"/>
    <s v="Verificar selos de calibração"/>
  </r>
  <r>
    <x v="170"/>
    <n v="1"/>
    <d v="2026-06-03T00:00:00"/>
    <s v="PT-159"/>
    <x v="3"/>
    <s v="Huambo"/>
    <s v="Refinaria"/>
    <s v="Eng. Helder Lucas"/>
    <s v="Preditiva"/>
    <x v="1"/>
    <n v="167235"/>
    <s v="Verificar selos de calibração"/>
  </r>
  <r>
    <x v="171"/>
    <n v="1"/>
    <d v="2026-05-01T00:00:00"/>
    <s v="PT-164"/>
    <x v="3"/>
    <s v="Huambo"/>
    <s v="Central Hídrica"/>
    <s v="Téc. António Costa"/>
    <s v="Preventiva"/>
    <x v="0"/>
    <n v="1067541"/>
    <s v="Verificar selos de calibração"/>
  </r>
  <r>
    <x v="172"/>
    <n v="1"/>
    <d v="2026-04-26T00:00:00"/>
    <s v="PT-169"/>
    <x v="2"/>
    <s v="Huambo"/>
    <s v="Central Hídrica"/>
    <s v="Téc. António Costa"/>
    <s v="Preditiva"/>
    <x v="1"/>
    <n v="141006"/>
    <s v="Verificar selos de calibração"/>
  </r>
  <r>
    <x v="173"/>
    <n v="1"/>
    <d v="2026-03-01T00:00:00"/>
    <s v="PT-173"/>
    <x v="2"/>
    <s v="Huambo"/>
    <s v="Refinaria"/>
    <s v="Eng. Helder Lucas"/>
    <s v="Preventiva"/>
    <x v="1"/>
    <n v="1334294"/>
    <s v="Verificar selos de calibração"/>
  </r>
  <r>
    <x v="174"/>
    <n v="1"/>
    <d v="2026-05-04T00:00:00"/>
    <s v="PT-193"/>
    <x v="2"/>
    <s v="Huambo"/>
    <s v="Terminal Oceânico"/>
    <s v="Téc. João Neto"/>
    <s v="Calibração"/>
    <x v="0"/>
    <n v="1293294"/>
    <s v="Verificar selos de calibração"/>
  </r>
  <r>
    <x v="175"/>
    <n v="1"/>
    <d v="2026-02-14T00:00:00"/>
    <s v="PT-195"/>
    <x v="5"/>
    <s v="Huambo"/>
    <s v="Terminal Oceânico"/>
    <s v="Eng. Manuel Santos"/>
    <s v="Preditiva"/>
    <x v="1"/>
    <n v="1001441"/>
    <s v="Verificar selos de calibração"/>
  </r>
  <r>
    <x v="176"/>
    <n v="1"/>
    <d v="2026-04-21T00:00:00"/>
    <s v="PT-200"/>
    <x v="0"/>
    <s v="Huambo"/>
    <s v="Fábrica de Cimento"/>
    <s v="Téc. João Neto"/>
    <s v="Preventiva"/>
    <x v="0"/>
    <n v="1166271"/>
    <s v="Verificar selos de calibração"/>
  </r>
  <r>
    <x v="177"/>
    <n v="1"/>
    <d v="2026-05-31T00:00:00"/>
    <s v="PT-217"/>
    <x v="4"/>
    <s v="Huambo"/>
    <s v="Terminal Oceânico"/>
    <s v="Téc. João Neto"/>
    <s v="Preditiva"/>
    <x v="0"/>
    <n v="1178649"/>
    <s v="Verificar selos de calibração"/>
  </r>
  <r>
    <x v="178"/>
    <n v="1"/>
    <d v="2026-04-09T00:00:00"/>
    <s v="PT-221"/>
    <x v="0"/>
    <s v="Huambo"/>
    <s v="Refinaria"/>
    <s v="Téc. António Costa"/>
    <s v="Preditiva"/>
    <x v="1"/>
    <n v="330466"/>
    <s v="Verificar selos de calibração"/>
  </r>
  <r>
    <x v="179"/>
    <n v="1"/>
    <d v="2026-03-01T00:00:00"/>
    <s v="PT-226"/>
    <x v="1"/>
    <s v="Huambo"/>
    <s v="Central Hídrica"/>
    <s v="Eng.ª Maria Pemba"/>
    <s v="Preditiva"/>
    <x v="0"/>
    <n v="117260"/>
    <s v="Verificar selos de calibração"/>
  </r>
  <r>
    <x v="180"/>
    <n v="1"/>
    <d v="2026-01-05T00:00:00"/>
    <s v="PT-226"/>
    <x v="0"/>
    <s v="Huambo"/>
    <s v="Fábrica de Cimento"/>
    <s v="Téc. António Costa"/>
    <s v="Preditiva"/>
    <x v="1"/>
    <n v="573886"/>
    <s v="Verificar selos de calibração"/>
  </r>
  <r>
    <x v="181"/>
    <n v="1"/>
    <d v="2026-02-24T00:00:00"/>
    <s v="PT-227"/>
    <x v="0"/>
    <s v="Huambo"/>
    <s v="Plataforma Offshore"/>
    <s v="Téc. João Neto"/>
    <s v="Preditiva"/>
    <x v="0"/>
    <n v="1184033"/>
    <s v="Verificar selos de calibração"/>
  </r>
  <r>
    <x v="182"/>
    <n v="1"/>
    <d v="2026-05-12T00:00:00"/>
    <s v="PT-242"/>
    <x v="5"/>
    <s v="Huambo"/>
    <s v="Plataforma Offshore"/>
    <s v="Eng. Manuel Santos"/>
    <s v="Preditiva"/>
    <x v="1"/>
    <n v="465872"/>
    <s v="Verificar selos de calibração"/>
  </r>
  <r>
    <x v="183"/>
    <n v="1"/>
    <d v="2026-03-30T00:00:00"/>
    <s v="PT-243"/>
    <x v="1"/>
    <s v="Huambo"/>
    <s v="Central Hídrica"/>
    <s v="Eng. Manuel Santos"/>
    <s v="Preditiva"/>
    <x v="0"/>
    <n v="1293085"/>
    <s v="Verificar selos de calibração"/>
  </r>
  <r>
    <x v="184"/>
    <n v="1"/>
    <d v="2026-06-13T00:00:00"/>
    <s v="PT-243"/>
    <x v="2"/>
    <s v="Huambo"/>
    <s v="Fábrica de Cimento"/>
    <s v="Téc. António Costa"/>
    <s v="Preventiva"/>
    <x v="0"/>
    <n v="536799"/>
    <s v="Verificar selos de calibração"/>
  </r>
  <r>
    <x v="185"/>
    <n v="1"/>
    <d v="2026-04-23T00:00:00"/>
    <s v="PT-263"/>
    <x v="2"/>
    <s v="Huambo"/>
    <s v="Plataforma Offshore"/>
    <s v="Téc. João Neto"/>
    <s v="Preventiva"/>
    <x v="0"/>
    <n v="1368719"/>
    <s v="Verificar selos de calibração"/>
  </r>
  <r>
    <x v="186"/>
    <n v="1"/>
    <d v="2026-04-21T00:00:00"/>
    <s v="PT-269"/>
    <x v="4"/>
    <s v="Huambo"/>
    <s v="Fábrica de Cimento"/>
    <s v="Eng.ª Maria Pemba"/>
    <s v="Preventiva"/>
    <x v="1"/>
    <n v="1235574"/>
    <s v="Verificar selos de calibração"/>
  </r>
  <r>
    <x v="187"/>
    <n v="1"/>
    <d v="2026-04-03T00:00:00"/>
    <s v="PT-272"/>
    <x v="2"/>
    <s v="Huambo"/>
    <s v="Terminal Oceânico"/>
    <s v="Téc. João Neto"/>
    <s v="Preventiva"/>
    <x v="1"/>
    <n v="330618"/>
    <s v="Verificar selos de calibração"/>
  </r>
  <r>
    <x v="188"/>
    <n v="1"/>
    <d v="2026-03-27T00:00:00"/>
    <s v="PT-279"/>
    <x v="3"/>
    <s v="Huambo"/>
    <s v="Central Hídrica"/>
    <s v="Téc. António Costa"/>
    <s v="Calibração"/>
    <x v="1"/>
    <n v="1366189"/>
    <s v="Verificar selos de calibração"/>
  </r>
  <r>
    <x v="189"/>
    <n v="1"/>
    <d v="2026-06-13T00:00:00"/>
    <s v="PT-281"/>
    <x v="0"/>
    <s v="Huambo"/>
    <s v="Fábrica de Cimento"/>
    <s v="Téc. João Neto"/>
    <s v="Preventiva"/>
    <x v="0"/>
    <n v="855878"/>
    <s v="Verificar selos de calibração"/>
  </r>
  <r>
    <x v="190"/>
    <n v="1"/>
    <d v="2026-02-23T00:00:00"/>
    <s v="PT-285"/>
    <x v="0"/>
    <s v="Huambo"/>
    <s v="Plataforma Offshore"/>
    <s v="Eng. Helder Lucas"/>
    <s v="Calibração"/>
    <x v="1"/>
    <n v="506162"/>
    <s v="Verificar selos de calibração"/>
  </r>
  <r>
    <x v="191"/>
    <n v="1"/>
    <d v="2026-05-09T00:00:00"/>
    <s v="PT-289"/>
    <x v="2"/>
    <s v="Huambo"/>
    <s v="Terminal Oceânico"/>
    <s v="Eng. Manuel Santos"/>
    <s v="Calibração"/>
    <x v="0"/>
    <n v="499830"/>
    <s v="Verificar selos de calibração"/>
  </r>
  <r>
    <x v="192"/>
    <n v="1"/>
    <d v="2026-04-11T00:00:00"/>
    <s v="PT-291"/>
    <x v="1"/>
    <s v="Huambo"/>
    <s v="Central Hídrica"/>
    <s v="Eng.ª Maria Pemba"/>
    <s v="Preditiva"/>
    <x v="1"/>
    <n v="334580"/>
    <s v="Verificar selos de calibração"/>
  </r>
  <r>
    <x v="193"/>
    <n v="1"/>
    <d v="2026-06-09T00:00:00"/>
    <s v="PT-316"/>
    <x v="5"/>
    <s v="Huambo"/>
    <s v="Fábrica de Cimento"/>
    <s v="Eng. Manuel Santos"/>
    <s v="Preditiva"/>
    <x v="1"/>
    <n v="591357"/>
    <s v="Verificar selos de calibração"/>
  </r>
  <r>
    <x v="194"/>
    <n v="1"/>
    <d v="2026-01-02T00:00:00"/>
    <s v="PT-319"/>
    <x v="5"/>
    <s v="Huambo"/>
    <s v="Terminal Oceânico"/>
    <s v="Eng. Helder Lucas"/>
    <s v="Calibração"/>
    <x v="0"/>
    <n v="1286497"/>
    <s v="Verificar selos de calibração"/>
  </r>
  <r>
    <x v="195"/>
    <n v="1"/>
    <d v="2026-04-20T00:00:00"/>
    <s v="PT-319"/>
    <x v="4"/>
    <s v="Huambo"/>
    <s v="Central Hídrica"/>
    <s v="Eng. Helder Lucas"/>
    <s v="Preventiva"/>
    <x v="1"/>
    <n v="1405349"/>
    <s v="Verificar selos de calibração"/>
  </r>
  <r>
    <x v="196"/>
    <n v="1"/>
    <d v="2026-05-24T00:00:00"/>
    <s v="PT-332"/>
    <x v="0"/>
    <s v="Huambo"/>
    <s v="Central Hídrica"/>
    <s v="Eng.ª Maria Pemba"/>
    <s v="Preditiva"/>
    <x v="0"/>
    <n v="714917"/>
    <s v="Verificar selos de calibração"/>
  </r>
  <r>
    <x v="197"/>
    <n v="1"/>
    <d v="2026-06-28T00:00:00"/>
    <s v="PT-337"/>
    <x v="1"/>
    <s v="Huambo"/>
    <s v="Refinaria"/>
    <s v="Téc. João Neto"/>
    <s v="Preditiva"/>
    <x v="0"/>
    <n v="1470178"/>
    <s v="Verificar selos de calibração"/>
  </r>
  <r>
    <x v="198"/>
    <n v="1"/>
    <d v="2026-05-08T00:00:00"/>
    <s v="PT-341"/>
    <x v="1"/>
    <s v="Huambo"/>
    <s v="Central Hídrica"/>
    <s v="Téc. António Costa"/>
    <s v="Preditiva"/>
    <x v="2"/>
    <n v="892150"/>
    <s v="Verificar selos de calibração"/>
  </r>
  <r>
    <x v="199"/>
    <n v="1"/>
    <d v="2026-04-18T00:00:00"/>
    <s v="PT-346"/>
    <x v="1"/>
    <s v="Huambo"/>
    <s v="Fábrica de Cimento"/>
    <s v="Eng. Helder Lucas"/>
    <s v="Calibração"/>
    <x v="0"/>
    <n v="1388106"/>
    <s v="Verificar selos de calibração"/>
  </r>
  <r>
    <x v="200"/>
    <n v="1"/>
    <d v="2026-05-11T00:00:00"/>
    <s v="PT-346"/>
    <x v="4"/>
    <s v="Huambo"/>
    <s v="Terminal Oceânico"/>
    <s v="Eng.ª Maria Pemba"/>
    <s v="Preventiva"/>
    <x v="0"/>
    <n v="1167698"/>
    <s v="Verificar selos de calibração"/>
  </r>
  <r>
    <x v="201"/>
    <n v="1"/>
    <d v="2026-03-07T00:00:00"/>
    <s v="PT-349"/>
    <x v="4"/>
    <s v="Huambo"/>
    <s v="Plataforma Offshore"/>
    <s v="Eng.ª Maria Pemba"/>
    <s v="Calibração"/>
    <x v="0"/>
    <n v="711616"/>
    <s v="Verificar selos de calibração"/>
  </r>
  <r>
    <x v="202"/>
    <n v="1"/>
    <d v="2026-06-25T00:00:00"/>
    <s v="PT-351"/>
    <x v="0"/>
    <s v="Huambo"/>
    <s v="Plataforma Offshore"/>
    <s v="Eng. Manuel Santos"/>
    <s v="Preditiva"/>
    <x v="0"/>
    <n v="1167862"/>
    <s v="Verificar selos de calibração"/>
  </r>
  <r>
    <x v="203"/>
    <n v="1"/>
    <d v="2026-03-03T00:00:00"/>
    <s v="PT-356"/>
    <x v="5"/>
    <s v="Huambo"/>
    <s v="Terminal Oceânico"/>
    <s v="Téc. António Costa"/>
    <s v="Preditiva"/>
    <x v="1"/>
    <n v="1459854"/>
    <s v="Verificar selos de calibração"/>
  </r>
  <r>
    <x v="204"/>
    <n v="1"/>
    <d v="2026-02-14T00:00:00"/>
    <s v="PT-361"/>
    <x v="5"/>
    <s v="Huambo"/>
    <s v="Central Hídrica"/>
    <s v="Eng.ª Maria Pemba"/>
    <s v="Preventiva"/>
    <x v="1"/>
    <n v="741211"/>
    <s v="Verificar selos de calibração"/>
  </r>
  <r>
    <x v="205"/>
    <n v="1"/>
    <d v="2026-04-28T00:00:00"/>
    <s v="PT-363"/>
    <x v="4"/>
    <s v="Huambo"/>
    <s v="Refinaria"/>
    <s v="Eng. Manuel Santos"/>
    <s v="Calibração"/>
    <x v="0"/>
    <n v="293306"/>
    <s v="Verificar selos de calibração"/>
  </r>
  <r>
    <x v="206"/>
    <n v="1"/>
    <d v="2026-05-04T00:00:00"/>
    <s v="PT-364"/>
    <x v="2"/>
    <s v="Huambo"/>
    <s v="Central Hídrica"/>
    <s v="Eng. Manuel Santos"/>
    <s v="Preventiva"/>
    <x v="0"/>
    <n v="1002246"/>
    <s v="Verificar selos de calibração"/>
  </r>
  <r>
    <x v="207"/>
    <n v="1"/>
    <d v="2026-03-22T00:00:00"/>
    <s v="PT-374"/>
    <x v="4"/>
    <s v="Huambo"/>
    <s v="Central Hídrica"/>
    <s v="Eng. Manuel Santos"/>
    <s v="Preventiva"/>
    <x v="1"/>
    <n v="497557"/>
    <s v="Verificar selos de calibração"/>
  </r>
  <r>
    <x v="208"/>
    <n v="1"/>
    <d v="2026-05-17T00:00:00"/>
    <s v="PT-384"/>
    <x v="1"/>
    <s v="Huambo"/>
    <s v="Fábrica de Cimento"/>
    <s v="Eng.ª Maria Pemba"/>
    <s v="Preditiva"/>
    <x v="1"/>
    <n v="902129"/>
    <s v="Verificar selos de calibração"/>
  </r>
  <r>
    <x v="209"/>
    <n v="1"/>
    <d v="2026-03-09T00:00:00"/>
    <s v="PT-385"/>
    <x v="4"/>
    <s v="Huambo"/>
    <s v="Central Hídrica"/>
    <s v="Eng. Helder Lucas"/>
    <s v="Preventiva"/>
    <x v="0"/>
    <n v="57531"/>
    <s v="Verificar selos de calibração"/>
  </r>
  <r>
    <x v="210"/>
    <n v="1"/>
    <d v="2026-02-22T00:00:00"/>
    <s v="PT-398"/>
    <x v="1"/>
    <s v="Huambo"/>
    <s v="Fábrica de Cimento"/>
    <s v="Eng.ª Maria Pemba"/>
    <s v="Calibração"/>
    <x v="1"/>
    <n v="845326"/>
    <s v="Verificar selos de calibração"/>
  </r>
  <r>
    <x v="211"/>
    <n v="1"/>
    <d v="2026-02-05T00:00:00"/>
    <s v="PT-109"/>
    <x v="0"/>
    <s v="Cabinda"/>
    <s v="Refinaria"/>
    <s v="Eng. Helder Lucas"/>
    <s v="Preventiva"/>
    <x v="0"/>
    <n v="225006"/>
    <s v="Verificar selos de calibração"/>
  </r>
  <r>
    <x v="212"/>
    <n v="1"/>
    <d v="2026-05-30T00:00:00"/>
    <s v="PT-116"/>
    <x v="2"/>
    <s v="Cabinda"/>
    <s v="Fábrica de Cimento"/>
    <s v="Eng.ª Maria Pemba"/>
    <s v="Preditiva"/>
    <x v="2"/>
    <n v="611931"/>
    <s v="Verificar selos de calibração"/>
  </r>
  <r>
    <x v="213"/>
    <n v="1"/>
    <d v="2026-01-02T00:00:00"/>
    <s v="PT-135"/>
    <x v="3"/>
    <s v="Cabinda"/>
    <s v="Terminal Oceânico"/>
    <s v="Téc. António Costa"/>
    <s v="Calibração"/>
    <x v="0"/>
    <n v="819605"/>
    <s v="Verificar selos de calibração"/>
  </r>
  <r>
    <x v="214"/>
    <n v="1"/>
    <d v="2026-04-16T00:00:00"/>
    <s v="PT-150"/>
    <x v="4"/>
    <s v="Cabinda"/>
    <s v="Terminal Oceânico"/>
    <s v="Eng.ª Maria Pemba"/>
    <s v="Preditiva"/>
    <x v="0"/>
    <n v="350931"/>
    <s v="Verificar selos de calibração"/>
  </r>
  <r>
    <x v="215"/>
    <n v="1"/>
    <d v="2026-05-27T00:00:00"/>
    <s v="PT-168"/>
    <x v="3"/>
    <s v="Cabinda"/>
    <s v="Plataforma Offshore"/>
    <s v="Eng. Manuel Santos"/>
    <s v="Preventiva"/>
    <x v="1"/>
    <n v="569349"/>
    <s v="Verificar selos de calibração"/>
  </r>
  <r>
    <x v="216"/>
    <n v="1"/>
    <d v="2026-04-11T00:00:00"/>
    <s v="PT-168"/>
    <x v="3"/>
    <s v="Cabinda"/>
    <s v="Refinaria"/>
    <s v="Téc. António Costa"/>
    <s v="Calibração"/>
    <x v="0"/>
    <n v="118099"/>
    <s v="Verificar selos de calibração"/>
  </r>
  <r>
    <x v="217"/>
    <n v="1"/>
    <d v="2026-04-06T00:00:00"/>
    <s v="PT-189"/>
    <x v="5"/>
    <s v="Cabinda"/>
    <s v="Terminal Oceânico"/>
    <s v="Eng. Helder Lucas"/>
    <s v="Preventiva"/>
    <x v="1"/>
    <n v="711757"/>
    <s v="Verificar selos de calibração"/>
  </r>
  <r>
    <x v="218"/>
    <n v="1"/>
    <d v="2026-02-28T00:00:00"/>
    <s v="PT-189"/>
    <x v="4"/>
    <s v="Cabinda"/>
    <s v="Plataforma Offshore"/>
    <s v="Eng. Manuel Santos"/>
    <s v="Calibração"/>
    <x v="0"/>
    <n v="1414940"/>
    <s v="Verificar selos de calibração"/>
  </r>
  <r>
    <x v="219"/>
    <n v="1"/>
    <d v="2026-05-16T00:00:00"/>
    <s v="PT-191"/>
    <x v="5"/>
    <s v="Cabinda"/>
    <s v="Plataforma Offshore"/>
    <s v="Téc. João Neto"/>
    <s v="Preditiva"/>
    <x v="0"/>
    <n v="848519"/>
    <s v="Verificar selos de calibração"/>
  </r>
  <r>
    <x v="220"/>
    <n v="1"/>
    <d v="2026-02-02T00:00:00"/>
    <s v="PT-195"/>
    <x v="3"/>
    <s v="Cabinda"/>
    <s v="Central Hídrica"/>
    <s v="Téc. António Costa"/>
    <s v="Preventiva"/>
    <x v="0"/>
    <n v="693942"/>
    <s v="Verificar selos de calibração"/>
  </r>
  <r>
    <x v="221"/>
    <n v="1"/>
    <d v="2026-05-10T00:00:00"/>
    <s v="PT-198"/>
    <x v="1"/>
    <s v="Cabinda"/>
    <s v="Central Hídrica"/>
    <s v="Téc. João Neto"/>
    <s v="Preventiva"/>
    <x v="1"/>
    <n v="916183"/>
    <s v="Verificar selos de calibração"/>
  </r>
  <r>
    <x v="222"/>
    <n v="1"/>
    <d v="2026-03-31T00:00:00"/>
    <s v="PT-203"/>
    <x v="0"/>
    <s v="Cabinda"/>
    <s v="Central Hídrica"/>
    <s v="Téc. João Neto"/>
    <s v="Preditiva"/>
    <x v="0"/>
    <n v="582994"/>
    <s v="Verificar selos de calibração"/>
  </r>
  <r>
    <x v="223"/>
    <n v="1"/>
    <d v="2026-05-08T00:00:00"/>
    <s v="PT-208"/>
    <x v="3"/>
    <s v="Cabinda"/>
    <s v="Terminal Oceânico"/>
    <s v="Eng. Manuel Santos"/>
    <s v="Calibração"/>
    <x v="0"/>
    <n v="539066"/>
    <s v="Verificar selos de calibração"/>
  </r>
  <r>
    <x v="224"/>
    <n v="1"/>
    <d v="2026-02-02T00:00:00"/>
    <s v="PT-216"/>
    <x v="5"/>
    <s v="Cabinda"/>
    <s v="Plataforma Offshore"/>
    <s v="Eng.ª Maria Pemba"/>
    <s v="Preventiva"/>
    <x v="1"/>
    <n v="1076657"/>
    <s v="Verificar selos de calibração"/>
  </r>
  <r>
    <x v="225"/>
    <n v="1"/>
    <d v="2026-06-11T00:00:00"/>
    <s v="PT-224"/>
    <x v="1"/>
    <s v="Cabinda"/>
    <s v="Central Hídrica"/>
    <s v="Téc. João Neto"/>
    <s v="Calibração"/>
    <x v="0"/>
    <n v="1483441"/>
    <s v="Verificar selos de calibração"/>
  </r>
  <r>
    <x v="226"/>
    <n v="1"/>
    <d v="2026-05-22T00:00:00"/>
    <s v="PT-233"/>
    <x v="3"/>
    <s v="Cabinda"/>
    <s v="Refinaria"/>
    <s v="Eng. Helder Lucas"/>
    <s v="Preventiva"/>
    <x v="0"/>
    <n v="1429904"/>
    <s v="Verificar selos de calibração"/>
  </r>
  <r>
    <x v="227"/>
    <n v="1"/>
    <d v="2026-02-21T00:00:00"/>
    <s v="PT-243"/>
    <x v="1"/>
    <s v="Cabinda"/>
    <s v="Central Hídrica"/>
    <s v="Téc. João Neto"/>
    <s v="Preditiva"/>
    <x v="1"/>
    <n v="616088"/>
    <s v="Verificar selos de calibração"/>
  </r>
  <r>
    <x v="228"/>
    <n v="1"/>
    <d v="2026-06-12T00:00:00"/>
    <s v="PT-247"/>
    <x v="3"/>
    <s v="Cabinda"/>
    <s v="Plataforma Offshore"/>
    <s v="Eng.ª Maria Pemba"/>
    <s v="Calibração"/>
    <x v="0"/>
    <n v="510385"/>
    <s v="Verificar selos de calibração"/>
  </r>
  <r>
    <x v="229"/>
    <n v="1"/>
    <d v="2026-03-30T00:00:00"/>
    <s v="PT-250"/>
    <x v="3"/>
    <s v="Cabinda"/>
    <s v="Central Hídrica"/>
    <s v="Eng. Helder Lucas"/>
    <s v="Calibração"/>
    <x v="0"/>
    <n v="1102330"/>
    <s v="Verificar selos de calibração"/>
  </r>
  <r>
    <x v="230"/>
    <n v="1"/>
    <d v="2026-01-14T00:00:00"/>
    <s v="PT-254"/>
    <x v="4"/>
    <s v="Cabinda"/>
    <s v="Refinaria"/>
    <s v="Téc. João Neto"/>
    <s v="Preventiva"/>
    <x v="1"/>
    <n v="1165488"/>
    <s v="Verificar selos de calibração"/>
  </r>
  <r>
    <x v="231"/>
    <n v="1"/>
    <d v="2026-05-09T00:00:00"/>
    <s v="PT-257"/>
    <x v="3"/>
    <s v="Cabinda"/>
    <s v="Plataforma Offshore"/>
    <s v="Eng. Helder Lucas"/>
    <s v="Preventiva"/>
    <x v="0"/>
    <n v="1188040"/>
    <s v="Verificar selos de calibração"/>
  </r>
  <r>
    <x v="232"/>
    <n v="1"/>
    <d v="2026-05-08T00:00:00"/>
    <s v="PT-259"/>
    <x v="2"/>
    <s v="Cabinda"/>
    <s v="Central Hídrica"/>
    <s v="Téc. António Costa"/>
    <s v="Preditiva"/>
    <x v="0"/>
    <n v="1210248"/>
    <s v="Verificar selos de calibração"/>
  </r>
  <r>
    <x v="233"/>
    <n v="1"/>
    <d v="2026-04-29T00:00:00"/>
    <s v="PT-263"/>
    <x v="4"/>
    <s v="Cabinda"/>
    <s v="Central Hídrica"/>
    <s v="Eng. Manuel Santos"/>
    <s v="Preditiva"/>
    <x v="0"/>
    <n v="308635"/>
    <s v="Verificar selos de calibração"/>
  </r>
  <r>
    <x v="234"/>
    <n v="1"/>
    <d v="2026-02-06T00:00:00"/>
    <s v="PT-267"/>
    <x v="3"/>
    <s v="Cabinda"/>
    <s v="Plataforma Offshore"/>
    <s v="Téc. João Neto"/>
    <s v="Calibração"/>
    <x v="0"/>
    <n v="833441"/>
    <s v="Verificar selos de calibração"/>
  </r>
  <r>
    <x v="235"/>
    <n v="1"/>
    <d v="2026-05-09T00:00:00"/>
    <s v="PT-278"/>
    <x v="5"/>
    <s v="Cabinda"/>
    <s v="Terminal Oceânico"/>
    <s v="Eng.ª Maria Pemba"/>
    <s v="Preditiva"/>
    <x v="0"/>
    <n v="80447"/>
    <s v="Verificar selos de calibração"/>
  </r>
  <r>
    <x v="236"/>
    <n v="1"/>
    <d v="2026-02-08T00:00:00"/>
    <s v="PT-280"/>
    <x v="4"/>
    <s v="Cabinda"/>
    <s v="Terminal Oceânico"/>
    <s v="Eng. Helder Lucas"/>
    <s v="Calibração"/>
    <x v="0"/>
    <n v="708003"/>
    <s v="Verificar selos de calibração"/>
  </r>
  <r>
    <x v="237"/>
    <n v="1"/>
    <d v="2026-04-14T00:00:00"/>
    <s v="PT-285"/>
    <x v="4"/>
    <s v="Cabinda"/>
    <s v="Central Hídrica"/>
    <s v="Eng. Helder Lucas"/>
    <s v="Preventiva"/>
    <x v="2"/>
    <n v="855113"/>
    <s v="Verificar selos de calibração"/>
  </r>
  <r>
    <x v="238"/>
    <n v="1"/>
    <d v="2026-06-01T00:00:00"/>
    <s v="PT-291"/>
    <x v="1"/>
    <s v="Cabinda"/>
    <s v="Terminal Oceânico"/>
    <s v="Eng. Manuel Santos"/>
    <s v="Preditiva"/>
    <x v="0"/>
    <n v="229830"/>
    <s v="Verificar selos de calibração"/>
  </r>
  <r>
    <x v="239"/>
    <n v="1"/>
    <d v="2026-04-03T00:00:00"/>
    <s v="PT-305"/>
    <x v="0"/>
    <s v="Cabinda"/>
    <s v="Refinaria"/>
    <s v="Téc. António Costa"/>
    <s v="Preventiva"/>
    <x v="0"/>
    <n v="123997"/>
    <s v="Verificar selos de calibração"/>
  </r>
  <r>
    <x v="240"/>
    <n v="1"/>
    <d v="2026-05-23T00:00:00"/>
    <s v="PT-321"/>
    <x v="4"/>
    <s v="Cabinda"/>
    <s v="Plataforma Offshore"/>
    <s v="Eng. Helder Lucas"/>
    <s v="Preventiva"/>
    <x v="0"/>
    <n v="1033581"/>
    <s v="Verificar selos de calibração"/>
  </r>
  <r>
    <x v="241"/>
    <n v="1"/>
    <d v="2026-01-22T00:00:00"/>
    <s v="PT-326"/>
    <x v="5"/>
    <s v="Cabinda"/>
    <s v="Terminal Oceânico"/>
    <s v="Eng. Helder Lucas"/>
    <s v="Preventiva"/>
    <x v="0"/>
    <n v="1172647"/>
    <s v="Verificar selos de calibração"/>
  </r>
  <r>
    <x v="242"/>
    <n v="1"/>
    <d v="2026-04-23T00:00:00"/>
    <s v="PT-326"/>
    <x v="5"/>
    <s v="Cabinda"/>
    <s v="Refinaria"/>
    <s v="Téc. António Costa"/>
    <s v="Calibração"/>
    <x v="1"/>
    <n v="573156"/>
    <s v="Verificar selos de calibração"/>
  </r>
  <r>
    <x v="243"/>
    <n v="1"/>
    <d v="2026-06-12T00:00:00"/>
    <s v="PT-328"/>
    <x v="2"/>
    <s v="Cabinda"/>
    <s v="Refinaria"/>
    <s v="Téc. António Costa"/>
    <s v="Calibração"/>
    <x v="0"/>
    <n v="1083316"/>
    <s v="Verificar selos de calibração"/>
  </r>
  <r>
    <x v="244"/>
    <n v="1"/>
    <d v="2026-06-29T00:00:00"/>
    <s v="PT-329"/>
    <x v="0"/>
    <s v="Cabinda"/>
    <s v="Fábrica de Cimento"/>
    <s v="Téc. João Neto"/>
    <s v="Preventiva"/>
    <x v="2"/>
    <n v="520641"/>
    <s v="Verificar selos de calibração"/>
  </r>
  <r>
    <x v="245"/>
    <n v="1"/>
    <d v="2026-05-10T00:00:00"/>
    <s v="PT-345"/>
    <x v="1"/>
    <s v="Cabinda"/>
    <s v="Terminal Oceânico"/>
    <s v="Eng. Helder Lucas"/>
    <s v="Preventiva"/>
    <x v="1"/>
    <n v="396130"/>
    <s v="Verificar selos de calibração"/>
  </r>
  <r>
    <x v="246"/>
    <n v="1"/>
    <d v="2026-06-24T00:00:00"/>
    <s v="PT-352"/>
    <x v="3"/>
    <s v="Cabinda"/>
    <s v="Central Hídrica"/>
    <s v="Eng.ª Maria Pemba"/>
    <s v="Calibração"/>
    <x v="0"/>
    <n v="1288360"/>
    <s v="Verificar selos de calibração"/>
  </r>
  <r>
    <x v="247"/>
    <n v="1"/>
    <d v="2026-06-14T00:00:00"/>
    <s v="PT-352"/>
    <x v="3"/>
    <s v="Cabinda"/>
    <s v="Central Hídrica"/>
    <s v="Téc. João Neto"/>
    <s v="Preventiva"/>
    <x v="0"/>
    <n v="566595"/>
    <s v="Verificar selos de calibração"/>
  </r>
  <r>
    <x v="248"/>
    <n v="1"/>
    <d v="2026-05-31T00:00:00"/>
    <s v="PT-353"/>
    <x v="4"/>
    <s v="Cabinda"/>
    <s v="Plataforma Offshore"/>
    <s v="Eng.ª Maria Pemba"/>
    <s v="Calibração"/>
    <x v="2"/>
    <n v="1423259"/>
    <s v="Verificar selos de calibração"/>
  </r>
  <r>
    <x v="249"/>
    <n v="1"/>
    <d v="2026-02-13T00:00:00"/>
    <s v="PT-357"/>
    <x v="0"/>
    <s v="Cabinda"/>
    <s v="Terminal Oceânico"/>
    <s v="Eng.ª Maria Pemba"/>
    <s v="Calibração"/>
    <x v="0"/>
    <n v="1341210"/>
    <s v="Verificar selos de calibração"/>
  </r>
  <r>
    <x v="250"/>
    <n v="1"/>
    <d v="2026-05-03T00:00:00"/>
    <s v="PT-372"/>
    <x v="0"/>
    <s v="Cabinda"/>
    <s v="Plataforma Offshore"/>
    <s v="Téc. João Neto"/>
    <s v="Calibração"/>
    <x v="1"/>
    <n v="480267"/>
    <s v="Verificar selos de calibração"/>
  </r>
  <r>
    <x v="251"/>
    <n v="1"/>
    <d v="2026-01-09T00:00:00"/>
    <s v="PT-382"/>
    <x v="0"/>
    <s v="Cabinda"/>
    <s v="Refinaria"/>
    <s v="Téc. João Neto"/>
    <s v="Preditiva"/>
    <x v="1"/>
    <n v="1221364"/>
    <s v="Verificar selos de calibração"/>
  </r>
  <r>
    <x v="252"/>
    <n v="1"/>
    <d v="2026-06-04T00:00:00"/>
    <s v="PT-384"/>
    <x v="4"/>
    <s v="Cabinda"/>
    <s v="Refinaria"/>
    <s v="Eng. Manuel Santos"/>
    <s v="Calibração"/>
    <x v="0"/>
    <n v="457688"/>
    <s v="Verificar selos de calibração"/>
  </r>
  <r>
    <x v="253"/>
    <n v="1"/>
    <d v="2026-05-12T00:00:00"/>
    <s v="PT-387"/>
    <x v="5"/>
    <s v="Cabinda"/>
    <s v="Fábrica de Cimento"/>
    <s v="Eng. Helder Lucas"/>
    <s v="Preditiva"/>
    <x v="1"/>
    <n v="1469541"/>
    <s v="Verificar selos de calibração"/>
  </r>
  <r>
    <x v="254"/>
    <n v="1"/>
    <d v="2026-02-10T00:00:00"/>
    <s v="PT-104"/>
    <x v="5"/>
    <s v="Benguela"/>
    <s v="Refinaria"/>
    <s v="Téc. António Costa"/>
    <s v="Preditiva"/>
    <x v="0"/>
    <n v="1117609"/>
    <s v="Verificar selos de calibração"/>
  </r>
  <r>
    <x v="255"/>
    <n v="1"/>
    <d v="2026-01-28T00:00:00"/>
    <s v="PT-115"/>
    <x v="1"/>
    <s v="Benguela"/>
    <s v="Central Hídrica"/>
    <s v="Eng. Helder Lucas"/>
    <s v="Preditiva"/>
    <x v="0"/>
    <n v="396874"/>
    <s v="Verificar selos de calibração"/>
  </r>
  <r>
    <x v="256"/>
    <n v="1"/>
    <d v="2026-03-13T00:00:00"/>
    <s v="PT-126"/>
    <x v="3"/>
    <s v="Benguela"/>
    <s v="Central Hídrica"/>
    <s v="Eng.ª Maria Pemba"/>
    <s v="Preditiva"/>
    <x v="0"/>
    <n v="929903"/>
    <s v="Verificar selos de calibração"/>
  </r>
  <r>
    <x v="257"/>
    <n v="1"/>
    <d v="2026-05-11T00:00:00"/>
    <s v="PT-128"/>
    <x v="0"/>
    <s v="Benguela"/>
    <s v="Refinaria"/>
    <s v="Eng.ª Maria Pemba"/>
    <s v="Preditiva"/>
    <x v="0"/>
    <n v="1160868"/>
    <s v="Verificar selos de calibração"/>
  </r>
  <r>
    <x v="258"/>
    <n v="1"/>
    <d v="2026-04-02T00:00:00"/>
    <s v="PT-132"/>
    <x v="3"/>
    <s v="Benguela"/>
    <s v="Fábrica de Cimento"/>
    <s v="Eng.ª Maria Pemba"/>
    <s v="Preventiva"/>
    <x v="1"/>
    <n v="361955"/>
    <s v="Verificar selos de calibração"/>
  </r>
  <r>
    <x v="259"/>
    <n v="1"/>
    <d v="2026-06-10T00:00:00"/>
    <s v="PT-136"/>
    <x v="2"/>
    <s v="Benguela"/>
    <s v="Plataforma Offshore"/>
    <s v="Téc. João Neto"/>
    <s v="Preventiva"/>
    <x v="1"/>
    <n v="891965"/>
    <s v="Verificar selos de calibração"/>
  </r>
  <r>
    <x v="260"/>
    <n v="1"/>
    <d v="2026-02-17T00:00:00"/>
    <s v="PT-143"/>
    <x v="3"/>
    <s v="Benguela"/>
    <s v="Plataforma Offshore"/>
    <s v="Eng.ª Maria Pemba"/>
    <s v="Preventiva"/>
    <x v="0"/>
    <n v="1487188"/>
    <s v="Verificar selos de calibração"/>
  </r>
  <r>
    <x v="261"/>
    <n v="1"/>
    <d v="2026-04-03T00:00:00"/>
    <s v="PT-150"/>
    <x v="1"/>
    <s v="Benguela"/>
    <s v="Refinaria"/>
    <s v="Téc. João Neto"/>
    <s v="Calibração"/>
    <x v="0"/>
    <n v="929381"/>
    <s v="Verificar selos de calibração"/>
  </r>
  <r>
    <x v="262"/>
    <n v="1"/>
    <d v="2026-05-28T00:00:00"/>
    <s v="PT-152"/>
    <x v="2"/>
    <s v="Benguela"/>
    <s v="Plataforma Offshore"/>
    <s v="Téc. António Costa"/>
    <s v="Calibração"/>
    <x v="1"/>
    <n v="320040"/>
    <s v="Verificar selos de calibração"/>
  </r>
  <r>
    <x v="263"/>
    <n v="1"/>
    <d v="2026-03-23T00:00:00"/>
    <s v="PT-153"/>
    <x v="2"/>
    <s v="Benguela"/>
    <s v="Plataforma Offshore"/>
    <s v="Eng. Helder Lucas"/>
    <s v="Preventiva"/>
    <x v="0"/>
    <n v="206570"/>
    <s v="Verificar selos de calibração"/>
  </r>
  <r>
    <x v="264"/>
    <n v="1"/>
    <d v="2026-01-12T00:00:00"/>
    <s v="PT-174"/>
    <x v="4"/>
    <s v="Benguela"/>
    <s v="Plataforma Offshore"/>
    <s v="Eng. Helder Lucas"/>
    <s v="Preventiva"/>
    <x v="1"/>
    <n v="133369"/>
    <s v="Verificar selos de calibração"/>
  </r>
  <r>
    <x v="265"/>
    <n v="1"/>
    <d v="2026-03-31T00:00:00"/>
    <s v="PT-175"/>
    <x v="0"/>
    <s v="Benguela"/>
    <s v="Fábrica de Cimento"/>
    <s v="Eng. Manuel Santos"/>
    <s v="Preventiva"/>
    <x v="0"/>
    <n v="520670"/>
    <s v="Verificar selos de calibração"/>
  </r>
  <r>
    <x v="266"/>
    <n v="1"/>
    <d v="2026-02-07T00:00:00"/>
    <s v="PT-183"/>
    <x v="0"/>
    <s v="Benguela"/>
    <s v="Central Hídrica"/>
    <s v="Eng.ª Maria Pemba"/>
    <s v="Preditiva"/>
    <x v="1"/>
    <n v="981479"/>
    <s v="Verificar selos de calibração"/>
  </r>
  <r>
    <x v="267"/>
    <n v="1"/>
    <d v="2026-04-23T00:00:00"/>
    <s v="PT-198"/>
    <x v="5"/>
    <s v="Benguela"/>
    <s v="Plataforma Offshore"/>
    <s v="Eng. Manuel Santos"/>
    <s v="Calibração"/>
    <x v="1"/>
    <n v="302164"/>
    <s v="Verificar selos de calibração"/>
  </r>
  <r>
    <x v="268"/>
    <n v="1"/>
    <d v="2026-02-18T00:00:00"/>
    <s v="PT-198"/>
    <x v="5"/>
    <s v="Benguela"/>
    <s v="Terminal Oceânico"/>
    <s v="Eng.ª Maria Pemba"/>
    <s v="Calibração"/>
    <x v="0"/>
    <n v="1061967"/>
    <s v="Verificar selos de calibração"/>
  </r>
  <r>
    <x v="269"/>
    <n v="1"/>
    <d v="2026-04-06T00:00:00"/>
    <s v="PT-199"/>
    <x v="1"/>
    <s v="Benguela"/>
    <s v="Plataforma Offshore"/>
    <s v="Téc. António Costa"/>
    <s v="Calibração"/>
    <x v="0"/>
    <n v="493031"/>
    <s v="Verificar selos de calibração"/>
  </r>
  <r>
    <x v="270"/>
    <n v="1"/>
    <d v="2026-06-19T00:00:00"/>
    <s v="PT-215"/>
    <x v="2"/>
    <s v="Benguela"/>
    <s v="Terminal Oceânico"/>
    <s v="Téc. João Neto"/>
    <s v="Preditiva"/>
    <x v="1"/>
    <n v="1156581"/>
    <s v="Verificar selos de calibração"/>
  </r>
  <r>
    <x v="271"/>
    <n v="1"/>
    <d v="2026-03-04T00:00:00"/>
    <s v="PT-244"/>
    <x v="3"/>
    <s v="Benguela"/>
    <s v="Central Hídrica"/>
    <s v="Eng.ª Maria Pemba"/>
    <s v="Calibração"/>
    <x v="0"/>
    <n v="1215898"/>
    <s v="Verificar selos de calibração"/>
  </r>
  <r>
    <x v="272"/>
    <n v="1"/>
    <d v="2026-02-23T00:00:00"/>
    <s v="PT-244"/>
    <x v="4"/>
    <s v="Benguela"/>
    <s v="Fábrica de Cimento"/>
    <s v="Téc. João Neto"/>
    <s v="Preditiva"/>
    <x v="0"/>
    <n v="1451256"/>
    <s v="Verificar selos de calibração"/>
  </r>
  <r>
    <x v="273"/>
    <n v="1"/>
    <d v="2026-06-19T00:00:00"/>
    <s v="PT-246"/>
    <x v="0"/>
    <s v="Benguela"/>
    <s v="Refinaria"/>
    <s v="Eng.ª Maria Pemba"/>
    <s v="Preventiva"/>
    <x v="2"/>
    <n v="126256"/>
    <s v="Verificar selos de calibração"/>
  </r>
  <r>
    <x v="274"/>
    <n v="1"/>
    <d v="2026-01-14T00:00:00"/>
    <s v="PT-249"/>
    <x v="0"/>
    <s v="Benguela"/>
    <s v="Plataforma Offshore"/>
    <s v="Eng. Manuel Santos"/>
    <s v="Calibração"/>
    <x v="0"/>
    <n v="739556"/>
    <s v="Verificar selos de calibração"/>
  </r>
  <r>
    <x v="275"/>
    <n v="1"/>
    <d v="2026-01-05T00:00:00"/>
    <s v="PT-253"/>
    <x v="0"/>
    <s v="Benguela"/>
    <s v="Central Hídrica"/>
    <s v="Téc. António Costa"/>
    <s v="Preventiva"/>
    <x v="0"/>
    <n v="1367363"/>
    <s v="Verificar selos de calibração"/>
  </r>
  <r>
    <x v="276"/>
    <n v="1"/>
    <d v="2026-03-29T00:00:00"/>
    <s v="PT-257"/>
    <x v="1"/>
    <s v="Benguela"/>
    <s v="Terminal Oceânico"/>
    <s v="Eng. Manuel Santos"/>
    <s v="Calibração"/>
    <x v="0"/>
    <n v="1461220"/>
    <s v="Verificar selos de calibração"/>
  </r>
  <r>
    <x v="277"/>
    <n v="1"/>
    <d v="2026-05-08T00:00:00"/>
    <s v="PT-262"/>
    <x v="1"/>
    <s v="Benguela"/>
    <s v="Central Hídrica"/>
    <s v="Eng. Helder Lucas"/>
    <s v="Preditiva"/>
    <x v="2"/>
    <n v="652272"/>
    <s v="Verificar selos de calibração"/>
  </r>
  <r>
    <x v="278"/>
    <n v="1"/>
    <d v="2026-04-26T00:00:00"/>
    <s v="PT-267"/>
    <x v="4"/>
    <s v="Benguela"/>
    <s v="Refinaria"/>
    <s v="Téc. João Neto"/>
    <s v="Preventiva"/>
    <x v="1"/>
    <n v="691147"/>
    <s v="Verificar selos de calibração"/>
  </r>
  <r>
    <x v="279"/>
    <n v="1"/>
    <d v="2026-06-09T00:00:00"/>
    <s v="PT-269"/>
    <x v="2"/>
    <s v="Benguela"/>
    <s v="Central Hídrica"/>
    <s v="Téc. António Costa"/>
    <s v="Calibração"/>
    <x v="0"/>
    <n v="299430"/>
    <s v="Verificar selos de calibração"/>
  </r>
  <r>
    <x v="280"/>
    <n v="1"/>
    <d v="2026-03-25T00:00:00"/>
    <s v="PT-275"/>
    <x v="3"/>
    <s v="Benguela"/>
    <s v="Fábrica de Cimento"/>
    <s v="Eng. Helder Lucas"/>
    <s v="Preditiva"/>
    <x v="0"/>
    <n v="918374"/>
    <s v="Verificar selos de calibração"/>
  </r>
  <r>
    <x v="281"/>
    <n v="1"/>
    <d v="2026-01-22T00:00:00"/>
    <s v="PT-280"/>
    <x v="2"/>
    <s v="Benguela"/>
    <s v="Refinaria"/>
    <s v="Eng. Manuel Santos"/>
    <s v="Preventiva"/>
    <x v="0"/>
    <n v="682543"/>
    <s v="Verificar selos de calibração"/>
  </r>
  <r>
    <x v="282"/>
    <n v="1"/>
    <d v="2026-01-27T00:00:00"/>
    <s v="PT-284"/>
    <x v="3"/>
    <s v="Benguela"/>
    <s v="Fábrica de Cimento"/>
    <s v="Eng. Helder Lucas"/>
    <s v="Preditiva"/>
    <x v="0"/>
    <n v="1207655"/>
    <s v="Verificar selos de calibração"/>
  </r>
  <r>
    <x v="283"/>
    <n v="1"/>
    <d v="2026-03-03T00:00:00"/>
    <s v="PT-295"/>
    <x v="1"/>
    <s v="Benguela"/>
    <s v="Central Hídrica"/>
    <s v="Téc. António Costa"/>
    <s v="Preventiva"/>
    <x v="1"/>
    <n v="103072"/>
    <s v="Verificar selos de calibração"/>
  </r>
  <r>
    <x v="284"/>
    <n v="1"/>
    <d v="2026-05-08T00:00:00"/>
    <s v="PT-312"/>
    <x v="3"/>
    <s v="Benguela"/>
    <s v="Terminal Oceânico"/>
    <s v="Eng. Helder Lucas"/>
    <s v="Preditiva"/>
    <x v="0"/>
    <n v="914690"/>
    <s v="Verificar selos de calibração"/>
  </r>
  <r>
    <x v="285"/>
    <n v="1"/>
    <d v="2026-02-23T00:00:00"/>
    <s v="PT-314"/>
    <x v="3"/>
    <s v="Benguela"/>
    <s v="Refinaria"/>
    <s v="Téc. António Costa"/>
    <s v="Calibração"/>
    <x v="1"/>
    <n v="525584"/>
    <s v="Verificar selos de calibração"/>
  </r>
  <r>
    <x v="286"/>
    <n v="1"/>
    <d v="2026-06-01T00:00:00"/>
    <s v="PT-314"/>
    <x v="0"/>
    <s v="Benguela"/>
    <s v="Refinaria"/>
    <s v="Téc. António Costa"/>
    <s v="Calibração"/>
    <x v="0"/>
    <n v="1145426"/>
    <s v="Verificar selos de calibração"/>
  </r>
  <r>
    <x v="287"/>
    <n v="1"/>
    <d v="2026-06-08T00:00:00"/>
    <s v="PT-314"/>
    <x v="1"/>
    <s v="Benguela"/>
    <s v="Refinaria"/>
    <s v="Téc. João Neto"/>
    <s v="Calibração"/>
    <x v="0"/>
    <n v="803158"/>
    <s v="Verificar selos de calibração"/>
  </r>
  <r>
    <x v="288"/>
    <n v="1"/>
    <d v="2026-02-08T00:00:00"/>
    <s v="PT-316"/>
    <x v="5"/>
    <s v="Benguela"/>
    <s v="Refinaria"/>
    <s v="Téc. António Costa"/>
    <s v="Preventiva"/>
    <x v="0"/>
    <n v="861554"/>
    <s v="Verificar selos de calibração"/>
  </r>
  <r>
    <x v="289"/>
    <n v="1"/>
    <d v="2026-02-20T00:00:00"/>
    <s v="PT-322"/>
    <x v="5"/>
    <s v="Benguela"/>
    <s v="Fábrica de Cimento"/>
    <s v="Eng. Helder Lucas"/>
    <s v="Calibração"/>
    <x v="0"/>
    <n v="367875"/>
    <s v="Verificar selos de calibração"/>
  </r>
  <r>
    <x v="290"/>
    <n v="1"/>
    <d v="2026-01-03T00:00:00"/>
    <s v="PT-322"/>
    <x v="4"/>
    <s v="Benguela"/>
    <s v="Central Hídrica"/>
    <s v="Eng. Manuel Santos"/>
    <s v="Preventiva"/>
    <x v="0"/>
    <n v="198087"/>
    <s v="Verificar selos de calibração"/>
  </r>
  <r>
    <x v="291"/>
    <n v="1"/>
    <d v="2026-01-28T00:00:00"/>
    <s v="PT-322"/>
    <x v="1"/>
    <s v="Benguela"/>
    <s v="Terminal Oceânico"/>
    <s v="Eng.ª Maria Pemba"/>
    <s v="Preditiva"/>
    <x v="1"/>
    <n v="340998"/>
    <s v="Verificar selos de calibração"/>
  </r>
  <r>
    <x v="292"/>
    <n v="1"/>
    <d v="2026-05-11T00:00:00"/>
    <s v="PT-348"/>
    <x v="1"/>
    <s v="Benguela"/>
    <s v="Central Hídrica"/>
    <s v="Téc. António Costa"/>
    <s v="Preditiva"/>
    <x v="0"/>
    <n v="637100"/>
    <s v="Verificar selos de calibração"/>
  </r>
  <r>
    <x v="293"/>
    <n v="1"/>
    <d v="2026-01-15T00:00:00"/>
    <s v="PT-363"/>
    <x v="0"/>
    <s v="Benguela"/>
    <s v="Fábrica de Cimento"/>
    <s v="Eng. Manuel Santos"/>
    <s v="Calibração"/>
    <x v="0"/>
    <n v="457507"/>
    <s v="Verificar selos de calibração"/>
  </r>
  <r>
    <x v="294"/>
    <n v="1"/>
    <d v="2026-01-09T00:00:00"/>
    <s v="PT-372"/>
    <x v="5"/>
    <s v="Benguela"/>
    <s v="Plataforma Offshore"/>
    <s v="Eng.ª Maria Pemba"/>
    <s v="Calibração"/>
    <x v="0"/>
    <n v="306695"/>
    <s v="Verificar selos de calibração"/>
  </r>
  <r>
    <x v="295"/>
    <n v="1"/>
    <d v="2026-05-10T00:00:00"/>
    <s v="PT-376"/>
    <x v="5"/>
    <s v="Benguela"/>
    <s v="Plataforma Offshore"/>
    <s v="Eng. Helder Lucas"/>
    <s v="Preventiva"/>
    <x v="0"/>
    <n v="787266"/>
    <s v="Verificar selos de calibração"/>
  </r>
  <r>
    <x v="296"/>
    <n v="1"/>
    <d v="2026-06-24T00:00:00"/>
    <s v="PT-377"/>
    <x v="3"/>
    <s v="Benguela"/>
    <s v="Terminal Oceânico"/>
    <s v="Téc. António Costa"/>
    <s v="Calibração"/>
    <x v="1"/>
    <n v="1062237"/>
    <s v="Verificar selos de calibração"/>
  </r>
  <r>
    <x v="297"/>
    <n v="1"/>
    <d v="2026-01-28T00:00:00"/>
    <s v="PT-379"/>
    <x v="0"/>
    <s v="Benguela"/>
    <s v="Fábrica de Cimento"/>
    <s v="Eng. Helder Lucas"/>
    <s v="Calibração"/>
    <x v="0"/>
    <n v="468267"/>
    <s v="Verificar selos de calibração"/>
  </r>
  <r>
    <x v="298"/>
    <n v="1"/>
    <d v="2026-05-14T00:00:00"/>
    <s v="PT-387"/>
    <x v="0"/>
    <s v="Benguela"/>
    <s v="Refinaria"/>
    <s v="Téc. João Neto"/>
    <s v="Preditiva"/>
    <x v="0"/>
    <n v="492882"/>
    <s v="Verificar selos de calibração"/>
  </r>
  <r>
    <x v="299"/>
    <n v="1"/>
    <d v="2026-06-01T00:00:00"/>
    <s v="PT-391"/>
    <x v="1"/>
    <s v="Benguela"/>
    <s v="Central Hídrica"/>
    <s v="Eng. Manuel Santos"/>
    <s v="Preventiva"/>
    <x v="2"/>
    <n v="991763"/>
    <s v="Verificar selos de calibraçã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rowHeaderCaption="Tipo de Equipamento">
  <location ref="V13:Y20" firstHeaderRow="1" firstDataRow="2" firstDataCol="1"/>
  <pivotFields count="12">
    <pivotField dataField="1" showAll="0"/>
    <pivotField numFmtId="1" showAll="0"/>
    <pivotField numFmtId="166" showAll="0"/>
    <pivotField showAll="0"/>
    <pivotField axis="axisRow" showAll="0">
      <items count="7">
        <item x="3"/>
        <item x="5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numFmtId="164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9"/>
  </colFields>
  <colItems count="3">
    <i>
      <x/>
    </i>
    <i>
      <x v="1"/>
    </i>
    <i>
      <x v="2"/>
    </i>
  </colItems>
  <dataFields count="1">
    <dataField name="Contagem de ID_Orde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ipo de Equipamento">
  <location ref="S13:T20" firstHeaderRow="1" firstDataRow="1" firstDataCol="1"/>
  <pivotFields count="12">
    <pivotField showAll="0"/>
    <pivotField numFmtId="1" showAll="0"/>
    <pivotField numFmtId="166" showAll="0"/>
    <pivotField showAll="0"/>
    <pivotField axis="axisRow" showAll="0">
      <items count="7">
        <item x="3"/>
        <item x="5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Estados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SULTADO" colHeaderCaption="NORMAIS">
  <location ref="L4:R9" firstHeaderRow="1" firstDataRow="2" firstDataCol="1"/>
  <pivotFields count="9">
    <pivotField showAll="0"/>
    <pivotField axis="axisCol" showAll="0">
      <items count="6">
        <item x="3"/>
        <item x="0"/>
        <item x="4"/>
        <item x="2"/>
        <item x="1"/>
        <item t="default"/>
      </items>
    </pivotField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numFmtId="165"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RISCO DE MULTA" fld="7" baseField="0" baseItem="0"/>
  </dataFields>
  <formats count="1">
    <format dxfId="0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EQUIPAMENTO" colHeaderCaption="PROVINCIAS">
  <location ref="A4:I13" firstHeaderRow="1" firstDataRow="2" firstDataCol="1"/>
  <pivotFields count="2">
    <pivotField axis="axisRow" showAll="0">
      <items count="8">
        <item x="3"/>
        <item x="5"/>
        <item x="2"/>
        <item x="4"/>
        <item x="0"/>
        <item x="1"/>
        <item x="6"/>
        <item t="default"/>
      </items>
    </pivotField>
    <pivotField axis="axisCol" showAll="0">
      <items count="8">
        <item x="5"/>
        <item x="4"/>
        <item x="3"/>
        <item x="2"/>
        <item x="1"/>
        <item x="0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1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15:M316" firstHeaderRow="1" firstDataRow="1" firstDataCol="1"/>
  <pivotFields count="12">
    <pivotField axis="axisRow" showAll="0">
      <items count="301">
        <item x="111"/>
        <item x="244"/>
        <item x="261"/>
        <item x="293"/>
        <item x="52"/>
        <item x="256"/>
        <item x="150"/>
        <item x="159"/>
        <item x="104"/>
        <item x="121"/>
        <item x="161"/>
        <item x="23"/>
        <item x="106"/>
        <item x="60"/>
        <item x="238"/>
        <item x="8"/>
        <item x="212"/>
        <item x="29"/>
        <item x="194"/>
        <item x="276"/>
        <item x="167"/>
        <item x="107"/>
        <item x="221"/>
        <item x="151"/>
        <item x="259"/>
        <item x="50"/>
        <item x="281"/>
        <item x="71"/>
        <item x="268"/>
        <item x="88"/>
        <item x="270"/>
        <item x="90"/>
        <item x="246"/>
        <item x="140"/>
        <item x="154"/>
        <item x="181"/>
        <item x="110"/>
        <item x="51"/>
        <item x="289"/>
        <item x="169"/>
        <item x="10"/>
        <item x="30"/>
        <item x="102"/>
        <item x="126"/>
        <item x="253"/>
        <item x="229"/>
        <item x="179"/>
        <item x="230"/>
        <item x="294"/>
        <item x="222"/>
        <item x="210"/>
        <item x="245"/>
        <item x="280"/>
        <item x="62"/>
        <item x="186"/>
        <item x="98"/>
        <item x="59"/>
        <item x="56"/>
        <item x="4"/>
        <item x="142"/>
        <item x="1"/>
        <item x="155"/>
        <item x="81"/>
        <item x="182"/>
        <item x="118"/>
        <item x="298"/>
        <item x="285"/>
        <item x="214"/>
        <item x="139"/>
        <item x="190"/>
        <item x="13"/>
        <item x="89"/>
        <item x="225"/>
        <item x="274"/>
        <item x="12"/>
        <item x="33"/>
        <item x="84"/>
        <item x="157"/>
        <item x="263"/>
        <item x="176"/>
        <item x="46"/>
        <item x="65"/>
        <item x="170"/>
        <item x="125"/>
        <item x="254"/>
        <item x="123"/>
        <item x="38"/>
        <item x="204"/>
        <item x="168"/>
        <item x="183"/>
        <item x="48"/>
        <item x="21"/>
        <item x="124"/>
        <item x="231"/>
        <item x="136"/>
        <item x="271"/>
        <item x="76"/>
        <item x="207"/>
        <item x="219"/>
        <item x="66"/>
        <item x="243"/>
        <item x="127"/>
        <item x="49"/>
        <item x="180"/>
        <item x="131"/>
        <item x="67"/>
        <item x="77"/>
        <item x="53"/>
        <item x="95"/>
        <item x="105"/>
        <item x="220"/>
        <item x="129"/>
        <item x="177"/>
        <item x="7"/>
        <item x="16"/>
        <item x="152"/>
        <item x="158"/>
        <item x="35"/>
        <item x="37"/>
        <item x="216"/>
        <item x="296"/>
        <item x="200"/>
        <item x="69"/>
        <item x="275"/>
        <item x="134"/>
        <item x="15"/>
        <item x="282"/>
        <item x="208"/>
        <item x="148"/>
        <item x="68"/>
        <item x="63"/>
        <item x="174"/>
        <item x="197"/>
        <item x="40"/>
        <item x="93"/>
        <item x="112"/>
        <item x="269"/>
        <item x="162"/>
        <item x="248"/>
        <item x="240"/>
        <item x="166"/>
        <item x="45"/>
        <item x="211"/>
        <item x="97"/>
        <item x="122"/>
        <item x="163"/>
        <item x="188"/>
        <item x="291"/>
        <item x="201"/>
        <item x="273"/>
        <item x="175"/>
        <item x="203"/>
        <item x="164"/>
        <item x="255"/>
        <item x="297"/>
        <item x="199"/>
        <item x="249"/>
        <item x="27"/>
        <item x="26"/>
        <item x="32"/>
        <item x="277"/>
        <item x="258"/>
        <item x="235"/>
        <item x="19"/>
        <item x="47"/>
        <item x="171"/>
        <item x="278"/>
        <item x="6"/>
        <item x="115"/>
        <item x="252"/>
        <item x="109"/>
        <item x="120"/>
        <item x="247"/>
        <item x="153"/>
        <item x="3"/>
        <item x="286"/>
        <item x="218"/>
        <item x="205"/>
        <item x="119"/>
        <item x="217"/>
        <item x="75"/>
        <item x="74"/>
        <item x="283"/>
        <item x="20"/>
        <item x="264"/>
        <item x="288"/>
        <item x="295"/>
        <item x="292"/>
        <item x="185"/>
        <item x="192"/>
        <item x="242"/>
        <item x="86"/>
        <item x="267"/>
        <item x="213"/>
        <item x="72"/>
        <item x="138"/>
        <item x="25"/>
        <item x="191"/>
        <item x="149"/>
        <item x="61"/>
        <item x="156"/>
        <item x="34"/>
        <item x="57"/>
        <item x="160"/>
        <item x="193"/>
        <item x="209"/>
        <item x="250"/>
        <item x="117"/>
        <item x="266"/>
        <item x="146"/>
        <item x="87"/>
        <item x="58"/>
        <item x="144"/>
        <item x="18"/>
        <item x="196"/>
        <item x="70"/>
        <item x="206"/>
        <item x="103"/>
        <item x="239"/>
        <item x="290"/>
        <item x="64"/>
        <item x="184"/>
        <item x="215"/>
        <item x="73"/>
        <item x="2"/>
        <item x="262"/>
        <item x="82"/>
        <item x="227"/>
        <item x="9"/>
        <item x="114"/>
        <item x="223"/>
        <item x="236"/>
        <item x="5"/>
        <item x="237"/>
        <item x="42"/>
        <item x="78"/>
        <item x="22"/>
        <item x="28"/>
        <item x="287"/>
        <item x="41"/>
        <item x="44"/>
        <item x="135"/>
        <item x="96"/>
        <item x="265"/>
        <item x="108"/>
        <item x="173"/>
        <item x="100"/>
        <item x="94"/>
        <item x="165"/>
        <item x="31"/>
        <item x="133"/>
        <item x="234"/>
        <item x="279"/>
        <item x="251"/>
        <item x="178"/>
        <item x="91"/>
        <item x="55"/>
        <item x="257"/>
        <item x="83"/>
        <item x="79"/>
        <item x="272"/>
        <item x="147"/>
        <item x="132"/>
        <item x="299"/>
        <item x="172"/>
        <item x="99"/>
        <item x="101"/>
        <item x="189"/>
        <item x="141"/>
        <item x="17"/>
        <item x="39"/>
        <item x="0"/>
        <item x="113"/>
        <item x="130"/>
        <item x="187"/>
        <item x="80"/>
        <item x="198"/>
        <item x="195"/>
        <item x="128"/>
        <item x="11"/>
        <item x="228"/>
        <item x="54"/>
        <item x="145"/>
        <item x="36"/>
        <item x="224"/>
        <item x="226"/>
        <item x="116"/>
        <item x="260"/>
        <item x="85"/>
        <item x="232"/>
        <item x="143"/>
        <item x="137"/>
        <item x="14"/>
        <item x="284"/>
        <item x="92"/>
        <item x="202"/>
        <item x="43"/>
        <item x="233"/>
        <item x="241"/>
        <item x="24"/>
        <item t="default"/>
      </items>
    </pivotField>
    <pivotField numFmtId="1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</pivotFields>
  <rowFields count="1">
    <field x="0"/>
  </rowFields>
  <rowItems count="3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 t="grand">
      <x/>
    </i>
  </rowItems>
  <colItems count="1">
    <i/>
  </colItems>
  <dataFields count="1">
    <dataField name="Soma de Custo_Estimado_AKZ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L301" totalsRowShown="0" headerRowDxfId="21" headerRowBorderDxfId="20" tableBorderDxfId="19">
  <autoFilter ref="A1:L301"/>
  <sortState ref="A2:L301">
    <sortCondition descending="1" ref="F2:F301"/>
  </sortState>
  <tableColumns count="12">
    <tableColumn id="1" name="ID_Ordem" dataDxfId="18"/>
    <tableColumn id="12" name="Numeros" dataDxfId="17">
      <calculatedColumnFormula>B1+1</calculatedColumnFormula>
    </tableColumn>
    <tableColumn id="2" name="Data_Programada" dataDxfId="16"/>
    <tableColumn id="3" name="Tag_Equipamento" dataDxfId="15"/>
    <tableColumn id="4" name="Tipo_Equipamento" dataDxfId="14"/>
    <tableColumn id="5" name="Província" dataDxfId="13"/>
    <tableColumn id="6" name="Unidade_Operacional" dataDxfId="12"/>
    <tableColumn id="7" name="Técnico_Responsável" dataDxfId="11"/>
    <tableColumn id="8" name="Tipo_Manutenção" dataDxfId="10"/>
    <tableColumn id="9" name="Estado" dataDxfId="9"/>
    <tableColumn id="10" name="Custo_Estimado_AKZ" dataDxfId="8"/>
    <tableColumn id="11" name="Observações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O5:P8" totalsRowShown="0">
  <autoFilter ref="O5:P8"/>
  <tableColumns count="2">
    <tableColumn id="1" name="Estado" dataDxfId="6"/>
    <tableColumn id="2" name="Total">
      <calculatedColumnFormula>SUMIF(Tabela1[[#All],[Estado]],O6,Tabela1[[#All],[Numeros]])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3" displayName="Tabela3" ref="A1:I301" totalsRowShown="0" headerRowDxfId="5" headerRowBorderDxfId="4" tableBorderDxfId="3">
  <autoFilter ref="A1:I301"/>
  <tableColumns count="9">
    <tableColumn id="1" name="ID_Auditoria"/>
    <tableColumn id="2" name="Norma_Referência"/>
    <tableColumn id="3" name="Área_Auditada"/>
    <tableColumn id="4" name="Data_Inspecção" dataDxfId="2"/>
    <tableColumn id="5" name="Resultado"/>
    <tableColumn id="6" name="Inspector"/>
    <tableColumn id="7" name="Validade_Certificado" dataDxfId="1"/>
    <tableColumn id="8" name="Risco_Multa_AKZ"/>
    <tableColumn id="9" name="Ação_Corretiv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showGridLines="0" workbookViewId="0">
      <selection activeCell="C17" sqref="C17"/>
    </sheetView>
  </sheetViews>
  <sheetFormatPr defaultRowHeight="15"/>
  <cols>
    <col min="1" max="1" width="17.85546875" bestFit="1" customWidth="1"/>
    <col min="2" max="2" width="30.85546875" bestFit="1" customWidth="1"/>
    <col min="3" max="3" width="143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9" spans="1:3" ht="16.5" customHeight="1">
      <c r="A9" s="1" t="s">
        <v>1204</v>
      </c>
      <c r="B9" s="1" t="s">
        <v>1205</v>
      </c>
      <c r="C9" s="1" t="s">
        <v>1206</v>
      </c>
    </row>
    <row r="10" spans="1:3">
      <c r="A10" t="s">
        <v>1207</v>
      </c>
      <c r="B10" t="s">
        <v>1208</v>
      </c>
      <c r="C10" t="s">
        <v>1209</v>
      </c>
    </row>
    <row r="11" spans="1:3">
      <c r="A11" t="s">
        <v>1207</v>
      </c>
      <c r="B11" t="s">
        <v>1210</v>
      </c>
      <c r="C11" t="s">
        <v>1211</v>
      </c>
    </row>
    <row r="12" spans="1:3">
      <c r="A12" t="s">
        <v>1212</v>
      </c>
      <c r="B12" t="s">
        <v>1213</v>
      </c>
      <c r="C12" t="s">
        <v>1214</v>
      </c>
    </row>
    <row r="13" spans="1:3">
      <c r="A13" t="s">
        <v>1212</v>
      </c>
      <c r="B13" t="s">
        <v>1215</v>
      </c>
      <c r="C13" t="s">
        <v>1216</v>
      </c>
    </row>
    <row r="14" spans="1:3">
      <c r="A14" t="s">
        <v>1217</v>
      </c>
      <c r="B14" t="s">
        <v>1218</v>
      </c>
      <c r="C14" t="s">
        <v>1219</v>
      </c>
    </row>
    <row r="15" spans="1:3">
      <c r="A15" t="s">
        <v>1217</v>
      </c>
      <c r="B15" t="s">
        <v>1220</v>
      </c>
      <c r="C15" t="s">
        <v>1221</v>
      </c>
    </row>
    <row r="16" spans="1:3">
      <c r="A16" t="s">
        <v>1222</v>
      </c>
      <c r="B16" t="s">
        <v>13</v>
      </c>
      <c r="C16" t="s">
        <v>1223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D20"/>
  <sheetViews>
    <sheetView zoomScale="70" zoomScaleNormal="70" workbookViewId="0">
      <selection activeCell="J8" sqref="J8"/>
    </sheetView>
  </sheetViews>
  <sheetFormatPr defaultRowHeight="15"/>
  <cols>
    <col min="4" max="4" width="34" customWidth="1"/>
  </cols>
  <sheetData>
    <row r="2" spans="4:4" ht="23.25">
      <c r="D2" s="25" t="s">
        <v>1236</v>
      </c>
    </row>
    <row r="3" spans="4:4" ht="23.25">
      <c r="D3" s="25" t="s">
        <v>1237</v>
      </c>
    </row>
    <row r="4" spans="4:4" ht="23.25">
      <c r="D4" s="25" t="s">
        <v>1238</v>
      </c>
    </row>
    <row r="5" spans="4:4" ht="23.25">
      <c r="D5" s="25" t="s">
        <v>1239</v>
      </c>
    </row>
    <row r="6" spans="4:4" ht="23.25">
      <c r="D6" s="26" t="s">
        <v>1240</v>
      </c>
    </row>
    <row r="7" spans="4:4" ht="23.25">
      <c r="D7" s="25" t="s">
        <v>1241</v>
      </c>
    </row>
    <row r="8" spans="4:4" ht="23.25">
      <c r="D8" s="25" t="s">
        <v>1242</v>
      </c>
    </row>
    <row r="9" spans="4:4" ht="23.25">
      <c r="D9" s="25" t="s">
        <v>1243</v>
      </c>
    </row>
    <row r="10" spans="4:4" ht="23.25">
      <c r="D10" s="25" t="s">
        <v>1244</v>
      </c>
    </row>
    <row r="11" spans="4:4" ht="23.25">
      <c r="D11" s="24" t="s">
        <v>1245</v>
      </c>
    </row>
    <row r="12" spans="4:4" ht="23.25">
      <c r="D12" s="24" t="s">
        <v>1246</v>
      </c>
    </row>
    <row r="13" spans="4:4" ht="23.25">
      <c r="D13" s="24" t="s">
        <v>1247</v>
      </c>
    </row>
    <row r="14" spans="4:4" ht="23.25">
      <c r="D14" s="24" t="s">
        <v>1248</v>
      </c>
    </row>
    <row r="15" spans="4:4" ht="23.25">
      <c r="D15" s="24" t="s">
        <v>1249</v>
      </c>
    </row>
    <row r="16" spans="4:4" ht="23.25">
      <c r="D16" s="24" t="s">
        <v>1250</v>
      </c>
    </row>
    <row r="17" spans="4:4" ht="23.25">
      <c r="D17" s="24" t="s">
        <v>1251</v>
      </c>
    </row>
    <row r="18" spans="4:4" ht="23.25">
      <c r="D18" s="24" t="s">
        <v>1252</v>
      </c>
    </row>
    <row r="19" spans="4:4" ht="23.25">
      <c r="D19" s="24" t="s">
        <v>1253</v>
      </c>
    </row>
    <row r="20" spans="4:4" ht="23.25">
      <c r="D20" s="24" t="s">
        <v>1254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1"/>
  <sheetViews>
    <sheetView topLeftCell="R1" zoomScale="130" zoomScaleNormal="130" workbookViewId="0">
      <selection activeCell="V9" sqref="V9"/>
    </sheetView>
  </sheetViews>
  <sheetFormatPr defaultRowHeight="15"/>
  <cols>
    <col min="1" max="1" width="11.42578125" style="4" customWidth="1"/>
    <col min="2" max="2" width="20.7109375" style="14" bestFit="1" customWidth="1"/>
    <col min="3" max="3" width="20.7109375" style="4" bestFit="1" customWidth="1"/>
    <col min="4" max="4" width="22" style="4" bestFit="1" customWidth="1"/>
    <col min="5" max="5" width="22.5703125" style="4" bestFit="1" customWidth="1"/>
    <col min="6" max="6" width="21.140625" style="4" customWidth="1"/>
    <col min="7" max="7" width="20.7109375" style="4" customWidth="1"/>
    <col min="8" max="8" width="18.28515625" style="4" customWidth="1"/>
    <col min="9" max="9" width="11.140625" style="4" bestFit="1" customWidth="1"/>
    <col min="10" max="10" width="23.5703125" style="6" bestFit="1" customWidth="1"/>
    <col min="11" max="11" width="26.140625" style="4" bestFit="1" customWidth="1"/>
    <col min="12" max="12" width="24.140625" bestFit="1" customWidth="1"/>
    <col min="19" max="19" width="22.42578125" bestFit="1" customWidth="1"/>
    <col min="20" max="20" width="7.7109375" customWidth="1"/>
    <col min="22" max="22" width="22.5703125" bestFit="1" customWidth="1"/>
    <col min="23" max="23" width="19.5703125" customWidth="1"/>
    <col min="24" max="24" width="9.85546875" bestFit="1" customWidth="1"/>
    <col min="25" max="25" width="9.7109375" bestFit="1" customWidth="1"/>
    <col min="26" max="26" width="10.7109375" bestFit="1" customWidth="1"/>
  </cols>
  <sheetData>
    <row r="1" spans="1:25">
      <c r="A1" s="3" t="s">
        <v>18</v>
      </c>
      <c r="B1" s="13" t="s">
        <v>1227</v>
      </c>
      <c r="C1" s="9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5" t="s">
        <v>27</v>
      </c>
      <c r="L1" s="3" t="s">
        <v>28</v>
      </c>
    </row>
    <row r="2" spans="1:25">
      <c r="A2" s="4" t="s">
        <v>509</v>
      </c>
      <c r="B2" s="14">
        <v>1</v>
      </c>
      <c r="C2" s="10">
        <v>46134</v>
      </c>
      <c r="D2" s="4" t="s">
        <v>422</v>
      </c>
      <c r="E2" s="4" t="s">
        <v>40</v>
      </c>
      <c r="F2" s="4" t="s">
        <v>56</v>
      </c>
      <c r="G2" s="4" t="s">
        <v>49</v>
      </c>
      <c r="H2" s="4" t="s">
        <v>53</v>
      </c>
      <c r="I2" s="4" t="s">
        <v>50</v>
      </c>
      <c r="J2" s="4" t="s">
        <v>36</v>
      </c>
      <c r="K2" s="6">
        <v>1237169</v>
      </c>
      <c r="L2" s="4" t="s">
        <v>37</v>
      </c>
    </row>
    <row r="3" spans="1:25">
      <c r="A3" s="4" t="s">
        <v>176</v>
      </c>
      <c r="B3" s="14">
        <v>1</v>
      </c>
      <c r="C3" s="10">
        <v>46186</v>
      </c>
      <c r="D3" s="4" t="s">
        <v>177</v>
      </c>
      <c r="E3" s="4" t="s">
        <v>47</v>
      </c>
      <c r="F3" s="4" t="s">
        <v>56</v>
      </c>
      <c r="G3" s="4" t="s">
        <v>72</v>
      </c>
      <c r="H3" s="4" t="s">
        <v>65</v>
      </c>
      <c r="I3" s="4" t="s">
        <v>35</v>
      </c>
      <c r="J3" s="4" t="s">
        <v>36</v>
      </c>
      <c r="K3" s="6">
        <v>615609</v>
      </c>
      <c r="L3" s="4" t="s">
        <v>37</v>
      </c>
    </row>
    <row r="4" spans="1:25">
      <c r="A4" s="4" t="s">
        <v>438</v>
      </c>
      <c r="B4" s="14">
        <v>1</v>
      </c>
      <c r="C4" s="10">
        <v>46169</v>
      </c>
      <c r="D4" s="4" t="s">
        <v>439</v>
      </c>
      <c r="E4" s="4" t="s">
        <v>47</v>
      </c>
      <c r="F4" s="4" t="s">
        <v>56</v>
      </c>
      <c r="G4" s="4" t="s">
        <v>33</v>
      </c>
      <c r="H4" s="4" t="s">
        <v>43</v>
      </c>
      <c r="I4" s="4" t="s">
        <v>50</v>
      </c>
      <c r="J4" s="4" t="s">
        <v>57</v>
      </c>
      <c r="K4" s="6">
        <v>190905</v>
      </c>
      <c r="L4" s="4" t="s">
        <v>37</v>
      </c>
    </row>
    <row r="5" spans="1:25">
      <c r="A5" s="4" t="s">
        <v>369</v>
      </c>
      <c r="B5" s="14">
        <v>1</v>
      </c>
      <c r="C5" s="10">
        <v>46194</v>
      </c>
      <c r="D5" s="4" t="s">
        <v>84</v>
      </c>
      <c r="E5" s="4" t="s">
        <v>31</v>
      </c>
      <c r="F5" s="4" t="s">
        <v>56</v>
      </c>
      <c r="G5" s="4" t="s">
        <v>61</v>
      </c>
      <c r="H5" s="4" t="s">
        <v>34</v>
      </c>
      <c r="I5" s="4" t="s">
        <v>50</v>
      </c>
      <c r="J5" s="4" t="s">
        <v>57</v>
      </c>
      <c r="K5" s="6">
        <v>215937</v>
      </c>
      <c r="L5" s="4" t="s">
        <v>37</v>
      </c>
      <c r="O5" s="11" t="s">
        <v>26</v>
      </c>
      <c r="P5" t="s">
        <v>1228</v>
      </c>
    </row>
    <row r="6" spans="1:25">
      <c r="A6" s="4" t="s">
        <v>172</v>
      </c>
      <c r="B6" s="14">
        <v>1</v>
      </c>
      <c r="C6" s="10">
        <v>46057</v>
      </c>
      <c r="D6" s="4" t="s">
        <v>173</v>
      </c>
      <c r="E6" s="4" t="s">
        <v>60</v>
      </c>
      <c r="F6" s="4" t="s">
        <v>56</v>
      </c>
      <c r="G6" s="4" t="s">
        <v>49</v>
      </c>
      <c r="H6" s="4" t="s">
        <v>34</v>
      </c>
      <c r="I6" s="4" t="s">
        <v>35</v>
      </c>
      <c r="J6" s="4" t="s">
        <v>36</v>
      </c>
      <c r="K6" s="6">
        <v>938036</v>
      </c>
      <c r="L6" s="4" t="s">
        <v>37</v>
      </c>
      <c r="O6" s="12" t="s">
        <v>36</v>
      </c>
      <c r="P6">
        <f>SUMIF(Tabela1[[#All],[Estado]],O6,Tabela1[[#All],[Numeros]])</f>
        <v>190</v>
      </c>
    </row>
    <row r="7" spans="1:25">
      <c r="A7" s="4" t="s">
        <v>449</v>
      </c>
      <c r="B7" s="14">
        <v>1</v>
      </c>
      <c r="C7" s="10">
        <v>46104</v>
      </c>
      <c r="D7" s="4" t="s">
        <v>450</v>
      </c>
      <c r="E7" s="4" t="s">
        <v>77</v>
      </c>
      <c r="F7" s="4" t="s">
        <v>56</v>
      </c>
      <c r="G7" s="4" t="s">
        <v>42</v>
      </c>
      <c r="H7" s="4" t="s">
        <v>53</v>
      </c>
      <c r="I7" s="4" t="s">
        <v>50</v>
      </c>
      <c r="J7" s="4" t="s">
        <v>57</v>
      </c>
      <c r="K7" s="6">
        <v>352929</v>
      </c>
      <c r="L7" s="4" t="s">
        <v>37</v>
      </c>
      <c r="O7" s="12" t="s">
        <v>57</v>
      </c>
      <c r="P7">
        <f>SUMIF(Tabela1[[#All],[Estado]],O7,Tabela1[[#All],[Numeros]])</f>
        <v>87</v>
      </c>
      <c r="S7" s="29" t="s">
        <v>1257</v>
      </c>
    </row>
    <row r="8" spans="1:25">
      <c r="A8" s="4" t="s">
        <v>358</v>
      </c>
      <c r="B8" s="14">
        <v>1</v>
      </c>
      <c r="C8" s="10">
        <v>46025</v>
      </c>
      <c r="D8" s="4" t="s">
        <v>359</v>
      </c>
      <c r="E8" s="4" t="s">
        <v>77</v>
      </c>
      <c r="F8" s="4" t="s">
        <v>56</v>
      </c>
      <c r="G8" s="4" t="s">
        <v>33</v>
      </c>
      <c r="H8" s="4" t="s">
        <v>65</v>
      </c>
      <c r="I8" s="4" t="s">
        <v>62</v>
      </c>
      <c r="J8" s="4" t="s">
        <v>36</v>
      </c>
      <c r="K8" s="6">
        <v>238490</v>
      </c>
      <c r="L8" s="4" t="s">
        <v>37</v>
      </c>
      <c r="O8" s="12" t="s">
        <v>44</v>
      </c>
      <c r="P8">
        <f>SUMIF(Tabela1[[#All],[Estado]],O8,Tabela1[[#All],[Numeros]])</f>
        <v>23</v>
      </c>
    </row>
    <row r="9" spans="1:25">
      <c r="A9" s="4" t="s">
        <v>269</v>
      </c>
      <c r="B9" s="14">
        <v>1</v>
      </c>
      <c r="C9" s="10">
        <v>46084</v>
      </c>
      <c r="D9" s="4" t="s">
        <v>270</v>
      </c>
      <c r="E9" s="4" t="s">
        <v>47</v>
      </c>
      <c r="F9" s="4" t="s">
        <v>56</v>
      </c>
      <c r="G9" s="4" t="s">
        <v>33</v>
      </c>
      <c r="H9" s="4" t="s">
        <v>53</v>
      </c>
      <c r="I9" s="4" t="s">
        <v>50</v>
      </c>
      <c r="J9" s="4" t="s">
        <v>36</v>
      </c>
      <c r="K9" s="6">
        <v>154195</v>
      </c>
      <c r="L9" s="4" t="s">
        <v>37</v>
      </c>
      <c r="Y9" t="s">
        <v>1255</v>
      </c>
    </row>
    <row r="10" spans="1:25">
      <c r="A10" s="4" t="s">
        <v>87</v>
      </c>
      <c r="B10" s="14">
        <v>1</v>
      </c>
      <c r="C10" s="10">
        <v>46153</v>
      </c>
      <c r="D10" s="4" t="s">
        <v>88</v>
      </c>
      <c r="E10" s="4" t="s">
        <v>60</v>
      </c>
      <c r="F10" s="4" t="s">
        <v>56</v>
      </c>
      <c r="G10" s="4" t="s">
        <v>49</v>
      </c>
      <c r="H10" s="4" t="s">
        <v>34</v>
      </c>
      <c r="I10" s="4" t="s">
        <v>50</v>
      </c>
      <c r="J10" s="4" t="s">
        <v>36</v>
      </c>
      <c r="K10" s="6">
        <v>1436992</v>
      </c>
      <c r="L10" s="4" t="s">
        <v>37</v>
      </c>
      <c r="O10" s="27" t="s">
        <v>1256</v>
      </c>
    </row>
    <row r="11" spans="1:25">
      <c r="A11" s="4" t="s">
        <v>443</v>
      </c>
      <c r="B11" s="14">
        <v>1</v>
      </c>
      <c r="C11" s="10">
        <v>46183</v>
      </c>
      <c r="D11" s="4" t="s">
        <v>444</v>
      </c>
      <c r="E11" s="4" t="s">
        <v>68</v>
      </c>
      <c r="F11" s="4" t="s">
        <v>56</v>
      </c>
      <c r="G11" s="4" t="s">
        <v>61</v>
      </c>
      <c r="H11" s="4" t="s">
        <v>53</v>
      </c>
      <c r="I11" s="4" t="s">
        <v>50</v>
      </c>
      <c r="J11" s="4" t="s">
        <v>36</v>
      </c>
      <c r="K11" s="6">
        <v>1194620</v>
      </c>
      <c r="L11" s="4" t="s">
        <v>37</v>
      </c>
      <c r="O11" s="29" t="s">
        <v>1258</v>
      </c>
    </row>
    <row r="12" spans="1:25">
      <c r="A12" s="4" t="s">
        <v>137</v>
      </c>
      <c r="B12" s="14">
        <v>1</v>
      </c>
      <c r="C12" s="10">
        <v>46043</v>
      </c>
      <c r="D12" s="4" t="s">
        <v>138</v>
      </c>
      <c r="E12" s="4" t="s">
        <v>68</v>
      </c>
      <c r="F12" s="4" t="s">
        <v>56</v>
      </c>
      <c r="G12" s="4" t="s">
        <v>33</v>
      </c>
      <c r="H12" s="4" t="s">
        <v>65</v>
      </c>
      <c r="I12" s="4" t="s">
        <v>35</v>
      </c>
      <c r="J12" s="4" t="s">
        <v>36</v>
      </c>
      <c r="K12" s="6">
        <v>618926</v>
      </c>
      <c r="L12" s="4" t="s">
        <v>37</v>
      </c>
      <c r="P12" t="s">
        <v>44</v>
      </c>
    </row>
    <row r="13" spans="1:25">
      <c r="A13" s="4" t="s">
        <v>517</v>
      </c>
      <c r="B13" s="14">
        <v>1</v>
      </c>
      <c r="C13" s="10">
        <v>46076</v>
      </c>
      <c r="D13" s="4" t="s">
        <v>138</v>
      </c>
      <c r="E13" s="4" t="s">
        <v>68</v>
      </c>
      <c r="F13" s="4" t="s">
        <v>56</v>
      </c>
      <c r="G13" s="4" t="s">
        <v>61</v>
      </c>
      <c r="H13" s="4" t="s">
        <v>65</v>
      </c>
      <c r="I13" s="4" t="s">
        <v>62</v>
      </c>
      <c r="J13" s="4" t="s">
        <v>36</v>
      </c>
      <c r="K13" s="6">
        <v>398688</v>
      </c>
      <c r="L13" s="4" t="s">
        <v>37</v>
      </c>
      <c r="O13">
        <f>COUNTIFS(Tabela1[Tipo_Equipamento],"Analisador de Gás",Tabela1[Estado],P12)</f>
        <v>2</v>
      </c>
      <c r="Q13" s="28" t="s">
        <v>26</v>
      </c>
      <c r="S13" s="7" t="s">
        <v>1259</v>
      </c>
      <c r="T13" t="s">
        <v>1260</v>
      </c>
      <c r="V13" s="7" t="s">
        <v>1262</v>
      </c>
      <c r="W13" s="7" t="s">
        <v>1261</v>
      </c>
    </row>
    <row r="14" spans="1:25">
      <c r="A14" s="4" t="s">
        <v>201</v>
      </c>
      <c r="B14" s="14">
        <v>1</v>
      </c>
      <c r="C14" s="10">
        <v>46117</v>
      </c>
      <c r="D14" s="4" t="s">
        <v>138</v>
      </c>
      <c r="E14" s="4" t="s">
        <v>77</v>
      </c>
      <c r="F14" s="4" t="s">
        <v>56</v>
      </c>
      <c r="G14" s="4" t="s">
        <v>61</v>
      </c>
      <c r="H14" s="4" t="s">
        <v>34</v>
      </c>
      <c r="I14" s="4" t="s">
        <v>35</v>
      </c>
      <c r="J14" s="4" t="s">
        <v>36</v>
      </c>
      <c r="K14" s="6">
        <v>742095</v>
      </c>
      <c r="L14" s="4" t="s">
        <v>37</v>
      </c>
      <c r="Q14" s="23" t="s">
        <v>36</v>
      </c>
      <c r="S14" s="8" t="s">
        <v>60</v>
      </c>
      <c r="T14" s="18">
        <v>53</v>
      </c>
      <c r="V14" s="7" t="s">
        <v>1259</v>
      </c>
      <c r="W14" t="s">
        <v>36</v>
      </c>
      <c r="X14" t="s">
        <v>44</v>
      </c>
      <c r="Y14" t="s">
        <v>57</v>
      </c>
    </row>
    <row r="15" spans="1:25">
      <c r="A15" s="4" t="s">
        <v>193</v>
      </c>
      <c r="B15" s="14">
        <v>1</v>
      </c>
      <c r="C15" s="10">
        <v>46168</v>
      </c>
      <c r="D15" s="4" t="s">
        <v>194</v>
      </c>
      <c r="E15" s="4" t="s">
        <v>68</v>
      </c>
      <c r="F15" s="4" t="s">
        <v>56</v>
      </c>
      <c r="G15" s="4" t="s">
        <v>33</v>
      </c>
      <c r="H15" s="4" t="s">
        <v>34</v>
      </c>
      <c r="I15" s="4" t="s">
        <v>50</v>
      </c>
      <c r="J15" s="4" t="s">
        <v>36</v>
      </c>
      <c r="K15" s="6">
        <v>596015</v>
      </c>
      <c r="L15" s="4" t="s">
        <v>37</v>
      </c>
      <c r="Q15" s="12" t="s">
        <v>57</v>
      </c>
      <c r="S15" s="8" t="s">
        <v>68</v>
      </c>
      <c r="T15" s="18">
        <v>52</v>
      </c>
      <c r="V15" s="8" t="s">
        <v>60</v>
      </c>
      <c r="W15" s="18">
        <v>34</v>
      </c>
      <c r="X15" s="18">
        <v>2</v>
      </c>
      <c r="Y15" s="18">
        <v>17</v>
      </c>
    </row>
    <row r="16" spans="1:25">
      <c r="A16" s="4" t="s">
        <v>533</v>
      </c>
      <c r="B16" s="14">
        <v>1</v>
      </c>
      <c r="C16" s="10">
        <v>46167</v>
      </c>
      <c r="D16" s="4" t="s">
        <v>534</v>
      </c>
      <c r="E16" s="4" t="s">
        <v>60</v>
      </c>
      <c r="F16" s="4" t="s">
        <v>56</v>
      </c>
      <c r="G16" s="4" t="s">
        <v>49</v>
      </c>
      <c r="H16" s="4" t="s">
        <v>34</v>
      </c>
      <c r="I16" s="4" t="s">
        <v>50</v>
      </c>
      <c r="J16" s="4" t="s">
        <v>57</v>
      </c>
      <c r="K16" s="6">
        <v>670399</v>
      </c>
      <c r="L16" s="4" t="s">
        <v>37</v>
      </c>
      <c r="Q16" s="12" t="s">
        <v>44</v>
      </c>
      <c r="S16" s="8" t="s">
        <v>31</v>
      </c>
      <c r="T16" s="18">
        <v>40</v>
      </c>
      <c r="V16" s="8" t="s">
        <v>68</v>
      </c>
      <c r="W16" s="18">
        <v>34</v>
      </c>
      <c r="X16" s="18">
        <v>4</v>
      </c>
      <c r="Y16" s="18">
        <v>14</v>
      </c>
    </row>
    <row r="17" spans="1:25">
      <c r="A17" s="4" t="s">
        <v>290</v>
      </c>
      <c r="B17" s="14">
        <v>1</v>
      </c>
      <c r="C17" s="10">
        <v>46125</v>
      </c>
      <c r="D17" s="4" t="s">
        <v>291</v>
      </c>
      <c r="E17" s="4" t="s">
        <v>68</v>
      </c>
      <c r="F17" s="4" t="s">
        <v>56</v>
      </c>
      <c r="G17" s="4" t="s">
        <v>33</v>
      </c>
      <c r="H17" s="4" t="s">
        <v>78</v>
      </c>
      <c r="I17" s="4" t="s">
        <v>62</v>
      </c>
      <c r="J17" s="4" t="s">
        <v>36</v>
      </c>
      <c r="K17" s="6">
        <v>348871</v>
      </c>
      <c r="L17" s="4" t="s">
        <v>37</v>
      </c>
      <c r="S17" s="8" t="s">
        <v>77</v>
      </c>
      <c r="T17" s="18">
        <v>47</v>
      </c>
      <c r="V17" s="8" t="s">
        <v>31</v>
      </c>
      <c r="W17" s="18">
        <v>23</v>
      </c>
      <c r="X17" s="18">
        <v>2</v>
      </c>
      <c r="Y17" s="18">
        <v>15</v>
      </c>
    </row>
    <row r="18" spans="1:25">
      <c r="A18" s="4" t="s">
        <v>271</v>
      </c>
      <c r="B18" s="14">
        <v>1</v>
      </c>
      <c r="C18" s="10">
        <v>46059</v>
      </c>
      <c r="D18" s="4" t="s">
        <v>272</v>
      </c>
      <c r="E18" s="4" t="s">
        <v>31</v>
      </c>
      <c r="F18" s="4" t="s">
        <v>56</v>
      </c>
      <c r="G18" s="4" t="s">
        <v>61</v>
      </c>
      <c r="H18" s="4" t="s">
        <v>43</v>
      </c>
      <c r="I18" s="4" t="s">
        <v>50</v>
      </c>
      <c r="J18" s="4" t="s">
        <v>36</v>
      </c>
      <c r="K18" s="6">
        <v>766987</v>
      </c>
      <c r="L18" s="4" t="s">
        <v>37</v>
      </c>
      <c r="S18" s="8" t="s">
        <v>40</v>
      </c>
      <c r="T18" s="18">
        <v>55</v>
      </c>
      <c r="V18" s="8" t="s">
        <v>77</v>
      </c>
      <c r="W18" s="18">
        <v>33</v>
      </c>
      <c r="X18" s="18">
        <v>3</v>
      </c>
      <c r="Y18" s="18">
        <v>11</v>
      </c>
    </row>
    <row r="19" spans="1:25">
      <c r="A19" s="4" t="s">
        <v>505</v>
      </c>
      <c r="B19" s="14">
        <v>1</v>
      </c>
      <c r="C19" s="10">
        <v>46126</v>
      </c>
      <c r="D19" s="4" t="s">
        <v>506</v>
      </c>
      <c r="E19" s="4" t="s">
        <v>77</v>
      </c>
      <c r="F19" s="4" t="s">
        <v>56</v>
      </c>
      <c r="G19" s="4" t="s">
        <v>61</v>
      </c>
      <c r="H19" s="4" t="s">
        <v>78</v>
      </c>
      <c r="I19" s="4" t="s">
        <v>50</v>
      </c>
      <c r="J19" s="4" t="s">
        <v>36</v>
      </c>
      <c r="K19" s="6">
        <v>256487</v>
      </c>
      <c r="L19" s="4" t="s">
        <v>37</v>
      </c>
      <c r="S19" s="8" t="s">
        <v>47</v>
      </c>
      <c r="T19" s="18">
        <v>53</v>
      </c>
      <c r="V19" s="8" t="s">
        <v>40</v>
      </c>
      <c r="W19" s="18">
        <v>35</v>
      </c>
      <c r="X19" s="18">
        <v>5</v>
      </c>
      <c r="Y19" s="18">
        <v>15</v>
      </c>
    </row>
    <row r="20" spans="1:25">
      <c r="A20" s="4" t="s">
        <v>424</v>
      </c>
      <c r="B20" s="14">
        <v>1</v>
      </c>
      <c r="C20" s="10">
        <v>46161</v>
      </c>
      <c r="D20" s="4" t="s">
        <v>309</v>
      </c>
      <c r="E20" s="4" t="s">
        <v>68</v>
      </c>
      <c r="F20" s="4" t="s">
        <v>56</v>
      </c>
      <c r="G20" s="4" t="s">
        <v>42</v>
      </c>
      <c r="H20" s="4" t="s">
        <v>53</v>
      </c>
      <c r="I20" s="4" t="s">
        <v>50</v>
      </c>
      <c r="J20" s="4" t="s">
        <v>36</v>
      </c>
      <c r="K20" s="6">
        <v>742841</v>
      </c>
      <c r="L20" s="4" t="s">
        <v>37</v>
      </c>
      <c r="S20" s="8" t="s">
        <v>1226</v>
      </c>
      <c r="T20" s="18">
        <v>300</v>
      </c>
      <c r="V20" s="8" t="s">
        <v>47</v>
      </c>
      <c r="W20" s="18">
        <v>31</v>
      </c>
      <c r="X20" s="18">
        <v>7</v>
      </c>
      <c r="Y20" s="18">
        <v>15</v>
      </c>
    </row>
    <row r="21" spans="1:25">
      <c r="A21" s="4" t="s">
        <v>351</v>
      </c>
      <c r="B21" s="14">
        <v>1</v>
      </c>
      <c r="C21" s="10">
        <v>46143</v>
      </c>
      <c r="D21" s="4" t="s">
        <v>209</v>
      </c>
      <c r="E21" s="4" t="s">
        <v>47</v>
      </c>
      <c r="F21" s="4" t="s">
        <v>56</v>
      </c>
      <c r="G21" s="4" t="s">
        <v>72</v>
      </c>
      <c r="H21" s="4" t="s">
        <v>53</v>
      </c>
      <c r="I21" s="4" t="s">
        <v>35</v>
      </c>
      <c r="J21" s="4" t="s">
        <v>57</v>
      </c>
      <c r="K21" s="6">
        <v>178046</v>
      </c>
      <c r="L21" s="4" t="s">
        <v>37</v>
      </c>
    </row>
    <row r="22" spans="1:25">
      <c r="A22" s="4" t="s">
        <v>382</v>
      </c>
      <c r="B22" s="14">
        <v>1</v>
      </c>
      <c r="C22" s="10">
        <v>46074</v>
      </c>
      <c r="D22" s="4" t="s">
        <v>143</v>
      </c>
      <c r="E22" s="4" t="s">
        <v>77</v>
      </c>
      <c r="F22" s="4" t="s">
        <v>56</v>
      </c>
      <c r="G22" s="4" t="s">
        <v>33</v>
      </c>
      <c r="H22" s="4" t="s">
        <v>34</v>
      </c>
      <c r="I22" s="4" t="s">
        <v>35</v>
      </c>
      <c r="J22" s="4" t="s">
        <v>57</v>
      </c>
      <c r="K22" s="6">
        <v>1121860</v>
      </c>
      <c r="L22" s="4" t="s">
        <v>37</v>
      </c>
    </row>
    <row r="23" spans="1:25">
      <c r="A23" s="4" t="s">
        <v>231</v>
      </c>
      <c r="B23" s="14">
        <v>1</v>
      </c>
      <c r="C23" s="10">
        <v>46031</v>
      </c>
      <c r="D23" s="4" t="s">
        <v>232</v>
      </c>
      <c r="E23" s="4" t="s">
        <v>40</v>
      </c>
      <c r="F23" s="4" t="s">
        <v>56</v>
      </c>
      <c r="G23" s="4" t="s">
        <v>49</v>
      </c>
      <c r="H23" s="4" t="s">
        <v>43</v>
      </c>
      <c r="I23" s="4" t="s">
        <v>50</v>
      </c>
      <c r="J23" s="4" t="s">
        <v>36</v>
      </c>
      <c r="K23" s="6">
        <v>195016</v>
      </c>
      <c r="L23" s="4" t="s">
        <v>37</v>
      </c>
    </row>
    <row r="24" spans="1:25">
      <c r="A24" s="4" t="s">
        <v>454</v>
      </c>
      <c r="B24" s="14">
        <v>1</v>
      </c>
      <c r="C24" s="10">
        <v>46200</v>
      </c>
      <c r="D24" s="4" t="s">
        <v>455</v>
      </c>
      <c r="E24" s="4" t="s">
        <v>31</v>
      </c>
      <c r="F24" s="4" t="s">
        <v>56</v>
      </c>
      <c r="G24" s="4" t="s">
        <v>61</v>
      </c>
      <c r="H24" s="4" t="s">
        <v>43</v>
      </c>
      <c r="I24" s="4" t="s">
        <v>50</v>
      </c>
      <c r="J24" s="4" t="s">
        <v>36</v>
      </c>
      <c r="K24" s="6">
        <v>883731</v>
      </c>
      <c r="L24" s="4" t="s">
        <v>37</v>
      </c>
    </row>
    <row r="25" spans="1:25">
      <c r="A25" s="4" t="s">
        <v>79</v>
      </c>
      <c r="B25" s="14">
        <v>1</v>
      </c>
      <c r="C25" s="10">
        <v>46139</v>
      </c>
      <c r="D25" s="4" t="s">
        <v>80</v>
      </c>
      <c r="E25" s="4" t="s">
        <v>40</v>
      </c>
      <c r="F25" s="4" t="s">
        <v>56</v>
      </c>
      <c r="G25" s="4" t="s">
        <v>49</v>
      </c>
      <c r="H25" s="4" t="s">
        <v>65</v>
      </c>
      <c r="I25" s="4" t="s">
        <v>62</v>
      </c>
      <c r="J25" s="4" t="s">
        <v>36</v>
      </c>
      <c r="K25" s="6">
        <v>342985</v>
      </c>
      <c r="L25" s="4" t="s">
        <v>37</v>
      </c>
    </row>
    <row r="26" spans="1:25">
      <c r="A26" s="4" t="s">
        <v>543</v>
      </c>
      <c r="B26" s="14">
        <v>1</v>
      </c>
      <c r="C26" s="10">
        <v>46180</v>
      </c>
      <c r="D26" s="4" t="s">
        <v>80</v>
      </c>
      <c r="E26" s="4" t="s">
        <v>31</v>
      </c>
      <c r="F26" s="4" t="s">
        <v>56</v>
      </c>
      <c r="G26" s="4" t="s">
        <v>33</v>
      </c>
      <c r="H26" s="4" t="s">
        <v>43</v>
      </c>
      <c r="I26" s="4" t="s">
        <v>50</v>
      </c>
      <c r="J26" s="4" t="s">
        <v>36</v>
      </c>
      <c r="K26" s="6">
        <v>1319671</v>
      </c>
      <c r="L26" s="4" t="s">
        <v>37</v>
      </c>
    </row>
    <row r="27" spans="1:25">
      <c r="A27" s="4" t="s">
        <v>401</v>
      </c>
      <c r="B27" s="14">
        <v>1</v>
      </c>
      <c r="C27" s="10">
        <v>46109</v>
      </c>
      <c r="D27" s="4" t="s">
        <v>147</v>
      </c>
      <c r="E27" s="4" t="s">
        <v>40</v>
      </c>
      <c r="F27" s="4" t="s">
        <v>56</v>
      </c>
      <c r="G27" s="4" t="s">
        <v>42</v>
      </c>
      <c r="H27" s="4" t="s">
        <v>53</v>
      </c>
      <c r="I27" s="4" t="s">
        <v>50</v>
      </c>
      <c r="J27" s="4" t="s">
        <v>36</v>
      </c>
      <c r="K27" s="6">
        <v>210381</v>
      </c>
      <c r="L27" s="4" t="s">
        <v>37</v>
      </c>
    </row>
    <row r="28" spans="1:25">
      <c r="A28" s="4" t="s">
        <v>341</v>
      </c>
      <c r="B28" s="14">
        <v>1</v>
      </c>
      <c r="C28" s="10">
        <v>46052</v>
      </c>
      <c r="D28" s="4" t="s">
        <v>342</v>
      </c>
      <c r="E28" s="4" t="s">
        <v>31</v>
      </c>
      <c r="F28" s="4" t="s">
        <v>56</v>
      </c>
      <c r="G28" s="4" t="s">
        <v>42</v>
      </c>
      <c r="H28" s="4" t="s">
        <v>34</v>
      </c>
      <c r="I28" s="4" t="s">
        <v>35</v>
      </c>
      <c r="J28" s="4" t="s">
        <v>36</v>
      </c>
      <c r="K28" s="6">
        <v>83787</v>
      </c>
      <c r="L28" s="4" t="s">
        <v>37</v>
      </c>
    </row>
    <row r="29" spans="1:25">
      <c r="A29" s="4" t="s">
        <v>339</v>
      </c>
      <c r="B29" s="14">
        <v>1</v>
      </c>
      <c r="C29" s="10">
        <v>46106</v>
      </c>
      <c r="D29" s="4" t="s">
        <v>340</v>
      </c>
      <c r="E29" s="4" t="s">
        <v>31</v>
      </c>
      <c r="F29" s="4" t="s">
        <v>56</v>
      </c>
      <c r="G29" s="4" t="s">
        <v>33</v>
      </c>
      <c r="H29" s="4" t="s">
        <v>78</v>
      </c>
      <c r="I29" s="4" t="s">
        <v>50</v>
      </c>
      <c r="J29" s="4" t="s">
        <v>57</v>
      </c>
      <c r="K29" s="6">
        <v>983688</v>
      </c>
      <c r="L29" s="4" t="s">
        <v>37</v>
      </c>
    </row>
    <row r="30" spans="1:25">
      <c r="A30" s="4" t="s">
        <v>456</v>
      </c>
      <c r="B30" s="14">
        <v>1</v>
      </c>
      <c r="C30" s="10">
        <v>46173</v>
      </c>
      <c r="D30" s="4" t="s">
        <v>346</v>
      </c>
      <c r="E30" s="4" t="s">
        <v>68</v>
      </c>
      <c r="F30" s="4" t="s">
        <v>56</v>
      </c>
      <c r="G30" s="4" t="s">
        <v>42</v>
      </c>
      <c r="H30" s="4" t="s">
        <v>43</v>
      </c>
      <c r="I30" s="4" t="s">
        <v>50</v>
      </c>
      <c r="J30" s="4" t="s">
        <v>44</v>
      </c>
      <c r="K30" s="6">
        <v>1115649</v>
      </c>
      <c r="L30" s="4" t="s">
        <v>37</v>
      </c>
    </row>
    <row r="31" spans="1:25">
      <c r="A31" s="4" t="s">
        <v>91</v>
      </c>
      <c r="B31" s="14">
        <v>1</v>
      </c>
      <c r="C31" s="10">
        <v>46075</v>
      </c>
      <c r="D31" s="4" t="s">
        <v>92</v>
      </c>
      <c r="E31" s="4" t="s">
        <v>31</v>
      </c>
      <c r="F31" s="4" t="s">
        <v>56</v>
      </c>
      <c r="G31" s="4" t="s">
        <v>33</v>
      </c>
      <c r="H31" s="4" t="s">
        <v>78</v>
      </c>
      <c r="I31" s="4" t="s">
        <v>62</v>
      </c>
      <c r="J31" s="4" t="s">
        <v>57</v>
      </c>
      <c r="K31" s="6">
        <v>356094</v>
      </c>
      <c r="L31" s="4" t="s">
        <v>37</v>
      </c>
    </row>
    <row r="32" spans="1:25">
      <c r="A32" s="4" t="s">
        <v>139</v>
      </c>
      <c r="B32" s="14">
        <v>1</v>
      </c>
      <c r="C32" s="10">
        <v>46095</v>
      </c>
      <c r="D32" s="4" t="s">
        <v>140</v>
      </c>
      <c r="E32" s="4" t="s">
        <v>68</v>
      </c>
      <c r="F32" s="4" t="s">
        <v>56</v>
      </c>
      <c r="G32" s="4" t="s">
        <v>33</v>
      </c>
      <c r="H32" s="4" t="s">
        <v>65</v>
      </c>
      <c r="I32" s="4" t="s">
        <v>50</v>
      </c>
      <c r="J32" s="4" t="s">
        <v>36</v>
      </c>
      <c r="K32" s="6">
        <v>534814</v>
      </c>
      <c r="L32" s="4" t="s">
        <v>37</v>
      </c>
    </row>
    <row r="33" spans="1:12">
      <c r="A33" s="4" t="s">
        <v>474</v>
      </c>
      <c r="B33" s="14">
        <v>1</v>
      </c>
      <c r="C33" s="10">
        <v>46070</v>
      </c>
      <c r="D33" s="4" t="s">
        <v>140</v>
      </c>
      <c r="E33" s="4" t="s">
        <v>60</v>
      </c>
      <c r="F33" s="4" t="s">
        <v>56</v>
      </c>
      <c r="G33" s="4" t="s">
        <v>33</v>
      </c>
      <c r="H33" s="4" t="s">
        <v>53</v>
      </c>
      <c r="I33" s="4" t="s">
        <v>62</v>
      </c>
      <c r="J33" s="4" t="s">
        <v>44</v>
      </c>
      <c r="K33" s="6">
        <v>545479</v>
      </c>
      <c r="L33" s="4" t="s">
        <v>37</v>
      </c>
    </row>
    <row r="34" spans="1:12">
      <c r="A34" s="4" t="s">
        <v>343</v>
      </c>
      <c r="B34" s="14">
        <v>1</v>
      </c>
      <c r="C34" s="10">
        <v>46097</v>
      </c>
      <c r="D34" s="4" t="s">
        <v>344</v>
      </c>
      <c r="E34" s="4" t="s">
        <v>68</v>
      </c>
      <c r="F34" s="4" t="s">
        <v>56</v>
      </c>
      <c r="G34" s="4" t="s">
        <v>72</v>
      </c>
      <c r="H34" s="4" t="s">
        <v>53</v>
      </c>
      <c r="I34" s="4" t="s">
        <v>50</v>
      </c>
      <c r="J34" s="4" t="s">
        <v>36</v>
      </c>
      <c r="K34" s="6">
        <v>595909</v>
      </c>
      <c r="L34" s="4" t="s">
        <v>37</v>
      </c>
    </row>
    <row r="35" spans="1:12">
      <c r="A35" s="4" t="s">
        <v>202</v>
      </c>
      <c r="B35" s="14">
        <v>1</v>
      </c>
      <c r="C35" s="10">
        <v>46070</v>
      </c>
      <c r="D35" s="4" t="s">
        <v>203</v>
      </c>
      <c r="E35" s="4" t="s">
        <v>40</v>
      </c>
      <c r="F35" s="4" t="s">
        <v>56</v>
      </c>
      <c r="G35" s="4" t="s">
        <v>72</v>
      </c>
      <c r="H35" s="4" t="s">
        <v>43</v>
      </c>
      <c r="I35" s="4" t="s">
        <v>35</v>
      </c>
      <c r="J35" s="4" t="s">
        <v>36</v>
      </c>
      <c r="K35" s="6">
        <v>810109</v>
      </c>
      <c r="L35" s="4" t="s">
        <v>37</v>
      </c>
    </row>
    <row r="36" spans="1:12">
      <c r="A36" s="4" t="s">
        <v>407</v>
      </c>
      <c r="B36" s="14">
        <v>1</v>
      </c>
      <c r="C36" s="10">
        <v>46075</v>
      </c>
      <c r="D36" s="4" t="s">
        <v>408</v>
      </c>
      <c r="E36" s="4" t="s">
        <v>40</v>
      </c>
      <c r="F36" s="4" t="s">
        <v>56</v>
      </c>
      <c r="G36" s="4" t="s">
        <v>49</v>
      </c>
      <c r="H36" s="4" t="s">
        <v>43</v>
      </c>
      <c r="I36" s="4" t="s">
        <v>62</v>
      </c>
      <c r="J36" s="4" t="s">
        <v>36</v>
      </c>
      <c r="K36" s="6">
        <v>880051</v>
      </c>
      <c r="L36" s="4" t="s">
        <v>37</v>
      </c>
    </row>
    <row r="37" spans="1:12">
      <c r="A37" s="4" t="s">
        <v>277</v>
      </c>
      <c r="B37" s="14">
        <v>1</v>
      </c>
      <c r="C37" s="10">
        <v>46126</v>
      </c>
      <c r="D37" s="4" t="s">
        <v>278</v>
      </c>
      <c r="E37" s="4" t="s">
        <v>31</v>
      </c>
      <c r="F37" s="4" t="s">
        <v>56</v>
      </c>
      <c r="G37" s="4" t="s">
        <v>72</v>
      </c>
      <c r="H37" s="4" t="s">
        <v>43</v>
      </c>
      <c r="I37" s="4" t="s">
        <v>62</v>
      </c>
      <c r="J37" s="4" t="s">
        <v>44</v>
      </c>
      <c r="K37" s="6">
        <v>1388486</v>
      </c>
      <c r="L37" s="4" t="s">
        <v>37</v>
      </c>
    </row>
    <row r="38" spans="1:12">
      <c r="A38" s="4" t="s">
        <v>522</v>
      </c>
      <c r="B38" s="14">
        <v>1</v>
      </c>
      <c r="C38" s="10">
        <v>46090</v>
      </c>
      <c r="D38" s="4" t="s">
        <v>120</v>
      </c>
      <c r="E38" s="4" t="s">
        <v>40</v>
      </c>
      <c r="F38" s="4" t="s">
        <v>56</v>
      </c>
      <c r="G38" s="4" t="s">
        <v>49</v>
      </c>
      <c r="H38" s="4" t="s">
        <v>43</v>
      </c>
      <c r="I38" s="4" t="s">
        <v>50</v>
      </c>
      <c r="J38" s="4" t="s">
        <v>36</v>
      </c>
      <c r="K38" s="6">
        <v>1307669</v>
      </c>
      <c r="L38" s="4" t="s">
        <v>37</v>
      </c>
    </row>
    <row r="39" spans="1:12">
      <c r="A39" s="4" t="s">
        <v>279</v>
      </c>
      <c r="B39" s="14">
        <v>1</v>
      </c>
      <c r="C39" s="10">
        <v>46057</v>
      </c>
      <c r="D39" s="4" t="s">
        <v>86</v>
      </c>
      <c r="E39" s="4" t="s">
        <v>68</v>
      </c>
      <c r="F39" s="4" t="s">
        <v>56</v>
      </c>
      <c r="G39" s="4" t="s">
        <v>42</v>
      </c>
      <c r="H39" s="4" t="s">
        <v>65</v>
      </c>
      <c r="I39" s="4" t="s">
        <v>62</v>
      </c>
      <c r="J39" s="4" t="s">
        <v>57</v>
      </c>
      <c r="K39" s="6">
        <v>1076630</v>
      </c>
      <c r="L39" s="4" t="s">
        <v>37</v>
      </c>
    </row>
    <row r="40" spans="1:12">
      <c r="A40" s="4" t="s">
        <v>221</v>
      </c>
      <c r="B40" s="14">
        <v>1</v>
      </c>
      <c r="C40" s="10">
        <v>46037</v>
      </c>
      <c r="D40" s="4" t="s">
        <v>222</v>
      </c>
      <c r="E40" s="4" t="s">
        <v>68</v>
      </c>
      <c r="F40" s="4" t="s">
        <v>56</v>
      </c>
      <c r="G40" s="4" t="s">
        <v>42</v>
      </c>
      <c r="H40" s="4" t="s">
        <v>65</v>
      </c>
      <c r="I40" s="4" t="s">
        <v>35</v>
      </c>
      <c r="J40" s="4" t="s">
        <v>36</v>
      </c>
      <c r="K40" s="6">
        <v>716165</v>
      </c>
      <c r="L40" s="4" t="s">
        <v>37</v>
      </c>
    </row>
    <row r="41" spans="1:12">
      <c r="A41" s="4" t="s">
        <v>507</v>
      </c>
      <c r="B41" s="14">
        <v>1</v>
      </c>
      <c r="C41" s="10">
        <v>46106</v>
      </c>
      <c r="D41" s="4" t="s">
        <v>508</v>
      </c>
      <c r="E41" s="4" t="s">
        <v>47</v>
      </c>
      <c r="F41" s="4" t="s">
        <v>56</v>
      </c>
      <c r="G41" s="4" t="s">
        <v>33</v>
      </c>
      <c r="H41" s="4" t="s">
        <v>65</v>
      </c>
      <c r="I41" s="4" t="s">
        <v>62</v>
      </c>
      <c r="J41" s="4" t="s">
        <v>36</v>
      </c>
      <c r="K41" s="6">
        <v>147852</v>
      </c>
      <c r="L41" s="4" t="s">
        <v>37</v>
      </c>
    </row>
    <row r="42" spans="1:12">
      <c r="A42" s="4" t="s">
        <v>303</v>
      </c>
      <c r="B42" s="14">
        <v>1</v>
      </c>
      <c r="C42" s="10">
        <v>46085</v>
      </c>
      <c r="D42" s="4" t="s">
        <v>304</v>
      </c>
      <c r="E42" s="4" t="s">
        <v>60</v>
      </c>
      <c r="F42" s="4" t="s">
        <v>56</v>
      </c>
      <c r="G42" s="4" t="s">
        <v>72</v>
      </c>
      <c r="H42" s="4" t="s">
        <v>43</v>
      </c>
      <c r="I42" s="4" t="s">
        <v>50</v>
      </c>
      <c r="J42" s="4" t="s">
        <v>57</v>
      </c>
      <c r="K42" s="6">
        <v>946816</v>
      </c>
      <c r="L42" s="4" t="s">
        <v>37</v>
      </c>
    </row>
    <row r="43" spans="1:12">
      <c r="A43" s="4" t="s">
        <v>458</v>
      </c>
      <c r="B43" s="14">
        <v>1</v>
      </c>
      <c r="C43" s="10">
        <v>46064</v>
      </c>
      <c r="D43" s="4" t="s">
        <v>459</v>
      </c>
      <c r="E43" s="4" t="s">
        <v>47</v>
      </c>
      <c r="F43" s="4" t="s">
        <v>56</v>
      </c>
      <c r="G43" s="4" t="s">
        <v>42</v>
      </c>
      <c r="H43" s="4" t="s">
        <v>43</v>
      </c>
      <c r="I43" s="4" t="s">
        <v>35</v>
      </c>
      <c r="J43" s="4" t="s">
        <v>57</v>
      </c>
      <c r="K43" s="6">
        <v>165359</v>
      </c>
      <c r="L43" s="4" t="s">
        <v>37</v>
      </c>
    </row>
    <row r="44" spans="1:12">
      <c r="A44" s="4" t="s">
        <v>452</v>
      </c>
      <c r="B44" s="14">
        <v>1</v>
      </c>
      <c r="C44" s="10">
        <v>46151</v>
      </c>
      <c r="D44" s="4" t="s">
        <v>134</v>
      </c>
      <c r="E44" s="4" t="s">
        <v>60</v>
      </c>
      <c r="F44" s="4" t="s">
        <v>56</v>
      </c>
      <c r="G44" s="4" t="s">
        <v>49</v>
      </c>
      <c r="H44" s="4" t="s">
        <v>78</v>
      </c>
      <c r="I44" s="4" t="s">
        <v>62</v>
      </c>
      <c r="J44" s="4" t="s">
        <v>57</v>
      </c>
      <c r="K44" s="6">
        <v>416008</v>
      </c>
      <c r="L44" s="4" t="s">
        <v>37</v>
      </c>
    </row>
    <row r="45" spans="1:12">
      <c r="A45" s="4" t="s">
        <v>540</v>
      </c>
      <c r="B45" s="14">
        <v>1</v>
      </c>
      <c r="C45" s="10">
        <v>46137</v>
      </c>
      <c r="D45" s="4" t="s">
        <v>246</v>
      </c>
      <c r="E45" s="4" t="s">
        <v>77</v>
      </c>
      <c r="F45" s="4" t="s">
        <v>56</v>
      </c>
      <c r="G45" s="4" t="s">
        <v>49</v>
      </c>
      <c r="H45" s="4" t="s">
        <v>78</v>
      </c>
      <c r="I45" s="4" t="s">
        <v>62</v>
      </c>
      <c r="J45" s="4" t="s">
        <v>36</v>
      </c>
      <c r="K45" s="6">
        <v>143269</v>
      </c>
      <c r="L45" s="4" t="s">
        <v>37</v>
      </c>
    </row>
    <row r="46" spans="1:12">
      <c r="A46" s="4" t="s">
        <v>460</v>
      </c>
      <c r="B46" s="14">
        <v>1</v>
      </c>
      <c r="C46" s="10">
        <v>46121</v>
      </c>
      <c r="D46" s="4" t="s">
        <v>461</v>
      </c>
      <c r="E46" s="4" t="s">
        <v>60</v>
      </c>
      <c r="F46" s="4" t="s">
        <v>56</v>
      </c>
      <c r="G46" s="4" t="s">
        <v>49</v>
      </c>
      <c r="H46" s="4" t="s">
        <v>43</v>
      </c>
      <c r="I46" s="4" t="s">
        <v>35</v>
      </c>
      <c r="J46" s="4" t="s">
        <v>57</v>
      </c>
      <c r="K46" s="6">
        <v>975431</v>
      </c>
      <c r="L46" s="4" t="s">
        <v>37</v>
      </c>
    </row>
    <row r="47" spans="1:12">
      <c r="A47" s="4" t="s">
        <v>318</v>
      </c>
      <c r="B47" s="14">
        <v>1</v>
      </c>
      <c r="C47" s="10">
        <v>46051</v>
      </c>
      <c r="D47" s="4" t="s">
        <v>319</v>
      </c>
      <c r="E47" s="4" t="s">
        <v>31</v>
      </c>
      <c r="F47" s="4" t="s">
        <v>56</v>
      </c>
      <c r="G47" s="4" t="s">
        <v>49</v>
      </c>
      <c r="H47" s="4" t="s">
        <v>65</v>
      </c>
      <c r="I47" s="4" t="s">
        <v>62</v>
      </c>
      <c r="J47" s="4" t="s">
        <v>36</v>
      </c>
      <c r="K47" s="6">
        <v>743221</v>
      </c>
      <c r="L47" s="4" t="s">
        <v>37</v>
      </c>
    </row>
    <row r="48" spans="1:12">
      <c r="A48" s="4" t="s">
        <v>210</v>
      </c>
      <c r="B48" s="14">
        <v>1</v>
      </c>
      <c r="C48" s="10">
        <v>46075</v>
      </c>
      <c r="D48" s="4" t="s">
        <v>52</v>
      </c>
      <c r="E48" s="4" t="s">
        <v>68</v>
      </c>
      <c r="F48" s="4" t="s">
        <v>56</v>
      </c>
      <c r="G48" s="4" t="s">
        <v>49</v>
      </c>
      <c r="H48" s="4" t="s">
        <v>78</v>
      </c>
      <c r="I48" s="4" t="s">
        <v>50</v>
      </c>
      <c r="J48" s="4" t="s">
        <v>36</v>
      </c>
      <c r="K48" s="6">
        <v>481116</v>
      </c>
      <c r="L48" s="4" t="s">
        <v>37</v>
      </c>
    </row>
    <row r="49" spans="1:12">
      <c r="A49" s="4" t="s">
        <v>352</v>
      </c>
      <c r="B49" s="14">
        <v>1</v>
      </c>
      <c r="C49" s="10">
        <v>46049</v>
      </c>
      <c r="D49" s="4" t="s">
        <v>353</v>
      </c>
      <c r="E49" s="4" t="s">
        <v>68</v>
      </c>
      <c r="F49" s="4" t="s">
        <v>56</v>
      </c>
      <c r="G49" s="4" t="s">
        <v>49</v>
      </c>
      <c r="H49" s="4" t="s">
        <v>43</v>
      </c>
      <c r="I49" s="4" t="s">
        <v>50</v>
      </c>
      <c r="J49" s="4" t="s">
        <v>36</v>
      </c>
      <c r="K49" s="6">
        <v>789290</v>
      </c>
      <c r="L49" s="4" t="s">
        <v>37</v>
      </c>
    </row>
    <row r="50" spans="1:12">
      <c r="A50" s="4" t="s">
        <v>229</v>
      </c>
      <c r="B50" s="14">
        <v>1</v>
      </c>
      <c r="C50" s="10">
        <v>46093</v>
      </c>
      <c r="D50" s="4" t="s">
        <v>230</v>
      </c>
      <c r="E50" s="4" t="s">
        <v>77</v>
      </c>
      <c r="F50" s="4" t="s">
        <v>56</v>
      </c>
      <c r="G50" s="4" t="s">
        <v>72</v>
      </c>
      <c r="H50" s="4" t="s">
        <v>53</v>
      </c>
      <c r="I50" s="4" t="s">
        <v>62</v>
      </c>
      <c r="J50" s="4" t="s">
        <v>44</v>
      </c>
      <c r="K50" s="6">
        <v>1476445</v>
      </c>
      <c r="L50" s="4" t="s">
        <v>37</v>
      </c>
    </row>
    <row r="51" spans="1:12">
      <c r="A51" s="4" t="s">
        <v>249</v>
      </c>
      <c r="B51" s="14">
        <v>1</v>
      </c>
      <c r="C51" s="10">
        <v>46145</v>
      </c>
      <c r="D51" s="4" t="s">
        <v>250</v>
      </c>
      <c r="E51" s="4" t="s">
        <v>40</v>
      </c>
      <c r="F51" s="4" t="s">
        <v>56</v>
      </c>
      <c r="G51" s="4" t="s">
        <v>61</v>
      </c>
      <c r="H51" s="4" t="s">
        <v>65</v>
      </c>
      <c r="I51" s="4" t="s">
        <v>35</v>
      </c>
      <c r="J51" s="4" t="s">
        <v>57</v>
      </c>
      <c r="K51" s="6">
        <v>674771</v>
      </c>
      <c r="L51" s="4" t="s">
        <v>37</v>
      </c>
    </row>
    <row r="52" spans="1:12">
      <c r="A52" s="4" t="s">
        <v>108</v>
      </c>
      <c r="B52" s="14">
        <v>1</v>
      </c>
      <c r="C52" s="10">
        <v>46080</v>
      </c>
      <c r="D52" s="4" t="s">
        <v>109</v>
      </c>
      <c r="E52" s="4" t="s">
        <v>47</v>
      </c>
      <c r="F52" s="4" t="s">
        <v>56</v>
      </c>
      <c r="G52" s="4" t="s">
        <v>33</v>
      </c>
      <c r="H52" s="4" t="s">
        <v>53</v>
      </c>
      <c r="I52" s="4" t="s">
        <v>62</v>
      </c>
      <c r="J52" s="4" t="s">
        <v>57</v>
      </c>
      <c r="K52" s="6">
        <v>394710</v>
      </c>
      <c r="L52" s="4" t="s">
        <v>37</v>
      </c>
    </row>
    <row r="53" spans="1:12">
      <c r="A53" s="4" t="s">
        <v>131</v>
      </c>
      <c r="B53" s="14">
        <v>1</v>
      </c>
      <c r="C53" s="10">
        <v>46153</v>
      </c>
      <c r="D53" s="4" t="s">
        <v>132</v>
      </c>
      <c r="E53" s="4" t="s">
        <v>31</v>
      </c>
      <c r="F53" s="4" t="s">
        <v>56</v>
      </c>
      <c r="G53" s="4" t="s">
        <v>61</v>
      </c>
      <c r="H53" s="4" t="s">
        <v>78</v>
      </c>
      <c r="I53" s="4" t="s">
        <v>35</v>
      </c>
      <c r="J53" s="4" t="s">
        <v>57</v>
      </c>
      <c r="K53" s="6">
        <v>1078308</v>
      </c>
      <c r="L53" s="4" t="s">
        <v>37</v>
      </c>
    </row>
    <row r="54" spans="1:12">
      <c r="A54" s="4" t="s">
        <v>54</v>
      </c>
      <c r="B54" s="14">
        <v>1</v>
      </c>
      <c r="C54" s="10">
        <v>46129</v>
      </c>
      <c r="D54" s="4" t="s">
        <v>55</v>
      </c>
      <c r="E54" s="4" t="s">
        <v>40</v>
      </c>
      <c r="F54" s="4" t="s">
        <v>56</v>
      </c>
      <c r="G54" s="4" t="s">
        <v>33</v>
      </c>
      <c r="H54" s="4" t="s">
        <v>34</v>
      </c>
      <c r="I54" s="4" t="s">
        <v>35</v>
      </c>
      <c r="J54" s="4" t="s">
        <v>57</v>
      </c>
      <c r="K54" s="6">
        <v>913403</v>
      </c>
      <c r="L54" s="4" t="s">
        <v>37</v>
      </c>
    </row>
    <row r="55" spans="1:12">
      <c r="A55" s="4" t="s">
        <v>257</v>
      </c>
      <c r="B55" s="14">
        <v>1</v>
      </c>
      <c r="C55" s="10">
        <v>46094</v>
      </c>
      <c r="D55" s="4" t="s">
        <v>258</v>
      </c>
      <c r="E55" s="4" t="s">
        <v>47</v>
      </c>
      <c r="F55" s="4" t="s">
        <v>71</v>
      </c>
      <c r="G55" s="4" t="s">
        <v>72</v>
      </c>
      <c r="H55" s="4" t="s">
        <v>78</v>
      </c>
      <c r="I55" s="4" t="s">
        <v>35</v>
      </c>
      <c r="J55" s="4" t="s">
        <v>36</v>
      </c>
      <c r="K55" s="6">
        <v>597993</v>
      </c>
      <c r="L55" s="4" t="s">
        <v>37</v>
      </c>
    </row>
    <row r="56" spans="1:12">
      <c r="A56" s="4" t="s">
        <v>520</v>
      </c>
      <c r="B56" s="14">
        <v>1</v>
      </c>
      <c r="C56" s="10">
        <v>46191</v>
      </c>
      <c r="D56" s="4" t="s">
        <v>258</v>
      </c>
      <c r="E56" s="4" t="s">
        <v>68</v>
      </c>
      <c r="F56" s="4" t="s">
        <v>71</v>
      </c>
      <c r="G56" s="4" t="s">
        <v>72</v>
      </c>
      <c r="H56" s="4" t="s">
        <v>78</v>
      </c>
      <c r="I56" s="4" t="s">
        <v>50</v>
      </c>
      <c r="J56" s="4" t="s">
        <v>36</v>
      </c>
      <c r="K56" s="6">
        <v>833301</v>
      </c>
      <c r="L56" s="4" t="s">
        <v>37</v>
      </c>
    </row>
    <row r="57" spans="1:12">
      <c r="A57" s="4" t="s">
        <v>483</v>
      </c>
      <c r="B57" s="14">
        <v>1</v>
      </c>
      <c r="C57" s="10">
        <v>46070</v>
      </c>
      <c r="D57" s="4" t="s">
        <v>218</v>
      </c>
      <c r="E57" s="4" t="s">
        <v>31</v>
      </c>
      <c r="F57" s="4" t="s">
        <v>71</v>
      </c>
      <c r="G57" s="4" t="s">
        <v>49</v>
      </c>
      <c r="H57" s="4" t="s">
        <v>34</v>
      </c>
      <c r="I57" s="4" t="s">
        <v>35</v>
      </c>
      <c r="J57" s="4" t="s">
        <v>36</v>
      </c>
      <c r="K57" s="6">
        <v>1448616</v>
      </c>
      <c r="L57" s="4" t="s">
        <v>37</v>
      </c>
    </row>
    <row r="58" spans="1:12">
      <c r="A58" s="4" t="s">
        <v>170</v>
      </c>
      <c r="B58" s="14">
        <v>1</v>
      </c>
      <c r="C58" s="10">
        <v>46197</v>
      </c>
      <c r="D58" s="4" t="s">
        <v>171</v>
      </c>
      <c r="E58" s="4" t="s">
        <v>40</v>
      </c>
      <c r="F58" s="4" t="s">
        <v>71</v>
      </c>
      <c r="G58" s="4" t="s">
        <v>72</v>
      </c>
      <c r="H58" s="4" t="s">
        <v>34</v>
      </c>
      <c r="I58" s="4" t="s">
        <v>35</v>
      </c>
      <c r="J58" s="4" t="s">
        <v>36</v>
      </c>
      <c r="K58" s="6">
        <v>845928</v>
      </c>
      <c r="L58" s="4" t="s">
        <v>37</v>
      </c>
    </row>
    <row r="59" spans="1:12">
      <c r="A59" s="4" t="s">
        <v>409</v>
      </c>
      <c r="B59" s="14">
        <v>1</v>
      </c>
      <c r="C59" s="10">
        <v>46194</v>
      </c>
      <c r="D59" s="4" t="s">
        <v>171</v>
      </c>
      <c r="E59" s="4" t="s">
        <v>60</v>
      </c>
      <c r="F59" s="4" t="s">
        <v>71</v>
      </c>
      <c r="G59" s="4" t="s">
        <v>72</v>
      </c>
      <c r="H59" s="4" t="s">
        <v>34</v>
      </c>
      <c r="I59" s="4" t="s">
        <v>62</v>
      </c>
      <c r="J59" s="4" t="s">
        <v>36</v>
      </c>
      <c r="K59" s="6">
        <v>700024</v>
      </c>
      <c r="L59" s="4" t="s">
        <v>37</v>
      </c>
    </row>
    <row r="60" spans="1:12">
      <c r="A60" s="4" t="s">
        <v>421</v>
      </c>
      <c r="B60" s="14">
        <v>1</v>
      </c>
      <c r="C60" s="10">
        <v>46138</v>
      </c>
      <c r="D60" s="4" t="s">
        <v>422</v>
      </c>
      <c r="E60" s="4" t="s">
        <v>60</v>
      </c>
      <c r="F60" s="4" t="s">
        <v>71</v>
      </c>
      <c r="G60" s="4" t="s">
        <v>42</v>
      </c>
      <c r="H60" s="4" t="s">
        <v>53</v>
      </c>
      <c r="I60" s="4" t="s">
        <v>62</v>
      </c>
      <c r="J60" s="4" t="s">
        <v>57</v>
      </c>
      <c r="K60" s="6">
        <v>524013</v>
      </c>
      <c r="L60" s="4" t="s">
        <v>37</v>
      </c>
    </row>
    <row r="61" spans="1:12">
      <c r="A61" s="4" t="s">
        <v>168</v>
      </c>
      <c r="B61" s="14">
        <v>1</v>
      </c>
      <c r="C61" s="10">
        <v>46030</v>
      </c>
      <c r="D61" s="4" t="s">
        <v>169</v>
      </c>
      <c r="E61" s="4" t="s">
        <v>68</v>
      </c>
      <c r="F61" s="4" t="s">
        <v>71</v>
      </c>
      <c r="G61" s="4" t="s">
        <v>33</v>
      </c>
      <c r="H61" s="4" t="s">
        <v>53</v>
      </c>
      <c r="I61" s="4" t="s">
        <v>62</v>
      </c>
      <c r="J61" s="4" t="s">
        <v>57</v>
      </c>
      <c r="K61" s="6">
        <v>311486</v>
      </c>
      <c r="L61" s="4" t="s">
        <v>37</v>
      </c>
    </row>
    <row r="62" spans="1:12">
      <c r="A62" s="4" t="s">
        <v>83</v>
      </c>
      <c r="B62" s="14">
        <v>1</v>
      </c>
      <c r="C62" s="10">
        <v>46126</v>
      </c>
      <c r="D62" s="4" t="s">
        <v>84</v>
      </c>
      <c r="E62" s="4" t="s">
        <v>31</v>
      </c>
      <c r="F62" s="4" t="s">
        <v>71</v>
      </c>
      <c r="G62" s="4" t="s">
        <v>72</v>
      </c>
      <c r="H62" s="4" t="s">
        <v>34</v>
      </c>
      <c r="I62" s="4" t="s">
        <v>50</v>
      </c>
      <c r="J62" s="4" t="s">
        <v>57</v>
      </c>
      <c r="K62" s="6">
        <v>170029</v>
      </c>
      <c r="L62" s="4" t="s">
        <v>37</v>
      </c>
    </row>
    <row r="63" spans="1:12">
      <c r="A63" s="4" t="s">
        <v>405</v>
      </c>
      <c r="B63" s="14">
        <v>1</v>
      </c>
      <c r="C63" s="10">
        <v>46148</v>
      </c>
      <c r="D63" s="4" t="s">
        <v>107</v>
      </c>
      <c r="E63" s="4" t="s">
        <v>60</v>
      </c>
      <c r="F63" s="4" t="s">
        <v>71</v>
      </c>
      <c r="G63" s="4" t="s">
        <v>72</v>
      </c>
      <c r="H63" s="4" t="s">
        <v>65</v>
      </c>
      <c r="I63" s="4" t="s">
        <v>35</v>
      </c>
      <c r="J63" s="4" t="s">
        <v>36</v>
      </c>
      <c r="K63" s="6">
        <v>1455568</v>
      </c>
      <c r="L63" s="4" t="s">
        <v>37</v>
      </c>
    </row>
    <row r="64" spans="1:12">
      <c r="A64" s="4" t="s">
        <v>162</v>
      </c>
      <c r="B64" s="14">
        <v>1</v>
      </c>
      <c r="C64" s="10">
        <v>46114</v>
      </c>
      <c r="D64" s="4" t="s">
        <v>163</v>
      </c>
      <c r="E64" s="4" t="s">
        <v>47</v>
      </c>
      <c r="F64" s="4" t="s">
        <v>71</v>
      </c>
      <c r="G64" s="4" t="s">
        <v>33</v>
      </c>
      <c r="H64" s="4" t="s">
        <v>53</v>
      </c>
      <c r="I64" s="4" t="s">
        <v>35</v>
      </c>
      <c r="J64" s="4" t="s">
        <v>44</v>
      </c>
      <c r="K64" s="6">
        <v>79725</v>
      </c>
      <c r="L64" s="4" t="s">
        <v>37</v>
      </c>
    </row>
    <row r="65" spans="1:12">
      <c r="A65" s="4" t="s">
        <v>298</v>
      </c>
      <c r="B65" s="14">
        <v>1</v>
      </c>
      <c r="C65" s="10">
        <v>46064</v>
      </c>
      <c r="D65" s="4" t="s">
        <v>226</v>
      </c>
      <c r="E65" s="4" t="s">
        <v>60</v>
      </c>
      <c r="F65" s="4" t="s">
        <v>71</v>
      </c>
      <c r="G65" s="4" t="s">
        <v>42</v>
      </c>
      <c r="H65" s="4" t="s">
        <v>34</v>
      </c>
      <c r="I65" s="4" t="s">
        <v>62</v>
      </c>
      <c r="J65" s="4" t="s">
        <v>57</v>
      </c>
      <c r="K65" s="6">
        <v>457442</v>
      </c>
      <c r="L65" s="4" t="s">
        <v>37</v>
      </c>
    </row>
    <row r="66" spans="1:12">
      <c r="A66" s="4" t="s">
        <v>433</v>
      </c>
      <c r="B66" s="14">
        <v>1</v>
      </c>
      <c r="C66" s="10">
        <v>46170</v>
      </c>
      <c r="D66" s="4" t="s">
        <v>434</v>
      </c>
      <c r="E66" s="4" t="s">
        <v>68</v>
      </c>
      <c r="F66" s="4" t="s">
        <v>71</v>
      </c>
      <c r="G66" s="4" t="s">
        <v>33</v>
      </c>
      <c r="H66" s="4" t="s">
        <v>78</v>
      </c>
      <c r="I66" s="4" t="s">
        <v>35</v>
      </c>
      <c r="J66" s="4" t="s">
        <v>36</v>
      </c>
      <c r="K66" s="6">
        <v>1017561</v>
      </c>
      <c r="L66" s="4" t="s">
        <v>37</v>
      </c>
    </row>
    <row r="67" spans="1:12">
      <c r="A67" s="4" t="s">
        <v>211</v>
      </c>
      <c r="B67" s="14">
        <v>1</v>
      </c>
      <c r="C67" s="10">
        <v>46046</v>
      </c>
      <c r="D67" s="4" t="s">
        <v>212</v>
      </c>
      <c r="E67" s="4" t="s">
        <v>68</v>
      </c>
      <c r="F67" s="4" t="s">
        <v>71</v>
      </c>
      <c r="G67" s="4" t="s">
        <v>33</v>
      </c>
      <c r="H67" s="4" t="s">
        <v>43</v>
      </c>
      <c r="I67" s="4" t="s">
        <v>35</v>
      </c>
      <c r="J67" s="4" t="s">
        <v>44</v>
      </c>
      <c r="K67" s="6">
        <v>571608</v>
      </c>
      <c r="L67" s="4" t="s">
        <v>37</v>
      </c>
    </row>
    <row r="68" spans="1:12">
      <c r="A68" s="4" t="s">
        <v>244</v>
      </c>
      <c r="B68" s="14">
        <v>1</v>
      </c>
      <c r="C68" s="10">
        <v>46185</v>
      </c>
      <c r="D68" s="4" t="s">
        <v>138</v>
      </c>
      <c r="E68" s="4" t="s">
        <v>68</v>
      </c>
      <c r="F68" s="4" t="s">
        <v>71</v>
      </c>
      <c r="G68" s="4" t="s">
        <v>61</v>
      </c>
      <c r="H68" s="4" t="s">
        <v>78</v>
      </c>
      <c r="I68" s="4" t="s">
        <v>35</v>
      </c>
      <c r="J68" s="4" t="s">
        <v>57</v>
      </c>
      <c r="K68" s="6">
        <v>466978</v>
      </c>
      <c r="L68" s="4" t="s">
        <v>37</v>
      </c>
    </row>
    <row r="69" spans="1:12">
      <c r="A69" s="4" t="s">
        <v>254</v>
      </c>
      <c r="B69" s="14">
        <v>1</v>
      </c>
      <c r="C69" s="10">
        <v>46050</v>
      </c>
      <c r="D69" s="4" t="s">
        <v>138</v>
      </c>
      <c r="E69" s="4" t="s">
        <v>31</v>
      </c>
      <c r="F69" s="4" t="s">
        <v>71</v>
      </c>
      <c r="G69" s="4" t="s">
        <v>33</v>
      </c>
      <c r="H69" s="4" t="s">
        <v>78</v>
      </c>
      <c r="I69" s="4" t="s">
        <v>50</v>
      </c>
      <c r="J69" s="4" t="s">
        <v>36</v>
      </c>
      <c r="K69" s="6">
        <v>592601</v>
      </c>
      <c r="L69" s="4" t="s">
        <v>37</v>
      </c>
    </row>
    <row r="70" spans="1:12">
      <c r="A70" s="4" t="s">
        <v>297</v>
      </c>
      <c r="B70" s="14">
        <v>1</v>
      </c>
      <c r="C70" s="10">
        <v>46112</v>
      </c>
      <c r="D70" s="4" t="s">
        <v>281</v>
      </c>
      <c r="E70" s="4" t="s">
        <v>77</v>
      </c>
      <c r="F70" s="4" t="s">
        <v>71</v>
      </c>
      <c r="G70" s="4" t="s">
        <v>72</v>
      </c>
      <c r="H70" s="4" t="s">
        <v>34</v>
      </c>
      <c r="I70" s="4" t="s">
        <v>50</v>
      </c>
      <c r="J70" s="4" t="s">
        <v>36</v>
      </c>
      <c r="K70" s="6">
        <v>1344929</v>
      </c>
      <c r="L70" s="4" t="s">
        <v>37</v>
      </c>
    </row>
    <row r="71" spans="1:12">
      <c r="A71" s="4" t="s">
        <v>285</v>
      </c>
      <c r="B71" s="14">
        <v>1</v>
      </c>
      <c r="C71" s="10">
        <v>46023</v>
      </c>
      <c r="D71" s="4" t="s">
        <v>286</v>
      </c>
      <c r="E71" s="4" t="s">
        <v>40</v>
      </c>
      <c r="F71" s="4" t="s">
        <v>71</v>
      </c>
      <c r="G71" s="4" t="s">
        <v>33</v>
      </c>
      <c r="H71" s="4" t="s">
        <v>34</v>
      </c>
      <c r="I71" s="4" t="s">
        <v>50</v>
      </c>
      <c r="J71" s="4" t="s">
        <v>36</v>
      </c>
      <c r="K71" s="6">
        <v>623156</v>
      </c>
      <c r="L71" s="4" t="s">
        <v>37</v>
      </c>
    </row>
    <row r="72" spans="1:12">
      <c r="A72" s="4" t="s">
        <v>426</v>
      </c>
      <c r="B72" s="14">
        <v>1</v>
      </c>
      <c r="C72" s="10">
        <v>46119</v>
      </c>
      <c r="D72" s="4" t="s">
        <v>286</v>
      </c>
      <c r="E72" s="4" t="s">
        <v>47</v>
      </c>
      <c r="F72" s="4" t="s">
        <v>71</v>
      </c>
      <c r="G72" s="4" t="s">
        <v>49</v>
      </c>
      <c r="H72" s="4" t="s">
        <v>34</v>
      </c>
      <c r="I72" s="4" t="s">
        <v>62</v>
      </c>
      <c r="J72" s="4" t="s">
        <v>36</v>
      </c>
      <c r="K72" s="6">
        <v>1464022</v>
      </c>
      <c r="L72" s="4" t="s">
        <v>37</v>
      </c>
    </row>
    <row r="73" spans="1:12">
      <c r="A73" s="4" t="s">
        <v>112</v>
      </c>
      <c r="B73" s="14">
        <v>1</v>
      </c>
      <c r="C73" s="10">
        <v>46111</v>
      </c>
      <c r="D73" s="4" t="s">
        <v>113</v>
      </c>
      <c r="E73" s="4" t="s">
        <v>31</v>
      </c>
      <c r="F73" s="4" t="s">
        <v>71</v>
      </c>
      <c r="G73" s="4" t="s">
        <v>61</v>
      </c>
      <c r="H73" s="4" t="s">
        <v>65</v>
      </c>
      <c r="I73" s="4" t="s">
        <v>62</v>
      </c>
      <c r="J73" s="4" t="s">
        <v>36</v>
      </c>
      <c r="K73" s="6">
        <v>834586</v>
      </c>
      <c r="L73" s="4" t="s">
        <v>37</v>
      </c>
    </row>
    <row r="74" spans="1:12">
      <c r="A74" s="4" t="s">
        <v>399</v>
      </c>
      <c r="B74" s="14">
        <v>1</v>
      </c>
      <c r="C74" s="10">
        <v>46152</v>
      </c>
      <c r="D74" s="4" t="s">
        <v>264</v>
      </c>
      <c r="E74" s="4" t="s">
        <v>40</v>
      </c>
      <c r="F74" s="4" t="s">
        <v>71</v>
      </c>
      <c r="G74" s="4" t="s">
        <v>61</v>
      </c>
      <c r="H74" s="4" t="s">
        <v>78</v>
      </c>
      <c r="I74" s="4" t="s">
        <v>50</v>
      </c>
      <c r="J74" s="4" t="s">
        <v>57</v>
      </c>
      <c r="K74" s="6">
        <v>1386921</v>
      </c>
      <c r="L74" s="4" t="s">
        <v>37</v>
      </c>
    </row>
    <row r="75" spans="1:12">
      <c r="A75" s="4" t="s">
        <v>437</v>
      </c>
      <c r="B75" s="14">
        <v>1</v>
      </c>
      <c r="C75" s="10">
        <v>46112</v>
      </c>
      <c r="D75" s="4" t="s">
        <v>103</v>
      </c>
      <c r="E75" s="4" t="s">
        <v>60</v>
      </c>
      <c r="F75" s="4" t="s">
        <v>71</v>
      </c>
      <c r="G75" s="4" t="s">
        <v>72</v>
      </c>
      <c r="H75" s="4" t="s">
        <v>43</v>
      </c>
      <c r="I75" s="4" t="s">
        <v>62</v>
      </c>
      <c r="J75" s="4" t="s">
        <v>36</v>
      </c>
      <c r="K75" s="6">
        <v>805678</v>
      </c>
      <c r="L75" s="4" t="s">
        <v>37</v>
      </c>
    </row>
    <row r="76" spans="1:12">
      <c r="A76" s="4" t="s">
        <v>379</v>
      </c>
      <c r="B76" s="14">
        <v>1</v>
      </c>
      <c r="C76" s="10">
        <v>46135</v>
      </c>
      <c r="D76" s="4" t="s">
        <v>380</v>
      </c>
      <c r="E76" s="4" t="s">
        <v>68</v>
      </c>
      <c r="F76" s="4" t="s">
        <v>71</v>
      </c>
      <c r="G76" s="4" t="s">
        <v>49</v>
      </c>
      <c r="H76" s="4" t="s">
        <v>43</v>
      </c>
      <c r="I76" s="4" t="s">
        <v>35</v>
      </c>
      <c r="J76" s="4" t="s">
        <v>36</v>
      </c>
      <c r="K76" s="6">
        <v>572220</v>
      </c>
      <c r="L76" s="4" t="s">
        <v>37</v>
      </c>
    </row>
    <row r="77" spans="1:12">
      <c r="A77" s="4" t="s">
        <v>377</v>
      </c>
      <c r="B77" s="14">
        <v>1</v>
      </c>
      <c r="C77" s="10">
        <v>46202</v>
      </c>
      <c r="D77" s="4" t="s">
        <v>378</v>
      </c>
      <c r="E77" s="4" t="s">
        <v>47</v>
      </c>
      <c r="F77" s="4" t="s">
        <v>71</v>
      </c>
      <c r="G77" s="4" t="s">
        <v>33</v>
      </c>
      <c r="H77" s="4" t="s">
        <v>34</v>
      </c>
      <c r="I77" s="4" t="s">
        <v>35</v>
      </c>
      <c r="J77" s="4" t="s">
        <v>36</v>
      </c>
      <c r="K77" s="6">
        <v>278981</v>
      </c>
      <c r="L77" s="4" t="s">
        <v>37</v>
      </c>
    </row>
    <row r="78" spans="1:12">
      <c r="A78" s="4" t="s">
        <v>239</v>
      </c>
      <c r="B78" s="14">
        <v>1</v>
      </c>
      <c r="C78" s="10">
        <v>46161</v>
      </c>
      <c r="D78" s="4" t="s">
        <v>240</v>
      </c>
      <c r="E78" s="4" t="s">
        <v>40</v>
      </c>
      <c r="F78" s="4" t="s">
        <v>71</v>
      </c>
      <c r="G78" s="4" t="s">
        <v>49</v>
      </c>
      <c r="H78" s="4" t="s">
        <v>43</v>
      </c>
      <c r="I78" s="4" t="s">
        <v>50</v>
      </c>
      <c r="J78" s="4" t="s">
        <v>57</v>
      </c>
      <c r="K78" s="6">
        <v>795182</v>
      </c>
      <c r="L78" s="4" t="s">
        <v>37</v>
      </c>
    </row>
    <row r="79" spans="1:12">
      <c r="A79" s="4" t="s">
        <v>255</v>
      </c>
      <c r="B79" s="14">
        <v>1</v>
      </c>
      <c r="C79" s="10">
        <v>46157</v>
      </c>
      <c r="D79" s="4" t="s">
        <v>256</v>
      </c>
      <c r="E79" s="4" t="s">
        <v>47</v>
      </c>
      <c r="F79" s="4" t="s">
        <v>71</v>
      </c>
      <c r="G79" s="4" t="s">
        <v>42</v>
      </c>
      <c r="H79" s="4" t="s">
        <v>43</v>
      </c>
      <c r="I79" s="4" t="s">
        <v>35</v>
      </c>
      <c r="J79" s="4" t="s">
        <v>36</v>
      </c>
      <c r="K79" s="6">
        <v>1213490</v>
      </c>
      <c r="L79" s="4" t="s">
        <v>37</v>
      </c>
    </row>
    <row r="80" spans="1:12">
      <c r="A80" s="4" t="s">
        <v>453</v>
      </c>
      <c r="B80" s="14">
        <v>1</v>
      </c>
      <c r="C80" s="10">
        <v>46033</v>
      </c>
      <c r="D80" s="4" t="s">
        <v>256</v>
      </c>
      <c r="E80" s="4" t="s">
        <v>77</v>
      </c>
      <c r="F80" s="4" t="s">
        <v>71</v>
      </c>
      <c r="G80" s="4" t="s">
        <v>61</v>
      </c>
      <c r="H80" s="4" t="s">
        <v>43</v>
      </c>
      <c r="I80" s="4" t="s">
        <v>35</v>
      </c>
      <c r="J80" s="4" t="s">
        <v>36</v>
      </c>
      <c r="K80" s="6">
        <v>983396</v>
      </c>
      <c r="L80" s="4" t="s">
        <v>37</v>
      </c>
    </row>
    <row r="81" spans="1:12">
      <c r="A81" s="4" t="s">
        <v>488</v>
      </c>
      <c r="B81" s="14">
        <v>1</v>
      </c>
      <c r="C81" s="10">
        <v>46174</v>
      </c>
      <c r="D81" s="4" t="s">
        <v>489</v>
      </c>
      <c r="E81" s="4" t="s">
        <v>47</v>
      </c>
      <c r="F81" s="4" t="s">
        <v>71</v>
      </c>
      <c r="G81" s="4" t="s">
        <v>42</v>
      </c>
      <c r="H81" s="4" t="s">
        <v>78</v>
      </c>
      <c r="I81" s="4" t="s">
        <v>62</v>
      </c>
      <c r="J81" s="4" t="s">
        <v>36</v>
      </c>
      <c r="K81" s="6">
        <v>355035</v>
      </c>
      <c r="L81" s="4" t="s">
        <v>37</v>
      </c>
    </row>
    <row r="82" spans="1:12">
      <c r="A82" s="4" t="s">
        <v>513</v>
      </c>
      <c r="B82" s="14">
        <v>1</v>
      </c>
      <c r="C82" s="10">
        <v>46168</v>
      </c>
      <c r="D82" s="4" t="s">
        <v>476</v>
      </c>
      <c r="E82" s="4" t="s">
        <v>47</v>
      </c>
      <c r="F82" s="4" t="s">
        <v>71</v>
      </c>
      <c r="G82" s="4" t="s">
        <v>42</v>
      </c>
      <c r="H82" s="4" t="s">
        <v>34</v>
      </c>
      <c r="I82" s="4" t="s">
        <v>50</v>
      </c>
      <c r="J82" s="4" t="s">
        <v>36</v>
      </c>
      <c r="K82" s="6">
        <v>1276408</v>
      </c>
      <c r="L82" s="4" t="s">
        <v>37</v>
      </c>
    </row>
    <row r="83" spans="1:12">
      <c r="A83" s="4" t="s">
        <v>179</v>
      </c>
      <c r="B83" s="14">
        <v>1</v>
      </c>
      <c r="C83" s="10">
        <v>46126</v>
      </c>
      <c r="D83" s="4" t="s">
        <v>180</v>
      </c>
      <c r="E83" s="4" t="s">
        <v>77</v>
      </c>
      <c r="F83" s="4" t="s">
        <v>71</v>
      </c>
      <c r="G83" s="4" t="s">
        <v>49</v>
      </c>
      <c r="H83" s="4" t="s">
        <v>65</v>
      </c>
      <c r="I83" s="4" t="s">
        <v>62</v>
      </c>
      <c r="J83" s="4" t="s">
        <v>36</v>
      </c>
      <c r="K83" s="6">
        <v>1032599</v>
      </c>
      <c r="L83" s="4" t="s">
        <v>37</v>
      </c>
    </row>
    <row r="84" spans="1:12">
      <c r="A84" s="4" t="s">
        <v>441</v>
      </c>
      <c r="B84" s="14">
        <v>1</v>
      </c>
      <c r="C84" s="10">
        <v>46118</v>
      </c>
      <c r="D84" s="4" t="s">
        <v>147</v>
      </c>
      <c r="E84" s="4" t="s">
        <v>60</v>
      </c>
      <c r="F84" s="4" t="s">
        <v>71</v>
      </c>
      <c r="G84" s="4" t="s">
        <v>72</v>
      </c>
      <c r="H84" s="4" t="s">
        <v>53</v>
      </c>
      <c r="I84" s="4" t="s">
        <v>62</v>
      </c>
      <c r="J84" s="4" t="s">
        <v>57</v>
      </c>
      <c r="K84" s="6">
        <v>361877</v>
      </c>
      <c r="L84" s="4" t="s">
        <v>37</v>
      </c>
    </row>
    <row r="85" spans="1:12">
      <c r="A85" s="4" t="s">
        <v>486</v>
      </c>
      <c r="B85" s="14">
        <v>1</v>
      </c>
      <c r="C85" s="10">
        <v>46170</v>
      </c>
      <c r="D85" s="4" t="s">
        <v>487</v>
      </c>
      <c r="E85" s="4" t="s">
        <v>31</v>
      </c>
      <c r="F85" s="4" t="s">
        <v>71</v>
      </c>
      <c r="G85" s="4" t="s">
        <v>49</v>
      </c>
      <c r="H85" s="4" t="s">
        <v>78</v>
      </c>
      <c r="I85" s="4" t="s">
        <v>62</v>
      </c>
      <c r="J85" s="4" t="s">
        <v>36</v>
      </c>
      <c r="K85" s="6">
        <v>603343</v>
      </c>
      <c r="L85" s="4" t="s">
        <v>37</v>
      </c>
    </row>
    <row r="86" spans="1:12">
      <c r="A86" s="4" t="s">
        <v>204</v>
      </c>
      <c r="B86" s="14">
        <v>1</v>
      </c>
      <c r="C86" s="10">
        <v>46037</v>
      </c>
      <c r="D86" s="4" t="s">
        <v>165</v>
      </c>
      <c r="E86" s="4" t="s">
        <v>68</v>
      </c>
      <c r="F86" s="4" t="s">
        <v>71</v>
      </c>
      <c r="G86" s="4" t="s">
        <v>33</v>
      </c>
      <c r="H86" s="4" t="s">
        <v>43</v>
      </c>
      <c r="I86" s="4" t="s">
        <v>35</v>
      </c>
      <c r="J86" s="4" t="s">
        <v>44</v>
      </c>
      <c r="K86" s="6">
        <v>1178678</v>
      </c>
      <c r="L86" s="4" t="s">
        <v>37</v>
      </c>
    </row>
    <row r="87" spans="1:12">
      <c r="A87" s="4" t="s">
        <v>528</v>
      </c>
      <c r="B87" s="14">
        <v>1</v>
      </c>
      <c r="C87" s="10">
        <v>46170</v>
      </c>
      <c r="D87" s="4" t="s">
        <v>175</v>
      </c>
      <c r="E87" s="4" t="s">
        <v>60</v>
      </c>
      <c r="F87" s="4" t="s">
        <v>71</v>
      </c>
      <c r="G87" s="4" t="s">
        <v>72</v>
      </c>
      <c r="H87" s="4" t="s">
        <v>34</v>
      </c>
      <c r="I87" s="4" t="s">
        <v>50</v>
      </c>
      <c r="J87" s="4" t="s">
        <v>36</v>
      </c>
      <c r="K87" s="6">
        <v>588645</v>
      </c>
      <c r="L87" s="4" t="s">
        <v>37</v>
      </c>
    </row>
    <row r="88" spans="1:12">
      <c r="A88" s="4" t="s">
        <v>395</v>
      </c>
      <c r="B88" s="14">
        <v>1</v>
      </c>
      <c r="C88" s="10">
        <v>46103</v>
      </c>
      <c r="D88" s="4" t="s">
        <v>396</v>
      </c>
      <c r="E88" s="4" t="s">
        <v>60</v>
      </c>
      <c r="F88" s="4" t="s">
        <v>71</v>
      </c>
      <c r="G88" s="4" t="s">
        <v>72</v>
      </c>
      <c r="H88" s="4" t="s">
        <v>53</v>
      </c>
      <c r="I88" s="4" t="s">
        <v>35</v>
      </c>
      <c r="J88" s="4" t="s">
        <v>57</v>
      </c>
      <c r="K88" s="6">
        <v>819097</v>
      </c>
      <c r="L88" s="4" t="s">
        <v>37</v>
      </c>
    </row>
    <row r="89" spans="1:12">
      <c r="A89" s="4" t="s">
        <v>419</v>
      </c>
      <c r="B89" s="14">
        <v>1</v>
      </c>
      <c r="C89" s="10">
        <v>46091</v>
      </c>
      <c r="D89" s="4" t="s">
        <v>420</v>
      </c>
      <c r="E89" s="4" t="s">
        <v>60</v>
      </c>
      <c r="F89" s="4" t="s">
        <v>71</v>
      </c>
      <c r="G89" s="4" t="s">
        <v>33</v>
      </c>
      <c r="H89" s="4" t="s">
        <v>53</v>
      </c>
      <c r="I89" s="4" t="s">
        <v>35</v>
      </c>
      <c r="J89" s="4" t="s">
        <v>57</v>
      </c>
      <c r="K89" s="6">
        <v>990756</v>
      </c>
      <c r="L89" s="4" t="s">
        <v>37</v>
      </c>
    </row>
    <row r="90" spans="1:12">
      <c r="A90" s="4" t="s">
        <v>115</v>
      </c>
      <c r="B90" s="14">
        <v>1</v>
      </c>
      <c r="C90" s="10">
        <v>46081</v>
      </c>
      <c r="D90" s="4" t="s">
        <v>116</v>
      </c>
      <c r="E90" s="4" t="s">
        <v>40</v>
      </c>
      <c r="F90" s="4" t="s">
        <v>71</v>
      </c>
      <c r="G90" s="4" t="s">
        <v>61</v>
      </c>
      <c r="H90" s="4" t="s">
        <v>34</v>
      </c>
      <c r="I90" s="4" t="s">
        <v>50</v>
      </c>
      <c r="J90" s="4" t="s">
        <v>36</v>
      </c>
      <c r="K90" s="6">
        <v>501157</v>
      </c>
      <c r="L90" s="4" t="s">
        <v>37</v>
      </c>
    </row>
    <row r="91" spans="1:12">
      <c r="A91" s="4" t="s">
        <v>195</v>
      </c>
      <c r="B91" s="14">
        <v>1</v>
      </c>
      <c r="C91" s="10">
        <v>46066</v>
      </c>
      <c r="D91" s="4" t="s">
        <v>196</v>
      </c>
      <c r="E91" s="4" t="s">
        <v>40</v>
      </c>
      <c r="F91" s="4" t="s">
        <v>71</v>
      </c>
      <c r="G91" s="4" t="s">
        <v>61</v>
      </c>
      <c r="H91" s="4" t="s">
        <v>65</v>
      </c>
      <c r="I91" s="4" t="s">
        <v>35</v>
      </c>
      <c r="J91" s="4" t="s">
        <v>36</v>
      </c>
      <c r="K91" s="6">
        <v>1193657</v>
      </c>
      <c r="L91" s="4" t="s">
        <v>37</v>
      </c>
    </row>
    <row r="92" spans="1:12">
      <c r="A92" s="4" t="s">
        <v>119</v>
      </c>
      <c r="B92" s="14">
        <v>1</v>
      </c>
      <c r="C92" s="10">
        <v>46037</v>
      </c>
      <c r="D92" s="4" t="s">
        <v>120</v>
      </c>
      <c r="E92" s="4" t="s">
        <v>77</v>
      </c>
      <c r="F92" s="4" t="s">
        <v>71</v>
      </c>
      <c r="G92" s="4" t="s">
        <v>42</v>
      </c>
      <c r="H92" s="4" t="s">
        <v>78</v>
      </c>
      <c r="I92" s="4" t="s">
        <v>50</v>
      </c>
      <c r="J92" s="4" t="s">
        <v>36</v>
      </c>
      <c r="K92" s="6">
        <v>1315898</v>
      </c>
      <c r="L92" s="4" t="s">
        <v>37</v>
      </c>
    </row>
    <row r="93" spans="1:12">
      <c r="A93" s="4" t="s">
        <v>481</v>
      </c>
      <c r="B93" s="14">
        <v>1</v>
      </c>
      <c r="C93" s="10">
        <v>46169</v>
      </c>
      <c r="D93" s="4" t="s">
        <v>482</v>
      </c>
      <c r="E93" s="4" t="s">
        <v>68</v>
      </c>
      <c r="F93" s="4" t="s">
        <v>71</v>
      </c>
      <c r="G93" s="4" t="s">
        <v>61</v>
      </c>
      <c r="H93" s="4" t="s">
        <v>78</v>
      </c>
      <c r="I93" s="4" t="s">
        <v>35</v>
      </c>
      <c r="J93" s="4" t="s">
        <v>57</v>
      </c>
      <c r="K93" s="6">
        <v>500930</v>
      </c>
      <c r="L93" s="4" t="s">
        <v>37</v>
      </c>
    </row>
    <row r="94" spans="1:12">
      <c r="A94" s="4" t="s">
        <v>537</v>
      </c>
      <c r="B94" s="14">
        <v>1</v>
      </c>
      <c r="C94" s="10">
        <v>46055</v>
      </c>
      <c r="D94" s="4" t="s">
        <v>538</v>
      </c>
      <c r="E94" s="4" t="s">
        <v>60</v>
      </c>
      <c r="F94" s="4" t="s">
        <v>71</v>
      </c>
      <c r="G94" s="4" t="s">
        <v>42</v>
      </c>
      <c r="H94" s="4" t="s">
        <v>65</v>
      </c>
      <c r="I94" s="4" t="s">
        <v>35</v>
      </c>
      <c r="J94" s="4" t="s">
        <v>36</v>
      </c>
      <c r="K94" s="6">
        <v>456140</v>
      </c>
      <c r="L94" s="4" t="s">
        <v>37</v>
      </c>
    </row>
    <row r="95" spans="1:12">
      <c r="A95" s="4" t="s">
        <v>305</v>
      </c>
      <c r="B95" s="14">
        <v>1</v>
      </c>
      <c r="C95" s="10">
        <v>46118</v>
      </c>
      <c r="D95" s="4" t="s">
        <v>306</v>
      </c>
      <c r="E95" s="4" t="s">
        <v>47</v>
      </c>
      <c r="F95" s="4" t="s">
        <v>71</v>
      </c>
      <c r="G95" s="4" t="s">
        <v>61</v>
      </c>
      <c r="H95" s="4" t="s">
        <v>43</v>
      </c>
      <c r="I95" s="4" t="s">
        <v>35</v>
      </c>
      <c r="J95" s="4" t="s">
        <v>36</v>
      </c>
      <c r="K95" s="6">
        <v>1167502</v>
      </c>
      <c r="L95" s="4" t="s">
        <v>37</v>
      </c>
    </row>
    <row r="96" spans="1:12">
      <c r="A96" s="4" t="s">
        <v>471</v>
      </c>
      <c r="B96" s="14">
        <v>1</v>
      </c>
      <c r="C96" s="10">
        <v>46024</v>
      </c>
      <c r="D96" s="4" t="s">
        <v>39</v>
      </c>
      <c r="E96" s="4" t="s">
        <v>40</v>
      </c>
      <c r="F96" s="4" t="s">
        <v>71</v>
      </c>
      <c r="G96" s="4" t="s">
        <v>72</v>
      </c>
      <c r="H96" s="4" t="s">
        <v>34</v>
      </c>
      <c r="I96" s="4" t="s">
        <v>62</v>
      </c>
      <c r="J96" s="4" t="s">
        <v>57</v>
      </c>
      <c r="K96" s="6">
        <v>1044969</v>
      </c>
      <c r="L96" s="4" t="s">
        <v>37</v>
      </c>
    </row>
    <row r="97" spans="1:12">
      <c r="A97" s="4" t="s">
        <v>259</v>
      </c>
      <c r="B97" s="14">
        <v>1</v>
      </c>
      <c r="C97" s="10">
        <v>46034</v>
      </c>
      <c r="D97" s="4" t="s">
        <v>260</v>
      </c>
      <c r="E97" s="4" t="s">
        <v>47</v>
      </c>
      <c r="F97" s="4" t="s">
        <v>71</v>
      </c>
      <c r="G97" s="4" t="s">
        <v>49</v>
      </c>
      <c r="H97" s="4" t="s">
        <v>34</v>
      </c>
      <c r="I97" s="4" t="s">
        <v>62</v>
      </c>
      <c r="J97" s="4" t="s">
        <v>36</v>
      </c>
      <c r="K97" s="6">
        <v>153892</v>
      </c>
      <c r="L97" s="4" t="s">
        <v>37</v>
      </c>
    </row>
    <row r="98" spans="1:12">
      <c r="A98" s="4" t="s">
        <v>464</v>
      </c>
      <c r="B98" s="14">
        <v>1</v>
      </c>
      <c r="C98" s="10">
        <v>46166</v>
      </c>
      <c r="D98" s="4" t="s">
        <v>260</v>
      </c>
      <c r="E98" s="4" t="s">
        <v>77</v>
      </c>
      <c r="F98" s="4" t="s">
        <v>71</v>
      </c>
      <c r="G98" s="4" t="s">
        <v>49</v>
      </c>
      <c r="H98" s="4" t="s">
        <v>78</v>
      </c>
      <c r="I98" s="4" t="s">
        <v>35</v>
      </c>
      <c r="J98" s="4" t="s">
        <v>36</v>
      </c>
      <c r="K98" s="6">
        <v>301351</v>
      </c>
      <c r="L98" s="4" t="s">
        <v>37</v>
      </c>
    </row>
    <row r="99" spans="1:12">
      <c r="A99" s="4" t="s">
        <v>322</v>
      </c>
      <c r="B99" s="14">
        <v>1</v>
      </c>
      <c r="C99" s="10">
        <v>46035</v>
      </c>
      <c r="D99" s="4" t="s">
        <v>159</v>
      </c>
      <c r="E99" s="4" t="s">
        <v>60</v>
      </c>
      <c r="F99" s="4" t="s">
        <v>71</v>
      </c>
      <c r="G99" s="4" t="s">
        <v>49</v>
      </c>
      <c r="H99" s="4" t="s">
        <v>34</v>
      </c>
      <c r="I99" s="4" t="s">
        <v>50</v>
      </c>
      <c r="J99" s="4" t="s">
        <v>36</v>
      </c>
      <c r="K99" s="6">
        <v>819727</v>
      </c>
      <c r="L99" s="4" t="s">
        <v>37</v>
      </c>
    </row>
    <row r="100" spans="1:12">
      <c r="A100" s="4" t="s">
        <v>166</v>
      </c>
      <c r="B100" s="14">
        <v>1</v>
      </c>
      <c r="C100" s="10">
        <v>46194</v>
      </c>
      <c r="D100" s="4" t="s">
        <v>167</v>
      </c>
      <c r="E100" s="4" t="s">
        <v>68</v>
      </c>
      <c r="F100" s="4" t="s">
        <v>71</v>
      </c>
      <c r="G100" s="4" t="s">
        <v>49</v>
      </c>
      <c r="H100" s="4" t="s">
        <v>78</v>
      </c>
      <c r="I100" s="4" t="s">
        <v>50</v>
      </c>
      <c r="J100" s="4" t="s">
        <v>36</v>
      </c>
      <c r="K100" s="6">
        <v>154555</v>
      </c>
      <c r="L100" s="4" t="s">
        <v>37</v>
      </c>
    </row>
    <row r="101" spans="1:12">
      <c r="A101" s="4" t="s">
        <v>498</v>
      </c>
      <c r="B101" s="14">
        <v>1</v>
      </c>
      <c r="C101" s="10">
        <v>46097</v>
      </c>
      <c r="D101" s="4" t="s">
        <v>499</v>
      </c>
      <c r="E101" s="4" t="s">
        <v>60</v>
      </c>
      <c r="F101" s="4" t="s">
        <v>71</v>
      </c>
      <c r="G101" s="4" t="s">
        <v>61</v>
      </c>
      <c r="H101" s="4" t="s">
        <v>43</v>
      </c>
      <c r="I101" s="4" t="s">
        <v>62</v>
      </c>
      <c r="J101" s="4" t="s">
        <v>36</v>
      </c>
      <c r="K101" s="6">
        <v>179350</v>
      </c>
      <c r="L101" s="4" t="s">
        <v>37</v>
      </c>
    </row>
    <row r="102" spans="1:12">
      <c r="A102" s="4" t="s">
        <v>470</v>
      </c>
      <c r="B102" s="14">
        <v>1</v>
      </c>
      <c r="C102" s="10">
        <v>46135</v>
      </c>
      <c r="D102" s="4" t="s">
        <v>122</v>
      </c>
      <c r="E102" s="4" t="s">
        <v>47</v>
      </c>
      <c r="F102" s="4" t="s">
        <v>71</v>
      </c>
      <c r="G102" s="4" t="s">
        <v>49</v>
      </c>
      <c r="H102" s="4" t="s">
        <v>34</v>
      </c>
      <c r="I102" s="4" t="s">
        <v>62</v>
      </c>
      <c r="J102" s="4" t="s">
        <v>36</v>
      </c>
      <c r="K102" s="6">
        <v>100601</v>
      </c>
      <c r="L102" s="4" t="s">
        <v>37</v>
      </c>
    </row>
    <row r="103" spans="1:12">
      <c r="A103" s="4" t="s">
        <v>500</v>
      </c>
      <c r="B103" s="14">
        <v>1</v>
      </c>
      <c r="C103" s="10">
        <v>46135</v>
      </c>
      <c r="D103" s="4" t="s">
        <v>242</v>
      </c>
      <c r="E103" s="4" t="s">
        <v>47</v>
      </c>
      <c r="F103" s="4" t="s">
        <v>71</v>
      </c>
      <c r="G103" s="4" t="s">
        <v>72</v>
      </c>
      <c r="H103" s="4" t="s">
        <v>34</v>
      </c>
      <c r="I103" s="4" t="s">
        <v>62</v>
      </c>
      <c r="J103" s="4" t="s">
        <v>36</v>
      </c>
      <c r="K103" s="6">
        <v>738725</v>
      </c>
      <c r="L103" s="4" t="s">
        <v>37</v>
      </c>
    </row>
    <row r="104" spans="1:12">
      <c r="A104" s="4" t="s">
        <v>141</v>
      </c>
      <c r="B104" s="14">
        <v>1</v>
      </c>
      <c r="C104" s="10">
        <v>46189</v>
      </c>
      <c r="D104" s="4" t="s">
        <v>109</v>
      </c>
      <c r="E104" s="4" t="s">
        <v>60</v>
      </c>
      <c r="F104" s="4" t="s">
        <v>71</v>
      </c>
      <c r="G104" s="4" t="s">
        <v>72</v>
      </c>
      <c r="H104" s="4" t="s">
        <v>53</v>
      </c>
      <c r="I104" s="4" t="s">
        <v>50</v>
      </c>
      <c r="J104" s="4" t="s">
        <v>36</v>
      </c>
      <c r="K104" s="6">
        <v>1276134</v>
      </c>
      <c r="L104" s="4" t="s">
        <v>37</v>
      </c>
    </row>
    <row r="105" spans="1:12">
      <c r="A105" s="4" t="s">
        <v>429</v>
      </c>
      <c r="B105" s="14">
        <v>1</v>
      </c>
      <c r="C105" s="10">
        <v>46092</v>
      </c>
      <c r="D105" s="4" t="s">
        <v>76</v>
      </c>
      <c r="E105" s="4" t="s">
        <v>40</v>
      </c>
      <c r="F105" s="4" t="s">
        <v>71</v>
      </c>
      <c r="G105" s="4" t="s">
        <v>33</v>
      </c>
      <c r="H105" s="4" t="s">
        <v>53</v>
      </c>
      <c r="I105" s="4" t="s">
        <v>62</v>
      </c>
      <c r="J105" s="4" t="s">
        <v>57</v>
      </c>
      <c r="K105" s="6">
        <v>69675</v>
      </c>
      <c r="L105" s="4" t="s">
        <v>37</v>
      </c>
    </row>
    <row r="106" spans="1:12">
      <c r="A106" s="4" t="s">
        <v>69</v>
      </c>
      <c r="B106" s="14">
        <v>1</v>
      </c>
      <c r="C106" s="10">
        <v>46144</v>
      </c>
      <c r="D106" s="4" t="s">
        <v>70</v>
      </c>
      <c r="E106" s="4" t="s">
        <v>60</v>
      </c>
      <c r="F106" s="4" t="s">
        <v>71</v>
      </c>
      <c r="G106" s="4" t="s">
        <v>72</v>
      </c>
      <c r="H106" s="4" t="s">
        <v>53</v>
      </c>
      <c r="I106" s="4" t="s">
        <v>35</v>
      </c>
      <c r="J106" s="4" t="s">
        <v>36</v>
      </c>
      <c r="K106" s="6">
        <v>1351367</v>
      </c>
      <c r="L106" s="4" t="s">
        <v>37</v>
      </c>
    </row>
    <row r="107" spans="1:12">
      <c r="A107" s="4" t="s">
        <v>261</v>
      </c>
      <c r="B107" s="14">
        <v>1</v>
      </c>
      <c r="C107" s="10">
        <v>46184</v>
      </c>
      <c r="D107" s="4" t="s">
        <v>262</v>
      </c>
      <c r="E107" s="4" t="s">
        <v>60</v>
      </c>
      <c r="F107" s="4" t="s">
        <v>71</v>
      </c>
      <c r="G107" s="4" t="s">
        <v>72</v>
      </c>
      <c r="H107" s="4" t="s">
        <v>53</v>
      </c>
      <c r="I107" s="4" t="s">
        <v>35</v>
      </c>
      <c r="J107" s="4" t="s">
        <v>36</v>
      </c>
      <c r="K107" s="6">
        <v>1362743</v>
      </c>
      <c r="L107" s="4" t="s">
        <v>37</v>
      </c>
    </row>
    <row r="108" spans="1:12">
      <c r="A108" s="4" t="s">
        <v>81</v>
      </c>
      <c r="B108" s="14">
        <v>1</v>
      </c>
      <c r="C108" s="10">
        <v>46122</v>
      </c>
      <c r="D108" s="4" t="s">
        <v>82</v>
      </c>
      <c r="E108" s="4" t="s">
        <v>77</v>
      </c>
      <c r="F108" s="4" t="s">
        <v>32</v>
      </c>
      <c r="G108" s="4" t="s">
        <v>61</v>
      </c>
      <c r="H108" s="4" t="s">
        <v>43</v>
      </c>
      <c r="I108" s="4" t="s">
        <v>50</v>
      </c>
      <c r="J108" s="4" t="s">
        <v>57</v>
      </c>
      <c r="K108" s="6">
        <v>174447</v>
      </c>
      <c r="L108" s="4" t="s">
        <v>37</v>
      </c>
    </row>
    <row r="109" spans="1:12">
      <c r="A109" s="4" t="s">
        <v>100</v>
      </c>
      <c r="B109" s="14">
        <v>1</v>
      </c>
      <c r="C109" s="10">
        <v>46060</v>
      </c>
      <c r="D109" s="4" t="s">
        <v>101</v>
      </c>
      <c r="E109" s="4" t="s">
        <v>31</v>
      </c>
      <c r="F109" s="4" t="s">
        <v>32</v>
      </c>
      <c r="G109" s="4" t="s">
        <v>42</v>
      </c>
      <c r="H109" s="4" t="s">
        <v>53</v>
      </c>
      <c r="I109" s="4" t="s">
        <v>62</v>
      </c>
      <c r="J109" s="4" t="s">
        <v>57</v>
      </c>
      <c r="K109" s="6">
        <v>437732</v>
      </c>
      <c r="L109" s="4" t="s">
        <v>37</v>
      </c>
    </row>
    <row r="110" spans="1:12">
      <c r="A110" s="4" t="s">
        <v>466</v>
      </c>
      <c r="B110" s="14">
        <v>1</v>
      </c>
      <c r="C110" s="10">
        <v>46134</v>
      </c>
      <c r="D110" s="4" t="s">
        <v>467</v>
      </c>
      <c r="E110" s="4" t="s">
        <v>68</v>
      </c>
      <c r="F110" s="4" t="s">
        <v>32</v>
      </c>
      <c r="G110" s="4" t="s">
        <v>61</v>
      </c>
      <c r="H110" s="4" t="s">
        <v>34</v>
      </c>
      <c r="I110" s="4" t="s">
        <v>50</v>
      </c>
      <c r="J110" s="4" t="s">
        <v>36</v>
      </c>
      <c r="K110" s="6">
        <v>1337087</v>
      </c>
      <c r="L110" s="4" t="s">
        <v>37</v>
      </c>
    </row>
    <row r="111" spans="1:12">
      <c r="A111" s="4" t="s">
        <v>363</v>
      </c>
      <c r="B111" s="14">
        <v>1</v>
      </c>
      <c r="C111" s="10">
        <v>46159</v>
      </c>
      <c r="D111" s="4" t="s">
        <v>364</v>
      </c>
      <c r="E111" s="4" t="s">
        <v>40</v>
      </c>
      <c r="F111" s="4" t="s">
        <v>32</v>
      </c>
      <c r="G111" s="4" t="s">
        <v>42</v>
      </c>
      <c r="H111" s="4" t="s">
        <v>53</v>
      </c>
      <c r="I111" s="4" t="s">
        <v>35</v>
      </c>
      <c r="J111" s="4" t="s">
        <v>36</v>
      </c>
      <c r="K111" s="6">
        <v>554409</v>
      </c>
      <c r="L111" s="4" t="s">
        <v>37</v>
      </c>
    </row>
    <row r="112" spans="1:12">
      <c r="A112" s="4" t="s">
        <v>129</v>
      </c>
      <c r="B112" s="14">
        <v>1</v>
      </c>
      <c r="C112" s="10">
        <v>46086</v>
      </c>
      <c r="D112" s="4" t="s">
        <v>130</v>
      </c>
      <c r="E112" s="4" t="s">
        <v>68</v>
      </c>
      <c r="F112" s="4" t="s">
        <v>32</v>
      </c>
      <c r="G112" s="4" t="s">
        <v>49</v>
      </c>
      <c r="H112" s="4" t="s">
        <v>65</v>
      </c>
      <c r="I112" s="4" t="s">
        <v>35</v>
      </c>
      <c r="J112" s="4" t="s">
        <v>36</v>
      </c>
      <c r="K112" s="6">
        <v>194129</v>
      </c>
      <c r="L112" s="4" t="s">
        <v>37</v>
      </c>
    </row>
    <row r="113" spans="1:12">
      <c r="A113" s="4" t="s">
        <v>29</v>
      </c>
      <c r="B113" s="14">
        <v>1</v>
      </c>
      <c r="C113" s="10">
        <v>46125</v>
      </c>
      <c r="D113" s="4" t="s">
        <v>30</v>
      </c>
      <c r="E113" s="4" t="s">
        <v>31</v>
      </c>
      <c r="F113" s="4" t="s">
        <v>32</v>
      </c>
      <c r="G113" s="4" t="s">
        <v>33</v>
      </c>
      <c r="H113" s="4" t="s">
        <v>34</v>
      </c>
      <c r="I113" s="4" t="s">
        <v>35</v>
      </c>
      <c r="J113" s="4" t="s">
        <v>36</v>
      </c>
      <c r="K113" s="6">
        <v>679720</v>
      </c>
      <c r="L113" s="4" t="s">
        <v>37</v>
      </c>
    </row>
    <row r="114" spans="1:12">
      <c r="A114" s="4" t="s">
        <v>307</v>
      </c>
      <c r="B114" s="14">
        <v>1</v>
      </c>
      <c r="C114" s="10">
        <v>46074</v>
      </c>
      <c r="D114" s="4" t="s">
        <v>163</v>
      </c>
      <c r="E114" s="4" t="s">
        <v>47</v>
      </c>
      <c r="F114" s="4" t="s">
        <v>32</v>
      </c>
      <c r="G114" s="4" t="s">
        <v>72</v>
      </c>
      <c r="H114" s="4" t="s">
        <v>65</v>
      </c>
      <c r="I114" s="4" t="s">
        <v>50</v>
      </c>
      <c r="J114" s="4" t="s">
        <v>36</v>
      </c>
      <c r="K114" s="6">
        <v>367650</v>
      </c>
      <c r="L114" s="4" t="s">
        <v>37</v>
      </c>
    </row>
    <row r="115" spans="1:12">
      <c r="A115" s="4" t="s">
        <v>510</v>
      </c>
      <c r="B115" s="14">
        <v>1</v>
      </c>
      <c r="C115" s="10">
        <v>46121</v>
      </c>
      <c r="D115" s="4" t="s">
        <v>163</v>
      </c>
      <c r="E115" s="4" t="s">
        <v>68</v>
      </c>
      <c r="F115" s="4" t="s">
        <v>32</v>
      </c>
      <c r="G115" s="4" t="s">
        <v>42</v>
      </c>
      <c r="H115" s="4" t="s">
        <v>65</v>
      </c>
      <c r="I115" s="4" t="s">
        <v>50</v>
      </c>
      <c r="J115" s="4" t="s">
        <v>36</v>
      </c>
      <c r="K115" s="6">
        <v>777067</v>
      </c>
      <c r="L115" s="4" t="s">
        <v>37</v>
      </c>
    </row>
    <row r="116" spans="1:12">
      <c r="A116" s="4" t="s">
        <v>445</v>
      </c>
      <c r="B116" s="14">
        <v>1</v>
      </c>
      <c r="C116" s="10">
        <v>46190</v>
      </c>
      <c r="D116" s="4" t="s">
        <v>163</v>
      </c>
      <c r="E116" s="4" t="s">
        <v>47</v>
      </c>
      <c r="F116" s="4" t="s">
        <v>32</v>
      </c>
      <c r="G116" s="4" t="s">
        <v>33</v>
      </c>
      <c r="H116" s="4" t="s">
        <v>53</v>
      </c>
      <c r="I116" s="4" t="s">
        <v>50</v>
      </c>
      <c r="J116" s="4" t="s">
        <v>44</v>
      </c>
      <c r="K116" s="6">
        <v>317491</v>
      </c>
      <c r="L116" s="4" t="s">
        <v>37</v>
      </c>
    </row>
    <row r="117" spans="1:12">
      <c r="A117" s="4" t="s">
        <v>360</v>
      </c>
      <c r="B117" s="14">
        <v>1</v>
      </c>
      <c r="C117" s="10">
        <v>46125</v>
      </c>
      <c r="D117" s="4" t="s">
        <v>361</v>
      </c>
      <c r="E117" s="4" t="s">
        <v>77</v>
      </c>
      <c r="F117" s="4" t="s">
        <v>32</v>
      </c>
      <c r="G117" s="4" t="s">
        <v>49</v>
      </c>
      <c r="H117" s="4" t="s">
        <v>34</v>
      </c>
      <c r="I117" s="4" t="s">
        <v>62</v>
      </c>
      <c r="J117" s="4" t="s">
        <v>36</v>
      </c>
      <c r="K117" s="6">
        <v>1082038</v>
      </c>
      <c r="L117" s="4" t="s">
        <v>37</v>
      </c>
    </row>
    <row r="118" spans="1:12">
      <c r="A118" s="4" t="s">
        <v>526</v>
      </c>
      <c r="B118" s="14">
        <v>1</v>
      </c>
      <c r="C118" s="10">
        <v>46043</v>
      </c>
      <c r="D118" s="4" t="s">
        <v>138</v>
      </c>
      <c r="E118" s="4" t="s">
        <v>68</v>
      </c>
      <c r="F118" s="4" t="s">
        <v>32</v>
      </c>
      <c r="G118" s="4" t="s">
        <v>49</v>
      </c>
      <c r="H118" s="4" t="s">
        <v>53</v>
      </c>
      <c r="I118" s="4" t="s">
        <v>50</v>
      </c>
      <c r="J118" s="4" t="s">
        <v>36</v>
      </c>
      <c r="K118" s="6">
        <v>1111716</v>
      </c>
      <c r="L118" s="4" t="s">
        <v>37</v>
      </c>
    </row>
    <row r="119" spans="1:12">
      <c r="A119" s="4" t="s">
        <v>414</v>
      </c>
      <c r="B119" s="14">
        <v>1</v>
      </c>
      <c r="C119" s="10">
        <v>46167</v>
      </c>
      <c r="D119" s="4" t="s">
        <v>415</v>
      </c>
      <c r="E119" s="4" t="s">
        <v>47</v>
      </c>
      <c r="F119" s="4" t="s">
        <v>32</v>
      </c>
      <c r="G119" s="4" t="s">
        <v>72</v>
      </c>
      <c r="H119" s="4" t="s">
        <v>43</v>
      </c>
      <c r="I119" s="4" t="s">
        <v>50</v>
      </c>
      <c r="J119" s="4" t="s">
        <v>36</v>
      </c>
      <c r="K119" s="6">
        <v>1165731</v>
      </c>
      <c r="L119" s="4" t="s">
        <v>37</v>
      </c>
    </row>
    <row r="120" spans="1:12">
      <c r="A120" s="4" t="s">
        <v>183</v>
      </c>
      <c r="B120" s="14">
        <v>1</v>
      </c>
      <c r="C120" s="10">
        <v>46024</v>
      </c>
      <c r="D120" s="4" t="s">
        <v>184</v>
      </c>
      <c r="E120" s="4" t="s">
        <v>47</v>
      </c>
      <c r="F120" s="4" t="s">
        <v>32</v>
      </c>
      <c r="G120" s="4" t="s">
        <v>61</v>
      </c>
      <c r="H120" s="4" t="s">
        <v>65</v>
      </c>
      <c r="I120" s="4" t="s">
        <v>62</v>
      </c>
      <c r="J120" s="4" t="s">
        <v>57</v>
      </c>
      <c r="K120" s="6">
        <v>105147</v>
      </c>
      <c r="L120" s="4" t="s">
        <v>37</v>
      </c>
    </row>
    <row r="121" spans="1:12">
      <c r="A121" s="4" t="s">
        <v>374</v>
      </c>
      <c r="B121" s="14">
        <v>1</v>
      </c>
      <c r="C121" s="10">
        <v>46182</v>
      </c>
      <c r="D121" s="4" t="s">
        <v>375</v>
      </c>
      <c r="E121" s="4" t="s">
        <v>77</v>
      </c>
      <c r="F121" s="4" t="s">
        <v>32</v>
      </c>
      <c r="G121" s="4" t="s">
        <v>42</v>
      </c>
      <c r="H121" s="4" t="s">
        <v>65</v>
      </c>
      <c r="I121" s="4" t="s">
        <v>62</v>
      </c>
      <c r="J121" s="4" t="s">
        <v>36</v>
      </c>
      <c r="K121" s="6">
        <v>1192384</v>
      </c>
      <c r="L121" s="4" t="s">
        <v>37</v>
      </c>
    </row>
    <row r="122" spans="1:12">
      <c r="A122" s="4" t="s">
        <v>365</v>
      </c>
      <c r="B122" s="14">
        <v>1</v>
      </c>
      <c r="C122" s="10">
        <v>46084</v>
      </c>
      <c r="D122" s="4" t="s">
        <v>113</v>
      </c>
      <c r="E122" s="4" t="s">
        <v>77</v>
      </c>
      <c r="F122" s="4" t="s">
        <v>32</v>
      </c>
      <c r="G122" s="4" t="s">
        <v>72</v>
      </c>
      <c r="H122" s="4" t="s">
        <v>78</v>
      </c>
      <c r="I122" s="4" t="s">
        <v>35</v>
      </c>
      <c r="J122" s="4" t="s">
        <v>36</v>
      </c>
      <c r="K122" s="6">
        <v>1336980</v>
      </c>
      <c r="L122" s="4" t="s">
        <v>37</v>
      </c>
    </row>
    <row r="123" spans="1:12">
      <c r="A123" s="4" t="s">
        <v>73</v>
      </c>
      <c r="B123" s="14">
        <v>1</v>
      </c>
      <c r="C123" s="10">
        <v>46097</v>
      </c>
      <c r="D123" s="4" t="s">
        <v>74</v>
      </c>
      <c r="E123" s="4" t="s">
        <v>60</v>
      </c>
      <c r="F123" s="4" t="s">
        <v>32</v>
      </c>
      <c r="G123" s="4" t="s">
        <v>72</v>
      </c>
      <c r="H123" s="4" t="s">
        <v>53</v>
      </c>
      <c r="I123" s="4" t="s">
        <v>50</v>
      </c>
      <c r="J123" s="4" t="s">
        <v>57</v>
      </c>
      <c r="K123" s="6">
        <v>1028836</v>
      </c>
      <c r="L123" s="4" t="s">
        <v>37</v>
      </c>
    </row>
    <row r="124" spans="1:12">
      <c r="A124" s="4" t="s">
        <v>323</v>
      </c>
      <c r="B124" s="14">
        <v>1</v>
      </c>
      <c r="C124" s="10">
        <v>46182</v>
      </c>
      <c r="D124" s="4" t="s">
        <v>309</v>
      </c>
      <c r="E124" s="4" t="s">
        <v>40</v>
      </c>
      <c r="F124" s="4" t="s">
        <v>32</v>
      </c>
      <c r="G124" s="4" t="s">
        <v>49</v>
      </c>
      <c r="H124" s="4" t="s">
        <v>78</v>
      </c>
      <c r="I124" s="4" t="s">
        <v>35</v>
      </c>
      <c r="J124" s="4" t="s">
        <v>57</v>
      </c>
      <c r="K124" s="6">
        <v>1239906</v>
      </c>
      <c r="L124" s="4" t="s">
        <v>37</v>
      </c>
    </row>
    <row r="125" spans="1:12">
      <c r="A125" s="4" t="s">
        <v>219</v>
      </c>
      <c r="B125" s="14">
        <v>1</v>
      </c>
      <c r="C125" s="10">
        <v>46179</v>
      </c>
      <c r="D125" s="4" t="s">
        <v>220</v>
      </c>
      <c r="E125" s="4" t="s">
        <v>68</v>
      </c>
      <c r="F125" s="4" t="s">
        <v>32</v>
      </c>
      <c r="G125" s="4" t="s">
        <v>33</v>
      </c>
      <c r="H125" s="4" t="s">
        <v>43</v>
      </c>
      <c r="I125" s="4" t="s">
        <v>35</v>
      </c>
      <c r="J125" s="4" t="s">
        <v>36</v>
      </c>
      <c r="K125" s="6">
        <v>566409</v>
      </c>
      <c r="L125" s="4" t="s">
        <v>37</v>
      </c>
    </row>
    <row r="126" spans="1:12">
      <c r="A126" s="4" t="s">
        <v>233</v>
      </c>
      <c r="B126" s="14">
        <v>1</v>
      </c>
      <c r="C126" s="10">
        <v>46110</v>
      </c>
      <c r="D126" s="4" t="s">
        <v>234</v>
      </c>
      <c r="E126" s="4" t="s">
        <v>68</v>
      </c>
      <c r="F126" s="4" t="s">
        <v>32</v>
      </c>
      <c r="G126" s="4" t="s">
        <v>72</v>
      </c>
      <c r="H126" s="4" t="s">
        <v>78</v>
      </c>
      <c r="I126" s="4" t="s">
        <v>62</v>
      </c>
      <c r="J126" s="4" t="s">
        <v>36</v>
      </c>
      <c r="K126" s="6">
        <v>332017</v>
      </c>
      <c r="L126" s="4" t="s">
        <v>37</v>
      </c>
    </row>
    <row r="127" spans="1:12">
      <c r="A127" s="4" t="s">
        <v>215</v>
      </c>
      <c r="B127" s="14">
        <v>1</v>
      </c>
      <c r="C127" s="10">
        <v>46146</v>
      </c>
      <c r="D127" s="4" t="s">
        <v>216</v>
      </c>
      <c r="E127" s="4" t="s">
        <v>77</v>
      </c>
      <c r="F127" s="4" t="s">
        <v>32</v>
      </c>
      <c r="G127" s="4" t="s">
        <v>61</v>
      </c>
      <c r="H127" s="4" t="s">
        <v>65</v>
      </c>
      <c r="I127" s="4" t="s">
        <v>35</v>
      </c>
      <c r="J127" s="4" t="s">
        <v>57</v>
      </c>
      <c r="K127" s="6">
        <v>1052403</v>
      </c>
      <c r="L127" s="4" t="s">
        <v>37</v>
      </c>
    </row>
    <row r="128" spans="1:12">
      <c r="A128" s="4" t="s">
        <v>142</v>
      </c>
      <c r="B128" s="14">
        <v>1</v>
      </c>
      <c r="C128" s="10">
        <v>46040</v>
      </c>
      <c r="D128" s="4" t="s">
        <v>143</v>
      </c>
      <c r="E128" s="4" t="s">
        <v>77</v>
      </c>
      <c r="F128" s="4" t="s">
        <v>32</v>
      </c>
      <c r="G128" s="4" t="s">
        <v>42</v>
      </c>
      <c r="H128" s="4" t="s">
        <v>43</v>
      </c>
      <c r="I128" s="4" t="s">
        <v>35</v>
      </c>
      <c r="J128" s="4" t="s">
        <v>36</v>
      </c>
      <c r="K128" s="6">
        <v>472955</v>
      </c>
      <c r="L128" s="4" t="s">
        <v>37</v>
      </c>
    </row>
    <row r="129" spans="1:12">
      <c r="A129" s="4" t="s">
        <v>247</v>
      </c>
      <c r="B129" s="14">
        <v>1</v>
      </c>
      <c r="C129" s="10">
        <v>46055</v>
      </c>
      <c r="D129" s="4" t="s">
        <v>248</v>
      </c>
      <c r="E129" s="4" t="s">
        <v>60</v>
      </c>
      <c r="F129" s="4" t="s">
        <v>32</v>
      </c>
      <c r="G129" s="4" t="s">
        <v>33</v>
      </c>
      <c r="H129" s="4" t="s">
        <v>65</v>
      </c>
      <c r="I129" s="4" t="s">
        <v>35</v>
      </c>
      <c r="J129" s="4" t="s">
        <v>36</v>
      </c>
      <c r="K129" s="6">
        <v>919049</v>
      </c>
      <c r="L129" s="4" t="s">
        <v>37</v>
      </c>
    </row>
    <row r="130" spans="1:12">
      <c r="A130" s="4" t="s">
        <v>516</v>
      </c>
      <c r="B130" s="14">
        <v>1</v>
      </c>
      <c r="C130" s="10">
        <v>46104</v>
      </c>
      <c r="D130" s="4" t="s">
        <v>266</v>
      </c>
      <c r="E130" s="4" t="s">
        <v>77</v>
      </c>
      <c r="F130" s="4" t="s">
        <v>32</v>
      </c>
      <c r="G130" s="4" t="s">
        <v>72</v>
      </c>
      <c r="H130" s="4" t="s">
        <v>65</v>
      </c>
      <c r="I130" s="4" t="s">
        <v>62</v>
      </c>
      <c r="J130" s="4" t="s">
        <v>36</v>
      </c>
      <c r="K130" s="6">
        <v>95232</v>
      </c>
      <c r="L130" s="4" t="s">
        <v>37</v>
      </c>
    </row>
    <row r="131" spans="1:12">
      <c r="A131" s="4" t="s">
        <v>265</v>
      </c>
      <c r="B131" s="14">
        <v>1</v>
      </c>
      <c r="C131" s="10">
        <v>46070</v>
      </c>
      <c r="D131" s="4" t="s">
        <v>266</v>
      </c>
      <c r="E131" s="4" t="s">
        <v>77</v>
      </c>
      <c r="F131" s="4" t="s">
        <v>32</v>
      </c>
      <c r="G131" s="4" t="s">
        <v>42</v>
      </c>
      <c r="H131" s="4" t="s">
        <v>53</v>
      </c>
      <c r="I131" s="4" t="s">
        <v>35</v>
      </c>
      <c r="J131" s="4" t="s">
        <v>36</v>
      </c>
      <c r="K131" s="6">
        <v>1289444</v>
      </c>
      <c r="L131" s="4" t="s">
        <v>37</v>
      </c>
    </row>
    <row r="132" spans="1:12">
      <c r="A132" s="4" t="s">
        <v>511</v>
      </c>
      <c r="B132" s="14">
        <v>1</v>
      </c>
      <c r="C132" s="10">
        <v>46175</v>
      </c>
      <c r="D132" s="4" t="s">
        <v>266</v>
      </c>
      <c r="E132" s="4" t="s">
        <v>60</v>
      </c>
      <c r="F132" s="4" t="s">
        <v>32</v>
      </c>
      <c r="G132" s="4" t="s">
        <v>42</v>
      </c>
      <c r="H132" s="4" t="s">
        <v>34</v>
      </c>
      <c r="I132" s="4" t="s">
        <v>35</v>
      </c>
      <c r="J132" s="4" t="s">
        <v>57</v>
      </c>
      <c r="K132" s="6">
        <v>728841</v>
      </c>
      <c r="L132" s="4" t="s">
        <v>37</v>
      </c>
    </row>
    <row r="133" spans="1:12">
      <c r="A133" s="4" t="s">
        <v>252</v>
      </c>
      <c r="B133" s="14">
        <v>1</v>
      </c>
      <c r="C133" s="10">
        <v>46063</v>
      </c>
      <c r="D133" s="4" t="s">
        <v>253</v>
      </c>
      <c r="E133" s="4" t="s">
        <v>47</v>
      </c>
      <c r="F133" s="4" t="s">
        <v>32</v>
      </c>
      <c r="G133" s="4" t="s">
        <v>33</v>
      </c>
      <c r="H133" s="4" t="s">
        <v>78</v>
      </c>
      <c r="I133" s="4" t="s">
        <v>62</v>
      </c>
      <c r="J133" s="4" t="s">
        <v>57</v>
      </c>
      <c r="K133" s="6">
        <v>1333203</v>
      </c>
      <c r="L133" s="4" t="s">
        <v>37</v>
      </c>
    </row>
    <row r="134" spans="1:12">
      <c r="A134" s="4" t="s">
        <v>492</v>
      </c>
      <c r="B134" s="14">
        <v>1</v>
      </c>
      <c r="C134" s="10">
        <v>46183</v>
      </c>
      <c r="D134" s="4" t="s">
        <v>493</v>
      </c>
      <c r="E134" s="4" t="s">
        <v>68</v>
      </c>
      <c r="F134" s="4" t="s">
        <v>32</v>
      </c>
      <c r="G134" s="4" t="s">
        <v>33</v>
      </c>
      <c r="H134" s="4" t="s">
        <v>34</v>
      </c>
      <c r="I134" s="4" t="s">
        <v>62</v>
      </c>
      <c r="J134" s="4" t="s">
        <v>44</v>
      </c>
      <c r="K134" s="6">
        <v>1258948</v>
      </c>
      <c r="L134" s="4" t="s">
        <v>37</v>
      </c>
    </row>
    <row r="135" spans="1:12">
      <c r="A135" s="4" t="s">
        <v>475</v>
      </c>
      <c r="B135" s="14">
        <v>1</v>
      </c>
      <c r="C135" s="10">
        <v>46162</v>
      </c>
      <c r="D135" s="4" t="s">
        <v>476</v>
      </c>
      <c r="E135" s="4" t="s">
        <v>47</v>
      </c>
      <c r="F135" s="4" t="s">
        <v>32</v>
      </c>
      <c r="G135" s="4" t="s">
        <v>42</v>
      </c>
      <c r="H135" s="4" t="s">
        <v>53</v>
      </c>
      <c r="I135" s="4" t="s">
        <v>50</v>
      </c>
      <c r="J135" s="4" t="s">
        <v>36</v>
      </c>
      <c r="K135" s="6">
        <v>301924</v>
      </c>
      <c r="L135" s="4" t="s">
        <v>37</v>
      </c>
    </row>
    <row r="136" spans="1:12">
      <c r="A136" s="4" t="s">
        <v>289</v>
      </c>
      <c r="B136" s="14">
        <v>1</v>
      </c>
      <c r="C136" s="10">
        <v>46164</v>
      </c>
      <c r="D136" s="4" t="s">
        <v>228</v>
      </c>
      <c r="E136" s="4" t="s">
        <v>68</v>
      </c>
      <c r="F136" s="4" t="s">
        <v>32</v>
      </c>
      <c r="G136" s="4" t="s">
        <v>49</v>
      </c>
      <c r="H136" s="4" t="s">
        <v>65</v>
      </c>
      <c r="I136" s="4" t="s">
        <v>35</v>
      </c>
      <c r="J136" s="4" t="s">
        <v>36</v>
      </c>
      <c r="K136" s="6">
        <v>536275</v>
      </c>
      <c r="L136" s="4" t="s">
        <v>37</v>
      </c>
    </row>
    <row r="137" spans="1:12">
      <c r="A137" s="4" t="s">
        <v>462</v>
      </c>
      <c r="B137" s="14">
        <v>1</v>
      </c>
      <c r="C137" s="10">
        <v>46029</v>
      </c>
      <c r="D137" s="4" t="s">
        <v>463</v>
      </c>
      <c r="E137" s="4" t="s">
        <v>77</v>
      </c>
      <c r="F137" s="4" t="s">
        <v>32</v>
      </c>
      <c r="G137" s="4" t="s">
        <v>33</v>
      </c>
      <c r="H137" s="4" t="s">
        <v>43</v>
      </c>
      <c r="I137" s="4" t="s">
        <v>50</v>
      </c>
      <c r="J137" s="4" t="s">
        <v>36</v>
      </c>
      <c r="K137" s="6">
        <v>116707</v>
      </c>
      <c r="L137" s="4" t="s">
        <v>37</v>
      </c>
    </row>
    <row r="138" spans="1:12">
      <c r="A138" s="4" t="s">
        <v>236</v>
      </c>
      <c r="B138" s="14">
        <v>1</v>
      </c>
      <c r="C138" s="10">
        <v>46158</v>
      </c>
      <c r="D138" s="4" t="s">
        <v>80</v>
      </c>
      <c r="E138" s="4" t="s">
        <v>40</v>
      </c>
      <c r="F138" s="4" t="s">
        <v>32</v>
      </c>
      <c r="G138" s="4" t="s">
        <v>42</v>
      </c>
      <c r="H138" s="4" t="s">
        <v>34</v>
      </c>
      <c r="I138" s="4" t="s">
        <v>50</v>
      </c>
      <c r="J138" s="4" t="s">
        <v>44</v>
      </c>
      <c r="K138" s="6">
        <v>720739</v>
      </c>
      <c r="L138" s="4" t="s">
        <v>37</v>
      </c>
    </row>
    <row r="139" spans="1:12">
      <c r="A139" s="4" t="s">
        <v>531</v>
      </c>
      <c r="B139" s="14">
        <v>1</v>
      </c>
      <c r="C139" s="10">
        <v>46157</v>
      </c>
      <c r="D139" s="4" t="s">
        <v>532</v>
      </c>
      <c r="E139" s="4" t="s">
        <v>77</v>
      </c>
      <c r="F139" s="4" t="s">
        <v>32</v>
      </c>
      <c r="G139" s="4" t="s">
        <v>49</v>
      </c>
      <c r="H139" s="4" t="s">
        <v>34</v>
      </c>
      <c r="I139" s="4" t="s">
        <v>62</v>
      </c>
      <c r="J139" s="4" t="s">
        <v>36</v>
      </c>
      <c r="K139" s="6">
        <v>782303</v>
      </c>
      <c r="L139" s="4" t="s">
        <v>37</v>
      </c>
    </row>
    <row r="140" spans="1:12">
      <c r="A140" s="4" t="s">
        <v>400</v>
      </c>
      <c r="B140" s="14">
        <v>1</v>
      </c>
      <c r="C140" s="10">
        <v>46076</v>
      </c>
      <c r="D140" s="4" t="s">
        <v>342</v>
      </c>
      <c r="E140" s="4" t="s">
        <v>68</v>
      </c>
      <c r="F140" s="4" t="s">
        <v>32</v>
      </c>
      <c r="G140" s="4" t="s">
        <v>33</v>
      </c>
      <c r="H140" s="4" t="s">
        <v>78</v>
      </c>
      <c r="I140" s="4" t="s">
        <v>62</v>
      </c>
      <c r="J140" s="4" t="s">
        <v>36</v>
      </c>
      <c r="K140" s="6">
        <v>200787</v>
      </c>
      <c r="L140" s="4" t="s">
        <v>37</v>
      </c>
    </row>
    <row r="141" spans="1:12">
      <c r="A141" s="4" t="s">
        <v>189</v>
      </c>
      <c r="B141" s="14">
        <v>1</v>
      </c>
      <c r="C141" s="10">
        <v>46026</v>
      </c>
      <c r="D141" s="4" t="s">
        <v>190</v>
      </c>
      <c r="E141" s="4" t="s">
        <v>77</v>
      </c>
      <c r="F141" s="4" t="s">
        <v>32</v>
      </c>
      <c r="G141" s="4" t="s">
        <v>42</v>
      </c>
      <c r="H141" s="4" t="s">
        <v>78</v>
      </c>
      <c r="I141" s="4" t="s">
        <v>50</v>
      </c>
      <c r="J141" s="4" t="s">
        <v>36</v>
      </c>
      <c r="K141" s="6">
        <v>294839</v>
      </c>
      <c r="L141" s="4" t="s">
        <v>37</v>
      </c>
    </row>
    <row r="142" spans="1:12">
      <c r="A142" s="4" t="s">
        <v>123</v>
      </c>
      <c r="B142" s="14">
        <v>1</v>
      </c>
      <c r="C142" s="10">
        <v>46073</v>
      </c>
      <c r="D142" s="4" t="s">
        <v>124</v>
      </c>
      <c r="E142" s="4" t="s">
        <v>40</v>
      </c>
      <c r="F142" s="4" t="s">
        <v>32</v>
      </c>
      <c r="G142" s="4" t="s">
        <v>42</v>
      </c>
      <c r="H142" s="4" t="s">
        <v>65</v>
      </c>
      <c r="I142" s="4" t="s">
        <v>50</v>
      </c>
      <c r="J142" s="4" t="s">
        <v>36</v>
      </c>
      <c r="K142" s="6">
        <v>73387</v>
      </c>
      <c r="L142" s="4" t="s">
        <v>37</v>
      </c>
    </row>
    <row r="143" spans="1:12">
      <c r="A143" s="4" t="s">
        <v>503</v>
      </c>
      <c r="B143" s="14">
        <v>1</v>
      </c>
      <c r="C143" s="10">
        <v>46188</v>
      </c>
      <c r="D143" s="4" t="s">
        <v>504</v>
      </c>
      <c r="E143" s="4" t="s">
        <v>31</v>
      </c>
      <c r="F143" s="4" t="s">
        <v>32</v>
      </c>
      <c r="G143" s="4" t="s">
        <v>72</v>
      </c>
      <c r="H143" s="4" t="s">
        <v>78</v>
      </c>
      <c r="I143" s="4" t="s">
        <v>35</v>
      </c>
      <c r="J143" s="4" t="s">
        <v>57</v>
      </c>
      <c r="K143" s="6">
        <v>838768</v>
      </c>
      <c r="L143" s="4" t="s">
        <v>37</v>
      </c>
    </row>
    <row r="144" spans="1:12">
      <c r="A144" s="4" t="s">
        <v>174</v>
      </c>
      <c r="B144" s="14">
        <v>1</v>
      </c>
      <c r="C144" s="10">
        <v>46103</v>
      </c>
      <c r="D144" s="4" t="s">
        <v>175</v>
      </c>
      <c r="E144" s="4" t="s">
        <v>40</v>
      </c>
      <c r="F144" s="4" t="s">
        <v>32</v>
      </c>
      <c r="G144" s="4" t="s">
        <v>33</v>
      </c>
      <c r="H144" s="4" t="s">
        <v>53</v>
      </c>
      <c r="I144" s="4" t="s">
        <v>62</v>
      </c>
      <c r="J144" s="4" t="s">
        <v>36</v>
      </c>
      <c r="K144" s="6">
        <v>924631</v>
      </c>
      <c r="L144" s="4" t="s">
        <v>37</v>
      </c>
    </row>
    <row r="145" spans="1:12">
      <c r="A145" s="4" t="s">
        <v>530</v>
      </c>
      <c r="B145" s="14">
        <v>1</v>
      </c>
      <c r="C145" s="10">
        <v>46158</v>
      </c>
      <c r="D145" s="4" t="s">
        <v>175</v>
      </c>
      <c r="E145" s="4" t="s">
        <v>60</v>
      </c>
      <c r="F145" s="4" t="s">
        <v>32</v>
      </c>
      <c r="G145" s="4" t="s">
        <v>61</v>
      </c>
      <c r="H145" s="4" t="s">
        <v>43</v>
      </c>
      <c r="I145" s="4" t="s">
        <v>62</v>
      </c>
      <c r="J145" s="4" t="s">
        <v>44</v>
      </c>
      <c r="K145" s="6">
        <v>380817</v>
      </c>
      <c r="L145" s="4" t="s">
        <v>37</v>
      </c>
    </row>
    <row r="146" spans="1:12">
      <c r="A146" s="4" t="s">
        <v>423</v>
      </c>
      <c r="B146" s="14">
        <v>1</v>
      </c>
      <c r="C146" s="10">
        <v>46120</v>
      </c>
      <c r="D146" s="4" t="s">
        <v>396</v>
      </c>
      <c r="E146" s="4" t="s">
        <v>77</v>
      </c>
      <c r="F146" s="4" t="s">
        <v>32</v>
      </c>
      <c r="G146" s="4" t="s">
        <v>49</v>
      </c>
      <c r="H146" s="4" t="s">
        <v>78</v>
      </c>
      <c r="I146" s="4" t="s">
        <v>35</v>
      </c>
      <c r="J146" s="4" t="s">
        <v>36</v>
      </c>
      <c r="K146" s="6">
        <v>182503</v>
      </c>
      <c r="L146" s="4" t="s">
        <v>37</v>
      </c>
    </row>
    <row r="147" spans="1:12">
      <c r="A147" s="4" t="s">
        <v>521</v>
      </c>
      <c r="B147" s="14">
        <v>1</v>
      </c>
      <c r="C147" s="10">
        <v>46183</v>
      </c>
      <c r="D147" s="4" t="s">
        <v>196</v>
      </c>
      <c r="E147" s="4" t="s">
        <v>40</v>
      </c>
      <c r="F147" s="4" t="s">
        <v>32</v>
      </c>
      <c r="G147" s="4" t="s">
        <v>33</v>
      </c>
      <c r="H147" s="4" t="s">
        <v>43</v>
      </c>
      <c r="I147" s="4" t="s">
        <v>50</v>
      </c>
      <c r="J147" s="4" t="s">
        <v>44</v>
      </c>
      <c r="K147" s="6">
        <v>362813</v>
      </c>
      <c r="L147" s="4" t="s">
        <v>37</v>
      </c>
    </row>
    <row r="148" spans="1:12">
      <c r="A148" s="4" t="s">
        <v>418</v>
      </c>
      <c r="B148" s="14">
        <v>1</v>
      </c>
      <c r="C148" s="10">
        <v>46046</v>
      </c>
      <c r="D148" s="4" t="s">
        <v>386</v>
      </c>
      <c r="E148" s="4" t="s">
        <v>40</v>
      </c>
      <c r="F148" s="4" t="s">
        <v>32</v>
      </c>
      <c r="G148" s="4" t="s">
        <v>72</v>
      </c>
      <c r="H148" s="4" t="s">
        <v>65</v>
      </c>
      <c r="I148" s="4" t="s">
        <v>35</v>
      </c>
      <c r="J148" s="4" t="s">
        <v>36</v>
      </c>
      <c r="K148" s="6">
        <v>357747</v>
      </c>
      <c r="L148" s="4" t="s">
        <v>37</v>
      </c>
    </row>
    <row r="149" spans="1:12">
      <c r="A149" s="4" t="s">
        <v>491</v>
      </c>
      <c r="B149" s="14">
        <v>1</v>
      </c>
      <c r="C149" s="10">
        <v>46142</v>
      </c>
      <c r="D149" s="4" t="s">
        <v>386</v>
      </c>
      <c r="E149" s="4" t="s">
        <v>40</v>
      </c>
      <c r="F149" s="4" t="s">
        <v>32</v>
      </c>
      <c r="G149" s="4" t="s">
        <v>72</v>
      </c>
      <c r="H149" s="4" t="s">
        <v>43</v>
      </c>
      <c r="I149" s="4" t="s">
        <v>35</v>
      </c>
      <c r="J149" s="4" t="s">
        <v>44</v>
      </c>
      <c r="K149" s="6">
        <v>318448</v>
      </c>
      <c r="L149" s="4" t="s">
        <v>37</v>
      </c>
    </row>
    <row r="150" spans="1:12">
      <c r="A150" s="4" t="s">
        <v>296</v>
      </c>
      <c r="B150" s="14">
        <v>1</v>
      </c>
      <c r="C150" s="10">
        <v>46037</v>
      </c>
      <c r="D150" s="4" t="s">
        <v>94</v>
      </c>
      <c r="E150" s="4" t="s">
        <v>77</v>
      </c>
      <c r="F150" s="4" t="s">
        <v>32</v>
      </c>
      <c r="G150" s="4" t="s">
        <v>72</v>
      </c>
      <c r="H150" s="4" t="s">
        <v>53</v>
      </c>
      <c r="I150" s="4" t="s">
        <v>62</v>
      </c>
      <c r="J150" s="4" t="s">
        <v>57</v>
      </c>
      <c r="K150" s="6">
        <v>1114605</v>
      </c>
      <c r="L150" s="4" t="s">
        <v>37</v>
      </c>
    </row>
    <row r="151" spans="1:12">
      <c r="A151" s="4" t="s">
        <v>403</v>
      </c>
      <c r="B151" s="14">
        <v>1</v>
      </c>
      <c r="C151" s="10">
        <v>46169</v>
      </c>
      <c r="D151" s="4" t="s">
        <v>404</v>
      </c>
      <c r="E151" s="4" t="s">
        <v>47</v>
      </c>
      <c r="F151" s="4" t="s">
        <v>32</v>
      </c>
      <c r="G151" s="4" t="s">
        <v>33</v>
      </c>
      <c r="H151" s="4" t="s">
        <v>78</v>
      </c>
      <c r="I151" s="4" t="s">
        <v>50</v>
      </c>
      <c r="J151" s="4" t="s">
        <v>36</v>
      </c>
      <c r="K151" s="6">
        <v>954098</v>
      </c>
      <c r="L151" s="4" t="s">
        <v>37</v>
      </c>
    </row>
    <row r="152" spans="1:12">
      <c r="A152" s="4" t="s">
        <v>63</v>
      </c>
      <c r="B152" s="14">
        <v>1</v>
      </c>
      <c r="C152" s="10">
        <v>46043</v>
      </c>
      <c r="D152" s="4" t="s">
        <v>64</v>
      </c>
      <c r="E152" s="4" t="s">
        <v>40</v>
      </c>
      <c r="F152" s="4" t="s">
        <v>32</v>
      </c>
      <c r="G152" s="4" t="s">
        <v>49</v>
      </c>
      <c r="H152" s="4" t="s">
        <v>65</v>
      </c>
      <c r="I152" s="4" t="s">
        <v>35</v>
      </c>
      <c r="J152" s="4" t="s">
        <v>36</v>
      </c>
      <c r="K152" s="6">
        <v>935421</v>
      </c>
      <c r="L152" s="4" t="s">
        <v>37</v>
      </c>
    </row>
    <row r="153" spans="1:12">
      <c r="A153" s="4" t="s">
        <v>104</v>
      </c>
      <c r="B153" s="14">
        <v>1</v>
      </c>
      <c r="C153" s="10">
        <v>46043</v>
      </c>
      <c r="D153" s="4" t="s">
        <v>105</v>
      </c>
      <c r="E153" s="4" t="s">
        <v>47</v>
      </c>
      <c r="F153" s="4" t="s">
        <v>32</v>
      </c>
      <c r="G153" s="4" t="s">
        <v>61</v>
      </c>
      <c r="H153" s="4" t="s">
        <v>78</v>
      </c>
      <c r="I153" s="4" t="s">
        <v>50</v>
      </c>
      <c r="J153" s="4" t="s">
        <v>57</v>
      </c>
      <c r="K153" s="6">
        <v>672893</v>
      </c>
      <c r="L153" s="4" t="s">
        <v>37</v>
      </c>
    </row>
    <row r="154" spans="1:12">
      <c r="A154" s="4" t="s">
        <v>273</v>
      </c>
      <c r="B154" s="14">
        <v>1</v>
      </c>
      <c r="C154" s="10">
        <v>46121</v>
      </c>
      <c r="D154" s="4" t="s">
        <v>274</v>
      </c>
      <c r="E154" s="4" t="s">
        <v>40</v>
      </c>
      <c r="F154" s="4" t="s">
        <v>32</v>
      </c>
      <c r="G154" s="4" t="s">
        <v>61</v>
      </c>
      <c r="H154" s="4" t="s">
        <v>34</v>
      </c>
      <c r="I154" s="4" t="s">
        <v>35</v>
      </c>
      <c r="J154" s="4" t="s">
        <v>57</v>
      </c>
      <c r="K154" s="6">
        <v>1132424</v>
      </c>
      <c r="L154" s="4" t="s">
        <v>37</v>
      </c>
    </row>
    <row r="155" spans="1:12">
      <c r="A155" s="4" t="s">
        <v>367</v>
      </c>
      <c r="B155" s="14">
        <v>1</v>
      </c>
      <c r="C155" s="10">
        <v>46073</v>
      </c>
      <c r="D155" s="4" t="s">
        <v>368</v>
      </c>
      <c r="E155" s="4" t="s">
        <v>31</v>
      </c>
      <c r="F155" s="4" t="s">
        <v>32</v>
      </c>
      <c r="G155" s="4" t="s">
        <v>49</v>
      </c>
      <c r="H155" s="4" t="s">
        <v>78</v>
      </c>
      <c r="I155" s="4" t="s">
        <v>50</v>
      </c>
      <c r="J155" s="4" t="s">
        <v>57</v>
      </c>
      <c r="K155" s="6">
        <v>713689</v>
      </c>
      <c r="L155" s="4" t="s">
        <v>37</v>
      </c>
    </row>
    <row r="156" spans="1:12">
      <c r="A156" s="4" t="s">
        <v>125</v>
      </c>
      <c r="B156" s="14">
        <v>1</v>
      </c>
      <c r="C156" s="10">
        <v>46130</v>
      </c>
      <c r="D156" s="4" t="s">
        <v>126</v>
      </c>
      <c r="E156" s="4" t="s">
        <v>40</v>
      </c>
      <c r="F156" s="4" t="s">
        <v>32</v>
      </c>
      <c r="G156" s="4" t="s">
        <v>33</v>
      </c>
      <c r="H156" s="4" t="s">
        <v>43</v>
      </c>
      <c r="I156" s="4" t="s">
        <v>50</v>
      </c>
      <c r="J156" s="4" t="s">
        <v>36</v>
      </c>
      <c r="K156" s="6">
        <v>930412</v>
      </c>
      <c r="L156" s="4" t="s">
        <v>37</v>
      </c>
    </row>
    <row r="157" spans="1:12">
      <c r="A157" s="4" t="s">
        <v>178</v>
      </c>
      <c r="B157" s="14">
        <v>1</v>
      </c>
      <c r="C157" s="10">
        <v>46072</v>
      </c>
      <c r="D157" s="4" t="s">
        <v>52</v>
      </c>
      <c r="E157" s="4" t="s">
        <v>40</v>
      </c>
      <c r="F157" s="4" t="s">
        <v>32</v>
      </c>
      <c r="G157" s="4" t="s">
        <v>49</v>
      </c>
      <c r="H157" s="4" t="s">
        <v>34</v>
      </c>
      <c r="I157" s="4" t="s">
        <v>35</v>
      </c>
      <c r="J157" s="4" t="s">
        <v>57</v>
      </c>
      <c r="K157" s="6">
        <v>283103</v>
      </c>
      <c r="L157" s="4" t="s">
        <v>37</v>
      </c>
    </row>
    <row r="158" spans="1:12">
      <c r="A158" s="4" t="s">
        <v>406</v>
      </c>
      <c r="B158" s="14">
        <v>1</v>
      </c>
      <c r="C158" s="10">
        <v>46152</v>
      </c>
      <c r="D158" s="4" t="s">
        <v>353</v>
      </c>
      <c r="E158" s="4" t="s">
        <v>47</v>
      </c>
      <c r="F158" s="4" t="s">
        <v>32</v>
      </c>
      <c r="G158" s="4" t="s">
        <v>33</v>
      </c>
      <c r="H158" s="4" t="s">
        <v>65</v>
      </c>
      <c r="I158" s="4" t="s">
        <v>35</v>
      </c>
      <c r="J158" s="4" t="s">
        <v>44</v>
      </c>
      <c r="K158" s="6">
        <v>118920</v>
      </c>
      <c r="L158" s="4" t="s">
        <v>37</v>
      </c>
    </row>
    <row r="159" spans="1:12">
      <c r="A159" s="4" t="s">
        <v>205</v>
      </c>
      <c r="B159" s="14">
        <v>1</v>
      </c>
      <c r="C159" s="10">
        <v>46062</v>
      </c>
      <c r="D159" s="4" t="s">
        <v>206</v>
      </c>
      <c r="E159" s="4" t="s">
        <v>60</v>
      </c>
      <c r="F159" s="4" t="s">
        <v>32</v>
      </c>
      <c r="G159" s="4" t="s">
        <v>61</v>
      </c>
      <c r="H159" s="4" t="s">
        <v>34</v>
      </c>
      <c r="I159" s="4" t="s">
        <v>62</v>
      </c>
      <c r="J159" s="4" t="s">
        <v>36</v>
      </c>
      <c r="K159" s="6">
        <v>1047082</v>
      </c>
      <c r="L159" s="4" t="s">
        <v>37</v>
      </c>
    </row>
    <row r="160" spans="1:12">
      <c r="A160" s="4" t="s">
        <v>275</v>
      </c>
      <c r="B160" s="14">
        <v>1</v>
      </c>
      <c r="C160" s="10">
        <v>46194</v>
      </c>
      <c r="D160" s="4" t="s">
        <v>276</v>
      </c>
      <c r="E160" s="4" t="s">
        <v>60</v>
      </c>
      <c r="F160" s="4" t="s">
        <v>32</v>
      </c>
      <c r="G160" s="4" t="s">
        <v>72</v>
      </c>
      <c r="H160" s="4" t="s">
        <v>43</v>
      </c>
      <c r="I160" s="4" t="s">
        <v>50</v>
      </c>
      <c r="J160" s="4" t="s">
        <v>36</v>
      </c>
      <c r="K160" s="6">
        <v>982883</v>
      </c>
      <c r="L160" s="4" t="s">
        <v>37</v>
      </c>
    </row>
    <row r="161" spans="1:12">
      <c r="A161" s="4" t="s">
        <v>66</v>
      </c>
      <c r="B161" s="14">
        <v>1</v>
      </c>
      <c r="C161" s="10">
        <v>46125</v>
      </c>
      <c r="D161" s="4" t="s">
        <v>67</v>
      </c>
      <c r="E161" s="4" t="s">
        <v>68</v>
      </c>
      <c r="F161" s="4" t="s">
        <v>32</v>
      </c>
      <c r="G161" s="4" t="s">
        <v>49</v>
      </c>
      <c r="H161" s="4" t="s">
        <v>65</v>
      </c>
      <c r="I161" s="4" t="s">
        <v>50</v>
      </c>
      <c r="J161" s="4" t="s">
        <v>36</v>
      </c>
      <c r="K161" s="6">
        <v>134080</v>
      </c>
      <c r="L161" s="4" t="s">
        <v>37</v>
      </c>
    </row>
    <row r="162" spans="1:12">
      <c r="A162" s="4" t="s">
        <v>410</v>
      </c>
      <c r="B162" s="14">
        <v>1</v>
      </c>
      <c r="C162" s="10">
        <v>46182</v>
      </c>
      <c r="D162" s="4" t="s">
        <v>250</v>
      </c>
      <c r="E162" s="4" t="s">
        <v>47</v>
      </c>
      <c r="F162" s="4" t="s">
        <v>32</v>
      </c>
      <c r="G162" s="4" t="s">
        <v>42</v>
      </c>
      <c r="H162" s="4" t="s">
        <v>65</v>
      </c>
      <c r="I162" s="4" t="s">
        <v>35</v>
      </c>
      <c r="J162" s="4" t="s">
        <v>36</v>
      </c>
      <c r="K162" s="6">
        <v>980997</v>
      </c>
      <c r="L162" s="4" t="s">
        <v>37</v>
      </c>
    </row>
    <row r="163" spans="1:12">
      <c r="A163" s="4" t="s">
        <v>75</v>
      </c>
      <c r="B163" s="14">
        <v>1</v>
      </c>
      <c r="C163" s="10">
        <v>46110</v>
      </c>
      <c r="D163" s="4" t="s">
        <v>76</v>
      </c>
      <c r="E163" s="4" t="s">
        <v>77</v>
      </c>
      <c r="F163" s="4" t="s">
        <v>32</v>
      </c>
      <c r="G163" s="4" t="s">
        <v>61</v>
      </c>
      <c r="H163" s="4" t="s">
        <v>78</v>
      </c>
      <c r="I163" s="4" t="s">
        <v>50</v>
      </c>
      <c r="J163" s="4" t="s">
        <v>36</v>
      </c>
      <c r="K163" s="6">
        <v>1176370</v>
      </c>
      <c r="L163" s="4" t="s">
        <v>37</v>
      </c>
    </row>
    <row r="164" spans="1:12">
      <c r="A164" s="4" t="s">
        <v>310</v>
      </c>
      <c r="B164" s="14">
        <v>1</v>
      </c>
      <c r="C164" s="10">
        <v>46154</v>
      </c>
      <c r="D164" s="4" t="s">
        <v>311</v>
      </c>
      <c r="E164" s="4" t="s">
        <v>60</v>
      </c>
      <c r="F164" s="4" t="s">
        <v>32</v>
      </c>
      <c r="G164" s="4" t="s">
        <v>49</v>
      </c>
      <c r="H164" s="4" t="s">
        <v>53</v>
      </c>
      <c r="I164" s="4" t="s">
        <v>62</v>
      </c>
      <c r="J164" s="4" t="s">
        <v>36</v>
      </c>
      <c r="K164" s="6">
        <v>1140668</v>
      </c>
      <c r="L164" s="4" t="s">
        <v>37</v>
      </c>
    </row>
    <row r="165" spans="1:12">
      <c r="A165" s="4" t="s">
        <v>324</v>
      </c>
      <c r="B165" s="14">
        <v>1</v>
      </c>
      <c r="C165" s="10">
        <v>46093</v>
      </c>
      <c r="D165" s="4" t="s">
        <v>262</v>
      </c>
      <c r="E165" s="4" t="s">
        <v>31</v>
      </c>
      <c r="F165" s="4" t="s">
        <v>32</v>
      </c>
      <c r="G165" s="4" t="s">
        <v>49</v>
      </c>
      <c r="H165" s="4" t="s">
        <v>43</v>
      </c>
      <c r="I165" s="4" t="s">
        <v>62</v>
      </c>
      <c r="J165" s="4" t="s">
        <v>36</v>
      </c>
      <c r="K165" s="6">
        <v>1156351</v>
      </c>
      <c r="L165" s="4" t="s">
        <v>37</v>
      </c>
    </row>
    <row r="166" spans="1:12">
      <c r="A166" s="4" t="s">
        <v>332</v>
      </c>
      <c r="B166" s="14">
        <v>1</v>
      </c>
      <c r="C166" s="10">
        <v>46156</v>
      </c>
      <c r="D166" s="4" t="s">
        <v>82</v>
      </c>
      <c r="E166" s="4" t="s">
        <v>31</v>
      </c>
      <c r="F166" s="4" t="s">
        <v>95</v>
      </c>
      <c r="G166" s="4" t="s">
        <v>33</v>
      </c>
      <c r="H166" s="4" t="s">
        <v>78</v>
      </c>
      <c r="I166" s="4" t="s">
        <v>50</v>
      </c>
      <c r="J166" s="4" t="s">
        <v>36</v>
      </c>
      <c r="K166" s="6">
        <v>231360</v>
      </c>
      <c r="L166" s="4" t="s">
        <v>37</v>
      </c>
    </row>
    <row r="167" spans="1:12">
      <c r="A167" s="4" t="s">
        <v>472</v>
      </c>
      <c r="B167" s="14">
        <v>1</v>
      </c>
      <c r="C167" s="10">
        <v>46151</v>
      </c>
      <c r="D167" s="4" t="s">
        <v>473</v>
      </c>
      <c r="E167" s="4" t="s">
        <v>40</v>
      </c>
      <c r="F167" s="4" t="s">
        <v>95</v>
      </c>
      <c r="G167" s="4" t="s">
        <v>61</v>
      </c>
      <c r="H167" s="4" t="s">
        <v>53</v>
      </c>
      <c r="I167" s="4" t="s">
        <v>62</v>
      </c>
      <c r="J167" s="4" t="s">
        <v>36</v>
      </c>
      <c r="K167" s="6">
        <v>1494331</v>
      </c>
      <c r="L167" s="4" t="s">
        <v>37</v>
      </c>
    </row>
    <row r="168" spans="1:12">
      <c r="A168" s="4" t="s">
        <v>316</v>
      </c>
      <c r="B168" s="14">
        <v>1</v>
      </c>
      <c r="C168" s="10">
        <v>46193</v>
      </c>
      <c r="D168" s="4" t="s">
        <v>317</v>
      </c>
      <c r="E168" s="4" t="s">
        <v>47</v>
      </c>
      <c r="F168" s="4" t="s">
        <v>95</v>
      </c>
      <c r="G168" s="4" t="s">
        <v>61</v>
      </c>
      <c r="H168" s="4" t="s">
        <v>53</v>
      </c>
      <c r="I168" s="4" t="s">
        <v>35</v>
      </c>
      <c r="J168" s="4" t="s">
        <v>44</v>
      </c>
      <c r="K168" s="6">
        <v>202889</v>
      </c>
      <c r="L168" s="4" t="s">
        <v>37</v>
      </c>
    </row>
    <row r="169" spans="1:12">
      <c r="A169" s="4" t="s">
        <v>98</v>
      </c>
      <c r="B169" s="14">
        <v>1</v>
      </c>
      <c r="C169" s="10">
        <v>46180</v>
      </c>
      <c r="D169" s="4" t="s">
        <v>99</v>
      </c>
      <c r="E169" s="4" t="s">
        <v>31</v>
      </c>
      <c r="F169" s="4" t="s">
        <v>95</v>
      </c>
      <c r="G169" s="4" t="s">
        <v>42</v>
      </c>
      <c r="H169" s="4" t="s">
        <v>34</v>
      </c>
      <c r="I169" s="4" t="s">
        <v>35</v>
      </c>
      <c r="J169" s="4" t="s">
        <v>36</v>
      </c>
      <c r="K169" s="6">
        <v>733404</v>
      </c>
      <c r="L169" s="4" t="s">
        <v>37</v>
      </c>
    </row>
    <row r="170" spans="1:12">
      <c r="A170" s="4" t="s">
        <v>225</v>
      </c>
      <c r="B170" s="14">
        <v>1</v>
      </c>
      <c r="C170" s="10">
        <v>46087</v>
      </c>
      <c r="D170" s="4" t="s">
        <v>226</v>
      </c>
      <c r="E170" s="4" t="s">
        <v>47</v>
      </c>
      <c r="F170" s="4" t="s">
        <v>95</v>
      </c>
      <c r="G170" s="4" t="s">
        <v>33</v>
      </c>
      <c r="H170" s="4" t="s">
        <v>53</v>
      </c>
      <c r="I170" s="4" t="s">
        <v>35</v>
      </c>
      <c r="J170" s="4" t="s">
        <v>36</v>
      </c>
      <c r="K170" s="6">
        <v>601120</v>
      </c>
      <c r="L170" s="4" t="s">
        <v>37</v>
      </c>
    </row>
    <row r="171" spans="1:12">
      <c r="A171" s="4" t="s">
        <v>135</v>
      </c>
      <c r="B171" s="14">
        <v>1</v>
      </c>
      <c r="C171" s="10">
        <v>46157</v>
      </c>
      <c r="D171" s="4" t="s">
        <v>136</v>
      </c>
      <c r="E171" s="4" t="s">
        <v>31</v>
      </c>
      <c r="F171" s="4" t="s">
        <v>95</v>
      </c>
      <c r="G171" s="4" t="s">
        <v>72</v>
      </c>
      <c r="H171" s="4" t="s">
        <v>78</v>
      </c>
      <c r="I171" s="4" t="s">
        <v>35</v>
      </c>
      <c r="J171" s="4" t="s">
        <v>57</v>
      </c>
      <c r="K171" s="6">
        <v>1278337</v>
      </c>
      <c r="L171" s="4" t="s">
        <v>37</v>
      </c>
    </row>
    <row r="172" spans="1:12">
      <c r="A172" s="4" t="s">
        <v>213</v>
      </c>
      <c r="B172" s="14">
        <v>1</v>
      </c>
      <c r="C172" s="10">
        <v>46176</v>
      </c>
      <c r="D172" s="4" t="s">
        <v>214</v>
      </c>
      <c r="E172" s="4" t="s">
        <v>60</v>
      </c>
      <c r="F172" s="4" t="s">
        <v>95</v>
      </c>
      <c r="G172" s="4" t="s">
        <v>49</v>
      </c>
      <c r="H172" s="4" t="s">
        <v>65</v>
      </c>
      <c r="I172" s="4" t="s">
        <v>62</v>
      </c>
      <c r="J172" s="4" t="s">
        <v>57</v>
      </c>
      <c r="K172" s="6">
        <v>167235</v>
      </c>
      <c r="L172" s="4" t="s">
        <v>37</v>
      </c>
    </row>
    <row r="173" spans="1:12">
      <c r="A173" s="4" t="s">
        <v>354</v>
      </c>
      <c r="B173" s="14">
        <v>1</v>
      </c>
      <c r="C173" s="10">
        <v>46143</v>
      </c>
      <c r="D173" s="4" t="s">
        <v>355</v>
      </c>
      <c r="E173" s="4" t="s">
        <v>60</v>
      </c>
      <c r="F173" s="4" t="s">
        <v>95</v>
      </c>
      <c r="G173" s="4" t="s">
        <v>61</v>
      </c>
      <c r="H173" s="4" t="s">
        <v>78</v>
      </c>
      <c r="I173" s="4" t="s">
        <v>35</v>
      </c>
      <c r="J173" s="4" t="s">
        <v>36</v>
      </c>
      <c r="K173" s="6">
        <v>1067541</v>
      </c>
      <c r="L173" s="4" t="s">
        <v>37</v>
      </c>
    </row>
    <row r="174" spans="1:12">
      <c r="A174" s="4" t="s">
        <v>496</v>
      </c>
      <c r="B174" s="14">
        <v>1</v>
      </c>
      <c r="C174" s="10">
        <v>46138</v>
      </c>
      <c r="D174" s="4" t="s">
        <v>497</v>
      </c>
      <c r="E174" s="4" t="s">
        <v>31</v>
      </c>
      <c r="F174" s="4" t="s">
        <v>95</v>
      </c>
      <c r="G174" s="4" t="s">
        <v>61</v>
      </c>
      <c r="H174" s="4" t="s">
        <v>78</v>
      </c>
      <c r="I174" s="4" t="s">
        <v>62</v>
      </c>
      <c r="J174" s="4" t="s">
        <v>57</v>
      </c>
      <c r="K174" s="6">
        <v>141006</v>
      </c>
      <c r="L174" s="4" t="s">
        <v>37</v>
      </c>
    </row>
    <row r="175" spans="1:12">
      <c r="A175" s="4" t="s">
        <v>468</v>
      </c>
      <c r="B175" s="14">
        <v>1</v>
      </c>
      <c r="C175" s="10">
        <v>46082</v>
      </c>
      <c r="D175" s="4" t="s">
        <v>469</v>
      </c>
      <c r="E175" s="4" t="s">
        <v>31</v>
      </c>
      <c r="F175" s="4" t="s">
        <v>95</v>
      </c>
      <c r="G175" s="4" t="s">
        <v>49</v>
      </c>
      <c r="H175" s="4" t="s">
        <v>65</v>
      </c>
      <c r="I175" s="4" t="s">
        <v>35</v>
      </c>
      <c r="J175" s="4" t="s">
        <v>57</v>
      </c>
      <c r="K175" s="6">
        <v>1334294</v>
      </c>
      <c r="L175" s="4" t="s">
        <v>37</v>
      </c>
    </row>
    <row r="176" spans="1:12">
      <c r="A176" s="4" t="s">
        <v>299</v>
      </c>
      <c r="B176" s="14">
        <v>1</v>
      </c>
      <c r="C176" s="10">
        <v>46146</v>
      </c>
      <c r="D176" s="4" t="s">
        <v>300</v>
      </c>
      <c r="E176" s="4" t="s">
        <v>31</v>
      </c>
      <c r="F176" s="4" t="s">
        <v>95</v>
      </c>
      <c r="G176" s="4" t="s">
        <v>72</v>
      </c>
      <c r="H176" s="4" t="s">
        <v>43</v>
      </c>
      <c r="I176" s="4" t="s">
        <v>50</v>
      </c>
      <c r="J176" s="4" t="s">
        <v>36</v>
      </c>
      <c r="K176" s="6">
        <v>1293294</v>
      </c>
      <c r="L176" s="4" t="s">
        <v>37</v>
      </c>
    </row>
    <row r="177" spans="1:12">
      <c r="A177" s="4" t="s">
        <v>329</v>
      </c>
      <c r="B177" s="14">
        <v>1</v>
      </c>
      <c r="C177" s="10">
        <v>46067</v>
      </c>
      <c r="D177" s="4" t="s">
        <v>264</v>
      </c>
      <c r="E177" s="4" t="s">
        <v>68</v>
      </c>
      <c r="F177" s="4" t="s">
        <v>95</v>
      </c>
      <c r="G177" s="4" t="s">
        <v>72</v>
      </c>
      <c r="H177" s="4" t="s">
        <v>53</v>
      </c>
      <c r="I177" s="4" t="s">
        <v>62</v>
      </c>
      <c r="J177" s="4" t="s">
        <v>57</v>
      </c>
      <c r="K177" s="6">
        <v>1001441</v>
      </c>
      <c r="L177" s="4" t="s">
        <v>37</v>
      </c>
    </row>
    <row r="178" spans="1:12">
      <c r="A178" s="4" t="s">
        <v>208</v>
      </c>
      <c r="B178" s="14">
        <v>1</v>
      </c>
      <c r="C178" s="10">
        <v>46133</v>
      </c>
      <c r="D178" s="4" t="s">
        <v>209</v>
      </c>
      <c r="E178" s="4" t="s">
        <v>40</v>
      </c>
      <c r="F178" s="4" t="s">
        <v>95</v>
      </c>
      <c r="G178" s="4" t="s">
        <v>42</v>
      </c>
      <c r="H178" s="4" t="s">
        <v>43</v>
      </c>
      <c r="I178" s="4" t="s">
        <v>35</v>
      </c>
      <c r="J178" s="4" t="s">
        <v>36</v>
      </c>
      <c r="K178" s="6">
        <v>1166271</v>
      </c>
      <c r="L178" s="4" t="s">
        <v>37</v>
      </c>
    </row>
    <row r="179" spans="1:12">
      <c r="A179" s="4" t="s">
        <v>267</v>
      </c>
      <c r="B179" s="14">
        <v>1</v>
      </c>
      <c r="C179" s="10">
        <v>46173</v>
      </c>
      <c r="D179" s="4" t="s">
        <v>268</v>
      </c>
      <c r="E179" s="4" t="s">
        <v>77</v>
      </c>
      <c r="F179" s="4" t="s">
        <v>95</v>
      </c>
      <c r="G179" s="4" t="s">
        <v>72</v>
      </c>
      <c r="H179" s="4" t="s">
        <v>43</v>
      </c>
      <c r="I179" s="4" t="s">
        <v>62</v>
      </c>
      <c r="J179" s="4" t="s">
        <v>36</v>
      </c>
      <c r="K179" s="6">
        <v>1178649</v>
      </c>
      <c r="L179" s="4" t="s">
        <v>37</v>
      </c>
    </row>
    <row r="180" spans="1:12">
      <c r="A180" s="4" t="s">
        <v>480</v>
      </c>
      <c r="B180" s="14">
        <v>1</v>
      </c>
      <c r="C180" s="10">
        <v>46121</v>
      </c>
      <c r="D180" s="4" t="s">
        <v>256</v>
      </c>
      <c r="E180" s="4" t="s">
        <v>40</v>
      </c>
      <c r="F180" s="4" t="s">
        <v>95</v>
      </c>
      <c r="G180" s="4" t="s">
        <v>49</v>
      </c>
      <c r="H180" s="4" t="s">
        <v>78</v>
      </c>
      <c r="I180" s="4" t="s">
        <v>62</v>
      </c>
      <c r="J180" s="4" t="s">
        <v>57</v>
      </c>
      <c r="K180" s="6">
        <v>330466</v>
      </c>
      <c r="L180" s="4" t="s">
        <v>37</v>
      </c>
    </row>
    <row r="181" spans="1:12">
      <c r="A181" s="4" t="s">
        <v>148</v>
      </c>
      <c r="B181" s="14">
        <v>1</v>
      </c>
      <c r="C181" s="10">
        <v>46082</v>
      </c>
      <c r="D181" s="4" t="s">
        <v>149</v>
      </c>
      <c r="E181" s="4" t="s">
        <v>47</v>
      </c>
      <c r="F181" s="4" t="s">
        <v>95</v>
      </c>
      <c r="G181" s="4" t="s">
        <v>61</v>
      </c>
      <c r="H181" s="4" t="s">
        <v>34</v>
      </c>
      <c r="I181" s="4" t="s">
        <v>62</v>
      </c>
      <c r="J181" s="4" t="s">
        <v>36</v>
      </c>
      <c r="K181" s="6">
        <v>117260</v>
      </c>
      <c r="L181" s="4" t="s">
        <v>37</v>
      </c>
    </row>
    <row r="182" spans="1:12">
      <c r="A182" s="4" t="s">
        <v>251</v>
      </c>
      <c r="B182" s="14">
        <v>1</v>
      </c>
      <c r="C182" s="10">
        <v>46027</v>
      </c>
      <c r="D182" s="4" t="s">
        <v>149</v>
      </c>
      <c r="E182" s="4" t="s">
        <v>40</v>
      </c>
      <c r="F182" s="4" t="s">
        <v>95</v>
      </c>
      <c r="G182" s="4" t="s">
        <v>42</v>
      </c>
      <c r="H182" s="4" t="s">
        <v>78</v>
      </c>
      <c r="I182" s="4" t="s">
        <v>62</v>
      </c>
      <c r="J182" s="4" t="s">
        <v>57</v>
      </c>
      <c r="K182" s="6">
        <v>573886</v>
      </c>
      <c r="L182" s="4" t="s">
        <v>37</v>
      </c>
    </row>
    <row r="183" spans="1:12">
      <c r="A183" s="4" t="s">
        <v>127</v>
      </c>
      <c r="B183" s="14">
        <v>1</v>
      </c>
      <c r="C183" s="10">
        <v>46077</v>
      </c>
      <c r="D183" s="4" t="s">
        <v>128</v>
      </c>
      <c r="E183" s="4" t="s">
        <v>40</v>
      </c>
      <c r="F183" s="4" t="s">
        <v>95</v>
      </c>
      <c r="G183" s="4" t="s">
        <v>33</v>
      </c>
      <c r="H183" s="4" t="s">
        <v>43</v>
      </c>
      <c r="I183" s="4" t="s">
        <v>62</v>
      </c>
      <c r="J183" s="4" t="s">
        <v>36</v>
      </c>
      <c r="K183" s="6">
        <v>1184033</v>
      </c>
      <c r="L183" s="4" t="s">
        <v>37</v>
      </c>
    </row>
    <row r="184" spans="1:12">
      <c r="A184" s="4" t="s">
        <v>181</v>
      </c>
      <c r="B184" s="14">
        <v>1</v>
      </c>
      <c r="C184" s="10">
        <v>46154</v>
      </c>
      <c r="D184" s="4" t="s">
        <v>182</v>
      </c>
      <c r="E184" s="4" t="s">
        <v>68</v>
      </c>
      <c r="F184" s="4" t="s">
        <v>95</v>
      </c>
      <c r="G184" s="4" t="s">
        <v>33</v>
      </c>
      <c r="H184" s="4" t="s">
        <v>53</v>
      </c>
      <c r="I184" s="4" t="s">
        <v>62</v>
      </c>
      <c r="J184" s="4" t="s">
        <v>57</v>
      </c>
      <c r="K184" s="6">
        <v>465872</v>
      </c>
      <c r="L184" s="4" t="s">
        <v>37</v>
      </c>
    </row>
    <row r="185" spans="1:12">
      <c r="A185" s="4" t="s">
        <v>227</v>
      </c>
      <c r="B185" s="14">
        <v>1</v>
      </c>
      <c r="C185" s="10">
        <v>46111</v>
      </c>
      <c r="D185" s="4" t="s">
        <v>228</v>
      </c>
      <c r="E185" s="4" t="s">
        <v>47</v>
      </c>
      <c r="F185" s="4" t="s">
        <v>95</v>
      </c>
      <c r="G185" s="4" t="s">
        <v>61</v>
      </c>
      <c r="H185" s="4" t="s">
        <v>53</v>
      </c>
      <c r="I185" s="4" t="s">
        <v>62</v>
      </c>
      <c r="J185" s="4" t="s">
        <v>36</v>
      </c>
      <c r="K185" s="6">
        <v>1293085</v>
      </c>
      <c r="L185" s="4" t="s">
        <v>37</v>
      </c>
    </row>
    <row r="186" spans="1:12">
      <c r="A186" s="4" t="s">
        <v>435</v>
      </c>
      <c r="B186" s="14">
        <v>1</v>
      </c>
      <c r="C186" s="10">
        <v>46186</v>
      </c>
      <c r="D186" s="4" t="s">
        <v>228</v>
      </c>
      <c r="E186" s="4" t="s">
        <v>31</v>
      </c>
      <c r="F186" s="4" t="s">
        <v>95</v>
      </c>
      <c r="G186" s="4" t="s">
        <v>42</v>
      </c>
      <c r="H186" s="4" t="s">
        <v>78</v>
      </c>
      <c r="I186" s="4" t="s">
        <v>35</v>
      </c>
      <c r="J186" s="4" t="s">
        <v>36</v>
      </c>
      <c r="K186" s="6">
        <v>536799</v>
      </c>
      <c r="L186" s="4" t="s">
        <v>37</v>
      </c>
    </row>
    <row r="187" spans="1:12">
      <c r="A187" s="4" t="s">
        <v>390</v>
      </c>
      <c r="B187" s="14">
        <v>1</v>
      </c>
      <c r="C187" s="10">
        <v>46135</v>
      </c>
      <c r="D187" s="4" t="s">
        <v>391</v>
      </c>
      <c r="E187" s="4" t="s">
        <v>31</v>
      </c>
      <c r="F187" s="4" t="s">
        <v>95</v>
      </c>
      <c r="G187" s="4" t="s">
        <v>33</v>
      </c>
      <c r="H187" s="4" t="s">
        <v>43</v>
      </c>
      <c r="I187" s="4" t="s">
        <v>35</v>
      </c>
      <c r="J187" s="4" t="s">
        <v>36</v>
      </c>
      <c r="K187" s="6">
        <v>1368719</v>
      </c>
      <c r="L187" s="4" t="s">
        <v>37</v>
      </c>
    </row>
    <row r="188" spans="1:12">
      <c r="A188" s="4" t="s">
        <v>164</v>
      </c>
      <c r="B188" s="14">
        <v>1</v>
      </c>
      <c r="C188" s="10">
        <v>46133</v>
      </c>
      <c r="D188" s="4" t="s">
        <v>165</v>
      </c>
      <c r="E188" s="4" t="s">
        <v>77</v>
      </c>
      <c r="F188" s="4" t="s">
        <v>95</v>
      </c>
      <c r="G188" s="4" t="s">
        <v>42</v>
      </c>
      <c r="H188" s="4" t="s">
        <v>34</v>
      </c>
      <c r="I188" s="4" t="s">
        <v>35</v>
      </c>
      <c r="J188" s="4" t="s">
        <v>57</v>
      </c>
      <c r="K188" s="6">
        <v>1235574</v>
      </c>
      <c r="L188" s="4" t="s">
        <v>37</v>
      </c>
    </row>
    <row r="189" spans="1:12">
      <c r="A189" s="4" t="s">
        <v>512</v>
      </c>
      <c r="B189" s="14">
        <v>1</v>
      </c>
      <c r="C189" s="10">
        <v>46115</v>
      </c>
      <c r="D189" s="4" t="s">
        <v>175</v>
      </c>
      <c r="E189" s="4" t="s">
        <v>31</v>
      </c>
      <c r="F189" s="4" t="s">
        <v>95</v>
      </c>
      <c r="G189" s="4" t="s">
        <v>72</v>
      </c>
      <c r="H189" s="4" t="s">
        <v>43</v>
      </c>
      <c r="I189" s="4" t="s">
        <v>35</v>
      </c>
      <c r="J189" s="4" t="s">
        <v>57</v>
      </c>
      <c r="K189" s="6">
        <v>330618</v>
      </c>
      <c r="L189" s="4" t="s">
        <v>37</v>
      </c>
    </row>
    <row r="190" spans="1:12">
      <c r="A190" s="4" t="s">
        <v>325</v>
      </c>
      <c r="B190" s="14">
        <v>1</v>
      </c>
      <c r="C190" s="10">
        <v>46108</v>
      </c>
      <c r="D190" s="4" t="s">
        <v>203</v>
      </c>
      <c r="E190" s="4" t="s">
        <v>60</v>
      </c>
      <c r="F190" s="4" t="s">
        <v>95</v>
      </c>
      <c r="G190" s="4" t="s">
        <v>61</v>
      </c>
      <c r="H190" s="4" t="s">
        <v>78</v>
      </c>
      <c r="I190" s="4" t="s">
        <v>50</v>
      </c>
      <c r="J190" s="4" t="s">
        <v>57</v>
      </c>
      <c r="K190" s="6">
        <v>1366189</v>
      </c>
      <c r="L190" s="4" t="s">
        <v>37</v>
      </c>
    </row>
    <row r="191" spans="1:12">
      <c r="A191" s="4" t="s">
        <v>501</v>
      </c>
      <c r="B191" s="14">
        <v>1</v>
      </c>
      <c r="C191" s="10">
        <v>46186</v>
      </c>
      <c r="D191" s="4" t="s">
        <v>502</v>
      </c>
      <c r="E191" s="4" t="s">
        <v>40</v>
      </c>
      <c r="F191" s="4" t="s">
        <v>95</v>
      </c>
      <c r="G191" s="4" t="s">
        <v>42</v>
      </c>
      <c r="H191" s="4" t="s">
        <v>43</v>
      </c>
      <c r="I191" s="4" t="s">
        <v>35</v>
      </c>
      <c r="J191" s="4" t="s">
        <v>36</v>
      </c>
      <c r="K191" s="6">
        <v>855878</v>
      </c>
      <c r="L191" s="4" t="s">
        <v>37</v>
      </c>
    </row>
    <row r="192" spans="1:12">
      <c r="A192" s="4" t="s">
        <v>191</v>
      </c>
      <c r="B192" s="14">
        <v>1</v>
      </c>
      <c r="C192" s="10">
        <v>46076</v>
      </c>
      <c r="D192" s="4" t="s">
        <v>192</v>
      </c>
      <c r="E192" s="4" t="s">
        <v>40</v>
      </c>
      <c r="F192" s="4" t="s">
        <v>95</v>
      </c>
      <c r="G192" s="4" t="s">
        <v>33</v>
      </c>
      <c r="H192" s="4" t="s">
        <v>65</v>
      </c>
      <c r="I192" s="4" t="s">
        <v>50</v>
      </c>
      <c r="J192" s="4" t="s">
        <v>57</v>
      </c>
      <c r="K192" s="6">
        <v>506162</v>
      </c>
      <c r="L192" s="4" t="s">
        <v>37</v>
      </c>
    </row>
    <row r="193" spans="1:12">
      <c r="A193" s="4" t="s">
        <v>402</v>
      </c>
      <c r="B193" s="14">
        <v>1</v>
      </c>
      <c r="C193" s="10">
        <v>46151</v>
      </c>
      <c r="D193" s="4" t="s">
        <v>196</v>
      </c>
      <c r="E193" s="4" t="s">
        <v>31</v>
      </c>
      <c r="F193" s="4" t="s">
        <v>95</v>
      </c>
      <c r="G193" s="4" t="s">
        <v>72</v>
      </c>
      <c r="H193" s="4" t="s">
        <v>53</v>
      </c>
      <c r="I193" s="4" t="s">
        <v>50</v>
      </c>
      <c r="J193" s="4" t="s">
        <v>36</v>
      </c>
      <c r="K193" s="6">
        <v>499830</v>
      </c>
      <c r="L193" s="4" t="s">
        <v>37</v>
      </c>
    </row>
    <row r="194" spans="1:12">
      <c r="A194" s="4" t="s">
        <v>392</v>
      </c>
      <c r="B194" s="14">
        <v>1</v>
      </c>
      <c r="C194" s="10">
        <v>46123</v>
      </c>
      <c r="D194" s="4" t="s">
        <v>86</v>
      </c>
      <c r="E194" s="4" t="s">
        <v>47</v>
      </c>
      <c r="F194" s="4" t="s">
        <v>95</v>
      </c>
      <c r="G194" s="4" t="s">
        <v>61</v>
      </c>
      <c r="H194" s="4" t="s">
        <v>34</v>
      </c>
      <c r="I194" s="4" t="s">
        <v>62</v>
      </c>
      <c r="J194" s="4" t="s">
        <v>57</v>
      </c>
      <c r="K194" s="6">
        <v>334580</v>
      </c>
      <c r="L194" s="4" t="s">
        <v>37</v>
      </c>
    </row>
    <row r="195" spans="1:12">
      <c r="A195" s="4" t="s">
        <v>411</v>
      </c>
      <c r="B195" s="14">
        <v>1</v>
      </c>
      <c r="C195" s="10">
        <v>46182</v>
      </c>
      <c r="D195" s="4" t="s">
        <v>386</v>
      </c>
      <c r="E195" s="4" t="s">
        <v>68</v>
      </c>
      <c r="F195" s="4" t="s">
        <v>95</v>
      </c>
      <c r="G195" s="4" t="s">
        <v>42</v>
      </c>
      <c r="H195" s="4" t="s">
        <v>53</v>
      </c>
      <c r="I195" s="4" t="s">
        <v>62</v>
      </c>
      <c r="J195" s="4" t="s">
        <v>57</v>
      </c>
      <c r="K195" s="6">
        <v>591357</v>
      </c>
      <c r="L195" s="4" t="s">
        <v>37</v>
      </c>
    </row>
    <row r="196" spans="1:12">
      <c r="A196" s="4" t="s">
        <v>93</v>
      </c>
      <c r="B196" s="14">
        <v>1</v>
      </c>
      <c r="C196" s="10">
        <v>46024</v>
      </c>
      <c r="D196" s="4" t="s">
        <v>94</v>
      </c>
      <c r="E196" s="4" t="s">
        <v>68</v>
      </c>
      <c r="F196" s="4" t="s">
        <v>95</v>
      </c>
      <c r="G196" s="4" t="s">
        <v>72</v>
      </c>
      <c r="H196" s="4" t="s">
        <v>65</v>
      </c>
      <c r="I196" s="4" t="s">
        <v>50</v>
      </c>
      <c r="J196" s="4" t="s">
        <v>36</v>
      </c>
      <c r="K196" s="6">
        <v>1286497</v>
      </c>
      <c r="L196" s="4" t="s">
        <v>37</v>
      </c>
    </row>
    <row r="197" spans="1:12">
      <c r="A197" s="4" t="s">
        <v>515</v>
      </c>
      <c r="B197" s="14">
        <v>1</v>
      </c>
      <c r="C197" s="10">
        <v>46132</v>
      </c>
      <c r="D197" s="4" t="s">
        <v>94</v>
      </c>
      <c r="E197" s="4" t="s">
        <v>77</v>
      </c>
      <c r="F197" s="4" t="s">
        <v>95</v>
      </c>
      <c r="G197" s="4" t="s">
        <v>61</v>
      </c>
      <c r="H197" s="4" t="s">
        <v>65</v>
      </c>
      <c r="I197" s="4" t="s">
        <v>35</v>
      </c>
      <c r="J197" s="4" t="s">
        <v>57</v>
      </c>
      <c r="K197" s="6">
        <v>1405349</v>
      </c>
      <c r="L197" s="4" t="s">
        <v>37</v>
      </c>
    </row>
    <row r="198" spans="1:12">
      <c r="A198" s="4" t="s">
        <v>425</v>
      </c>
      <c r="B198" s="14">
        <v>1</v>
      </c>
      <c r="C198" s="10">
        <v>46166</v>
      </c>
      <c r="D198" s="4" t="s">
        <v>105</v>
      </c>
      <c r="E198" s="4" t="s">
        <v>40</v>
      </c>
      <c r="F198" s="4" t="s">
        <v>95</v>
      </c>
      <c r="G198" s="4" t="s">
        <v>61</v>
      </c>
      <c r="H198" s="4" t="s">
        <v>34</v>
      </c>
      <c r="I198" s="4" t="s">
        <v>62</v>
      </c>
      <c r="J198" s="4" t="s">
        <v>36</v>
      </c>
      <c r="K198" s="6">
        <v>714917</v>
      </c>
      <c r="L198" s="4" t="s">
        <v>37</v>
      </c>
    </row>
    <row r="199" spans="1:12">
      <c r="A199" s="4" t="s">
        <v>301</v>
      </c>
      <c r="B199" s="14">
        <v>1</v>
      </c>
      <c r="C199" s="10">
        <v>46201</v>
      </c>
      <c r="D199" s="4" t="s">
        <v>302</v>
      </c>
      <c r="E199" s="4" t="s">
        <v>47</v>
      </c>
      <c r="F199" s="4" t="s">
        <v>95</v>
      </c>
      <c r="G199" s="4" t="s">
        <v>49</v>
      </c>
      <c r="H199" s="4" t="s">
        <v>43</v>
      </c>
      <c r="I199" s="4" t="s">
        <v>62</v>
      </c>
      <c r="J199" s="4" t="s">
        <v>36</v>
      </c>
      <c r="K199" s="6">
        <v>1470178</v>
      </c>
      <c r="L199" s="4" t="s">
        <v>37</v>
      </c>
    </row>
    <row r="200" spans="1:12">
      <c r="A200" s="4" t="s">
        <v>514</v>
      </c>
      <c r="B200" s="14">
        <v>1</v>
      </c>
      <c r="C200" s="10">
        <v>46150</v>
      </c>
      <c r="D200" s="4" t="s">
        <v>368</v>
      </c>
      <c r="E200" s="4" t="s">
        <v>47</v>
      </c>
      <c r="F200" s="4" t="s">
        <v>95</v>
      </c>
      <c r="G200" s="4" t="s">
        <v>61</v>
      </c>
      <c r="H200" s="4" t="s">
        <v>78</v>
      </c>
      <c r="I200" s="4" t="s">
        <v>62</v>
      </c>
      <c r="J200" s="4" t="s">
        <v>44</v>
      </c>
      <c r="K200" s="6">
        <v>892150</v>
      </c>
      <c r="L200" s="4" t="s">
        <v>37</v>
      </c>
    </row>
    <row r="201" spans="1:12">
      <c r="A201" s="4" t="s">
        <v>336</v>
      </c>
      <c r="B201" s="14">
        <v>1</v>
      </c>
      <c r="C201" s="10">
        <v>46130</v>
      </c>
      <c r="D201" s="4" t="s">
        <v>167</v>
      </c>
      <c r="E201" s="4" t="s">
        <v>47</v>
      </c>
      <c r="F201" s="4" t="s">
        <v>95</v>
      </c>
      <c r="G201" s="4" t="s">
        <v>42</v>
      </c>
      <c r="H201" s="4" t="s">
        <v>65</v>
      </c>
      <c r="I201" s="4" t="s">
        <v>50</v>
      </c>
      <c r="J201" s="4" t="s">
        <v>36</v>
      </c>
      <c r="K201" s="6">
        <v>1388106</v>
      </c>
      <c r="L201" s="4" t="s">
        <v>37</v>
      </c>
    </row>
    <row r="202" spans="1:12">
      <c r="A202" s="4" t="s">
        <v>284</v>
      </c>
      <c r="B202" s="14">
        <v>1</v>
      </c>
      <c r="C202" s="10">
        <v>46153</v>
      </c>
      <c r="D202" s="4" t="s">
        <v>167</v>
      </c>
      <c r="E202" s="4" t="s">
        <v>77</v>
      </c>
      <c r="F202" s="4" t="s">
        <v>95</v>
      </c>
      <c r="G202" s="4" t="s">
        <v>72</v>
      </c>
      <c r="H202" s="4" t="s">
        <v>34</v>
      </c>
      <c r="I202" s="4" t="s">
        <v>35</v>
      </c>
      <c r="J202" s="4" t="s">
        <v>36</v>
      </c>
      <c r="K202" s="6">
        <v>1167698</v>
      </c>
      <c r="L202" s="4" t="s">
        <v>37</v>
      </c>
    </row>
    <row r="203" spans="1:12">
      <c r="A203" s="4" t="s">
        <v>327</v>
      </c>
      <c r="B203" s="14">
        <v>1</v>
      </c>
      <c r="C203" s="10">
        <v>46088</v>
      </c>
      <c r="D203" s="4" t="s">
        <v>319</v>
      </c>
      <c r="E203" s="4" t="s">
        <v>77</v>
      </c>
      <c r="F203" s="4" t="s">
        <v>95</v>
      </c>
      <c r="G203" s="4" t="s">
        <v>33</v>
      </c>
      <c r="H203" s="4" t="s">
        <v>34</v>
      </c>
      <c r="I203" s="4" t="s">
        <v>50</v>
      </c>
      <c r="J203" s="4" t="s">
        <v>36</v>
      </c>
      <c r="K203" s="6">
        <v>711616</v>
      </c>
      <c r="L203" s="4" t="s">
        <v>37</v>
      </c>
    </row>
    <row r="204" spans="1:12">
      <c r="A204" s="4" t="s">
        <v>539</v>
      </c>
      <c r="B204" s="14">
        <v>1</v>
      </c>
      <c r="C204" s="10">
        <v>46198</v>
      </c>
      <c r="D204" s="4" t="s">
        <v>499</v>
      </c>
      <c r="E204" s="4" t="s">
        <v>40</v>
      </c>
      <c r="F204" s="4" t="s">
        <v>95</v>
      </c>
      <c r="G204" s="4" t="s">
        <v>33</v>
      </c>
      <c r="H204" s="4" t="s">
        <v>53</v>
      </c>
      <c r="I204" s="4" t="s">
        <v>62</v>
      </c>
      <c r="J204" s="4" t="s">
        <v>36</v>
      </c>
      <c r="K204" s="6">
        <v>1167862</v>
      </c>
      <c r="L204" s="4" t="s">
        <v>37</v>
      </c>
    </row>
    <row r="205" spans="1:12">
      <c r="A205" s="4" t="s">
        <v>330</v>
      </c>
      <c r="B205" s="14">
        <v>1</v>
      </c>
      <c r="C205" s="10">
        <v>46084</v>
      </c>
      <c r="D205" s="4" t="s">
        <v>331</v>
      </c>
      <c r="E205" s="4" t="s">
        <v>68</v>
      </c>
      <c r="F205" s="4" t="s">
        <v>95</v>
      </c>
      <c r="G205" s="4" t="s">
        <v>72</v>
      </c>
      <c r="H205" s="4" t="s">
        <v>78</v>
      </c>
      <c r="I205" s="4" t="s">
        <v>62</v>
      </c>
      <c r="J205" s="4" t="s">
        <v>57</v>
      </c>
      <c r="K205" s="6">
        <v>1459854</v>
      </c>
      <c r="L205" s="4" t="s">
        <v>37</v>
      </c>
    </row>
    <row r="206" spans="1:12">
      <c r="A206" s="4" t="s">
        <v>223</v>
      </c>
      <c r="B206" s="14">
        <v>1</v>
      </c>
      <c r="C206" s="10">
        <v>46067</v>
      </c>
      <c r="D206" s="4" t="s">
        <v>224</v>
      </c>
      <c r="E206" s="4" t="s">
        <v>68</v>
      </c>
      <c r="F206" s="4" t="s">
        <v>95</v>
      </c>
      <c r="G206" s="4" t="s">
        <v>61</v>
      </c>
      <c r="H206" s="4" t="s">
        <v>34</v>
      </c>
      <c r="I206" s="4" t="s">
        <v>35</v>
      </c>
      <c r="J206" s="4" t="s">
        <v>57</v>
      </c>
      <c r="K206" s="6">
        <v>741211</v>
      </c>
      <c r="L206" s="4" t="s">
        <v>37</v>
      </c>
    </row>
    <row r="207" spans="1:12">
      <c r="A207" s="4" t="s">
        <v>373</v>
      </c>
      <c r="B207" s="14">
        <v>1</v>
      </c>
      <c r="C207" s="10">
        <v>46140</v>
      </c>
      <c r="D207" s="4" t="s">
        <v>52</v>
      </c>
      <c r="E207" s="4" t="s">
        <v>77</v>
      </c>
      <c r="F207" s="4" t="s">
        <v>95</v>
      </c>
      <c r="G207" s="4" t="s">
        <v>49</v>
      </c>
      <c r="H207" s="4" t="s">
        <v>53</v>
      </c>
      <c r="I207" s="4" t="s">
        <v>50</v>
      </c>
      <c r="J207" s="4" t="s">
        <v>36</v>
      </c>
      <c r="K207" s="6">
        <v>293306</v>
      </c>
      <c r="L207" s="4" t="s">
        <v>37</v>
      </c>
    </row>
    <row r="208" spans="1:12">
      <c r="A208" s="4" t="s">
        <v>427</v>
      </c>
      <c r="B208" s="14">
        <v>1</v>
      </c>
      <c r="C208" s="10">
        <v>46146</v>
      </c>
      <c r="D208" s="4" t="s">
        <v>428</v>
      </c>
      <c r="E208" s="4" t="s">
        <v>31</v>
      </c>
      <c r="F208" s="4" t="s">
        <v>95</v>
      </c>
      <c r="G208" s="4" t="s">
        <v>61</v>
      </c>
      <c r="H208" s="4" t="s">
        <v>53</v>
      </c>
      <c r="I208" s="4" t="s">
        <v>35</v>
      </c>
      <c r="J208" s="4" t="s">
        <v>36</v>
      </c>
      <c r="K208" s="6">
        <v>1002246</v>
      </c>
      <c r="L208" s="4" t="s">
        <v>37</v>
      </c>
    </row>
    <row r="209" spans="1:12">
      <c r="A209" s="4" t="s">
        <v>241</v>
      </c>
      <c r="B209" s="14">
        <v>1</v>
      </c>
      <c r="C209" s="10">
        <v>46103</v>
      </c>
      <c r="D209" s="4" t="s">
        <v>242</v>
      </c>
      <c r="E209" s="4" t="s">
        <v>77</v>
      </c>
      <c r="F209" s="4" t="s">
        <v>95</v>
      </c>
      <c r="G209" s="4" t="s">
        <v>61</v>
      </c>
      <c r="H209" s="4" t="s">
        <v>53</v>
      </c>
      <c r="I209" s="4" t="s">
        <v>35</v>
      </c>
      <c r="J209" s="4" t="s">
        <v>57</v>
      </c>
      <c r="K209" s="6">
        <v>497557</v>
      </c>
      <c r="L209" s="4" t="s">
        <v>37</v>
      </c>
    </row>
    <row r="210" spans="1:12">
      <c r="A210" s="4" t="s">
        <v>294</v>
      </c>
      <c r="B210" s="14">
        <v>1</v>
      </c>
      <c r="C210" s="10">
        <v>46159</v>
      </c>
      <c r="D210" s="4" t="s">
        <v>295</v>
      </c>
      <c r="E210" s="4" t="s">
        <v>47</v>
      </c>
      <c r="F210" s="4" t="s">
        <v>95</v>
      </c>
      <c r="G210" s="4" t="s">
        <v>42</v>
      </c>
      <c r="H210" s="4" t="s">
        <v>34</v>
      </c>
      <c r="I210" s="4" t="s">
        <v>62</v>
      </c>
      <c r="J210" s="4" t="s">
        <v>57</v>
      </c>
      <c r="K210" s="6">
        <v>902129</v>
      </c>
      <c r="L210" s="4" t="s">
        <v>37</v>
      </c>
    </row>
    <row r="211" spans="1:12">
      <c r="A211" s="4" t="s">
        <v>412</v>
      </c>
      <c r="B211" s="14">
        <v>1</v>
      </c>
      <c r="C211" s="10">
        <v>46090</v>
      </c>
      <c r="D211" s="4" t="s">
        <v>70</v>
      </c>
      <c r="E211" s="4" t="s">
        <v>77</v>
      </c>
      <c r="F211" s="4" t="s">
        <v>95</v>
      </c>
      <c r="G211" s="4" t="s">
        <v>61</v>
      </c>
      <c r="H211" s="4" t="s">
        <v>65</v>
      </c>
      <c r="I211" s="4" t="s">
        <v>35</v>
      </c>
      <c r="J211" s="4" t="s">
        <v>36</v>
      </c>
      <c r="K211" s="6">
        <v>57531</v>
      </c>
      <c r="L211" s="4" t="s">
        <v>37</v>
      </c>
    </row>
    <row r="212" spans="1:12">
      <c r="A212" s="4" t="s">
        <v>156</v>
      </c>
      <c r="B212" s="14">
        <v>1</v>
      </c>
      <c r="C212" s="10">
        <v>46075</v>
      </c>
      <c r="D212" s="4" t="s">
        <v>157</v>
      </c>
      <c r="E212" s="4" t="s">
        <v>47</v>
      </c>
      <c r="F212" s="4" t="s">
        <v>95</v>
      </c>
      <c r="G212" s="4" t="s">
        <v>42</v>
      </c>
      <c r="H212" s="4" t="s">
        <v>34</v>
      </c>
      <c r="I212" s="4" t="s">
        <v>50</v>
      </c>
      <c r="J212" s="4" t="s">
        <v>57</v>
      </c>
      <c r="K212" s="6">
        <v>845326</v>
      </c>
      <c r="L212" s="4" t="s">
        <v>37</v>
      </c>
    </row>
    <row r="213" spans="1:12">
      <c r="A213" s="4" t="s">
        <v>320</v>
      </c>
      <c r="B213" s="14">
        <v>1</v>
      </c>
      <c r="C213" s="10">
        <v>46058</v>
      </c>
      <c r="D213" s="4" t="s">
        <v>321</v>
      </c>
      <c r="E213" s="4" t="s">
        <v>40</v>
      </c>
      <c r="F213" s="4" t="s">
        <v>41</v>
      </c>
      <c r="G213" s="4" t="s">
        <v>49</v>
      </c>
      <c r="H213" s="4" t="s">
        <v>65</v>
      </c>
      <c r="I213" s="4" t="s">
        <v>35</v>
      </c>
      <c r="J213" s="4" t="s">
        <v>36</v>
      </c>
      <c r="K213" s="6">
        <v>225006</v>
      </c>
      <c r="L213" s="4" t="s">
        <v>37</v>
      </c>
    </row>
    <row r="214" spans="1:12">
      <c r="A214" s="4" t="s">
        <v>89</v>
      </c>
      <c r="B214" s="14">
        <v>1</v>
      </c>
      <c r="C214" s="10">
        <v>46172</v>
      </c>
      <c r="D214" s="4" t="s">
        <v>90</v>
      </c>
      <c r="E214" s="4" t="s">
        <v>31</v>
      </c>
      <c r="F214" s="4" t="s">
        <v>41</v>
      </c>
      <c r="G214" s="4" t="s">
        <v>42</v>
      </c>
      <c r="H214" s="4" t="s">
        <v>34</v>
      </c>
      <c r="I214" s="4" t="s">
        <v>62</v>
      </c>
      <c r="J214" s="4" t="s">
        <v>44</v>
      </c>
      <c r="K214" s="6">
        <v>611931</v>
      </c>
      <c r="L214" s="4" t="s">
        <v>37</v>
      </c>
    </row>
    <row r="215" spans="1:12">
      <c r="A215" s="4" t="s">
        <v>398</v>
      </c>
      <c r="B215" s="14">
        <v>1</v>
      </c>
      <c r="C215" s="10">
        <v>46024</v>
      </c>
      <c r="D215" s="4" t="s">
        <v>173</v>
      </c>
      <c r="E215" s="4" t="s">
        <v>60</v>
      </c>
      <c r="F215" s="4" t="s">
        <v>41</v>
      </c>
      <c r="G215" s="4" t="s">
        <v>72</v>
      </c>
      <c r="H215" s="4" t="s">
        <v>78</v>
      </c>
      <c r="I215" s="4" t="s">
        <v>50</v>
      </c>
      <c r="J215" s="4" t="s">
        <v>36</v>
      </c>
      <c r="K215" s="6">
        <v>819605</v>
      </c>
      <c r="L215" s="4" t="s">
        <v>37</v>
      </c>
    </row>
    <row r="216" spans="1:12">
      <c r="A216" s="4" t="s">
        <v>188</v>
      </c>
      <c r="B216" s="14">
        <v>1</v>
      </c>
      <c r="C216" s="10">
        <v>46128</v>
      </c>
      <c r="D216" s="4" t="s">
        <v>46</v>
      </c>
      <c r="E216" s="4" t="s">
        <v>77</v>
      </c>
      <c r="F216" s="4" t="s">
        <v>41</v>
      </c>
      <c r="G216" s="4" t="s">
        <v>72</v>
      </c>
      <c r="H216" s="4" t="s">
        <v>34</v>
      </c>
      <c r="I216" s="4" t="s">
        <v>62</v>
      </c>
      <c r="J216" s="4" t="s">
        <v>36</v>
      </c>
      <c r="K216" s="6">
        <v>350931</v>
      </c>
      <c r="L216" s="4" t="s">
        <v>37</v>
      </c>
    </row>
    <row r="217" spans="1:12">
      <c r="A217" s="4" t="s">
        <v>436</v>
      </c>
      <c r="B217" s="14">
        <v>1</v>
      </c>
      <c r="C217" s="10">
        <v>46169</v>
      </c>
      <c r="D217" s="4" t="s">
        <v>281</v>
      </c>
      <c r="E217" s="4" t="s">
        <v>60</v>
      </c>
      <c r="F217" s="4" t="s">
        <v>41</v>
      </c>
      <c r="G217" s="4" t="s">
        <v>33</v>
      </c>
      <c r="H217" s="4" t="s">
        <v>53</v>
      </c>
      <c r="I217" s="4" t="s">
        <v>35</v>
      </c>
      <c r="J217" s="4" t="s">
        <v>57</v>
      </c>
      <c r="K217" s="6">
        <v>569349</v>
      </c>
      <c r="L217" s="4" t="s">
        <v>37</v>
      </c>
    </row>
    <row r="218" spans="1:12">
      <c r="A218" s="4" t="s">
        <v>280</v>
      </c>
      <c r="B218" s="14">
        <v>1</v>
      </c>
      <c r="C218" s="10">
        <v>46123</v>
      </c>
      <c r="D218" s="4" t="s">
        <v>281</v>
      </c>
      <c r="E218" s="4" t="s">
        <v>60</v>
      </c>
      <c r="F218" s="4" t="s">
        <v>41</v>
      </c>
      <c r="G218" s="4" t="s">
        <v>49</v>
      </c>
      <c r="H218" s="4" t="s">
        <v>78</v>
      </c>
      <c r="I218" s="4" t="s">
        <v>50</v>
      </c>
      <c r="J218" s="4" t="s">
        <v>36</v>
      </c>
      <c r="K218" s="6">
        <v>118099</v>
      </c>
      <c r="L218" s="4" t="s">
        <v>37</v>
      </c>
    </row>
    <row r="219" spans="1:12">
      <c r="A219" s="4" t="s">
        <v>376</v>
      </c>
      <c r="B219" s="14">
        <v>1</v>
      </c>
      <c r="C219" s="10">
        <v>46118</v>
      </c>
      <c r="D219" s="4" t="s">
        <v>372</v>
      </c>
      <c r="E219" s="4" t="s">
        <v>68</v>
      </c>
      <c r="F219" s="4" t="s">
        <v>41</v>
      </c>
      <c r="G219" s="4" t="s">
        <v>72</v>
      </c>
      <c r="H219" s="4" t="s">
        <v>65</v>
      </c>
      <c r="I219" s="4" t="s">
        <v>35</v>
      </c>
      <c r="J219" s="4" t="s">
        <v>57</v>
      </c>
      <c r="K219" s="6">
        <v>711757</v>
      </c>
      <c r="L219" s="4" t="s">
        <v>37</v>
      </c>
    </row>
    <row r="220" spans="1:12">
      <c r="A220" s="4" t="s">
        <v>371</v>
      </c>
      <c r="B220" s="14">
        <v>1</v>
      </c>
      <c r="C220" s="10">
        <v>46081</v>
      </c>
      <c r="D220" s="4" t="s">
        <v>372</v>
      </c>
      <c r="E220" s="4" t="s">
        <v>77</v>
      </c>
      <c r="F220" s="4" t="s">
        <v>41</v>
      </c>
      <c r="G220" s="4" t="s">
        <v>33</v>
      </c>
      <c r="H220" s="4" t="s">
        <v>53</v>
      </c>
      <c r="I220" s="4" t="s">
        <v>50</v>
      </c>
      <c r="J220" s="4" t="s">
        <v>36</v>
      </c>
      <c r="K220" s="6">
        <v>1414940</v>
      </c>
      <c r="L220" s="4" t="s">
        <v>37</v>
      </c>
    </row>
    <row r="221" spans="1:12">
      <c r="A221" s="4" t="s">
        <v>243</v>
      </c>
      <c r="B221" s="14">
        <v>1</v>
      </c>
      <c r="C221" s="10">
        <v>46158</v>
      </c>
      <c r="D221" s="4" t="s">
        <v>184</v>
      </c>
      <c r="E221" s="4" t="s">
        <v>68</v>
      </c>
      <c r="F221" s="4" t="s">
        <v>41</v>
      </c>
      <c r="G221" s="4" t="s">
        <v>33</v>
      </c>
      <c r="H221" s="4" t="s">
        <v>43</v>
      </c>
      <c r="I221" s="4" t="s">
        <v>62</v>
      </c>
      <c r="J221" s="4" t="s">
        <v>36</v>
      </c>
      <c r="K221" s="6">
        <v>848519</v>
      </c>
      <c r="L221" s="4" t="s">
        <v>37</v>
      </c>
    </row>
    <row r="222" spans="1:12">
      <c r="A222" s="4" t="s">
        <v>263</v>
      </c>
      <c r="B222" s="14">
        <v>1</v>
      </c>
      <c r="C222" s="10">
        <v>46055</v>
      </c>
      <c r="D222" s="4" t="s">
        <v>264</v>
      </c>
      <c r="E222" s="4" t="s">
        <v>60</v>
      </c>
      <c r="F222" s="4" t="s">
        <v>41</v>
      </c>
      <c r="G222" s="4" t="s">
        <v>61</v>
      </c>
      <c r="H222" s="4" t="s">
        <v>78</v>
      </c>
      <c r="I222" s="4" t="s">
        <v>35</v>
      </c>
      <c r="J222" s="4" t="s">
        <v>36</v>
      </c>
      <c r="K222" s="6">
        <v>693942</v>
      </c>
      <c r="L222" s="4" t="s">
        <v>37</v>
      </c>
    </row>
    <row r="223" spans="1:12">
      <c r="A223" s="4" t="s">
        <v>102</v>
      </c>
      <c r="B223" s="14">
        <v>1</v>
      </c>
      <c r="C223" s="10">
        <v>46152</v>
      </c>
      <c r="D223" s="4" t="s">
        <v>103</v>
      </c>
      <c r="E223" s="4" t="s">
        <v>47</v>
      </c>
      <c r="F223" s="4" t="s">
        <v>41</v>
      </c>
      <c r="G223" s="4" t="s">
        <v>61</v>
      </c>
      <c r="H223" s="4" t="s">
        <v>43</v>
      </c>
      <c r="I223" s="4" t="s">
        <v>35</v>
      </c>
      <c r="J223" s="4" t="s">
        <v>57</v>
      </c>
      <c r="K223" s="6">
        <v>916183</v>
      </c>
      <c r="L223" s="4" t="s">
        <v>37</v>
      </c>
    </row>
    <row r="224" spans="1:12">
      <c r="A224" s="4" t="s">
        <v>154</v>
      </c>
      <c r="B224" s="14">
        <v>1</v>
      </c>
      <c r="C224" s="10">
        <v>46112</v>
      </c>
      <c r="D224" s="4" t="s">
        <v>155</v>
      </c>
      <c r="E224" s="4" t="s">
        <v>40</v>
      </c>
      <c r="F224" s="4" t="s">
        <v>41</v>
      </c>
      <c r="G224" s="4" t="s">
        <v>61</v>
      </c>
      <c r="H224" s="4" t="s">
        <v>43</v>
      </c>
      <c r="I224" s="4" t="s">
        <v>62</v>
      </c>
      <c r="J224" s="4" t="s">
        <v>36</v>
      </c>
      <c r="K224" s="6">
        <v>582994</v>
      </c>
      <c r="L224" s="4" t="s">
        <v>37</v>
      </c>
    </row>
    <row r="225" spans="1:12">
      <c r="A225" s="4" t="s">
        <v>446</v>
      </c>
      <c r="B225" s="14">
        <v>1</v>
      </c>
      <c r="C225" s="10">
        <v>46150</v>
      </c>
      <c r="D225" s="4" t="s">
        <v>447</v>
      </c>
      <c r="E225" s="4" t="s">
        <v>60</v>
      </c>
      <c r="F225" s="4" t="s">
        <v>41</v>
      </c>
      <c r="G225" s="4" t="s">
        <v>72</v>
      </c>
      <c r="H225" s="4" t="s">
        <v>53</v>
      </c>
      <c r="I225" s="4" t="s">
        <v>50</v>
      </c>
      <c r="J225" s="4" t="s">
        <v>36</v>
      </c>
      <c r="K225" s="6">
        <v>539066</v>
      </c>
      <c r="L225" s="4" t="s">
        <v>37</v>
      </c>
    </row>
    <row r="226" spans="1:12">
      <c r="A226" s="4" t="s">
        <v>523</v>
      </c>
      <c r="B226" s="14">
        <v>1</v>
      </c>
      <c r="C226" s="10">
        <v>46055</v>
      </c>
      <c r="D226" s="4" t="s">
        <v>248</v>
      </c>
      <c r="E226" s="4" t="s">
        <v>68</v>
      </c>
      <c r="F226" s="4" t="s">
        <v>41</v>
      </c>
      <c r="G226" s="4" t="s">
        <v>33</v>
      </c>
      <c r="H226" s="4" t="s">
        <v>34</v>
      </c>
      <c r="I226" s="4" t="s">
        <v>35</v>
      </c>
      <c r="J226" s="4" t="s">
        <v>57</v>
      </c>
      <c r="K226" s="6">
        <v>1076657</v>
      </c>
      <c r="L226" s="4" t="s">
        <v>37</v>
      </c>
    </row>
    <row r="227" spans="1:12">
      <c r="A227" s="4" t="s">
        <v>197</v>
      </c>
      <c r="B227" s="14">
        <v>1</v>
      </c>
      <c r="C227" s="10">
        <v>46184</v>
      </c>
      <c r="D227" s="4" t="s">
        <v>198</v>
      </c>
      <c r="E227" s="4" t="s">
        <v>47</v>
      </c>
      <c r="F227" s="4" t="s">
        <v>41</v>
      </c>
      <c r="G227" s="4" t="s">
        <v>61</v>
      </c>
      <c r="H227" s="4" t="s">
        <v>43</v>
      </c>
      <c r="I227" s="4" t="s">
        <v>50</v>
      </c>
      <c r="J227" s="4" t="s">
        <v>36</v>
      </c>
      <c r="K227" s="6">
        <v>1483441</v>
      </c>
      <c r="L227" s="4" t="s">
        <v>37</v>
      </c>
    </row>
    <row r="228" spans="1:12">
      <c r="A228" s="4" t="s">
        <v>524</v>
      </c>
      <c r="B228" s="14">
        <v>1</v>
      </c>
      <c r="C228" s="10">
        <v>46164</v>
      </c>
      <c r="D228" s="4" t="s">
        <v>525</v>
      </c>
      <c r="E228" s="4" t="s">
        <v>60</v>
      </c>
      <c r="F228" s="4" t="s">
        <v>41</v>
      </c>
      <c r="G228" s="4" t="s">
        <v>49</v>
      </c>
      <c r="H228" s="4" t="s">
        <v>65</v>
      </c>
      <c r="I228" s="4" t="s">
        <v>35</v>
      </c>
      <c r="J228" s="4" t="s">
        <v>36</v>
      </c>
      <c r="K228" s="6">
        <v>1429904</v>
      </c>
      <c r="L228" s="4" t="s">
        <v>37</v>
      </c>
    </row>
    <row r="229" spans="1:12">
      <c r="A229" s="4" t="s">
        <v>442</v>
      </c>
      <c r="B229" s="14">
        <v>1</v>
      </c>
      <c r="C229" s="10">
        <v>46074</v>
      </c>
      <c r="D229" s="4" t="s">
        <v>228</v>
      </c>
      <c r="E229" s="4" t="s">
        <v>47</v>
      </c>
      <c r="F229" s="4" t="s">
        <v>41</v>
      </c>
      <c r="G229" s="4" t="s">
        <v>61</v>
      </c>
      <c r="H229" s="4" t="s">
        <v>43</v>
      </c>
      <c r="I229" s="4" t="s">
        <v>62</v>
      </c>
      <c r="J229" s="4" t="s">
        <v>57</v>
      </c>
      <c r="K229" s="6">
        <v>616088</v>
      </c>
      <c r="L229" s="4" t="s">
        <v>37</v>
      </c>
    </row>
    <row r="230" spans="1:12">
      <c r="A230" s="4" t="s">
        <v>518</v>
      </c>
      <c r="B230" s="14">
        <v>1</v>
      </c>
      <c r="C230" s="10">
        <v>46185</v>
      </c>
      <c r="D230" s="4" t="s">
        <v>519</v>
      </c>
      <c r="E230" s="4" t="s">
        <v>60</v>
      </c>
      <c r="F230" s="4" t="s">
        <v>41</v>
      </c>
      <c r="G230" s="4" t="s">
        <v>33</v>
      </c>
      <c r="H230" s="4" t="s">
        <v>34</v>
      </c>
      <c r="I230" s="4" t="s">
        <v>50</v>
      </c>
      <c r="J230" s="4" t="s">
        <v>36</v>
      </c>
      <c r="K230" s="6">
        <v>510385</v>
      </c>
      <c r="L230" s="4" t="s">
        <v>37</v>
      </c>
    </row>
    <row r="231" spans="1:12">
      <c r="A231" s="4" t="s">
        <v>146</v>
      </c>
      <c r="B231" s="14">
        <v>1</v>
      </c>
      <c r="C231" s="10">
        <v>46111</v>
      </c>
      <c r="D231" s="4" t="s">
        <v>147</v>
      </c>
      <c r="E231" s="4" t="s">
        <v>60</v>
      </c>
      <c r="F231" s="4" t="s">
        <v>41</v>
      </c>
      <c r="G231" s="4" t="s">
        <v>61</v>
      </c>
      <c r="H231" s="4" t="s">
        <v>65</v>
      </c>
      <c r="I231" s="4" t="s">
        <v>50</v>
      </c>
      <c r="J231" s="4" t="s">
        <v>36</v>
      </c>
      <c r="K231" s="6">
        <v>1102330</v>
      </c>
      <c r="L231" s="4" t="s">
        <v>37</v>
      </c>
    </row>
    <row r="232" spans="1:12">
      <c r="A232" s="4" t="s">
        <v>150</v>
      </c>
      <c r="B232" s="14">
        <v>1</v>
      </c>
      <c r="C232" s="10">
        <v>46036</v>
      </c>
      <c r="D232" s="4" t="s">
        <v>151</v>
      </c>
      <c r="E232" s="4" t="s">
        <v>77</v>
      </c>
      <c r="F232" s="4" t="s">
        <v>41</v>
      </c>
      <c r="G232" s="4" t="s">
        <v>49</v>
      </c>
      <c r="H232" s="4" t="s">
        <v>43</v>
      </c>
      <c r="I232" s="4" t="s">
        <v>35</v>
      </c>
      <c r="J232" s="4" t="s">
        <v>57</v>
      </c>
      <c r="K232" s="6">
        <v>1165488</v>
      </c>
      <c r="L232" s="4" t="s">
        <v>37</v>
      </c>
    </row>
    <row r="233" spans="1:12">
      <c r="A233" s="4" t="s">
        <v>235</v>
      </c>
      <c r="B233" s="14">
        <v>1</v>
      </c>
      <c r="C233" s="10">
        <v>46151</v>
      </c>
      <c r="D233" s="4" t="s">
        <v>97</v>
      </c>
      <c r="E233" s="4" t="s">
        <v>60</v>
      </c>
      <c r="F233" s="4" t="s">
        <v>41</v>
      </c>
      <c r="G233" s="4" t="s">
        <v>33</v>
      </c>
      <c r="H233" s="4" t="s">
        <v>65</v>
      </c>
      <c r="I233" s="4" t="s">
        <v>35</v>
      </c>
      <c r="J233" s="4" t="s">
        <v>36</v>
      </c>
      <c r="K233" s="6">
        <v>1188040</v>
      </c>
      <c r="L233" s="4" t="s">
        <v>37</v>
      </c>
    </row>
    <row r="234" spans="1:12">
      <c r="A234" s="4" t="s">
        <v>529</v>
      </c>
      <c r="B234" s="14">
        <v>1</v>
      </c>
      <c r="C234" s="10">
        <v>46150</v>
      </c>
      <c r="D234" s="4" t="s">
        <v>340</v>
      </c>
      <c r="E234" s="4" t="s">
        <v>31</v>
      </c>
      <c r="F234" s="4" t="s">
        <v>41</v>
      </c>
      <c r="G234" s="4" t="s">
        <v>61</v>
      </c>
      <c r="H234" s="4" t="s">
        <v>78</v>
      </c>
      <c r="I234" s="4" t="s">
        <v>62</v>
      </c>
      <c r="J234" s="4" t="s">
        <v>36</v>
      </c>
      <c r="K234" s="6">
        <v>1210248</v>
      </c>
      <c r="L234" s="4" t="s">
        <v>37</v>
      </c>
    </row>
    <row r="235" spans="1:12">
      <c r="A235" s="4" t="s">
        <v>541</v>
      </c>
      <c r="B235" s="14">
        <v>1</v>
      </c>
      <c r="C235" s="10">
        <v>46141</v>
      </c>
      <c r="D235" s="4" t="s">
        <v>391</v>
      </c>
      <c r="E235" s="4" t="s">
        <v>77</v>
      </c>
      <c r="F235" s="4" t="s">
        <v>41</v>
      </c>
      <c r="G235" s="4" t="s">
        <v>61</v>
      </c>
      <c r="H235" s="4" t="s">
        <v>53</v>
      </c>
      <c r="I235" s="4" t="s">
        <v>62</v>
      </c>
      <c r="J235" s="4" t="s">
        <v>36</v>
      </c>
      <c r="K235" s="6">
        <v>308635</v>
      </c>
      <c r="L235" s="4" t="s">
        <v>37</v>
      </c>
    </row>
    <row r="236" spans="1:12">
      <c r="A236" s="4" t="s">
        <v>477</v>
      </c>
      <c r="B236" s="14">
        <v>1</v>
      </c>
      <c r="C236" s="10">
        <v>46059</v>
      </c>
      <c r="D236" s="4" t="s">
        <v>357</v>
      </c>
      <c r="E236" s="4" t="s">
        <v>60</v>
      </c>
      <c r="F236" s="4" t="s">
        <v>41</v>
      </c>
      <c r="G236" s="4" t="s">
        <v>33</v>
      </c>
      <c r="H236" s="4" t="s">
        <v>43</v>
      </c>
      <c r="I236" s="4" t="s">
        <v>50</v>
      </c>
      <c r="J236" s="4" t="s">
        <v>36</v>
      </c>
      <c r="K236" s="6">
        <v>833441</v>
      </c>
      <c r="L236" s="4" t="s">
        <v>37</v>
      </c>
    </row>
    <row r="237" spans="1:12">
      <c r="A237" s="4" t="s">
        <v>349</v>
      </c>
      <c r="B237" s="14">
        <v>1</v>
      </c>
      <c r="C237" s="10">
        <v>46151</v>
      </c>
      <c r="D237" s="4" t="s">
        <v>350</v>
      </c>
      <c r="E237" s="4" t="s">
        <v>68</v>
      </c>
      <c r="F237" s="4" t="s">
        <v>41</v>
      </c>
      <c r="G237" s="4" t="s">
        <v>72</v>
      </c>
      <c r="H237" s="4" t="s">
        <v>34</v>
      </c>
      <c r="I237" s="4" t="s">
        <v>62</v>
      </c>
      <c r="J237" s="4" t="s">
        <v>36</v>
      </c>
      <c r="K237" s="6">
        <v>80447</v>
      </c>
      <c r="L237" s="4" t="s">
        <v>37</v>
      </c>
    </row>
    <row r="238" spans="1:12">
      <c r="A238" s="4" t="s">
        <v>448</v>
      </c>
      <c r="B238" s="14">
        <v>1</v>
      </c>
      <c r="C238" s="10">
        <v>46061</v>
      </c>
      <c r="D238" s="4" t="s">
        <v>111</v>
      </c>
      <c r="E238" s="4" t="s">
        <v>77</v>
      </c>
      <c r="F238" s="4" t="s">
        <v>41</v>
      </c>
      <c r="G238" s="4" t="s">
        <v>72</v>
      </c>
      <c r="H238" s="4" t="s">
        <v>65</v>
      </c>
      <c r="I238" s="4" t="s">
        <v>50</v>
      </c>
      <c r="J238" s="4" t="s">
        <v>36</v>
      </c>
      <c r="K238" s="6">
        <v>708003</v>
      </c>
      <c r="L238" s="4" t="s">
        <v>37</v>
      </c>
    </row>
    <row r="239" spans="1:12">
      <c r="A239" s="4" t="s">
        <v>451</v>
      </c>
      <c r="B239" s="14">
        <v>1</v>
      </c>
      <c r="C239" s="10">
        <v>46126</v>
      </c>
      <c r="D239" s="4" t="s">
        <v>192</v>
      </c>
      <c r="E239" s="4" t="s">
        <v>77</v>
      </c>
      <c r="F239" s="4" t="s">
        <v>41</v>
      </c>
      <c r="G239" s="4" t="s">
        <v>61</v>
      </c>
      <c r="H239" s="4" t="s">
        <v>65</v>
      </c>
      <c r="I239" s="4" t="s">
        <v>35</v>
      </c>
      <c r="J239" s="4" t="s">
        <v>44</v>
      </c>
      <c r="K239" s="6">
        <v>855113</v>
      </c>
      <c r="L239" s="4" t="s">
        <v>37</v>
      </c>
    </row>
    <row r="240" spans="1:12">
      <c r="A240" s="4" t="s">
        <v>85</v>
      </c>
      <c r="B240" s="14">
        <v>1</v>
      </c>
      <c r="C240" s="10">
        <v>46174</v>
      </c>
      <c r="D240" s="4" t="s">
        <v>86</v>
      </c>
      <c r="E240" s="4" t="s">
        <v>47</v>
      </c>
      <c r="F240" s="4" t="s">
        <v>41</v>
      </c>
      <c r="G240" s="4" t="s">
        <v>72</v>
      </c>
      <c r="H240" s="4" t="s">
        <v>53</v>
      </c>
      <c r="I240" s="4" t="s">
        <v>62</v>
      </c>
      <c r="J240" s="4" t="s">
        <v>36</v>
      </c>
      <c r="K240" s="6">
        <v>229830</v>
      </c>
      <c r="L240" s="4" t="s">
        <v>37</v>
      </c>
    </row>
    <row r="241" spans="1:12">
      <c r="A241" s="4" t="s">
        <v>430</v>
      </c>
      <c r="B241" s="14">
        <v>1</v>
      </c>
      <c r="C241" s="10">
        <v>46115</v>
      </c>
      <c r="D241" s="4" t="s">
        <v>431</v>
      </c>
      <c r="E241" s="4" t="s">
        <v>40</v>
      </c>
      <c r="F241" s="4" t="s">
        <v>41</v>
      </c>
      <c r="G241" s="4" t="s">
        <v>49</v>
      </c>
      <c r="H241" s="4" t="s">
        <v>78</v>
      </c>
      <c r="I241" s="4" t="s">
        <v>35</v>
      </c>
      <c r="J241" s="4" t="s">
        <v>36</v>
      </c>
      <c r="K241" s="6">
        <v>123997</v>
      </c>
      <c r="L241" s="4" t="s">
        <v>37</v>
      </c>
    </row>
    <row r="242" spans="1:12">
      <c r="A242" s="4" t="s">
        <v>314</v>
      </c>
      <c r="B242" s="14">
        <v>1</v>
      </c>
      <c r="C242" s="10">
        <v>46165</v>
      </c>
      <c r="D242" s="4" t="s">
        <v>315</v>
      </c>
      <c r="E242" s="4" t="s">
        <v>77</v>
      </c>
      <c r="F242" s="4" t="s">
        <v>41</v>
      </c>
      <c r="G242" s="4" t="s">
        <v>33</v>
      </c>
      <c r="H242" s="4" t="s">
        <v>65</v>
      </c>
      <c r="I242" s="4" t="s">
        <v>35</v>
      </c>
      <c r="J242" s="4" t="s">
        <v>36</v>
      </c>
      <c r="K242" s="6">
        <v>1033581</v>
      </c>
      <c r="L242" s="4" t="s">
        <v>37</v>
      </c>
    </row>
    <row r="243" spans="1:12">
      <c r="A243" s="4" t="s">
        <v>542</v>
      </c>
      <c r="B243" s="14">
        <v>1</v>
      </c>
      <c r="C243" s="10">
        <v>46044</v>
      </c>
      <c r="D243" s="4" t="s">
        <v>394</v>
      </c>
      <c r="E243" s="4" t="s">
        <v>68</v>
      </c>
      <c r="F243" s="4" t="s">
        <v>41</v>
      </c>
      <c r="G243" s="4" t="s">
        <v>72</v>
      </c>
      <c r="H243" s="4" t="s">
        <v>65</v>
      </c>
      <c r="I243" s="4" t="s">
        <v>35</v>
      </c>
      <c r="J243" s="4" t="s">
        <v>36</v>
      </c>
      <c r="K243" s="6">
        <v>1172647</v>
      </c>
      <c r="L243" s="4" t="s">
        <v>37</v>
      </c>
    </row>
    <row r="244" spans="1:12">
      <c r="A244" s="4" t="s">
        <v>393</v>
      </c>
      <c r="B244" s="14">
        <v>1</v>
      </c>
      <c r="C244" s="10">
        <v>46135</v>
      </c>
      <c r="D244" s="4" t="s">
        <v>394</v>
      </c>
      <c r="E244" s="4" t="s">
        <v>68</v>
      </c>
      <c r="F244" s="4" t="s">
        <v>41</v>
      </c>
      <c r="G244" s="4" t="s">
        <v>49</v>
      </c>
      <c r="H244" s="4" t="s">
        <v>78</v>
      </c>
      <c r="I244" s="4" t="s">
        <v>50</v>
      </c>
      <c r="J244" s="4" t="s">
        <v>57</v>
      </c>
      <c r="K244" s="6">
        <v>573156</v>
      </c>
      <c r="L244" s="4" t="s">
        <v>37</v>
      </c>
    </row>
    <row r="245" spans="1:12">
      <c r="A245" s="4" t="s">
        <v>245</v>
      </c>
      <c r="B245" s="14">
        <v>1</v>
      </c>
      <c r="C245" s="10">
        <v>46185</v>
      </c>
      <c r="D245" s="4" t="s">
        <v>246</v>
      </c>
      <c r="E245" s="4" t="s">
        <v>31</v>
      </c>
      <c r="F245" s="4" t="s">
        <v>41</v>
      </c>
      <c r="G245" s="4" t="s">
        <v>49</v>
      </c>
      <c r="H245" s="4" t="s">
        <v>78</v>
      </c>
      <c r="I245" s="4" t="s">
        <v>50</v>
      </c>
      <c r="J245" s="4" t="s">
        <v>36</v>
      </c>
      <c r="K245" s="6">
        <v>1083316</v>
      </c>
      <c r="L245" s="4" t="s">
        <v>37</v>
      </c>
    </row>
    <row r="246" spans="1:12">
      <c r="A246" s="4" t="s">
        <v>38</v>
      </c>
      <c r="B246" s="14">
        <v>1</v>
      </c>
      <c r="C246" s="10">
        <v>46202</v>
      </c>
      <c r="D246" s="4" t="s">
        <v>39</v>
      </c>
      <c r="E246" s="4" t="s">
        <v>40</v>
      </c>
      <c r="F246" s="4" t="s">
        <v>41</v>
      </c>
      <c r="G246" s="4" t="s">
        <v>42</v>
      </c>
      <c r="H246" s="4" t="s">
        <v>43</v>
      </c>
      <c r="I246" s="4" t="s">
        <v>35</v>
      </c>
      <c r="J246" s="4" t="s">
        <v>44</v>
      </c>
      <c r="K246" s="6">
        <v>520641</v>
      </c>
      <c r="L246" s="4" t="s">
        <v>37</v>
      </c>
    </row>
    <row r="247" spans="1:12">
      <c r="A247" s="4" t="s">
        <v>158</v>
      </c>
      <c r="B247" s="14">
        <v>1</v>
      </c>
      <c r="C247" s="10">
        <v>46152</v>
      </c>
      <c r="D247" s="4" t="s">
        <v>159</v>
      </c>
      <c r="E247" s="4" t="s">
        <v>47</v>
      </c>
      <c r="F247" s="4" t="s">
        <v>41</v>
      </c>
      <c r="G247" s="4" t="s">
        <v>72</v>
      </c>
      <c r="H247" s="4" t="s">
        <v>65</v>
      </c>
      <c r="I247" s="4" t="s">
        <v>35</v>
      </c>
      <c r="J247" s="4" t="s">
        <v>57</v>
      </c>
      <c r="K247" s="6">
        <v>396130</v>
      </c>
      <c r="L247" s="4" t="s">
        <v>37</v>
      </c>
    </row>
    <row r="248" spans="1:12">
      <c r="A248" s="4" t="s">
        <v>121</v>
      </c>
      <c r="B248" s="14">
        <v>1</v>
      </c>
      <c r="C248" s="10">
        <v>46197</v>
      </c>
      <c r="D248" s="4" t="s">
        <v>122</v>
      </c>
      <c r="E248" s="4" t="s">
        <v>60</v>
      </c>
      <c r="F248" s="4" t="s">
        <v>41</v>
      </c>
      <c r="G248" s="4" t="s">
        <v>61</v>
      </c>
      <c r="H248" s="4" t="s">
        <v>34</v>
      </c>
      <c r="I248" s="4" t="s">
        <v>50</v>
      </c>
      <c r="J248" s="4" t="s">
        <v>36</v>
      </c>
      <c r="K248" s="6">
        <v>1288360</v>
      </c>
      <c r="L248" s="4" t="s">
        <v>37</v>
      </c>
    </row>
    <row r="249" spans="1:12">
      <c r="A249" s="4" t="s">
        <v>366</v>
      </c>
      <c r="B249" s="14">
        <v>1</v>
      </c>
      <c r="C249" s="10">
        <v>46187</v>
      </c>
      <c r="D249" s="4" t="s">
        <v>122</v>
      </c>
      <c r="E249" s="4" t="s">
        <v>60</v>
      </c>
      <c r="F249" s="4" t="s">
        <v>41</v>
      </c>
      <c r="G249" s="4" t="s">
        <v>61</v>
      </c>
      <c r="H249" s="4" t="s">
        <v>43</v>
      </c>
      <c r="I249" s="4" t="s">
        <v>35</v>
      </c>
      <c r="J249" s="4" t="s">
        <v>36</v>
      </c>
      <c r="K249" s="6">
        <v>566595</v>
      </c>
      <c r="L249" s="4" t="s">
        <v>37</v>
      </c>
    </row>
    <row r="250" spans="1:12">
      <c r="A250" s="4" t="s">
        <v>312</v>
      </c>
      <c r="B250" s="14">
        <v>1</v>
      </c>
      <c r="C250" s="10">
        <v>46173</v>
      </c>
      <c r="D250" s="4" t="s">
        <v>313</v>
      </c>
      <c r="E250" s="4" t="s">
        <v>77</v>
      </c>
      <c r="F250" s="4" t="s">
        <v>41</v>
      </c>
      <c r="G250" s="4" t="s">
        <v>33</v>
      </c>
      <c r="H250" s="4" t="s">
        <v>34</v>
      </c>
      <c r="I250" s="4" t="s">
        <v>50</v>
      </c>
      <c r="J250" s="4" t="s">
        <v>44</v>
      </c>
      <c r="K250" s="6">
        <v>1423259</v>
      </c>
      <c r="L250" s="4" t="s">
        <v>37</v>
      </c>
    </row>
    <row r="251" spans="1:12">
      <c r="A251" s="4" t="s">
        <v>337</v>
      </c>
      <c r="B251" s="14">
        <v>1</v>
      </c>
      <c r="C251" s="10">
        <v>46066</v>
      </c>
      <c r="D251" s="4" t="s">
        <v>338</v>
      </c>
      <c r="E251" s="4" t="s">
        <v>40</v>
      </c>
      <c r="F251" s="4" t="s">
        <v>41</v>
      </c>
      <c r="G251" s="4" t="s">
        <v>72</v>
      </c>
      <c r="H251" s="4" t="s">
        <v>34</v>
      </c>
      <c r="I251" s="4" t="s">
        <v>50</v>
      </c>
      <c r="J251" s="4" t="s">
        <v>36</v>
      </c>
      <c r="K251" s="6">
        <v>1341210</v>
      </c>
      <c r="L251" s="4" t="s">
        <v>37</v>
      </c>
    </row>
    <row r="252" spans="1:12">
      <c r="A252" s="4" t="s">
        <v>413</v>
      </c>
      <c r="B252" s="14">
        <v>1</v>
      </c>
      <c r="C252" s="10">
        <v>46145</v>
      </c>
      <c r="D252" s="4" t="s">
        <v>153</v>
      </c>
      <c r="E252" s="4" t="s">
        <v>40</v>
      </c>
      <c r="F252" s="4" t="s">
        <v>41</v>
      </c>
      <c r="G252" s="4" t="s">
        <v>33</v>
      </c>
      <c r="H252" s="4" t="s">
        <v>43</v>
      </c>
      <c r="I252" s="4" t="s">
        <v>50</v>
      </c>
      <c r="J252" s="4" t="s">
        <v>57</v>
      </c>
      <c r="K252" s="6">
        <v>480267</v>
      </c>
      <c r="L252" s="4" t="s">
        <v>37</v>
      </c>
    </row>
    <row r="253" spans="1:12">
      <c r="A253" s="4" t="s">
        <v>479</v>
      </c>
      <c r="B253" s="14">
        <v>1</v>
      </c>
      <c r="C253" s="10">
        <v>46031</v>
      </c>
      <c r="D253" s="4" t="s">
        <v>55</v>
      </c>
      <c r="E253" s="4" t="s">
        <v>40</v>
      </c>
      <c r="F253" s="4" t="s">
        <v>41</v>
      </c>
      <c r="G253" s="4" t="s">
        <v>49</v>
      </c>
      <c r="H253" s="4" t="s">
        <v>43</v>
      </c>
      <c r="I253" s="4" t="s">
        <v>62</v>
      </c>
      <c r="J253" s="4" t="s">
        <v>57</v>
      </c>
      <c r="K253" s="6">
        <v>1221364</v>
      </c>
      <c r="L253" s="4" t="s">
        <v>37</v>
      </c>
    </row>
    <row r="254" spans="1:12">
      <c r="A254" s="4" t="s">
        <v>362</v>
      </c>
      <c r="B254" s="14">
        <v>1</v>
      </c>
      <c r="C254" s="10">
        <v>46177</v>
      </c>
      <c r="D254" s="4" t="s">
        <v>295</v>
      </c>
      <c r="E254" s="4" t="s">
        <v>77</v>
      </c>
      <c r="F254" s="4" t="s">
        <v>41</v>
      </c>
      <c r="G254" s="4" t="s">
        <v>49</v>
      </c>
      <c r="H254" s="4" t="s">
        <v>53</v>
      </c>
      <c r="I254" s="4" t="s">
        <v>50</v>
      </c>
      <c r="J254" s="4" t="s">
        <v>36</v>
      </c>
      <c r="K254" s="6">
        <v>457688</v>
      </c>
      <c r="L254" s="4" t="s">
        <v>37</v>
      </c>
    </row>
    <row r="255" spans="1:12">
      <c r="A255" s="4" t="s">
        <v>144</v>
      </c>
      <c r="B255" s="14">
        <v>1</v>
      </c>
      <c r="C255" s="10">
        <v>46154</v>
      </c>
      <c r="D255" s="4" t="s">
        <v>145</v>
      </c>
      <c r="E255" s="4" t="s">
        <v>68</v>
      </c>
      <c r="F255" s="4" t="s">
        <v>41</v>
      </c>
      <c r="G255" s="4" t="s">
        <v>42</v>
      </c>
      <c r="H255" s="4" t="s">
        <v>65</v>
      </c>
      <c r="I255" s="4" t="s">
        <v>62</v>
      </c>
      <c r="J255" s="4" t="s">
        <v>57</v>
      </c>
      <c r="K255" s="6">
        <v>1469541</v>
      </c>
      <c r="L255" s="4" t="s">
        <v>37</v>
      </c>
    </row>
    <row r="256" spans="1:12">
      <c r="A256" s="4" t="s">
        <v>217</v>
      </c>
      <c r="B256" s="14">
        <v>1</v>
      </c>
      <c r="C256" s="10">
        <v>46063</v>
      </c>
      <c r="D256" s="4" t="s">
        <v>218</v>
      </c>
      <c r="E256" s="4" t="s">
        <v>68</v>
      </c>
      <c r="F256" s="4" t="s">
        <v>48</v>
      </c>
      <c r="G256" s="4" t="s">
        <v>49</v>
      </c>
      <c r="H256" s="4" t="s">
        <v>78</v>
      </c>
      <c r="I256" s="4" t="s">
        <v>62</v>
      </c>
      <c r="J256" s="4" t="s">
        <v>36</v>
      </c>
      <c r="K256" s="6">
        <v>1117609</v>
      </c>
      <c r="L256" s="4" t="s">
        <v>37</v>
      </c>
    </row>
    <row r="257" spans="1:12">
      <c r="A257" s="4" t="s">
        <v>333</v>
      </c>
      <c r="B257" s="14">
        <v>1</v>
      </c>
      <c r="C257" s="10">
        <v>46050</v>
      </c>
      <c r="D257" s="4" t="s">
        <v>334</v>
      </c>
      <c r="E257" s="4" t="s">
        <v>47</v>
      </c>
      <c r="F257" s="4" t="s">
        <v>48</v>
      </c>
      <c r="G257" s="4" t="s">
        <v>61</v>
      </c>
      <c r="H257" s="4" t="s">
        <v>65</v>
      </c>
      <c r="I257" s="4" t="s">
        <v>62</v>
      </c>
      <c r="J257" s="4" t="s">
        <v>36</v>
      </c>
      <c r="K257" s="6">
        <v>396874</v>
      </c>
      <c r="L257" s="4" t="s">
        <v>37</v>
      </c>
    </row>
    <row r="258" spans="1:12">
      <c r="A258" s="4" t="s">
        <v>58</v>
      </c>
      <c r="B258" s="14">
        <v>1</v>
      </c>
      <c r="C258" s="10">
        <v>46094</v>
      </c>
      <c r="D258" s="4" t="s">
        <v>59</v>
      </c>
      <c r="E258" s="4" t="s">
        <v>60</v>
      </c>
      <c r="F258" s="4" t="s">
        <v>48</v>
      </c>
      <c r="G258" s="4" t="s">
        <v>61</v>
      </c>
      <c r="H258" s="4" t="s">
        <v>34</v>
      </c>
      <c r="I258" s="4" t="s">
        <v>62</v>
      </c>
      <c r="J258" s="4" t="s">
        <v>36</v>
      </c>
      <c r="K258" s="6">
        <v>929903</v>
      </c>
      <c r="L258" s="4" t="s">
        <v>37</v>
      </c>
    </row>
    <row r="259" spans="1:12">
      <c r="A259" s="4" t="s">
        <v>484</v>
      </c>
      <c r="B259" s="14">
        <v>1</v>
      </c>
      <c r="C259" s="10">
        <v>46153</v>
      </c>
      <c r="D259" s="4" t="s">
        <v>485</v>
      </c>
      <c r="E259" s="4" t="s">
        <v>40</v>
      </c>
      <c r="F259" s="4" t="s">
        <v>48</v>
      </c>
      <c r="G259" s="4" t="s">
        <v>49</v>
      </c>
      <c r="H259" s="4" t="s">
        <v>34</v>
      </c>
      <c r="I259" s="4" t="s">
        <v>62</v>
      </c>
      <c r="J259" s="4" t="s">
        <v>36</v>
      </c>
      <c r="K259" s="6">
        <v>1160868</v>
      </c>
      <c r="L259" s="4" t="s">
        <v>37</v>
      </c>
    </row>
    <row r="260" spans="1:12">
      <c r="A260" s="4" t="s">
        <v>347</v>
      </c>
      <c r="B260" s="14">
        <v>1</v>
      </c>
      <c r="C260" s="10">
        <v>46114</v>
      </c>
      <c r="D260" s="4" t="s">
        <v>348</v>
      </c>
      <c r="E260" s="4" t="s">
        <v>60</v>
      </c>
      <c r="F260" s="4" t="s">
        <v>48</v>
      </c>
      <c r="G260" s="4" t="s">
        <v>42</v>
      </c>
      <c r="H260" s="4" t="s">
        <v>34</v>
      </c>
      <c r="I260" s="4" t="s">
        <v>35</v>
      </c>
      <c r="J260" s="4" t="s">
        <v>57</v>
      </c>
      <c r="K260" s="6">
        <v>361955</v>
      </c>
      <c r="L260" s="4" t="s">
        <v>37</v>
      </c>
    </row>
    <row r="261" spans="1:12">
      <c r="A261" s="4" t="s">
        <v>106</v>
      </c>
      <c r="B261" s="14">
        <v>1</v>
      </c>
      <c r="C261" s="10">
        <v>46183</v>
      </c>
      <c r="D261" s="4" t="s">
        <v>107</v>
      </c>
      <c r="E261" s="4" t="s">
        <v>31</v>
      </c>
      <c r="F261" s="4" t="s">
        <v>48</v>
      </c>
      <c r="G261" s="4" t="s">
        <v>33</v>
      </c>
      <c r="H261" s="4" t="s">
        <v>43</v>
      </c>
      <c r="I261" s="4" t="s">
        <v>35</v>
      </c>
      <c r="J261" s="4" t="s">
        <v>57</v>
      </c>
      <c r="K261" s="6">
        <v>891965</v>
      </c>
      <c r="L261" s="4" t="s">
        <v>37</v>
      </c>
    </row>
    <row r="262" spans="1:12">
      <c r="A262" s="4" t="s">
        <v>527</v>
      </c>
      <c r="B262" s="14">
        <v>1</v>
      </c>
      <c r="C262" s="10">
        <v>46070</v>
      </c>
      <c r="D262" s="4" t="s">
        <v>361</v>
      </c>
      <c r="E262" s="4" t="s">
        <v>60</v>
      </c>
      <c r="F262" s="4" t="s">
        <v>48</v>
      </c>
      <c r="G262" s="4" t="s">
        <v>33</v>
      </c>
      <c r="H262" s="4" t="s">
        <v>34</v>
      </c>
      <c r="I262" s="4" t="s">
        <v>35</v>
      </c>
      <c r="J262" s="4" t="s">
        <v>36</v>
      </c>
      <c r="K262" s="6">
        <v>1487188</v>
      </c>
      <c r="L262" s="4" t="s">
        <v>37</v>
      </c>
    </row>
    <row r="263" spans="1:12">
      <c r="A263" s="4" t="s">
        <v>45</v>
      </c>
      <c r="B263" s="14">
        <v>1</v>
      </c>
      <c r="C263" s="10">
        <v>46115</v>
      </c>
      <c r="D263" s="4" t="s">
        <v>46</v>
      </c>
      <c r="E263" s="4" t="s">
        <v>47</v>
      </c>
      <c r="F263" s="4" t="s">
        <v>48</v>
      </c>
      <c r="G263" s="4" t="s">
        <v>49</v>
      </c>
      <c r="H263" s="4" t="s">
        <v>43</v>
      </c>
      <c r="I263" s="4" t="s">
        <v>50</v>
      </c>
      <c r="J263" s="4" t="s">
        <v>36</v>
      </c>
      <c r="K263" s="6">
        <v>929381</v>
      </c>
      <c r="L263" s="4" t="s">
        <v>37</v>
      </c>
    </row>
    <row r="264" spans="1:12">
      <c r="A264" s="4" t="s">
        <v>440</v>
      </c>
      <c r="B264" s="14">
        <v>1</v>
      </c>
      <c r="C264" s="10">
        <v>46170</v>
      </c>
      <c r="D264" s="4" t="s">
        <v>212</v>
      </c>
      <c r="E264" s="4" t="s">
        <v>31</v>
      </c>
      <c r="F264" s="4" t="s">
        <v>48</v>
      </c>
      <c r="G264" s="4" t="s">
        <v>33</v>
      </c>
      <c r="H264" s="4" t="s">
        <v>78</v>
      </c>
      <c r="I264" s="4" t="s">
        <v>50</v>
      </c>
      <c r="J264" s="4" t="s">
        <v>57</v>
      </c>
      <c r="K264" s="6">
        <v>320040</v>
      </c>
      <c r="L264" s="4" t="s">
        <v>37</v>
      </c>
    </row>
    <row r="265" spans="1:12">
      <c r="A265" s="4" t="s">
        <v>207</v>
      </c>
      <c r="B265" s="14">
        <v>1</v>
      </c>
      <c r="C265" s="10">
        <v>46104</v>
      </c>
      <c r="D265" s="4" t="s">
        <v>136</v>
      </c>
      <c r="E265" s="4" t="s">
        <v>31</v>
      </c>
      <c r="F265" s="4" t="s">
        <v>48</v>
      </c>
      <c r="G265" s="4" t="s">
        <v>33</v>
      </c>
      <c r="H265" s="4" t="s">
        <v>65</v>
      </c>
      <c r="I265" s="4" t="s">
        <v>35</v>
      </c>
      <c r="J265" s="4" t="s">
        <v>36</v>
      </c>
      <c r="K265" s="6">
        <v>206570</v>
      </c>
      <c r="L265" s="4" t="s">
        <v>37</v>
      </c>
    </row>
    <row r="266" spans="1:12">
      <c r="A266" s="4" t="s">
        <v>383</v>
      </c>
      <c r="B266" s="14">
        <v>1</v>
      </c>
      <c r="C266" s="10">
        <v>46034</v>
      </c>
      <c r="D266" s="4" t="s">
        <v>384</v>
      </c>
      <c r="E266" s="4" t="s">
        <v>77</v>
      </c>
      <c r="F266" s="4" t="s">
        <v>48</v>
      </c>
      <c r="G266" s="4" t="s">
        <v>33</v>
      </c>
      <c r="H266" s="4" t="s">
        <v>65</v>
      </c>
      <c r="I266" s="4" t="s">
        <v>35</v>
      </c>
      <c r="J266" s="4" t="s">
        <v>57</v>
      </c>
      <c r="K266" s="6">
        <v>133369</v>
      </c>
      <c r="L266" s="4" t="s">
        <v>37</v>
      </c>
    </row>
    <row r="267" spans="1:12">
      <c r="A267" s="4" t="s">
        <v>465</v>
      </c>
      <c r="B267" s="14">
        <v>1</v>
      </c>
      <c r="C267" s="10">
        <v>46112</v>
      </c>
      <c r="D267" s="4" t="s">
        <v>286</v>
      </c>
      <c r="E267" s="4" t="s">
        <v>40</v>
      </c>
      <c r="F267" s="4" t="s">
        <v>48</v>
      </c>
      <c r="G267" s="4" t="s">
        <v>42</v>
      </c>
      <c r="H267" s="4" t="s">
        <v>53</v>
      </c>
      <c r="I267" s="4" t="s">
        <v>35</v>
      </c>
      <c r="J267" s="4" t="s">
        <v>36</v>
      </c>
      <c r="K267" s="6">
        <v>520670</v>
      </c>
      <c r="L267" s="4" t="s">
        <v>37</v>
      </c>
    </row>
    <row r="268" spans="1:12">
      <c r="A268" s="4" t="s">
        <v>416</v>
      </c>
      <c r="B268" s="14">
        <v>1</v>
      </c>
      <c r="C268" s="10">
        <v>46060</v>
      </c>
      <c r="D268" s="4" t="s">
        <v>417</v>
      </c>
      <c r="E268" s="4" t="s">
        <v>40</v>
      </c>
      <c r="F268" s="4" t="s">
        <v>48</v>
      </c>
      <c r="G268" s="4" t="s">
        <v>61</v>
      </c>
      <c r="H268" s="4" t="s">
        <v>34</v>
      </c>
      <c r="I268" s="4" t="s">
        <v>62</v>
      </c>
      <c r="J268" s="4" t="s">
        <v>57</v>
      </c>
      <c r="K268" s="6">
        <v>981479</v>
      </c>
      <c r="L268" s="4" t="s">
        <v>37</v>
      </c>
    </row>
    <row r="269" spans="1:12">
      <c r="A269" s="4" t="s">
        <v>397</v>
      </c>
      <c r="B269" s="14">
        <v>1</v>
      </c>
      <c r="C269" s="10">
        <v>46135</v>
      </c>
      <c r="D269" s="4" t="s">
        <v>103</v>
      </c>
      <c r="E269" s="4" t="s">
        <v>68</v>
      </c>
      <c r="F269" s="4" t="s">
        <v>48</v>
      </c>
      <c r="G269" s="4" t="s">
        <v>33</v>
      </c>
      <c r="H269" s="4" t="s">
        <v>53</v>
      </c>
      <c r="I269" s="4" t="s">
        <v>50</v>
      </c>
      <c r="J269" s="4" t="s">
        <v>57</v>
      </c>
      <c r="K269" s="6">
        <v>302164</v>
      </c>
      <c r="L269" s="4" t="s">
        <v>37</v>
      </c>
    </row>
    <row r="270" spans="1:12">
      <c r="A270" s="4" t="s">
        <v>114</v>
      </c>
      <c r="B270" s="14">
        <v>1</v>
      </c>
      <c r="C270" s="10">
        <v>46071</v>
      </c>
      <c r="D270" s="4" t="s">
        <v>103</v>
      </c>
      <c r="E270" s="4" t="s">
        <v>68</v>
      </c>
      <c r="F270" s="4" t="s">
        <v>48</v>
      </c>
      <c r="G270" s="4" t="s">
        <v>72</v>
      </c>
      <c r="H270" s="4" t="s">
        <v>34</v>
      </c>
      <c r="I270" s="4" t="s">
        <v>50</v>
      </c>
      <c r="J270" s="4" t="s">
        <v>36</v>
      </c>
      <c r="K270" s="6">
        <v>1061967</v>
      </c>
      <c r="L270" s="4" t="s">
        <v>37</v>
      </c>
    </row>
    <row r="271" spans="1:12">
      <c r="A271" s="4" t="s">
        <v>308</v>
      </c>
      <c r="B271" s="14">
        <v>1</v>
      </c>
      <c r="C271" s="10">
        <v>46118</v>
      </c>
      <c r="D271" s="4" t="s">
        <v>309</v>
      </c>
      <c r="E271" s="4" t="s">
        <v>47</v>
      </c>
      <c r="F271" s="4" t="s">
        <v>48</v>
      </c>
      <c r="G271" s="4" t="s">
        <v>33</v>
      </c>
      <c r="H271" s="4" t="s">
        <v>78</v>
      </c>
      <c r="I271" s="4" t="s">
        <v>50</v>
      </c>
      <c r="J271" s="4" t="s">
        <v>36</v>
      </c>
      <c r="K271" s="6">
        <v>493031</v>
      </c>
      <c r="L271" s="4" t="s">
        <v>37</v>
      </c>
    </row>
    <row r="272" spans="1:12">
      <c r="A272" s="4" t="s">
        <v>117</v>
      </c>
      <c r="B272" s="14">
        <v>1</v>
      </c>
      <c r="C272" s="10">
        <v>46192</v>
      </c>
      <c r="D272" s="4" t="s">
        <v>118</v>
      </c>
      <c r="E272" s="4" t="s">
        <v>31</v>
      </c>
      <c r="F272" s="4" t="s">
        <v>48</v>
      </c>
      <c r="G272" s="4" t="s">
        <v>72</v>
      </c>
      <c r="H272" s="4" t="s">
        <v>43</v>
      </c>
      <c r="I272" s="4" t="s">
        <v>62</v>
      </c>
      <c r="J272" s="4" t="s">
        <v>57</v>
      </c>
      <c r="K272" s="6">
        <v>1156581</v>
      </c>
      <c r="L272" s="4" t="s">
        <v>37</v>
      </c>
    </row>
    <row r="273" spans="1:12">
      <c r="A273" s="4" t="s">
        <v>237</v>
      </c>
      <c r="B273" s="14">
        <v>1</v>
      </c>
      <c r="C273" s="10">
        <v>46085</v>
      </c>
      <c r="D273" s="4" t="s">
        <v>238</v>
      </c>
      <c r="E273" s="4" t="s">
        <v>60</v>
      </c>
      <c r="F273" s="4" t="s">
        <v>48</v>
      </c>
      <c r="G273" s="4" t="s">
        <v>61</v>
      </c>
      <c r="H273" s="4" t="s">
        <v>34</v>
      </c>
      <c r="I273" s="4" t="s">
        <v>50</v>
      </c>
      <c r="J273" s="4" t="s">
        <v>36</v>
      </c>
      <c r="K273" s="6">
        <v>1215898</v>
      </c>
      <c r="L273" s="4" t="s">
        <v>37</v>
      </c>
    </row>
    <row r="274" spans="1:12">
      <c r="A274" s="4" t="s">
        <v>490</v>
      </c>
      <c r="B274" s="14">
        <v>1</v>
      </c>
      <c r="C274" s="10">
        <v>46076</v>
      </c>
      <c r="D274" s="4" t="s">
        <v>238</v>
      </c>
      <c r="E274" s="4" t="s">
        <v>77</v>
      </c>
      <c r="F274" s="4" t="s">
        <v>48</v>
      </c>
      <c r="G274" s="4" t="s">
        <v>42</v>
      </c>
      <c r="H274" s="4" t="s">
        <v>43</v>
      </c>
      <c r="I274" s="4" t="s">
        <v>62</v>
      </c>
      <c r="J274" s="4" t="s">
        <v>36</v>
      </c>
      <c r="K274" s="6">
        <v>1451256</v>
      </c>
      <c r="L274" s="4" t="s">
        <v>37</v>
      </c>
    </row>
    <row r="275" spans="1:12">
      <c r="A275" s="4" t="s">
        <v>328</v>
      </c>
      <c r="B275" s="14">
        <v>1</v>
      </c>
      <c r="C275" s="10">
        <v>46192</v>
      </c>
      <c r="D275" s="4" t="s">
        <v>80</v>
      </c>
      <c r="E275" s="4" t="s">
        <v>40</v>
      </c>
      <c r="F275" s="4" t="s">
        <v>48</v>
      </c>
      <c r="G275" s="4" t="s">
        <v>49</v>
      </c>
      <c r="H275" s="4" t="s">
        <v>34</v>
      </c>
      <c r="I275" s="4" t="s">
        <v>35</v>
      </c>
      <c r="J275" s="4" t="s">
        <v>44</v>
      </c>
      <c r="K275" s="6">
        <v>126256</v>
      </c>
      <c r="L275" s="4" t="s">
        <v>37</v>
      </c>
    </row>
    <row r="276" spans="1:12">
      <c r="A276" s="4" t="s">
        <v>199</v>
      </c>
      <c r="B276" s="14">
        <v>1</v>
      </c>
      <c r="C276" s="10">
        <v>46036</v>
      </c>
      <c r="D276" s="4" t="s">
        <v>200</v>
      </c>
      <c r="E276" s="4" t="s">
        <v>40</v>
      </c>
      <c r="F276" s="4" t="s">
        <v>48</v>
      </c>
      <c r="G276" s="4" t="s">
        <v>33</v>
      </c>
      <c r="H276" s="4" t="s">
        <v>53</v>
      </c>
      <c r="I276" s="4" t="s">
        <v>50</v>
      </c>
      <c r="J276" s="4" t="s">
        <v>36</v>
      </c>
      <c r="K276" s="6">
        <v>739556</v>
      </c>
      <c r="L276" s="4" t="s">
        <v>37</v>
      </c>
    </row>
    <row r="277" spans="1:12">
      <c r="A277" s="4" t="s">
        <v>287</v>
      </c>
      <c r="B277" s="14">
        <v>1</v>
      </c>
      <c r="C277" s="10">
        <v>46027</v>
      </c>
      <c r="D277" s="4" t="s">
        <v>288</v>
      </c>
      <c r="E277" s="4" t="s">
        <v>40</v>
      </c>
      <c r="F277" s="4" t="s">
        <v>48</v>
      </c>
      <c r="G277" s="4" t="s">
        <v>61</v>
      </c>
      <c r="H277" s="4" t="s">
        <v>78</v>
      </c>
      <c r="I277" s="4" t="s">
        <v>35</v>
      </c>
      <c r="J277" s="4" t="s">
        <v>36</v>
      </c>
      <c r="K277" s="6">
        <v>1367363</v>
      </c>
      <c r="L277" s="4" t="s">
        <v>37</v>
      </c>
    </row>
    <row r="278" spans="1:12">
      <c r="A278" s="4" t="s">
        <v>96</v>
      </c>
      <c r="B278" s="14">
        <v>1</v>
      </c>
      <c r="C278" s="10">
        <v>46110</v>
      </c>
      <c r="D278" s="4" t="s">
        <v>97</v>
      </c>
      <c r="E278" s="4" t="s">
        <v>47</v>
      </c>
      <c r="F278" s="4" t="s">
        <v>48</v>
      </c>
      <c r="G278" s="4" t="s">
        <v>72</v>
      </c>
      <c r="H278" s="4" t="s">
        <v>53</v>
      </c>
      <c r="I278" s="4" t="s">
        <v>50</v>
      </c>
      <c r="J278" s="4" t="s">
        <v>36</v>
      </c>
      <c r="K278" s="6">
        <v>1461220</v>
      </c>
      <c r="L278" s="4" t="s">
        <v>37</v>
      </c>
    </row>
    <row r="279" spans="1:12">
      <c r="A279" s="4" t="s">
        <v>345</v>
      </c>
      <c r="B279" s="14">
        <v>1</v>
      </c>
      <c r="C279" s="10">
        <v>46150</v>
      </c>
      <c r="D279" s="4" t="s">
        <v>346</v>
      </c>
      <c r="E279" s="4" t="s">
        <v>47</v>
      </c>
      <c r="F279" s="4" t="s">
        <v>48</v>
      </c>
      <c r="G279" s="4" t="s">
        <v>61</v>
      </c>
      <c r="H279" s="4" t="s">
        <v>65</v>
      </c>
      <c r="I279" s="4" t="s">
        <v>62</v>
      </c>
      <c r="J279" s="4" t="s">
        <v>44</v>
      </c>
      <c r="K279" s="6">
        <v>652272</v>
      </c>
      <c r="L279" s="4" t="s">
        <v>37</v>
      </c>
    </row>
    <row r="280" spans="1:12">
      <c r="A280" s="4" t="s">
        <v>356</v>
      </c>
      <c r="B280" s="14">
        <v>1</v>
      </c>
      <c r="C280" s="10">
        <v>46138</v>
      </c>
      <c r="D280" s="4" t="s">
        <v>357</v>
      </c>
      <c r="E280" s="4" t="s">
        <v>77</v>
      </c>
      <c r="F280" s="4" t="s">
        <v>48</v>
      </c>
      <c r="G280" s="4" t="s">
        <v>49</v>
      </c>
      <c r="H280" s="4" t="s">
        <v>43</v>
      </c>
      <c r="I280" s="4" t="s">
        <v>35</v>
      </c>
      <c r="J280" s="4" t="s">
        <v>57</v>
      </c>
      <c r="K280" s="6">
        <v>691147</v>
      </c>
      <c r="L280" s="4" t="s">
        <v>37</v>
      </c>
    </row>
    <row r="281" spans="1:12">
      <c r="A281" s="4" t="s">
        <v>478</v>
      </c>
      <c r="B281" s="14">
        <v>1</v>
      </c>
      <c r="C281" s="10">
        <v>46182</v>
      </c>
      <c r="D281" s="4" t="s">
        <v>165</v>
      </c>
      <c r="E281" s="4" t="s">
        <v>31</v>
      </c>
      <c r="F281" s="4" t="s">
        <v>48</v>
      </c>
      <c r="G281" s="4" t="s">
        <v>61</v>
      </c>
      <c r="H281" s="4" t="s">
        <v>78</v>
      </c>
      <c r="I281" s="4" t="s">
        <v>50</v>
      </c>
      <c r="J281" s="4" t="s">
        <v>36</v>
      </c>
      <c r="K281" s="6">
        <v>299430</v>
      </c>
      <c r="L281" s="4" t="s">
        <v>37</v>
      </c>
    </row>
    <row r="282" spans="1:12">
      <c r="A282" s="4" t="s">
        <v>160</v>
      </c>
      <c r="B282" s="14">
        <v>1</v>
      </c>
      <c r="C282" s="10">
        <v>46106</v>
      </c>
      <c r="D282" s="4" t="s">
        <v>161</v>
      </c>
      <c r="E282" s="4" t="s">
        <v>60</v>
      </c>
      <c r="F282" s="4" t="s">
        <v>48</v>
      </c>
      <c r="G282" s="4" t="s">
        <v>42</v>
      </c>
      <c r="H282" s="4" t="s">
        <v>65</v>
      </c>
      <c r="I282" s="4" t="s">
        <v>62</v>
      </c>
      <c r="J282" s="4" t="s">
        <v>36</v>
      </c>
      <c r="K282" s="6">
        <v>918374</v>
      </c>
      <c r="L282" s="4" t="s">
        <v>37</v>
      </c>
    </row>
    <row r="283" spans="1:12">
      <c r="A283" s="4" t="s">
        <v>110</v>
      </c>
      <c r="B283" s="14">
        <v>1</v>
      </c>
      <c r="C283" s="10">
        <v>46044</v>
      </c>
      <c r="D283" s="4" t="s">
        <v>111</v>
      </c>
      <c r="E283" s="4" t="s">
        <v>31</v>
      </c>
      <c r="F283" s="4" t="s">
        <v>48</v>
      </c>
      <c r="G283" s="4" t="s">
        <v>49</v>
      </c>
      <c r="H283" s="4" t="s">
        <v>53</v>
      </c>
      <c r="I283" s="4" t="s">
        <v>35</v>
      </c>
      <c r="J283" s="4" t="s">
        <v>36</v>
      </c>
      <c r="K283" s="6">
        <v>682543</v>
      </c>
      <c r="L283" s="4" t="s">
        <v>37</v>
      </c>
    </row>
    <row r="284" spans="1:12">
      <c r="A284" s="4" t="s">
        <v>292</v>
      </c>
      <c r="B284" s="14">
        <v>1</v>
      </c>
      <c r="C284" s="10">
        <v>46049</v>
      </c>
      <c r="D284" s="4" t="s">
        <v>293</v>
      </c>
      <c r="E284" s="4" t="s">
        <v>60</v>
      </c>
      <c r="F284" s="4" t="s">
        <v>48</v>
      </c>
      <c r="G284" s="4" t="s">
        <v>42</v>
      </c>
      <c r="H284" s="4" t="s">
        <v>65</v>
      </c>
      <c r="I284" s="4" t="s">
        <v>62</v>
      </c>
      <c r="J284" s="4" t="s">
        <v>36</v>
      </c>
      <c r="K284" s="6">
        <v>1207655</v>
      </c>
      <c r="L284" s="4" t="s">
        <v>37</v>
      </c>
    </row>
    <row r="285" spans="1:12">
      <c r="A285" s="4" t="s">
        <v>381</v>
      </c>
      <c r="B285" s="14">
        <v>1</v>
      </c>
      <c r="C285" s="10">
        <v>46084</v>
      </c>
      <c r="D285" s="4" t="s">
        <v>222</v>
      </c>
      <c r="E285" s="4" t="s">
        <v>47</v>
      </c>
      <c r="F285" s="4" t="s">
        <v>48</v>
      </c>
      <c r="G285" s="4" t="s">
        <v>61</v>
      </c>
      <c r="H285" s="4" t="s">
        <v>78</v>
      </c>
      <c r="I285" s="4" t="s">
        <v>35</v>
      </c>
      <c r="J285" s="4" t="s">
        <v>57</v>
      </c>
      <c r="K285" s="6">
        <v>103072</v>
      </c>
      <c r="L285" s="4" t="s">
        <v>37</v>
      </c>
    </row>
    <row r="286" spans="1:12">
      <c r="A286" s="4" t="s">
        <v>535</v>
      </c>
      <c r="B286" s="14">
        <v>1</v>
      </c>
      <c r="C286" s="10">
        <v>46150</v>
      </c>
      <c r="D286" s="4" t="s">
        <v>536</v>
      </c>
      <c r="E286" s="4" t="s">
        <v>60</v>
      </c>
      <c r="F286" s="4" t="s">
        <v>48</v>
      </c>
      <c r="G286" s="4" t="s">
        <v>72</v>
      </c>
      <c r="H286" s="4" t="s">
        <v>65</v>
      </c>
      <c r="I286" s="4" t="s">
        <v>62</v>
      </c>
      <c r="J286" s="4" t="s">
        <v>36</v>
      </c>
      <c r="K286" s="6">
        <v>914690</v>
      </c>
      <c r="L286" s="4" t="s">
        <v>37</v>
      </c>
    </row>
    <row r="287" spans="1:12">
      <c r="A287" s="4" t="s">
        <v>186</v>
      </c>
      <c r="B287" s="14">
        <v>1</v>
      </c>
      <c r="C287" s="10">
        <v>46076</v>
      </c>
      <c r="D287" s="4" t="s">
        <v>187</v>
      </c>
      <c r="E287" s="4" t="s">
        <v>60</v>
      </c>
      <c r="F287" s="4" t="s">
        <v>48</v>
      </c>
      <c r="G287" s="4" t="s">
        <v>49</v>
      </c>
      <c r="H287" s="4" t="s">
        <v>78</v>
      </c>
      <c r="I287" s="4" t="s">
        <v>50</v>
      </c>
      <c r="J287" s="4" t="s">
        <v>57</v>
      </c>
      <c r="K287" s="6">
        <v>525584</v>
      </c>
      <c r="L287" s="4" t="s">
        <v>37</v>
      </c>
    </row>
    <row r="288" spans="1:12">
      <c r="A288" s="4" t="s">
        <v>370</v>
      </c>
      <c r="B288" s="14">
        <v>1</v>
      </c>
      <c r="C288" s="10">
        <v>46174</v>
      </c>
      <c r="D288" s="4" t="s">
        <v>187</v>
      </c>
      <c r="E288" s="4" t="s">
        <v>40</v>
      </c>
      <c r="F288" s="4" t="s">
        <v>48</v>
      </c>
      <c r="G288" s="4" t="s">
        <v>49</v>
      </c>
      <c r="H288" s="4" t="s">
        <v>78</v>
      </c>
      <c r="I288" s="4" t="s">
        <v>50</v>
      </c>
      <c r="J288" s="4" t="s">
        <v>36</v>
      </c>
      <c r="K288" s="6">
        <v>1145426</v>
      </c>
      <c r="L288" s="4" t="s">
        <v>37</v>
      </c>
    </row>
    <row r="289" spans="1:12">
      <c r="A289" s="4" t="s">
        <v>457</v>
      </c>
      <c r="B289" s="14">
        <v>1</v>
      </c>
      <c r="C289" s="10">
        <v>46181</v>
      </c>
      <c r="D289" s="4" t="s">
        <v>187</v>
      </c>
      <c r="E289" s="4" t="s">
        <v>47</v>
      </c>
      <c r="F289" s="4" t="s">
        <v>48</v>
      </c>
      <c r="G289" s="4" t="s">
        <v>49</v>
      </c>
      <c r="H289" s="4" t="s">
        <v>43</v>
      </c>
      <c r="I289" s="4" t="s">
        <v>50</v>
      </c>
      <c r="J289" s="4" t="s">
        <v>36</v>
      </c>
      <c r="K289" s="6">
        <v>803158</v>
      </c>
      <c r="L289" s="4" t="s">
        <v>37</v>
      </c>
    </row>
    <row r="290" spans="1:12">
      <c r="A290" s="4" t="s">
        <v>385</v>
      </c>
      <c r="B290" s="14">
        <v>1</v>
      </c>
      <c r="C290" s="10">
        <v>46061</v>
      </c>
      <c r="D290" s="4" t="s">
        <v>386</v>
      </c>
      <c r="E290" s="4" t="s">
        <v>68</v>
      </c>
      <c r="F290" s="4" t="s">
        <v>48</v>
      </c>
      <c r="G290" s="4" t="s">
        <v>49</v>
      </c>
      <c r="H290" s="4" t="s">
        <v>78</v>
      </c>
      <c r="I290" s="4" t="s">
        <v>35</v>
      </c>
      <c r="J290" s="4" t="s">
        <v>36</v>
      </c>
      <c r="K290" s="6">
        <v>861554</v>
      </c>
      <c r="L290" s="4" t="s">
        <v>37</v>
      </c>
    </row>
    <row r="291" spans="1:12">
      <c r="A291" s="4" t="s">
        <v>133</v>
      </c>
      <c r="B291" s="14">
        <v>1</v>
      </c>
      <c r="C291" s="10">
        <v>46073</v>
      </c>
      <c r="D291" s="4" t="s">
        <v>134</v>
      </c>
      <c r="E291" s="4" t="s">
        <v>68</v>
      </c>
      <c r="F291" s="4" t="s">
        <v>48</v>
      </c>
      <c r="G291" s="4" t="s">
        <v>42</v>
      </c>
      <c r="H291" s="4" t="s">
        <v>65</v>
      </c>
      <c r="I291" s="4" t="s">
        <v>50</v>
      </c>
      <c r="J291" s="4" t="s">
        <v>36</v>
      </c>
      <c r="K291" s="6">
        <v>367875</v>
      </c>
      <c r="L291" s="4" t="s">
        <v>37</v>
      </c>
    </row>
    <row r="292" spans="1:12">
      <c r="A292" s="4" t="s">
        <v>432</v>
      </c>
      <c r="B292" s="14">
        <v>1</v>
      </c>
      <c r="C292" s="10">
        <v>46025</v>
      </c>
      <c r="D292" s="4" t="s">
        <v>134</v>
      </c>
      <c r="E292" s="4" t="s">
        <v>77</v>
      </c>
      <c r="F292" s="4" t="s">
        <v>48</v>
      </c>
      <c r="G292" s="4" t="s">
        <v>61</v>
      </c>
      <c r="H292" s="4" t="s">
        <v>53</v>
      </c>
      <c r="I292" s="4" t="s">
        <v>35</v>
      </c>
      <c r="J292" s="4" t="s">
        <v>36</v>
      </c>
      <c r="K292" s="6">
        <v>198087</v>
      </c>
      <c r="L292" s="4" t="s">
        <v>37</v>
      </c>
    </row>
    <row r="293" spans="1:12">
      <c r="A293" s="4" t="s">
        <v>326</v>
      </c>
      <c r="B293" s="14">
        <v>1</v>
      </c>
      <c r="C293" s="10">
        <v>46050</v>
      </c>
      <c r="D293" s="4" t="s">
        <v>134</v>
      </c>
      <c r="E293" s="4" t="s">
        <v>47</v>
      </c>
      <c r="F293" s="4" t="s">
        <v>48</v>
      </c>
      <c r="G293" s="4" t="s">
        <v>72</v>
      </c>
      <c r="H293" s="4" t="s">
        <v>34</v>
      </c>
      <c r="I293" s="4" t="s">
        <v>62</v>
      </c>
      <c r="J293" s="4" t="s">
        <v>57</v>
      </c>
      <c r="K293" s="6">
        <v>340998</v>
      </c>
      <c r="L293" s="4" t="s">
        <v>37</v>
      </c>
    </row>
    <row r="294" spans="1:12">
      <c r="A294" s="4" t="s">
        <v>388</v>
      </c>
      <c r="B294" s="14">
        <v>1</v>
      </c>
      <c r="C294" s="10">
        <v>46153</v>
      </c>
      <c r="D294" s="4" t="s">
        <v>389</v>
      </c>
      <c r="E294" s="4" t="s">
        <v>47</v>
      </c>
      <c r="F294" s="4" t="s">
        <v>48</v>
      </c>
      <c r="G294" s="4" t="s">
        <v>61</v>
      </c>
      <c r="H294" s="4" t="s">
        <v>78</v>
      </c>
      <c r="I294" s="4" t="s">
        <v>62</v>
      </c>
      <c r="J294" s="4" t="s">
        <v>36</v>
      </c>
      <c r="K294" s="6">
        <v>637100</v>
      </c>
      <c r="L294" s="4" t="s">
        <v>37</v>
      </c>
    </row>
    <row r="295" spans="1:12">
      <c r="A295" s="4" t="s">
        <v>51</v>
      </c>
      <c r="B295" s="14">
        <v>1</v>
      </c>
      <c r="C295" s="10">
        <v>46037</v>
      </c>
      <c r="D295" s="4" t="s">
        <v>52</v>
      </c>
      <c r="E295" s="4" t="s">
        <v>40</v>
      </c>
      <c r="F295" s="4" t="s">
        <v>48</v>
      </c>
      <c r="G295" s="4" t="s">
        <v>42</v>
      </c>
      <c r="H295" s="4" t="s">
        <v>53</v>
      </c>
      <c r="I295" s="4" t="s">
        <v>50</v>
      </c>
      <c r="J295" s="4" t="s">
        <v>36</v>
      </c>
      <c r="K295" s="6">
        <v>457507</v>
      </c>
      <c r="L295" s="4" t="s">
        <v>37</v>
      </c>
    </row>
    <row r="296" spans="1:12">
      <c r="A296" s="4" t="s">
        <v>152</v>
      </c>
      <c r="B296" s="14">
        <v>1</v>
      </c>
      <c r="C296" s="10">
        <v>46031</v>
      </c>
      <c r="D296" s="4" t="s">
        <v>153</v>
      </c>
      <c r="E296" s="4" t="s">
        <v>68</v>
      </c>
      <c r="F296" s="4" t="s">
        <v>48</v>
      </c>
      <c r="G296" s="4" t="s">
        <v>33</v>
      </c>
      <c r="H296" s="4" t="s">
        <v>34</v>
      </c>
      <c r="I296" s="4" t="s">
        <v>50</v>
      </c>
      <c r="J296" s="4" t="s">
        <v>36</v>
      </c>
      <c r="K296" s="6">
        <v>306695</v>
      </c>
      <c r="L296" s="4" t="s">
        <v>37</v>
      </c>
    </row>
    <row r="297" spans="1:12">
      <c r="A297" s="4" t="s">
        <v>387</v>
      </c>
      <c r="B297" s="14">
        <v>1</v>
      </c>
      <c r="C297" s="10">
        <v>46152</v>
      </c>
      <c r="D297" s="4" t="s">
        <v>67</v>
      </c>
      <c r="E297" s="4" t="s">
        <v>68</v>
      </c>
      <c r="F297" s="4" t="s">
        <v>48</v>
      </c>
      <c r="G297" s="4" t="s">
        <v>33</v>
      </c>
      <c r="H297" s="4" t="s">
        <v>65</v>
      </c>
      <c r="I297" s="4" t="s">
        <v>35</v>
      </c>
      <c r="J297" s="4" t="s">
        <v>36</v>
      </c>
      <c r="K297" s="6">
        <v>787266</v>
      </c>
      <c r="L297" s="4" t="s">
        <v>37</v>
      </c>
    </row>
    <row r="298" spans="1:12">
      <c r="A298" s="4" t="s">
        <v>282</v>
      </c>
      <c r="B298" s="14">
        <v>1</v>
      </c>
      <c r="C298" s="10">
        <v>46197</v>
      </c>
      <c r="D298" s="4" t="s">
        <v>283</v>
      </c>
      <c r="E298" s="4" t="s">
        <v>60</v>
      </c>
      <c r="F298" s="4" t="s">
        <v>48</v>
      </c>
      <c r="G298" s="4" t="s">
        <v>72</v>
      </c>
      <c r="H298" s="4" t="s">
        <v>78</v>
      </c>
      <c r="I298" s="4" t="s">
        <v>50</v>
      </c>
      <c r="J298" s="4" t="s">
        <v>57</v>
      </c>
      <c r="K298" s="6">
        <v>1062237</v>
      </c>
      <c r="L298" s="4" t="s">
        <v>37</v>
      </c>
    </row>
    <row r="299" spans="1:12">
      <c r="A299" s="4" t="s">
        <v>335</v>
      </c>
      <c r="B299" s="14">
        <v>1</v>
      </c>
      <c r="C299" s="10">
        <v>46050</v>
      </c>
      <c r="D299" s="4" t="s">
        <v>109</v>
      </c>
      <c r="E299" s="4" t="s">
        <v>40</v>
      </c>
      <c r="F299" s="4" t="s">
        <v>48</v>
      </c>
      <c r="G299" s="4" t="s">
        <v>42</v>
      </c>
      <c r="H299" s="4" t="s">
        <v>65</v>
      </c>
      <c r="I299" s="4" t="s">
        <v>50</v>
      </c>
      <c r="J299" s="4" t="s">
        <v>36</v>
      </c>
      <c r="K299" s="6">
        <v>468267</v>
      </c>
      <c r="L299" s="4" t="s">
        <v>37</v>
      </c>
    </row>
    <row r="300" spans="1:12">
      <c r="A300" s="4" t="s">
        <v>185</v>
      </c>
      <c r="B300" s="14">
        <v>1</v>
      </c>
      <c r="C300" s="10">
        <v>46156</v>
      </c>
      <c r="D300" s="4" t="s">
        <v>145</v>
      </c>
      <c r="E300" s="4" t="s">
        <v>40</v>
      </c>
      <c r="F300" s="4" t="s">
        <v>48</v>
      </c>
      <c r="G300" s="4" t="s">
        <v>49</v>
      </c>
      <c r="H300" s="4" t="s">
        <v>43</v>
      </c>
      <c r="I300" s="4" t="s">
        <v>62</v>
      </c>
      <c r="J300" s="4" t="s">
        <v>36</v>
      </c>
      <c r="K300" s="6">
        <v>492882</v>
      </c>
      <c r="L300" s="4" t="s">
        <v>37</v>
      </c>
    </row>
    <row r="301" spans="1:12">
      <c r="A301" s="4" t="s">
        <v>494</v>
      </c>
      <c r="B301" s="14">
        <v>1</v>
      </c>
      <c r="C301" s="10">
        <v>46174</v>
      </c>
      <c r="D301" s="4" t="s">
        <v>495</v>
      </c>
      <c r="E301" s="4" t="s">
        <v>47</v>
      </c>
      <c r="F301" s="4" t="s">
        <v>48</v>
      </c>
      <c r="G301" s="4" t="s">
        <v>61</v>
      </c>
      <c r="H301" s="4" t="s">
        <v>53</v>
      </c>
      <c r="I301" s="4" t="s">
        <v>35</v>
      </c>
      <c r="J301" s="4" t="s">
        <v>44</v>
      </c>
      <c r="K301" s="6">
        <v>991763</v>
      </c>
      <c r="L301" s="4" t="s">
        <v>37</v>
      </c>
    </row>
  </sheetData>
  <sortState ref="A2:L301">
    <sortCondition ref="F2:F301"/>
  </sortState>
  <dataValidations count="1">
    <dataValidation type="list" allowBlank="1" showInputMessage="1" showErrorMessage="1" sqref="P12">
      <formula1>$Q$14:$Q$16</formula1>
    </dataValidation>
  </dataValidations>
  <pageMargins left="0.75" right="0.75" top="1" bottom="1" header="0.5" footer="0.5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tabSelected="1" topLeftCell="A3" zoomScale="55" zoomScaleNormal="55" workbookViewId="0">
      <selection activeCell="O12" sqref="O12"/>
    </sheetView>
  </sheetViews>
  <sheetFormatPr defaultRowHeight="15"/>
  <cols>
    <col min="1" max="1" width="16.5703125" bestFit="1" customWidth="1"/>
    <col min="2" max="2" width="18.28515625" bestFit="1" customWidth="1"/>
    <col min="3" max="3" width="14.7109375" bestFit="1" customWidth="1"/>
    <col min="4" max="4" width="18.7109375" bestFit="1" customWidth="1"/>
    <col min="5" max="5" width="10.28515625" bestFit="1" customWidth="1"/>
    <col min="6" max="6" width="16.28515625" bestFit="1" customWidth="1"/>
    <col min="7" max="7" width="29.42578125" bestFit="1" customWidth="1"/>
    <col min="8" max="8" width="22.28515625" bestFit="1" customWidth="1"/>
    <col min="9" max="9" width="20.85546875" bestFit="1" customWidth="1"/>
    <col min="10" max="10" width="15.5703125" bestFit="1" customWidth="1"/>
  </cols>
  <sheetData>
    <row r="1" spans="1:12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</row>
    <row r="2" spans="1:12">
      <c r="A2" t="s">
        <v>554</v>
      </c>
      <c r="B2" s="2">
        <v>46060</v>
      </c>
      <c r="C2" t="s">
        <v>555</v>
      </c>
      <c r="D2" t="s">
        <v>556</v>
      </c>
      <c r="E2" t="s">
        <v>557</v>
      </c>
      <c r="F2" t="s">
        <v>558</v>
      </c>
      <c r="G2" t="s">
        <v>559</v>
      </c>
      <c r="H2">
        <v>28</v>
      </c>
      <c r="I2">
        <v>1964071</v>
      </c>
      <c r="J2">
        <v>12</v>
      </c>
    </row>
    <row r="3" spans="1:12">
      <c r="A3" t="s">
        <v>560</v>
      </c>
      <c r="B3" s="2">
        <v>46082</v>
      </c>
      <c r="C3" t="s">
        <v>561</v>
      </c>
      <c r="D3" t="s">
        <v>562</v>
      </c>
      <c r="E3" t="s">
        <v>557</v>
      </c>
      <c r="F3" t="s">
        <v>563</v>
      </c>
      <c r="G3" t="s">
        <v>564</v>
      </c>
      <c r="H3">
        <v>27</v>
      </c>
      <c r="I3">
        <v>628036</v>
      </c>
      <c r="J3">
        <v>12</v>
      </c>
      <c r="L3" t="s">
        <v>1263</v>
      </c>
    </row>
    <row r="4" spans="1:12">
      <c r="A4" t="s">
        <v>565</v>
      </c>
      <c r="B4" s="2">
        <v>46081</v>
      </c>
      <c r="C4" t="s">
        <v>555</v>
      </c>
      <c r="D4" t="s">
        <v>566</v>
      </c>
      <c r="E4" t="s">
        <v>567</v>
      </c>
      <c r="F4" t="s">
        <v>568</v>
      </c>
      <c r="G4" t="s">
        <v>569</v>
      </c>
      <c r="H4">
        <v>20</v>
      </c>
      <c r="I4">
        <v>1527989</v>
      </c>
      <c r="J4">
        <v>6</v>
      </c>
    </row>
    <row r="5" spans="1:12">
      <c r="A5" t="s">
        <v>570</v>
      </c>
      <c r="B5" s="2">
        <v>46032</v>
      </c>
      <c r="C5" t="s">
        <v>571</v>
      </c>
      <c r="D5" t="s">
        <v>562</v>
      </c>
      <c r="E5" t="s">
        <v>572</v>
      </c>
      <c r="F5" t="s">
        <v>573</v>
      </c>
      <c r="G5" t="s">
        <v>559</v>
      </c>
      <c r="H5">
        <v>18</v>
      </c>
      <c r="I5">
        <v>2132709</v>
      </c>
      <c r="J5">
        <v>6</v>
      </c>
    </row>
    <row r="6" spans="1:12">
      <c r="A6" t="s">
        <v>574</v>
      </c>
      <c r="B6" s="2">
        <v>46121</v>
      </c>
      <c r="C6" t="s">
        <v>575</v>
      </c>
      <c r="D6" t="s">
        <v>566</v>
      </c>
      <c r="E6" t="s">
        <v>576</v>
      </c>
      <c r="F6" t="s">
        <v>558</v>
      </c>
      <c r="G6" t="s">
        <v>569</v>
      </c>
      <c r="H6">
        <v>44</v>
      </c>
      <c r="I6">
        <v>967196</v>
      </c>
      <c r="J6">
        <v>6</v>
      </c>
    </row>
    <row r="7" spans="1:12">
      <c r="A7" t="s">
        <v>577</v>
      </c>
      <c r="B7" s="2">
        <v>46086</v>
      </c>
      <c r="C7" t="s">
        <v>571</v>
      </c>
      <c r="D7" t="s">
        <v>578</v>
      </c>
      <c r="E7" t="s">
        <v>567</v>
      </c>
      <c r="F7" t="s">
        <v>568</v>
      </c>
      <c r="G7" t="s">
        <v>569</v>
      </c>
      <c r="H7">
        <v>42</v>
      </c>
      <c r="I7">
        <v>1300532</v>
      </c>
      <c r="J7">
        <v>12</v>
      </c>
    </row>
    <row r="8" spans="1:12">
      <c r="A8" t="s">
        <v>579</v>
      </c>
      <c r="B8" s="2">
        <v>46137</v>
      </c>
      <c r="C8" t="s">
        <v>555</v>
      </c>
      <c r="D8" t="s">
        <v>562</v>
      </c>
      <c r="E8" t="s">
        <v>557</v>
      </c>
      <c r="F8" t="s">
        <v>558</v>
      </c>
      <c r="G8" t="s">
        <v>559</v>
      </c>
      <c r="H8">
        <v>43</v>
      </c>
      <c r="I8">
        <v>1099074</v>
      </c>
      <c r="J8">
        <v>6</v>
      </c>
    </row>
    <row r="9" spans="1:12">
      <c r="A9" t="s">
        <v>580</v>
      </c>
      <c r="B9" s="2">
        <v>46085</v>
      </c>
      <c r="C9" t="s">
        <v>571</v>
      </c>
      <c r="D9" t="s">
        <v>556</v>
      </c>
      <c r="E9" t="s">
        <v>557</v>
      </c>
      <c r="F9" t="s">
        <v>568</v>
      </c>
      <c r="G9" t="s">
        <v>564</v>
      </c>
      <c r="H9">
        <v>51</v>
      </c>
      <c r="I9">
        <v>564462</v>
      </c>
      <c r="J9">
        <v>6</v>
      </c>
    </row>
    <row r="10" spans="1:12">
      <c r="A10" t="s">
        <v>581</v>
      </c>
      <c r="B10" s="2">
        <v>46071</v>
      </c>
      <c r="C10" t="s">
        <v>555</v>
      </c>
      <c r="D10" t="s">
        <v>566</v>
      </c>
      <c r="E10" t="s">
        <v>576</v>
      </c>
      <c r="F10" t="s">
        <v>568</v>
      </c>
      <c r="G10" t="s">
        <v>569</v>
      </c>
      <c r="H10">
        <v>41</v>
      </c>
      <c r="I10">
        <v>774619</v>
      </c>
      <c r="J10">
        <v>24</v>
      </c>
    </row>
    <row r="11" spans="1:12">
      <c r="A11" t="s">
        <v>582</v>
      </c>
      <c r="B11" s="2">
        <v>46086</v>
      </c>
      <c r="C11" t="s">
        <v>561</v>
      </c>
      <c r="D11" t="s">
        <v>556</v>
      </c>
      <c r="E11" t="s">
        <v>572</v>
      </c>
      <c r="F11" t="s">
        <v>563</v>
      </c>
      <c r="G11" t="s">
        <v>569</v>
      </c>
      <c r="H11">
        <v>40</v>
      </c>
      <c r="I11">
        <v>1276792</v>
      </c>
      <c r="J11">
        <v>6</v>
      </c>
    </row>
    <row r="12" spans="1:12">
      <c r="A12" t="s">
        <v>583</v>
      </c>
      <c r="B12" s="2">
        <v>46054</v>
      </c>
      <c r="C12" t="s">
        <v>571</v>
      </c>
      <c r="D12" t="s">
        <v>584</v>
      </c>
      <c r="E12" t="s">
        <v>576</v>
      </c>
      <c r="F12" t="s">
        <v>558</v>
      </c>
      <c r="G12" t="s">
        <v>569</v>
      </c>
      <c r="H12">
        <v>24</v>
      </c>
      <c r="I12">
        <v>2068183</v>
      </c>
      <c r="J12">
        <v>6</v>
      </c>
    </row>
    <row r="13" spans="1:12">
      <c r="A13" t="s">
        <v>585</v>
      </c>
      <c r="B13" s="2">
        <v>46029</v>
      </c>
      <c r="C13" t="s">
        <v>561</v>
      </c>
      <c r="D13" t="s">
        <v>566</v>
      </c>
      <c r="E13" t="s">
        <v>567</v>
      </c>
      <c r="F13" t="s">
        <v>573</v>
      </c>
      <c r="G13" t="s">
        <v>569</v>
      </c>
      <c r="H13">
        <v>53</v>
      </c>
      <c r="I13">
        <v>1916250</v>
      </c>
      <c r="J13">
        <v>12</v>
      </c>
    </row>
    <row r="14" spans="1:12">
      <c r="A14" t="s">
        <v>586</v>
      </c>
      <c r="B14" s="2">
        <v>46043</v>
      </c>
      <c r="C14" t="s">
        <v>561</v>
      </c>
      <c r="D14" t="s">
        <v>562</v>
      </c>
      <c r="E14" t="s">
        <v>576</v>
      </c>
      <c r="F14" t="s">
        <v>563</v>
      </c>
      <c r="G14" t="s">
        <v>559</v>
      </c>
      <c r="H14">
        <v>48</v>
      </c>
      <c r="I14">
        <v>2372759</v>
      </c>
      <c r="J14">
        <v>12</v>
      </c>
    </row>
    <row r="15" spans="1:12">
      <c r="A15" t="s">
        <v>587</v>
      </c>
      <c r="B15" s="2">
        <v>46042</v>
      </c>
      <c r="C15" t="s">
        <v>588</v>
      </c>
      <c r="D15" t="s">
        <v>566</v>
      </c>
      <c r="E15" t="s">
        <v>557</v>
      </c>
      <c r="F15" t="s">
        <v>563</v>
      </c>
      <c r="G15" t="s">
        <v>559</v>
      </c>
      <c r="H15">
        <v>64</v>
      </c>
      <c r="I15">
        <v>509319</v>
      </c>
      <c r="J15">
        <v>24</v>
      </c>
    </row>
    <row r="16" spans="1:12">
      <c r="A16" t="s">
        <v>589</v>
      </c>
      <c r="B16" s="2">
        <v>46048</v>
      </c>
      <c r="C16" t="s">
        <v>555</v>
      </c>
      <c r="D16" t="s">
        <v>556</v>
      </c>
      <c r="E16" t="s">
        <v>567</v>
      </c>
      <c r="F16" t="s">
        <v>573</v>
      </c>
      <c r="G16" t="s">
        <v>590</v>
      </c>
      <c r="H16">
        <v>70</v>
      </c>
      <c r="I16">
        <v>374535</v>
      </c>
      <c r="J16">
        <v>6</v>
      </c>
    </row>
    <row r="17" spans="1:10">
      <c r="A17" t="s">
        <v>591</v>
      </c>
      <c r="B17" s="2">
        <v>46090</v>
      </c>
      <c r="C17" t="s">
        <v>575</v>
      </c>
      <c r="D17" t="s">
        <v>578</v>
      </c>
      <c r="E17" t="s">
        <v>557</v>
      </c>
      <c r="F17" t="s">
        <v>563</v>
      </c>
      <c r="G17" t="s">
        <v>590</v>
      </c>
      <c r="H17">
        <v>44</v>
      </c>
      <c r="I17">
        <v>1046405</v>
      </c>
      <c r="J17">
        <v>24</v>
      </c>
    </row>
    <row r="18" spans="1:10">
      <c r="A18" t="s">
        <v>592</v>
      </c>
      <c r="B18" s="2">
        <v>46132</v>
      </c>
      <c r="C18" t="s">
        <v>555</v>
      </c>
      <c r="D18" t="s">
        <v>566</v>
      </c>
      <c r="E18" t="s">
        <v>572</v>
      </c>
      <c r="F18" t="s">
        <v>568</v>
      </c>
      <c r="G18" t="s">
        <v>569</v>
      </c>
      <c r="H18">
        <v>49</v>
      </c>
      <c r="I18">
        <v>721825</v>
      </c>
      <c r="J18">
        <v>12</v>
      </c>
    </row>
    <row r="19" spans="1:10">
      <c r="A19" t="s">
        <v>593</v>
      </c>
      <c r="B19" s="2">
        <v>46138</v>
      </c>
      <c r="C19" t="s">
        <v>575</v>
      </c>
      <c r="D19" t="s">
        <v>562</v>
      </c>
      <c r="E19" t="s">
        <v>557</v>
      </c>
      <c r="F19" t="s">
        <v>568</v>
      </c>
      <c r="G19" t="s">
        <v>564</v>
      </c>
      <c r="H19">
        <v>35</v>
      </c>
      <c r="I19">
        <v>1017472</v>
      </c>
      <c r="J19">
        <v>24</v>
      </c>
    </row>
    <row r="20" spans="1:10">
      <c r="A20" t="s">
        <v>594</v>
      </c>
      <c r="B20" s="2">
        <v>46108</v>
      </c>
      <c r="C20" t="s">
        <v>555</v>
      </c>
      <c r="D20" t="s">
        <v>584</v>
      </c>
      <c r="E20" t="s">
        <v>557</v>
      </c>
      <c r="F20" t="s">
        <v>558</v>
      </c>
      <c r="G20" t="s">
        <v>569</v>
      </c>
      <c r="H20">
        <v>41</v>
      </c>
      <c r="I20">
        <v>2378581</v>
      </c>
      <c r="J20">
        <v>12</v>
      </c>
    </row>
    <row r="21" spans="1:10">
      <c r="A21" t="s">
        <v>595</v>
      </c>
      <c r="B21" s="2">
        <v>46037</v>
      </c>
      <c r="C21" t="s">
        <v>561</v>
      </c>
      <c r="D21" t="s">
        <v>596</v>
      </c>
      <c r="E21" t="s">
        <v>576</v>
      </c>
      <c r="F21" t="s">
        <v>558</v>
      </c>
      <c r="G21" t="s">
        <v>564</v>
      </c>
      <c r="H21">
        <v>62</v>
      </c>
      <c r="I21">
        <v>2104517</v>
      </c>
      <c r="J21">
        <v>24</v>
      </c>
    </row>
    <row r="22" spans="1:10">
      <c r="A22" t="s">
        <v>597</v>
      </c>
      <c r="B22" s="2">
        <v>46142</v>
      </c>
      <c r="C22" t="s">
        <v>571</v>
      </c>
      <c r="D22" t="s">
        <v>578</v>
      </c>
      <c r="E22" t="s">
        <v>557</v>
      </c>
      <c r="F22" t="s">
        <v>573</v>
      </c>
      <c r="G22" t="s">
        <v>569</v>
      </c>
      <c r="H22">
        <v>51</v>
      </c>
      <c r="I22">
        <v>921935</v>
      </c>
      <c r="J22">
        <v>24</v>
      </c>
    </row>
    <row r="23" spans="1:10">
      <c r="A23" t="s">
        <v>598</v>
      </c>
      <c r="B23" s="2">
        <v>46126</v>
      </c>
      <c r="C23" t="s">
        <v>571</v>
      </c>
      <c r="D23" t="s">
        <v>584</v>
      </c>
      <c r="E23" t="s">
        <v>567</v>
      </c>
      <c r="F23" t="s">
        <v>558</v>
      </c>
      <c r="G23" t="s">
        <v>590</v>
      </c>
      <c r="H23">
        <v>68</v>
      </c>
      <c r="I23">
        <v>2162362</v>
      </c>
      <c r="J23">
        <v>6</v>
      </c>
    </row>
    <row r="24" spans="1:10">
      <c r="A24" t="s">
        <v>599</v>
      </c>
      <c r="B24" s="2">
        <v>46107</v>
      </c>
      <c r="C24" t="s">
        <v>588</v>
      </c>
      <c r="D24" t="s">
        <v>566</v>
      </c>
      <c r="E24" t="s">
        <v>567</v>
      </c>
      <c r="F24" t="s">
        <v>568</v>
      </c>
      <c r="G24" t="s">
        <v>590</v>
      </c>
      <c r="H24">
        <v>63</v>
      </c>
      <c r="I24">
        <v>2107338</v>
      </c>
      <c r="J24">
        <v>24</v>
      </c>
    </row>
    <row r="25" spans="1:10">
      <c r="A25" t="s">
        <v>600</v>
      </c>
      <c r="B25" s="2">
        <v>46101</v>
      </c>
      <c r="C25" t="s">
        <v>575</v>
      </c>
      <c r="D25" t="s">
        <v>556</v>
      </c>
      <c r="E25" t="s">
        <v>572</v>
      </c>
      <c r="F25" t="s">
        <v>573</v>
      </c>
      <c r="G25" t="s">
        <v>564</v>
      </c>
      <c r="H25">
        <v>59</v>
      </c>
      <c r="I25">
        <v>688574</v>
      </c>
      <c r="J25">
        <v>6</v>
      </c>
    </row>
    <row r="26" spans="1:10">
      <c r="A26" t="s">
        <v>601</v>
      </c>
      <c r="B26" s="2">
        <v>46108</v>
      </c>
      <c r="C26" t="s">
        <v>575</v>
      </c>
      <c r="D26" t="s">
        <v>556</v>
      </c>
      <c r="E26" t="s">
        <v>567</v>
      </c>
      <c r="F26" t="s">
        <v>573</v>
      </c>
      <c r="G26" t="s">
        <v>569</v>
      </c>
      <c r="H26">
        <v>34</v>
      </c>
      <c r="I26">
        <v>204927</v>
      </c>
      <c r="J26">
        <v>6</v>
      </c>
    </row>
    <row r="27" spans="1:10">
      <c r="A27" t="s">
        <v>602</v>
      </c>
      <c r="B27" s="2">
        <v>46138</v>
      </c>
      <c r="C27" t="s">
        <v>575</v>
      </c>
      <c r="D27" t="s">
        <v>562</v>
      </c>
      <c r="E27" t="s">
        <v>576</v>
      </c>
      <c r="F27" t="s">
        <v>558</v>
      </c>
      <c r="G27" t="s">
        <v>564</v>
      </c>
      <c r="H27">
        <v>17</v>
      </c>
      <c r="I27">
        <v>1949916</v>
      </c>
      <c r="J27">
        <v>6</v>
      </c>
    </row>
    <row r="28" spans="1:10">
      <c r="A28" t="s">
        <v>603</v>
      </c>
      <c r="B28" s="2">
        <v>46114</v>
      </c>
      <c r="C28" t="s">
        <v>561</v>
      </c>
      <c r="D28" t="s">
        <v>556</v>
      </c>
      <c r="E28" t="s">
        <v>572</v>
      </c>
      <c r="F28" t="s">
        <v>568</v>
      </c>
      <c r="G28" t="s">
        <v>590</v>
      </c>
      <c r="H28">
        <v>49</v>
      </c>
      <c r="I28">
        <v>2496524</v>
      </c>
      <c r="J28">
        <v>6</v>
      </c>
    </row>
    <row r="29" spans="1:10">
      <c r="A29" t="s">
        <v>604</v>
      </c>
      <c r="B29" s="2">
        <v>46036</v>
      </c>
      <c r="C29" t="s">
        <v>575</v>
      </c>
      <c r="D29" t="s">
        <v>578</v>
      </c>
      <c r="E29" t="s">
        <v>567</v>
      </c>
      <c r="F29" t="s">
        <v>573</v>
      </c>
      <c r="G29" t="s">
        <v>569</v>
      </c>
      <c r="H29">
        <v>11</v>
      </c>
      <c r="I29">
        <v>123386</v>
      </c>
      <c r="J29">
        <v>24</v>
      </c>
    </row>
    <row r="30" spans="1:10">
      <c r="A30" t="s">
        <v>605</v>
      </c>
      <c r="B30" s="2">
        <v>46049</v>
      </c>
      <c r="C30" t="s">
        <v>571</v>
      </c>
      <c r="D30" t="s">
        <v>556</v>
      </c>
      <c r="E30" t="s">
        <v>576</v>
      </c>
      <c r="F30" t="s">
        <v>568</v>
      </c>
      <c r="G30" t="s">
        <v>569</v>
      </c>
      <c r="H30">
        <v>39</v>
      </c>
      <c r="I30">
        <v>1326402</v>
      </c>
      <c r="J30">
        <v>12</v>
      </c>
    </row>
    <row r="31" spans="1:10">
      <c r="A31" t="s">
        <v>606</v>
      </c>
      <c r="B31" s="2">
        <v>46127</v>
      </c>
      <c r="C31" t="s">
        <v>561</v>
      </c>
      <c r="D31" t="s">
        <v>562</v>
      </c>
      <c r="E31" t="s">
        <v>567</v>
      </c>
      <c r="F31" t="s">
        <v>568</v>
      </c>
      <c r="G31" t="s">
        <v>564</v>
      </c>
      <c r="H31">
        <v>20</v>
      </c>
      <c r="I31">
        <v>1439022</v>
      </c>
      <c r="J31">
        <v>12</v>
      </c>
    </row>
    <row r="32" spans="1:10">
      <c r="A32" t="s">
        <v>607</v>
      </c>
      <c r="B32" s="2">
        <v>46062</v>
      </c>
      <c r="C32" t="s">
        <v>555</v>
      </c>
      <c r="D32" t="s">
        <v>596</v>
      </c>
      <c r="E32" t="s">
        <v>567</v>
      </c>
      <c r="F32" t="s">
        <v>568</v>
      </c>
      <c r="G32" t="s">
        <v>559</v>
      </c>
      <c r="H32">
        <v>37</v>
      </c>
      <c r="I32">
        <v>1471535</v>
      </c>
      <c r="J32">
        <v>12</v>
      </c>
    </row>
    <row r="33" spans="1:10">
      <c r="A33" t="s">
        <v>608</v>
      </c>
      <c r="B33" s="2">
        <v>46080</v>
      </c>
      <c r="C33" t="s">
        <v>575</v>
      </c>
      <c r="D33" t="s">
        <v>566</v>
      </c>
      <c r="E33" t="s">
        <v>557</v>
      </c>
      <c r="F33" t="s">
        <v>558</v>
      </c>
      <c r="G33" t="s">
        <v>564</v>
      </c>
      <c r="H33">
        <v>60</v>
      </c>
      <c r="I33">
        <v>352156</v>
      </c>
      <c r="J33">
        <v>24</v>
      </c>
    </row>
    <row r="34" spans="1:10">
      <c r="A34" t="s">
        <v>609</v>
      </c>
      <c r="B34" s="2">
        <v>46050</v>
      </c>
      <c r="C34" t="s">
        <v>575</v>
      </c>
      <c r="D34" t="s">
        <v>566</v>
      </c>
      <c r="E34" t="s">
        <v>567</v>
      </c>
      <c r="F34" t="s">
        <v>563</v>
      </c>
      <c r="G34" t="s">
        <v>590</v>
      </c>
      <c r="H34">
        <v>64</v>
      </c>
      <c r="I34">
        <v>949776</v>
      </c>
      <c r="J34">
        <v>6</v>
      </c>
    </row>
    <row r="35" spans="1:10">
      <c r="A35" t="s">
        <v>610</v>
      </c>
      <c r="B35" s="2">
        <v>46048</v>
      </c>
      <c r="C35" t="s">
        <v>555</v>
      </c>
      <c r="D35" t="s">
        <v>556</v>
      </c>
      <c r="E35" t="s">
        <v>567</v>
      </c>
      <c r="F35" t="s">
        <v>563</v>
      </c>
      <c r="G35" t="s">
        <v>590</v>
      </c>
      <c r="H35">
        <v>47</v>
      </c>
      <c r="I35">
        <v>1053122</v>
      </c>
      <c r="J35">
        <v>12</v>
      </c>
    </row>
    <row r="36" spans="1:10">
      <c r="A36" t="s">
        <v>611</v>
      </c>
      <c r="B36" s="2">
        <v>46135</v>
      </c>
      <c r="C36" t="s">
        <v>575</v>
      </c>
      <c r="D36" t="s">
        <v>584</v>
      </c>
      <c r="E36" t="s">
        <v>576</v>
      </c>
      <c r="F36" t="s">
        <v>573</v>
      </c>
      <c r="G36" t="s">
        <v>590</v>
      </c>
      <c r="H36">
        <v>4</v>
      </c>
      <c r="I36">
        <v>569450</v>
      </c>
      <c r="J36">
        <v>24</v>
      </c>
    </row>
    <row r="37" spans="1:10">
      <c r="A37" t="s">
        <v>612</v>
      </c>
      <c r="B37" s="2">
        <v>46085</v>
      </c>
      <c r="C37" t="s">
        <v>555</v>
      </c>
      <c r="D37" t="s">
        <v>566</v>
      </c>
      <c r="E37" t="s">
        <v>576</v>
      </c>
      <c r="F37" t="s">
        <v>568</v>
      </c>
      <c r="G37" t="s">
        <v>590</v>
      </c>
      <c r="H37">
        <v>66</v>
      </c>
      <c r="I37">
        <v>423258</v>
      </c>
      <c r="J37">
        <v>6</v>
      </c>
    </row>
    <row r="38" spans="1:10">
      <c r="A38" t="s">
        <v>613</v>
      </c>
      <c r="B38" s="2">
        <v>46088</v>
      </c>
      <c r="C38" t="s">
        <v>561</v>
      </c>
      <c r="D38" t="s">
        <v>596</v>
      </c>
      <c r="E38" t="s">
        <v>557</v>
      </c>
      <c r="F38" t="s">
        <v>558</v>
      </c>
      <c r="G38" t="s">
        <v>590</v>
      </c>
      <c r="H38">
        <v>9</v>
      </c>
      <c r="I38">
        <v>2445876</v>
      </c>
      <c r="J38">
        <v>12</v>
      </c>
    </row>
    <row r="39" spans="1:10">
      <c r="A39" t="s">
        <v>614</v>
      </c>
      <c r="B39" s="2">
        <v>46047</v>
      </c>
      <c r="C39" t="s">
        <v>571</v>
      </c>
      <c r="D39" t="s">
        <v>556</v>
      </c>
      <c r="E39" t="s">
        <v>567</v>
      </c>
      <c r="F39" t="s">
        <v>568</v>
      </c>
      <c r="G39" t="s">
        <v>559</v>
      </c>
      <c r="H39">
        <v>52</v>
      </c>
      <c r="I39">
        <v>2398354</v>
      </c>
      <c r="J39">
        <v>6</v>
      </c>
    </row>
    <row r="40" spans="1:10">
      <c r="A40" t="s">
        <v>615</v>
      </c>
      <c r="B40" s="2">
        <v>46142</v>
      </c>
      <c r="C40" t="s">
        <v>555</v>
      </c>
      <c r="D40" t="s">
        <v>562</v>
      </c>
      <c r="E40" t="s">
        <v>557</v>
      </c>
      <c r="F40" t="s">
        <v>568</v>
      </c>
      <c r="G40" t="s">
        <v>569</v>
      </c>
      <c r="H40">
        <v>7</v>
      </c>
      <c r="I40">
        <v>214589</v>
      </c>
      <c r="J40">
        <v>12</v>
      </c>
    </row>
    <row r="41" spans="1:10">
      <c r="A41" t="s">
        <v>616</v>
      </c>
      <c r="B41" s="2">
        <v>46025</v>
      </c>
      <c r="C41" t="s">
        <v>588</v>
      </c>
      <c r="D41" t="s">
        <v>596</v>
      </c>
      <c r="E41" t="s">
        <v>567</v>
      </c>
      <c r="F41" t="s">
        <v>558</v>
      </c>
      <c r="G41" t="s">
        <v>564</v>
      </c>
      <c r="H41">
        <v>40</v>
      </c>
      <c r="I41">
        <v>1293982</v>
      </c>
      <c r="J41">
        <v>12</v>
      </c>
    </row>
    <row r="42" spans="1:10">
      <c r="A42" t="s">
        <v>617</v>
      </c>
      <c r="B42" s="2">
        <v>46094</v>
      </c>
      <c r="C42" t="s">
        <v>555</v>
      </c>
      <c r="D42" t="s">
        <v>556</v>
      </c>
      <c r="E42" t="s">
        <v>572</v>
      </c>
      <c r="F42" t="s">
        <v>563</v>
      </c>
      <c r="G42" t="s">
        <v>564</v>
      </c>
      <c r="H42">
        <v>61</v>
      </c>
      <c r="I42">
        <v>719003</v>
      </c>
      <c r="J42">
        <v>12</v>
      </c>
    </row>
    <row r="43" spans="1:10">
      <c r="A43" t="s">
        <v>618</v>
      </c>
      <c r="B43" s="2">
        <v>46066</v>
      </c>
      <c r="C43" t="s">
        <v>575</v>
      </c>
      <c r="D43" t="s">
        <v>596</v>
      </c>
      <c r="E43" t="s">
        <v>572</v>
      </c>
      <c r="F43" t="s">
        <v>568</v>
      </c>
      <c r="G43" t="s">
        <v>590</v>
      </c>
      <c r="H43">
        <v>29</v>
      </c>
      <c r="I43">
        <v>293839</v>
      </c>
      <c r="J43">
        <v>6</v>
      </c>
    </row>
    <row r="44" spans="1:10">
      <c r="A44" t="s">
        <v>619</v>
      </c>
      <c r="B44" s="2">
        <v>46119</v>
      </c>
      <c r="C44" t="s">
        <v>561</v>
      </c>
      <c r="D44" t="s">
        <v>566</v>
      </c>
      <c r="E44" t="s">
        <v>557</v>
      </c>
      <c r="F44" t="s">
        <v>568</v>
      </c>
      <c r="G44" t="s">
        <v>564</v>
      </c>
      <c r="H44">
        <v>55</v>
      </c>
      <c r="I44">
        <v>606453</v>
      </c>
      <c r="J44">
        <v>24</v>
      </c>
    </row>
    <row r="45" spans="1:10">
      <c r="A45" t="s">
        <v>620</v>
      </c>
      <c r="B45" s="2">
        <v>46064</v>
      </c>
      <c r="C45" t="s">
        <v>561</v>
      </c>
      <c r="D45" t="s">
        <v>562</v>
      </c>
      <c r="E45" t="s">
        <v>557</v>
      </c>
      <c r="F45" t="s">
        <v>563</v>
      </c>
      <c r="G45" t="s">
        <v>590</v>
      </c>
      <c r="H45">
        <v>38</v>
      </c>
      <c r="I45">
        <v>2454590</v>
      </c>
      <c r="J45">
        <v>6</v>
      </c>
    </row>
    <row r="46" spans="1:10">
      <c r="A46" t="s">
        <v>621</v>
      </c>
      <c r="B46" s="2">
        <v>46138</v>
      </c>
      <c r="C46" t="s">
        <v>555</v>
      </c>
      <c r="D46" t="s">
        <v>556</v>
      </c>
      <c r="E46" t="s">
        <v>557</v>
      </c>
      <c r="F46" t="s">
        <v>558</v>
      </c>
      <c r="G46" t="s">
        <v>559</v>
      </c>
      <c r="H46">
        <v>10</v>
      </c>
      <c r="I46">
        <v>545872</v>
      </c>
      <c r="J46">
        <v>12</v>
      </c>
    </row>
    <row r="47" spans="1:10">
      <c r="A47" t="s">
        <v>622</v>
      </c>
      <c r="B47" s="2">
        <v>46121</v>
      </c>
      <c r="C47" t="s">
        <v>571</v>
      </c>
      <c r="D47" t="s">
        <v>578</v>
      </c>
      <c r="E47" t="s">
        <v>576</v>
      </c>
      <c r="F47" t="s">
        <v>573</v>
      </c>
      <c r="G47" t="s">
        <v>559</v>
      </c>
      <c r="H47">
        <v>57</v>
      </c>
      <c r="I47">
        <v>1655811</v>
      </c>
      <c r="J47">
        <v>6</v>
      </c>
    </row>
    <row r="48" spans="1:10">
      <c r="A48" t="s">
        <v>623</v>
      </c>
      <c r="B48" s="2">
        <v>46028</v>
      </c>
      <c r="C48" t="s">
        <v>588</v>
      </c>
      <c r="D48" t="s">
        <v>562</v>
      </c>
      <c r="E48" t="s">
        <v>576</v>
      </c>
      <c r="F48" t="s">
        <v>563</v>
      </c>
      <c r="G48" t="s">
        <v>569</v>
      </c>
      <c r="H48">
        <v>60</v>
      </c>
      <c r="I48">
        <v>982894</v>
      </c>
      <c r="J48">
        <v>24</v>
      </c>
    </row>
    <row r="49" spans="1:10">
      <c r="A49" t="s">
        <v>624</v>
      </c>
      <c r="B49" s="2">
        <v>46061</v>
      </c>
      <c r="C49" t="s">
        <v>561</v>
      </c>
      <c r="D49" t="s">
        <v>578</v>
      </c>
      <c r="E49" t="s">
        <v>576</v>
      </c>
      <c r="F49" t="s">
        <v>573</v>
      </c>
      <c r="G49" t="s">
        <v>559</v>
      </c>
      <c r="H49">
        <v>3</v>
      </c>
      <c r="I49">
        <v>1756042</v>
      </c>
      <c r="J49">
        <v>6</v>
      </c>
    </row>
    <row r="50" spans="1:10">
      <c r="A50" t="s">
        <v>625</v>
      </c>
      <c r="B50" s="2">
        <v>46074</v>
      </c>
      <c r="C50" t="s">
        <v>575</v>
      </c>
      <c r="D50" t="s">
        <v>596</v>
      </c>
      <c r="E50" t="s">
        <v>557</v>
      </c>
      <c r="F50" t="s">
        <v>573</v>
      </c>
      <c r="G50" t="s">
        <v>559</v>
      </c>
      <c r="H50">
        <v>62</v>
      </c>
      <c r="I50">
        <v>2090073</v>
      </c>
      <c r="J50">
        <v>24</v>
      </c>
    </row>
    <row r="51" spans="1:10">
      <c r="A51" t="s">
        <v>626</v>
      </c>
      <c r="B51" s="2">
        <v>46045</v>
      </c>
      <c r="C51" t="s">
        <v>575</v>
      </c>
      <c r="D51" t="s">
        <v>584</v>
      </c>
      <c r="E51" t="s">
        <v>567</v>
      </c>
      <c r="F51" t="s">
        <v>563</v>
      </c>
      <c r="G51" t="s">
        <v>569</v>
      </c>
      <c r="H51">
        <v>59</v>
      </c>
      <c r="I51">
        <v>853492</v>
      </c>
      <c r="J51">
        <v>24</v>
      </c>
    </row>
    <row r="52" spans="1:10">
      <c r="A52" t="s">
        <v>627</v>
      </c>
      <c r="B52" s="2">
        <v>46111</v>
      </c>
      <c r="C52" t="s">
        <v>571</v>
      </c>
      <c r="D52" t="s">
        <v>562</v>
      </c>
      <c r="E52" t="s">
        <v>572</v>
      </c>
      <c r="F52" t="s">
        <v>568</v>
      </c>
      <c r="G52" t="s">
        <v>564</v>
      </c>
      <c r="H52">
        <v>61</v>
      </c>
      <c r="I52">
        <v>196393</v>
      </c>
      <c r="J52">
        <v>6</v>
      </c>
    </row>
    <row r="53" spans="1:10">
      <c r="A53" t="s">
        <v>628</v>
      </c>
      <c r="B53" s="2">
        <v>46072</v>
      </c>
      <c r="C53" t="s">
        <v>561</v>
      </c>
      <c r="D53" t="s">
        <v>596</v>
      </c>
      <c r="E53" t="s">
        <v>557</v>
      </c>
      <c r="F53" t="s">
        <v>573</v>
      </c>
      <c r="G53" t="s">
        <v>590</v>
      </c>
      <c r="H53">
        <v>41</v>
      </c>
      <c r="I53">
        <v>2010332</v>
      </c>
      <c r="J53">
        <v>12</v>
      </c>
    </row>
    <row r="54" spans="1:10">
      <c r="A54" t="s">
        <v>629</v>
      </c>
      <c r="B54" s="2">
        <v>46065</v>
      </c>
      <c r="C54" t="s">
        <v>555</v>
      </c>
      <c r="D54" t="s">
        <v>578</v>
      </c>
      <c r="E54" t="s">
        <v>576</v>
      </c>
      <c r="F54" t="s">
        <v>573</v>
      </c>
      <c r="G54" t="s">
        <v>590</v>
      </c>
      <c r="H54">
        <v>37</v>
      </c>
      <c r="I54">
        <v>1578081</v>
      </c>
      <c r="J54">
        <v>24</v>
      </c>
    </row>
    <row r="55" spans="1:10">
      <c r="A55" t="s">
        <v>630</v>
      </c>
      <c r="B55" s="2">
        <v>46041</v>
      </c>
      <c r="C55" t="s">
        <v>575</v>
      </c>
      <c r="D55" t="s">
        <v>566</v>
      </c>
      <c r="E55" t="s">
        <v>576</v>
      </c>
      <c r="F55" t="s">
        <v>558</v>
      </c>
      <c r="G55" t="s">
        <v>564</v>
      </c>
      <c r="H55">
        <v>38</v>
      </c>
      <c r="I55">
        <v>1670889</v>
      </c>
      <c r="J55">
        <v>6</v>
      </c>
    </row>
    <row r="56" spans="1:10">
      <c r="A56" t="s">
        <v>631</v>
      </c>
      <c r="B56" s="2">
        <v>46091</v>
      </c>
      <c r="C56" t="s">
        <v>571</v>
      </c>
      <c r="D56" t="s">
        <v>566</v>
      </c>
      <c r="E56" t="s">
        <v>557</v>
      </c>
      <c r="F56" t="s">
        <v>568</v>
      </c>
      <c r="G56" t="s">
        <v>569</v>
      </c>
      <c r="H56">
        <v>19</v>
      </c>
      <c r="I56">
        <v>2499146</v>
      </c>
      <c r="J56">
        <v>24</v>
      </c>
    </row>
    <row r="57" spans="1:10">
      <c r="A57" t="s">
        <v>632</v>
      </c>
      <c r="B57" s="2">
        <v>46073</v>
      </c>
      <c r="C57" t="s">
        <v>561</v>
      </c>
      <c r="D57" t="s">
        <v>584</v>
      </c>
      <c r="E57" t="s">
        <v>557</v>
      </c>
      <c r="F57" t="s">
        <v>573</v>
      </c>
      <c r="G57" t="s">
        <v>564</v>
      </c>
      <c r="H57">
        <v>64</v>
      </c>
      <c r="I57">
        <v>1645491</v>
      </c>
      <c r="J57">
        <v>12</v>
      </c>
    </row>
    <row r="58" spans="1:10">
      <c r="A58" t="s">
        <v>633</v>
      </c>
      <c r="B58" s="2">
        <v>46033</v>
      </c>
      <c r="C58" t="s">
        <v>561</v>
      </c>
      <c r="D58" t="s">
        <v>562</v>
      </c>
      <c r="E58" t="s">
        <v>576</v>
      </c>
      <c r="F58" t="s">
        <v>558</v>
      </c>
      <c r="G58" t="s">
        <v>559</v>
      </c>
      <c r="H58">
        <v>23</v>
      </c>
      <c r="I58">
        <v>737999</v>
      </c>
      <c r="J58">
        <v>6</v>
      </c>
    </row>
    <row r="59" spans="1:10">
      <c r="A59" t="s">
        <v>634</v>
      </c>
      <c r="B59" s="2">
        <v>46142</v>
      </c>
      <c r="C59" t="s">
        <v>561</v>
      </c>
      <c r="D59" t="s">
        <v>562</v>
      </c>
      <c r="E59" t="s">
        <v>567</v>
      </c>
      <c r="F59" t="s">
        <v>568</v>
      </c>
      <c r="G59" t="s">
        <v>569</v>
      </c>
      <c r="H59">
        <v>12</v>
      </c>
      <c r="I59">
        <v>839538</v>
      </c>
      <c r="J59">
        <v>6</v>
      </c>
    </row>
    <row r="60" spans="1:10">
      <c r="A60" t="s">
        <v>635</v>
      </c>
      <c r="B60" s="2">
        <v>46034</v>
      </c>
      <c r="C60" t="s">
        <v>561</v>
      </c>
      <c r="D60" t="s">
        <v>562</v>
      </c>
      <c r="E60" t="s">
        <v>576</v>
      </c>
      <c r="F60" t="s">
        <v>563</v>
      </c>
      <c r="G60" t="s">
        <v>569</v>
      </c>
      <c r="H60">
        <v>59</v>
      </c>
      <c r="I60">
        <v>1159670</v>
      </c>
      <c r="J60">
        <v>6</v>
      </c>
    </row>
    <row r="61" spans="1:10">
      <c r="A61" t="s">
        <v>636</v>
      </c>
      <c r="B61" s="2">
        <v>46096</v>
      </c>
      <c r="C61" t="s">
        <v>561</v>
      </c>
      <c r="D61" t="s">
        <v>596</v>
      </c>
      <c r="E61" t="s">
        <v>576</v>
      </c>
      <c r="F61" t="s">
        <v>563</v>
      </c>
      <c r="G61" t="s">
        <v>569</v>
      </c>
      <c r="H61">
        <v>58</v>
      </c>
      <c r="I61">
        <v>2022967</v>
      </c>
      <c r="J61">
        <v>12</v>
      </c>
    </row>
    <row r="62" spans="1:10">
      <c r="A62" t="s">
        <v>637</v>
      </c>
      <c r="B62" s="2">
        <v>46030</v>
      </c>
      <c r="C62" t="s">
        <v>575</v>
      </c>
      <c r="D62" t="s">
        <v>584</v>
      </c>
      <c r="E62" t="s">
        <v>557</v>
      </c>
      <c r="F62" t="s">
        <v>558</v>
      </c>
      <c r="G62" t="s">
        <v>590</v>
      </c>
      <c r="H62">
        <v>5</v>
      </c>
      <c r="I62">
        <v>1050922</v>
      </c>
      <c r="J62">
        <v>24</v>
      </c>
    </row>
    <row r="63" spans="1:10">
      <c r="A63" t="s">
        <v>638</v>
      </c>
      <c r="B63" s="2">
        <v>46046</v>
      </c>
      <c r="C63" t="s">
        <v>571</v>
      </c>
      <c r="D63" t="s">
        <v>562</v>
      </c>
      <c r="E63" t="s">
        <v>567</v>
      </c>
      <c r="F63" t="s">
        <v>563</v>
      </c>
      <c r="G63" t="s">
        <v>564</v>
      </c>
      <c r="H63">
        <v>8</v>
      </c>
      <c r="I63">
        <v>1940749</v>
      </c>
      <c r="J63">
        <v>6</v>
      </c>
    </row>
    <row r="64" spans="1:10">
      <c r="A64" t="s">
        <v>639</v>
      </c>
      <c r="B64" s="2">
        <v>46114</v>
      </c>
      <c r="C64" t="s">
        <v>561</v>
      </c>
      <c r="D64" t="s">
        <v>596</v>
      </c>
      <c r="E64" t="s">
        <v>576</v>
      </c>
      <c r="F64" t="s">
        <v>573</v>
      </c>
      <c r="G64" t="s">
        <v>569</v>
      </c>
      <c r="H64">
        <v>62</v>
      </c>
      <c r="I64">
        <v>1784449</v>
      </c>
      <c r="J64">
        <v>24</v>
      </c>
    </row>
    <row r="65" spans="1:10">
      <c r="A65" t="s">
        <v>640</v>
      </c>
      <c r="B65" s="2">
        <v>46063</v>
      </c>
      <c r="C65" t="s">
        <v>588</v>
      </c>
      <c r="D65" t="s">
        <v>566</v>
      </c>
      <c r="E65" t="s">
        <v>576</v>
      </c>
      <c r="F65" t="s">
        <v>568</v>
      </c>
      <c r="G65" t="s">
        <v>569</v>
      </c>
      <c r="H65">
        <v>55</v>
      </c>
      <c r="I65">
        <v>565590</v>
      </c>
      <c r="J65">
        <v>24</v>
      </c>
    </row>
    <row r="66" spans="1:10">
      <c r="A66" t="s">
        <v>641</v>
      </c>
      <c r="B66" s="2">
        <v>46058</v>
      </c>
      <c r="C66" t="s">
        <v>588</v>
      </c>
      <c r="D66" t="s">
        <v>578</v>
      </c>
      <c r="E66" t="s">
        <v>572</v>
      </c>
      <c r="F66" t="s">
        <v>573</v>
      </c>
      <c r="G66" t="s">
        <v>569</v>
      </c>
      <c r="H66">
        <v>69</v>
      </c>
      <c r="I66">
        <v>1659067</v>
      </c>
      <c r="J66">
        <v>12</v>
      </c>
    </row>
    <row r="67" spans="1:10">
      <c r="A67" t="s">
        <v>642</v>
      </c>
      <c r="B67" s="2">
        <v>46123</v>
      </c>
      <c r="C67" t="s">
        <v>571</v>
      </c>
      <c r="D67" t="s">
        <v>596</v>
      </c>
      <c r="E67" t="s">
        <v>557</v>
      </c>
      <c r="F67" t="s">
        <v>573</v>
      </c>
      <c r="G67" t="s">
        <v>564</v>
      </c>
      <c r="H67">
        <v>2</v>
      </c>
      <c r="I67">
        <v>1533284</v>
      </c>
      <c r="J67">
        <v>6</v>
      </c>
    </row>
    <row r="68" spans="1:10">
      <c r="A68" t="s">
        <v>643</v>
      </c>
      <c r="B68" s="2">
        <v>46107</v>
      </c>
      <c r="C68" t="s">
        <v>555</v>
      </c>
      <c r="D68" t="s">
        <v>566</v>
      </c>
      <c r="E68" t="s">
        <v>572</v>
      </c>
      <c r="F68" t="s">
        <v>563</v>
      </c>
      <c r="G68" t="s">
        <v>590</v>
      </c>
      <c r="H68">
        <v>56</v>
      </c>
      <c r="I68">
        <v>1217374</v>
      </c>
      <c r="J68">
        <v>24</v>
      </c>
    </row>
    <row r="69" spans="1:10">
      <c r="A69" t="s">
        <v>644</v>
      </c>
      <c r="B69" s="2">
        <v>46094</v>
      </c>
      <c r="C69" t="s">
        <v>555</v>
      </c>
      <c r="D69" t="s">
        <v>566</v>
      </c>
      <c r="E69" t="s">
        <v>572</v>
      </c>
      <c r="F69" t="s">
        <v>573</v>
      </c>
      <c r="G69" t="s">
        <v>559</v>
      </c>
      <c r="H69">
        <v>4</v>
      </c>
      <c r="I69">
        <v>2398756</v>
      </c>
      <c r="J69">
        <v>6</v>
      </c>
    </row>
    <row r="70" spans="1:10">
      <c r="A70" t="s">
        <v>645</v>
      </c>
      <c r="B70" s="2">
        <v>46077</v>
      </c>
      <c r="C70" t="s">
        <v>555</v>
      </c>
      <c r="D70" t="s">
        <v>578</v>
      </c>
      <c r="E70" t="s">
        <v>576</v>
      </c>
      <c r="F70" t="s">
        <v>563</v>
      </c>
      <c r="G70" t="s">
        <v>590</v>
      </c>
      <c r="H70">
        <v>39</v>
      </c>
      <c r="I70">
        <v>2307282</v>
      </c>
      <c r="J70">
        <v>6</v>
      </c>
    </row>
    <row r="71" spans="1:10">
      <c r="A71" t="s">
        <v>646</v>
      </c>
      <c r="B71" s="2">
        <v>46031</v>
      </c>
      <c r="C71" t="s">
        <v>588</v>
      </c>
      <c r="D71" t="s">
        <v>566</v>
      </c>
      <c r="E71" t="s">
        <v>557</v>
      </c>
      <c r="F71" t="s">
        <v>568</v>
      </c>
      <c r="G71" t="s">
        <v>569</v>
      </c>
      <c r="H71">
        <v>2</v>
      </c>
      <c r="I71">
        <v>130257</v>
      </c>
      <c r="J71">
        <v>12</v>
      </c>
    </row>
    <row r="72" spans="1:10">
      <c r="A72" t="s">
        <v>647</v>
      </c>
      <c r="B72" s="2">
        <v>46069</v>
      </c>
      <c r="C72" t="s">
        <v>555</v>
      </c>
      <c r="D72" t="s">
        <v>584</v>
      </c>
      <c r="E72" t="s">
        <v>567</v>
      </c>
      <c r="F72" t="s">
        <v>568</v>
      </c>
      <c r="G72" t="s">
        <v>590</v>
      </c>
      <c r="H72">
        <v>39</v>
      </c>
      <c r="I72">
        <v>507427</v>
      </c>
      <c r="J72">
        <v>6</v>
      </c>
    </row>
    <row r="73" spans="1:10">
      <c r="A73" t="s">
        <v>648</v>
      </c>
      <c r="B73" s="2">
        <v>46037</v>
      </c>
      <c r="C73" t="s">
        <v>575</v>
      </c>
      <c r="D73" t="s">
        <v>578</v>
      </c>
      <c r="E73" t="s">
        <v>576</v>
      </c>
      <c r="F73" t="s">
        <v>573</v>
      </c>
      <c r="G73" t="s">
        <v>590</v>
      </c>
      <c r="H73">
        <v>30</v>
      </c>
      <c r="I73">
        <v>1085257</v>
      </c>
      <c r="J73">
        <v>6</v>
      </c>
    </row>
    <row r="74" spans="1:10">
      <c r="A74" t="s">
        <v>649</v>
      </c>
      <c r="B74" s="2">
        <v>46070</v>
      </c>
      <c r="C74" t="s">
        <v>561</v>
      </c>
      <c r="D74" t="s">
        <v>566</v>
      </c>
      <c r="E74" t="s">
        <v>567</v>
      </c>
      <c r="F74" t="s">
        <v>558</v>
      </c>
      <c r="G74" t="s">
        <v>559</v>
      </c>
      <c r="H74">
        <v>6</v>
      </c>
      <c r="I74">
        <v>1201267</v>
      </c>
      <c r="J74">
        <v>24</v>
      </c>
    </row>
    <row r="75" spans="1:10">
      <c r="A75" t="s">
        <v>650</v>
      </c>
      <c r="B75" s="2">
        <v>46132</v>
      </c>
      <c r="C75" t="s">
        <v>588</v>
      </c>
      <c r="D75" t="s">
        <v>556</v>
      </c>
      <c r="E75" t="s">
        <v>567</v>
      </c>
      <c r="F75" t="s">
        <v>563</v>
      </c>
      <c r="G75" t="s">
        <v>564</v>
      </c>
      <c r="H75">
        <v>22</v>
      </c>
      <c r="I75">
        <v>2155845</v>
      </c>
      <c r="J75">
        <v>12</v>
      </c>
    </row>
    <row r="76" spans="1:10">
      <c r="A76" t="s">
        <v>651</v>
      </c>
      <c r="B76" s="2">
        <v>46126</v>
      </c>
      <c r="C76" t="s">
        <v>571</v>
      </c>
      <c r="D76" t="s">
        <v>596</v>
      </c>
      <c r="E76" t="s">
        <v>557</v>
      </c>
      <c r="F76" t="s">
        <v>563</v>
      </c>
      <c r="G76" t="s">
        <v>564</v>
      </c>
      <c r="H76">
        <v>68</v>
      </c>
      <c r="I76">
        <v>1752632</v>
      </c>
      <c r="J76">
        <v>6</v>
      </c>
    </row>
    <row r="77" spans="1:10">
      <c r="A77" t="s">
        <v>652</v>
      </c>
      <c r="B77" s="2">
        <v>46104</v>
      </c>
      <c r="C77" t="s">
        <v>571</v>
      </c>
      <c r="D77" t="s">
        <v>566</v>
      </c>
      <c r="E77" t="s">
        <v>572</v>
      </c>
      <c r="F77" t="s">
        <v>573</v>
      </c>
      <c r="G77" t="s">
        <v>590</v>
      </c>
      <c r="H77">
        <v>48</v>
      </c>
      <c r="I77">
        <v>518829</v>
      </c>
      <c r="J77">
        <v>24</v>
      </c>
    </row>
    <row r="78" spans="1:10">
      <c r="A78" t="s">
        <v>653</v>
      </c>
      <c r="B78" s="2">
        <v>46064</v>
      </c>
      <c r="C78" t="s">
        <v>561</v>
      </c>
      <c r="D78" t="s">
        <v>584</v>
      </c>
      <c r="E78" t="s">
        <v>557</v>
      </c>
      <c r="F78" t="s">
        <v>563</v>
      </c>
      <c r="G78" t="s">
        <v>590</v>
      </c>
      <c r="H78">
        <v>36</v>
      </c>
      <c r="I78">
        <v>643898</v>
      </c>
      <c r="J78">
        <v>12</v>
      </c>
    </row>
    <row r="79" spans="1:10">
      <c r="A79" t="s">
        <v>654</v>
      </c>
      <c r="B79" s="2">
        <v>46082</v>
      </c>
      <c r="C79" t="s">
        <v>588</v>
      </c>
      <c r="D79" t="s">
        <v>562</v>
      </c>
      <c r="E79" t="s">
        <v>567</v>
      </c>
      <c r="F79" t="s">
        <v>563</v>
      </c>
      <c r="G79" t="s">
        <v>564</v>
      </c>
      <c r="H79">
        <v>69</v>
      </c>
      <c r="I79">
        <v>1646933</v>
      </c>
      <c r="J79">
        <v>12</v>
      </c>
    </row>
    <row r="80" spans="1:10">
      <c r="A80" t="s">
        <v>655</v>
      </c>
      <c r="B80" s="2">
        <v>46106</v>
      </c>
      <c r="C80" t="s">
        <v>555</v>
      </c>
      <c r="D80" t="s">
        <v>566</v>
      </c>
      <c r="E80" t="s">
        <v>576</v>
      </c>
      <c r="F80" t="s">
        <v>558</v>
      </c>
      <c r="G80" t="s">
        <v>564</v>
      </c>
      <c r="H80">
        <v>70</v>
      </c>
      <c r="I80">
        <v>425329</v>
      </c>
      <c r="J80">
        <v>24</v>
      </c>
    </row>
    <row r="81" spans="1:10">
      <c r="A81" t="s">
        <v>656</v>
      </c>
      <c r="B81" s="2">
        <v>46092</v>
      </c>
      <c r="C81" t="s">
        <v>555</v>
      </c>
      <c r="D81" t="s">
        <v>562</v>
      </c>
      <c r="E81" t="s">
        <v>567</v>
      </c>
      <c r="F81" t="s">
        <v>558</v>
      </c>
      <c r="G81" t="s">
        <v>559</v>
      </c>
      <c r="H81">
        <v>2</v>
      </c>
      <c r="I81">
        <v>1327222</v>
      </c>
      <c r="J81">
        <v>24</v>
      </c>
    </row>
    <row r="82" spans="1:10">
      <c r="A82" t="s">
        <v>657</v>
      </c>
      <c r="B82" s="2">
        <v>46034</v>
      </c>
      <c r="C82" t="s">
        <v>575</v>
      </c>
      <c r="D82" t="s">
        <v>556</v>
      </c>
      <c r="E82" t="s">
        <v>576</v>
      </c>
      <c r="F82" t="s">
        <v>573</v>
      </c>
      <c r="G82" t="s">
        <v>569</v>
      </c>
      <c r="H82">
        <v>69</v>
      </c>
      <c r="I82">
        <v>1141482</v>
      </c>
      <c r="J82">
        <v>24</v>
      </c>
    </row>
    <row r="83" spans="1:10">
      <c r="A83" t="s">
        <v>658</v>
      </c>
      <c r="B83" s="2">
        <v>46024</v>
      </c>
      <c r="C83" t="s">
        <v>575</v>
      </c>
      <c r="D83" t="s">
        <v>566</v>
      </c>
      <c r="E83" t="s">
        <v>576</v>
      </c>
      <c r="F83" t="s">
        <v>558</v>
      </c>
      <c r="G83" t="s">
        <v>590</v>
      </c>
      <c r="H83">
        <v>13</v>
      </c>
      <c r="I83">
        <v>1666996</v>
      </c>
      <c r="J83">
        <v>24</v>
      </c>
    </row>
    <row r="84" spans="1:10">
      <c r="A84" t="s">
        <v>659</v>
      </c>
      <c r="B84" s="2">
        <v>46029</v>
      </c>
      <c r="C84" t="s">
        <v>555</v>
      </c>
      <c r="D84" t="s">
        <v>578</v>
      </c>
      <c r="E84" t="s">
        <v>557</v>
      </c>
      <c r="F84" t="s">
        <v>573</v>
      </c>
      <c r="G84" t="s">
        <v>564</v>
      </c>
      <c r="H84">
        <v>61</v>
      </c>
      <c r="I84">
        <v>1643812</v>
      </c>
      <c r="J84">
        <v>24</v>
      </c>
    </row>
    <row r="85" spans="1:10">
      <c r="A85" t="s">
        <v>660</v>
      </c>
      <c r="B85" s="2">
        <v>46102</v>
      </c>
      <c r="C85" t="s">
        <v>571</v>
      </c>
      <c r="D85" t="s">
        <v>562</v>
      </c>
      <c r="E85" t="s">
        <v>567</v>
      </c>
      <c r="F85" t="s">
        <v>568</v>
      </c>
      <c r="G85" t="s">
        <v>590</v>
      </c>
      <c r="H85">
        <v>28</v>
      </c>
      <c r="I85">
        <v>2051144</v>
      </c>
      <c r="J85">
        <v>6</v>
      </c>
    </row>
    <row r="86" spans="1:10">
      <c r="A86" t="s">
        <v>661</v>
      </c>
      <c r="B86" s="2">
        <v>46025</v>
      </c>
      <c r="C86" t="s">
        <v>571</v>
      </c>
      <c r="D86" t="s">
        <v>556</v>
      </c>
      <c r="E86" t="s">
        <v>572</v>
      </c>
      <c r="F86" t="s">
        <v>573</v>
      </c>
      <c r="G86" t="s">
        <v>590</v>
      </c>
      <c r="H86">
        <v>57</v>
      </c>
      <c r="I86">
        <v>965256</v>
      </c>
      <c r="J86">
        <v>6</v>
      </c>
    </row>
    <row r="87" spans="1:10">
      <c r="A87" t="s">
        <v>662</v>
      </c>
      <c r="B87" s="2">
        <v>46131</v>
      </c>
      <c r="C87" t="s">
        <v>575</v>
      </c>
      <c r="D87" t="s">
        <v>578</v>
      </c>
      <c r="E87" t="s">
        <v>567</v>
      </c>
      <c r="F87" t="s">
        <v>568</v>
      </c>
      <c r="G87" t="s">
        <v>564</v>
      </c>
      <c r="H87">
        <v>24</v>
      </c>
      <c r="I87">
        <v>2095957</v>
      </c>
      <c r="J87">
        <v>12</v>
      </c>
    </row>
    <row r="88" spans="1:10">
      <c r="A88" t="s">
        <v>663</v>
      </c>
      <c r="B88" s="2">
        <v>46025</v>
      </c>
      <c r="C88" t="s">
        <v>561</v>
      </c>
      <c r="D88" t="s">
        <v>578</v>
      </c>
      <c r="E88" t="s">
        <v>567</v>
      </c>
      <c r="F88" t="s">
        <v>573</v>
      </c>
      <c r="G88" t="s">
        <v>559</v>
      </c>
      <c r="H88">
        <v>26</v>
      </c>
      <c r="I88">
        <v>100917</v>
      </c>
      <c r="J88">
        <v>6</v>
      </c>
    </row>
    <row r="89" spans="1:10">
      <c r="A89" t="s">
        <v>664</v>
      </c>
      <c r="B89" s="2">
        <v>46049</v>
      </c>
      <c r="C89" t="s">
        <v>555</v>
      </c>
      <c r="D89" t="s">
        <v>578</v>
      </c>
      <c r="E89" t="s">
        <v>572</v>
      </c>
      <c r="F89" t="s">
        <v>563</v>
      </c>
      <c r="G89" t="s">
        <v>590</v>
      </c>
      <c r="H89">
        <v>22</v>
      </c>
      <c r="I89">
        <v>951007</v>
      </c>
      <c r="J89">
        <v>6</v>
      </c>
    </row>
    <row r="90" spans="1:10">
      <c r="A90" t="s">
        <v>665</v>
      </c>
      <c r="B90" s="2">
        <v>46136</v>
      </c>
      <c r="C90" t="s">
        <v>575</v>
      </c>
      <c r="D90" t="s">
        <v>578</v>
      </c>
      <c r="E90" t="s">
        <v>557</v>
      </c>
      <c r="F90" t="s">
        <v>558</v>
      </c>
      <c r="G90" t="s">
        <v>559</v>
      </c>
      <c r="H90">
        <v>62</v>
      </c>
      <c r="I90">
        <v>379143</v>
      </c>
      <c r="J90">
        <v>6</v>
      </c>
    </row>
    <row r="91" spans="1:10">
      <c r="A91" t="s">
        <v>666</v>
      </c>
      <c r="B91" s="2">
        <v>46129</v>
      </c>
      <c r="C91" t="s">
        <v>575</v>
      </c>
      <c r="D91" t="s">
        <v>566</v>
      </c>
      <c r="E91" t="s">
        <v>567</v>
      </c>
      <c r="F91" t="s">
        <v>568</v>
      </c>
      <c r="G91" t="s">
        <v>564</v>
      </c>
      <c r="H91">
        <v>64</v>
      </c>
      <c r="I91">
        <v>362091</v>
      </c>
      <c r="J91">
        <v>24</v>
      </c>
    </row>
    <row r="92" spans="1:10">
      <c r="A92" t="s">
        <v>667</v>
      </c>
      <c r="B92" s="2">
        <v>46062</v>
      </c>
      <c r="C92" t="s">
        <v>555</v>
      </c>
      <c r="D92" t="s">
        <v>596</v>
      </c>
      <c r="E92" t="s">
        <v>567</v>
      </c>
      <c r="F92" t="s">
        <v>573</v>
      </c>
      <c r="G92" t="s">
        <v>569</v>
      </c>
      <c r="H92">
        <v>53</v>
      </c>
      <c r="I92">
        <v>1603637</v>
      </c>
      <c r="J92">
        <v>12</v>
      </c>
    </row>
    <row r="93" spans="1:10">
      <c r="A93" t="s">
        <v>668</v>
      </c>
      <c r="B93" s="2">
        <v>46124</v>
      </c>
      <c r="C93" t="s">
        <v>555</v>
      </c>
      <c r="D93" t="s">
        <v>566</v>
      </c>
      <c r="E93" t="s">
        <v>576</v>
      </c>
      <c r="F93" t="s">
        <v>558</v>
      </c>
      <c r="G93" t="s">
        <v>569</v>
      </c>
      <c r="H93">
        <v>26</v>
      </c>
      <c r="I93">
        <v>503157</v>
      </c>
      <c r="J93">
        <v>12</v>
      </c>
    </row>
    <row r="94" spans="1:10">
      <c r="A94" t="s">
        <v>669</v>
      </c>
      <c r="B94" s="2">
        <v>46055</v>
      </c>
      <c r="C94" t="s">
        <v>571</v>
      </c>
      <c r="D94" t="s">
        <v>566</v>
      </c>
      <c r="E94" t="s">
        <v>567</v>
      </c>
      <c r="F94" t="s">
        <v>573</v>
      </c>
      <c r="G94" t="s">
        <v>590</v>
      </c>
      <c r="H94">
        <v>56</v>
      </c>
      <c r="I94">
        <v>2045692</v>
      </c>
      <c r="J94">
        <v>12</v>
      </c>
    </row>
    <row r="95" spans="1:10">
      <c r="A95" t="s">
        <v>670</v>
      </c>
      <c r="B95" s="2">
        <v>46114</v>
      </c>
      <c r="C95" t="s">
        <v>561</v>
      </c>
      <c r="D95" t="s">
        <v>556</v>
      </c>
      <c r="E95" t="s">
        <v>572</v>
      </c>
      <c r="F95" t="s">
        <v>558</v>
      </c>
      <c r="G95" t="s">
        <v>564</v>
      </c>
      <c r="H95">
        <v>47</v>
      </c>
      <c r="I95">
        <v>2256973</v>
      </c>
      <c r="J95">
        <v>12</v>
      </c>
    </row>
    <row r="96" spans="1:10">
      <c r="A96" t="s">
        <v>671</v>
      </c>
      <c r="B96" s="2">
        <v>46023</v>
      </c>
      <c r="C96" t="s">
        <v>561</v>
      </c>
      <c r="D96" t="s">
        <v>556</v>
      </c>
      <c r="E96" t="s">
        <v>576</v>
      </c>
      <c r="F96" t="s">
        <v>558</v>
      </c>
      <c r="G96" t="s">
        <v>559</v>
      </c>
      <c r="H96">
        <v>33</v>
      </c>
      <c r="I96">
        <v>349265</v>
      </c>
      <c r="J96">
        <v>6</v>
      </c>
    </row>
    <row r="97" spans="1:10">
      <c r="A97" t="s">
        <v>672</v>
      </c>
      <c r="B97" s="2">
        <v>46141</v>
      </c>
      <c r="C97" t="s">
        <v>555</v>
      </c>
      <c r="D97" t="s">
        <v>596</v>
      </c>
      <c r="E97" t="s">
        <v>557</v>
      </c>
      <c r="F97" t="s">
        <v>573</v>
      </c>
      <c r="G97" t="s">
        <v>590</v>
      </c>
      <c r="H97">
        <v>56</v>
      </c>
      <c r="I97">
        <v>2471488</v>
      </c>
      <c r="J97">
        <v>6</v>
      </c>
    </row>
    <row r="98" spans="1:10">
      <c r="A98" t="s">
        <v>673</v>
      </c>
      <c r="B98" s="2">
        <v>46030</v>
      </c>
      <c r="C98" t="s">
        <v>588</v>
      </c>
      <c r="D98" t="s">
        <v>556</v>
      </c>
      <c r="E98" t="s">
        <v>576</v>
      </c>
      <c r="F98" t="s">
        <v>568</v>
      </c>
      <c r="G98" t="s">
        <v>564</v>
      </c>
      <c r="H98">
        <v>6</v>
      </c>
      <c r="I98">
        <v>1484822</v>
      </c>
      <c r="J98">
        <v>24</v>
      </c>
    </row>
    <row r="99" spans="1:10">
      <c r="A99" t="s">
        <v>674</v>
      </c>
      <c r="B99" s="2">
        <v>46123</v>
      </c>
      <c r="C99" t="s">
        <v>575</v>
      </c>
      <c r="D99" t="s">
        <v>584</v>
      </c>
      <c r="E99" t="s">
        <v>572</v>
      </c>
      <c r="F99" t="s">
        <v>568</v>
      </c>
      <c r="G99" t="s">
        <v>564</v>
      </c>
      <c r="H99">
        <v>37</v>
      </c>
      <c r="I99">
        <v>2400986</v>
      </c>
      <c r="J99">
        <v>12</v>
      </c>
    </row>
    <row r="100" spans="1:10">
      <c r="A100" t="s">
        <v>675</v>
      </c>
      <c r="B100" s="2">
        <v>46054</v>
      </c>
      <c r="C100" t="s">
        <v>575</v>
      </c>
      <c r="D100" t="s">
        <v>596</v>
      </c>
      <c r="E100" t="s">
        <v>572</v>
      </c>
      <c r="F100" t="s">
        <v>563</v>
      </c>
      <c r="G100" t="s">
        <v>559</v>
      </c>
      <c r="H100">
        <v>50</v>
      </c>
      <c r="I100">
        <v>1907402</v>
      </c>
      <c r="J100">
        <v>6</v>
      </c>
    </row>
    <row r="101" spans="1:10">
      <c r="A101" t="s">
        <v>676</v>
      </c>
      <c r="B101" s="2">
        <v>46070</v>
      </c>
      <c r="C101" t="s">
        <v>555</v>
      </c>
      <c r="D101" t="s">
        <v>556</v>
      </c>
      <c r="E101" t="s">
        <v>576</v>
      </c>
      <c r="F101" t="s">
        <v>558</v>
      </c>
      <c r="G101" t="s">
        <v>590</v>
      </c>
      <c r="H101">
        <v>59</v>
      </c>
      <c r="I101">
        <v>2049902</v>
      </c>
      <c r="J101">
        <v>6</v>
      </c>
    </row>
    <row r="102" spans="1:10">
      <c r="A102" t="s">
        <v>677</v>
      </c>
      <c r="B102" s="2">
        <v>46129</v>
      </c>
      <c r="C102" t="s">
        <v>588</v>
      </c>
      <c r="D102" t="s">
        <v>596</v>
      </c>
      <c r="E102" t="s">
        <v>557</v>
      </c>
      <c r="F102" t="s">
        <v>563</v>
      </c>
      <c r="G102" t="s">
        <v>564</v>
      </c>
      <c r="H102">
        <v>40</v>
      </c>
      <c r="I102">
        <v>1235371</v>
      </c>
      <c r="J102">
        <v>24</v>
      </c>
    </row>
    <row r="103" spans="1:10">
      <c r="A103" t="s">
        <v>678</v>
      </c>
      <c r="B103" s="2">
        <v>46123</v>
      </c>
      <c r="C103" t="s">
        <v>571</v>
      </c>
      <c r="D103" t="s">
        <v>566</v>
      </c>
      <c r="E103" t="s">
        <v>576</v>
      </c>
      <c r="F103" t="s">
        <v>563</v>
      </c>
      <c r="G103" t="s">
        <v>564</v>
      </c>
      <c r="H103">
        <v>62</v>
      </c>
      <c r="I103">
        <v>428821</v>
      </c>
      <c r="J103">
        <v>24</v>
      </c>
    </row>
    <row r="104" spans="1:10">
      <c r="A104" t="s">
        <v>679</v>
      </c>
      <c r="B104" s="2">
        <v>46026</v>
      </c>
      <c r="C104" t="s">
        <v>555</v>
      </c>
      <c r="D104" t="s">
        <v>566</v>
      </c>
      <c r="E104" t="s">
        <v>557</v>
      </c>
      <c r="F104" t="s">
        <v>573</v>
      </c>
      <c r="G104" t="s">
        <v>564</v>
      </c>
      <c r="H104">
        <v>10</v>
      </c>
      <c r="I104">
        <v>759987</v>
      </c>
      <c r="J104">
        <v>24</v>
      </c>
    </row>
    <row r="105" spans="1:10">
      <c r="A105" t="s">
        <v>680</v>
      </c>
      <c r="B105" s="2">
        <v>46116</v>
      </c>
      <c r="C105" t="s">
        <v>555</v>
      </c>
      <c r="D105" t="s">
        <v>596</v>
      </c>
      <c r="E105" t="s">
        <v>576</v>
      </c>
      <c r="F105" t="s">
        <v>573</v>
      </c>
      <c r="G105" t="s">
        <v>559</v>
      </c>
      <c r="H105">
        <v>7</v>
      </c>
      <c r="I105">
        <v>343877</v>
      </c>
      <c r="J105">
        <v>6</v>
      </c>
    </row>
    <row r="106" spans="1:10">
      <c r="A106" t="s">
        <v>681</v>
      </c>
      <c r="B106" s="2">
        <v>46092</v>
      </c>
      <c r="C106" t="s">
        <v>575</v>
      </c>
      <c r="D106" t="s">
        <v>584</v>
      </c>
      <c r="E106" t="s">
        <v>572</v>
      </c>
      <c r="F106" t="s">
        <v>573</v>
      </c>
      <c r="G106" t="s">
        <v>590</v>
      </c>
      <c r="H106">
        <v>36</v>
      </c>
      <c r="I106">
        <v>1647419</v>
      </c>
      <c r="J106">
        <v>6</v>
      </c>
    </row>
    <row r="107" spans="1:10">
      <c r="A107" t="s">
        <v>682</v>
      </c>
      <c r="B107" s="2">
        <v>46132</v>
      </c>
      <c r="C107" t="s">
        <v>555</v>
      </c>
      <c r="D107" t="s">
        <v>584</v>
      </c>
      <c r="E107" t="s">
        <v>567</v>
      </c>
      <c r="F107" t="s">
        <v>558</v>
      </c>
      <c r="G107" t="s">
        <v>590</v>
      </c>
      <c r="H107">
        <v>40</v>
      </c>
      <c r="I107">
        <v>1020759</v>
      </c>
      <c r="J107">
        <v>24</v>
      </c>
    </row>
    <row r="108" spans="1:10">
      <c r="A108" t="s">
        <v>683</v>
      </c>
      <c r="B108" s="2">
        <v>46140</v>
      </c>
      <c r="C108" t="s">
        <v>555</v>
      </c>
      <c r="D108" t="s">
        <v>596</v>
      </c>
      <c r="E108" t="s">
        <v>567</v>
      </c>
      <c r="F108" t="s">
        <v>573</v>
      </c>
      <c r="G108" t="s">
        <v>590</v>
      </c>
      <c r="H108">
        <v>23</v>
      </c>
      <c r="I108">
        <v>1861369</v>
      </c>
      <c r="J108">
        <v>12</v>
      </c>
    </row>
    <row r="109" spans="1:10">
      <c r="A109" t="s">
        <v>684</v>
      </c>
      <c r="B109" s="2">
        <v>46041</v>
      </c>
      <c r="C109" t="s">
        <v>555</v>
      </c>
      <c r="D109" t="s">
        <v>556</v>
      </c>
      <c r="E109" t="s">
        <v>557</v>
      </c>
      <c r="F109" t="s">
        <v>573</v>
      </c>
      <c r="G109" t="s">
        <v>590</v>
      </c>
      <c r="H109">
        <v>42</v>
      </c>
      <c r="I109">
        <v>2333437</v>
      </c>
      <c r="J109">
        <v>24</v>
      </c>
    </row>
    <row r="110" spans="1:10">
      <c r="A110" t="s">
        <v>685</v>
      </c>
      <c r="B110" s="2">
        <v>46054</v>
      </c>
      <c r="C110" t="s">
        <v>575</v>
      </c>
      <c r="D110" t="s">
        <v>562</v>
      </c>
      <c r="E110" t="s">
        <v>557</v>
      </c>
      <c r="F110" t="s">
        <v>558</v>
      </c>
      <c r="G110" t="s">
        <v>569</v>
      </c>
      <c r="H110">
        <v>6</v>
      </c>
      <c r="I110">
        <v>1692268</v>
      </c>
      <c r="J110">
        <v>24</v>
      </c>
    </row>
    <row r="111" spans="1:10">
      <c r="A111" t="s">
        <v>686</v>
      </c>
      <c r="B111" s="2">
        <v>46031</v>
      </c>
      <c r="C111" t="s">
        <v>571</v>
      </c>
      <c r="D111" t="s">
        <v>584</v>
      </c>
      <c r="E111" t="s">
        <v>557</v>
      </c>
      <c r="F111" t="s">
        <v>558</v>
      </c>
      <c r="G111" t="s">
        <v>569</v>
      </c>
      <c r="H111">
        <v>43</v>
      </c>
      <c r="I111">
        <v>2313697</v>
      </c>
      <c r="J111">
        <v>24</v>
      </c>
    </row>
    <row r="112" spans="1:10">
      <c r="A112" t="s">
        <v>687</v>
      </c>
      <c r="B112" s="2">
        <v>46034</v>
      </c>
      <c r="C112" t="s">
        <v>571</v>
      </c>
      <c r="D112" t="s">
        <v>578</v>
      </c>
      <c r="E112" t="s">
        <v>572</v>
      </c>
      <c r="F112" t="s">
        <v>568</v>
      </c>
      <c r="G112" t="s">
        <v>590</v>
      </c>
      <c r="H112">
        <v>68</v>
      </c>
      <c r="I112">
        <v>1567172</v>
      </c>
      <c r="J112">
        <v>24</v>
      </c>
    </row>
    <row r="113" spans="1:10">
      <c r="A113" t="s">
        <v>688</v>
      </c>
      <c r="B113" s="2">
        <v>46033</v>
      </c>
      <c r="C113" t="s">
        <v>555</v>
      </c>
      <c r="D113" t="s">
        <v>566</v>
      </c>
      <c r="E113" t="s">
        <v>576</v>
      </c>
      <c r="F113" t="s">
        <v>573</v>
      </c>
      <c r="G113" t="s">
        <v>559</v>
      </c>
      <c r="H113">
        <v>31</v>
      </c>
      <c r="I113">
        <v>1856963</v>
      </c>
      <c r="J113">
        <v>6</v>
      </c>
    </row>
    <row r="114" spans="1:10">
      <c r="A114" t="s">
        <v>689</v>
      </c>
      <c r="B114" s="2">
        <v>46068</v>
      </c>
      <c r="C114" t="s">
        <v>575</v>
      </c>
      <c r="D114" t="s">
        <v>596</v>
      </c>
      <c r="E114" t="s">
        <v>572</v>
      </c>
      <c r="F114" t="s">
        <v>573</v>
      </c>
      <c r="G114" t="s">
        <v>569</v>
      </c>
      <c r="H114">
        <v>58</v>
      </c>
      <c r="I114">
        <v>1958997</v>
      </c>
      <c r="J114">
        <v>12</v>
      </c>
    </row>
    <row r="115" spans="1:10">
      <c r="A115" t="s">
        <v>690</v>
      </c>
      <c r="B115" s="2">
        <v>46141</v>
      </c>
      <c r="C115" t="s">
        <v>571</v>
      </c>
      <c r="D115" t="s">
        <v>578</v>
      </c>
      <c r="E115" t="s">
        <v>567</v>
      </c>
      <c r="F115" t="s">
        <v>573</v>
      </c>
      <c r="G115" t="s">
        <v>564</v>
      </c>
      <c r="H115">
        <v>30</v>
      </c>
      <c r="I115">
        <v>885945</v>
      </c>
      <c r="J115">
        <v>24</v>
      </c>
    </row>
    <row r="116" spans="1:10">
      <c r="A116" t="s">
        <v>691</v>
      </c>
      <c r="B116" s="2">
        <v>46038</v>
      </c>
      <c r="C116" t="s">
        <v>571</v>
      </c>
      <c r="D116" t="s">
        <v>596</v>
      </c>
      <c r="E116" t="s">
        <v>557</v>
      </c>
      <c r="F116" t="s">
        <v>568</v>
      </c>
      <c r="G116" t="s">
        <v>569</v>
      </c>
      <c r="H116">
        <v>38</v>
      </c>
      <c r="I116">
        <v>1518826</v>
      </c>
      <c r="J116">
        <v>12</v>
      </c>
    </row>
    <row r="117" spans="1:10">
      <c r="A117" t="s">
        <v>692</v>
      </c>
      <c r="B117" s="2">
        <v>46023</v>
      </c>
      <c r="C117" t="s">
        <v>571</v>
      </c>
      <c r="D117" t="s">
        <v>566</v>
      </c>
      <c r="E117" t="s">
        <v>576</v>
      </c>
      <c r="F117" t="s">
        <v>573</v>
      </c>
      <c r="G117" t="s">
        <v>564</v>
      </c>
      <c r="H117">
        <v>14</v>
      </c>
      <c r="I117">
        <v>386663</v>
      </c>
      <c r="J117">
        <v>12</v>
      </c>
    </row>
    <row r="118" spans="1:10">
      <c r="A118" t="s">
        <v>693</v>
      </c>
      <c r="B118" s="2">
        <v>46085</v>
      </c>
      <c r="C118" t="s">
        <v>575</v>
      </c>
      <c r="D118" t="s">
        <v>566</v>
      </c>
      <c r="E118" t="s">
        <v>567</v>
      </c>
      <c r="F118" t="s">
        <v>568</v>
      </c>
      <c r="G118" t="s">
        <v>590</v>
      </c>
      <c r="H118">
        <v>33</v>
      </c>
      <c r="I118">
        <v>881163</v>
      </c>
      <c r="J118">
        <v>12</v>
      </c>
    </row>
    <row r="119" spans="1:10">
      <c r="A119" t="s">
        <v>694</v>
      </c>
      <c r="B119" s="2">
        <v>46131</v>
      </c>
      <c r="C119" t="s">
        <v>575</v>
      </c>
      <c r="D119" t="s">
        <v>584</v>
      </c>
      <c r="E119" t="s">
        <v>567</v>
      </c>
      <c r="F119" t="s">
        <v>563</v>
      </c>
      <c r="G119" t="s">
        <v>569</v>
      </c>
      <c r="H119">
        <v>47</v>
      </c>
      <c r="I119">
        <v>1957447</v>
      </c>
      <c r="J119">
        <v>24</v>
      </c>
    </row>
    <row r="120" spans="1:10">
      <c r="A120" t="s">
        <v>695</v>
      </c>
      <c r="B120" s="2">
        <v>46141</v>
      </c>
      <c r="C120" t="s">
        <v>555</v>
      </c>
      <c r="D120" t="s">
        <v>584</v>
      </c>
      <c r="E120" t="s">
        <v>567</v>
      </c>
      <c r="F120" t="s">
        <v>568</v>
      </c>
      <c r="G120" t="s">
        <v>559</v>
      </c>
      <c r="H120">
        <v>24</v>
      </c>
      <c r="I120">
        <v>1529290</v>
      </c>
      <c r="J120">
        <v>6</v>
      </c>
    </row>
    <row r="121" spans="1:10">
      <c r="A121" t="s">
        <v>696</v>
      </c>
      <c r="B121" s="2">
        <v>46139</v>
      </c>
      <c r="C121" t="s">
        <v>561</v>
      </c>
      <c r="D121" t="s">
        <v>578</v>
      </c>
      <c r="E121" t="s">
        <v>572</v>
      </c>
      <c r="F121" t="s">
        <v>563</v>
      </c>
      <c r="G121" t="s">
        <v>569</v>
      </c>
      <c r="H121">
        <v>46</v>
      </c>
      <c r="I121">
        <v>1094453</v>
      </c>
      <c r="J121">
        <v>24</v>
      </c>
    </row>
    <row r="122" spans="1:10">
      <c r="A122" t="s">
        <v>697</v>
      </c>
      <c r="B122" s="2">
        <v>46043</v>
      </c>
      <c r="C122" t="s">
        <v>571</v>
      </c>
      <c r="D122" t="s">
        <v>596</v>
      </c>
      <c r="E122" t="s">
        <v>557</v>
      </c>
      <c r="F122" t="s">
        <v>573</v>
      </c>
      <c r="G122" t="s">
        <v>569</v>
      </c>
      <c r="H122">
        <v>18</v>
      </c>
      <c r="I122">
        <v>2212147</v>
      </c>
      <c r="J122">
        <v>12</v>
      </c>
    </row>
    <row r="123" spans="1:10">
      <c r="A123" t="s">
        <v>698</v>
      </c>
      <c r="B123" s="2">
        <v>46052</v>
      </c>
      <c r="C123" t="s">
        <v>561</v>
      </c>
      <c r="D123" t="s">
        <v>566</v>
      </c>
      <c r="E123" t="s">
        <v>567</v>
      </c>
      <c r="F123" t="s">
        <v>563</v>
      </c>
      <c r="G123" t="s">
        <v>569</v>
      </c>
      <c r="H123">
        <v>67</v>
      </c>
      <c r="I123">
        <v>2220711</v>
      </c>
      <c r="J123">
        <v>12</v>
      </c>
    </row>
    <row r="124" spans="1:10">
      <c r="A124" t="s">
        <v>699</v>
      </c>
      <c r="B124" s="2">
        <v>46035</v>
      </c>
      <c r="C124" t="s">
        <v>575</v>
      </c>
      <c r="D124" t="s">
        <v>578</v>
      </c>
      <c r="E124" t="s">
        <v>557</v>
      </c>
      <c r="F124" t="s">
        <v>568</v>
      </c>
      <c r="G124" t="s">
        <v>590</v>
      </c>
      <c r="H124">
        <v>7</v>
      </c>
      <c r="I124">
        <v>621244</v>
      </c>
      <c r="J124">
        <v>6</v>
      </c>
    </row>
    <row r="125" spans="1:10">
      <c r="A125" t="s">
        <v>700</v>
      </c>
      <c r="B125" s="2">
        <v>46056</v>
      </c>
      <c r="C125" t="s">
        <v>575</v>
      </c>
      <c r="D125" t="s">
        <v>562</v>
      </c>
      <c r="E125" t="s">
        <v>572</v>
      </c>
      <c r="F125" t="s">
        <v>558</v>
      </c>
      <c r="G125" t="s">
        <v>559</v>
      </c>
      <c r="H125">
        <v>19</v>
      </c>
      <c r="I125">
        <v>2176967</v>
      </c>
      <c r="J125">
        <v>24</v>
      </c>
    </row>
    <row r="126" spans="1:10">
      <c r="A126" t="s">
        <v>701</v>
      </c>
      <c r="B126" s="2">
        <v>46026</v>
      </c>
      <c r="C126" t="s">
        <v>575</v>
      </c>
      <c r="D126" t="s">
        <v>578</v>
      </c>
      <c r="E126" t="s">
        <v>567</v>
      </c>
      <c r="F126" t="s">
        <v>563</v>
      </c>
      <c r="G126" t="s">
        <v>569</v>
      </c>
      <c r="H126">
        <v>23</v>
      </c>
      <c r="I126">
        <v>1499769</v>
      </c>
      <c r="J126">
        <v>12</v>
      </c>
    </row>
    <row r="127" spans="1:10">
      <c r="A127" t="s">
        <v>702</v>
      </c>
      <c r="B127" s="2">
        <v>46050</v>
      </c>
      <c r="C127" t="s">
        <v>561</v>
      </c>
      <c r="D127" t="s">
        <v>556</v>
      </c>
      <c r="E127" t="s">
        <v>572</v>
      </c>
      <c r="F127" t="s">
        <v>563</v>
      </c>
      <c r="G127" t="s">
        <v>559</v>
      </c>
      <c r="H127">
        <v>34</v>
      </c>
      <c r="I127">
        <v>1825055</v>
      </c>
      <c r="J127">
        <v>6</v>
      </c>
    </row>
    <row r="128" spans="1:10">
      <c r="A128" t="s">
        <v>703</v>
      </c>
      <c r="B128" s="2">
        <v>46124</v>
      </c>
      <c r="C128" t="s">
        <v>575</v>
      </c>
      <c r="D128" t="s">
        <v>578</v>
      </c>
      <c r="E128" t="s">
        <v>572</v>
      </c>
      <c r="F128" t="s">
        <v>573</v>
      </c>
      <c r="G128" t="s">
        <v>590</v>
      </c>
      <c r="H128">
        <v>31</v>
      </c>
      <c r="I128">
        <v>544755</v>
      </c>
      <c r="J128">
        <v>12</v>
      </c>
    </row>
    <row r="129" spans="1:10">
      <c r="A129" t="s">
        <v>704</v>
      </c>
      <c r="B129" s="2">
        <v>46117</v>
      </c>
      <c r="C129" t="s">
        <v>555</v>
      </c>
      <c r="D129" t="s">
        <v>556</v>
      </c>
      <c r="E129" t="s">
        <v>557</v>
      </c>
      <c r="F129" t="s">
        <v>568</v>
      </c>
      <c r="G129" t="s">
        <v>564</v>
      </c>
      <c r="H129">
        <v>33</v>
      </c>
      <c r="I129">
        <v>588051</v>
      </c>
      <c r="J129">
        <v>6</v>
      </c>
    </row>
    <row r="130" spans="1:10">
      <c r="A130" t="s">
        <v>705</v>
      </c>
      <c r="B130" s="2">
        <v>46081</v>
      </c>
      <c r="C130" t="s">
        <v>575</v>
      </c>
      <c r="D130" t="s">
        <v>556</v>
      </c>
      <c r="E130" t="s">
        <v>567</v>
      </c>
      <c r="F130" t="s">
        <v>563</v>
      </c>
      <c r="G130" t="s">
        <v>569</v>
      </c>
      <c r="H130">
        <v>43</v>
      </c>
      <c r="I130">
        <v>925782</v>
      </c>
      <c r="J130">
        <v>6</v>
      </c>
    </row>
    <row r="131" spans="1:10">
      <c r="A131" t="s">
        <v>706</v>
      </c>
      <c r="B131" s="2">
        <v>46141</v>
      </c>
      <c r="C131" t="s">
        <v>588</v>
      </c>
      <c r="D131" t="s">
        <v>556</v>
      </c>
      <c r="E131" t="s">
        <v>572</v>
      </c>
      <c r="F131" t="s">
        <v>563</v>
      </c>
      <c r="G131" t="s">
        <v>559</v>
      </c>
      <c r="H131">
        <v>11</v>
      </c>
      <c r="I131">
        <v>539439</v>
      </c>
      <c r="J131">
        <v>24</v>
      </c>
    </row>
    <row r="132" spans="1:10">
      <c r="A132" t="s">
        <v>707</v>
      </c>
      <c r="B132" s="2">
        <v>46049</v>
      </c>
      <c r="C132" t="s">
        <v>561</v>
      </c>
      <c r="D132" t="s">
        <v>562</v>
      </c>
      <c r="E132" t="s">
        <v>567</v>
      </c>
      <c r="F132" t="s">
        <v>563</v>
      </c>
      <c r="G132" t="s">
        <v>559</v>
      </c>
      <c r="H132">
        <v>37</v>
      </c>
      <c r="I132">
        <v>1174093</v>
      </c>
      <c r="J132">
        <v>12</v>
      </c>
    </row>
    <row r="133" spans="1:10">
      <c r="A133" t="s">
        <v>708</v>
      </c>
      <c r="B133" s="2">
        <v>46091</v>
      </c>
      <c r="C133" t="s">
        <v>588</v>
      </c>
      <c r="D133" t="s">
        <v>578</v>
      </c>
      <c r="E133" t="s">
        <v>557</v>
      </c>
      <c r="F133" t="s">
        <v>563</v>
      </c>
      <c r="G133" t="s">
        <v>590</v>
      </c>
      <c r="H133">
        <v>35</v>
      </c>
      <c r="I133">
        <v>515466</v>
      </c>
      <c r="J133">
        <v>24</v>
      </c>
    </row>
    <row r="134" spans="1:10">
      <c r="A134" t="s">
        <v>709</v>
      </c>
      <c r="B134" s="2">
        <v>46047</v>
      </c>
      <c r="C134" t="s">
        <v>575</v>
      </c>
      <c r="D134" t="s">
        <v>578</v>
      </c>
      <c r="E134" t="s">
        <v>572</v>
      </c>
      <c r="F134" t="s">
        <v>558</v>
      </c>
      <c r="G134" t="s">
        <v>569</v>
      </c>
      <c r="H134">
        <v>29</v>
      </c>
      <c r="I134">
        <v>1364134</v>
      </c>
      <c r="J134">
        <v>12</v>
      </c>
    </row>
    <row r="135" spans="1:10">
      <c r="A135" t="s">
        <v>710</v>
      </c>
      <c r="B135" s="2">
        <v>46025</v>
      </c>
      <c r="C135" t="s">
        <v>555</v>
      </c>
      <c r="D135" t="s">
        <v>562</v>
      </c>
      <c r="E135" t="s">
        <v>557</v>
      </c>
      <c r="F135" t="s">
        <v>568</v>
      </c>
      <c r="G135" t="s">
        <v>564</v>
      </c>
      <c r="H135">
        <v>12</v>
      </c>
      <c r="I135">
        <v>1608590</v>
      </c>
      <c r="J135">
        <v>24</v>
      </c>
    </row>
    <row r="136" spans="1:10">
      <c r="A136" t="s">
        <v>711</v>
      </c>
      <c r="B136" s="2">
        <v>46119</v>
      </c>
      <c r="C136" t="s">
        <v>571</v>
      </c>
      <c r="D136" t="s">
        <v>566</v>
      </c>
      <c r="E136" t="s">
        <v>567</v>
      </c>
      <c r="F136" t="s">
        <v>573</v>
      </c>
      <c r="G136" t="s">
        <v>559</v>
      </c>
      <c r="H136">
        <v>40</v>
      </c>
      <c r="I136">
        <v>1665615</v>
      </c>
      <c r="J136">
        <v>12</v>
      </c>
    </row>
    <row r="137" spans="1:10">
      <c r="A137" t="s">
        <v>712</v>
      </c>
      <c r="B137" s="2">
        <v>46090</v>
      </c>
      <c r="C137" t="s">
        <v>575</v>
      </c>
      <c r="D137" t="s">
        <v>584</v>
      </c>
      <c r="E137" t="s">
        <v>567</v>
      </c>
      <c r="F137" t="s">
        <v>573</v>
      </c>
      <c r="G137" t="s">
        <v>569</v>
      </c>
      <c r="H137">
        <v>48</v>
      </c>
      <c r="I137">
        <v>1994554</v>
      </c>
      <c r="J137">
        <v>24</v>
      </c>
    </row>
    <row r="138" spans="1:10">
      <c r="A138" t="s">
        <v>713</v>
      </c>
      <c r="B138" s="2">
        <v>46047</v>
      </c>
      <c r="C138" t="s">
        <v>555</v>
      </c>
      <c r="D138" t="s">
        <v>578</v>
      </c>
      <c r="E138" t="s">
        <v>557</v>
      </c>
      <c r="F138" t="s">
        <v>558</v>
      </c>
      <c r="G138" t="s">
        <v>564</v>
      </c>
      <c r="H138">
        <v>20</v>
      </c>
      <c r="I138">
        <v>621396</v>
      </c>
      <c r="J138">
        <v>6</v>
      </c>
    </row>
    <row r="139" spans="1:10">
      <c r="A139" t="s">
        <v>714</v>
      </c>
      <c r="B139" s="2">
        <v>46042</v>
      </c>
      <c r="C139" t="s">
        <v>561</v>
      </c>
      <c r="D139" t="s">
        <v>584</v>
      </c>
      <c r="E139" t="s">
        <v>576</v>
      </c>
      <c r="F139" t="s">
        <v>568</v>
      </c>
      <c r="G139" t="s">
        <v>559</v>
      </c>
      <c r="H139">
        <v>16</v>
      </c>
      <c r="I139">
        <v>1254262</v>
      </c>
      <c r="J139">
        <v>12</v>
      </c>
    </row>
    <row r="140" spans="1:10">
      <c r="A140" t="s">
        <v>715</v>
      </c>
      <c r="B140" s="2">
        <v>46056</v>
      </c>
      <c r="C140" t="s">
        <v>588</v>
      </c>
      <c r="D140" t="s">
        <v>596</v>
      </c>
      <c r="E140" t="s">
        <v>572</v>
      </c>
      <c r="F140" t="s">
        <v>563</v>
      </c>
      <c r="G140" t="s">
        <v>559</v>
      </c>
      <c r="H140">
        <v>29</v>
      </c>
      <c r="I140">
        <v>1761015</v>
      </c>
      <c r="J140">
        <v>12</v>
      </c>
    </row>
    <row r="141" spans="1:10">
      <c r="A141" t="s">
        <v>716</v>
      </c>
      <c r="B141" s="2">
        <v>46048</v>
      </c>
      <c r="C141" t="s">
        <v>588</v>
      </c>
      <c r="D141" t="s">
        <v>596</v>
      </c>
      <c r="E141" t="s">
        <v>567</v>
      </c>
      <c r="F141" t="s">
        <v>558</v>
      </c>
      <c r="G141" t="s">
        <v>564</v>
      </c>
      <c r="H141">
        <v>25</v>
      </c>
      <c r="I141">
        <v>1047272</v>
      </c>
      <c r="J141">
        <v>6</v>
      </c>
    </row>
    <row r="142" spans="1:10">
      <c r="A142" t="s">
        <v>717</v>
      </c>
      <c r="B142" s="2">
        <v>46027</v>
      </c>
      <c r="C142" t="s">
        <v>588</v>
      </c>
      <c r="D142" t="s">
        <v>562</v>
      </c>
      <c r="E142" t="s">
        <v>567</v>
      </c>
      <c r="F142" t="s">
        <v>568</v>
      </c>
      <c r="G142" t="s">
        <v>564</v>
      </c>
      <c r="H142">
        <v>10</v>
      </c>
      <c r="I142">
        <v>819778</v>
      </c>
      <c r="J142">
        <v>24</v>
      </c>
    </row>
    <row r="143" spans="1:10">
      <c r="A143" t="s">
        <v>718</v>
      </c>
      <c r="B143" s="2">
        <v>46121</v>
      </c>
      <c r="C143" t="s">
        <v>561</v>
      </c>
      <c r="D143" t="s">
        <v>596</v>
      </c>
      <c r="E143" t="s">
        <v>572</v>
      </c>
      <c r="F143" t="s">
        <v>563</v>
      </c>
      <c r="G143" t="s">
        <v>590</v>
      </c>
      <c r="H143">
        <v>48</v>
      </c>
      <c r="I143">
        <v>1636178</v>
      </c>
      <c r="J143">
        <v>12</v>
      </c>
    </row>
    <row r="144" spans="1:10">
      <c r="A144" t="s">
        <v>719</v>
      </c>
      <c r="B144" s="2">
        <v>46083</v>
      </c>
      <c r="C144" t="s">
        <v>555</v>
      </c>
      <c r="D144" t="s">
        <v>596</v>
      </c>
      <c r="E144" t="s">
        <v>557</v>
      </c>
      <c r="F144" t="s">
        <v>558</v>
      </c>
      <c r="G144" t="s">
        <v>569</v>
      </c>
      <c r="H144">
        <v>34</v>
      </c>
      <c r="I144">
        <v>1846724</v>
      </c>
      <c r="J144">
        <v>12</v>
      </c>
    </row>
    <row r="145" spans="1:10">
      <c r="A145" t="s">
        <v>720</v>
      </c>
      <c r="B145" s="2">
        <v>46114</v>
      </c>
      <c r="C145" t="s">
        <v>561</v>
      </c>
      <c r="D145" t="s">
        <v>566</v>
      </c>
      <c r="E145" t="s">
        <v>557</v>
      </c>
      <c r="F145" t="s">
        <v>568</v>
      </c>
      <c r="G145" t="s">
        <v>569</v>
      </c>
      <c r="H145">
        <v>63</v>
      </c>
      <c r="I145">
        <v>2249598</v>
      </c>
      <c r="J145">
        <v>24</v>
      </c>
    </row>
    <row r="146" spans="1:10">
      <c r="A146" t="s">
        <v>721</v>
      </c>
      <c r="B146" s="2">
        <v>46115</v>
      </c>
      <c r="C146" t="s">
        <v>588</v>
      </c>
      <c r="D146" t="s">
        <v>566</v>
      </c>
      <c r="E146" t="s">
        <v>557</v>
      </c>
      <c r="F146" t="s">
        <v>573</v>
      </c>
      <c r="G146" t="s">
        <v>590</v>
      </c>
      <c r="H146">
        <v>20</v>
      </c>
      <c r="I146">
        <v>811943</v>
      </c>
      <c r="J146">
        <v>6</v>
      </c>
    </row>
    <row r="147" spans="1:10">
      <c r="A147" t="s">
        <v>722</v>
      </c>
      <c r="B147" s="2">
        <v>46031</v>
      </c>
      <c r="C147" t="s">
        <v>575</v>
      </c>
      <c r="D147" t="s">
        <v>566</v>
      </c>
      <c r="E147" t="s">
        <v>576</v>
      </c>
      <c r="F147" t="s">
        <v>573</v>
      </c>
      <c r="G147" t="s">
        <v>559</v>
      </c>
      <c r="H147">
        <v>68</v>
      </c>
      <c r="I147">
        <v>1575790</v>
      </c>
      <c r="J147">
        <v>24</v>
      </c>
    </row>
    <row r="148" spans="1:10">
      <c r="A148" t="s">
        <v>723</v>
      </c>
      <c r="B148" s="2">
        <v>46138</v>
      </c>
      <c r="C148" t="s">
        <v>571</v>
      </c>
      <c r="D148" t="s">
        <v>596</v>
      </c>
      <c r="E148" t="s">
        <v>576</v>
      </c>
      <c r="F148" t="s">
        <v>568</v>
      </c>
      <c r="G148" t="s">
        <v>564</v>
      </c>
      <c r="H148">
        <v>41</v>
      </c>
      <c r="I148">
        <v>2337300</v>
      </c>
      <c r="J148">
        <v>24</v>
      </c>
    </row>
    <row r="149" spans="1:10">
      <c r="A149" t="s">
        <v>724</v>
      </c>
      <c r="B149" s="2">
        <v>46124</v>
      </c>
      <c r="C149" t="s">
        <v>561</v>
      </c>
      <c r="D149" t="s">
        <v>562</v>
      </c>
      <c r="E149" t="s">
        <v>567</v>
      </c>
      <c r="F149" t="s">
        <v>573</v>
      </c>
      <c r="G149" t="s">
        <v>564</v>
      </c>
      <c r="H149">
        <v>48</v>
      </c>
      <c r="I149">
        <v>131085</v>
      </c>
      <c r="J149">
        <v>24</v>
      </c>
    </row>
    <row r="150" spans="1:10">
      <c r="A150" t="s">
        <v>725</v>
      </c>
      <c r="B150" s="2">
        <v>46072</v>
      </c>
      <c r="C150" t="s">
        <v>561</v>
      </c>
      <c r="D150" t="s">
        <v>556</v>
      </c>
      <c r="E150" t="s">
        <v>557</v>
      </c>
      <c r="F150" t="s">
        <v>568</v>
      </c>
      <c r="G150" t="s">
        <v>564</v>
      </c>
      <c r="H150">
        <v>66</v>
      </c>
      <c r="I150">
        <v>1466291</v>
      </c>
      <c r="J150">
        <v>12</v>
      </c>
    </row>
    <row r="151" spans="1:10">
      <c r="A151" t="s">
        <v>726</v>
      </c>
      <c r="B151" s="2">
        <v>46028</v>
      </c>
      <c r="C151" t="s">
        <v>555</v>
      </c>
      <c r="D151" t="s">
        <v>556</v>
      </c>
      <c r="E151" t="s">
        <v>572</v>
      </c>
      <c r="F151" t="s">
        <v>563</v>
      </c>
      <c r="G151" t="s">
        <v>559</v>
      </c>
      <c r="H151">
        <v>30</v>
      </c>
      <c r="I151">
        <v>2048939</v>
      </c>
      <c r="J151">
        <v>6</v>
      </c>
    </row>
    <row r="152" spans="1:10">
      <c r="A152" t="s">
        <v>727</v>
      </c>
      <c r="B152" s="2">
        <v>46105</v>
      </c>
      <c r="C152" t="s">
        <v>555</v>
      </c>
      <c r="D152" t="s">
        <v>584</v>
      </c>
      <c r="E152" t="s">
        <v>567</v>
      </c>
      <c r="F152" t="s">
        <v>568</v>
      </c>
      <c r="G152" t="s">
        <v>564</v>
      </c>
      <c r="H152">
        <v>51</v>
      </c>
      <c r="I152">
        <v>1660336</v>
      </c>
      <c r="J152">
        <v>6</v>
      </c>
    </row>
    <row r="153" spans="1:10">
      <c r="A153" t="s">
        <v>728</v>
      </c>
      <c r="B153" s="2">
        <v>46082</v>
      </c>
      <c r="C153" t="s">
        <v>561</v>
      </c>
      <c r="D153" t="s">
        <v>556</v>
      </c>
      <c r="E153" t="s">
        <v>572</v>
      </c>
      <c r="F153" t="s">
        <v>563</v>
      </c>
      <c r="G153" t="s">
        <v>564</v>
      </c>
      <c r="H153">
        <v>14</v>
      </c>
      <c r="I153">
        <v>135903</v>
      </c>
      <c r="J153">
        <v>24</v>
      </c>
    </row>
    <row r="154" spans="1:10">
      <c r="A154" t="s">
        <v>729</v>
      </c>
      <c r="B154" s="2">
        <v>46066</v>
      </c>
      <c r="C154" t="s">
        <v>588</v>
      </c>
      <c r="D154" t="s">
        <v>556</v>
      </c>
      <c r="E154" t="s">
        <v>567</v>
      </c>
      <c r="F154" t="s">
        <v>558</v>
      </c>
      <c r="G154" t="s">
        <v>590</v>
      </c>
      <c r="H154">
        <v>2</v>
      </c>
      <c r="I154">
        <v>1352137</v>
      </c>
      <c r="J154">
        <v>12</v>
      </c>
    </row>
    <row r="155" spans="1:10">
      <c r="A155" t="s">
        <v>730</v>
      </c>
      <c r="B155" s="2">
        <v>46033</v>
      </c>
      <c r="C155" t="s">
        <v>571</v>
      </c>
      <c r="D155" t="s">
        <v>566</v>
      </c>
      <c r="E155" t="s">
        <v>576</v>
      </c>
      <c r="F155" t="s">
        <v>568</v>
      </c>
      <c r="G155" t="s">
        <v>559</v>
      </c>
      <c r="H155">
        <v>35</v>
      </c>
      <c r="I155">
        <v>2098173</v>
      </c>
      <c r="J155">
        <v>24</v>
      </c>
    </row>
    <row r="156" spans="1:10">
      <c r="A156" t="s">
        <v>731</v>
      </c>
      <c r="B156" s="2">
        <v>46088</v>
      </c>
      <c r="C156" t="s">
        <v>555</v>
      </c>
      <c r="D156" t="s">
        <v>566</v>
      </c>
      <c r="E156" t="s">
        <v>567</v>
      </c>
      <c r="F156" t="s">
        <v>558</v>
      </c>
      <c r="G156" t="s">
        <v>569</v>
      </c>
      <c r="H156">
        <v>49</v>
      </c>
      <c r="I156">
        <v>1763900</v>
      </c>
      <c r="J156">
        <v>12</v>
      </c>
    </row>
    <row r="157" spans="1:10">
      <c r="A157" t="s">
        <v>732</v>
      </c>
      <c r="B157" s="2">
        <v>46069</v>
      </c>
      <c r="C157" t="s">
        <v>588</v>
      </c>
      <c r="D157" t="s">
        <v>596</v>
      </c>
      <c r="E157" t="s">
        <v>576</v>
      </c>
      <c r="F157" t="s">
        <v>573</v>
      </c>
      <c r="G157" t="s">
        <v>590</v>
      </c>
      <c r="H157">
        <v>49</v>
      </c>
      <c r="I157">
        <v>712242</v>
      </c>
      <c r="J157">
        <v>12</v>
      </c>
    </row>
    <row r="158" spans="1:10">
      <c r="A158" t="s">
        <v>733</v>
      </c>
      <c r="B158" s="2">
        <v>46130</v>
      </c>
      <c r="C158" t="s">
        <v>575</v>
      </c>
      <c r="D158" t="s">
        <v>584</v>
      </c>
      <c r="E158" t="s">
        <v>567</v>
      </c>
      <c r="F158" t="s">
        <v>563</v>
      </c>
      <c r="G158" t="s">
        <v>590</v>
      </c>
      <c r="H158">
        <v>50</v>
      </c>
      <c r="I158">
        <v>612493</v>
      </c>
      <c r="J158">
        <v>12</v>
      </c>
    </row>
    <row r="159" spans="1:10">
      <c r="A159" t="s">
        <v>734</v>
      </c>
      <c r="B159" s="2">
        <v>46130</v>
      </c>
      <c r="C159" t="s">
        <v>555</v>
      </c>
      <c r="D159" t="s">
        <v>578</v>
      </c>
      <c r="E159" t="s">
        <v>557</v>
      </c>
      <c r="F159" t="s">
        <v>568</v>
      </c>
      <c r="G159" t="s">
        <v>569</v>
      </c>
      <c r="H159">
        <v>65</v>
      </c>
      <c r="I159">
        <v>1590017</v>
      </c>
      <c r="J159">
        <v>12</v>
      </c>
    </row>
    <row r="160" spans="1:10">
      <c r="A160" t="s">
        <v>735</v>
      </c>
      <c r="B160" s="2">
        <v>46095</v>
      </c>
      <c r="C160" t="s">
        <v>588</v>
      </c>
      <c r="D160" t="s">
        <v>584</v>
      </c>
      <c r="E160" t="s">
        <v>572</v>
      </c>
      <c r="F160" t="s">
        <v>558</v>
      </c>
      <c r="G160" t="s">
        <v>590</v>
      </c>
      <c r="H160">
        <v>62</v>
      </c>
      <c r="I160">
        <v>969446</v>
      </c>
      <c r="J160">
        <v>6</v>
      </c>
    </row>
    <row r="161" spans="1:10">
      <c r="A161" t="s">
        <v>736</v>
      </c>
      <c r="B161" s="2">
        <v>46107</v>
      </c>
      <c r="C161" t="s">
        <v>588</v>
      </c>
      <c r="D161" t="s">
        <v>584</v>
      </c>
      <c r="E161" t="s">
        <v>557</v>
      </c>
      <c r="F161" t="s">
        <v>563</v>
      </c>
      <c r="G161" t="s">
        <v>559</v>
      </c>
      <c r="H161">
        <v>30</v>
      </c>
      <c r="I161">
        <v>741593</v>
      </c>
      <c r="J161">
        <v>12</v>
      </c>
    </row>
    <row r="162" spans="1:10">
      <c r="A162" t="s">
        <v>737</v>
      </c>
      <c r="B162" s="2">
        <v>46110</v>
      </c>
      <c r="C162" t="s">
        <v>571</v>
      </c>
      <c r="D162" t="s">
        <v>562</v>
      </c>
      <c r="E162" t="s">
        <v>567</v>
      </c>
      <c r="F162" t="s">
        <v>563</v>
      </c>
      <c r="G162" t="s">
        <v>564</v>
      </c>
      <c r="H162">
        <v>40</v>
      </c>
      <c r="I162">
        <v>1567130</v>
      </c>
      <c r="J162">
        <v>12</v>
      </c>
    </row>
    <row r="163" spans="1:10">
      <c r="A163" t="s">
        <v>738</v>
      </c>
      <c r="B163" s="2">
        <v>46120</v>
      </c>
      <c r="C163" t="s">
        <v>571</v>
      </c>
      <c r="D163" t="s">
        <v>596</v>
      </c>
      <c r="E163" t="s">
        <v>567</v>
      </c>
      <c r="F163" t="s">
        <v>573</v>
      </c>
      <c r="G163" t="s">
        <v>559</v>
      </c>
      <c r="H163">
        <v>27</v>
      </c>
      <c r="I163">
        <v>1634227</v>
      </c>
      <c r="J163">
        <v>24</v>
      </c>
    </row>
    <row r="164" spans="1:10">
      <c r="A164" t="s">
        <v>739</v>
      </c>
      <c r="B164" s="2">
        <v>46108</v>
      </c>
      <c r="C164" t="s">
        <v>575</v>
      </c>
      <c r="D164" t="s">
        <v>562</v>
      </c>
      <c r="E164" t="s">
        <v>567</v>
      </c>
      <c r="F164" t="s">
        <v>573</v>
      </c>
      <c r="G164" t="s">
        <v>569</v>
      </c>
      <c r="H164">
        <v>18</v>
      </c>
      <c r="I164">
        <v>2397905</v>
      </c>
      <c r="J164">
        <v>24</v>
      </c>
    </row>
    <row r="165" spans="1:10">
      <c r="A165" t="s">
        <v>740</v>
      </c>
      <c r="B165" s="2">
        <v>46025</v>
      </c>
      <c r="C165" t="s">
        <v>588</v>
      </c>
      <c r="D165" t="s">
        <v>584</v>
      </c>
      <c r="E165" t="s">
        <v>576</v>
      </c>
      <c r="F165" t="s">
        <v>563</v>
      </c>
      <c r="G165" t="s">
        <v>569</v>
      </c>
      <c r="H165">
        <v>14</v>
      </c>
      <c r="I165">
        <v>132101</v>
      </c>
      <c r="J165">
        <v>6</v>
      </c>
    </row>
    <row r="166" spans="1:10">
      <c r="A166" t="s">
        <v>741</v>
      </c>
      <c r="B166" s="2">
        <v>46098</v>
      </c>
      <c r="C166" t="s">
        <v>588</v>
      </c>
      <c r="D166" t="s">
        <v>584</v>
      </c>
      <c r="E166" t="s">
        <v>572</v>
      </c>
      <c r="F166" t="s">
        <v>563</v>
      </c>
      <c r="G166" t="s">
        <v>590</v>
      </c>
      <c r="H166">
        <v>70</v>
      </c>
      <c r="I166">
        <v>102775</v>
      </c>
      <c r="J166">
        <v>24</v>
      </c>
    </row>
    <row r="167" spans="1:10">
      <c r="A167" t="s">
        <v>742</v>
      </c>
      <c r="B167" s="2">
        <v>46114</v>
      </c>
      <c r="C167" t="s">
        <v>571</v>
      </c>
      <c r="D167" t="s">
        <v>584</v>
      </c>
      <c r="E167" t="s">
        <v>572</v>
      </c>
      <c r="F167" t="s">
        <v>568</v>
      </c>
      <c r="G167" t="s">
        <v>559</v>
      </c>
      <c r="H167">
        <v>27</v>
      </c>
      <c r="I167">
        <v>1784361</v>
      </c>
      <c r="J167">
        <v>12</v>
      </c>
    </row>
    <row r="168" spans="1:10">
      <c r="A168" t="s">
        <v>743</v>
      </c>
      <c r="B168" s="2">
        <v>46052</v>
      </c>
      <c r="C168" t="s">
        <v>555</v>
      </c>
      <c r="D168" t="s">
        <v>556</v>
      </c>
      <c r="E168" t="s">
        <v>567</v>
      </c>
      <c r="F168" t="s">
        <v>563</v>
      </c>
      <c r="G168" t="s">
        <v>559</v>
      </c>
      <c r="H168">
        <v>50</v>
      </c>
      <c r="I168">
        <v>2242771</v>
      </c>
      <c r="J168">
        <v>24</v>
      </c>
    </row>
    <row r="169" spans="1:10">
      <c r="A169" t="s">
        <v>744</v>
      </c>
      <c r="B169" s="2">
        <v>46112</v>
      </c>
      <c r="C169" t="s">
        <v>555</v>
      </c>
      <c r="D169" t="s">
        <v>562</v>
      </c>
      <c r="E169" t="s">
        <v>567</v>
      </c>
      <c r="F169" t="s">
        <v>568</v>
      </c>
      <c r="G169" t="s">
        <v>569</v>
      </c>
      <c r="H169">
        <v>68</v>
      </c>
      <c r="I169">
        <v>1906210</v>
      </c>
      <c r="J169">
        <v>6</v>
      </c>
    </row>
    <row r="170" spans="1:10">
      <c r="A170" t="s">
        <v>745</v>
      </c>
      <c r="B170" s="2">
        <v>46134</v>
      </c>
      <c r="C170" t="s">
        <v>561</v>
      </c>
      <c r="D170" t="s">
        <v>584</v>
      </c>
      <c r="E170" t="s">
        <v>576</v>
      </c>
      <c r="F170" t="s">
        <v>563</v>
      </c>
      <c r="G170" t="s">
        <v>559</v>
      </c>
      <c r="H170">
        <v>8</v>
      </c>
      <c r="I170">
        <v>2262301</v>
      </c>
      <c r="J170">
        <v>24</v>
      </c>
    </row>
    <row r="171" spans="1:10">
      <c r="A171" t="s">
        <v>746</v>
      </c>
      <c r="B171" s="2">
        <v>46043</v>
      </c>
      <c r="C171" t="s">
        <v>571</v>
      </c>
      <c r="D171" t="s">
        <v>566</v>
      </c>
      <c r="E171" t="s">
        <v>557</v>
      </c>
      <c r="F171" t="s">
        <v>573</v>
      </c>
      <c r="G171" t="s">
        <v>569</v>
      </c>
      <c r="H171">
        <v>59</v>
      </c>
      <c r="I171">
        <v>126616</v>
      </c>
      <c r="J171">
        <v>24</v>
      </c>
    </row>
    <row r="172" spans="1:10">
      <c r="A172" t="s">
        <v>747</v>
      </c>
      <c r="B172" s="2">
        <v>46050</v>
      </c>
      <c r="C172" t="s">
        <v>561</v>
      </c>
      <c r="D172" t="s">
        <v>596</v>
      </c>
      <c r="E172" t="s">
        <v>557</v>
      </c>
      <c r="F172" t="s">
        <v>568</v>
      </c>
      <c r="G172" t="s">
        <v>559</v>
      </c>
      <c r="H172">
        <v>50</v>
      </c>
      <c r="I172">
        <v>846055</v>
      </c>
      <c r="J172">
        <v>6</v>
      </c>
    </row>
    <row r="173" spans="1:10">
      <c r="A173" t="s">
        <v>748</v>
      </c>
      <c r="B173" s="2">
        <v>46142</v>
      </c>
      <c r="C173" t="s">
        <v>571</v>
      </c>
      <c r="D173" t="s">
        <v>596</v>
      </c>
      <c r="E173" t="s">
        <v>572</v>
      </c>
      <c r="F173" t="s">
        <v>558</v>
      </c>
      <c r="G173" t="s">
        <v>559</v>
      </c>
      <c r="H173">
        <v>54</v>
      </c>
      <c r="I173">
        <v>1334215</v>
      </c>
      <c r="J173">
        <v>6</v>
      </c>
    </row>
    <row r="174" spans="1:10">
      <c r="A174" t="s">
        <v>749</v>
      </c>
      <c r="B174" s="2">
        <v>46112</v>
      </c>
      <c r="C174" t="s">
        <v>575</v>
      </c>
      <c r="D174" t="s">
        <v>566</v>
      </c>
      <c r="E174" t="s">
        <v>576</v>
      </c>
      <c r="F174" t="s">
        <v>573</v>
      </c>
      <c r="G174" t="s">
        <v>559</v>
      </c>
      <c r="H174">
        <v>66</v>
      </c>
      <c r="I174">
        <v>306903</v>
      </c>
      <c r="J174">
        <v>12</v>
      </c>
    </row>
    <row r="175" spans="1:10">
      <c r="A175" t="s">
        <v>750</v>
      </c>
      <c r="B175" s="2">
        <v>46084</v>
      </c>
      <c r="C175" t="s">
        <v>588</v>
      </c>
      <c r="D175" t="s">
        <v>596</v>
      </c>
      <c r="E175" t="s">
        <v>567</v>
      </c>
      <c r="F175" t="s">
        <v>568</v>
      </c>
      <c r="G175" t="s">
        <v>569</v>
      </c>
      <c r="H175">
        <v>63</v>
      </c>
      <c r="I175">
        <v>1379894</v>
      </c>
      <c r="J175">
        <v>24</v>
      </c>
    </row>
    <row r="176" spans="1:10">
      <c r="A176" t="s">
        <v>751</v>
      </c>
      <c r="B176" s="2">
        <v>46055</v>
      </c>
      <c r="C176" t="s">
        <v>575</v>
      </c>
      <c r="D176" t="s">
        <v>556</v>
      </c>
      <c r="E176" t="s">
        <v>572</v>
      </c>
      <c r="F176" t="s">
        <v>568</v>
      </c>
      <c r="G176" t="s">
        <v>590</v>
      </c>
      <c r="H176">
        <v>18</v>
      </c>
      <c r="I176">
        <v>1996807</v>
      </c>
      <c r="J176">
        <v>12</v>
      </c>
    </row>
    <row r="177" spans="1:10">
      <c r="A177" t="s">
        <v>752</v>
      </c>
      <c r="B177" s="2">
        <v>46107</v>
      </c>
      <c r="C177" t="s">
        <v>571</v>
      </c>
      <c r="D177" t="s">
        <v>556</v>
      </c>
      <c r="E177" t="s">
        <v>576</v>
      </c>
      <c r="F177" t="s">
        <v>558</v>
      </c>
      <c r="G177" t="s">
        <v>559</v>
      </c>
      <c r="H177">
        <v>44</v>
      </c>
      <c r="I177">
        <v>1138218</v>
      </c>
      <c r="J177">
        <v>24</v>
      </c>
    </row>
    <row r="178" spans="1:10">
      <c r="A178" t="s">
        <v>753</v>
      </c>
      <c r="B178" s="2">
        <v>46057</v>
      </c>
      <c r="C178" t="s">
        <v>588</v>
      </c>
      <c r="D178" t="s">
        <v>578</v>
      </c>
      <c r="E178" t="s">
        <v>557</v>
      </c>
      <c r="F178" t="s">
        <v>568</v>
      </c>
      <c r="G178" t="s">
        <v>569</v>
      </c>
      <c r="H178">
        <v>26</v>
      </c>
      <c r="I178">
        <v>452365</v>
      </c>
      <c r="J178">
        <v>24</v>
      </c>
    </row>
    <row r="179" spans="1:10">
      <c r="A179" t="s">
        <v>754</v>
      </c>
      <c r="B179" s="2">
        <v>46074</v>
      </c>
      <c r="C179" t="s">
        <v>555</v>
      </c>
      <c r="D179" t="s">
        <v>578</v>
      </c>
      <c r="E179" t="s">
        <v>576</v>
      </c>
      <c r="F179" t="s">
        <v>563</v>
      </c>
      <c r="G179" t="s">
        <v>569</v>
      </c>
      <c r="H179">
        <v>4</v>
      </c>
      <c r="I179">
        <v>2484775</v>
      </c>
      <c r="J179">
        <v>12</v>
      </c>
    </row>
    <row r="180" spans="1:10">
      <c r="A180" t="s">
        <v>755</v>
      </c>
      <c r="B180" s="2">
        <v>46056</v>
      </c>
      <c r="C180" t="s">
        <v>555</v>
      </c>
      <c r="D180" t="s">
        <v>578</v>
      </c>
      <c r="E180" t="s">
        <v>557</v>
      </c>
      <c r="F180" t="s">
        <v>558</v>
      </c>
      <c r="G180" t="s">
        <v>559</v>
      </c>
      <c r="H180">
        <v>30</v>
      </c>
      <c r="I180">
        <v>461309</v>
      </c>
      <c r="J180">
        <v>24</v>
      </c>
    </row>
    <row r="181" spans="1:10">
      <c r="A181" t="s">
        <v>756</v>
      </c>
      <c r="B181" s="2">
        <v>46063</v>
      </c>
      <c r="C181" t="s">
        <v>561</v>
      </c>
      <c r="D181" t="s">
        <v>596</v>
      </c>
      <c r="E181" t="s">
        <v>576</v>
      </c>
      <c r="F181" t="s">
        <v>573</v>
      </c>
      <c r="G181" t="s">
        <v>559</v>
      </c>
      <c r="H181">
        <v>33</v>
      </c>
      <c r="I181">
        <v>155863</v>
      </c>
      <c r="J181">
        <v>24</v>
      </c>
    </row>
    <row r="182" spans="1:10">
      <c r="A182" t="s">
        <v>757</v>
      </c>
      <c r="B182" s="2">
        <v>46073</v>
      </c>
      <c r="C182" t="s">
        <v>571</v>
      </c>
      <c r="D182" t="s">
        <v>556</v>
      </c>
      <c r="E182" t="s">
        <v>572</v>
      </c>
      <c r="F182" t="s">
        <v>573</v>
      </c>
      <c r="G182" t="s">
        <v>590</v>
      </c>
      <c r="H182">
        <v>27</v>
      </c>
      <c r="I182">
        <v>2017577</v>
      </c>
      <c r="J182">
        <v>24</v>
      </c>
    </row>
    <row r="183" spans="1:10">
      <c r="A183" t="s">
        <v>758</v>
      </c>
      <c r="B183" s="2">
        <v>46069</v>
      </c>
      <c r="C183" t="s">
        <v>571</v>
      </c>
      <c r="D183" t="s">
        <v>556</v>
      </c>
      <c r="E183" t="s">
        <v>557</v>
      </c>
      <c r="F183" t="s">
        <v>563</v>
      </c>
      <c r="G183" t="s">
        <v>569</v>
      </c>
      <c r="H183">
        <v>17</v>
      </c>
      <c r="I183">
        <v>1651899</v>
      </c>
      <c r="J183">
        <v>6</v>
      </c>
    </row>
    <row r="184" spans="1:10">
      <c r="A184" t="s">
        <v>759</v>
      </c>
      <c r="B184" s="2">
        <v>46104</v>
      </c>
      <c r="C184" t="s">
        <v>555</v>
      </c>
      <c r="D184" t="s">
        <v>556</v>
      </c>
      <c r="E184" t="s">
        <v>572</v>
      </c>
      <c r="F184" t="s">
        <v>573</v>
      </c>
      <c r="G184" t="s">
        <v>569</v>
      </c>
      <c r="H184">
        <v>26</v>
      </c>
      <c r="I184">
        <v>877635</v>
      </c>
      <c r="J184">
        <v>12</v>
      </c>
    </row>
    <row r="185" spans="1:10">
      <c r="A185" t="s">
        <v>760</v>
      </c>
      <c r="B185" s="2">
        <v>46080</v>
      </c>
      <c r="C185" t="s">
        <v>575</v>
      </c>
      <c r="D185" t="s">
        <v>566</v>
      </c>
      <c r="E185" t="s">
        <v>572</v>
      </c>
      <c r="F185" t="s">
        <v>568</v>
      </c>
      <c r="G185" t="s">
        <v>564</v>
      </c>
      <c r="H185">
        <v>55</v>
      </c>
      <c r="I185">
        <v>813340</v>
      </c>
      <c r="J185">
        <v>6</v>
      </c>
    </row>
    <row r="186" spans="1:10">
      <c r="A186" t="s">
        <v>761</v>
      </c>
      <c r="B186" s="2">
        <v>46097</v>
      </c>
      <c r="C186" t="s">
        <v>588</v>
      </c>
      <c r="D186" t="s">
        <v>556</v>
      </c>
      <c r="E186" t="s">
        <v>557</v>
      </c>
      <c r="F186" t="s">
        <v>568</v>
      </c>
      <c r="G186" t="s">
        <v>569</v>
      </c>
      <c r="H186">
        <v>29</v>
      </c>
      <c r="I186">
        <v>378495</v>
      </c>
      <c r="J186">
        <v>12</v>
      </c>
    </row>
    <row r="187" spans="1:10">
      <c r="A187" t="s">
        <v>762</v>
      </c>
      <c r="B187" s="2">
        <v>46079</v>
      </c>
      <c r="C187" t="s">
        <v>575</v>
      </c>
      <c r="D187" t="s">
        <v>566</v>
      </c>
      <c r="E187" t="s">
        <v>557</v>
      </c>
      <c r="F187" t="s">
        <v>563</v>
      </c>
      <c r="G187" t="s">
        <v>590</v>
      </c>
      <c r="H187">
        <v>57</v>
      </c>
      <c r="I187">
        <v>2445060</v>
      </c>
      <c r="J187">
        <v>12</v>
      </c>
    </row>
    <row r="188" spans="1:10">
      <c r="A188" t="s">
        <v>763</v>
      </c>
      <c r="B188" s="2">
        <v>46045</v>
      </c>
      <c r="C188" t="s">
        <v>575</v>
      </c>
      <c r="D188" t="s">
        <v>578</v>
      </c>
      <c r="E188" t="s">
        <v>567</v>
      </c>
      <c r="F188" t="s">
        <v>573</v>
      </c>
      <c r="G188" t="s">
        <v>564</v>
      </c>
      <c r="H188">
        <v>66</v>
      </c>
      <c r="I188">
        <v>931257</v>
      </c>
      <c r="J188">
        <v>24</v>
      </c>
    </row>
    <row r="189" spans="1:10">
      <c r="A189" t="s">
        <v>764</v>
      </c>
      <c r="B189" s="2">
        <v>46070</v>
      </c>
      <c r="C189" t="s">
        <v>555</v>
      </c>
      <c r="D189" t="s">
        <v>578</v>
      </c>
      <c r="E189" t="s">
        <v>567</v>
      </c>
      <c r="F189" t="s">
        <v>573</v>
      </c>
      <c r="G189" t="s">
        <v>564</v>
      </c>
      <c r="H189">
        <v>42</v>
      </c>
      <c r="I189">
        <v>1946357</v>
      </c>
      <c r="J189">
        <v>12</v>
      </c>
    </row>
    <row r="190" spans="1:10">
      <c r="A190" t="s">
        <v>765</v>
      </c>
      <c r="B190" s="2">
        <v>46044</v>
      </c>
      <c r="C190" t="s">
        <v>555</v>
      </c>
      <c r="D190" t="s">
        <v>596</v>
      </c>
      <c r="E190" t="s">
        <v>567</v>
      </c>
      <c r="F190" t="s">
        <v>563</v>
      </c>
      <c r="G190" t="s">
        <v>564</v>
      </c>
      <c r="H190">
        <v>52</v>
      </c>
      <c r="I190">
        <v>1979262</v>
      </c>
      <c r="J190">
        <v>6</v>
      </c>
    </row>
    <row r="191" spans="1:10">
      <c r="A191" t="s">
        <v>766</v>
      </c>
      <c r="B191" s="2">
        <v>46039</v>
      </c>
      <c r="C191" t="s">
        <v>555</v>
      </c>
      <c r="D191" t="s">
        <v>578</v>
      </c>
      <c r="E191" t="s">
        <v>572</v>
      </c>
      <c r="F191" t="s">
        <v>558</v>
      </c>
      <c r="G191" t="s">
        <v>559</v>
      </c>
      <c r="H191">
        <v>30</v>
      </c>
      <c r="I191">
        <v>1973233</v>
      </c>
      <c r="J191">
        <v>6</v>
      </c>
    </row>
    <row r="192" spans="1:10">
      <c r="A192" t="s">
        <v>767</v>
      </c>
      <c r="B192" s="2">
        <v>46091</v>
      </c>
      <c r="C192" t="s">
        <v>561</v>
      </c>
      <c r="D192" t="s">
        <v>596</v>
      </c>
      <c r="E192" t="s">
        <v>572</v>
      </c>
      <c r="F192" t="s">
        <v>573</v>
      </c>
      <c r="G192" t="s">
        <v>559</v>
      </c>
      <c r="H192">
        <v>20</v>
      </c>
      <c r="I192">
        <v>1423173</v>
      </c>
      <c r="J192">
        <v>6</v>
      </c>
    </row>
    <row r="193" spans="1:10">
      <c r="A193" t="s">
        <v>768</v>
      </c>
      <c r="B193" s="2">
        <v>46130</v>
      </c>
      <c r="C193" t="s">
        <v>575</v>
      </c>
      <c r="D193" t="s">
        <v>584</v>
      </c>
      <c r="E193" t="s">
        <v>567</v>
      </c>
      <c r="F193" t="s">
        <v>558</v>
      </c>
      <c r="G193" t="s">
        <v>569</v>
      </c>
      <c r="H193">
        <v>67</v>
      </c>
      <c r="I193">
        <v>1822750</v>
      </c>
      <c r="J193">
        <v>12</v>
      </c>
    </row>
    <row r="194" spans="1:10">
      <c r="A194" t="s">
        <v>769</v>
      </c>
      <c r="B194" s="2">
        <v>46033</v>
      </c>
      <c r="C194" t="s">
        <v>571</v>
      </c>
      <c r="D194" t="s">
        <v>584</v>
      </c>
      <c r="E194" t="s">
        <v>572</v>
      </c>
      <c r="F194" t="s">
        <v>573</v>
      </c>
      <c r="G194" t="s">
        <v>564</v>
      </c>
      <c r="H194">
        <v>42</v>
      </c>
      <c r="I194">
        <v>1822199</v>
      </c>
      <c r="J194">
        <v>6</v>
      </c>
    </row>
    <row r="195" spans="1:10">
      <c r="A195" t="s">
        <v>770</v>
      </c>
      <c r="B195" s="2">
        <v>46116</v>
      </c>
      <c r="C195" t="s">
        <v>588</v>
      </c>
      <c r="D195" t="s">
        <v>562</v>
      </c>
      <c r="E195" t="s">
        <v>572</v>
      </c>
      <c r="F195" t="s">
        <v>573</v>
      </c>
      <c r="G195" t="s">
        <v>590</v>
      </c>
      <c r="H195">
        <v>46</v>
      </c>
      <c r="I195">
        <v>800033</v>
      </c>
      <c r="J195">
        <v>12</v>
      </c>
    </row>
    <row r="196" spans="1:10">
      <c r="A196" t="s">
        <v>771</v>
      </c>
      <c r="B196" s="2">
        <v>46037</v>
      </c>
      <c r="C196" t="s">
        <v>561</v>
      </c>
      <c r="D196" t="s">
        <v>596</v>
      </c>
      <c r="E196" t="s">
        <v>557</v>
      </c>
      <c r="F196" t="s">
        <v>573</v>
      </c>
      <c r="G196" t="s">
        <v>559</v>
      </c>
      <c r="H196">
        <v>16</v>
      </c>
      <c r="I196">
        <v>1013438</v>
      </c>
      <c r="J196">
        <v>6</v>
      </c>
    </row>
    <row r="197" spans="1:10">
      <c r="A197" t="s">
        <v>772</v>
      </c>
      <c r="B197" s="2">
        <v>46113</v>
      </c>
      <c r="C197" t="s">
        <v>571</v>
      </c>
      <c r="D197" t="s">
        <v>562</v>
      </c>
      <c r="E197" t="s">
        <v>557</v>
      </c>
      <c r="F197" t="s">
        <v>573</v>
      </c>
      <c r="G197" t="s">
        <v>590</v>
      </c>
      <c r="H197">
        <v>4</v>
      </c>
      <c r="I197">
        <v>234445</v>
      </c>
      <c r="J197">
        <v>6</v>
      </c>
    </row>
    <row r="198" spans="1:10">
      <c r="A198" t="s">
        <v>773</v>
      </c>
      <c r="B198" s="2">
        <v>46057</v>
      </c>
      <c r="C198" t="s">
        <v>575</v>
      </c>
      <c r="D198" t="s">
        <v>562</v>
      </c>
      <c r="E198" t="s">
        <v>572</v>
      </c>
      <c r="F198" t="s">
        <v>568</v>
      </c>
      <c r="G198" t="s">
        <v>590</v>
      </c>
      <c r="H198">
        <v>12</v>
      </c>
      <c r="I198">
        <v>503551</v>
      </c>
      <c r="J198">
        <v>12</v>
      </c>
    </row>
    <row r="199" spans="1:10">
      <c r="A199" t="s">
        <v>774</v>
      </c>
      <c r="B199" s="2">
        <v>46055</v>
      </c>
      <c r="C199" t="s">
        <v>555</v>
      </c>
      <c r="D199" t="s">
        <v>584</v>
      </c>
      <c r="E199" t="s">
        <v>567</v>
      </c>
      <c r="F199" t="s">
        <v>558</v>
      </c>
      <c r="G199" t="s">
        <v>559</v>
      </c>
      <c r="H199">
        <v>54</v>
      </c>
      <c r="I199">
        <v>1945700</v>
      </c>
      <c r="J199">
        <v>6</v>
      </c>
    </row>
    <row r="200" spans="1:10">
      <c r="A200" t="s">
        <v>775</v>
      </c>
      <c r="B200" s="2">
        <v>46106</v>
      </c>
      <c r="C200" t="s">
        <v>575</v>
      </c>
      <c r="D200" t="s">
        <v>596</v>
      </c>
      <c r="E200" t="s">
        <v>576</v>
      </c>
      <c r="F200" t="s">
        <v>558</v>
      </c>
      <c r="G200" t="s">
        <v>559</v>
      </c>
      <c r="H200">
        <v>47</v>
      </c>
      <c r="I200">
        <v>1313705</v>
      </c>
      <c r="J200">
        <v>24</v>
      </c>
    </row>
    <row r="201" spans="1:10">
      <c r="A201" t="s">
        <v>776</v>
      </c>
      <c r="B201" s="2">
        <v>46038</v>
      </c>
      <c r="C201" t="s">
        <v>588</v>
      </c>
      <c r="D201" t="s">
        <v>584</v>
      </c>
      <c r="E201" t="s">
        <v>567</v>
      </c>
      <c r="F201" t="s">
        <v>573</v>
      </c>
      <c r="G201" t="s">
        <v>559</v>
      </c>
      <c r="H201">
        <v>31</v>
      </c>
      <c r="I201">
        <v>2350989</v>
      </c>
      <c r="J201">
        <v>12</v>
      </c>
    </row>
    <row r="202" spans="1:10">
      <c r="A202" t="s">
        <v>777</v>
      </c>
      <c r="B202" s="2">
        <v>46056</v>
      </c>
      <c r="C202" t="s">
        <v>561</v>
      </c>
      <c r="D202" t="s">
        <v>562</v>
      </c>
      <c r="E202" t="s">
        <v>576</v>
      </c>
      <c r="F202" t="s">
        <v>573</v>
      </c>
      <c r="G202" t="s">
        <v>559</v>
      </c>
      <c r="H202">
        <v>58</v>
      </c>
      <c r="I202">
        <v>814647</v>
      </c>
      <c r="J202">
        <v>12</v>
      </c>
    </row>
    <row r="203" spans="1:10">
      <c r="A203" t="s">
        <v>778</v>
      </c>
      <c r="B203" s="2">
        <v>46088</v>
      </c>
      <c r="C203" t="s">
        <v>561</v>
      </c>
      <c r="D203" t="s">
        <v>596</v>
      </c>
      <c r="E203" t="s">
        <v>567</v>
      </c>
      <c r="F203" t="s">
        <v>558</v>
      </c>
      <c r="G203" t="s">
        <v>564</v>
      </c>
      <c r="H203">
        <v>19</v>
      </c>
      <c r="I203">
        <v>1007179</v>
      </c>
      <c r="J203">
        <v>12</v>
      </c>
    </row>
    <row r="204" spans="1:10">
      <c r="A204" t="s">
        <v>779</v>
      </c>
      <c r="B204" s="2">
        <v>46121</v>
      </c>
      <c r="C204" t="s">
        <v>588</v>
      </c>
      <c r="D204" t="s">
        <v>562</v>
      </c>
      <c r="E204" t="s">
        <v>557</v>
      </c>
      <c r="F204" t="s">
        <v>568</v>
      </c>
      <c r="G204" t="s">
        <v>564</v>
      </c>
      <c r="H204">
        <v>52</v>
      </c>
      <c r="I204">
        <v>971535</v>
      </c>
      <c r="J204">
        <v>24</v>
      </c>
    </row>
    <row r="205" spans="1:10">
      <c r="A205" t="s">
        <v>780</v>
      </c>
      <c r="B205" s="2">
        <v>46062</v>
      </c>
      <c r="C205" t="s">
        <v>571</v>
      </c>
      <c r="D205" t="s">
        <v>556</v>
      </c>
      <c r="E205" t="s">
        <v>572</v>
      </c>
      <c r="F205" t="s">
        <v>563</v>
      </c>
      <c r="G205" t="s">
        <v>564</v>
      </c>
      <c r="H205">
        <v>49</v>
      </c>
      <c r="I205">
        <v>1883611</v>
      </c>
      <c r="J205">
        <v>12</v>
      </c>
    </row>
    <row r="206" spans="1:10">
      <c r="A206" t="s">
        <v>781</v>
      </c>
      <c r="B206" s="2">
        <v>46142</v>
      </c>
      <c r="C206" t="s">
        <v>571</v>
      </c>
      <c r="D206" t="s">
        <v>596</v>
      </c>
      <c r="E206" t="s">
        <v>572</v>
      </c>
      <c r="F206" t="s">
        <v>563</v>
      </c>
      <c r="G206" t="s">
        <v>564</v>
      </c>
      <c r="H206">
        <v>67</v>
      </c>
      <c r="I206">
        <v>2374749</v>
      </c>
      <c r="J206">
        <v>6</v>
      </c>
    </row>
    <row r="207" spans="1:10">
      <c r="A207" t="s">
        <v>782</v>
      </c>
      <c r="B207" s="2">
        <v>46050</v>
      </c>
      <c r="C207" t="s">
        <v>561</v>
      </c>
      <c r="D207" t="s">
        <v>596</v>
      </c>
      <c r="E207" t="s">
        <v>557</v>
      </c>
      <c r="F207" t="s">
        <v>558</v>
      </c>
      <c r="G207" t="s">
        <v>569</v>
      </c>
      <c r="H207">
        <v>9</v>
      </c>
      <c r="I207">
        <v>1842166</v>
      </c>
      <c r="J207">
        <v>6</v>
      </c>
    </row>
    <row r="208" spans="1:10">
      <c r="A208" t="s">
        <v>783</v>
      </c>
      <c r="B208" s="2">
        <v>46069</v>
      </c>
      <c r="C208" t="s">
        <v>561</v>
      </c>
      <c r="D208" t="s">
        <v>562</v>
      </c>
      <c r="E208" t="s">
        <v>576</v>
      </c>
      <c r="F208" t="s">
        <v>573</v>
      </c>
      <c r="G208" t="s">
        <v>564</v>
      </c>
      <c r="H208">
        <v>23</v>
      </c>
      <c r="I208">
        <v>1135408</v>
      </c>
      <c r="J208">
        <v>6</v>
      </c>
    </row>
    <row r="209" spans="1:10">
      <c r="A209" t="s">
        <v>784</v>
      </c>
      <c r="B209" s="2">
        <v>46061</v>
      </c>
      <c r="C209" t="s">
        <v>555</v>
      </c>
      <c r="D209" t="s">
        <v>556</v>
      </c>
      <c r="E209" t="s">
        <v>576</v>
      </c>
      <c r="F209" t="s">
        <v>573</v>
      </c>
      <c r="G209" t="s">
        <v>559</v>
      </c>
      <c r="H209">
        <v>7</v>
      </c>
      <c r="I209">
        <v>1561312</v>
      </c>
      <c r="J209">
        <v>12</v>
      </c>
    </row>
    <row r="210" spans="1:10">
      <c r="A210" t="s">
        <v>785</v>
      </c>
      <c r="B210" s="2">
        <v>46092</v>
      </c>
      <c r="C210" t="s">
        <v>571</v>
      </c>
      <c r="D210" t="s">
        <v>566</v>
      </c>
      <c r="E210" t="s">
        <v>576</v>
      </c>
      <c r="F210" t="s">
        <v>568</v>
      </c>
      <c r="G210" t="s">
        <v>590</v>
      </c>
      <c r="H210">
        <v>58</v>
      </c>
      <c r="I210">
        <v>959625</v>
      </c>
      <c r="J210">
        <v>6</v>
      </c>
    </row>
    <row r="211" spans="1:10">
      <c r="A211" t="s">
        <v>786</v>
      </c>
      <c r="B211" s="2">
        <v>46095</v>
      </c>
      <c r="C211" t="s">
        <v>588</v>
      </c>
      <c r="D211" t="s">
        <v>584</v>
      </c>
      <c r="E211" t="s">
        <v>557</v>
      </c>
      <c r="F211" t="s">
        <v>563</v>
      </c>
      <c r="G211" t="s">
        <v>564</v>
      </c>
      <c r="H211">
        <v>37</v>
      </c>
      <c r="I211">
        <v>596440</v>
      </c>
      <c r="J211">
        <v>12</v>
      </c>
    </row>
    <row r="212" spans="1:10">
      <c r="A212" t="s">
        <v>787</v>
      </c>
      <c r="B212" s="2">
        <v>46042</v>
      </c>
      <c r="C212" t="s">
        <v>571</v>
      </c>
      <c r="D212" t="s">
        <v>562</v>
      </c>
      <c r="E212" t="s">
        <v>576</v>
      </c>
      <c r="F212" t="s">
        <v>568</v>
      </c>
      <c r="G212" t="s">
        <v>569</v>
      </c>
      <c r="H212">
        <v>58</v>
      </c>
      <c r="I212">
        <v>1571926</v>
      </c>
      <c r="J212">
        <v>6</v>
      </c>
    </row>
    <row r="213" spans="1:10">
      <c r="A213" t="s">
        <v>788</v>
      </c>
      <c r="B213" s="2">
        <v>46023</v>
      </c>
      <c r="C213" t="s">
        <v>555</v>
      </c>
      <c r="D213" t="s">
        <v>596</v>
      </c>
      <c r="E213" t="s">
        <v>557</v>
      </c>
      <c r="F213" t="s">
        <v>563</v>
      </c>
      <c r="G213" t="s">
        <v>559</v>
      </c>
      <c r="H213">
        <v>50</v>
      </c>
      <c r="I213">
        <v>1552137</v>
      </c>
      <c r="J213">
        <v>24</v>
      </c>
    </row>
    <row r="214" spans="1:10">
      <c r="A214" t="s">
        <v>789</v>
      </c>
      <c r="B214" s="2">
        <v>46094</v>
      </c>
      <c r="C214" t="s">
        <v>561</v>
      </c>
      <c r="D214" t="s">
        <v>584</v>
      </c>
      <c r="E214" t="s">
        <v>567</v>
      </c>
      <c r="F214" t="s">
        <v>558</v>
      </c>
      <c r="G214" t="s">
        <v>590</v>
      </c>
      <c r="H214">
        <v>46</v>
      </c>
      <c r="I214">
        <v>2369409</v>
      </c>
      <c r="J214">
        <v>24</v>
      </c>
    </row>
    <row r="215" spans="1:10">
      <c r="A215" t="s">
        <v>790</v>
      </c>
      <c r="B215" s="2">
        <v>46141</v>
      </c>
      <c r="C215" t="s">
        <v>561</v>
      </c>
      <c r="D215" t="s">
        <v>584</v>
      </c>
      <c r="E215" t="s">
        <v>567</v>
      </c>
      <c r="F215" t="s">
        <v>563</v>
      </c>
      <c r="G215" t="s">
        <v>590</v>
      </c>
      <c r="H215">
        <v>67</v>
      </c>
      <c r="I215">
        <v>1919400</v>
      </c>
      <c r="J215">
        <v>24</v>
      </c>
    </row>
    <row r="216" spans="1:10">
      <c r="A216" t="s">
        <v>791</v>
      </c>
      <c r="B216" s="2">
        <v>46109</v>
      </c>
      <c r="C216" t="s">
        <v>555</v>
      </c>
      <c r="D216" t="s">
        <v>584</v>
      </c>
      <c r="E216" t="s">
        <v>557</v>
      </c>
      <c r="F216" t="s">
        <v>568</v>
      </c>
      <c r="G216" t="s">
        <v>564</v>
      </c>
      <c r="H216">
        <v>46</v>
      </c>
      <c r="I216">
        <v>1372597</v>
      </c>
      <c r="J216">
        <v>24</v>
      </c>
    </row>
    <row r="217" spans="1:10">
      <c r="A217" t="s">
        <v>792</v>
      </c>
      <c r="B217" s="2">
        <v>46085</v>
      </c>
      <c r="C217" t="s">
        <v>588</v>
      </c>
      <c r="D217" t="s">
        <v>566</v>
      </c>
      <c r="E217" t="s">
        <v>572</v>
      </c>
      <c r="F217" t="s">
        <v>568</v>
      </c>
      <c r="G217" t="s">
        <v>590</v>
      </c>
      <c r="H217">
        <v>21</v>
      </c>
      <c r="I217">
        <v>1803820</v>
      </c>
      <c r="J217">
        <v>12</v>
      </c>
    </row>
    <row r="218" spans="1:10">
      <c r="A218" t="s">
        <v>793</v>
      </c>
      <c r="B218" s="2">
        <v>46089</v>
      </c>
      <c r="C218" t="s">
        <v>561</v>
      </c>
      <c r="D218" t="s">
        <v>578</v>
      </c>
      <c r="E218" t="s">
        <v>567</v>
      </c>
      <c r="F218" t="s">
        <v>568</v>
      </c>
      <c r="G218" t="s">
        <v>564</v>
      </c>
      <c r="H218">
        <v>65</v>
      </c>
      <c r="I218">
        <v>1743608</v>
      </c>
      <c r="J218">
        <v>6</v>
      </c>
    </row>
    <row r="219" spans="1:10">
      <c r="A219" t="s">
        <v>794</v>
      </c>
      <c r="B219" s="2">
        <v>46026</v>
      </c>
      <c r="C219" t="s">
        <v>575</v>
      </c>
      <c r="D219" t="s">
        <v>562</v>
      </c>
      <c r="E219" t="s">
        <v>576</v>
      </c>
      <c r="F219" t="s">
        <v>558</v>
      </c>
      <c r="G219" t="s">
        <v>564</v>
      </c>
      <c r="H219">
        <v>68</v>
      </c>
      <c r="I219">
        <v>395599</v>
      </c>
      <c r="J219">
        <v>24</v>
      </c>
    </row>
    <row r="220" spans="1:10">
      <c r="A220" t="s">
        <v>795</v>
      </c>
      <c r="B220" s="2">
        <v>46080</v>
      </c>
      <c r="C220" t="s">
        <v>561</v>
      </c>
      <c r="D220" t="s">
        <v>578</v>
      </c>
      <c r="E220" t="s">
        <v>557</v>
      </c>
      <c r="F220" t="s">
        <v>563</v>
      </c>
      <c r="G220" t="s">
        <v>559</v>
      </c>
      <c r="H220">
        <v>4</v>
      </c>
      <c r="I220">
        <v>1657009</v>
      </c>
      <c r="J220">
        <v>12</v>
      </c>
    </row>
    <row r="221" spans="1:10">
      <c r="A221" t="s">
        <v>796</v>
      </c>
      <c r="B221" s="2">
        <v>46047</v>
      </c>
      <c r="C221" t="s">
        <v>575</v>
      </c>
      <c r="D221" t="s">
        <v>578</v>
      </c>
      <c r="E221" t="s">
        <v>576</v>
      </c>
      <c r="F221" t="s">
        <v>563</v>
      </c>
      <c r="G221" t="s">
        <v>559</v>
      </c>
      <c r="H221">
        <v>55</v>
      </c>
      <c r="I221">
        <v>1045522</v>
      </c>
      <c r="J221">
        <v>24</v>
      </c>
    </row>
    <row r="222" spans="1:10">
      <c r="A222" t="s">
        <v>797</v>
      </c>
      <c r="B222" s="2">
        <v>46069</v>
      </c>
      <c r="C222" t="s">
        <v>555</v>
      </c>
      <c r="D222" t="s">
        <v>578</v>
      </c>
      <c r="E222" t="s">
        <v>576</v>
      </c>
      <c r="F222" t="s">
        <v>568</v>
      </c>
      <c r="G222" t="s">
        <v>569</v>
      </c>
      <c r="H222">
        <v>65</v>
      </c>
      <c r="I222">
        <v>697904</v>
      </c>
      <c r="J222">
        <v>24</v>
      </c>
    </row>
    <row r="223" spans="1:10">
      <c r="A223" t="s">
        <v>798</v>
      </c>
      <c r="B223" s="2">
        <v>46060</v>
      </c>
      <c r="C223" t="s">
        <v>555</v>
      </c>
      <c r="D223" t="s">
        <v>584</v>
      </c>
      <c r="E223" t="s">
        <v>572</v>
      </c>
      <c r="F223" t="s">
        <v>563</v>
      </c>
      <c r="G223" t="s">
        <v>559</v>
      </c>
      <c r="H223">
        <v>41</v>
      </c>
      <c r="I223">
        <v>216841</v>
      </c>
      <c r="J223">
        <v>12</v>
      </c>
    </row>
    <row r="224" spans="1:10">
      <c r="A224" t="s">
        <v>799</v>
      </c>
      <c r="B224" s="2">
        <v>46037</v>
      </c>
      <c r="C224" t="s">
        <v>561</v>
      </c>
      <c r="D224" t="s">
        <v>556</v>
      </c>
      <c r="E224" t="s">
        <v>576</v>
      </c>
      <c r="F224" t="s">
        <v>573</v>
      </c>
      <c r="G224" t="s">
        <v>559</v>
      </c>
      <c r="H224">
        <v>60</v>
      </c>
      <c r="I224">
        <v>1813422</v>
      </c>
      <c r="J224">
        <v>12</v>
      </c>
    </row>
    <row r="225" spans="1:10">
      <c r="A225" t="s">
        <v>800</v>
      </c>
      <c r="B225" s="2">
        <v>46085</v>
      </c>
      <c r="C225" t="s">
        <v>571</v>
      </c>
      <c r="D225" t="s">
        <v>584</v>
      </c>
      <c r="E225" t="s">
        <v>572</v>
      </c>
      <c r="F225" t="s">
        <v>573</v>
      </c>
      <c r="G225" t="s">
        <v>564</v>
      </c>
      <c r="H225">
        <v>56</v>
      </c>
      <c r="I225">
        <v>269934</v>
      </c>
      <c r="J225">
        <v>6</v>
      </c>
    </row>
    <row r="226" spans="1:10">
      <c r="A226" t="s">
        <v>801</v>
      </c>
      <c r="B226" s="2">
        <v>46043</v>
      </c>
      <c r="C226" t="s">
        <v>575</v>
      </c>
      <c r="D226" t="s">
        <v>584</v>
      </c>
      <c r="E226" t="s">
        <v>567</v>
      </c>
      <c r="F226" t="s">
        <v>573</v>
      </c>
      <c r="G226" t="s">
        <v>559</v>
      </c>
      <c r="H226">
        <v>63</v>
      </c>
      <c r="I226">
        <v>1731734</v>
      </c>
      <c r="J226">
        <v>6</v>
      </c>
    </row>
    <row r="227" spans="1:10">
      <c r="A227" t="s">
        <v>802</v>
      </c>
      <c r="B227" s="2">
        <v>46121</v>
      </c>
      <c r="C227" t="s">
        <v>588</v>
      </c>
      <c r="D227" t="s">
        <v>596</v>
      </c>
      <c r="E227" t="s">
        <v>557</v>
      </c>
      <c r="F227" t="s">
        <v>563</v>
      </c>
      <c r="G227" t="s">
        <v>564</v>
      </c>
      <c r="H227">
        <v>5</v>
      </c>
      <c r="I227">
        <v>1235270</v>
      </c>
      <c r="J227">
        <v>24</v>
      </c>
    </row>
    <row r="228" spans="1:10">
      <c r="A228" t="s">
        <v>803</v>
      </c>
      <c r="B228" s="2">
        <v>46079</v>
      </c>
      <c r="C228" t="s">
        <v>561</v>
      </c>
      <c r="D228" t="s">
        <v>596</v>
      </c>
      <c r="E228" t="s">
        <v>576</v>
      </c>
      <c r="F228" t="s">
        <v>558</v>
      </c>
      <c r="G228" t="s">
        <v>564</v>
      </c>
      <c r="H228">
        <v>61</v>
      </c>
      <c r="I228">
        <v>337068</v>
      </c>
      <c r="J228">
        <v>24</v>
      </c>
    </row>
    <row r="229" spans="1:10">
      <c r="A229" t="s">
        <v>804</v>
      </c>
      <c r="B229" s="2">
        <v>46139</v>
      </c>
      <c r="C229" t="s">
        <v>588</v>
      </c>
      <c r="D229" t="s">
        <v>578</v>
      </c>
      <c r="E229" t="s">
        <v>557</v>
      </c>
      <c r="F229" t="s">
        <v>558</v>
      </c>
      <c r="G229" t="s">
        <v>559</v>
      </c>
      <c r="H229">
        <v>31</v>
      </c>
      <c r="I229">
        <v>930288</v>
      </c>
      <c r="J229">
        <v>6</v>
      </c>
    </row>
    <row r="230" spans="1:10">
      <c r="A230" t="s">
        <v>805</v>
      </c>
      <c r="B230" s="2">
        <v>46075</v>
      </c>
      <c r="C230" t="s">
        <v>561</v>
      </c>
      <c r="D230" t="s">
        <v>584</v>
      </c>
      <c r="E230" t="s">
        <v>576</v>
      </c>
      <c r="F230" t="s">
        <v>558</v>
      </c>
      <c r="G230" t="s">
        <v>569</v>
      </c>
      <c r="H230">
        <v>3</v>
      </c>
      <c r="I230">
        <v>2298559</v>
      </c>
      <c r="J230">
        <v>6</v>
      </c>
    </row>
    <row r="231" spans="1:10">
      <c r="A231" t="s">
        <v>806</v>
      </c>
      <c r="B231" s="2">
        <v>46068</v>
      </c>
      <c r="C231" t="s">
        <v>571</v>
      </c>
      <c r="D231" t="s">
        <v>578</v>
      </c>
      <c r="E231" t="s">
        <v>557</v>
      </c>
      <c r="F231" t="s">
        <v>558</v>
      </c>
      <c r="G231" t="s">
        <v>569</v>
      </c>
      <c r="H231">
        <v>63</v>
      </c>
      <c r="I231">
        <v>1704243</v>
      </c>
      <c r="J231">
        <v>12</v>
      </c>
    </row>
    <row r="232" spans="1:10">
      <c r="A232" t="s">
        <v>807</v>
      </c>
      <c r="B232" s="2">
        <v>46138</v>
      </c>
      <c r="C232" t="s">
        <v>571</v>
      </c>
      <c r="D232" t="s">
        <v>596</v>
      </c>
      <c r="E232" t="s">
        <v>576</v>
      </c>
      <c r="F232" t="s">
        <v>573</v>
      </c>
      <c r="G232" t="s">
        <v>590</v>
      </c>
      <c r="H232">
        <v>50</v>
      </c>
      <c r="I232">
        <v>951161</v>
      </c>
      <c r="J232">
        <v>6</v>
      </c>
    </row>
    <row r="233" spans="1:10">
      <c r="A233" t="s">
        <v>808</v>
      </c>
      <c r="B233" s="2">
        <v>46036</v>
      </c>
      <c r="C233" t="s">
        <v>571</v>
      </c>
      <c r="D233" t="s">
        <v>556</v>
      </c>
      <c r="E233" t="s">
        <v>576</v>
      </c>
      <c r="F233" t="s">
        <v>573</v>
      </c>
      <c r="G233" t="s">
        <v>590</v>
      </c>
      <c r="H233">
        <v>10</v>
      </c>
      <c r="I233">
        <v>1385076</v>
      </c>
      <c r="J233">
        <v>6</v>
      </c>
    </row>
    <row r="234" spans="1:10">
      <c r="A234" t="s">
        <v>809</v>
      </c>
      <c r="B234" s="2">
        <v>46122</v>
      </c>
      <c r="C234" t="s">
        <v>571</v>
      </c>
      <c r="D234" t="s">
        <v>562</v>
      </c>
      <c r="E234" t="s">
        <v>576</v>
      </c>
      <c r="F234" t="s">
        <v>568</v>
      </c>
      <c r="G234" t="s">
        <v>559</v>
      </c>
      <c r="H234">
        <v>32</v>
      </c>
      <c r="I234">
        <v>678641</v>
      </c>
      <c r="J234">
        <v>24</v>
      </c>
    </row>
    <row r="235" spans="1:10">
      <c r="A235" t="s">
        <v>810</v>
      </c>
      <c r="B235" s="2">
        <v>46098</v>
      </c>
      <c r="C235" t="s">
        <v>555</v>
      </c>
      <c r="D235" t="s">
        <v>578</v>
      </c>
      <c r="E235" t="s">
        <v>576</v>
      </c>
      <c r="F235" t="s">
        <v>563</v>
      </c>
      <c r="G235" t="s">
        <v>569</v>
      </c>
      <c r="H235">
        <v>62</v>
      </c>
      <c r="I235">
        <v>805356</v>
      </c>
      <c r="J235">
        <v>6</v>
      </c>
    </row>
    <row r="236" spans="1:10">
      <c r="A236" t="s">
        <v>811</v>
      </c>
      <c r="B236" s="2">
        <v>46039</v>
      </c>
      <c r="C236" t="s">
        <v>555</v>
      </c>
      <c r="D236" t="s">
        <v>556</v>
      </c>
      <c r="E236" t="s">
        <v>576</v>
      </c>
      <c r="F236" t="s">
        <v>563</v>
      </c>
      <c r="G236" t="s">
        <v>564</v>
      </c>
      <c r="H236">
        <v>49</v>
      </c>
      <c r="I236">
        <v>1949039</v>
      </c>
      <c r="J236">
        <v>24</v>
      </c>
    </row>
    <row r="237" spans="1:10">
      <c r="A237" t="s">
        <v>812</v>
      </c>
      <c r="B237" s="2">
        <v>46061</v>
      </c>
      <c r="C237" t="s">
        <v>575</v>
      </c>
      <c r="D237" t="s">
        <v>562</v>
      </c>
      <c r="E237" t="s">
        <v>576</v>
      </c>
      <c r="F237" t="s">
        <v>558</v>
      </c>
      <c r="G237" t="s">
        <v>590</v>
      </c>
      <c r="H237">
        <v>26</v>
      </c>
      <c r="I237">
        <v>1738846</v>
      </c>
      <c r="J237">
        <v>6</v>
      </c>
    </row>
    <row r="238" spans="1:10">
      <c r="A238" t="s">
        <v>813</v>
      </c>
      <c r="B238" s="2">
        <v>46031</v>
      </c>
      <c r="C238" t="s">
        <v>588</v>
      </c>
      <c r="D238" t="s">
        <v>566</v>
      </c>
      <c r="E238" t="s">
        <v>576</v>
      </c>
      <c r="F238" t="s">
        <v>573</v>
      </c>
      <c r="G238" t="s">
        <v>564</v>
      </c>
      <c r="H238">
        <v>37</v>
      </c>
      <c r="I238">
        <v>136683</v>
      </c>
      <c r="J238">
        <v>12</v>
      </c>
    </row>
    <row r="239" spans="1:10">
      <c r="A239" t="s">
        <v>814</v>
      </c>
      <c r="B239" s="2">
        <v>46121</v>
      </c>
      <c r="C239" t="s">
        <v>561</v>
      </c>
      <c r="D239" t="s">
        <v>578</v>
      </c>
      <c r="E239" t="s">
        <v>576</v>
      </c>
      <c r="F239" t="s">
        <v>558</v>
      </c>
      <c r="G239" t="s">
        <v>590</v>
      </c>
      <c r="H239">
        <v>9</v>
      </c>
      <c r="I239">
        <v>2314949</v>
      </c>
      <c r="J239">
        <v>6</v>
      </c>
    </row>
    <row r="240" spans="1:10">
      <c r="A240" t="s">
        <v>815</v>
      </c>
      <c r="B240" s="2">
        <v>46099</v>
      </c>
      <c r="C240" t="s">
        <v>561</v>
      </c>
      <c r="D240" t="s">
        <v>578</v>
      </c>
      <c r="E240" t="s">
        <v>576</v>
      </c>
      <c r="F240" t="s">
        <v>568</v>
      </c>
      <c r="G240" t="s">
        <v>559</v>
      </c>
      <c r="H240">
        <v>59</v>
      </c>
      <c r="I240">
        <v>1559410</v>
      </c>
      <c r="J240">
        <v>6</v>
      </c>
    </row>
    <row r="241" spans="1:10">
      <c r="A241" t="s">
        <v>816</v>
      </c>
      <c r="B241" s="2">
        <v>46101</v>
      </c>
      <c r="C241" t="s">
        <v>555</v>
      </c>
      <c r="D241" t="s">
        <v>566</v>
      </c>
      <c r="E241" t="s">
        <v>557</v>
      </c>
      <c r="F241" t="s">
        <v>563</v>
      </c>
      <c r="G241" t="s">
        <v>569</v>
      </c>
      <c r="H241">
        <v>46</v>
      </c>
      <c r="I241">
        <v>424934</v>
      </c>
      <c r="J241">
        <v>6</v>
      </c>
    </row>
    <row r="242" spans="1:10">
      <c r="A242" t="s">
        <v>817</v>
      </c>
      <c r="B242" s="2">
        <v>46104</v>
      </c>
      <c r="C242" t="s">
        <v>561</v>
      </c>
      <c r="D242" t="s">
        <v>566</v>
      </c>
      <c r="E242" t="s">
        <v>572</v>
      </c>
      <c r="F242" t="s">
        <v>563</v>
      </c>
      <c r="G242" t="s">
        <v>590</v>
      </c>
      <c r="H242">
        <v>63</v>
      </c>
      <c r="I242">
        <v>1902466</v>
      </c>
      <c r="J242">
        <v>24</v>
      </c>
    </row>
    <row r="243" spans="1:10">
      <c r="A243" t="s">
        <v>818</v>
      </c>
      <c r="B243" s="2">
        <v>46137</v>
      </c>
      <c r="C243" t="s">
        <v>555</v>
      </c>
      <c r="D243" t="s">
        <v>578</v>
      </c>
      <c r="E243" t="s">
        <v>576</v>
      </c>
      <c r="F243" t="s">
        <v>558</v>
      </c>
      <c r="G243" t="s">
        <v>569</v>
      </c>
      <c r="H243">
        <v>40</v>
      </c>
      <c r="I243">
        <v>2482865</v>
      </c>
      <c r="J243">
        <v>12</v>
      </c>
    </row>
    <row r="244" spans="1:10">
      <c r="A244" t="s">
        <v>819</v>
      </c>
      <c r="B244" s="2">
        <v>46119</v>
      </c>
      <c r="C244" t="s">
        <v>575</v>
      </c>
      <c r="D244" t="s">
        <v>566</v>
      </c>
      <c r="E244" t="s">
        <v>572</v>
      </c>
      <c r="F244" t="s">
        <v>568</v>
      </c>
      <c r="G244" t="s">
        <v>564</v>
      </c>
      <c r="H244">
        <v>59</v>
      </c>
      <c r="I244">
        <v>897583</v>
      </c>
      <c r="J244">
        <v>6</v>
      </c>
    </row>
    <row r="245" spans="1:10">
      <c r="A245" t="s">
        <v>820</v>
      </c>
      <c r="B245" s="2">
        <v>46028</v>
      </c>
      <c r="C245" t="s">
        <v>588</v>
      </c>
      <c r="D245" t="s">
        <v>584</v>
      </c>
      <c r="E245" t="s">
        <v>576</v>
      </c>
      <c r="F245" t="s">
        <v>563</v>
      </c>
      <c r="G245" t="s">
        <v>559</v>
      </c>
      <c r="H245">
        <v>65</v>
      </c>
      <c r="I245">
        <v>564310</v>
      </c>
      <c r="J245">
        <v>24</v>
      </c>
    </row>
    <row r="246" spans="1:10">
      <c r="A246" t="s">
        <v>821</v>
      </c>
      <c r="B246" s="2">
        <v>46113</v>
      </c>
      <c r="C246" t="s">
        <v>575</v>
      </c>
      <c r="D246" t="s">
        <v>562</v>
      </c>
      <c r="E246" t="s">
        <v>576</v>
      </c>
      <c r="F246" t="s">
        <v>568</v>
      </c>
      <c r="G246" t="s">
        <v>569</v>
      </c>
      <c r="H246">
        <v>45</v>
      </c>
      <c r="I246">
        <v>1338822</v>
      </c>
      <c r="J246">
        <v>12</v>
      </c>
    </row>
    <row r="247" spans="1:10">
      <c r="A247" t="s">
        <v>822</v>
      </c>
      <c r="B247" s="2">
        <v>46045</v>
      </c>
      <c r="C247" t="s">
        <v>571</v>
      </c>
      <c r="D247" t="s">
        <v>562</v>
      </c>
      <c r="E247" t="s">
        <v>557</v>
      </c>
      <c r="F247" t="s">
        <v>568</v>
      </c>
      <c r="G247" t="s">
        <v>559</v>
      </c>
      <c r="H247">
        <v>30</v>
      </c>
      <c r="I247">
        <v>657242</v>
      </c>
      <c r="J247">
        <v>24</v>
      </c>
    </row>
    <row r="248" spans="1:10">
      <c r="A248" t="s">
        <v>823</v>
      </c>
      <c r="B248" s="2">
        <v>46081</v>
      </c>
      <c r="C248" t="s">
        <v>571</v>
      </c>
      <c r="D248" t="s">
        <v>562</v>
      </c>
      <c r="E248" t="s">
        <v>567</v>
      </c>
      <c r="F248" t="s">
        <v>558</v>
      </c>
      <c r="G248" t="s">
        <v>569</v>
      </c>
      <c r="H248">
        <v>60</v>
      </c>
      <c r="I248">
        <v>868223</v>
      </c>
      <c r="J248">
        <v>24</v>
      </c>
    </row>
    <row r="249" spans="1:10">
      <c r="A249" t="s">
        <v>824</v>
      </c>
      <c r="B249" s="2">
        <v>46113</v>
      </c>
      <c r="C249" t="s">
        <v>571</v>
      </c>
      <c r="D249" t="s">
        <v>584</v>
      </c>
      <c r="E249" t="s">
        <v>567</v>
      </c>
      <c r="F249" t="s">
        <v>573</v>
      </c>
      <c r="G249" t="s">
        <v>564</v>
      </c>
      <c r="H249">
        <v>10</v>
      </c>
      <c r="I249">
        <v>209373</v>
      </c>
      <c r="J249">
        <v>12</v>
      </c>
    </row>
    <row r="250" spans="1:10">
      <c r="A250" t="s">
        <v>825</v>
      </c>
      <c r="B250" s="2">
        <v>46120</v>
      </c>
      <c r="C250" t="s">
        <v>575</v>
      </c>
      <c r="D250" t="s">
        <v>566</v>
      </c>
      <c r="E250" t="s">
        <v>557</v>
      </c>
      <c r="F250" t="s">
        <v>558</v>
      </c>
      <c r="G250" t="s">
        <v>564</v>
      </c>
      <c r="H250">
        <v>7</v>
      </c>
      <c r="I250">
        <v>658988</v>
      </c>
      <c r="J250">
        <v>6</v>
      </c>
    </row>
    <row r="251" spans="1:10">
      <c r="A251" t="s">
        <v>826</v>
      </c>
      <c r="B251" s="2">
        <v>46142</v>
      </c>
      <c r="C251" t="s">
        <v>561</v>
      </c>
      <c r="D251" t="s">
        <v>556</v>
      </c>
      <c r="E251" t="s">
        <v>572</v>
      </c>
      <c r="F251" t="s">
        <v>573</v>
      </c>
      <c r="G251" t="s">
        <v>559</v>
      </c>
      <c r="H251">
        <v>30</v>
      </c>
      <c r="I251">
        <v>1110540</v>
      </c>
      <c r="J251">
        <v>24</v>
      </c>
    </row>
    <row r="252" spans="1:10">
      <c r="A252" t="s">
        <v>827</v>
      </c>
      <c r="B252" s="2">
        <v>46068</v>
      </c>
      <c r="C252" t="s">
        <v>588</v>
      </c>
      <c r="D252" t="s">
        <v>566</v>
      </c>
      <c r="E252" t="s">
        <v>567</v>
      </c>
      <c r="F252" t="s">
        <v>568</v>
      </c>
      <c r="G252" t="s">
        <v>564</v>
      </c>
      <c r="H252">
        <v>59</v>
      </c>
      <c r="I252">
        <v>1272304</v>
      </c>
      <c r="J252">
        <v>24</v>
      </c>
    </row>
    <row r="253" spans="1:10">
      <c r="A253" t="s">
        <v>828</v>
      </c>
      <c r="B253" s="2">
        <v>46060</v>
      </c>
      <c r="C253" t="s">
        <v>571</v>
      </c>
      <c r="D253" t="s">
        <v>578</v>
      </c>
      <c r="E253" t="s">
        <v>557</v>
      </c>
      <c r="F253" t="s">
        <v>573</v>
      </c>
      <c r="G253" t="s">
        <v>590</v>
      </c>
      <c r="H253">
        <v>18</v>
      </c>
      <c r="I253">
        <v>2133648</v>
      </c>
      <c r="J253">
        <v>6</v>
      </c>
    </row>
    <row r="254" spans="1:10">
      <c r="A254" t="s">
        <v>829</v>
      </c>
      <c r="B254" s="2">
        <v>46036</v>
      </c>
      <c r="C254" t="s">
        <v>571</v>
      </c>
      <c r="D254" t="s">
        <v>596</v>
      </c>
      <c r="E254" t="s">
        <v>557</v>
      </c>
      <c r="F254" t="s">
        <v>568</v>
      </c>
      <c r="G254" t="s">
        <v>569</v>
      </c>
      <c r="H254">
        <v>17</v>
      </c>
      <c r="I254">
        <v>1743909</v>
      </c>
      <c r="J254">
        <v>6</v>
      </c>
    </row>
    <row r="255" spans="1:10">
      <c r="A255" t="s">
        <v>830</v>
      </c>
      <c r="B255" s="2">
        <v>46122</v>
      </c>
      <c r="C255" t="s">
        <v>571</v>
      </c>
      <c r="D255" t="s">
        <v>562</v>
      </c>
      <c r="E255" t="s">
        <v>567</v>
      </c>
      <c r="F255" t="s">
        <v>563</v>
      </c>
      <c r="G255" t="s">
        <v>564</v>
      </c>
      <c r="H255">
        <v>4</v>
      </c>
      <c r="I255">
        <v>1579634</v>
      </c>
      <c r="J255">
        <v>12</v>
      </c>
    </row>
    <row r="256" spans="1:10">
      <c r="A256" t="s">
        <v>831</v>
      </c>
      <c r="B256" s="2">
        <v>46139</v>
      </c>
      <c r="C256" t="s">
        <v>588</v>
      </c>
      <c r="D256" t="s">
        <v>566</v>
      </c>
      <c r="E256" t="s">
        <v>572</v>
      </c>
      <c r="F256" t="s">
        <v>563</v>
      </c>
      <c r="G256" t="s">
        <v>590</v>
      </c>
      <c r="H256">
        <v>22</v>
      </c>
      <c r="I256">
        <v>1014424</v>
      </c>
      <c r="J256">
        <v>12</v>
      </c>
    </row>
    <row r="257" spans="1:10">
      <c r="A257" t="s">
        <v>832</v>
      </c>
      <c r="B257" s="2">
        <v>46094</v>
      </c>
      <c r="C257" t="s">
        <v>571</v>
      </c>
      <c r="D257" t="s">
        <v>556</v>
      </c>
      <c r="E257" t="s">
        <v>557</v>
      </c>
      <c r="F257" t="s">
        <v>563</v>
      </c>
      <c r="G257" t="s">
        <v>559</v>
      </c>
      <c r="H257">
        <v>65</v>
      </c>
      <c r="I257">
        <v>966491</v>
      </c>
      <c r="J257">
        <v>12</v>
      </c>
    </row>
    <row r="258" spans="1:10">
      <c r="A258" t="s">
        <v>833</v>
      </c>
      <c r="B258" s="2">
        <v>46084</v>
      </c>
      <c r="C258" t="s">
        <v>588</v>
      </c>
      <c r="D258" t="s">
        <v>578</v>
      </c>
      <c r="E258" t="s">
        <v>576</v>
      </c>
      <c r="F258" t="s">
        <v>558</v>
      </c>
      <c r="G258" t="s">
        <v>590</v>
      </c>
      <c r="H258">
        <v>37</v>
      </c>
      <c r="I258">
        <v>1674745</v>
      </c>
      <c r="J258">
        <v>6</v>
      </c>
    </row>
    <row r="259" spans="1:10">
      <c r="A259" t="s">
        <v>834</v>
      </c>
      <c r="B259" s="2">
        <v>46057</v>
      </c>
      <c r="C259" t="s">
        <v>571</v>
      </c>
      <c r="D259" t="s">
        <v>584</v>
      </c>
      <c r="E259" t="s">
        <v>572</v>
      </c>
      <c r="F259" t="s">
        <v>558</v>
      </c>
      <c r="G259" t="s">
        <v>559</v>
      </c>
      <c r="H259">
        <v>63</v>
      </c>
      <c r="I259">
        <v>2099117</v>
      </c>
      <c r="J259">
        <v>24</v>
      </c>
    </row>
    <row r="260" spans="1:10">
      <c r="A260" t="s">
        <v>835</v>
      </c>
      <c r="B260" s="2">
        <v>46041</v>
      </c>
      <c r="C260" t="s">
        <v>575</v>
      </c>
      <c r="D260" t="s">
        <v>584</v>
      </c>
      <c r="E260" t="s">
        <v>572</v>
      </c>
      <c r="F260" t="s">
        <v>568</v>
      </c>
      <c r="G260" t="s">
        <v>559</v>
      </c>
      <c r="H260">
        <v>43</v>
      </c>
      <c r="I260">
        <v>1019134</v>
      </c>
      <c r="J260">
        <v>24</v>
      </c>
    </row>
    <row r="261" spans="1:10">
      <c r="A261" t="s">
        <v>836</v>
      </c>
      <c r="B261" s="2">
        <v>46052</v>
      </c>
      <c r="C261" t="s">
        <v>575</v>
      </c>
      <c r="D261" t="s">
        <v>556</v>
      </c>
      <c r="E261" t="s">
        <v>567</v>
      </c>
      <c r="F261" t="s">
        <v>563</v>
      </c>
      <c r="G261" t="s">
        <v>569</v>
      </c>
      <c r="H261">
        <v>43</v>
      </c>
      <c r="I261">
        <v>1955797</v>
      </c>
      <c r="J261">
        <v>12</v>
      </c>
    </row>
    <row r="262" spans="1:10">
      <c r="A262" t="s">
        <v>837</v>
      </c>
      <c r="B262" s="2">
        <v>46100</v>
      </c>
      <c r="C262" t="s">
        <v>588</v>
      </c>
      <c r="D262" t="s">
        <v>578</v>
      </c>
      <c r="E262" t="s">
        <v>567</v>
      </c>
      <c r="F262" t="s">
        <v>558</v>
      </c>
      <c r="G262" t="s">
        <v>569</v>
      </c>
      <c r="H262">
        <v>62</v>
      </c>
      <c r="I262">
        <v>1536803</v>
      </c>
      <c r="J262">
        <v>6</v>
      </c>
    </row>
    <row r="263" spans="1:10">
      <c r="A263" t="s">
        <v>838</v>
      </c>
      <c r="B263" s="2">
        <v>46106</v>
      </c>
      <c r="C263" t="s">
        <v>575</v>
      </c>
      <c r="D263" t="s">
        <v>562</v>
      </c>
      <c r="E263" t="s">
        <v>576</v>
      </c>
      <c r="F263" t="s">
        <v>563</v>
      </c>
      <c r="G263" t="s">
        <v>590</v>
      </c>
      <c r="H263">
        <v>14</v>
      </c>
      <c r="I263">
        <v>2285211</v>
      </c>
      <c r="J263">
        <v>24</v>
      </c>
    </row>
    <row r="264" spans="1:10">
      <c r="A264" t="s">
        <v>839</v>
      </c>
      <c r="B264" s="2">
        <v>46135</v>
      </c>
      <c r="C264" t="s">
        <v>588</v>
      </c>
      <c r="D264" t="s">
        <v>566</v>
      </c>
      <c r="E264" t="s">
        <v>557</v>
      </c>
      <c r="F264" t="s">
        <v>558</v>
      </c>
      <c r="G264" t="s">
        <v>569</v>
      </c>
      <c r="H264">
        <v>12</v>
      </c>
      <c r="I264">
        <v>542136</v>
      </c>
      <c r="J264">
        <v>12</v>
      </c>
    </row>
    <row r="265" spans="1:10">
      <c r="A265" t="s">
        <v>840</v>
      </c>
      <c r="B265" s="2">
        <v>46047</v>
      </c>
      <c r="C265" t="s">
        <v>575</v>
      </c>
      <c r="D265" t="s">
        <v>578</v>
      </c>
      <c r="E265" t="s">
        <v>567</v>
      </c>
      <c r="F265" t="s">
        <v>573</v>
      </c>
      <c r="G265" t="s">
        <v>569</v>
      </c>
      <c r="H265">
        <v>55</v>
      </c>
      <c r="I265">
        <v>1782252</v>
      </c>
      <c r="J265">
        <v>24</v>
      </c>
    </row>
    <row r="266" spans="1:10">
      <c r="A266" t="s">
        <v>841</v>
      </c>
      <c r="B266" s="2">
        <v>46062</v>
      </c>
      <c r="C266" t="s">
        <v>575</v>
      </c>
      <c r="D266" t="s">
        <v>584</v>
      </c>
      <c r="E266" t="s">
        <v>567</v>
      </c>
      <c r="F266" t="s">
        <v>573</v>
      </c>
      <c r="G266" t="s">
        <v>569</v>
      </c>
      <c r="H266">
        <v>17</v>
      </c>
      <c r="I266">
        <v>2395455</v>
      </c>
      <c r="J266">
        <v>24</v>
      </c>
    </row>
    <row r="267" spans="1:10">
      <c r="A267" t="s">
        <v>842</v>
      </c>
      <c r="B267" s="2">
        <v>46110</v>
      </c>
      <c r="C267" t="s">
        <v>588</v>
      </c>
      <c r="D267" t="s">
        <v>556</v>
      </c>
      <c r="E267" t="s">
        <v>572</v>
      </c>
      <c r="F267" t="s">
        <v>563</v>
      </c>
      <c r="G267" t="s">
        <v>590</v>
      </c>
      <c r="H267">
        <v>9</v>
      </c>
      <c r="I267">
        <v>611162</v>
      </c>
      <c r="J267">
        <v>6</v>
      </c>
    </row>
    <row r="268" spans="1:10">
      <c r="A268" t="s">
        <v>843</v>
      </c>
      <c r="B268" s="2">
        <v>46036</v>
      </c>
      <c r="C268" t="s">
        <v>561</v>
      </c>
      <c r="D268" t="s">
        <v>556</v>
      </c>
      <c r="E268" t="s">
        <v>567</v>
      </c>
      <c r="F268" t="s">
        <v>568</v>
      </c>
      <c r="G268" t="s">
        <v>564</v>
      </c>
      <c r="H268">
        <v>60</v>
      </c>
      <c r="I268">
        <v>1007383</v>
      </c>
      <c r="J268">
        <v>6</v>
      </c>
    </row>
    <row r="269" spans="1:10">
      <c r="A269" t="s">
        <v>844</v>
      </c>
      <c r="B269" s="2">
        <v>46048</v>
      </c>
      <c r="C269" t="s">
        <v>575</v>
      </c>
      <c r="D269" t="s">
        <v>566</v>
      </c>
      <c r="E269" t="s">
        <v>567</v>
      </c>
      <c r="F269" t="s">
        <v>558</v>
      </c>
      <c r="G269" t="s">
        <v>569</v>
      </c>
      <c r="H269">
        <v>58</v>
      </c>
      <c r="I269">
        <v>1230548</v>
      </c>
      <c r="J269">
        <v>24</v>
      </c>
    </row>
    <row r="270" spans="1:10">
      <c r="A270" t="s">
        <v>845</v>
      </c>
      <c r="B270" s="2">
        <v>46124</v>
      </c>
      <c r="C270" t="s">
        <v>571</v>
      </c>
      <c r="D270" t="s">
        <v>556</v>
      </c>
      <c r="E270" t="s">
        <v>567</v>
      </c>
      <c r="F270" t="s">
        <v>558</v>
      </c>
      <c r="G270" t="s">
        <v>569</v>
      </c>
      <c r="H270">
        <v>41</v>
      </c>
      <c r="I270">
        <v>1486205</v>
      </c>
      <c r="J270">
        <v>12</v>
      </c>
    </row>
    <row r="271" spans="1:10">
      <c r="A271" t="s">
        <v>846</v>
      </c>
      <c r="B271" s="2">
        <v>46109</v>
      </c>
      <c r="C271" t="s">
        <v>561</v>
      </c>
      <c r="D271" t="s">
        <v>556</v>
      </c>
      <c r="E271" t="s">
        <v>567</v>
      </c>
      <c r="F271" t="s">
        <v>573</v>
      </c>
      <c r="G271" t="s">
        <v>590</v>
      </c>
      <c r="H271">
        <v>60</v>
      </c>
      <c r="I271">
        <v>2379042</v>
      </c>
      <c r="J271">
        <v>6</v>
      </c>
    </row>
    <row r="272" spans="1:10">
      <c r="A272" t="s">
        <v>847</v>
      </c>
      <c r="B272" s="2">
        <v>46044</v>
      </c>
      <c r="C272" t="s">
        <v>588</v>
      </c>
      <c r="D272" t="s">
        <v>578</v>
      </c>
      <c r="E272" t="s">
        <v>572</v>
      </c>
      <c r="F272" t="s">
        <v>573</v>
      </c>
      <c r="G272" t="s">
        <v>564</v>
      </c>
      <c r="H272">
        <v>3</v>
      </c>
      <c r="I272">
        <v>1047436</v>
      </c>
      <c r="J272">
        <v>24</v>
      </c>
    </row>
    <row r="273" spans="1:10">
      <c r="A273" t="s">
        <v>848</v>
      </c>
      <c r="B273" s="2">
        <v>46070</v>
      </c>
      <c r="C273" t="s">
        <v>561</v>
      </c>
      <c r="D273" t="s">
        <v>562</v>
      </c>
      <c r="E273" t="s">
        <v>576</v>
      </c>
      <c r="F273" t="s">
        <v>568</v>
      </c>
      <c r="G273" t="s">
        <v>569</v>
      </c>
      <c r="H273">
        <v>11</v>
      </c>
      <c r="I273">
        <v>1417621</v>
      </c>
      <c r="J273">
        <v>6</v>
      </c>
    </row>
    <row r="274" spans="1:10">
      <c r="A274" t="s">
        <v>849</v>
      </c>
      <c r="B274" s="2">
        <v>46105</v>
      </c>
      <c r="C274" t="s">
        <v>555</v>
      </c>
      <c r="D274" t="s">
        <v>566</v>
      </c>
      <c r="E274" t="s">
        <v>576</v>
      </c>
      <c r="F274" t="s">
        <v>568</v>
      </c>
      <c r="G274" t="s">
        <v>559</v>
      </c>
      <c r="H274">
        <v>45</v>
      </c>
      <c r="I274">
        <v>2314625</v>
      </c>
      <c r="J274">
        <v>6</v>
      </c>
    </row>
    <row r="275" spans="1:10">
      <c r="A275" t="s">
        <v>850</v>
      </c>
      <c r="B275" s="2">
        <v>46132</v>
      </c>
      <c r="C275" t="s">
        <v>555</v>
      </c>
      <c r="D275" t="s">
        <v>578</v>
      </c>
      <c r="E275" t="s">
        <v>557</v>
      </c>
      <c r="F275" t="s">
        <v>568</v>
      </c>
      <c r="G275" t="s">
        <v>590</v>
      </c>
      <c r="H275">
        <v>12</v>
      </c>
      <c r="I275">
        <v>2467893</v>
      </c>
      <c r="J275">
        <v>6</v>
      </c>
    </row>
    <row r="276" spans="1:10">
      <c r="A276" t="s">
        <v>851</v>
      </c>
      <c r="B276" s="2">
        <v>46073</v>
      </c>
      <c r="C276" t="s">
        <v>575</v>
      </c>
      <c r="D276" t="s">
        <v>562</v>
      </c>
      <c r="E276" t="s">
        <v>567</v>
      </c>
      <c r="F276" t="s">
        <v>563</v>
      </c>
      <c r="G276" t="s">
        <v>569</v>
      </c>
      <c r="H276">
        <v>3</v>
      </c>
      <c r="I276">
        <v>1540351</v>
      </c>
      <c r="J276">
        <v>24</v>
      </c>
    </row>
    <row r="277" spans="1:10">
      <c r="A277" t="s">
        <v>852</v>
      </c>
      <c r="B277" s="2">
        <v>46025</v>
      </c>
      <c r="C277" t="s">
        <v>575</v>
      </c>
      <c r="D277" t="s">
        <v>578</v>
      </c>
      <c r="E277" t="s">
        <v>572</v>
      </c>
      <c r="F277" t="s">
        <v>573</v>
      </c>
      <c r="G277" t="s">
        <v>569</v>
      </c>
      <c r="H277">
        <v>51</v>
      </c>
      <c r="I277">
        <v>1671836</v>
      </c>
      <c r="J277">
        <v>12</v>
      </c>
    </row>
    <row r="278" spans="1:10">
      <c r="A278" t="s">
        <v>853</v>
      </c>
      <c r="B278" s="2">
        <v>46064</v>
      </c>
      <c r="C278" t="s">
        <v>571</v>
      </c>
      <c r="D278" t="s">
        <v>596</v>
      </c>
      <c r="E278" t="s">
        <v>557</v>
      </c>
      <c r="F278" t="s">
        <v>563</v>
      </c>
      <c r="G278" t="s">
        <v>559</v>
      </c>
      <c r="H278">
        <v>13</v>
      </c>
      <c r="I278">
        <v>1998917</v>
      </c>
      <c r="J278">
        <v>12</v>
      </c>
    </row>
    <row r="279" spans="1:10">
      <c r="A279" t="s">
        <v>854</v>
      </c>
      <c r="B279" s="2">
        <v>46041</v>
      </c>
      <c r="C279" t="s">
        <v>561</v>
      </c>
      <c r="D279" t="s">
        <v>578</v>
      </c>
      <c r="E279" t="s">
        <v>557</v>
      </c>
      <c r="F279" t="s">
        <v>573</v>
      </c>
      <c r="G279" t="s">
        <v>559</v>
      </c>
      <c r="H279">
        <v>24</v>
      </c>
      <c r="I279">
        <v>958823</v>
      </c>
      <c r="J279">
        <v>12</v>
      </c>
    </row>
    <row r="280" spans="1:10">
      <c r="A280" t="s">
        <v>855</v>
      </c>
      <c r="B280" s="2">
        <v>46095</v>
      </c>
      <c r="C280" t="s">
        <v>555</v>
      </c>
      <c r="D280" t="s">
        <v>556</v>
      </c>
      <c r="E280" t="s">
        <v>576</v>
      </c>
      <c r="F280" t="s">
        <v>573</v>
      </c>
      <c r="G280" t="s">
        <v>590</v>
      </c>
      <c r="H280">
        <v>19</v>
      </c>
      <c r="I280">
        <v>839574</v>
      </c>
      <c r="J280">
        <v>6</v>
      </c>
    </row>
    <row r="281" spans="1:10">
      <c r="A281" t="s">
        <v>856</v>
      </c>
      <c r="B281" s="2">
        <v>46050</v>
      </c>
      <c r="C281" t="s">
        <v>575</v>
      </c>
      <c r="D281" t="s">
        <v>562</v>
      </c>
      <c r="E281" t="s">
        <v>572</v>
      </c>
      <c r="F281" t="s">
        <v>558</v>
      </c>
      <c r="G281" t="s">
        <v>590</v>
      </c>
      <c r="H281">
        <v>63</v>
      </c>
      <c r="I281">
        <v>425437</v>
      </c>
      <c r="J281">
        <v>24</v>
      </c>
    </row>
    <row r="282" spans="1:10">
      <c r="A282" t="s">
        <v>857</v>
      </c>
      <c r="B282" s="2">
        <v>46106</v>
      </c>
      <c r="C282" t="s">
        <v>561</v>
      </c>
      <c r="D282" t="s">
        <v>566</v>
      </c>
      <c r="E282" t="s">
        <v>572</v>
      </c>
      <c r="F282" t="s">
        <v>573</v>
      </c>
      <c r="G282" t="s">
        <v>559</v>
      </c>
      <c r="H282">
        <v>63</v>
      </c>
      <c r="I282">
        <v>1916760</v>
      </c>
      <c r="J282">
        <v>6</v>
      </c>
    </row>
    <row r="283" spans="1:10">
      <c r="A283" t="s">
        <v>858</v>
      </c>
      <c r="B283" s="2">
        <v>46067</v>
      </c>
      <c r="C283" t="s">
        <v>575</v>
      </c>
      <c r="D283" t="s">
        <v>566</v>
      </c>
      <c r="E283" t="s">
        <v>572</v>
      </c>
      <c r="F283" t="s">
        <v>573</v>
      </c>
      <c r="G283" t="s">
        <v>590</v>
      </c>
      <c r="H283">
        <v>39</v>
      </c>
      <c r="I283">
        <v>2191013</v>
      </c>
      <c r="J283">
        <v>12</v>
      </c>
    </row>
    <row r="284" spans="1:10">
      <c r="A284" t="s">
        <v>859</v>
      </c>
      <c r="B284" s="2">
        <v>46093</v>
      </c>
      <c r="C284" t="s">
        <v>575</v>
      </c>
      <c r="D284" t="s">
        <v>562</v>
      </c>
      <c r="E284" t="s">
        <v>576</v>
      </c>
      <c r="F284" t="s">
        <v>563</v>
      </c>
      <c r="G284" t="s">
        <v>559</v>
      </c>
      <c r="H284">
        <v>68</v>
      </c>
      <c r="I284">
        <v>2354029</v>
      </c>
      <c r="J284">
        <v>12</v>
      </c>
    </row>
    <row r="285" spans="1:10">
      <c r="A285" t="s">
        <v>860</v>
      </c>
      <c r="B285" s="2">
        <v>46100</v>
      </c>
      <c r="C285" t="s">
        <v>555</v>
      </c>
      <c r="D285" t="s">
        <v>556</v>
      </c>
      <c r="E285" t="s">
        <v>576</v>
      </c>
      <c r="F285" t="s">
        <v>573</v>
      </c>
      <c r="G285" t="s">
        <v>569</v>
      </c>
      <c r="H285">
        <v>39</v>
      </c>
      <c r="I285">
        <v>1897001</v>
      </c>
      <c r="J285">
        <v>24</v>
      </c>
    </row>
    <row r="286" spans="1:10">
      <c r="A286" t="s">
        <v>861</v>
      </c>
      <c r="B286" s="2">
        <v>46085</v>
      </c>
      <c r="C286" t="s">
        <v>555</v>
      </c>
      <c r="D286" t="s">
        <v>584</v>
      </c>
      <c r="E286" t="s">
        <v>576</v>
      </c>
      <c r="F286" t="s">
        <v>563</v>
      </c>
      <c r="G286" t="s">
        <v>559</v>
      </c>
      <c r="H286">
        <v>68</v>
      </c>
      <c r="I286">
        <v>972834</v>
      </c>
      <c r="J286">
        <v>6</v>
      </c>
    </row>
    <row r="287" spans="1:10">
      <c r="A287" t="s">
        <v>862</v>
      </c>
      <c r="B287" s="2">
        <v>46095</v>
      </c>
      <c r="C287" t="s">
        <v>575</v>
      </c>
      <c r="D287" t="s">
        <v>578</v>
      </c>
      <c r="E287" t="s">
        <v>576</v>
      </c>
      <c r="F287" t="s">
        <v>568</v>
      </c>
      <c r="G287" t="s">
        <v>559</v>
      </c>
      <c r="H287">
        <v>62</v>
      </c>
      <c r="I287">
        <v>1949087</v>
      </c>
      <c r="J287">
        <v>12</v>
      </c>
    </row>
    <row r="288" spans="1:10">
      <c r="A288" t="s">
        <v>863</v>
      </c>
      <c r="B288" s="2">
        <v>46141</v>
      </c>
      <c r="C288" t="s">
        <v>588</v>
      </c>
      <c r="D288" t="s">
        <v>556</v>
      </c>
      <c r="E288" t="s">
        <v>576</v>
      </c>
      <c r="F288" t="s">
        <v>573</v>
      </c>
      <c r="G288" t="s">
        <v>564</v>
      </c>
      <c r="H288">
        <v>2</v>
      </c>
      <c r="I288">
        <v>543066</v>
      </c>
      <c r="J288">
        <v>24</v>
      </c>
    </row>
    <row r="289" spans="1:10">
      <c r="A289" t="s">
        <v>864</v>
      </c>
      <c r="B289" s="2">
        <v>46041</v>
      </c>
      <c r="C289" t="s">
        <v>575</v>
      </c>
      <c r="D289" t="s">
        <v>596</v>
      </c>
      <c r="E289" t="s">
        <v>567</v>
      </c>
      <c r="F289" t="s">
        <v>573</v>
      </c>
      <c r="G289" t="s">
        <v>559</v>
      </c>
      <c r="H289">
        <v>46</v>
      </c>
      <c r="I289">
        <v>719696</v>
      </c>
      <c r="J289">
        <v>6</v>
      </c>
    </row>
    <row r="290" spans="1:10">
      <c r="A290" t="s">
        <v>865</v>
      </c>
      <c r="B290" s="2">
        <v>46069</v>
      </c>
      <c r="C290" t="s">
        <v>575</v>
      </c>
      <c r="D290" t="s">
        <v>562</v>
      </c>
      <c r="E290" t="s">
        <v>567</v>
      </c>
      <c r="F290" t="s">
        <v>563</v>
      </c>
      <c r="G290" t="s">
        <v>559</v>
      </c>
      <c r="H290">
        <v>29</v>
      </c>
      <c r="I290">
        <v>1793470</v>
      </c>
      <c r="J290">
        <v>6</v>
      </c>
    </row>
    <row r="291" spans="1:10">
      <c r="A291" t="s">
        <v>866</v>
      </c>
      <c r="B291" s="2">
        <v>46138</v>
      </c>
      <c r="C291" t="s">
        <v>571</v>
      </c>
      <c r="D291" t="s">
        <v>578</v>
      </c>
      <c r="E291" t="s">
        <v>572</v>
      </c>
      <c r="F291" t="s">
        <v>568</v>
      </c>
      <c r="G291" t="s">
        <v>564</v>
      </c>
      <c r="H291">
        <v>22</v>
      </c>
      <c r="I291">
        <v>220062</v>
      </c>
      <c r="J291">
        <v>12</v>
      </c>
    </row>
    <row r="292" spans="1:10">
      <c r="A292" t="s">
        <v>867</v>
      </c>
      <c r="B292" s="2">
        <v>46036</v>
      </c>
      <c r="C292" t="s">
        <v>571</v>
      </c>
      <c r="D292" t="s">
        <v>566</v>
      </c>
      <c r="E292" t="s">
        <v>557</v>
      </c>
      <c r="F292" t="s">
        <v>558</v>
      </c>
      <c r="G292" t="s">
        <v>590</v>
      </c>
      <c r="H292">
        <v>14</v>
      </c>
      <c r="I292">
        <v>1467741</v>
      </c>
      <c r="J292">
        <v>12</v>
      </c>
    </row>
    <row r="293" spans="1:10">
      <c r="A293" t="s">
        <v>868</v>
      </c>
      <c r="B293" s="2">
        <v>46142</v>
      </c>
      <c r="C293" t="s">
        <v>571</v>
      </c>
      <c r="D293" t="s">
        <v>584</v>
      </c>
      <c r="E293" t="s">
        <v>572</v>
      </c>
      <c r="F293" t="s">
        <v>568</v>
      </c>
      <c r="G293" t="s">
        <v>564</v>
      </c>
      <c r="H293">
        <v>28</v>
      </c>
      <c r="I293">
        <v>1132499</v>
      </c>
      <c r="J293">
        <v>6</v>
      </c>
    </row>
    <row r="294" spans="1:10">
      <c r="A294" t="s">
        <v>869</v>
      </c>
      <c r="B294" s="2">
        <v>46060</v>
      </c>
      <c r="C294" t="s">
        <v>588</v>
      </c>
      <c r="D294" t="s">
        <v>596</v>
      </c>
      <c r="E294" t="s">
        <v>557</v>
      </c>
      <c r="F294" t="s">
        <v>563</v>
      </c>
      <c r="G294" t="s">
        <v>569</v>
      </c>
      <c r="H294">
        <v>8</v>
      </c>
      <c r="I294">
        <v>1964445</v>
      </c>
      <c r="J294">
        <v>6</v>
      </c>
    </row>
    <row r="295" spans="1:10">
      <c r="A295" t="s">
        <v>870</v>
      </c>
      <c r="B295" s="2">
        <v>46075</v>
      </c>
      <c r="C295" t="s">
        <v>588</v>
      </c>
      <c r="D295" t="s">
        <v>566</v>
      </c>
      <c r="E295" t="s">
        <v>576</v>
      </c>
      <c r="F295" t="s">
        <v>568</v>
      </c>
      <c r="G295" t="s">
        <v>564</v>
      </c>
      <c r="H295">
        <v>23</v>
      </c>
      <c r="I295">
        <v>2431348</v>
      </c>
      <c r="J295">
        <v>12</v>
      </c>
    </row>
    <row r="296" spans="1:10">
      <c r="A296" t="s">
        <v>871</v>
      </c>
      <c r="B296" s="2">
        <v>46083</v>
      </c>
      <c r="C296" t="s">
        <v>575</v>
      </c>
      <c r="D296" t="s">
        <v>562</v>
      </c>
      <c r="E296" t="s">
        <v>557</v>
      </c>
      <c r="F296" t="s">
        <v>563</v>
      </c>
      <c r="G296" t="s">
        <v>569</v>
      </c>
      <c r="H296">
        <v>54</v>
      </c>
      <c r="I296">
        <v>307609</v>
      </c>
      <c r="J296">
        <v>6</v>
      </c>
    </row>
    <row r="297" spans="1:10">
      <c r="A297" t="s">
        <v>872</v>
      </c>
      <c r="B297" s="2">
        <v>46058</v>
      </c>
      <c r="C297" t="s">
        <v>571</v>
      </c>
      <c r="D297" t="s">
        <v>578</v>
      </c>
      <c r="E297" t="s">
        <v>572</v>
      </c>
      <c r="F297" t="s">
        <v>563</v>
      </c>
      <c r="G297" t="s">
        <v>590</v>
      </c>
      <c r="H297">
        <v>5</v>
      </c>
      <c r="I297">
        <v>2112755</v>
      </c>
      <c r="J297">
        <v>12</v>
      </c>
    </row>
    <row r="298" spans="1:10">
      <c r="A298" t="s">
        <v>873</v>
      </c>
      <c r="B298" s="2">
        <v>46062</v>
      </c>
      <c r="C298" t="s">
        <v>588</v>
      </c>
      <c r="D298" t="s">
        <v>562</v>
      </c>
      <c r="E298" t="s">
        <v>572</v>
      </c>
      <c r="F298" t="s">
        <v>558</v>
      </c>
      <c r="G298" t="s">
        <v>564</v>
      </c>
      <c r="H298">
        <v>24</v>
      </c>
      <c r="I298">
        <v>383006</v>
      </c>
      <c r="J298">
        <v>6</v>
      </c>
    </row>
    <row r="299" spans="1:10">
      <c r="A299" t="s">
        <v>874</v>
      </c>
      <c r="B299" s="2">
        <v>46103</v>
      </c>
      <c r="C299" t="s">
        <v>555</v>
      </c>
      <c r="D299" t="s">
        <v>578</v>
      </c>
      <c r="E299" t="s">
        <v>557</v>
      </c>
      <c r="F299" t="s">
        <v>573</v>
      </c>
      <c r="G299" t="s">
        <v>564</v>
      </c>
      <c r="H299">
        <v>71</v>
      </c>
      <c r="I299">
        <v>2470965</v>
      </c>
      <c r="J299">
        <v>12</v>
      </c>
    </row>
    <row r="300" spans="1:10">
      <c r="A300" t="s">
        <v>875</v>
      </c>
      <c r="B300" s="2">
        <v>46052</v>
      </c>
      <c r="C300" t="s">
        <v>575</v>
      </c>
      <c r="D300" t="s">
        <v>556</v>
      </c>
      <c r="E300" t="s">
        <v>567</v>
      </c>
      <c r="F300" t="s">
        <v>563</v>
      </c>
      <c r="G300" t="s">
        <v>590</v>
      </c>
      <c r="H300">
        <v>34</v>
      </c>
      <c r="I300">
        <v>1950924</v>
      </c>
      <c r="J300">
        <v>24</v>
      </c>
    </row>
    <row r="301" spans="1:10">
      <c r="A301" t="s">
        <v>876</v>
      </c>
      <c r="B301" s="2">
        <v>46031</v>
      </c>
      <c r="C301" t="s">
        <v>561</v>
      </c>
      <c r="D301" t="s">
        <v>584</v>
      </c>
      <c r="E301" t="s">
        <v>576</v>
      </c>
      <c r="F301" t="s">
        <v>563</v>
      </c>
      <c r="G301" t="s">
        <v>569</v>
      </c>
      <c r="H301">
        <v>29</v>
      </c>
      <c r="I301">
        <v>2470174</v>
      </c>
      <c r="J301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topLeftCell="B1" zoomScale="80" zoomScaleNormal="80" workbookViewId="0">
      <selection activeCell="D12" sqref="D12"/>
    </sheetView>
  </sheetViews>
  <sheetFormatPr defaultRowHeight="15"/>
  <cols>
    <col min="1" max="1" width="13.42578125" customWidth="1"/>
    <col min="2" max="2" width="30" bestFit="1" customWidth="1"/>
    <col min="3" max="3" width="21.5703125" bestFit="1" customWidth="1"/>
    <col min="4" max="4" width="21" bestFit="1" customWidth="1"/>
    <col min="5" max="5" width="26.28515625" bestFit="1" customWidth="1"/>
    <col min="6" max="6" width="33.85546875" bestFit="1" customWidth="1"/>
    <col min="7" max="7" width="24.85546875" bestFit="1" customWidth="1"/>
    <col min="8" max="8" width="21.5703125" bestFit="1" customWidth="1"/>
    <col min="9" max="9" width="37.140625" bestFit="1" customWidth="1"/>
  </cols>
  <sheetData>
    <row r="1" spans="1:9">
      <c r="A1" s="15" t="s">
        <v>877</v>
      </c>
      <c r="B1" s="15" t="s">
        <v>878</v>
      </c>
      <c r="C1" s="15" t="s">
        <v>879</v>
      </c>
      <c r="D1" s="15" t="s">
        <v>880</v>
      </c>
      <c r="E1" s="15" t="s">
        <v>881</v>
      </c>
      <c r="F1" s="15" t="s">
        <v>882</v>
      </c>
      <c r="G1" s="15" t="s">
        <v>883</v>
      </c>
      <c r="H1" s="16" t="s">
        <v>884</v>
      </c>
      <c r="I1" s="15" t="s">
        <v>885</v>
      </c>
    </row>
    <row r="2" spans="1:9">
      <c r="A2" t="s">
        <v>886</v>
      </c>
      <c r="B2" t="s">
        <v>887</v>
      </c>
      <c r="C2" t="s">
        <v>888</v>
      </c>
      <c r="D2" s="2">
        <v>46094</v>
      </c>
      <c r="E2" t="s">
        <v>889</v>
      </c>
      <c r="F2" t="s">
        <v>890</v>
      </c>
      <c r="G2" s="2">
        <v>46517</v>
      </c>
      <c r="H2">
        <v>6052612</v>
      </c>
      <c r="I2" t="s">
        <v>891</v>
      </c>
    </row>
    <row r="3" spans="1:9">
      <c r="A3" t="s">
        <v>892</v>
      </c>
      <c r="B3" t="s">
        <v>887</v>
      </c>
      <c r="C3" t="s">
        <v>893</v>
      </c>
      <c r="D3" s="2">
        <v>46074</v>
      </c>
      <c r="E3" t="s">
        <v>894</v>
      </c>
      <c r="F3" t="s">
        <v>895</v>
      </c>
      <c r="G3" s="2">
        <v>46749</v>
      </c>
      <c r="H3" s="17">
        <v>7589109</v>
      </c>
      <c r="I3" t="s">
        <v>891</v>
      </c>
    </row>
    <row r="4" spans="1:9">
      <c r="A4" t="s">
        <v>896</v>
      </c>
      <c r="B4" t="s">
        <v>897</v>
      </c>
      <c r="C4" t="s">
        <v>50</v>
      </c>
      <c r="D4" s="2">
        <v>46140</v>
      </c>
      <c r="E4" t="s">
        <v>889</v>
      </c>
      <c r="F4" t="s">
        <v>898</v>
      </c>
      <c r="G4" s="2">
        <v>46435</v>
      </c>
      <c r="H4">
        <v>7329313</v>
      </c>
      <c r="I4" t="s">
        <v>891</v>
      </c>
    </row>
    <row r="5" spans="1:9">
      <c r="A5" t="s">
        <v>899</v>
      </c>
      <c r="B5" t="s">
        <v>887</v>
      </c>
      <c r="C5" t="s">
        <v>893</v>
      </c>
      <c r="D5" s="2">
        <v>46142</v>
      </c>
      <c r="E5" t="s">
        <v>889</v>
      </c>
      <c r="F5" t="s">
        <v>900</v>
      </c>
      <c r="G5" s="2">
        <v>46441</v>
      </c>
      <c r="H5">
        <v>6712695</v>
      </c>
      <c r="I5" t="s">
        <v>891</v>
      </c>
    </row>
    <row r="6" spans="1:9">
      <c r="A6" t="s">
        <v>901</v>
      </c>
      <c r="B6" t="s">
        <v>902</v>
      </c>
      <c r="C6" t="s">
        <v>50</v>
      </c>
      <c r="D6" s="2">
        <v>46029</v>
      </c>
      <c r="E6" t="s">
        <v>889</v>
      </c>
      <c r="F6" t="s">
        <v>898</v>
      </c>
      <c r="G6" s="2">
        <v>46540</v>
      </c>
      <c r="H6">
        <v>9557483</v>
      </c>
      <c r="I6" t="s">
        <v>891</v>
      </c>
    </row>
    <row r="7" spans="1:9">
      <c r="A7" t="s">
        <v>903</v>
      </c>
      <c r="B7" t="s">
        <v>887</v>
      </c>
      <c r="C7" t="s">
        <v>50</v>
      </c>
      <c r="D7" s="2">
        <v>46033</v>
      </c>
      <c r="E7" t="s">
        <v>889</v>
      </c>
      <c r="F7" t="s">
        <v>895</v>
      </c>
      <c r="G7" s="2">
        <v>46741</v>
      </c>
      <c r="H7">
        <v>5290287</v>
      </c>
      <c r="I7" t="s">
        <v>891</v>
      </c>
    </row>
    <row r="8" spans="1:9">
      <c r="A8" t="s">
        <v>904</v>
      </c>
      <c r="B8" t="s">
        <v>897</v>
      </c>
      <c r="C8" t="s">
        <v>893</v>
      </c>
      <c r="D8" s="2">
        <v>46125</v>
      </c>
      <c r="E8" t="s">
        <v>889</v>
      </c>
      <c r="F8" t="s">
        <v>898</v>
      </c>
      <c r="G8" s="2">
        <v>46586</v>
      </c>
      <c r="H8">
        <v>753078</v>
      </c>
      <c r="I8" t="s">
        <v>891</v>
      </c>
    </row>
    <row r="9" spans="1:9">
      <c r="A9" t="s">
        <v>905</v>
      </c>
      <c r="B9" t="s">
        <v>906</v>
      </c>
      <c r="C9" t="s">
        <v>50</v>
      </c>
      <c r="D9" s="2">
        <v>46083</v>
      </c>
      <c r="E9" t="s">
        <v>889</v>
      </c>
      <c r="F9" t="s">
        <v>890</v>
      </c>
      <c r="G9" s="2">
        <v>46694</v>
      </c>
      <c r="H9">
        <v>868893</v>
      </c>
      <c r="I9" t="s">
        <v>891</v>
      </c>
    </row>
    <row r="10" spans="1:9">
      <c r="A10" t="s">
        <v>907</v>
      </c>
      <c r="B10" t="s">
        <v>887</v>
      </c>
      <c r="C10" t="s">
        <v>893</v>
      </c>
      <c r="D10" s="2">
        <v>46090</v>
      </c>
      <c r="E10" t="s">
        <v>908</v>
      </c>
      <c r="F10" t="s">
        <v>898</v>
      </c>
      <c r="G10" s="2">
        <v>46742</v>
      </c>
      <c r="H10">
        <v>3601883</v>
      </c>
      <c r="I10" t="s">
        <v>891</v>
      </c>
    </row>
    <row r="11" spans="1:9">
      <c r="A11" t="s">
        <v>909</v>
      </c>
      <c r="B11" t="s">
        <v>910</v>
      </c>
      <c r="C11" t="s">
        <v>888</v>
      </c>
      <c r="D11" s="2">
        <v>46162</v>
      </c>
      <c r="E11" t="s">
        <v>889</v>
      </c>
      <c r="F11" t="s">
        <v>898</v>
      </c>
      <c r="G11" s="2">
        <v>46504</v>
      </c>
      <c r="H11">
        <v>5898856</v>
      </c>
      <c r="I11" t="s">
        <v>891</v>
      </c>
    </row>
    <row r="12" spans="1:9">
      <c r="A12" t="s">
        <v>911</v>
      </c>
      <c r="B12" t="s">
        <v>902</v>
      </c>
      <c r="C12" t="s">
        <v>893</v>
      </c>
      <c r="D12" s="2">
        <v>46124</v>
      </c>
      <c r="E12" t="s">
        <v>889</v>
      </c>
      <c r="F12" t="s">
        <v>895</v>
      </c>
      <c r="G12" s="2">
        <v>46649</v>
      </c>
      <c r="H12">
        <v>1215295</v>
      </c>
      <c r="I12" t="s">
        <v>891</v>
      </c>
    </row>
    <row r="13" spans="1:9">
      <c r="A13" t="s">
        <v>912</v>
      </c>
      <c r="B13" t="s">
        <v>902</v>
      </c>
      <c r="C13" t="s">
        <v>888</v>
      </c>
      <c r="D13" s="2">
        <v>46132</v>
      </c>
      <c r="E13" t="s">
        <v>889</v>
      </c>
      <c r="F13" t="s">
        <v>890</v>
      </c>
      <c r="G13" s="2">
        <v>46432</v>
      </c>
      <c r="H13">
        <v>2378798</v>
      </c>
      <c r="I13" t="s">
        <v>891</v>
      </c>
    </row>
    <row r="14" spans="1:9">
      <c r="A14" t="s">
        <v>913</v>
      </c>
      <c r="B14" t="s">
        <v>910</v>
      </c>
      <c r="C14" t="s">
        <v>50</v>
      </c>
      <c r="D14" s="2">
        <v>46162</v>
      </c>
      <c r="E14" t="s">
        <v>889</v>
      </c>
      <c r="F14" t="s">
        <v>895</v>
      </c>
      <c r="G14" s="2">
        <v>46688</v>
      </c>
      <c r="H14">
        <v>4500740</v>
      </c>
      <c r="I14" t="s">
        <v>891</v>
      </c>
    </row>
    <row r="15" spans="1:9">
      <c r="A15" t="s">
        <v>914</v>
      </c>
      <c r="B15" t="s">
        <v>910</v>
      </c>
      <c r="C15" t="s">
        <v>893</v>
      </c>
      <c r="D15" s="2">
        <v>46073</v>
      </c>
      <c r="E15" t="s">
        <v>889</v>
      </c>
      <c r="F15" t="s">
        <v>898</v>
      </c>
      <c r="G15" s="2">
        <v>46742</v>
      </c>
      <c r="H15">
        <v>9881260</v>
      </c>
      <c r="I15" t="s">
        <v>891</v>
      </c>
    </row>
    <row r="16" spans="1:9">
      <c r="A16" t="s">
        <v>915</v>
      </c>
      <c r="B16" t="s">
        <v>887</v>
      </c>
      <c r="C16" t="s">
        <v>50</v>
      </c>
      <c r="D16" s="2">
        <v>46139</v>
      </c>
      <c r="E16" t="s">
        <v>908</v>
      </c>
      <c r="F16" t="s">
        <v>900</v>
      </c>
      <c r="G16" s="2">
        <v>46575</v>
      </c>
      <c r="H16">
        <v>1554212</v>
      </c>
      <c r="I16" t="s">
        <v>891</v>
      </c>
    </row>
    <row r="17" spans="1:9">
      <c r="A17" t="s">
        <v>916</v>
      </c>
      <c r="B17" t="s">
        <v>910</v>
      </c>
      <c r="C17" t="s">
        <v>893</v>
      </c>
      <c r="D17" s="2">
        <v>46068</v>
      </c>
      <c r="E17" t="s">
        <v>889</v>
      </c>
      <c r="F17" t="s">
        <v>898</v>
      </c>
      <c r="G17" s="2">
        <v>46696</v>
      </c>
      <c r="H17">
        <v>2858730</v>
      </c>
      <c r="I17" t="s">
        <v>891</v>
      </c>
    </row>
    <row r="18" spans="1:9">
      <c r="A18" t="s">
        <v>917</v>
      </c>
      <c r="B18" t="s">
        <v>906</v>
      </c>
      <c r="C18" t="s">
        <v>888</v>
      </c>
      <c r="D18" s="2">
        <v>46075</v>
      </c>
      <c r="E18" t="s">
        <v>889</v>
      </c>
      <c r="F18" t="s">
        <v>895</v>
      </c>
      <c r="G18" s="2">
        <v>46704</v>
      </c>
      <c r="H18">
        <v>3985001</v>
      </c>
      <c r="I18" t="s">
        <v>891</v>
      </c>
    </row>
    <row r="19" spans="1:9">
      <c r="A19" t="s">
        <v>918</v>
      </c>
      <c r="B19" t="s">
        <v>897</v>
      </c>
      <c r="C19" t="s">
        <v>888</v>
      </c>
      <c r="D19" s="2">
        <v>46110</v>
      </c>
      <c r="E19" t="s">
        <v>889</v>
      </c>
      <c r="F19" t="s">
        <v>900</v>
      </c>
      <c r="G19" s="2">
        <v>46515</v>
      </c>
      <c r="H19">
        <v>2580563</v>
      </c>
      <c r="I19" t="s">
        <v>891</v>
      </c>
    </row>
    <row r="20" spans="1:9">
      <c r="A20" t="s">
        <v>919</v>
      </c>
      <c r="B20" t="s">
        <v>910</v>
      </c>
      <c r="C20" t="s">
        <v>893</v>
      </c>
      <c r="D20" s="2">
        <v>46143</v>
      </c>
      <c r="E20" t="s">
        <v>889</v>
      </c>
      <c r="F20" t="s">
        <v>895</v>
      </c>
      <c r="G20" s="2">
        <v>46435</v>
      </c>
      <c r="H20">
        <v>9172424</v>
      </c>
      <c r="I20" t="s">
        <v>891</v>
      </c>
    </row>
    <row r="21" spans="1:9">
      <c r="A21" t="s">
        <v>920</v>
      </c>
      <c r="B21" t="s">
        <v>910</v>
      </c>
      <c r="C21" t="s">
        <v>888</v>
      </c>
      <c r="D21" s="2">
        <v>46035</v>
      </c>
      <c r="E21" t="s">
        <v>889</v>
      </c>
      <c r="F21" t="s">
        <v>895</v>
      </c>
      <c r="G21" s="2">
        <v>46411</v>
      </c>
      <c r="H21">
        <v>5215697</v>
      </c>
      <c r="I21" t="s">
        <v>891</v>
      </c>
    </row>
    <row r="22" spans="1:9">
      <c r="A22" t="s">
        <v>921</v>
      </c>
      <c r="B22" t="s">
        <v>906</v>
      </c>
      <c r="C22" t="s">
        <v>50</v>
      </c>
      <c r="D22" s="2">
        <v>46111</v>
      </c>
      <c r="E22" t="s">
        <v>889</v>
      </c>
      <c r="F22" t="s">
        <v>890</v>
      </c>
      <c r="G22" s="2">
        <v>46652</v>
      </c>
      <c r="H22">
        <v>5743534</v>
      </c>
      <c r="I22" t="s">
        <v>891</v>
      </c>
    </row>
    <row r="23" spans="1:9">
      <c r="A23" t="s">
        <v>922</v>
      </c>
      <c r="B23" t="s">
        <v>902</v>
      </c>
      <c r="C23" t="s">
        <v>50</v>
      </c>
      <c r="D23" s="2">
        <v>46147</v>
      </c>
      <c r="E23" t="s">
        <v>889</v>
      </c>
      <c r="F23" t="s">
        <v>900</v>
      </c>
      <c r="G23" s="2">
        <v>46504</v>
      </c>
      <c r="H23">
        <v>8169510</v>
      </c>
      <c r="I23" t="s">
        <v>891</v>
      </c>
    </row>
    <row r="24" spans="1:9">
      <c r="A24" t="s">
        <v>923</v>
      </c>
      <c r="B24" t="s">
        <v>902</v>
      </c>
      <c r="C24" t="s">
        <v>924</v>
      </c>
      <c r="D24" s="2">
        <v>46140</v>
      </c>
      <c r="E24" t="s">
        <v>889</v>
      </c>
      <c r="F24" t="s">
        <v>898</v>
      </c>
      <c r="G24" s="2">
        <v>46530</v>
      </c>
      <c r="H24">
        <v>625851</v>
      </c>
      <c r="I24" t="s">
        <v>891</v>
      </c>
    </row>
    <row r="25" spans="1:9">
      <c r="A25" t="s">
        <v>925</v>
      </c>
      <c r="B25" t="s">
        <v>887</v>
      </c>
      <c r="C25" t="s">
        <v>888</v>
      </c>
      <c r="D25" s="2">
        <v>46076</v>
      </c>
      <c r="E25" t="s">
        <v>894</v>
      </c>
      <c r="F25" t="s">
        <v>895</v>
      </c>
      <c r="G25" s="2">
        <v>46586</v>
      </c>
      <c r="H25" s="17">
        <v>3150527</v>
      </c>
      <c r="I25" t="s">
        <v>891</v>
      </c>
    </row>
    <row r="26" spans="1:9">
      <c r="A26" t="s">
        <v>926</v>
      </c>
      <c r="B26" t="s">
        <v>906</v>
      </c>
      <c r="C26" t="s">
        <v>50</v>
      </c>
      <c r="D26" s="2">
        <v>46138</v>
      </c>
      <c r="E26" t="s">
        <v>889</v>
      </c>
      <c r="F26" t="s">
        <v>898</v>
      </c>
      <c r="G26" s="2">
        <v>46543</v>
      </c>
      <c r="H26">
        <v>5361282</v>
      </c>
      <c r="I26" t="s">
        <v>891</v>
      </c>
    </row>
    <row r="27" spans="1:9">
      <c r="A27" t="s">
        <v>927</v>
      </c>
      <c r="B27" t="s">
        <v>897</v>
      </c>
      <c r="C27" t="s">
        <v>893</v>
      </c>
      <c r="D27" s="2">
        <v>46140</v>
      </c>
      <c r="E27" t="s">
        <v>889</v>
      </c>
      <c r="F27" t="s">
        <v>890</v>
      </c>
      <c r="G27" s="2">
        <v>46734</v>
      </c>
      <c r="H27">
        <v>1294878</v>
      </c>
      <c r="I27" t="s">
        <v>891</v>
      </c>
    </row>
    <row r="28" spans="1:9">
      <c r="A28" t="s">
        <v>928</v>
      </c>
      <c r="B28" t="s">
        <v>897</v>
      </c>
      <c r="C28" t="s">
        <v>888</v>
      </c>
      <c r="D28" s="2">
        <v>46026</v>
      </c>
      <c r="E28" t="s">
        <v>889</v>
      </c>
      <c r="F28" t="s">
        <v>890</v>
      </c>
      <c r="G28" s="2">
        <v>46520</v>
      </c>
      <c r="H28">
        <v>2553262</v>
      </c>
      <c r="I28" t="s">
        <v>891</v>
      </c>
    </row>
    <row r="29" spans="1:9">
      <c r="A29" t="s">
        <v>929</v>
      </c>
      <c r="B29" t="s">
        <v>906</v>
      </c>
      <c r="C29" t="s">
        <v>50</v>
      </c>
      <c r="D29" s="2">
        <v>46097</v>
      </c>
      <c r="E29" t="s">
        <v>889</v>
      </c>
      <c r="F29" t="s">
        <v>900</v>
      </c>
      <c r="G29" s="2">
        <v>46534</v>
      </c>
      <c r="H29">
        <v>2437135</v>
      </c>
      <c r="I29" t="s">
        <v>891</v>
      </c>
    </row>
    <row r="30" spans="1:9">
      <c r="A30" t="s">
        <v>930</v>
      </c>
      <c r="B30" t="s">
        <v>897</v>
      </c>
      <c r="C30" t="s">
        <v>888</v>
      </c>
      <c r="D30" s="2">
        <v>46071</v>
      </c>
      <c r="E30" t="s">
        <v>889</v>
      </c>
      <c r="F30" t="s">
        <v>890</v>
      </c>
      <c r="G30" s="2">
        <v>46722</v>
      </c>
      <c r="H30">
        <v>8686565</v>
      </c>
      <c r="I30" t="s">
        <v>891</v>
      </c>
    </row>
    <row r="31" spans="1:9">
      <c r="A31" t="s">
        <v>931</v>
      </c>
      <c r="B31" t="s">
        <v>902</v>
      </c>
      <c r="C31" t="s">
        <v>893</v>
      </c>
      <c r="D31" s="2">
        <v>46029</v>
      </c>
      <c r="E31" t="s">
        <v>889</v>
      </c>
      <c r="F31" t="s">
        <v>890</v>
      </c>
      <c r="G31" s="2">
        <v>46457</v>
      </c>
      <c r="H31">
        <v>6949728</v>
      </c>
      <c r="I31" t="s">
        <v>891</v>
      </c>
    </row>
    <row r="32" spans="1:9">
      <c r="A32" t="s">
        <v>932</v>
      </c>
      <c r="B32" t="s">
        <v>897</v>
      </c>
      <c r="C32" t="s">
        <v>50</v>
      </c>
      <c r="D32" s="2">
        <v>46132</v>
      </c>
      <c r="E32" t="s">
        <v>889</v>
      </c>
      <c r="F32" t="s">
        <v>898</v>
      </c>
      <c r="G32" s="2">
        <v>46619</v>
      </c>
      <c r="H32">
        <v>9114787</v>
      </c>
      <c r="I32" t="s">
        <v>891</v>
      </c>
    </row>
    <row r="33" spans="1:9">
      <c r="A33" t="s">
        <v>933</v>
      </c>
      <c r="B33" t="s">
        <v>897</v>
      </c>
      <c r="C33" t="s">
        <v>924</v>
      </c>
      <c r="D33" s="2">
        <v>46144</v>
      </c>
      <c r="E33" t="s">
        <v>889</v>
      </c>
      <c r="F33" t="s">
        <v>890</v>
      </c>
      <c r="G33" s="2">
        <v>46720</v>
      </c>
      <c r="H33">
        <v>2572171</v>
      </c>
      <c r="I33" t="s">
        <v>891</v>
      </c>
    </row>
    <row r="34" spans="1:9">
      <c r="A34" t="s">
        <v>934</v>
      </c>
      <c r="B34" t="s">
        <v>906</v>
      </c>
      <c r="C34" t="s">
        <v>924</v>
      </c>
      <c r="D34" s="2">
        <v>46033</v>
      </c>
      <c r="E34" t="s">
        <v>889</v>
      </c>
      <c r="F34" t="s">
        <v>890</v>
      </c>
      <c r="G34" s="2">
        <v>46685</v>
      </c>
      <c r="H34">
        <v>5960388</v>
      </c>
      <c r="I34" t="s">
        <v>891</v>
      </c>
    </row>
    <row r="35" spans="1:9">
      <c r="A35" t="s">
        <v>935</v>
      </c>
      <c r="B35" t="s">
        <v>906</v>
      </c>
      <c r="C35" t="s">
        <v>888</v>
      </c>
      <c r="D35" s="2">
        <v>46114</v>
      </c>
      <c r="E35" t="s">
        <v>889</v>
      </c>
      <c r="F35" t="s">
        <v>895</v>
      </c>
      <c r="G35" s="2">
        <v>46540</v>
      </c>
      <c r="H35">
        <v>8881660</v>
      </c>
      <c r="I35" t="s">
        <v>891</v>
      </c>
    </row>
    <row r="36" spans="1:9">
      <c r="A36" t="s">
        <v>936</v>
      </c>
      <c r="B36" t="s">
        <v>897</v>
      </c>
      <c r="C36" t="s">
        <v>893</v>
      </c>
      <c r="D36" s="2">
        <v>46045</v>
      </c>
      <c r="E36" t="s">
        <v>908</v>
      </c>
      <c r="F36" t="s">
        <v>890</v>
      </c>
      <c r="G36" s="2">
        <v>46476</v>
      </c>
      <c r="H36">
        <v>5044340</v>
      </c>
      <c r="I36" t="s">
        <v>891</v>
      </c>
    </row>
    <row r="37" spans="1:9">
      <c r="A37" t="s">
        <v>937</v>
      </c>
      <c r="B37" t="s">
        <v>910</v>
      </c>
      <c r="C37" t="s">
        <v>50</v>
      </c>
      <c r="D37" s="2">
        <v>46050</v>
      </c>
      <c r="E37" t="s">
        <v>889</v>
      </c>
      <c r="F37" t="s">
        <v>895</v>
      </c>
      <c r="G37" s="2">
        <v>46720</v>
      </c>
      <c r="H37">
        <v>6612240</v>
      </c>
      <c r="I37" t="s">
        <v>891</v>
      </c>
    </row>
    <row r="38" spans="1:9">
      <c r="A38" t="s">
        <v>938</v>
      </c>
      <c r="B38" t="s">
        <v>906</v>
      </c>
      <c r="C38" t="s">
        <v>893</v>
      </c>
      <c r="D38" s="2">
        <v>46133</v>
      </c>
      <c r="E38" t="s">
        <v>889</v>
      </c>
      <c r="F38" t="s">
        <v>890</v>
      </c>
      <c r="G38" s="2">
        <v>46585</v>
      </c>
      <c r="H38">
        <v>1700346</v>
      </c>
      <c r="I38" t="s">
        <v>891</v>
      </c>
    </row>
    <row r="39" spans="1:9">
      <c r="A39" t="s">
        <v>939</v>
      </c>
      <c r="B39" t="s">
        <v>887</v>
      </c>
      <c r="C39" t="s">
        <v>50</v>
      </c>
      <c r="D39" s="2">
        <v>46079</v>
      </c>
      <c r="E39" t="s">
        <v>889</v>
      </c>
      <c r="F39" t="s">
        <v>890</v>
      </c>
      <c r="G39" s="2">
        <v>46547</v>
      </c>
      <c r="H39">
        <v>9373895</v>
      </c>
      <c r="I39" t="s">
        <v>891</v>
      </c>
    </row>
    <row r="40" spans="1:9">
      <c r="A40" t="s">
        <v>940</v>
      </c>
      <c r="B40" t="s">
        <v>887</v>
      </c>
      <c r="C40" t="s">
        <v>888</v>
      </c>
      <c r="D40" s="2">
        <v>46048</v>
      </c>
      <c r="E40" t="s">
        <v>889</v>
      </c>
      <c r="F40" t="s">
        <v>900</v>
      </c>
      <c r="G40" s="2">
        <v>46412</v>
      </c>
      <c r="H40">
        <v>6714294</v>
      </c>
      <c r="I40" t="s">
        <v>891</v>
      </c>
    </row>
    <row r="41" spans="1:9">
      <c r="A41" t="s">
        <v>941</v>
      </c>
      <c r="B41" t="s">
        <v>902</v>
      </c>
      <c r="C41" t="s">
        <v>50</v>
      </c>
      <c r="D41" s="2">
        <v>46076</v>
      </c>
      <c r="E41" t="s">
        <v>889</v>
      </c>
      <c r="F41" t="s">
        <v>900</v>
      </c>
      <c r="G41" s="2">
        <v>46507</v>
      </c>
      <c r="H41">
        <v>2260399</v>
      </c>
      <c r="I41" t="s">
        <v>891</v>
      </c>
    </row>
    <row r="42" spans="1:9">
      <c r="A42" t="s">
        <v>942</v>
      </c>
      <c r="B42" t="s">
        <v>897</v>
      </c>
      <c r="C42" t="s">
        <v>893</v>
      </c>
      <c r="D42" s="2">
        <v>46051</v>
      </c>
      <c r="E42" t="s">
        <v>889</v>
      </c>
      <c r="F42" t="s">
        <v>895</v>
      </c>
      <c r="G42" s="2">
        <v>46687</v>
      </c>
      <c r="H42">
        <v>9184509</v>
      </c>
      <c r="I42" t="s">
        <v>891</v>
      </c>
    </row>
    <row r="43" spans="1:9">
      <c r="A43" t="s">
        <v>943</v>
      </c>
      <c r="B43" t="s">
        <v>910</v>
      </c>
      <c r="C43" t="s">
        <v>893</v>
      </c>
      <c r="D43" s="2">
        <v>46119</v>
      </c>
      <c r="E43" t="s">
        <v>894</v>
      </c>
      <c r="F43" t="s">
        <v>890</v>
      </c>
      <c r="G43" s="2">
        <v>46598</v>
      </c>
      <c r="H43" s="17">
        <v>6636062</v>
      </c>
      <c r="I43" t="s">
        <v>891</v>
      </c>
    </row>
    <row r="44" spans="1:9">
      <c r="A44" t="s">
        <v>944</v>
      </c>
      <c r="B44" t="s">
        <v>902</v>
      </c>
      <c r="C44" t="s">
        <v>888</v>
      </c>
      <c r="D44" s="2">
        <v>46036</v>
      </c>
      <c r="E44" t="s">
        <v>889</v>
      </c>
      <c r="F44" t="s">
        <v>898</v>
      </c>
      <c r="G44" s="2">
        <v>46449</v>
      </c>
      <c r="H44">
        <v>6847572</v>
      </c>
      <c r="I44" t="s">
        <v>891</v>
      </c>
    </row>
    <row r="45" spans="1:9">
      <c r="A45" t="s">
        <v>945</v>
      </c>
      <c r="B45" t="s">
        <v>897</v>
      </c>
      <c r="C45" t="s">
        <v>893</v>
      </c>
      <c r="D45" s="2">
        <v>46100</v>
      </c>
      <c r="E45" t="s">
        <v>889</v>
      </c>
      <c r="F45" t="s">
        <v>900</v>
      </c>
      <c r="G45" s="2">
        <v>46454</v>
      </c>
      <c r="H45">
        <v>6935689</v>
      </c>
      <c r="I45" t="s">
        <v>891</v>
      </c>
    </row>
    <row r="46" spans="1:9">
      <c r="A46" t="s">
        <v>946</v>
      </c>
      <c r="B46" t="s">
        <v>906</v>
      </c>
      <c r="C46" t="s">
        <v>50</v>
      </c>
      <c r="D46" s="2">
        <v>46057</v>
      </c>
      <c r="E46" t="s">
        <v>889</v>
      </c>
      <c r="F46" t="s">
        <v>898</v>
      </c>
      <c r="G46" s="2">
        <v>46639</v>
      </c>
      <c r="H46">
        <v>4643403</v>
      </c>
      <c r="I46" t="s">
        <v>891</v>
      </c>
    </row>
    <row r="47" spans="1:9">
      <c r="A47" t="s">
        <v>947</v>
      </c>
      <c r="B47" t="s">
        <v>887</v>
      </c>
      <c r="C47" t="s">
        <v>888</v>
      </c>
      <c r="D47" s="2">
        <v>46052</v>
      </c>
      <c r="E47" t="s">
        <v>889</v>
      </c>
      <c r="F47" t="s">
        <v>900</v>
      </c>
      <c r="G47" s="2">
        <v>46388</v>
      </c>
      <c r="H47">
        <v>2703531</v>
      </c>
      <c r="I47" t="s">
        <v>891</v>
      </c>
    </row>
    <row r="48" spans="1:9">
      <c r="A48" t="s">
        <v>948</v>
      </c>
      <c r="B48" t="s">
        <v>910</v>
      </c>
      <c r="C48" t="s">
        <v>50</v>
      </c>
      <c r="D48" s="2">
        <v>46114</v>
      </c>
      <c r="E48" t="s">
        <v>889</v>
      </c>
      <c r="F48" t="s">
        <v>900</v>
      </c>
      <c r="G48" s="2">
        <v>46494</v>
      </c>
      <c r="H48">
        <v>1569412</v>
      </c>
      <c r="I48" t="s">
        <v>891</v>
      </c>
    </row>
    <row r="49" spans="1:9">
      <c r="A49" t="s">
        <v>949</v>
      </c>
      <c r="B49" t="s">
        <v>887</v>
      </c>
      <c r="C49" t="s">
        <v>893</v>
      </c>
      <c r="D49" s="2">
        <v>46039</v>
      </c>
      <c r="E49" t="s">
        <v>908</v>
      </c>
      <c r="F49" t="s">
        <v>890</v>
      </c>
      <c r="G49" s="2">
        <v>46672</v>
      </c>
      <c r="H49">
        <v>4915743</v>
      </c>
      <c r="I49" t="s">
        <v>891</v>
      </c>
    </row>
    <row r="50" spans="1:9">
      <c r="A50" t="s">
        <v>950</v>
      </c>
      <c r="B50" t="s">
        <v>906</v>
      </c>
      <c r="C50" t="s">
        <v>888</v>
      </c>
      <c r="D50" s="2">
        <v>46115</v>
      </c>
      <c r="E50" t="s">
        <v>889</v>
      </c>
      <c r="F50" t="s">
        <v>900</v>
      </c>
      <c r="G50" s="2">
        <v>46435</v>
      </c>
      <c r="H50">
        <v>3803131</v>
      </c>
      <c r="I50" t="s">
        <v>891</v>
      </c>
    </row>
    <row r="51" spans="1:9">
      <c r="A51" t="s">
        <v>951</v>
      </c>
      <c r="B51" t="s">
        <v>897</v>
      </c>
      <c r="C51" t="s">
        <v>50</v>
      </c>
      <c r="D51" s="2">
        <v>46101</v>
      </c>
      <c r="E51" t="s">
        <v>894</v>
      </c>
      <c r="F51" t="s">
        <v>898</v>
      </c>
      <c r="G51" s="2">
        <v>46526</v>
      </c>
      <c r="H51" s="17">
        <v>6766376</v>
      </c>
      <c r="I51" t="s">
        <v>891</v>
      </c>
    </row>
    <row r="52" spans="1:9">
      <c r="A52" t="s">
        <v>952</v>
      </c>
      <c r="B52" t="s">
        <v>906</v>
      </c>
      <c r="C52" t="s">
        <v>893</v>
      </c>
      <c r="D52" s="2">
        <v>46132</v>
      </c>
      <c r="E52" t="s">
        <v>894</v>
      </c>
      <c r="F52" t="s">
        <v>900</v>
      </c>
      <c r="G52" s="2">
        <v>46604</v>
      </c>
      <c r="H52" s="17">
        <v>3453028</v>
      </c>
      <c r="I52" t="s">
        <v>891</v>
      </c>
    </row>
    <row r="53" spans="1:9">
      <c r="A53" t="s">
        <v>953</v>
      </c>
      <c r="B53" t="s">
        <v>906</v>
      </c>
      <c r="C53" t="s">
        <v>893</v>
      </c>
      <c r="D53" s="2">
        <v>46124</v>
      </c>
      <c r="E53" t="s">
        <v>894</v>
      </c>
      <c r="F53" t="s">
        <v>895</v>
      </c>
      <c r="G53" s="2">
        <v>46430</v>
      </c>
      <c r="H53" s="17">
        <v>7990291</v>
      </c>
      <c r="I53" t="s">
        <v>891</v>
      </c>
    </row>
    <row r="54" spans="1:9">
      <c r="A54" t="s">
        <v>954</v>
      </c>
      <c r="B54" t="s">
        <v>887</v>
      </c>
      <c r="C54" t="s">
        <v>924</v>
      </c>
      <c r="D54" s="2">
        <v>46128</v>
      </c>
      <c r="E54" t="s">
        <v>889</v>
      </c>
      <c r="F54" t="s">
        <v>890</v>
      </c>
      <c r="G54" s="2">
        <v>46655</v>
      </c>
      <c r="H54">
        <v>5885909</v>
      </c>
      <c r="I54" t="s">
        <v>891</v>
      </c>
    </row>
    <row r="55" spans="1:9">
      <c r="A55" t="s">
        <v>955</v>
      </c>
      <c r="B55" t="s">
        <v>910</v>
      </c>
      <c r="C55" t="s">
        <v>893</v>
      </c>
      <c r="D55" s="2">
        <v>46069</v>
      </c>
      <c r="E55" t="s">
        <v>889</v>
      </c>
      <c r="F55" t="s">
        <v>890</v>
      </c>
      <c r="G55" s="2">
        <v>46464</v>
      </c>
      <c r="H55">
        <v>897595</v>
      </c>
      <c r="I55" t="s">
        <v>891</v>
      </c>
    </row>
    <row r="56" spans="1:9">
      <c r="A56" t="s">
        <v>956</v>
      </c>
      <c r="B56" t="s">
        <v>906</v>
      </c>
      <c r="C56" t="s">
        <v>50</v>
      </c>
      <c r="D56" s="2">
        <v>46086</v>
      </c>
      <c r="E56" t="s">
        <v>889</v>
      </c>
      <c r="F56" t="s">
        <v>895</v>
      </c>
      <c r="G56" s="2">
        <v>46602</v>
      </c>
      <c r="H56">
        <v>6688343</v>
      </c>
      <c r="I56" t="s">
        <v>891</v>
      </c>
    </row>
    <row r="57" spans="1:9">
      <c r="A57" t="s">
        <v>957</v>
      </c>
      <c r="B57" t="s">
        <v>887</v>
      </c>
      <c r="C57" t="s">
        <v>888</v>
      </c>
      <c r="D57" s="2">
        <v>46086</v>
      </c>
      <c r="E57" t="s">
        <v>889</v>
      </c>
      <c r="F57" t="s">
        <v>895</v>
      </c>
      <c r="G57" s="2">
        <v>46484</v>
      </c>
      <c r="H57">
        <v>4293092</v>
      </c>
      <c r="I57" t="s">
        <v>891</v>
      </c>
    </row>
    <row r="58" spans="1:9">
      <c r="A58" t="s">
        <v>958</v>
      </c>
      <c r="B58" t="s">
        <v>910</v>
      </c>
      <c r="C58" t="s">
        <v>924</v>
      </c>
      <c r="D58" s="2">
        <v>46109</v>
      </c>
      <c r="E58" t="s">
        <v>889</v>
      </c>
      <c r="F58" t="s">
        <v>895</v>
      </c>
      <c r="G58" s="2">
        <v>46622</v>
      </c>
      <c r="H58">
        <v>2231041</v>
      </c>
      <c r="I58" t="s">
        <v>891</v>
      </c>
    </row>
    <row r="59" spans="1:9">
      <c r="A59" t="s">
        <v>959</v>
      </c>
      <c r="B59" t="s">
        <v>897</v>
      </c>
      <c r="C59" t="s">
        <v>893</v>
      </c>
      <c r="D59" s="2">
        <v>46029</v>
      </c>
      <c r="E59" t="s">
        <v>908</v>
      </c>
      <c r="F59" t="s">
        <v>900</v>
      </c>
      <c r="G59" s="2">
        <v>46668</v>
      </c>
      <c r="H59">
        <v>8234125</v>
      </c>
      <c r="I59" t="s">
        <v>891</v>
      </c>
    </row>
    <row r="60" spans="1:9">
      <c r="A60" t="s">
        <v>960</v>
      </c>
      <c r="B60" t="s">
        <v>897</v>
      </c>
      <c r="C60" t="s">
        <v>893</v>
      </c>
      <c r="D60" s="2">
        <v>46044</v>
      </c>
      <c r="E60" t="s">
        <v>889</v>
      </c>
      <c r="F60" t="s">
        <v>890</v>
      </c>
      <c r="G60" s="2">
        <v>46535</v>
      </c>
      <c r="H60">
        <v>6613100</v>
      </c>
      <c r="I60" t="s">
        <v>891</v>
      </c>
    </row>
    <row r="61" spans="1:9">
      <c r="A61" t="s">
        <v>961</v>
      </c>
      <c r="B61" t="s">
        <v>902</v>
      </c>
      <c r="C61" t="s">
        <v>893</v>
      </c>
      <c r="D61" s="2">
        <v>46103</v>
      </c>
      <c r="E61" t="s">
        <v>889</v>
      </c>
      <c r="F61" t="s">
        <v>895</v>
      </c>
      <c r="G61" s="2">
        <v>46690</v>
      </c>
      <c r="H61">
        <v>4090511</v>
      </c>
      <c r="I61" t="s">
        <v>891</v>
      </c>
    </row>
    <row r="62" spans="1:9">
      <c r="A62" t="s">
        <v>962</v>
      </c>
      <c r="B62" t="s">
        <v>887</v>
      </c>
      <c r="C62" t="s">
        <v>50</v>
      </c>
      <c r="D62" s="2">
        <v>46096</v>
      </c>
      <c r="E62" t="s">
        <v>889</v>
      </c>
      <c r="F62" t="s">
        <v>900</v>
      </c>
      <c r="G62" s="2">
        <v>46452</v>
      </c>
      <c r="H62">
        <v>2917209</v>
      </c>
      <c r="I62" t="s">
        <v>891</v>
      </c>
    </row>
    <row r="63" spans="1:9">
      <c r="A63" t="s">
        <v>963</v>
      </c>
      <c r="B63" t="s">
        <v>910</v>
      </c>
      <c r="C63" t="s">
        <v>924</v>
      </c>
      <c r="D63" s="2">
        <v>46160</v>
      </c>
      <c r="E63" t="s">
        <v>889</v>
      </c>
      <c r="F63" t="s">
        <v>895</v>
      </c>
      <c r="G63" s="2">
        <v>46620</v>
      </c>
      <c r="H63">
        <v>1026925</v>
      </c>
      <c r="I63" t="s">
        <v>891</v>
      </c>
    </row>
    <row r="64" spans="1:9">
      <c r="A64" t="s">
        <v>964</v>
      </c>
      <c r="B64" t="s">
        <v>906</v>
      </c>
      <c r="C64" t="s">
        <v>50</v>
      </c>
      <c r="D64" s="2">
        <v>46157</v>
      </c>
      <c r="E64" t="s">
        <v>889</v>
      </c>
      <c r="F64" t="s">
        <v>898</v>
      </c>
      <c r="G64" s="2">
        <v>46473</v>
      </c>
      <c r="H64">
        <v>7257450</v>
      </c>
      <c r="I64" t="s">
        <v>891</v>
      </c>
    </row>
    <row r="65" spans="1:9">
      <c r="A65" t="s">
        <v>965</v>
      </c>
      <c r="B65" t="s">
        <v>897</v>
      </c>
      <c r="C65" t="s">
        <v>924</v>
      </c>
      <c r="D65" s="2">
        <v>46147</v>
      </c>
      <c r="E65" t="s">
        <v>894</v>
      </c>
      <c r="F65" t="s">
        <v>898</v>
      </c>
      <c r="G65" s="2">
        <v>46465</v>
      </c>
      <c r="H65" s="17">
        <v>3425609</v>
      </c>
      <c r="I65" t="s">
        <v>891</v>
      </c>
    </row>
    <row r="66" spans="1:9">
      <c r="A66" t="s">
        <v>966</v>
      </c>
      <c r="B66" t="s">
        <v>910</v>
      </c>
      <c r="C66" t="s">
        <v>888</v>
      </c>
      <c r="D66" s="2">
        <v>46072</v>
      </c>
      <c r="E66" t="s">
        <v>889</v>
      </c>
      <c r="F66" t="s">
        <v>890</v>
      </c>
      <c r="G66" s="2">
        <v>46591</v>
      </c>
      <c r="H66">
        <v>9645155</v>
      </c>
      <c r="I66" t="s">
        <v>891</v>
      </c>
    </row>
    <row r="67" spans="1:9">
      <c r="A67" t="s">
        <v>967</v>
      </c>
      <c r="B67" t="s">
        <v>887</v>
      </c>
      <c r="C67" t="s">
        <v>50</v>
      </c>
      <c r="D67" s="2">
        <v>46074</v>
      </c>
      <c r="E67" t="s">
        <v>908</v>
      </c>
      <c r="F67" t="s">
        <v>900</v>
      </c>
      <c r="G67" s="2">
        <v>46665</v>
      </c>
      <c r="H67">
        <v>1106752</v>
      </c>
      <c r="I67" t="s">
        <v>891</v>
      </c>
    </row>
    <row r="68" spans="1:9">
      <c r="A68" t="s">
        <v>968</v>
      </c>
      <c r="B68" t="s">
        <v>902</v>
      </c>
      <c r="C68" t="s">
        <v>50</v>
      </c>
      <c r="D68" s="2">
        <v>46023</v>
      </c>
      <c r="E68" t="s">
        <v>908</v>
      </c>
      <c r="F68" t="s">
        <v>898</v>
      </c>
      <c r="G68" s="2">
        <v>46723</v>
      </c>
      <c r="H68">
        <v>1839462</v>
      </c>
      <c r="I68" t="s">
        <v>891</v>
      </c>
    </row>
    <row r="69" spans="1:9">
      <c r="A69" t="s">
        <v>969</v>
      </c>
      <c r="B69" t="s">
        <v>897</v>
      </c>
      <c r="C69" t="s">
        <v>888</v>
      </c>
      <c r="D69" s="2">
        <v>46026</v>
      </c>
      <c r="E69" t="s">
        <v>908</v>
      </c>
      <c r="F69" t="s">
        <v>898</v>
      </c>
      <c r="G69" s="2">
        <v>46640</v>
      </c>
      <c r="H69">
        <v>7327575</v>
      </c>
      <c r="I69" t="s">
        <v>891</v>
      </c>
    </row>
    <row r="70" spans="1:9">
      <c r="A70" t="s">
        <v>970</v>
      </c>
      <c r="B70" t="s">
        <v>910</v>
      </c>
      <c r="C70" t="s">
        <v>924</v>
      </c>
      <c r="D70" s="2">
        <v>46167</v>
      </c>
      <c r="E70" t="s">
        <v>889</v>
      </c>
      <c r="F70" t="s">
        <v>900</v>
      </c>
      <c r="G70" s="2">
        <v>46690</v>
      </c>
      <c r="H70">
        <v>8187268</v>
      </c>
      <c r="I70" t="s">
        <v>891</v>
      </c>
    </row>
    <row r="71" spans="1:9">
      <c r="A71" t="s">
        <v>971</v>
      </c>
      <c r="B71" t="s">
        <v>910</v>
      </c>
      <c r="C71" t="s">
        <v>893</v>
      </c>
      <c r="D71" s="2">
        <v>46154</v>
      </c>
      <c r="E71" t="s">
        <v>894</v>
      </c>
      <c r="F71" t="s">
        <v>895</v>
      </c>
      <c r="G71" s="2">
        <v>46516</v>
      </c>
      <c r="H71" s="17">
        <v>6617682</v>
      </c>
      <c r="I71" t="s">
        <v>891</v>
      </c>
    </row>
    <row r="72" spans="1:9">
      <c r="A72" t="s">
        <v>972</v>
      </c>
      <c r="B72" t="s">
        <v>910</v>
      </c>
      <c r="C72" t="s">
        <v>888</v>
      </c>
      <c r="D72" s="2">
        <v>46026</v>
      </c>
      <c r="E72" t="s">
        <v>889</v>
      </c>
      <c r="F72" t="s">
        <v>900</v>
      </c>
      <c r="G72" s="2">
        <v>46470</v>
      </c>
      <c r="H72">
        <v>7704425</v>
      </c>
      <c r="I72" t="s">
        <v>891</v>
      </c>
    </row>
    <row r="73" spans="1:9">
      <c r="A73" t="s">
        <v>973</v>
      </c>
      <c r="B73" t="s">
        <v>887</v>
      </c>
      <c r="C73" t="s">
        <v>893</v>
      </c>
      <c r="D73" s="2">
        <v>46023</v>
      </c>
      <c r="E73" t="s">
        <v>889</v>
      </c>
      <c r="F73" t="s">
        <v>895</v>
      </c>
      <c r="G73" s="2">
        <v>46662</v>
      </c>
      <c r="H73">
        <v>5658570</v>
      </c>
      <c r="I73" t="s">
        <v>891</v>
      </c>
    </row>
    <row r="74" spans="1:9">
      <c r="A74" t="s">
        <v>974</v>
      </c>
      <c r="B74" t="s">
        <v>887</v>
      </c>
      <c r="C74" t="s">
        <v>893</v>
      </c>
      <c r="D74" s="2">
        <v>46093</v>
      </c>
      <c r="E74" t="s">
        <v>889</v>
      </c>
      <c r="F74" t="s">
        <v>898</v>
      </c>
      <c r="G74" s="2">
        <v>46573</v>
      </c>
      <c r="H74">
        <v>5323416</v>
      </c>
      <c r="I74" t="s">
        <v>891</v>
      </c>
    </row>
    <row r="75" spans="1:9">
      <c r="A75" t="s">
        <v>975</v>
      </c>
      <c r="B75" t="s">
        <v>887</v>
      </c>
      <c r="C75" t="s">
        <v>888</v>
      </c>
      <c r="D75" s="2">
        <v>46057</v>
      </c>
      <c r="E75" t="s">
        <v>889</v>
      </c>
      <c r="F75" t="s">
        <v>898</v>
      </c>
      <c r="G75" s="2">
        <v>46432</v>
      </c>
      <c r="H75">
        <v>5710766</v>
      </c>
      <c r="I75" t="s">
        <v>891</v>
      </c>
    </row>
    <row r="76" spans="1:9">
      <c r="A76" t="s">
        <v>976</v>
      </c>
      <c r="B76" t="s">
        <v>906</v>
      </c>
      <c r="C76" t="s">
        <v>924</v>
      </c>
      <c r="D76" s="2">
        <v>46030</v>
      </c>
      <c r="E76" t="s">
        <v>889</v>
      </c>
      <c r="F76" t="s">
        <v>898</v>
      </c>
      <c r="G76" s="2">
        <v>46569</v>
      </c>
      <c r="H76">
        <v>1637317</v>
      </c>
      <c r="I76" t="s">
        <v>891</v>
      </c>
    </row>
    <row r="77" spans="1:9">
      <c r="A77" t="s">
        <v>977</v>
      </c>
      <c r="B77" t="s">
        <v>910</v>
      </c>
      <c r="C77" t="s">
        <v>893</v>
      </c>
      <c r="D77" s="2">
        <v>46058</v>
      </c>
      <c r="E77" t="s">
        <v>889</v>
      </c>
      <c r="F77" t="s">
        <v>890</v>
      </c>
      <c r="G77" s="2">
        <v>46654</v>
      </c>
      <c r="H77">
        <v>7858862</v>
      </c>
      <c r="I77" t="s">
        <v>891</v>
      </c>
    </row>
    <row r="78" spans="1:9">
      <c r="A78" t="s">
        <v>978</v>
      </c>
      <c r="B78" t="s">
        <v>897</v>
      </c>
      <c r="C78" t="s">
        <v>888</v>
      </c>
      <c r="D78" s="2">
        <v>46145</v>
      </c>
      <c r="E78" t="s">
        <v>889</v>
      </c>
      <c r="F78" t="s">
        <v>890</v>
      </c>
      <c r="G78" s="2">
        <v>46682</v>
      </c>
      <c r="H78">
        <v>6060068</v>
      </c>
      <c r="I78" t="s">
        <v>891</v>
      </c>
    </row>
    <row r="79" spans="1:9">
      <c r="A79" t="s">
        <v>979</v>
      </c>
      <c r="B79" t="s">
        <v>887</v>
      </c>
      <c r="C79" t="s">
        <v>50</v>
      </c>
      <c r="D79" s="2">
        <v>46065</v>
      </c>
      <c r="E79" t="s">
        <v>908</v>
      </c>
      <c r="F79" t="s">
        <v>890</v>
      </c>
      <c r="G79" s="2">
        <v>46708</v>
      </c>
      <c r="H79">
        <v>3457532</v>
      </c>
      <c r="I79" t="s">
        <v>891</v>
      </c>
    </row>
    <row r="80" spans="1:9">
      <c r="A80" t="s">
        <v>980</v>
      </c>
      <c r="B80" t="s">
        <v>887</v>
      </c>
      <c r="C80" t="s">
        <v>50</v>
      </c>
      <c r="D80" s="2">
        <v>46049</v>
      </c>
      <c r="E80" t="s">
        <v>889</v>
      </c>
      <c r="F80" t="s">
        <v>900</v>
      </c>
      <c r="G80" s="2">
        <v>46486</v>
      </c>
      <c r="H80">
        <v>2666354</v>
      </c>
      <c r="I80" t="s">
        <v>891</v>
      </c>
    </row>
    <row r="81" spans="1:9">
      <c r="A81" t="s">
        <v>981</v>
      </c>
      <c r="B81" t="s">
        <v>910</v>
      </c>
      <c r="C81" t="s">
        <v>50</v>
      </c>
      <c r="D81" s="2">
        <v>46054</v>
      </c>
      <c r="E81" t="s">
        <v>889</v>
      </c>
      <c r="F81" t="s">
        <v>898</v>
      </c>
      <c r="G81" s="2">
        <v>46464</v>
      </c>
      <c r="H81">
        <v>799189</v>
      </c>
      <c r="I81" t="s">
        <v>891</v>
      </c>
    </row>
    <row r="82" spans="1:9">
      <c r="A82" t="s">
        <v>982</v>
      </c>
      <c r="B82" t="s">
        <v>887</v>
      </c>
      <c r="C82" t="s">
        <v>888</v>
      </c>
      <c r="D82" s="2">
        <v>46100</v>
      </c>
      <c r="E82" t="s">
        <v>889</v>
      </c>
      <c r="F82" t="s">
        <v>898</v>
      </c>
      <c r="G82" s="2">
        <v>46658</v>
      </c>
      <c r="H82">
        <v>7008850</v>
      </c>
      <c r="I82" t="s">
        <v>891</v>
      </c>
    </row>
    <row r="83" spans="1:9">
      <c r="A83" t="s">
        <v>983</v>
      </c>
      <c r="B83" t="s">
        <v>906</v>
      </c>
      <c r="C83" t="s">
        <v>50</v>
      </c>
      <c r="D83" s="2">
        <v>46143</v>
      </c>
      <c r="E83" t="s">
        <v>889</v>
      </c>
      <c r="F83" t="s">
        <v>900</v>
      </c>
      <c r="G83" s="2">
        <v>46725</v>
      </c>
      <c r="H83">
        <v>2059049</v>
      </c>
      <c r="I83" t="s">
        <v>891</v>
      </c>
    </row>
    <row r="84" spans="1:9">
      <c r="A84" t="s">
        <v>984</v>
      </c>
      <c r="B84" t="s">
        <v>906</v>
      </c>
      <c r="C84" t="s">
        <v>893</v>
      </c>
      <c r="D84" s="2">
        <v>46168</v>
      </c>
      <c r="E84" t="s">
        <v>908</v>
      </c>
      <c r="F84" t="s">
        <v>890</v>
      </c>
      <c r="G84" s="2">
        <v>46548</v>
      </c>
      <c r="H84">
        <v>6636821</v>
      </c>
      <c r="I84" t="s">
        <v>891</v>
      </c>
    </row>
    <row r="85" spans="1:9">
      <c r="A85" t="s">
        <v>985</v>
      </c>
      <c r="B85" t="s">
        <v>887</v>
      </c>
      <c r="C85" t="s">
        <v>50</v>
      </c>
      <c r="D85" s="2">
        <v>46038</v>
      </c>
      <c r="E85" t="s">
        <v>889</v>
      </c>
      <c r="F85" t="s">
        <v>900</v>
      </c>
      <c r="G85" s="2">
        <v>46430</v>
      </c>
      <c r="H85">
        <v>2874494</v>
      </c>
      <c r="I85" t="s">
        <v>891</v>
      </c>
    </row>
    <row r="86" spans="1:9">
      <c r="A86" t="s">
        <v>986</v>
      </c>
      <c r="B86" t="s">
        <v>910</v>
      </c>
      <c r="C86" t="s">
        <v>50</v>
      </c>
      <c r="D86" s="2">
        <v>46121</v>
      </c>
      <c r="E86" t="s">
        <v>889</v>
      </c>
      <c r="F86" t="s">
        <v>890</v>
      </c>
      <c r="G86" s="2">
        <v>46624</v>
      </c>
      <c r="H86">
        <v>9744561</v>
      </c>
      <c r="I86" t="s">
        <v>891</v>
      </c>
    </row>
    <row r="87" spans="1:9">
      <c r="A87" t="s">
        <v>987</v>
      </c>
      <c r="B87" t="s">
        <v>910</v>
      </c>
      <c r="C87" t="s">
        <v>893</v>
      </c>
      <c r="D87" s="2">
        <v>46069</v>
      </c>
      <c r="E87" t="s">
        <v>889</v>
      </c>
      <c r="F87" t="s">
        <v>898</v>
      </c>
      <c r="G87" s="2">
        <v>46520</v>
      </c>
      <c r="H87">
        <v>1004655</v>
      </c>
      <c r="I87" t="s">
        <v>891</v>
      </c>
    </row>
    <row r="88" spans="1:9">
      <c r="A88" t="s">
        <v>988</v>
      </c>
      <c r="B88" t="s">
        <v>910</v>
      </c>
      <c r="C88" t="s">
        <v>50</v>
      </c>
      <c r="D88" s="2">
        <v>46053</v>
      </c>
      <c r="E88" t="s">
        <v>908</v>
      </c>
      <c r="F88" t="s">
        <v>895</v>
      </c>
      <c r="G88" s="2">
        <v>46578</v>
      </c>
      <c r="H88">
        <v>736824</v>
      </c>
      <c r="I88" t="s">
        <v>891</v>
      </c>
    </row>
    <row r="89" spans="1:9">
      <c r="A89" t="s">
        <v>989</v>
      </c>
      <c r="B89" t="s">
        <v>902</v>
      </c>
      <c r="C89" t="s">
        <v>893</v>
      </c>
      <c r="D89" s="2">
        <v>46026</v>
      </c>
      <c r="E89" t="s">
        <v>889</v>
      </c>
      <c r="F89" t="s">
        <v>890</v>
      </c>
      <c r="G89" s="2">
        <v>46742</v>
      </c>
      <c r="H89">
        <v>9956587</v>
      </c>
      <c r="I89" t="s">
        <v>891</v>
      </c>
    </row>
    <row r="90" spans="1:9">
      <c r="A90" t="s">
        <v>990</v>
      </c>
      <c r="B90" t="s">
        <v>887</v>
      </c>
      <c r="C90" t="s">
        <v>50</v>
      </c>
      <c r="D90" s="2">
        <v>46039</v>
      </c>
      <c r="E90" t="s">
        <v>908</v>
      </c>
      <c r="F90" t="s">
        <v>898</v>
      </c>
      <c r="G90" s="2">
        <v>46664</v>
      </c>
      <c r="H90">
        <v>3649409</v>
      </c>
      <c r="I90" t="s">
        <v>891</v>
      </c>
    </row>
    <row r="91" spans="1:9">
      <c r="A91" t="s">
        <v>991</v>
      </c>
      <c r="B91" t="s">
        <v>910</v>
      </c>
      <c r="C91" t="s">
        <v>893</v>
      </c>
      <c r="D91" s="2">
        <v>46061</v>
      </c>
      <c r="E91" t="s">
        <v>889</v>
      </c>
      <c r="F91" t="s">
        <v>898</v>
      </c>
      <c r="G91" s="2">
        <v>46404</v>
      </c>
      <c r="H91">
        <v>5048003</v>
      </c>
      <c r="I91" t="s">
        <v>891</v>
      </c>
    </row>
    <row r="92" spans="1:9">
      <c r="A92" t="s">
        <v>992</v>
      </c>
      <c r="B92" t="s">
        <v>906</v>
      </c>
      <c r="C92" t="s">
        <v>50</v>
      </c>
      <c r="D92" s="2">
        <v>46070</v>
      </c>
      <c r="E92" t="s">
        <v>889</v>
      </c>
      <c r="F92" t="s">
        <v>895</v>
      </c>
      <c r="G92" s="2">
        <v>46398</v>
      </c>
      <c r="H92">
        <v>4525282</v>
      </c>
      <c r="I92" t="s">
        <v>891</v>
      </c>
    </row>
    <row r="93" spans="1:9">
      <c r="A93" t="s">
        <v>993</v>
      </c>
      <c r="B93" t="s">
        <v>897</v>
      </c>
      <c r="C93" t="s">
        <v>893</v>
      </c>
      <c r="D93" s="2">
        <v>46061</v>
      </c>
      <c r="E93" t="s">
        <v>889</v>
      </c>
      <c r="F93" t="s">
        <v>898</v>
      </c>
      <c r="G93" s="2">
        <v>46566</v>
      </c>
      <c r="H93">
        <v>4666289</v>
      </c>
      <c r="I93" t="s">
        <v>891</v>
      </c>
    </row>
    <row r="94" spans="1:9">
      <c r="A94" t="s">
        <v>994</v>
      </c>
      <c r="B94" t="s">
        <v>897</v>
      </c>
      <c r="C94" t="s">
        <v>888</v>
      </c>
      <c r="D94" s="2">
        <v>46154</v>
      </c>
      <c r="E94" t="s">
        <v>908</v>
      </c>
      <c r="F94" t="s">
        <v>898</v>
      </c>
      <c r="G94" s="2">
        <v>46509</v>
      </c>
      <c r="H94">
        <v>593246</v>
      </c>
      <c r="I94" t="s">
        <v>891</v>
      </c>
    </row>
    <row r="95" spans="1:9">
      <c r="A95" t="s">
        <v>995</v>
      </c>
      <c r="B95" t="s">
        <v>910</v>
      </c>
      <c r="C95" t="s">
        <v>893</v>
      </c>
      <c r="D95" s="2">
        <v>46052</v>
      </c>
      <c r="E95" t="s">
        <v>889</v>
      </c>
      <c r="F95" t="s">
        <v>890</v>
      </c>
      <c r="G95" s="2">
        <v>46632</v>
      </c>
      <c r="H95">
        <v>5838744</v>
      </c>
      <c r="I95" t="s">
        <v>891</v>
      </c>
    </row>
    <row r="96" spans="1:9">
      <c r="A96" t="s">
        <v>996</v>
      </c>
      <c r="B96" t="s">
        <v>897</v>
      </c>
      <c r="C96" t="s">
        <v>50</v>
      </c>
      <c r="D96" s="2">
        <v>46044</v>
      </c>
      <c r="E96" t="s">
        <v>889</v>
      </c>
      <c r="F96" t="s">
        <v>890</v>
      </c>
      <c r="G96" s="2">
        <v>46608</v>
      </c>
      <c r="H96">
        <v>9097494</v>
      </c>
      <c r="I96" t="s">
        <v>891</v>
      </c>
    </row>
    <row r="97" spans="1:9">
      <c r="A97" t="s">
        <v>997</v>
      </c>
      <c r="B97" t="s">
        <v>897</v>
      </c>
      <c r="C97" t="s">
        <v>50</v>
      </c>
      <c r="D97" s="2">
        <v>46088</v>
      </c>
      <c r="E97" t="s">
        <v>889</v>
      </c>
      <c r="F97" t="s">
        <v>895</v>
      </c>
      <c r="G97" s="2">
        <v>46437</v>
      </c>
      <c r="H97">
        <v>2867713</v>
      </c>
      <c r="I97" t="s">
        <v>891</v>
      </c>
    </row>
    <row r="98" spans="1:9">
      <c r="A98" t="s">
        <v>998</v>
      </c>
      <c r="B98" t="s">
        <v>902</v>
      </c>
      <c r="C98" t="s">
        <v>924</v>
      </c>
      <c r="D98" s="2">
        <v>46130</v>
      </c>
      <c r="E98" t="s">
        <v>889</v>
      </c>
      <c r="F98" t="s">
        <v>895</v>
      </c>
      <c r="G98" s="2">
        <v>46457</v>
      </c>
      <c r="H98">
        <v>4563068</v>
      </c>
      <c r="I98" t="s">
        <v>891</v>
      </c>
    </row>
    <row r="99" spans="1:9">
      <c r="A99" t="s">
        <v>999</v>
      </c>
      <c r="B99" t="s">
        <v>906</v>
      </c>
      <c r="C99" t="s">
        <v>893</v>
      </c>
      <c r="D99" s="2">
        <v>46034</v>
      </c>
      <c r="E99" t="s">
        <v>889</v>
      </c>
      <c r="F99" t="s">
        <v>898</v>
      </c>
      <c r="G99" s="2">
        <v>46434</v>
      </c>
      <c r="H99">
        <v>2784798</v>
      </c>
      <c r="I99" t="s">
        <v>891</v>
      </c>
    </row>
    <row r="100" spans="1:9">
      <c r="A100" t="s">
        <v>1000</v>
      </c>
      <c r="B100" t="s">
        <v>906</v>
      </c>
      <c r="C100" t="s">
        <v>888</v>
      </c>
      <c r="D100" s="2">
        <v>46058</v>
      </c>
      <c r="E100" t="s">
        <v>908</v>
      </c>
      <c r="F100" t="s">
        <v>890</v>
      </c>
      <c r="G100" s="2">
        <v>46405</v>
      </c>
      <c r="H100">
        <v>2032337</v>
      </c>
      <c r="I100" t="s">
        <v>891</v>
      </c>
    </row>
    <row r="101" spans="1:9">
      <c r="A101" t="s">
        <v>1001</v>
      </c>
      <c r="B101" t="s">
        <v>902</v>
      </c>
      <c r="C101" t="s">
        <v>893</v>
      </c>
      <c r="D101" s="2">
        <v>46040</v>
      </c>
      <c r="E101" t="s">
        <v>889</v>
      </c>
      <c r="F101" t="s">
        <v>895</v>
      </c>
      <c r="G101" s="2">
        <v>46648</v>
      </c>
      <c r="H101">
        <v>1283566</v>
      </c>
      <c r="I101" t="s">
        <v>891</v>
      </c>
    </row>
    <row r="102" spans="1:9">
      <c r="A102" t="s">
        <v>1002</v>
      </c>
      <c r="B102" t="s">
        <v>902</v>
      </c>
      <c r="C102" t="s">
        <v>893</v>
      </c>
      <c r="D102" s="2">
        <v>46112</v>
      </c>
      <c r="E102" t="s">
        <v>889</v>
      </c>
      <c r="F102" t="s">
        <v>895</v>
      </c>
      <c r="G102" s="2">
        <v>46470</v>
      </c>
      <c r="H102">
        <v>8096713</v>
      </c>
      <c r="I102" t="s">
        <v>891</v>
      </c>
    </row>
    <row r="103" spans="1:9">
      <c r="A103" t="s">
        <v>1003</v>
      </c>
      <c r="B103" t="s">
        <v>897</v>
      </c>
      <c r="C103" t="s">
        <v>888</v>
      </c>
      <c r="D103" s="2">
        <v>46023</v>
      </c>
      <c r="E103" t="s">
        <v>894</v>
      </c>
      <c r="F103" t="s">
        <v>900</v>
      </c>
      <c r="G103" s="2">
        <v>46541</v>
      </c>
      <c r="H103" s="17">
        <v>1279105</v>
      </c>
      <c r="I103" t="s">
        <v>891</v>
      </c>
    </row>
    <row r="104" spans="1:9">
      <c r="A104" t="s">
        <v>1004</v>
      </c>
      <c r="B104" t="s">
        <v>887</v>
      </c>
      <c r="C104" t="s">
        <v>893</v>
      </c>
      <c r="D104" s="2">
        <v>46149</v>
      </c>
      <c r="E104" t="s">
        <v>889</v>
      </c>
      <c r="F104" t="s">
        <v>895</v>
      </c>
      <c r="G104" s="2">
        <v>46439</v>
      </c>
      <c r="H104">
        <v>7597065</v>
      </c>
      <c r="I104" t="s">
        <v>891</v>
      </c>
    </row>
    <row r="105" spans="1:9">
      <c r="A105" t="s">
        <v>1005</v>
      </c>
      <c r="B105" t="s">
        <v>897</v>
      </c>
      <c r="C105" t="s">
        <v>888</v>
      </c>
      <c r="D105" s="2">
        <v>46112</v>
      </c>
      <c r="E105" t="s">
        <v>889</v>
      </c>
      <c r="F105" t="s">
        <v>898</v>
      </c>
      <c r="G105" s="2">
        <v>46493</v>
      </c>
      <c r="H105">
        <v>9805600</v>
      </c>
      <c r="I105" t="s">
        <v>891</v>
      </c>
    </row>
    <row r="106" spans="1:9">
      <c r="A106" t="s">
        <v>1006</v>
      </c>
      <c r="B106" t="s">
        <v>902</v>
      </c>
      <c r="C106" t="s">
        <v>888</v>
      </c>
      <c r="D106" s="2">
        <v>46109</v>
      </c>
      <c r="E106" t="s">
        <v>889</v>
      </c>
      <c r="F106" t="s">
        <v>890</v>
      </c>
      <c r="G106" s="2">
        <v>46743</v>
      </c>
      <c r="H106">
        <v>720326</v>
      </c>
      <c r="I106" t="s">
        <v>891</v>
      </c>
    </row>
    <row r="107" spans="1:9">
      <c r="A107" t="s">
        <v>1007</v>
      </c>
      <c r="B107" t="s">
        <v>906</v>
      </c>
      <c r="C107" t="s">
        <v>893</v>
      </c>
      <c r="D107" s="2">
        <v>46112</v>
      </c>
      <c r="E107" t="s">
        <v>889</v>
      </c>
      <c r="F107" t="s">
        <v>895</v>
      </c>
      <c r="G107" s="2">
        <v>46690</v>
      </c>
      <c r="H107">
        <v>5013552</v>
      </c>
      <c r="I107" t="s">
        <v>891</v>
      </c>
    </row>
    <row r="108" spans="1:9">
      <c r="A108" t="s">
        <v>1008</v>
      </c>
      <c r="B108" t="s">
        <v>897</v>
      </c>
      <c r="C108" t="s">
        <v>893</v>
      </c>
      <c r="D108" s="2">
        <v>46156</v>
      </c>
      <c r="E108" t="s">
        <v>889</v>
      </c>
      <c r="F108" t="s">
        <v>900</v>
      </c>
      <c r="G108" s="2">
        <v>46521</v>
      </c>
      <c r="H108">
        <v>7137935</v>
      </c>
      <c r="I108" t="s">
        <v>891</v>
      </c>
    </row>
    <row r="109" spans="1:9">
      <c r="A109" t="s">
        <v>1009</v>
      </c>
      <c r="B109" t="s">
        <v>887</v>
      </c>
      <c r="C109" t="s">
        <v>50</v>
      </c>
      <c r="D109" s="2">
        <v>46092</v>
      </c>
      <c r="E109" t="s">
        <v>889</v>
      </c>
      <c r="F109" t="s">
        <v>890</v>
      </c>
      <c r="G109" s="2">
        <v>46455</v>
      </c>
      <c r="H109">
        <v>4022810</v>
      </c>
      <c r="I109" t="s">
        <v>891</v>
      </c>
    </row>
    <row r="110" spans="1:9">
      <c r="A110" t="s">
        <v>1010</v>
      </c>
      <c r="B110" t="s">
        <v>897</v>
      </c>
      <c r="C110" t="s">
        <v>50</v>
      </c>
      <c r="D110" s="2">
        <v>46066</v>
      </c>
      <c r="E110" t="s">
        <v>889</v>
      </c>
      <c r="F110" t="s">
        <v>895</v>
      </c>
      <c r="G110" s="2">
        <v>46397</v>
      </c>
      <c r="H110">
        <v>5980354</v>
      </c>
      <c r="I110" t="s">
        <v>891</v>
      </c>
    </row>
    <row r="111" spans="1:9">
      <c r="A111" t="s">
        <v>1011</v>
      </c>
      <c r="B111" t="s">
        <v>910</v>
      </c>
      <c r="C111" t="s">
        <v>924</v>
      </c>
      <c r="D111" s="2">
        <v>46108</v>
      </c>
      <c r="E111" t="s">
        <v>889</v>
      </c>
      <c r="F111" t="s">
        <v>900</v>
      </c>
      <c r="G111" s="2">
        <v>46529</v>
      </c>
      <c r="H111">
        <v>7075273</v>
      </c>
      <c r="I111" t="s">
        <v>891</v>
      </c>
    </row>
    <row r="112" spans="1:9">
      <c r="A112" t="s">
        <v>1012</v>
      </c>
      <c r="B112" t="s">
        <v>897</v>
      </c>
      <c r="C112" t="s">
        <v>924</v>
      </c>
      <c r="D112" s="2">
        <v>46041</v>
      </c>
      <c r="E112" t="s">
        <v>908</v>
      </c>
      <c r="F112" t="s">
        <v>895</v>
      </c>
      <c r="G112" s="2">
        <v>46578</v>
      </c>
      <c r="H112">
        <v>9789461</v>
      </c>
      <c r="I112" t="s">
        <v>891</v>
      </c>
    </row>
    <row r="113" spans="1:9">
      <c r="A113" t="s">
        <v>1013</v>
      </c>
      <c r="B113" t="s">
        <v>902</v>
      </c>
      <c r="C113" t="s">
        <v>893</v>
      </c>
      <c r="D113" s="2">
        <v>46123</v>
      </c>
      <c r="E113" t="s">
        <v>908</v>
      </c>
      <c r="F113" t="s">
        <v>890</v>
      </c>
      <c r="G113" s="2">
        <v>46455</v>
      </c>
      <c r="H113">
        <v>4947321</v>
      </c>
      <c r="I113" t="s">
        <v>891</v>
      </c>
    </row>
    <row r="114" spans="1:9">
      <c r="A114" t="s">
        <v>1014</v>
      </c>
      <c r="B114" t="s">
        <v>906</v>
      </c>
      <c r="C114" t="s">
        <v>888</v>
      </c>
      <c r="D114" s="2">
        <v>46168</v>
      </c>
      <c r="E114" t="s">
        <v>908</v>
      </c>
      <c r="F114" t="s">
        <v>890</v>
      </c>
      <c r="G114" s="2">
        <v>46409</v>
      </c>
      <c r="H114">
        <v>1151824</v>
      </c>
      <c r="I114" t="s">
        <v>891</v>
      </c>
    </row>
    <row r="115" spans="1:9">
      <c r="A115" t="s">
        <v>1015</v>
      </c>
      <c r="B115" t="s">
        <v>906</v>
      </c>
      <c r="C115" t="s">
        <v>924</v>
      </c>
      <c r="D115" s="2">
        <v>46117</v>
      </c>
      <c r="E115" t="s">
        <v>894</v>
      </c>
      <c r="F115" t="s">
        <v>890</v>
      </c>
      <c r="G115" s="2">
        <v>46567</v>
      </c>
      <c r="H115" s="17">
        <v>3406405</v>
      </c>
      <c r="I115" t="s">
        <v>891</v>
      </c>
    </row>
    <row r="116" spans="1:9">
      <c r="A116" t="s">
        <v>1016</v>
      </c>
      <c r="B116" t="s">
        <v>902</v>
      </c>
      <c r="C116" t="s">
        <v>893</v>
      </c>
      <c r="D116" s="2">
        <v>46123</v>
      </c>
      <c r="E116" t="s">
        <v>889</v>
      </c>
      <c r="F116" t="s">
        <v>898</v>
      </c>
      <c r="G116" s="2">
        <v>46679</v>
      </c>
      <c r="H116">
        <v>6366645</v>
      </c>
      <c r="I116" t="s">
        <v>891</v>
      </c>
    </row>
    <row r="117" spans="1:9">
      <c r="A117" t="s">
        <v>1017</v>
      </c>
      <c r="B117" t="s">
        <v>910</v>
      </c>
      <c r="C117" t="s">
        <v>924</v>
      </c>
      <c r="D117" s="2">
        <v>46052</v>
      </c>
      <c r="E117" t="s">
        <v>894</v>
      </c>
      <c r="F117" t="s">
        <v>895</v>
      </c>
      <c r="G117" s="2">
        <v>46395</v>
      </c>
      <c r="H117" s="17">
        <v>8569552</v>
      </c>
      <c r="I117" t="s">
        <v>891</v>
      </c>
    </row>
    <row r="118" spans="1:9">
      <c r="A118" t="s">
        <v>1018</v>
      </c>
      <c r="B118" t="s">
        <v>902</v>
      </c>
      <c r="C118" t="s">
        <v>888</v>
      </c>
      <c r="D118" s="2">
        <v>46055</v>
      </c>
      <c r="E118" t="s">
        <v>889</v>
      </c>
      <c r="F118" t="s">
        <v>898</v>
      </c>
      <c r="G118" s="2">
        <v>46657</v>
      </c>
      <c r="H118">
        <v>5069146</v>
      </c>
      <c r="I118" t="s">
        <v>891</v>
      </c>
    </row>
    <row r="119" spans="1:9">
      <c r="A119" t="s">
        <v>1019</v>
      </c>
      <c r="B119" t="s">
        <v>897</v>
      </c>
      <c r="C119" t="s">
        <v>893</v>
      </c>
      <c r="D119" s="2">
        <v>46034</v>
      </c>
      <c r="E119" t="s">
        <v>889</v>
      </c>
      <c r="F119" t="s">
        <v>890</v>
      </c>
      <c r="G119" s="2">
        <v>46479</v>
      </c>
      <c r="H119">
        <v>2970856</v>
      </c>
      <c r="I119" t="s">
        <v>891</v>
      </c>
    </row>
    <row r="120" spans="1:9">
      <c r="A120" t="s">
        <v>1020</v>
      </c>
      <c r="B120" t="s">
        <v>902</v>
      </c>
      <c r="C120" t="s">
        <v>888</v>
      </c>
      <c r="D120" s="2">
        <v>46140</v>
      </c>
      <c r="E120" t="s">
        <v>889</v>
      </c>
      <c r="F120" t="s">
        <v>900</v>
      </c>
      <c r="G120" s="2">
        <v>46403</v>
      </c>
      <c r="H120">
        <v>3639782</v>
      </c>
      <c r="I120" t="s">
        <v>891</v>
      </c>
    </row>
    <row r="121" spans="1:9">
      <c r="A121" t="s">
        <v>1021</v>
      </c>
      <c r="B121" t="s">
        <v>902</v>
      </c>
      <c r="C121" t="s">
        <v>893</v>
      </c>
      <c r="D121" s="2">
        <v>46116</v>
      </c>
      <c r="E121" t="s">
        <v>889</v>
      </c>
      <c r="F121" t="s">
        <v>895</v>
      </c>
      <c r="G121" s="2">
        <v>46540</v>
      </c>
      <c r="H121">
        <v>2150224</v>
      </c>
      <c r="I121" t="s">
        <v>891</v>
      </c>
    </row>
    <row r="122" spans="1:9">
      <c r="A122" t="s">
        <v>1022</v>
      </c>
      <c r="B122" t="s">
        <v>910</v>
      </c>
      <c r="C122" t="s">
        <v>924</v>
      </c>
      <c r="D122" s="2">
        <v>46159</v>
      </c>
      <c r="E122" t="s">
        <v>894</v>
      </c>
      <c r="F122" t="s">
        <v>898</v>
      </c>
      <c r="G122" s="2">
        <v>46714</v>
      </c>
      <c r="H122" s="17">
        <v>1848055</v>
      </c>
      <c r="I122" t="s">
        <v>891</v>
      </c>
    </row>
    <row r="123" spans="1:9">
      <c r="A123" t="s">
        <v>1023</v>
      </c>
      <c r="B123" t="s">
        <v>897</v>
      </c>
      <c r="C123" t="s">
        <v>50</v>
      </c>
      <c r="D123" s="2">
        <v>46171</v>
      </c>
      <c r="E123" t="s">
        <v>908</v>
      </c>
      <c r="F123" t="s">
        <v>895</v>
      </c>
      <c r="G123" s="2">
        <v>46535</v>
      </c>
      <c r="H123">
        <v>9744391</v>
      </c>
      <c r="I123" t="s">
        <v>891</v>
      </c>
    </row>
    <row r="124" spans="1:9">
      <c r="A124" t="s">
        <v>1024</v>
      </c>
      <c r="B124" t="s">
        <v>887</v>
      </c>
      <c r="C124" t="s">
        <v>924</v>
      </c>
      <c r="D124" s="2">
        <v>46098</v>
      </c>
      <c r="E124" t="s">
        <v>889</v>
      </c>
      <c r="F124" t="s">
        <v>900</v>
      </c>
      <c r="G124" s="2">
        <v>46653</v>
      </c>
      <c r="H124">
        <v>5595670</v>
      </c>
      <c r="I124" t="s">
        <v>891</v>
      </c>
    </row>
    <row r="125" spans="1:9">
      <c r="A125" t="s">
        <v>1025</v>
      </c>
      <c r="B125" t="s">
        <v>887</v>
      </c>
      <c r="C125" t="s">
        <v>924</v>
      </c>
      <c r="D125" s="2">
        <v>46051</v>
      </c>
      <c r="E125" t="s">
        <v>908</v>
      </c>
      <c r="F125" t="s">
        <v>898</v>
      </c>
      <c r="G125" s="2">
        <v>46714</v>
      </c>
      <c r="H125">
        <v>2730653</v>
      </c>
      <c r="I125" t="s">
        <v>891</v>
      </c>
    </row>
    <row r="126" spans="1:9">
      <c r="A126" t="s">
        <v>1026</v>
      </c>
      <c r="B126" t="s">
        <v>906</v>
      </c>
      <c r="C126" t="s">
        <v>50</v>
      </c>
      <c r="D126" s="2">
        <v>46139</v>
      </c>
      <c r="E126" t="s">
        <v>889</v>
      </c>
      <c r="F126" t="s">
        <v>890</v>
      </c>
      <c r="G126" s="2">
        <v>46492</v>
      </c>
      <c r="H126">
        <v>1084942</v>
      </c>
      <c r="I126" t="s">
        <v>891</v>
      </c>
    </row>
    <row r="127" spans="1:9">
      <c r="A127" t="s">
        <v>1027</v>
      </c>
      <c r="B127" t="s">
        <v>902</v>
      </c>
      <c r="C127" t="s">
        <v>50</v>
      </c>
      <c r="D127" s="2">
        <v>46037</v>
      </c>
      <c r="E127" t="s">
        <v>889</v>
      </c>
      <c r="F127" t="s">
        <v>898</v>
      </c>
      <c r="G127" s="2">
        <v>46421</v>
      </c>
      <c r="H127">
        <v>5063870</v>
      </c>
      <c r="I127" t="s">
        <v>891</v>
      </c>
    </row>
    <row r="128" spans="1:9">
      <c r="A128" t="s">
        <v>1028</v>
      </c>
      <c r="B128" t="s">
        <v>906</v>
      </c>
      <c r="C128" t="s">
        <v>893</v>
      </c>
      <c r="D128" s="2">
        <v>46024</v>
      </c>
      <c r="E128" t="s">
        <v>889</v>
      </c>
      <c r="F128" t="s">
        <v>895</v>
      </c>
      <c r="G128" s="2">
        <v>46505</v>
      </c>
      <c r="H128">
        <v>1920654</v>
      </c>
      <c r="I128" t="s">
        <v>891</v>
      </c>
    </row>
    <row r="129" spans="1:9">
      <c r="A129" t="s">
        <v>1029</v>
      </c>
      <c r="B129" t="s">
        <v>910</v>
      </c>
      <c r="C129" t="s">
        <v>893</v>
      </c>
      <c r="D129" s="2">
        <v>46139</v>
      </c>
      <c r="E129" t="s">
        <v>889</v>
      </c>
      <c r="F129" t="s">
        <v>895</v>
      </c>
      <c r="G129" s="2">
        <v>46400</v>
      </c>
      <c r="H129">
        <v>9612111</v>
      </c>
      <c r="I129" t="s">
        <v>891</v>
      </c>
    </row>
    <row r="130" spans="1:9">
      <c r="A130" t="s">
        <v>1030</v>
      </c>
      <c r="B130" t="s">
        <v>887</v>
      </c>
      <c r="C130" t="s">
        <v>888</v>
      </c>
      <c r="D130" s="2">
        <v>46040</v>
      </c>
      <c r="E130" t="s">
        <v>908</v>
      </c>
      <c r="F130" t="s">
        <v>895</v>
      </c>
      <c r="G130" s="2">
        <v>46400</v>
      </c>
      <c r="H130">
        <v>8855425</v>
      </c>
      <c r="I130" t="s">
        <v>891</v>
      </c>
    </row>
    <row r="131" spans="1:9">
      <c r="A131" t="s">
        <v>1031</v>
      </c>
      <c r="B131" t="s">
        <v>902</v>
      </c>
      <c r="C131" t="s">
        <v>888</v>
      </c>
      <c r="D131" s="2">
        <v>46025</v>
      </c>
      <c r="E131" t="s">
        <v>908</v>
      </c>
      <c r="F131" t="s">
        <v>895</v>
      </c>
      <c r="G131" s="2">
        <v>46652</v>
      </c>
      <c r="H131">
        <v>6369494</v>
      </c>
      <c r="I131" t="s">
        <v>891</v>
      </c>
    </row>
    <row r="132" spans="1:9">
      <c r="A132" t="s">
        <v>1032</v>
      </c>
      <c r="B132" t="s">
        <v>910</v>
      </c>
      <c r="C132" t="s">
        <v>924</v>
      </c>
      <c r="D132" s="2">
        <v>46157</v>
      </c>
      <c r="E132" t="s">
        <v>894</v>
      </c>
      <c r="F132" t="s">
        <v>890</v>
      </c>
      <c r="G132" s="2">
        <v>46526</v>
      </c>
      <c r="H132" s="17">
        <v>9237456</v>
      </c>
      <c r="I132" t="s">
        <v>891</v>
      </c>
    </row>
    <row r="133" spans="1:9">
      <c r="A133" t="s">
        <v>1033</v>
      </c>
      <c r="B133" t="s">
        <v>910</v>
      </c>
      <c r="C133" t="s">
        <v>50</v>
      </c>
      <c r="D133" s="2">
        <v>46130</v>
      </c>
      <c r="E133" t="s">
        <v>889</v>
      </c>
      <c r="F133" t="s">
        <v>898</v>
      </c>
      <c r="G133" s="2">
        <v>46680</v>
      </c>
      <c r="H133">
        <v>1981177</v>
      </c>
      <c r="I133" t="s">
        <v>891</v>
      </c>
    </row>
    <row r="134" spans="1:9">
      <c r="A134" t="s">
        <v>1034</v>
      </c>
      <c r="B134" t="s">
        <v>902</v>
      </c>
      <c r="C134" t="s">
        <v>888</v>
      </c>
      <c r="D134" s="2">
        <v>46117</v>
      </c>
      <c r="E134" t="s">
        <v>908</v>
      </c>
      <c r="F134" t="s">
        <v>890</v>
      </c>
      <c r="G134" s="2">
        <v>46750</v>
      </c>
      <c r="H134">
        <v>666991</v>
      </c>
      <c r="I134" t="s">
        <v>891</v>
      </c>
    </row>
    <row r="135" spans="1:9">
      <c r="A135" t="s">
        <v>1035</v>
      </c>
      <c r="B135" t="s">
        <v>910</v>
      </c>
      <c r="C135" t="s">
        <v>924</v>
      </c>
      <c r="D135" s="2">
        <v>46144</v>
      </c>
      <c r="E135" t="s">
        <v>889</v>
      </c>
      <c r="F135" t="s">
        <v>890</v>
      </c>
      <c r="G135" s="2">
        <v>46505</v>
      </c>
      <c r="H135">
        <v>4791256</v>
      </c>
      <c r="I135" t="s">
        <v>891</v>
      </c>
    </row>
    <row r="136" spans="1:9">
      <c r="A136" t="s">
        <v>1036</v>
      </c>
      <c r="B136" t="s">
        <v>902</v>
      </c>
      <c r="C136" t="s">
        <v>50</v>
      </c>
      <c r="D136" s="2">
        <v>46033</v>
      </c>
      <c r="E136" t="s">
        <v>908</v>
      </c>
      <c r="F136" t="s">
        <v>890</v>
      </c>
      <c r="G136" s="2">
        <v>46624</v>
      </c>
      <c r="H136">
        <v>4492942</v>
      </c>
      <c r="I136" t="s">
        <v>891</v>
      </c>
    </row>
    <row r="137" spans="1:9">
      <c r="A137" t="s">
        <v>1037</v>
      </c>
      <c r="B137" t="s">
        <v>902</v>
      </c>
      <c r="C137" t="s">
        <v>893</v>
      </c>
      <c r="D137" s="2">
        <v>46090</v>
      </c>
      <c r="E137" t="s">
        <v>889</v>
      </c>
      <c r="F137" t="s">
        <v>895</v>
      </c>
      <c r="G137" s="2">
        <v>46420</v>
      </c>
      <c r="H137">
        <v>5160110</v>
      </c>
      <c r="I137" t="s">
        <v>891</v>
      </c>
    </row>
    <row r="138" spans="1:9">
      <c r="A138" t="s">
        <v>1038</v>
      </c>
      <c r="B138" t="s">
        <v>897</v>
      </c>
      <c r="C138" t="s">
        <v>924</v>
      </c>
      <c r="D138" s="2">
        <v>46145</v>
      </c>
      <c r="E138" t="s">
        <v>889</v>
      </c>
      <c r="F138" t="s">
        <v>895</v>
      </c>
      <c r="G138" s="2">
        <v>46555</v>
      </c>
      <c r="H138">
        <v>9764666</v>
      </c>
      <c r="I138" t="s">
        <v>891</v>
      </c>
    </row>
    <row r="139" spans="1:9">
      <c r="A139" t="s">
        <v>1039</v>
      </c>
      <c r="B139" t="s">
        <v>906</v>
      </c>
      <c r="C139" t="s">
        <v>893</v>
      </c>
      <c r="D139" s="2">
        <v>46135</v>
      </c>
      <c r="E139" t="s">
        <v>889</v>
      </c>
      <c r="F139" t="s">
        <v>895</v>
      </c>
      <c r="G139" s="2">
        <v>46396</v>
      </c>
      <c r="H139">
        <v>6414063</v>
      </c>
      <c r="I139" t="s">
        <v>891</v>
      </c>
    </row>
    <row r="140" spans="1:9">
      <c r="A140" t="s">
        <v>1040</v>
      </c>
      <c r="B140" t="s">
        <v>910</v>
      </c>
      <c r="C140" t="s">
        <v>888</v>
      </c>
      <c r="D140" s="2">
        <v>46120</v>
      </c>
      <c r="E140" t="s">
        <v>889</v>
      </c>
      <c r="F140" t="s">
        <v>898</v>
      </c>
      <c r="G140" s="2">
        <v>46508</v>
      </c>
      <c r="H140">
        <v>8991485</v>
      </c>
      <c r="I140" t="s">
        <v>891</v>
      </c>
    </row>
    <row r="141" spans="1:9">
      <c r="A141" t="s">
        <v>1041</v>
      </c>
      <c r="B141" t="s">
        <v>910</v>
      </c>
      <c r="C141" t="s">
        <v>888</v>
      </c>
      <c r="D141" s="2">
        <v>46115</v>
      </c>
      <c r="E141" t="s">
        <v>889</v>
      </c>
      <c r="F141" t="s">
        <v>900</v>
      </c>
      <c r="G141" s="2">
        <v>46531</v>
      </c>
      <c r="H141">
        <v>8498883</v>
      </c>
      <c r="I141" t="s">
        <v>891</v>
      </c>
    </row>
    <row r="142" spans="1:9">
      <c r="A142" t="s">
        <v>1042</v>
      </c>
      <c r="B142" t="s">
        <v>897</v>
      </c>
      <c r="C142" t="s">
        <v>50</v>
      </c>
      <c r="D142" s="2">
        <v>46044</v>
      </c>
      <c r="E142" t="s">
        <v>889</v>
      </c>
      <c r="F142" t="s">
        <v>895</v>
      </c>
      <c r="G142" s="2">
        <v>46609</v>
      </c>
      <c r="H142">
        <v>8461813</v>
      </c>
      <c r="I142" t="s">
        <v>891</v>
      </c>
    </row>
    <row r="143" spans="1:9">
      <c r="A143" t="s">
        <v>1043</v>
      </c>
      <c r="B143" t="s">
        <v>897</v>
      </c>
      <c r="C143" t="s">
        <v>924</v>
      </c>
      <c r="D143" s="2">
        <v>46149</v>
      </c>
      <c r="E143" t="s">
        <v>889</v>
      </c>
      <c r="F143" t="s">
        <v>898</v>
      </c>
      <c r="G143" s="2">
        <v>46643</v>
      </c>
      <c r="H143">
        <v>7462544</v>
      </c>
      <c r="I143" t="s">
        <v>891</v>
      </c>
    </row>
    <row r="144" spans="1:9">
      <c r="A144" t="s">
        <v>1044</v>
      </c>
      <c r="B144" t="s">
        <v>897</v>
      </c>
      <c r="C144" t="s">
        <v>893</v>
      </c>
      <c r="D144" s="2">
        <v>46156</v>
      </c>
      <c r="E144" t="s">
        <v>889</v>
      </c>
      <c r="F144" t="s">
        <v>895</v>
      </c>
      <c r="G144" s="2">
        <v>46654</v>
      </c>
      <c r="H144">
        <v>5618805</v>
      </c>
      <c r="I144" t="s">
        <v>891</v>
      </c>
    </row>
    <row r="145" spans="1:9">
      <c r="A145" t="s">
        <v>1045</v>
      </c>
      <c r="B145" t="s">
        <v>887</v>
      </c>
      <c r="C145" t="s">
        <v>50</v>
      </c>
      <c r="D145" s="2">
        <v>46047</v>
      </c>
      <c r="E145" t="s">
        <v>889</v>
      </c>
      <c r="F145" t="s">
        <v>895</v>
      </c>
      <c r="G145" s="2">
        <v>46745</v>
      </c>
      <c r="H145">
        <v>2045329</v>
      </c>
      <c r="I145" t="s">
        <v>891</v>
      </c>
    </row>
    <row r="146" spans="1:9">
      <c r="A146" t="s">
        <v>1046</v>
      </c>
      <c r="B146" t="s">
        <v>887</v>
      </c>
      <c r="C146" t="s">
        <v>888</v>
      </c>
      <c r="D146" s="2">
        <v>46107</v>
      </c>
      <c r="E146" t="s">
        <v>889</v>
      </c>
      <c r="F146" t="s">
        <v>890</v>
      </c>
      <c r="G146" s="2">
        <v>46390</v>
      </c>
      <c r="H146">
        <v>3572753</v>
      </c>
      <c r="I146" t="s">
        <v>891</v>
      </c>
    </row>
    <row r="147" spans="1:9">
      <c r="A147" t="s">
        <v>1047</v>
      </c>
      <c r="B147" t="s">
        <v>887</v>
      </c>
      <c r="C147" t="s">
        <v>888</v>
      </c>
      <c r="D147" s="2">
        <v>46077</v>
      </c>
      <c r="E147" t="s">
        <v>889</v>
      </c>
      <c r="F147" t="s">
        <v>890</v>
      </c>
      <c r="G147" s="2">
        <v>46740</v>
      </c>
      <c r="H147">
        <v>891670</v>
      </c>
      <c r="I147" t="s">
        <v>891</v>
      </c>
    </row>
    <row r="148" spans="1:9">
      <c r="A148" t="s">
        <v>1048</v>
      </c>
      <c r="B148" t="s">
        <v>902</v>
      </c>
      <c r="C148" t="s">
        <v>924</v>
      </c>
      <c r="D148" s="2">
        <v>46166</v>
      </c>
      <c r="E148" t="s">
        <v>889</v>
      </c>
      <c r="F148" t="s">
        <v>890</v>
      </c>
      <c r="G148" s="2">
        <v>46492</v>
      </c>
      <c r="H148">
        <v>5126043</v>
      </c>
      <c r="I148" t="s">
        <v>891</v>
      </c>
    </row>
    <row r="149" spans="1:9">
      <c r="A149" t="s">
        <v>1049</v>
      </c>
      <c r="B149" t="s">
        <v>910</v>
      </c>
      <c r="C149" t="s">
        <v>893</v>
      </c>
      <c r="D149" s="2">
        <v>46117</v>
      </c>
      <c r="E149" t="s">
        <v>889</v>
      </c>
      <c r="F149" t="s">
        <v>898</v>
      </c>
      <c r="G149" s="2">
        <v>46471</v>
      </c>
      <c r="H149">
        <v>8127339</v>
      </c>
      <c r="I149" t="s">
        <v>891</v>
      </c>
    </row>
    <row r="150" spans="1:9">
      <c r="A150" t="s">
        <v>1050</v>
      </c>
      <c r="B150" t="s">
        <v>906</v>
      </c>
      <c r="C150" t="s">
        <v>924</v>
      </c>
      <c r="D150" s="2">
        <v>46164</v>
      </c>
      <c r="E150" t="s">
        <v>908</v>
      </c>
      <c r="F150" t="s">
        <v>900</v>
      </c>
      <c r="G150" s="2">
        <v>46600</v>
      </c>
      <c r="H150">
        <v>1850339</v>
      </c>
      <c r="I150" t="s">
        <v>891</v>
      </c>
    </row>
    <row r="151" spans="1:9">
      <c r="A151" t="s">
        <v>1051</v>
      </c>
      <c r="B151" t="s">
        <v>902</v>
      </c>
      <c r="C151" t="s">
        <v>893</v>
      </c>
      <c r="D151" s="2">
        <v>46141</v>
      </c>
      <c r="E151" t="s">
        <v>908</v>
      </c>
      <c r="F151" t="s">
        <v>900</v>
      </c>
      <c r="G151" s="2">
        <v>46507</v>
      </c>
      <c r="H151">
        <v>4234942</v>
      </c>
      <c r="I151" t="s">
        <v>891</v>
      </c>
    </row>
    <row r="152" spans="1:9">
      <c r="A152" t="s">
        <v>1052</v>
      </c>
      <c r="B152" t="s">
        <v>910</v>
      </c>
      <c r="C152" t="s">
        <v>893</v>
      </c>
      <c r="D152" s="2">
        <v>46031</v>
      </c>
      <c r="E152" t="s">
        <v>889</v>
      </c>
      <c r="F152" t="s">
        <v>898</v>
      </c>
      <c r="G152" s="2">
        <v>46518</v>
      </c>
      <c r="H152">
        <v>8929241</v>
      </c>
      <c r="I152" t="s">
        <v>891</v>
      </c>
    </row>
    <row r="153" spans="1:9">
      <c r="A153" t="s">
        <v>1053</v>
      </c>
      <c r="B153" t="s">
        <v>910</v>
      </c>
      <c r="C153" t="s">
        <v>924</v>
      </c>
      <c r="D153" s="2">
        <v>46172</v>
      </c>
      <c r="E153" t="s">
        <v>894</v>
      </c>
      <c r="F153" t="s">
        <v>895</v>
      </c>
      <c r="G153" s="2">
        <v>46724</v>
      </c>
      <c r="H153" s="17">
        <v>9940501</v>
      </c>
      <c r="I153" t="s">
        <v>891</v>
      </c>
    </row>
    <row r="154" spans="1:9">
      <c r="A154" t="s">
        <v>1054</v>
      </c>
      <c r="B154" t="s">
        <v>897</v>
      </c>
      <c r="C154" t="s">
        <v>50</v>
      </c>
      <c r="D154" s="2">
        <v>46064</v>
      </c>
      <c r="E154" t="s">
        <v>908</v>
      </c>
      <c r="F154" t="s">
        <v>898</v>
      </c>
      <c r="G154" s="2">
        <v>46583</v>
      </c>
      <c r="H154">
        <v>4350404</v>
      </c>
      <c r="I154" t="s">
        <v>891</v>
      </c>
    </row>
    <row r="155" spans="1:9">
      <c r="A155" t="s">
        <v>1055</v>
      </c>
      <c r="B155" t="s">
        <v>897</v>
      </c>
      <c r="C155" t="s">
        <v>924</v>
      </c>
      <c r="D155" s="2">
        <v>46075</v>
      </c>
      <c r="E155" t="s">
        <v>908</v>
      </c>
      <c r="F155" t="s">
        <v>895</v>
      </c>
      <c r="G155" s="2">
        <v>46405</v>
      </c>
      <c r="H155">
        <v>8292590</v>
      </c>
      <c r="I155" t="s">
        <v>891</v>
      </c>
    </row>
    <row r="156" spans="1:9">
      <c r="A156" t="s">
        <v>1056</v>
      </c>
      <c r="B156" t="s">
        <v>902</v>
      </c>
      <c r="C156" t="s">
        <v>924</v>
      </c>
      <c r="D156" s="2">
        <v>46096</v>
      </c>
      <c r="E156" t="s">
        <v>889</v>
      </c>
      <c r="F156" t="s">
        <v>898</v>
      </c>
      <c r="G156" s="2">
        <v>46516</v>
      </c>
      <c r="H156">
        <v>3321105</v>
      </c>
      <c r="I156" t="s">
        <v>891</v>
      </c>
    </row>
    <row r="157" spans="1:9">
      <c r="A157" t="s">
        <v>1057</v>
      </c>
      <c r="B157" t="s">
        <v>897</v>
      </c>
      <c r="C157" t="s">
        <v>888</v>
      </c>
      <c r="D157" s="2">
        <v>46061</v>
      </c>
      <c r="E157" t="s">
        <v>889</v>
      </c>
      <c r="F157" t="s">
        <v>898</v>
      </c>
      <c r="G157" s="2">
        <v>46398</v>
      </c>
      <c r="H157">
        <v>1426109</v>
      </c>
      <c r="I157" t="s">
        <v>891</v>
      </c>
    </row>
    <row r="158" spans="1:9">
      <c r="A158" t="s">
        <v>1058</v>
      </c>
      <c r="B158" t="s">
        <v>910</v>
      </c>
      <c r="C158" t="s">
        <v>888</v>
      </c>
      <c r="D158" s="2">
        <v>46144</v>
      </c>
      <c r="E158" t="s">
        <v>889</v>
      </c>
      <c r="F158" t="s">
        <v>898</v>
      </c>
      <c r="G158" s="2">
        <v>46467</v>
      </c>
      <c r="H158">
        <v>8159564</v>
      </c>
      <c r="I158" t="s">
        <v>891</v>
      </c>
    </row>
    <row r="159" spans="1:9">
      <c r="A159" t="s">
        <v>1059</v>
      </c>
      <c r="B159" t="s">
        <v>897</v>
      </c>
      <c r="C159" t="s">
        <v>924</v>
      </c>
      <c r="D159" s="2">
        <v>46037</v>
      </c>
      <c r="E159" t="s">
        <v>889</v>
      </c>
      <c r="F159" t="s">
        <v>900</v>
      </c>
      <c r="G159" s="2">
        <v>46716</v>
      </c>
      <c r="H159">
        <v>5955249</v>
      </c>
      <c r="I159" t="s">
        <v>891</v>
      </c>
    </row>
    <row r="160" spans="1:9">
      <c r="A160" t="s">
        <v>1060</v>
      </c>
      <c r="B160" t="s">
        <v>887</v>
      </c>
      <c r="C160" t="s">
        <v>924</v>
      </c>
      <c r="D160" s="2">
        <v>46145</v>
      </c>
      <c r="E160" t="s">
        <v>889</v>
      </c>
      <c r="F160" t="s">
        <v>890</v>
      </c>
      <c r="G160" s="2">
        <v>46740</v>
      </c>
      <c r="H160">
        <v>1208669</v>
      </c>
      <c r="I160" t="s">
        <v>891</v>
      </c>
    </row>
    <row r="161" spans="1:9">
      <c r="A161" t="s">
        <v>1061</v>
      </c>
      <c r="B161" t="s">
        <v>897</v>
      </c>
      <c r="C161" t="s">
        <v>888</v>
      </c>
      <c r="D161" s="2">
        <v>46133</v>
      </c>
      <c r="E161" t="s">
        <v>889</v>
      </c>
      <c r="F161" t="s">
        <v>898</v>
      </c>
      <c r="G161" s="2">
        <v>46648</v>
      </c>
      <c r="H161">
        <v>6818499</v>
      </c>
      <c r="I161" t="s">
        <v>891</v>
      </c>
    </row>
    <row r="162" spans="1:9">
      <c r="A162" t="s">
        <v>1062</v>
      </c>
      <c r="B162" t="s">
        <v>910</v>
      </c>
      <c r="C162" t="s">
        <v>893</v>
      </c>
      <c r="D162" s="2">
        <v>46153</v>
      </c>
      <c r="E162" t="s">
        <v>908</v>
      </c>
      <c r="F162" t="s">
        <v>900</v>
      </c>
      <c r="G162" s="2">
        <v>46511</v>
      </c>
      <c r="H162">
        <v>4727939</v>
      </c>
      <c r="I162" t="s">
        <v>891</v>
      </c>
    </row>
    <row r="163" spans="1:9">
      <c r="A163" t="s">
        <v>1063</v>
      </c>
      <c r="B163" t="s">
        <v>902</v>
      </c>
      <c r="C163" t="s">
        <v>924</v>
      </c>
      <c r="D163" s="2">
        <v>46105</v>
      </c>
      <c r="E163" t="s">
        <v>908</v>
      </c>
      <c r="F163" t="s">
        <v>890</v>
      </c>
      <c r="G163" s="2">
        <v>46693</v>
      </c>
      <c r="H163">
        <v>2807539</v>
      </c>
      <c r="I163" t="s">
        <v>891</v>
      </c>
    </row>
    <row r="164" spans="1:9">
      <c r="A164" t="s">
        <v>1064</v>
      </c>
      <c r="B164" t="s">
        <v>906</v>
      </c>
      <c r="C164" t="s">
        <v>50</v>
      </c>
      <c r="D164" s="2">
        <v>46032</v>
      </c>
      <c r="E164" t="s">
        <v>889</v>
      </c>
      <c r="F164" t="s">
        <v>890</v>
      </c>
      <c r="G164" s="2">
        <v>46653</v>
      </c>
      <c r="H164">
        <v>3096882</v>
      </c>
      <c r="I164" t="s">
        <v>891</v>
      </c>
    </row>
    <row r="165" spans="1:9">
      <c r="A165" t="s">
        <v>1065</v>
      </c>
      <c r="B165" t="s">
        <v>897</v>
      </c>
      <c r="C165" t="s">
        <v>50</v>
      </c>
      <c r="D165" s="2">
        <v>46114</v>
      </c>
      <c r="E165" t="s">
        <v>889</v>
      </c>
      <c r="F165" t="s">
        <v>898</v>
      </c>
      <c r="G165" s="2">
        <v>46526</v>
      </c>
      <c r="H165">
        <v>9895499</v>
      </c>
      <c r="I165" t="s">
        <v>891</v>
      </c>
    </row>
    <row r="166" spans="1:9">
      <c r="A166" t="s">
        <v>1066</v>
      </c>
      <c r="B166" t="s">
        <v>910</v>
      </c>
      <c r="C166" t="s">
        <v>50</v>
      </c>
      <c r="D166" s="2">
        <v>46051</v>
      </c>
      <c r="E166" t="s">
        <v>889</v>
      </c>
      <c r="F166" t="s">
        <v>895</v>
      </c>
      <c r="G166" s="2">
        <v>46715</v>
      </c>
      <c r="H166">
        <v>4447526</v>
      </c>
      <c r="I166" t="s">
        <v>891</v>
      </c>
    </row>
    <row r="167" spans="1:9">
      <c r="A167" t="s">
        <v>1067</v>
      </c>
      <c r="B167" t="s">
        <v>906</v>
      </c>
      <c r="C167" t="s">
        <v>924</v>
      </c>
      <c r="D167" s="2">
        <v>46057</v>
      </c>
      <c r="E167" t="s">
        <v>908</v>
      </c>
      <c r="F167" t="s">
        <v>895</v>
      </c>
      <c r="G167" s="2">
        <v>46388</v>
      </c>
      <c r="H167">
        <v>7933976</v>
      </c>
      <c r="I167" t="s">
        <v>891</v>
      </c>
    </row>
    <row r="168" spans="1:9">
      <c r="A168" t="s">
        <v>1068</v>
      </c>
      <c r="B168" t="s">
        <v>906</v>
      </c>
      <c r="C168" t="s">
        <v>893</v>
      </c>
      <c r="D168" s="2">
        <v>46028</v>
      </c>
      <c r="E168" t="s">
        <v>889</v>
      </c>
      <c r="F168" t="s">
        <v>895</v>
      </c>
      <c r="G168" s="2">
        <v>46394</v>
      </c>
      <c r="H168">
        <v>9616075</v>
      </c>
      <c r="I168" t="s">
        <v>891</v>
      </c>
    </row>
    <row r="169" spans="1:9">
      <c r="A169" t="s">
        <v>1069</v>
      </c>
      <c r="B169" t="s">
        <v>887</v>
      </c>
      <c r="C169" t="s">
        <v>893</v>
      </c>
      <c r="D169" s="2">
        <v>46162</v>
      </c>
      <c r="E169" t="s">
        <v>889</v>
      </c>
      <c r="F169" t="s">
        <v>898</v>
      </c>
      <c r="G169" s="2">
        <v>46636</v>
      </c>
      <c r="H169">
        <v>5150100</v>
      </c>
      <c r="I169" t="s">
        <v>891</v>
      </c>
    </row>
    <row r="170" spans="1:9">
      <c r="A170" t="s">
        <v>1070</v>
      </c>
      <c r="B170" t="s">
        <v>906</v>
      </c>
      <c r="C170" t="s">
        <v>888</v>
      </c>
      <c r="D170" s="2">
        <v>46133</v>
      </c>
      <c r="E170" t="s">
        <v>889</v>
      </c>
      <c r="F170" t="s">
        <v>895</v>
      </c>
      <c r="G170" s="2">
        <v>46525</v>
      </c>
      <c r="H170">
        <v>3498851</v>
      </c>
      <c r="I170" t="s">
        <v>891</v>
      </c>
    </row>
    <row r="171" spans="1:9">
      <c r="A171" t="s">
        <v>1071</v>
      </c>
      <c r="B171" t="s">
        <v>910</v>
      </c>
      <c r="C171" t="s">
        <v>924</v>
      </c>
      <c r="D171" s="2">
        <v>46060</v>
      </c>
      <c r="E171" t="s">
        <v>889</v>
      </c>
      <c r="F171" t="s">
        <v>900</v>
      </c>
      <c r="G171" s="2">
        <v>46510</v>
      </c>
      <c r="H171">
        <v>4161306</v>
      </c>
      <c r="I171" t="s">
        <v>891</v>
      </c>
    </row>
    <row r="172" spans="1:9">
      <c r="A172" t="s">
        <v>1072</v>
      </c>
      <c r="B172" t="s">
        <v>910</v>
      </c>
      <c r="C172" t="s">
        <v>893</v>
      </c>
      <c r="D172" s="2">
        <v>46099</v>
      </c>
      <c r="E172" t="s">
        <v>889</v>
      </c>
      <c r="F172" t="s">
        <v>900</v>
      </c>
      <c r="G172" s="2">
        <v>46695</v>
      </c>
      <c r="H172">
        <v>1497057</v>
      </c>
      <c r="I172" t="s">
        <v>891</v>
      </c>
    </row>
    <row r="173" spans="1:9">
      <c r="A173" t="s">
        <v>1073</v>
      </c>
      <c r="B173" t="s">
        <v>897</v>
      </c>
      <c r="C173" t="s">
        <v>924</v>
      </c>
      <c r="D173" s="2">
        <v>46115</v>
      </c>
      <c r="E173" t="s">
        <v>889</v>
      </c>
      <c r="F173" t="s">
        <v>900</v>
      </c>
      <c r="G173" s="2">
        <v>46614</v>
      </c>
      <c r="H173">
        <v>4174153</v>
      </c>
      <c r="I173" t="s">
        <v>891</v>
      </c>
    </row>
    <row r="174" spans="1:9">
      <c r="A174" t="s">
        <v>1074</v>
      </c>
      <c r="B174" t="s">
        <v>897</v>
      </c>
      <c r="C174" t="s">
        <v>888</v>
      </c>
      <c r="D174" s="2">
        <v>46169</v>
      </c>
      <c r="E174" t="s">
        <v>894</v>
      </c>
      <c r="F174" t="s">
        <v>900</v>
      </c>
      <c r="G174" s="2">
        <v>46396</v>
      </c>
      <c r="H174" s="17">
        <v>5248584</v>
      </c>
      <c r="I174" t="s">
        <v>891</v>
      </c>
    </row>
    <row r="175" spans="1:9">
      <c r="A175" t="s">
        <v>1075</v>
      </c>
      <c r="B175" t="s">
        <v>897</v>
      </c>
      <c r="C175" t="s">
        <v>888</v>
      </c>
      <c r="D175" s="2">
        <v>46089</v>
      </c>
      <c r="E175" t="s">
        <v>908</v>
      </c>
      <c r="F175" t="s">
        <v>890</v>
      </c>
      <c r="G175" s="2">
        <v>46598</v>
      </c>
      <c r="H175">
        <v>7803398</v>
      </c>
      <c r="I175" t="s">
        <v>891</v>
      </c>
    </row>
    <row r="176" spans="1:9">
      <c r="A176" t="s">
        <v>1076</v>
      </c>
      <c r="B176" t="s">
        <v>906</v>
      </c>
      <c r="C176" t="s">
        <v>888</v>
      </c>
      <c r="D176" s="2">
        <v>46158</v>
      </c>
      <c r="E176" t="s">
        <v>908</v>
      </c>
      <c r="F176" t="s">
        <v>900</v>
      </c>
      <c r="G176" s="2">
        <v>46498</v>
      </c>
      <c r="H176">
        <v>2712292</v>
      </c>
      <c r="I176" t="s">
        <v>891</v>
      </c>
    </row>
    <row r="177" spans="1:9">
      <c r="A177" t="s">
        <v>1077</v>
      </c>
      <c r="B177" t="s">
        <v>906</v>
      </c>
      <c r="C177" t="s">
        <v>50</v>
      </c>
      <c r="D177" s="2">
        <v>46030</v>
      </c>
      <c r="E177" t="s">
        <v>908</v>
      </c>
      <c r="F177" t="s">
        <v>895</v>
      </c>
      <c r="G177" s="2">
        <v>46394</v>
      </c>
      <c r="H177">
        <v>4870297</v>
      </c>
      <c r="I177" t="s">
        <v>891</v>
      </c>
    </row>
    <row r="178" spans="1:9">
      <c r="A178" t="s">
        <v>1078</v>
      </c>
      <c r="B178" t="s">
        <v>887</v>
      </c>
      <c r="C178" t="s">
        <v>924</v>
      </c>
      <c r="D178" s="2">
        <v>46144</v>
      </c>
      <c r="E178" t="s">
        <v>889</v>
      </c>
      <c r="F178" t="s">
        <v>898</v>
      </c>
      <c r="G178" s="2">
        <v>46678</v>
      </c>
      <c r="H178">
        <v>4118313</v>
      </c>
      <c r="I178" t="s">
        <v>891</v>
      </c>
    </row>
    <row r="179" spans="1:9">
      <c r="A179" t="s">
        <v>1079</v>
      </c>
      <c r="B179" t="s">
        <v>897</v>
      </c>
      <c r="C179" t="s">
        <v>888</v>
      </c>
      <c r="D179" s="2">
        <v>46106</v>
      </c>
      <c r="E179" t="s">
        <v>889</v>
      </c>
      <c r="F179" t="s">
        <v>895</v>
      </c>
      <c r="G179" s="2">
        <v>46748</v>
      </c>
      <c r="H179">
        <v>1884410</v>
      </c>
      <c r="I179" t="s">
        <v>891</v>
      </c>
    </row>
    <row r="180" spans="1:9">
      <c r="A180" t="s">
        <v>1080</v>
      </c>
      <c r="B180" t="s">
        <v>902</v>
      </c>
      <c r="C180" t="s">
        <v>924</v>
      </c>
      <c r="D180" s="2">
        <v>46154</v>
      </c>
      <c r="E180" t="s">
        <v>894</v>
      </c>
      <c r="F180" t="s">
        <v>900</v>
      </c>
      <c r="G180" s="2">
        <v>46639</v>
      </c>
      <c r="H180" s="17">
        <v>9174708</v>
      </c>
      <c r="I180" t="s">
        <v>891</v>
      </c>
    </row>
    <row r="181" spans="1:9">
      <c r="A181" t="s">
        <v>1081</v>
      </c>
      <c r="B181" t="s">
        <v>887</v>
      </c>
      <c r="C181" t="s">
        <v>50</v>
      </c>
      <c r="D181" s="2">
        <v>46107</v>
      </c>
      <c r="E181" t="s">
        <v>908</v>
      </c>
      <c r="F181" t="s">
        <v>890</v>
      </c>
      <c r="G181" s="2">
        <v>46400</v>
      </c>
      <c r="H181">
        <v>7830395</v>
      </c>
      <c r="I181" t="s">
        <v>891</v>
      </c>
    </row>
    <row r="182" spans="1:9">
      <c r="A182" t="s">
        <v>1082</v>
      </c>
      <c r="B182" t="s">
        <v>902</v>
      </c>
      <c r="C182" t="s">
        <v>50</v>
      </c>
      <c r="D182" s="2">
        <v>46067</v>
      </c>
      <c r="E182" t="s">
        <v>889</v>
      </c>
      <c r="F182" t="s">
        <v>900</v>
      </c>
      <c r="G182" s="2">
        <v>46626</v>
      </c>
      <c r="H182">
        <v>2548880</v>
      </c>
      <c r="I182" t="s">
        <v>891</v>
      </c>
    </row>
    <row r="183" spans="1:9">
      <c r="A183" t="s">
        <v>1083</v>
      </c>
      <c r="B183" t="s">
        <v>906</v>
      </c>
      <c r="C183" t="s">
        <v>888</v>
      </c>
      <c r="D183" s="2">
        <v>46158</v>
      </c>
      <c r="E183" t="s">
        <v>889</v>
      </c>
      <c r="F183" t="s">
        <v>898</v>
      </c>
      <c r="G183" s="2">
        <v>46628</v>
      </c>
      <c r="H183">
        <v>2969606</v>
      </c>
      <c r="I183" t="s">
        <v>891</v>
      </c>
    </row>
    <row r="184" spans="1:9">
      <c r="A184" t="s">
        <v>1084</v>
      </c>
      <c r="B184" t="s">
        <v>887</v>
      </c>
      <c r="C184" t="s">
        <v>888</v>
      </c>
      <c r="D184" s="2">
        <v>46109</v>
      </c>
      <c r="E184" t="s">
        <v>889</v>
      </c>
      <c r="F184" t="s">
        <v>895</v>
      </c>
      <c r="G184" s="2">
        <v>46728</v>
      </c>
      <c r="H184">
        <v>3539316</v>
      </c>
      <c r="I184" t="s">
        <v>891</v>
      </c>
    </row>
    <row r="185" spans="1:9">
      <c r="A185" t="s">
        <v>1085</v>
      </c>
      <c r="B185" t="s">
        <v>887</v>
      </c>
      <c r="C185" t="s">
        <v>893</v>
      </c>
      <c r="D185" s="2">
        <v>46038</v>
      </c>
      <c r="E185" t="s">
        <v>889</v>
      </c>
      <c r="F185" t="s">
        <v>898</v>
      </c>
      <c r="G185" s="2">
        <v>46535</v>
      </c>
      <c r="H185">
        <v>1545533</v>
      </c>
      <c r="I185" t="s">
        <v>891</v>
      </c>
    </row>
    <row r="186" spans="1:9">
      <c r="A186" t="s">
        <v>1086</v>
      </c>
      <c r="B186" t="s">
        <v>910</v>
      </c>
      <c r="C186" t="s">
        <v>924</v>
      </c>
      <c r="D186" s="2">
        <v>46099</v>
      </c>
      <c r="E186" t="s">
        <v>889</v>
      </c>
      <c r="F186" t="s">
        <v>898</v>
      </c>
      <c r="G186" s="2">
        <v>46622</v>
      </c>
      <c r="H186">
        <v>1785844</v>
      </c>
      <c r="I186" t="s">
        <v>891</v>
      </c>
    </row>
    <row r="187" spans="1:9">
      <c r="A187" t="s">
        <v>1087</v>
      </c>
      <c r="B187" t="s">
        <v>906</v>
      </c>
      <c r="C187" t="s">
        <v>888</v>
      </c>
      <c r="D187" s="2">
        <v>46031</v>
      </c>
      <c r="E187" t="s">
        <v>889</v>
      </c>
      <c r="F187" t="s">
        <v>898</v>
      </c>
      <c r="G187" s="2">
        <v>46692</v>
      </c>
      <c r="H187">
        <v>5173584</v>
      </c>
      <c r="I187" t="s">
        <v>891</v>
      </c>
    </row>
    <row r="188" spans="1:9">
      <c r="A188" t="s">
        <v>1088</v>
      </c>
      <c r="B188" t="s">
        <v>906</v>
      </c>
      <c r="C188" t="s">
        <v>893</v>
      </c>
      <c r="D188" s="2">
        <v>46082</v>
      </c>
      <c r="E188" t="s">
        <v>889</v>
      </c>
      <c r="F188" t="s">
        <v>895</v>
      </c>
      <c r="G188" s="2">
        <v>46553</v>
      </c>
      <c r="H188">
        <v>1287600</v>
      </c>
      <c r="I188" t="s">
        <v>891</v>
      </c>
    </row>
    <row r="189" spans="1:9">
      <c r="A189" t="s">
        <v>1089</v>
      </c>
      <c r="B189" t="s">
        <v>887</v>
      </c>
      <c r="C189" t="s">
        <v>924</v>
      </c>
      <c r="D189" s="2">
        <v>46100</v>
      </c>
      <c r="E189" t="s">
        <v>889</v>
      </c>
      <c r="F189" t="s">
        <v>900</v>
      </c>
      <c r="G189" s="2">
        <v>46406</v>
      </c>
      <c r="H189">
        <v>5001572</v>
      </c>
      <c r="I189" t="s">
        <v>891</v>
      </c>
    </row>
    <row r="190" spans="1:9">
      <c r="A190" t="s">
        <v>1090</v>
      </c>
      <c r="B190" t="s">
        <v>906</v>
      </c>
      <c r="C190" t="s">
        <v>888</v>
      </c>
      <c r="D190" s="2">
        <v>46099</v>
      </c>
      <c r="E190" t="s">
        <v>908</v>
      </c>
      <c r="F190" t="s">
        <v>898</v>
      </c>
      <c r="G190" s="2">
        <v>46602</v>
      </c>
      <c r="H190">
        <v>7461848</v>
      </c>
      <c r="I190" t="s">
        <v>891</v>
      </c>
    </row>
    <row r="191" spans="1:9">
      <c r="A191" t="s">
        <v>1091</v>
      </c>
      <c r="B191" t="s">
        <v>887</v>
      </c>
      <c r="C191" t="s">
        <v>893</v>
      </c>
      <c r="D191" s="2">
        <v>46093</v>
      </c>
      <c r="E191" t="s">
        <v>889</v>
      </c>
      <c r="F191" t="s">
        <v>895</v>
      </c>
      <c r="G191" s="2">
        <v>46729</v>
      </c>
      <c r="H191">
        <v>6057821</v>
      </c>
      <c r="I191" t="s">
        <v>891</v>
      </c>
    </row>
    <row r="192" spans="1:9">
      <c r="A192" t="s">
        <v>1092</v>
      </c>
      <c r="B192" t="s">
        <v>910</v>
      </c>
      <c r="C192" t="s">
        <v>893</v>
      </c>
      <c r="D192" s="2">
        <v>46037</v>
      </c>
      <c r="E192" t="s">
        <v>889</v>
      </c>
      <c r="F192" t="s">
        <v>890</v>
      </c>
      <c r="G192" s="2">
        <v>46521</v>
      </c>
      <c r="H192">
        <v>1985619</v>
      </c>
      <c r="I192" t="s">
        <v>891</v>
      </c>
    </row>
    <row r="193" spans="1:9">
      <c r="A193" t="s">
        <v>1093</v>
      </c>
      <c r="B193" t="s">
        <v>887</v>
      </c>
      <c r="C193" t="s">
        <v>924</v>
      </c>
      <c r="D193" s="2">
        <v>46093</v>
      </c>
      <c r="E193" t="s">
        <v>889</v>
      </c>
      <c r="F193" t="s">
        <v>895</v>
      </c>
      <c r="G193" s="2">
        <v>46515</v>
      </c>
      <c r="H193">
        <v>2338524</v>
      </c>
      <c r="I193" t="s">
        <v>891</v>
      </c>
    </row>
    <row r="194" spans="1:9">
      <c r="A194" t="s">
        <v>1094</v>
      </c>
      <c r="B194" t="s">
        <v>906</v>
      </c>
      <c r="C194" t="s">
        <v>893</v>
      </c>
      <c r="D194" s="2">
        <v>46124</v>
      </c>
      <c r="E194" t="s">
        <v>908</v>
      </c>
      <c r="F194" t="s">
        <v>890</v>
      </c>
      <c r="G194" s="2">
        <v>46680</v>
      </c>
      <c r="H194">
        <v>622026</v>
      </c>
      <c r="I194" t="s">
        <v>891</v>
      </c>
    </row>
    <row r="195" spans="1:9">
      <c r="A195" t="s">
        <v>1095</v>
      </c>
      <c r="B195" t="s">
        <v>906</v>
      </c>
      <c r="C195" t="s">
        <v>924</v>
      </c>
      <c r="D195" s="2">
        <v>46044</v>
      </c>
      <c r="E195" t="s">
        <v>889</v>
      </c>
      <c r="F195" t="s">
        <v>895</v>
      </c>
      <c r="G195" s="2">
        <v>46632</v>
      </c>
      <c r="H195">
        <v>5622194</v>
      </c>
      <c r="I195" t="s">
        <v>891</v>
      </c>
    </row>
    <row r="196" spans="1:9">
      <c r="A196" t="s">
        <v>1096</v>
      </c>
      <c r="B196" t="s">
        <v>887</v>
      </c>
      <c r="C196" t="s">
        <v>924</v>
      </c>
      <c r="D196" s="2">
        <v>46135</v>
      </c>
      <c r="E196" t="s">
        <v>908</v>
      </c>
      <c r="F196" t="s">
        <v>900</v>
      </c>
      <c r="G196" s="2">
        <v>46575</v>
      </c>
      <c r="H196">
        <v>1235053</v>
      </c>
      <c r="I196" t="s">
        <v>891</v>
      </c>
    </row>
    <row r="197" spans="1:9">
      <c r="A197" t="s">
        <v>1097</v>
      </c>
      <c r="B197" t="s">
        <v>887</v>
      </c>
      <c r="C197" t="s">
        <v>924</v>
      </c>
      <c r="D197" s="2">
        <v>46023</v>
      </c>
      <c r="E197" t="s">
        <v>889</v>
      </c>
      <c r="F197" t="s">
        <v>898</v>
      </c>
      <c r="G197" s="2">
        <v>46430</v>
      </c>
      <c r="H197">
        <v>1062167</v>
      </c>
      <c r="I197" t="s">
        <v>891</v>
      </c>
    </row>
    <row r="198" spans="1:9">
      <c r="A198" t="s">
        <v>1098</v>
      </c>
      <c r="B198" t="s">
        <v>887</v>
      </c>
      <c r="C198" t="s">
        <v>50</v>
      </c>
      <c r="D198" s="2">
        <v>46032</v>
      </c>
      <c r="E198" t="s">
        <v>908</v>
      </c>
      <c r="F198" t="s">
        <v>900</v>
      </c>
      <c r="G198" s="2">
        <v>46472</v>
      </c>
      <c r="H198">
        <v>9200349</v>
      </c>
      <c r="I198" t="s">
        <v>891</v>
      </c>
    </row>
    <row r="199" spans="1:9">
      <c r="A199" t="s">
        <v>1099</v>
      </c>
      <c r="B199" t="s">
        <v>897</v>
      </c>
      <c r="C199" t="s">
        <v>893</v>
      </c>
      <c r="D199" s="2">
        <v>46132</v>
      </c>
      <c r="E199" t="s">
        <v>908</v>
      </c>
      <c r="F199" t="s">
        <v>895</v>
      </c>
      <c r="G199" s="2">
        <v>46430</v>
      </c>
      <c r="H199">
        <v>2158800</v>
      </c>
      <c r="I199" t="s">
        <v>891</v>
      </c>
    </row>
    <row r="200" spans="1:9">
      <c r="A200" t="s">
        <v>1100</v>
      </c>
      <c r="B200" t="s">
        <v>906</v>
      </c>
      <c r="C200" t="s">
        <v>924</v>
      </c>
      <c r="D200" s="2">
        <v>46135</v>
      </c>
      <c r="E200" t="s">
        <v>889</v>
      </c>
      <c r="F200" t="s">
        <v>898</v>
      </c>
      <c r="G200" s="2">
        <v>46716</v>
      </c>
      <c r="H200">
        <v>2307737</v>
      </c>
      <c r="I200" t="s">
        <v>891</v>
      </c>
    </row>
    <row r="201" spans="1:9">
      <c r="A201" t="s">
        <v>1101</v>
      </c>
      <c r="B201" t="s">
        <v>906</v>
      </c>
      <c r="C201" t="s">
        <v>888</v>
      </c>
      <c r="D201" s="2">
        <v>46072</v>
      </c>
      <c r="E201" t="s">
        <v>889</v>
      </c>
      <c r="F201" t="s">
        <v>890</v>
      </c>
      <c r="G201" s="2">
        <v>46531</v>
      </c>
      <c r="H201">
        <v>4251531</v>
      </c>
      <c r="I201" t="s">
        <v>891</v>
      </c>
    </row>
    <row r="202" spans="1:9">
      <c r="A202" t="s">
        <v>1102</v>
      </c>
      <c r="B202" t="s">
        <v>897</v>
      </c>
      <c r="C202" t="s">
        <v>50</v>
      </c>
      <c r="D202" s="2">
        <v>46034</v>
      </c>
      <c r="E202" t="s">
        <v>889</v>
      </c>
      <c r="F202" t="s">
        <v>895</v>
      </c>
      <c r="G202" s="2">
        <v>46437</v>
      </c>
      <c r="H202">
        <v>8419710</v>
      </c>
      <c r="I202" t="s">
        <v>891</v>
      </c>
    </row>
    <row r="203" spans="1:9">
      <c r="A203" t="s">
        <v>1103</v>
      </c>
      <c r="B203" t="s">
        <v>887</v>
      </c>
      <c r="C203" t="s">
        <v>50</v>
      </c>
      <c r="D203" s="2">
        <v>46111</v>
      </c>
      <c r="E203" t="s">
        <v>889</v>
      </c>
      <c r="F203" t="s">
        <v>898</v>
      </c>
      <c r="G203" s="2">
        <v>46628</v>
      </c>
      <c r="H203">
        <v>3531301</v>
      </c>
      <c r="I203" t="s">
        <v>891</v>
      </c>
    </row>
    <row r="204" spans="1:9">
      <c r="A204" t="s">
        <v>1104</v>
      </c>
      <c r="B204" t="s">
        <v>910</v>
      </c>
      <c r="C204" t="s">
        <v>893</v>
      </c>
      <c r="D204" s="2">
        <v>46134</v>
      </c>
      <c r="E204" t="s">
        <v>889</v>
      </c>
      <c r="F204" t="s">
        <v>890</v>
      </c>
      <c r="G204" s="2">
        <v>46680</v>
      </c>
      <c r="H204">
        <v>644454</v>
      </c>
      <c r="I204" t="s">
        <v>891</v>
      </c>
    </row>
    <row r="205" spans="1:9">
      <c r="A205" t="s">
        <v>1105</v>
      </c>
      <c r="B205" t="s">
        <v>887</v>
      </c>
      <c r="C205" t="s">
        <v>924</v>
      </c>
      <c r="D205" s="2">
        <v>46100</v>
      </c>
      <c r="E205" t="s">
        <v>889</v>
      </c>
      <c r="F205" t="s">
        <v>890</v>
      </c>
      <c r="G205" s="2">
        <v>46437</v>
      </c>
      <c r="H205">
        <v>8181556</v>
      </c>
      <c r="I205" t="s">
        <v>891</v>
      </c>
    </row>
    <row r="206" spans="1:9">
      <c r="A206" t="s">
        <v>1106</v>
      </c>
      <c r="B206" t="s">
        <v>887</v>
      </c>
      <c r="C206" t="s">
        <v>893</v>
      </c>
      <c r="D206" s="2">
        <v>46143</v>
      </c>
      <c r="E206" t="s">
        <v>889</v>
      </c>
      <c r="F206" t="s">
        <v>900</v>
      </c>
      <c r="G206" s="2">
        <v>46652</v>
      </c>
      <c r="H206">
        <v>754043</v>
      </c>
      <c r="I206" t="s">
        <v>891</v>
      </c>
    </row>
    <row r="207" spans="1:9">
      <c r="A207" t="s">
        <v>1107</v>
      </c>
      <c r="B207" t="s">
        <v>897</v>
      </c>
      <c r="C207" t="s">
        <v>50</v>
      </c>
      <c r="D207" s="2">
        <v>46045</v>
      </c>
      <c r="E207" t="s">
        <v>889</v>
      </c>
      <c r="F207" t="s">
        <v>895</v>
      </c>
      <c r="G207" s="2">
        <v>46506</v>
      </c>
      <c r="H207">
        <v>5337502</v>
      </c>
      <c r="I207" t="s">
        <v>891</v>
      </c>
    </row>
    <row r="208" spans="1:9">
      <c r="A208" t="s">
        <v>1108</v>
      </c>
      <c r="B208" t="s">
        <v>906</v>
      </c>
      <c r="C208" t="s">
        <v>924</v>
      </c>
      <c r="D208" s="2">
        <v>46156</v>
      </c>
      <c r="E208" t="s">
        <v>889</v>
      </c>
      <c r="F208" t="s">
        <v>890</v>
      </c>
      <c r="G208" s="2">
        <v>46586</v>
      </c>
      <c r="H208">
        <v>5314647</v>
      </c>
      <c r="I208" t="s">
        <v>891</v>
      </c>
    </row>
    <row r="209" spans="1:9">
      <c r="A209" t="s">
        <v>1109</v>
      </c>
      <c r="B209" t="s">
        <v>887</v>
      </c>
      <c r="C209" t="s">
        <v>888</v>
      </c>
      <c r="D209" s="2">
        <v>46047</v>
      </c>
      <c r="E209" t="s">
        <v>889</v>
      </c>
      <c r="F209" t="s">
        <v>898</v>
      </c>
      <c r="G209" s="2">
        <v>46634</v>
      </c>
      <c r="H209">
        <v>6131213</v>
      </c>
      <c r="I209" t="s">
        <v>891</v>
      </c>
    </row>
    <row r="210" spans="1:9">
      <c r="A210" t="s">
        <v>1110</v>
      </c>
      <c r="B210" t="s">
        <v>906</v>
      </c>
      <c r="C210" t="s">
        <v>924</v>
      </c>
      <c r="D210" s="2">
        <v>46040</v>
      </c>
      <c r="E210" t="s">
        <v>889</v>
      </c>
      <c r="F210" t="s">
        <v>890</v>
      </c>
      <c r="G210" s="2">
        <v>46456</v>
      </c>
      <c r="H210">
        <v>5424374</v>
      </c>
      <c r="I210" t="s">
        <v>891</v>
      </c>
    </row>
    <row r="211" spans="1:9">
      <c r="A211" t="s">
        <v>1111</v>
      </c>
      <c r="B211" t="s">
        <v>902</v>
      </c>
      <c r="C211" t="s">
        <v>50</v>
      </c>
      <c r="D211" s="2">
        <v>46163</v>
      </c>
      <c r="E211" t="s">
        <v>889</v>
      </c>
      <c r="F211" t="s">
        <v>890</v>
      </c>
      <c r="G211" s="2">
        <v>46727</v>
      </c>
      <c r="H211">
        <v>2345733</v>
      </c>
      <c r="I211" t="s">
        <v>891</v>
      </c>
    </row>
    <row r="212" spans="1:9">
      <c r="A212" t="s">
        <v>1112</v>
      </c>
      <c r="B212" t="s">
        <v>906</v>
      </c>
      <c r="C212" t="s">
        <v>888</v>
      </c>
      <c r="D212" s="2">
        <v>46065</v>
      </c>
      <c r="E212" t="s">
        <v>889</v>
      </c>
      <c r="F212" t="s">
        <v>900</v>
      </c>
      <c r="G212" s="2">
        <v>46443</v>
      </c>
      <c r="H212">
        <v>6300629</v>
      </c>
      <c r="I212" t="s">
        <v>891</v>
      </c>
    </row>
    <row r="213" spans="1:9">
      <c r="A213" t="s">
        <v>1113</v>
      </c>
      <c r="B213" t="s">
        <v>910</v>
      </c>
      <c r="C213" t="s">
        <v>924</v>
      </c>
      <c r="D213" s="2">
        <v>46100</v>
      </c>
      <c r="E213" t="s">
        <v>889</v>
      </c>
      <c r="F213" t="s">
        <v>900</v>
      </c>
      <c r="G213" s="2">
        <v>46425</v>
      </c>
      <c r="H213">
        <v>8405435</v>
      </c>
      <c r="I213" t="s">
        <v>891</v>
      </c>
    </row>
    <row r="214" spans="1:9">
      <c r="A214" t="s">
        <v>1114</v>
      </c>
      <c r="B214" t="s">
        <v>910</v>
      </c>
      <c r="C214" t="s">
        <v>888</v>
      </c>
      <c r="D214" s="2">
        <v>46050</v>
      </c>
      <c r="E214" t="s">
        <v>908</v>
      </c>
      <c r="F214" t="s">
        <v>898</v>
      </c>
      <c r="G214" s="2">
        <v>46675</v>
      </c>
      <c r="H214">
        <v>4804388</v>
      </c>
      <c r="I214" t="s">
        <v>891</v>
      </c>
    </row>
    <row r="215" spans="1:9">
      <c r="A215" t="s">
        <v>1115</v>
      </c>
      <c r="B215" t="s">
        <v>887</v>
      </c>
      <c r="C215" t="s">
        <v>888</v>
      </c>
      <c r="D215" s="2">
        <v>46168</v>
      </c>
      <c r="E215" t="s">
        <v>889</v>
      </c>
      <c r="F215" t="s">
        <v>900</v>
      </c>
      <c r="G215" s="2">
        <v>46404</v>
      </c>
      <c r="H215">
        <v>9902999</v>
      </c>
      <c r="I215" t="s">
        <v>891</v>
      </c>
    </row>
    <row r="216" spans="1:9">
      <c r="A216" t="s">
        <v>1116</v>
      </c>
      <c r="B216" t="s">
        <v>906</v>
      </c>
      <c r="C216" t="s">
        <v>50</v>
      </c>
      <c r="D216" s="2">
        <v>46081</v>
      </c>
      <c r="E216" t="s">
        <v>889</v>
      </c>
      <c r="F216" t="s">
        <v>890</v>
      </c>
      <c r="G216" s="2">
        <v>46606</v>
      </c>
      <c r="H216">
        <v>7821105</v>
      </c>
      <c r="I216" t="s">
        <v>891</v>
      </c>
    </row>
    <row r="217" spans="1:9">
      <c r="A217" t="s">
        <v>1117</v>
      </c>
      <c r="B217" t="s">
        <v>887</v>
      </c>
      <c r="C217" t="s">
        <v>888</v>
      </c>
      <c r="D217" s="2">
        <v>46085</v>
      </c>
      <c r="E217" t="s">
        <v>889</v>
      </c>
      <c r="F217" t="s">
        <v>890</v>
      </c>
      <c r="G217" s="2">
        <v>46699</v>
      </c>
      <c r="H217">
        <v>973006</v>
      </c>
      <c r="I217" t="s">
        <v>891</v>
      </c>
    </row>
    <row r="218" spans="1:9">
      <c r="A218" t="s">
        <v>1118</v>
      </c>
      <c r="B218" t="s">
        <v>897</v>
      </c>
      <c r="C218" t="s">
        <v>893</v>
      </c>
      <c r="D218" s="2">
        <v>46114</v>
      </c>
      <c r="E218" t="s">
        <v>908</v>
      </c>
      <c r="F218" t="s">
        <v>900</v>
      </c>
      <c r="G218" s="2">
        <v>46630</v>
      </c>
      <c r="H218">
        <v>6084581</v>
      </c>
      <c r="I218" t="s">
        <v>891</v>
      </c>
    </row>
    <row r="219" spans="1:9">
      <c r="A219" t="s">
        <v>1119</v>
      </c>
      <c r="B219" t="s">
        <v>910</v>
      </c>
      <c r="C219" t="s">
        <v>50</v>
      </c>
      <c r="D219" s="2">
        <v>46078</v>
      </c>
      <c r="E219" t="s">
        <v>908</v>
      </c>
      <c r="F219" t="s">
        <v>890</v>
      </c>
      <c r="G219" s="2">
        <v>46738</v>
      </c>
      <c r="H219">
        <v>7649148</v>
      </c>
      <c r="I219" t="s">
        <v>891</v>
      </c>
    </row>
    <row r="220" spans="1:9">
      <c r="A220" t="s">
        <v>1120</v>
      </c>
      <c r="B220" t="s">
        <v>887</v>
      </c>
      <c r="C220" t="s">
        <v>893</v>
      </c>
      <c r="D220" s="2">
        <v>46133</v>
      </c>
      <c r="E220" t="s">
        <v>908</v>
      </c>
      <c r="F220" t="s">
        <v>890</v>
      </c>
      <c r="G220" s="2">
        <v>46690</v>
      </c>
      <c r="H220">
        <v>8962176</v>
      </c>
      <c r="I220" t="s">
        <v>891</v>
      </c>
    </row>
    <row r="221" spans="1:9">
      <c r="A221" t="s">
        <v>1121</v>
      </c>
      <c r="B221" t="s">
        <v>897</v>
      </c>
      <c r="C221" t="s">
        <v>888</v>
      </c>
      <c r="D221" s="2">
        <v>46159</v>
      </c>
      <c r="E221" t="s">
        <v>889</v>
      </c>
      <c r="F221" t="s">
        <v>898</v>
      </c>
      <c r="G221" s="2">
        <v>46684</v>
      </c>
      <c r="H221">
        <v>7756300</v>
      </c>
      <c r="I221" t="s">
        <v>891</v>
      </c>
    </row>
    <row r="222" spans="1:9">
      <c r="A222" t="s">
        <v>1122</v>
      </c>
      <c r="B222" t="s">
        <v>887</v>
      </c>
      <c r="C222" t="s">
        <v>893</v>
      </c>
      <c r="D222" s="2">
        <v>46090</v>
      </c>
      <c r="E222" t="s">
        <v>889</v>
      </c>
      <c r="F222" t="s">
        <v>900</v>
      </c>
      <c r="G222" s="2">
        <v>46669</v>
      </c>
      <c r="H222">
        <v>1697442</v>
      </c>
      <c r="I222" t="s">
        <v>891</v>
      </c>
    </row>
    <row r="223" spans="1:9">
      <c r="A223" t="s">
        <v>1123</v>
      </c>
      <c r="B223" t="s">
        <v>906</v>
      </c>
      <c r="C223" t="s">
        <v>924</v>
      </c>
      <c r="D223" s="2">
        <v>46068</v>
      </c>
      <c r="E223" t="s">
        <v>889</v>
      </c>
      <c r="F223" t="s">
        <v>890</v>
      </c>
      <c r="G223" s="2">
        <v>46460</v>
      </c>
      <c r="H223">
        <v>1699529</v>
      </c>
      <c r="I223" t="s">
        <v>891</v>
      </c>
    </row>
    <row r="224" spans="1:9">
      <c r="A224" t="s">
        <v>1124</v>
      </c>
      <c r="B224" t="s">
        <v>906</v>
      </c>
      <c r="C224" t="s">
        <v>888</v>
      </c>
      <c r="D224" s="2">
        <v>46089</v>
      </c>
      <c r="E224" t="s">
        <v>889</v>
      </c>
      <c r="F224" t="s">
        <v>900</v>
      </c>
      <c r="G224" s="2">
        <v>46496</v>
      </c>
      <c r="H224">
        <v>2290228</v>
      </c>
      <c r="I224" t="s">
        <v>891</v>
      </c>
    </row>
    <row r="225" spans="1:9">
      <c r="A225" t="s">
        <v>1125</v>
      </c>
      <c r="B225" t="s">
        <v>906</v>
      </c>
      <c r="C225" t="s">
        <v>924</v>
      </c>
      <c r="D225" s="2">
        <v>46158</v>
      </c>
      <c r="E225" t="s">
        <v>908</v>
      </c>
      <c r="F225" t="s">
        <v>898</v>
      </c>
      <c r="G225" s="2">
        <v>46566</v>
      </c>
      <c r="H225">
        <v>7552514</v>
      </c>
      <c r="I225" t="s">
        <v>891</v>
      </c>
    </row>
    <row r="226" spans="1:9">
      <c r="A226" t="s">
        <v>1126</v>
      </c>
      <c r="B226" t="s">
        <v>906</v>
      </c>
      <c r="C226" t="s">
        <v>893</v>
      </c>
      <c r="D226" s="2">
        <v>46028</v>
      </c>
      <c r="E226" t="s">
        <v>889</v>
      </c>
      <c r="F226" t="s">
        <v>900</v>
      </c>
      <c r="G226" s="2">
        <v>46418</v>
      </c>
      <c r="H226">
        <v>2823176</v>
      </c>
      <c r="I226" t="s">
        <v>891</v>
      </c>
    </row>
    <row r="227" spans="1:9">
      <c r="A227" t="s">
        <v>1127</v>
      </c>
      <c r="B227" t="s">
        <v>902</v>
      </c>
      <c r="C227" t="s">
        <v>924</v>
      </c>
      <c r="D227" s="2">
        <v>46046</v>
      </c>
      <c r="E227" t="s">
        <v>894</v>
      </c>
      <c r="F227" t="s">
        <v>890</v>
      </c>
      <c r="G227" s="2">
        <v>46620</v>
      </c>
      <c r="H227" s="17">
        <v>9850466</v>
      </c>
      <c r="I227" t="s">
        <v>891</v>
      </c>
    </row>
    <row r="228" spans="1:9">
      <c r="A228" t="s">
        <v>1128</v>
      </c>
      <c r="B228" t="s">
        <v>897</v>
      </c>
      <c r="C228" t="s">
        <v>888</v>
      </c>
      <c r="D228" s="2">
        <v>46116</v>
      </c>
      <c r="E228" t="s">
        <v>889</v>
      </c>
      <c r="F228" t="s">
        <v>900</v>
      </c>
      <c r="G228" s="2">
        <v>46668</v>
      </c>
      <c r="H228">
        <v>9360286</v>
      </c>
      <c r="I228" t="s">
        <v>891</v>
      </c>
    </row>
    <row r="229" spans="1:9">
      <c r="A229" t="s">
        <v>1129</v>
      </c>
      <c r="B229" t="s">
        <v>897</v>
      </c>
      <c r="C229" t="s">
        <v>924</v>
      </c>
      <c r="D229" s="2">
        <v>46035</v>
      </c>
      <c r="E229" t="s">
        <v>908</v>
      </c>
      <c r="F229" t="s">
        <v>890</v>
      </c>
      <c r="G229" s="2">
        <v>46411</v>
      </c>
      <c r="H229">
        <v>6517004</v>
      </c>
      <c r="I229" t="s">
        <v>891</v>
      </c>
    </row>
    <row r="230" spans="1:9">
      <c r="A230" t="s">
        <v>1130</v>
      </c>
      <c r="B230" t="s">
        <v>906</v>
      </c>
      <c r="C230" t="s">
        <v>893</v>
      </c>
      <c r="D230" s="2">
        <v>46047</v>
      </c>
      <c r="E230" t="s">
        <v>889</v>
      </c>
      <c r="F230" t="s">
        <v>890</v>
      </c>
      <c r="G230" s="2">
        <v>46717</v>
      </c>
      <c r="H230">
        <v>4708694</v>
      </c>
      <c r="I230" t="s">
        <v>891</v>
      </c>
    </row>
    <row r="231" spans="1:9">
      <c r="A231" t="s">
        <v>1131</v>
      </c>
      <c r="B231" t="s">
        <v>902</v>
      </c>
      <c r="C231" t="s">
        <v>893</v>
      </c>
      <c r="D231" s="2">
        <v>46170</v>
      </c>
      <c r="E231" t="s">
        <v>889</v>
      </c>
      <c r="F231" t="s">
        <v>890</v>
      </c>
      <c r="G231" s="2">
        <v>46665</v>
      </c>
      <c r="H231">
        <v>997619</v>
      </c>
      <c r="I231" t="s">
        <v>891</v>
      </c>
    </row>
    <row r="232" spans="1:9">
      <c r="A232" t="s">
        <v>1132</v>
      </c>
      <c r="B232" t="s">
        <v>906</v>
      </c>
      <c r="C232" t="s">
        <v>893</v>
      </c>
      <c r="D232" s="2">
        <v>46140</v>
      </c>
      <c r="E232" t="s">
        <v>889</v>
      </c>
      <c r="F232" t="s">
        <v>898</v>
      </c>
      <c r="G232" s="2">
        <v>46612</v>
      </c>
      <c r="H232">
        <v>718547</v>
      </c>
      <c r="I232" t="s">
        <v>891</v>
      </c>
    </row>
    <row r="233" spans="1:9">
      <c r="A233" t="s">
        <v>1133</v>
      </c>
      <c r="B233" t="s">
        <v>902</v>
      </c>
      <c r="C233" t="s">
        <v>888</v>
      </c>
      <c r="D233" s="2">
        <v>46104</v>
      </c>
      <c r="E233" t="s">
        <v>889</v>
      </c>
      <c r="F233" t="s">
        <v>900</v>
      </c>
      <c r="G233" s="2">
        <v>46443</v>
      </c>
      <c r="H233">
        <v>9440203</v>
      </c>
      <c r="I233" t="s">
        <v>891</v>
      </c>
    </row>
    <row r="234" spans="1:9">
      <c r="A234" t="s">
        <v>1134</v>
      </c>
      <c r="B234" t="s">
        <v>906</v>
      </c>
      <c r="C234" t="s">
        <v>893</v>
      </c>
      <c r="D234" s="2">
        <v>46133</v>
      </c>
      <c r="E234" t="s">
        <v>889</v>
      </c>
      <c r="F234" t="s">
        <v>898</v>
      </c>
      <c r="G234" s="2">
        <v>46566</v>
      </c>
      <c r="H234">
        <v>4921740</v>
      </c>
      <c r="I234" t="s">
        <v>891</v>
      </c>
    </row>
    <row r="235" spans="1:9">
      <c r="A235" t="s">
        <v>1135</v>
      </c>
      <c r="B235" t="s">
        <v>910</v>
      </c>
      <c r="C235" t="s">
        <v>888</v>
      </c>
      <c r="D235" s="2">
        <v>46104</v>
      </c>
      <c r="E235" t="s">
        <v>908</v>
      </c>
      <c r="F235" t="s">
        <v>900</v>
      </c>
      <c r="G235" s="2">
        <v>46618</v>
      </c>
      <c r="H235">
        <v>7864534</v>
      </c>
      <c r="I235" t="s">
        <v>891</v>
      </c>
    </row>
    <row r="236" spans="1:9">
      <c r="A236" t="s">
        <v>1136</v>
      </c>
      <c r="B236" t="s">
        <v>910</v>
      </c>
      <c r="C236" t="s">
        <v>924</v>
      </c>
      <c r="D236" s="2">
        <v>46088</v>
      </c>
      <c r="E236" t="s">
        <v>889</v>
      </c>
      <c r="F236" t="s">
        <v>898</v>
      </c>
      <c r="G236" s="2">
        <v>46729</v>
      </c>
      <c r="H236">
        <v>8853135</v>
      </c>
      <c r="I236" t="s">
        <v>891</v>
      </c>
    </row>
    <row r="237" spans="1:9">
      <c r="A237" t="s">
        <v>1137</v>
      </c>
      <c r="B237" t="s">
        <v>887</v>
      </c>
      <c r="C237" t="s">
        <v>893</v>
      </c>
      <c r="D237" s="2">
        <v>46067</v>
      </c>
      <c r="E237" t="s">
        <v>889</v>
      </c>
      <c r="F237" t="s">
        <v>895</v>
      </c>
      <c r="G237" s="2">
        <v>46673</v>
      </c>
      <c r="H237">
        <v>4358804</v>
      </c>
      <c r="I237" t="s">
        <v>891</v>
      </c>
    </row>
    <row r="238" spans="1:9">
      <c r="A238" t="s">
        <v>1138</v>
      </c>
      <c r="B238" t="s">
        <v>906</v>
      </c>
      <c r="C238" t="s">
        <v>924</v>
      </c>
      <c r="D238" s="2">
        <v>46136</v>
      </c>
      <c r="E238" t="s">
        <v>889</v>
      </c>
      <c r="F238" t="s">
        <v>890</v>
      </c>
      <c r="G238" s="2">
        <v>46450</v>
      </c>
      <c r="H238">
        <v>2825452</v>
      </c>
      <c r="I238" t="s">
        <v>891</v>
      </c>
    </row>
    <row r="239" spans="1:9">
      <c r="A239" t="s">
        <v>1139</v>
      </c>
      <c r="B239" t="s">
        <v>897</v>
      </c>
      <c r="C239" t="s">
        <v>50</v>
      </c>
      <c r="D239" s="2">
        <v>46085</v>
      </c>
      <c r="E239" t="s">
        <v>889</v>
      </c>
      <c r="F239" t="s">
        <v>890</v>
      </c>
      <c r="G239" s="2">
        <v>46618</v>
      </c>
      <c r="H239">
        <v>5712360</v>
      </c>
      <c r="I239" t="s">
        <v>891</v>
      </c>
    </row>
    <row r="240" spans="1:9">
      <c r="A240" t="s">
        <v>1140</v>
      </c>
      <c r="B240" t="s">
        <v>887</v>
      </c>
      <c r="C240" t="s">
        <v>924</v>
      </c>
      <c r="D240" s="2">
        <v>46098</v>
      </c>
      <c r="E240" t="s">
        <v>908</v>
      </c>
      <c r="F240" t="s">
        <v>898</v>
      </c>
      <c r="G240" s="2">
        <v>46675</v>
      </c>
      <c r="H240">
        <v>1428252</v>
      </c>
      <c r="I240" t="s">
        <v>891</v>
      </c>
    </row>
    <row r="241" spans="1:9">
      <c r="A241" t="s">
        <v>1141</v>
      </c>
      <c r="B241" t="s">
        <v>910</v>
      </c>
      <c r="C241" t="s">
        <v>50</v>
      </c>
      <c r="D241" s="2">
        <v>46136</v>
      </c>
      <c r="E241" t="s">
        <v>894</v>
      </c>
      <c r="F241" t="s">
        <v>895</v>
      </c>
      <c r="G241" s="2">
        <v>46599</v>
      </c>
      <c r="H241" s="17">
        <v>9475681</v>
      </c>
      <c r="I241" t="s">
        <v>891</v>
      </c>
    </row>
    <row r="242" spans="1:9">
      <c r="A242" t="s">
        <v>1142</v>
      </c>
      <c r="B242" t="s">
        <v>906</v>
      </c>
      <c r="C242" t="s">
        <v>924</v>
      </c>
      <c r="D242" s="2">
        <v>46133</v>
      </c>
      <c r="E242" t="s">
        <v>894</v>
      </c>
      <c r="F242" t="s">
        <v>890</v>
      </c>
      <c r="G242" s="2">
        <v>46644</v>
      </c>
      <c r="H242" s="17">
        <v>1100338</v>
      </c>
      <c r="I242" t="s">
        <v>891</v>
      </c>
    </row>
    <row r="243" spans="1:9">
      <c r="A243" t="s">
        <v>1143</v>
      </c>
      <c r="B243" t="s">
        <v>887</v>
      </c>
      <c r="C243" t="s">
        <v>888</v>
      </c>
      <c r="D243" s="2">
        <v>46169</v>
      </c>
      <c r="E243" t="s">
        <v>908</v>
      </c>
      <c r="F243" t="s">
        <v>900</v>
      </c>
      <c r="G243" s="2">
        <v>46404</v>
      </c>
      <c r="H243">
        <v>574231</v>
      </c>
      <c r="I243" t="s">
        <v>891</v>
      </c>
    </row>
    <row r="244" spans="1:9">
      <c r="A244" t="s">
        <v>1144</v>
      </c>
      <c r="B244" t="s">
        <v>906</v>
      </c>
      <c r="C244" t="s">
        <v>924</v>
      </c>
      <c r="D244" s="2">
        <v>46057</v>
      </c>
      <c r="E244" t="s">
        <v>894</v>
      </c>
      <c r="F244" t="s">
        <v>898</v>
      </c>
      <c r="G244" s="2">
        <v>46561</v>
      </c>
      <c r="H244" s="17">
        <v>6865062</v>
      </c>
      <c r="I244" t="s">
        <v>891</v>
      </c>
    </row>
    <row r="245" spans="1:9">
      <c r="A245" t="s">
        <v>1145</v>
      </c>
      <c r="B245" t="s">
        <v>910</v>
      </c>
      <c r="C245" t="s">
        <v>888</v>
      </c>
      <c r="D245" s="2">
        <v>46075</v>
      </c>
      <c r="E245" t="s">
        <v>889</v>
      </c>
      <c r="F245" t="s">
        <v>890</v>
      </c>
      <c r="G245" s="2">
        <v>46615</v>
      </c>
      <c r="H245">
        <v>6046686</v>
      </c>
      <c r="I245" t="s">
        <v>891</v>
      </c>
    </row>
    <row r="246" spans="1:9">
      <c r="A246" t="s">
        <v>1146</v>
      </c>
      <c r="B246" t="s">
        <v>887</v>
      </c>
      <c r="C246" t="s">
        <v>888</v>
      </c>
      <c r="D246" s="2">
        <v>46048</v>
      </c>
      <c r="E246" t="s">
        <v>894</v>
      </c>
      <c r="F246" t="s">
        <v>890</v>
      </c>
      <c r="G246" s="2">
        <v>46612</v>
      </c>
      <c r="H246" s="17">
        <v>4026185</v>
      </c>
      <c r="I246" t="s">
        <v>891</v>
      </c>
    </row>
    <row r="247" spans="1:9">
      <c r="A247" t="s">
        <v>1147</v>
      </c>
      <c r="B247" t="s">
        <v>910</v>
      </c>
      <c r="C247" t="s">
        <v>893</v>
      </c>
      <c r="D247" s="2">
        <v>46036</v>
      </c>
      <c r="E247" t="s">
        <v>889</v>
      </c>
      <c r="F247" t="s">
        <v>898</v>
      </c>
      <c r="G247" s="2">
        <v>46470</v>
      </c>
      <c r="H247">
        <v>4645466</v>
      </c>
      <c r="I247" t="s">
        <v>891</v>
      </c>
    </row>
    <row r="248" spans="1:9">
      <c r="A248" t="s">
        <v>1148</v>
      </c>
      <c r="B248" t="s">
        <v>902</v>
      </c>
      <c r="C248" t="s">
        <v>888</v>
      </c>
      <c r="D248" s="2">
        <v>46140</v>
      </c>
      <c r="E248" t="s">
        <v>889</v>
      </c>
      <c r="F248" t="s">
        <v>898</v>
      </c>
      <c r="G248" s="2">
        <v>46677</v>
      </c>
      <c r="H248">
        <v>3093050</v>
      </c>
      <c r="I248" t="s">
        <v>891</v>
      </c>
    </row>
    <row r="249" spans="1:9">
      <c r="A249" t="s">
        <v>1149</v>
      </c>
      <c r="B249" t="s">
        <v>910</v>
      </c>
      <c r="C249" t="s">
        <v>50</v>
      </c>
      <c r="D249" s="2">
        <v>46067</v>
      </c>
      <c r="E249" t="s">
        <v>889</v>
      </c>
      <c r="F249" t="s">
        <v>900</v>
      </c>
      <c r="G249" s="2">
        <v>46632</v>
      </c>
      <c r="H249">
        <v>3613534</v>
      </c>
      <c r="I249" t="s">
        <v>891</v>
      </c>
    </row>
    <row r="250" spans="1:9">
      <c r="A250" t="s">
        <v>1150</v>
      </c>
      <c r="B250" t="s">
        <v>906</v>
      </c>
      <c r="C250" t="s">
        <v>893</v>
      </c>
      <c r="D250" s="2">
        <v>46073</v>
      </c>
      <c r="E250" t="s">
        <v>894</v>
      </c>
      <c r="F250" t="s">
        <v>900</v>
      </c>
      <c r="G250" s="2">
        <v>46496</v>
      </c>
      <c r="H250" s="17">
        <v>4100957</v>
      </c>
      <c r="I250" t="s">
        <v>891</v>
      </c>
    </row>
    <row r="251" spans="1:9">
      <c r="A251" t="s">
        <v>1151</v>
      </c>
      <c r="B251" t="s">
        <v>897</v>
      </c>
      <c r="C251" t="s">
        <v>893</v>
      </c>
      <c r="D251" s="2">
        <v>46141</v>
      </c>
      <c r="E251" t="s">
        <v>894</v>
      </c>
      <c r="F251" t="s">
        <v>890</v>
      </c>
      <c r="G251" s="2">
        <v>46640</v>
      </c>
      <c r="H251" s="17">
        <v>6953859</v>
      </c>
      <c r="I251" t="s">
        <v>891</v>
      </c>
    </row>
    <row r="252" spans="1:9">
      <c r="A252" t="s">
        <v>1152</v>
      </c>
      <c r="B252" t="s">
        <v>910</v>
      </c>
      <c r="C252" t="s">
        <v>924</v>
      </c>
      <c r="D252" s="2">
        <v>46041</v>
      </c>
      <c r="E252" t="s">
        <v>889</v>
      </c>
      <c r="F252" t="s">
        <v>890</v>
      </c>
      <c r="G252" s="2">
        <v>46474</v>
      </c>
      <c r="H252">
        <v>9968740</v>
      </c>
      <c r="I252" t="s">
        <v>891</v>
      </c>
    </row>
    <row r="253" spans="1:9">
      <c r="A253" t="s">
        <v>1153</v>
      </c>
      <c r="B253" t="s">
        <v>897</v>
      </c>
      <c r="C253" t="s">
        <v>888</v>
      </c>
      <c r="D253" s="2">
        <v>46104</v>
      </c>
      <c r="E253" t="s">
        <v>894</v>
      </c>
      <c r="F253" t="s">
        <v>898</v>
      </c>
      <c r="G253" s="2">
        <v>46458</v>
      </c>
      <c r="H253" s="17">
        <v>9405808</v>
      </c>
      <c r="I253" t="s">
        <v>891</v>
      </c>
    </row>
    <row r="254" spans="1:9">
      <c r="A254" t="s">
        <v>1154</v>
      </c>
      <c r="B254" t="s">
        <v>902</v>
      </c>
      <c r="C254" t="s">
        <v>888</v>
      </c>
      <c r="D254" s="2">
        <v>46098</v>
      </c>
      <c r="E254" t="s">
        <v>908</v>
      </c>
      <c r="F254" t="s">
        <v>890</v>
      </c>
      <c r="G254" s="2">
        <v>46416</v>
      </c>
      <c r="H254">
        <v>5624524</v>
      </c>
      <c r="I254" t="s">
        <v>891</v>
      </c>
    </row>
    <row r="255" spans="1:9">
      <c r="A255" t="s">
        <v>1155</v>
      </c>
      <c r="B255" t="s">
        <v>887</v>
      </c>
      <c r="C255" t="s">
        <v>50</v>
      </c>
      <c r="D255" s="2">
        <v>46114</v>
      </c>
      <c r="E255" t="s">
        <v>889</v>
      </c>
      <c r="F255" t="s">
        <v>890</v>
      </c>
      <c r="G255" s="2">
        <v>46558</v>
      </c>
      <c r="H255">
        <v>4877987</v>
      </c>
      <c r="I255" t="s">
        <v>891</v>
      </c>
    </row>
    <row r="256" spans="1:9">
      <c r="A256" t="s">
        <v>1156</v>
      </c>
      <c r="B256" t="s">
        <v>887</v>
      </c>
      <c r="C256" t="s">
        <v>924</v>
      </c>
      <c r="D256" s="2">
        <v>46055</v>
      </c>
      <c r="E256" t="s">
        <v>889</v>
      </c>
      <c r="F256" t="s">
        <v>898</v>
      </c>
      <c r="G256" s="2">
        <v>46695</v>
      </c>
      <c r="H256">
        <v>4339973</v>
      </c>
      <c r="I256" t="s">
        <v>891</v>
      </c>
    </row>
    <row r="257" spans="1:9">
      <c r="A257" t="s">
        <v>1157</v>
      </c>
      <c r="B257" t="s">
        <v>897</v>
      </c>
      <c r="C257" t="s">
        <v>924</v>
      </c>
      <c r="D257" s="2">
        <v>46169</v>
      </c>
      <c r="E257" t="s">
        <v>894</v>
      </c>
      <c r="F257" t="s">
        <v>890</v>
      </c>
      <c r="G257" s="2">
        <v>46729</v>
      </c>
      <c r="H257" s="17">
        <v>1863864</v>
      </c>
      <c r="I257" t="s">
        <v>891</v>
      </c>
    </row>
    <row r="258" spans="1:9">
      <c r="A258" t="s">
        <v>1158</v>
      </c>
      <c r="B258" t="s">
        <v>887</v>
      </c>
      <c r="C258" t="s">
        <v>893</v>
      </c>
      <c r="D258" s="2">
        <v>46050</v>
      </c>
      <c r="E258" t="s">
        <v>889</v>
      </c>
      <c r="F258" t="s">
        <v>890</v>
      </c>
      <c r="G258" s="2">
        <v>46563</v>
      </c>
      <c r="H258">
        <v>8036324</v>
      </c>
      <c r="I258" t="s">
        <v>891</v>
      </c>
    </row>
    <row r="259" spans="1:9">
      <c r="A259" t="s">
        <v>1159</v>
      </c>
      <c r="B259" t="s">
        <v>910</v>
      </c>
      <c r="C259" t="s">
        <v>893</v>
      </c>
      <c r="D259" s="2">
        <v>46145</v>
      </c>
      <c r="E259" t="s">
        <v>889</v>
      </c>
      <c r="F259" t="s">
        <v>895</v>
      </c>
      <c r="G259" s="2">
        <v>46525</v>
      </c>
      <c r="H259">
        <v>5921251</v>
      </c>
      <c r="I259" t="s">
        <v>891</v>
      </c>
    </row>
    <row r="260" spans="1:9">
      <c r="A260" t="s">
        <v>1160</v>
      </c>
      <c r="B260" t="s">
        <v>897</v>
      </c>
      <c r="C260" t="s">
        <v>893</v>
      </c>
      <c r="D260" s="2">
        <v>46148</v>
      </c>
      <c r="E260" t="s">
        <v>889</v>
      </c>
      <c r="F260" t="s">
        <v>900</v>
      </c>
      <c r="G260" s="2">
        <v>46580</v>
      </c>
      <c r="H260">
        <v>7728119</v>
      </c>
      <c r="I260" t="s">
        <v>891</v>
      </c>
    </row>
    <row r="261" spans="1:9">
      <c r="A261" t="s">
        <v>1161</v>
      </c>
      <c r="B261" t="s">
        <v>906</v>
      </c>
      <c r="C261" t="s">
        <v>50</v>
      </c>
      <c r="D261" s="2">
        <v>46059</v>
      </c>
      <c r="E261" t="s">
        <v>889</v>
      </c>
      <c r="F261" t="s">
        <v>898</v>
      </c>
      <c r="G261" s="2">
        <v>46572</v>
      </c>
      <c r="H261">
        <v>2460220</v>
      </c>
      <c r="I261" t="s">
        <v>891</v>
      </c>
    </row>
    <row r="262" spans="1:9">
      <c r="A262" t="s">
        <v>1162</v>
      </c>
      <c r="B262" t="s">
        <v>910</v>
      </c>
      <c r="C262" t="s">
        <v>50</v>
      </c>
      <c r="D262" s="2">
        <v>46121</v>
      </c>
      <c r="E262" t="s">
        <v>894</v>
      </c>
      <c r="F262" t="s">
        <v>895</v>
      </c>
      <c r="G262" s="2">
        <v>46604</v>
      </c>
      <c r="H262" s="17">
        <v>3500264</v>
      </c>
      <c r="I262" t="s">
        <v>891</v>
      </c>
    </row>
    <row r="263" spans="1:9">
      <c r="A263" t="s">
        <v>1163</v>
      </c>
      <c r="B263" t="s">
        <v>910</v>
      </c>
      <c r="C263" t="s">
        <v>893</v>
      </c>
      <c r="D263" s="2">
        <v>46120</v>
      </c>
      <c r="E263" t="s">
        <v>889</v>
      </c>
      <c r="F263" t="s">
        <v>900</v>
      </c>
      <c r="G263" s="2">
        <v>46550</v>
      </c>
      <c r="H263">
        <v>9660899</v>
      </c>
      <c r="I263" t="s">
        <v>891</v>
      </c>
    </row>
    <row r="264" spans="1:9">
      <c r="A264" t="s">
        <v>1164</v>
      </c>
      <c r="B264" t="s">
        <v>910</v>
      </c>
      <c r="C264" t="s">
        <v>924</v>
      </c>
      <c r="D264" s="2">
        <v>46149</v>
      </c>
      <c r="E264" t="s">
        <v>908</v>
      </c>
      <c r="F264" t="s">
        <v>900</v>
      </c>
      <c r="G264" s="2">
        <v>46547</v>
      </c>
      <c r="H264">
        <v>4014674</v>
      </c>
      <c r="I264" t="s">
        <v>891</v>
      </c>
    </row>
    <row r="265" spans="1:9">
      <c r="A265" t="s">
        <v>1165</v>
      </c>
      <c r="B265" t="s">
        <v>906</v>
      </c>
      <c r="C265" t="s">
        <v>50</v>
      </c>
      <c r="D265" s="2">
        <v>46102</v>
      </c>
      <c r="E265" t="s">
        <v>908</v>
      </c>
      <c r="F265" t="s">
        <v>900</v>
      </c>
      <c r="G265" s="2">
        <v>46399</v>
      </c>
      <c r="H265">
        <v>9922487</v>
      </c>
      <c r="I265" t="s">
        <v>891</v>
      </c>
    </row>
    <row r="266" spans="1:9">
      <c r="A266" t="s">
        <v>1166</v>
      </c>
      <c r="B266" t="s">
        <v>902</v>
      </c>
      <c r="C266" t="s">
        <v>924</v>
      </c>
      <c r="D266" s="2">
        <v>46060</v>
      </c>
      <c r="E266" t="s">
        <v>894</v>
      </c>
      <c r="F266" t="s">
        <v>895</v>
      </c>
      <c r="G266" s="2">
        <v>46682</v>
      </c>
      <c r="H266" s="17">
        <v>3573961</v>
      </c>
      <c r="I266" t="s">
        <v>891</v>
      </c>
    </row>
    <row r="267" spans="1:9">
      <c r="A267" t="s">
        <v>1167</v>
      </c>
      <c r="B267" t="s">
        <v>887</v>
      </c>
      <c r="C267" t="s">
        <v>924</v>
      </c>
      <c r="D267" s="2">
        <v>46099</v>
      </c>
      <c r="E267" t="s">
        <v>889</v>
      </c>
      <c r="F267" t="s">
        <v>895</v>
      </c>
      <c r="G267" s="2">
        <v>46475</v>
      </c>
      <c r="H267">
        <v>9106776</v>
      </c>
      <c r="I267" t="s">
        <v>891</v>
      </c>
    </row>
    <row r="268" spans="1:9">
      <c r="A268" t="s">
        <v>1168</v>
      </c>
      <c r="B268" t="s">
        <v>897</v>
      </c>
      <c r="C268" t="s">
        <v>888</v>
      </c>
      <c r="D268" s="2">
        <v>46148</v>
      </c>
      <c r="E268" t="s">
        <v>889</v>
      </c>
      <c r="F268" t="s">
        <v>900</v>
      </c>
      <c r="G268" s="2">
        <v>46710</v>
      </c>
      <c r="H268">
        <v>648178</v>
      </c>
      <c r="I268" t="s">
        <v>891</v>
      </c>
    </row>
    <row r="269" spans="1:9">
      <c r="A269" t="s">
        <v>1169</v>
      </c>
      <c r="B269" t="s">
        <v>902</v>
      </c>
      <c r="C269" t="s">
        <v>893</v>
      </c>
      <c r="D269" s="2">
        <v>46109</v>
      </c>
      <c r="E269" t="s">
        <v>889</v>
      </c>
      <c r="F269" t="s">
        <v>890</v>
      </c>
      <c r="G269" s="2">
        <v>46428</v>
      </c>
      <c r="H269">
        <v>8946731</v>
      </c>
      <c r="I269" t="s">
        <v>891</v>
      </c>
    </row>
    <row r="270" spans="1:9">
      <c r="A270" t="s">
        <v>1170</v>
      </c>
      <c r="B270" t="s">
        <v>897</v>
      </c>
      <c r="C270" t="s">
        <v>888</v>
      </c>
      <c r="D270" s="2">
        <v>46076</v>
      </c>
      <c r="E270" t="s">
        <v>889</v>
      </c>
      <c r="F270" t="s">
        <v>890</v>
      </c>
      <c r="G270" s="2">
        <v>46596</v>
      </c>
      <c r="H270">
        <v>2708977</v>
      </c>
      <c r="I270" t="s">
        <v>891</v>
      </c>
    </row>
    <row r="271" spans="1:9">
      <c r="A271" t="s">
        <v>1171</v>
      </c>
      <c r="B271" t="s">
        <v>887</v>
      </c>
      <c r="C271" t="s">
        <v>893</v>
      </c>
      <c r="D271" s="2">
        <v>46172</v>
      </c>
      <c r="E271" t="s">
        <v>908</v>
      </c>
      <c r="F271" t="s">
        <v>895</v>
      </c>
      <c r="G271" s="2">
        <v>46615</v>
      </c>
      <c r="H271">
        <v>1717309</v>
      </c>
      <c r="I271" t="s">
        <v>891</v>
      </c>
    </row>
    <row r="272" spans="1:9">
      <c r="A272" t="s">
        <v>1172</v>
      </c>
      <c r="B272" t="s">
        <v>906</v>
      </c>
      <c r="C272" t="s">
        <v>893</v>
      </c>
      <c r="D272" s="2">
        <v>46038</v>
      </c>
      <c r="E272" t="s">
        <v>889</v>
      </c>
      <c r="F272" t="s">
        <v>895</v>
      </c>
      <c r="G272" s="2">
        <v>46736</v>
      </c>
      <c r="H272">
        <v>3870698</v>
      </c>
      <c r="I272" t="s">
        <v>891</v>
      </c>
    </row>
    <row r="273" spans="1:9">
      <c r="A273" t="s">
        <v>1173</v>
      </c>
      <c r="B273" t="s">
        <v>910</v>
      </c>
      <c r="C273" t="s">
        <v>924</v>
      </c>
      <c r="D273" s="2">
        <v>46050</v>
      </c>
      <c r="E273" t="s">
        <v>889</v>
      </c>
      <c r="F273" t="s">
        <v>895</v>
      </c>
      <c r="G273" s="2">
        <v>46661</v>
      </c>
      <c r="H273">
        <v>8844854</v>
      </c>
      <c r="I273" t="s">
        <v>891</v>
      </c>
    </row>
    <row r="274" spans="1:9">
      <c r="A274" t="s">
        <v>1174</v>
      </c>
      <c r="B274" t="s">
        <v>910</v>
      </c>
      <c r="C274" t="s">
        <v>893</v>
      </c>
      <c r="D274" s="2">
        <v>46068</v>
      </c>
      <c r="E274" t="s">
        <v>889</v>
      </c>
      <c r="F274" t="s">
        <v>900</v>
      </c>
      <c r="G274" s="2">
        <v>46665</v>
      </c>
      <c r="H274">
        <v>7815664</v>
      </c>
      <c r="I274" t="s">
        <v>891</v>
      </c>
    </row>
    <row r="275" spans="1:9">
      <c r="A275" t="s">
        <v>1175</v>
      </c>
      <c r="B275" t="s">
        <v>906</v>
      </c>
      <c r="C275" t="s">
        <v>924</v>
      </c>
      <c r="D275" s="2">
        <v>46094</v>
      </c>
      <c r="E275" t="s">
        <v>894</v>
      </c>
      <c r="F275" t="s">
        <v>890</v>
      </c>
      <c r="G275" s="2">
        <v>46637</v>
      </c>
      <c r="H275" s="17">
        <v>5632928</v>
      </c>
      <c r="I275" t="s">
        <v>891</v>
      </c>
    </row>
    <row r="276" spans="1:9">
      <c r="A276" t="s">
        <v>1176</v>
      </c>
      <c r="B276" t="s">
        <v>902</v>
      </c>
      <c r="C276" t="s">
        <v>924</v>
      </c>
      <c r="D276" s="2">
        <v>46107</v>
      </c>
      <c r="E276" t="s">
        <v>908</v>
      </c>
      <c r="F276" t="s">
        <v>895</v>
      </c>
      <c r="G276" s="2">
        <v>46696</v>
      </c>
      <c r="H276">
        <v>7374399</v>
      </c>
      <c r="I276" t="s">
        <v>891</v>
      </c>
    </row>
    <row r="277" spans="1:9">
      <c r="A277" t="s">
        <v>1177</v>
      </c>
      <c r="B277" t="s">
        <v>902</v>
      </c>
      <c r="C277" t="s">
        <v>893</v>
      </c>
      <c r="D277" s="2">
        <v>46048</v>
      </c>
      <c r="E277" t="s">
        <v>889</v>
      </c>
      <c r="F277" t="s">
        <v>895</v>
      </c>
      <c r="G277" s="2">
        <v>46594</v>
      </c>
      <c r="H277">
        <v>9603611</v>
      </c>
      <c r="I277" t="s">
        <v>891</v>
      </c>
    </row>
    <row r="278" spans="1:9">
      <c r="A278" t="s">
        <v>1178</v>
      </c>
      <c r="B278" t="s">
        <v>897</v>
      </c>
      <c r="C278" t="s">
        <v>924</v>
      </c>
      <c r="D278" s="2">
        <v>46107</v>
      </c>
      <c r="E278" t="s">
        <v>908</v>
      </c>
      <c r="F278" t="s">
        <v>898</v>
      </c>
      <c r="G278" s="2">
        <v>46707</v>
      </c>
      <c r="H278">
        <v>6360616</v>
      </c>
      <c r="I278" t="s">
        <v>891</v>
      </c>
    </row>
    <row r="279" spans="1:9">
      <c r="A279" t="s">
        <v>1179</v>
      </c>
      <c r="B279" t="s">
        <v>906</v>
      </c>
      <c r="C279" t="s">
        <v>924</v>
      </c>
      <c r="D279" s="2">
        <v>46087</v>
      </c>
      <c r="E279" t="s">
        <v>889</v>
      </c>
      <c r="F279" t="s">
        <v>900</v>
      </c>
      <c r="G279" s="2">
        <v>46526</v>
      </c>
      <c r="H279">
        <v>2775598</v>
      </c>
      <c r="I279" t="s">
        <v>891</v>
      </c>
    </row>
    <row r="280" spans="1:9">
      <c r="A280" t="s">
        <v>1180</v>
      </c>
      <c r="B280" t="s">
        <v>902</v>
      </c>
      <c r="C280" t="s">
        <v>924</v>
      </c>
      <c r="D280" s="2">
        <v>46156</v>
      </c>
      <c r="E280" t="s">
        <v>889</v>
      </c>
      <c r="F280" t="s">
        <v>898</v>
      </c>
      <c r="G280" s="2">
        <v>46666</v>
      </c>
      <c r="H280">
        <v>5392571</v>
      </c>
      <c r="I280" t="s">
        <v>891</v>
      </c>
    </row>
    <row r="281" spans="1:9">
      <c r="A281" t="s">
        <v>1181</v>
      </c>
      <c r="B281" t="s">
        <v>906</v>
      </c>
      <c r="C281" t="s">
        <v>50</v>
      </c>
      <c r="D281" s="2">
        <v>46137</v>
      </c>
      <c r="E281" t="s">
        <v>908</v>
      </c>
      <c r="F281" t="s">
        <v>890</v>
      </c>
      <c r="G281" s="2">
        <v>46420</v>
      </c>
      <c r="H281">
        <v>4991260</v>
      </c>
      <c r="I281" t="s">
        <v>891</v>
      </c>
    </row>
    <row r="282" spans="1:9">
      <c r="A282" t="s">
        <v>1182</v>
      </c>
      <c r="B282" t="s">
        <v>887</v>
      </c>
      <c r="C282" t="s">
        <v>924</v>
      </c>
      <c r="D282" s="2">
        <v>46086</v>
      </c>
      <c r="E282" t="s">
        <v>889</v>
      </c>
      <c r="F282" t="s">
        <v>898</v>
      </c>
      <c r="G282" s="2">
        <v>46695</v>
      </c>
      <c r="H282">
        <v>9724610</v>
      </c>
      <c r="I282" t="s">
        <v>891</v>
      </c>
    </row>
    <row r="283" spans="1:9">
      <c r="A283" t="s">
        <v>1183</v>
      </c>
      <c r="B283" t="s">
        <v>910</v>
      </c>
      <c r="C283" t="s">
        <v>50</v>
      </c>
      <c r="D283" s="2">
        <v>46109</v>
      </c>
      <c r="E283" t="s">
        <v>908</v>
      </c>
      <c r="F283" t="s">
        <v>898</v>
      </c>
      <c r="G283" s="2">
        <v>46404</v>
      </c>
      <c r="H283">
        <v>9279116</v>
      </c>
      <c r="I283" t="s">
        <v>891</v>
      </c>
    </row>
    <row r="284" spans="1:9">
      <c r="A284" t="s">
        <v>1184</v>
      </c>
      <c r="B284" t="s">
        <v>910</v>
      </c>
      <c r="C284" t="s">
        <v>50</v>
      </c>
      <c r="D284" s="2">
        <v>46129</v>
      </c>
      <c r="E284" t="s">
        <v>889</v>
      </c>
      <c r="F284" t="s">
        <v>898</v>
      </c>
      <c r="G284" s="2">
        <v>46443</v>
      </c>
      <c r="H284">
        <v>6448491</v>
      </c>
      <c r="I284" t="s">
        <v>891</v>
      </c>
    </row>
    <row r="285" spans="1:9">
      <c r="A285" t="s">
        <v>1185</v>
      </c>
      <c r="B285" t="s">
        <v>910</v>
      </c>
      <c r="C285" t="s">
        <v>924</v>
      </c>
      <c r="D285" s="2">
        <v>46118</v>
      </c>
      <c r="E285" t="s">
        <v>889</v>
      </c>
      <c r="F285" t="s">
        <v>900</v>
      </c>
      <c r="G285" s="2">
        <v>46498</v>
      </c>
      <c r="H285">
        <v>536160</v>
      </c>
      <c r="I285" t="s">
        <v>891</v>
      </c>
    </row>
    <row r="286" spans="1:9">
      <c r="A286" t="s">
        <v>1186</v>
      </c>
      <c r="B286" t="s">
        <v>906</v>
      </c>
      <c r="C286" t="s">
        <v>924</v>
      </c>
      <c r="D286" s="2">
        <v>46099</v>
      </c>
      <c r="E286" t="s">
        <v>908</v>
      </c>
      <c r="F286" t="s">
        <v>890</v>
      </c>
      <c r="G286" s="2">
        <v>46391</v>
      </c>
      <c r="H286">
        <v>519156</v>
      </c>
      <c r="I286" t="s">
        <v>891</v>
      </c>
    </row>
    <row r="287" spans="1:9">
      <c r="A287" t="s">
        <v>1187</v>
      </c>
      <c r="B287" t="s">
        <v>906</v>
      </c>
      <c r="C287" t="s">
        <v>50</v>
      </c>
      <c r="D287" s="2">
        <v>46168</v>
      </c>
      <c r="E287" t="s">
        <v>889</v>
      </c>
      <c r="F287" t="s">
        <v>898</v>
      </c>
      <c r="G287" s="2">
        <v>46568</v>
      </c>
      <c r="H287">
        <v>7916240</v>
      </c>
      <c r="I287" t="s">
        <v>891</v>
      </c>
    </row>
    <row r="288" spans="1:9">
      <c r="A288" t="s">
        <v>1188</v>
      </c>
      <c r="B288" t="s">
        <v>897</v>
      </c>
      <c r="C288" t="s">
        <v>50</v>
      </c>
      <c r="D288" s="2">
        <v>46109</v>
      </c>
      <c r="E288" t="s">
        <v>908</v>
      </c>
      <c r="F288" t="s">
        <v>900</v>
      </c>
      <c r="G288" s="2">
        <v>46399</v>
      </c>
      <c r="H288">
        <v>3070348</v>
      </c>
      <c r="I288" t="s">
        <v>891</v>
      </c>
    </row>
    <row r="289" spans="1:9">
      <c r="A289" t="s">
        <v>1189</v>
      </c>
      <c r="B289" t="s">
        <v>910</v>
      </c>
      <c r="C289" t="s">
        <v>924</v>
      </c>
      <c r="D289" s="2">
        <v>46171</v>
      </c>
      <c r="E289" t="s">
        <v>908</v>
      </c>
      <c r="F289" t="s">
        <v>890</v>
      </c>
      <c r="G289" s="2">
        <v>46725</v>
      </c>
      <c r="H289">
        <v>3062688</v>
      </c>
      <c r="I289" t="s">
        <v>891</v>
      </c>
    </row>
    <row r="290" spans="1:9">
      <c r="A290" t="s">
        <v>1190</v>
      </c>
      <c r="B290" t="s">
        <v>897</v>
      </c>
      <c r="C290" t="s">
        <v>924</v>
      </c>
      <c r="D290" s="2">
        <v>46079</v>
      </c>
      <c r="E290" t="s">
        <v>889</v>
      </c>
      <c r="F290" t="s">
        <v>895</v>
      </c>
      <c r="G290" s="2">
        <v>46671</v>
      </c>
      <c r="H290">
        <v>7464745</v>
      </c>
      <c r="I290" t="s">
        <v>891</v>
      </c>
    </row>
    <row r="291" spans="1:9">
      <c r="A291" t="s">
        <v>1191</v>
      </c>
      <c r="B291" t="s">
        <v>910</v>
      </c>
      <c r="C291" t="s">
        <v>893</v>
      </c>
      <c r="D291" s="2">
        <v>46125</v>
      </c>
      <c r="E291" t="s">
        <v>889</v>
      </c>
      <c r="F291" t="s">
        <v>898</v>
      </c>
      <c r="G291" s="2">
        <v>46645</v>
      </c>
      <c r="H291">
        <v>5974106</v>
      </c>
      <c r="I291" t="s">
        <v>891</v>
      </c>
    </row>
    <row r="292" spans="1:9">
      <c r="A292" t="s">
        <v>1192</v>
      </c>
      <c r="B292" t="s">
        <v>897</v>
      </c>
      <c r="C292" t="s">
        <v>50</v>
      </c>
      <c r="D292" s="2">
        <v>46113</v>
      </c>
      <c r="E292" t="s">
        <v>889</v>
      </c>
      <c r="F292" t="s">
        <v>890</v>
      </c>
      <c r="G292" s="2">
        <v>46476</v>
      </c>
      <c r="H292">
        <v>8295807</v>
      </c>
      <c r="I292" t="s">
        <v>891</v>
      </c>
    </row>
    <row r="293" spans="1:9">
      <c r="A293" t="s">
        <v>1193</v>
      </c>
      <c r="B293" t="s">
        <v>897</v>
      </c>
      <c r="C293" t="s">
        <v>50</v>
      </c>
      <c r="D293" s="2">
        <v>46067</v>
      </c>
      <c r="E293" t="s">
        <v>889</v>
      </c>
      <c r="F293" t="s">
        <v>898</v>
      </c>
      <c r="G293" s="2">
        <v>46490</v>
      </c>
      <c r="H293">
        <v>5414005</v>
      </c>
      <c r="I293" t="s">
        <v>891</v>
      </c>
    </row>
    <row r="294" spans="1:9">
      <c r="A294" t="s">
        <v>1194</v>
      </c>
      <c r="B294" t="s">
        <v>887</v>
      </c>
      <c r="C294" t="s">
        <v>893</v>
      </c>
      <c r="D294" s="2">
        <v>46110</v>
      </c>
      <c r="E294" t="s">
        <v>889</v>
      </c>
      <c r="F294" t="s">
        <v>895</v>
      </c>
      <c r="G294" s="2">
        <v>46572</v>
      </c>
      <c r="H294">
        <v>1381809</v>
      </c>
      <c r="I294" t="s">
        <v>891</v>
      </c>
    </row>
    <row r="295" spans="1:9">
      <c r="A295" t="s">
        <v>1195</v>
      </c>
      <c r="B295" t="s">
        <v>897</v>
      </c>
      <c r="C295" t="s">
        <v>50</v>
      </c>
      <c r="D295" s="2">
        <v>46137</v>
      </c>
      <c r="E295" t="s">
        <v>889</v>
      </c>
      <c r="F295" t="s">
        <v>890</v>
      </c>
      <c r="G295" s="2">
        <v>46636</v>
      </c>
      <c r="H295">
        <v>4999311</v>
      </c>
      <c r="I295" t="s">
        <v>891</v>
      </c>
    </row>
    <row r="296" spans="1:9">
      <c r="A296" t="s">
        <v>1196</v>
      </c>
      <c r="B296" t="s">
        <v>906</v>
      </c>
      <c r="C296" t="s">
        <v>888</v>
      </c>
      <c r="D296" s="2">
        <v>46069</v>
      </c>
      <c r="E296" t="s">
        <v>889</v>
      </c>
      <c r="F296" t="s">
        <v>900</v>
      </c>
      <c r="G296" s="2">
        <v>46641</v>
      </c>
      <c r="H296">
        <v>9625805</v>
      </c>
      <c r="I296" t="s">
        <v>891</v>
      </c>
    </row>
    <row r="297" spans="1:9">
      <c r="A297" t="s">
        <v>1197</v>
      </c>
      <c r="B297" t="s">
        <v>897</v>
      </c>
      <c r="C297" t="s">
        <v>50</v>
      </c>
      <c r="D297" s="2">
        <v>46157</v>
      </c>
      <c r="E297" t="s">
        <v>889</v>
      </c>
      <c r="F297" t="s">
        <v>890</v>
      </c>
      <c r="G297" s="2">
        <v>46462</v>
      </c>
      <c r="H297">
        <v>6856895</v>
      </c>
      <c r="I297" t="s">
        <v>891</v>
      </c>
    </row>
    <row r="298" spans="1:9">
      <c r="A298" t="s">
        <v>1198</v>
      </c>
      <c r="B298" t="s">
        <v>910</v>
      </c>
      <c r="C298" t="s">
        <v>893</v>
      </c>
      <c r="D298" s="2">
        <v>46072</v>
      </c>
      <c r="E298" t="s">
        <v>908</v>
      </c>
      <c r="F298" t="s">
        <v>900</v>
      </c>
      <c r="G298" s="2">
        <v>46494</v>
      </c>
      <c r="H298">
        <v>4308282</v>
      </c>
      <c r="I298" t="s">
        <v>891</v>
      </c>
    </row>
    <row r="299" spans="1:9">
      <c r="A299" t="s">
        <v>1199</v>
      </c>
      <c r="B299" t="s">
        <v>897</v>
      </c>
      <c r="C299" t="s">
        <v>888</v>
      </c>
      <c r="D299" s="2">
        <v>46106</v>
      </c>
      <c r="E299" t="s">
        <v>908</v>
      </c>
      <c r="F299" t="s">
        <v>890</v>
      </c>
      <c r="G299" s="2">
        <v>46542</v>
      </c>
      <c r="H299">
        <v>1145649</v>
      </c>
      <c r="I299" t="s">
        <v>891</v>
      </c>
    </row>
    <row r="300" spans="1:9">
      <c r="A300" t="s">
        <v>1200</v>
      </c>
      <c r="B300" t="s">
        <v>902</v>
      </c>
      <c r="C300" t="s">
        <v>924</v>
      </c>
      <c r="D300" s="2">
        <v>46113</v>
      </c>
      <c r="E300" t="s">
        <v>894</v>
      </c>
      <c r="F300" t="s">
        <v>900</v>
      </c>
      <c r="G300" s="2">
        <v>46468</v>
      </c>
      <c r="H300" s="17">
        <v>9101594</v>
      </c>
      <c r="I300" t="s">
        <v>891</v>
      </c>
    </row>
    <row r="301" spans="1:9">
      <c r="A301" t="s">
        <v>1201</v>
      </c>
      <c r="B301" t="s">
        <v>910</v>
      </c>
      <c r="C301" t="s">
        <v>893</v>
      </c>
      <c r="D301" s="2">
        <v>46156</v>
      </c>
      <c r="E301" t="s">
        <v>889</v>
      </c>
      <c r="F301" t="s">
        <v>895</v>
      </c>
      <c r="G301" s="2">
        <v>46463</v>
      </c>
      <c r="H301">
        <v>6625488</v>
      </c>
      <c r="I301" t="s">
        <v>891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opLeftCell="C1" workbookViewId="0">
      <selection activeCell="Q14" sqref="Q14"/>
    </sheetView>
  </sheetViews>
  <sheetFormatPr defaultRowHeight="15"/>
  <sheetData>
    <row r="1" spans="1:6">
      <c r="A1" s="20" t="s">
        <v>1202</v>
      </c>
      <c r="B1" s="21"/>
      <c r="C1" s="21"/>
      <c r="D1" s="21"/>
      <c r="E1" s="21"/>
      <c r="F1" s="21"/>
    </row>
  </sheetData>
  <mergeCells count="1">
    <mergeCell ref="A1:F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6"/>
  <sheetViews>
    <sheetView workbookViewId="0">
      <selection activeCell="L18" sqref="L18"/>
    </sheetView>
  </sheetViews>
  <sheetFormatPr defaultRowHeight="15"/>
  <cols>
    <col min="1" max="1" width="23.7109375" bestFit="1" customWidth="1"/>
    <col min="2" max="2" width="18.5703125" bestFit="1" customWidth="1"/>
    <col min="3" max="3" width="7.85546875" bestFit="1" customWidth="1"/>
    <col min="4" max="4" width="8.28515625" bestFit="1" customWidth="1"/>
    <col min="5" max="5" width="5.28515625" bestFit="1" customWidth="1"/>
    <col min="6" max="6" width="7.28515625" bestFit="1" customWidth="1"/>
    <col min="7" max="7" width="5.140625" bestFit="1" customWidth="1"/>
    <col min="8" max="8" width="11.28515625" bestFit="1" customWidth="1"/>
    <col min="9" max="9" width="9.85546875" customWidth="1"/>
    <col min="12" max="12" width="17.28515625" bestFit="1" customWidth="1"/>
    <col min="13" max="13" width="27.140625" bestFit="1" customWidth="1"/>
    <col min="14" max="16" width="17.28515625" bestFit="1" customWidth="1"/>
    <col min="17" max="17" width="28.42578125" bestFit="1" customWidth="1"/>
    <col min="18" max="18" width="19.42578125" bestFit="1" customWidth="1"/>
  </cols>
  <sheetData>
    <row r="1" spans="1:18">
      <c r="A1" s="20" t="s">
        <v>1203</v>
      </c>
      <c r="B1" s="21"/>
      <c r="C1" s="21"/>
      <c r="D1" s="21"/>
      <c r="E1" s="21"/>
      <c r="F1" s="21"/>
      <c r="G1" s="21"/>
    </row>
    <row r="2" spans="1:18" ht="18.75">
      <c r="L2" s="22" t="s">
        <v>1229</v>
      </c>
      <c r="M2" s="22"/>
      <c r="N2" s="22"/>
      <c r="O2" s="22"/>
      <c r="P2" s="22"/>
    </row>
    <row r="4" spans="1:18">
      <c r="B4" s="7" t="s">
        <v>1230</v>
      </c>
      <c r="L4" s="7" t="s">
        <v>1234</v>
      </c>
      <c r="M4" s="7" t="s">
        <v>1233</v>
      </c>
    </row>
    <row r="5" spans="1:18">
      <c r="A5" s="7" t="s">
        <v>1231</v>
      </c>
      <c r="B5" t="s">
        <v>48</v>
      </c>
      <c r="C5" t="s">
        <v>41</v>
      </c>
      <c r="D5" t="s">
        <v>95</v>
      </c>
      <c r="E5" t="s">
        <v>32</v>
      </c>
      <c r="F5" t="s">
        <v>71</v>
      </c>
      <c r="G5" t="s">
        <v>56</v>
      </c>
      <c r="H5" t="s">
        <v>1225</v>
      </c>
      <c r="I5" t="s">
        <v>1226</v>
      </c>
      <c r="L5" s="7" t="s">
        <v>1232</v>
      </c>
      <c r="M5" t="s">
        <v>906</v>
      </c>
      <c r="N5" t="s">
        <v>887</v>
      </c>
      <c r="O5" t="s">
        <v>910</v>
      </c>
      <c r="P5" t="s">
        <v>902</v>
      </c>
      <c r="Q5" t="s">
        <v>897</v>
      </c>
      <c r="R5" t="s">
        <v>1226</v>
      </c>
    </row>
    <row r="6" spans="1:18">
      <c r="A6" s="8" t="s">
        <v>60</v>
      </c>
      <c r="L6" s="8" t="s">
        <v>889</v>
      </c>
      <c r="M6" s="18">
        <v>192090965</v>
      </c>
      <c r="N6" s="18">
        <v>205931129</v>
      </c>
      <c r="O6" s="18">
        <v>279743826</v>
      </c>
      <c r="P6" s="18">
        <v>144980730</v>
      </c>
      <c r="Q6" s="18">
        <v>248368166</v>
      </c>
      <c r="R6" s="18">
        <v>1071114816</v>
      </c>
    </row>
    <row r="7" spans="1:18">
      <c r="A7" s="8" t="s">
        <v>68</v>
      </c>
      <c r="L7" s="8" t="s">
        <v>908</v>
      </c>
      <c r="M7" s="18">
        <v>58257177</v>
      </c>
      <c r="N7" s="18">
        <v>60819374</v>
      </c>
      <c r="O7" s="18">
        <v>46447593</v>
      </c>
      <c r="P7" s="18">
        <v>38357614</v>
      </c>
      <c r="Q7" s="18">
        <v>86516528</v>
      </c>
      <c r="R7" s="18">
        <v>290398286</v>
      </c>
    </row>
    <row r="8" spans="1:18">
      <c r="A8" s="8" t="s">
        <v>31</v>
      </c>
      <c r="L8" s="8" t="s">
        <v>894</v>
      </c>
      <c r="M8" s="18">
        <v>32549009</v>
      </c>
      <c r="N8" s="18">
        <v>14765821</v>
      </c>
      <c r="O8" s="18">
        <v>55825253</v>
      </c>
      <c r="P8" s="18">
        <v>31700729</v>
      </c>
      <c r="Q8" s="18">
        <v>34943205</v>
      </c>
      <c r="R8" s="18">
        <v>169784017</v>
      </c>
    </row>
    <row r="9" spans="1:18">
      <c r="A9" s="8" t="s">
        <v>77</v>
      </c>
      <c r="L9" s="19" t="s">
        <v>1226</v>
      </c>
      <c r="M9" s="6">
        <v>282897151</v>
      </c>
      <c r="N9" s="6">
        <v>281516324</v>
      </c>
      <c r="O9" s="6">
        <v>382016672</v>
      </c>
      <c r="P9" s="6">
        <v>215039073</v>
      </c>
      <c r="Q9" s="6">
        <v>369827899</v>
      </c>
      <c r="R9" s="6">
        <v>1531297119</v>
      </c>
    </row>
    <row r="10" spans="1:18">
      <c r="A10" s="8" t="s">
        <v>40</v>
      </c>
    </row>
    <row r="11" spans="1:18">
      <c r="A11" s="8" t="s">
        <v>47</v>
      </c>
    </row>
    <row r="12" spans="1:18">
      <c r="A12" s="8" t="s">
        <v>1225</v>
      </c>
    </row>
    <row r="13" spans="1:18">
      <c r="A13" s="8" t="s">
        <v>1226</v>
      </c>
    </row>
    <row r="15" spans="1:18">
      <c r="L15" s="7" t="s">
        <v>1224</v>
      </c>
      <c r="M15" t="s">
        <v>1235</v>
      </c>
    </row>
    <row r="16" spans="1:18">
      <c r="L16" s="8" t="s">
        <v>29</v>
      </c>
      <c r="M16" s="6">
        <v>679720</v>
      </c>
    </row>
    <row r="17" spans="12:13">
      <c r="L17" s="8" t="s">
        <v>38</v>
      </c>
      <c r="M17" s="6">
        <v>520641</v>
      </c>
    </row>
    <row r="18" spans="12:13">
      <c r="L18" s="8" t="s">
        <v>45</v>
      </c>
      <c r="M18" s="6">
        <v>929381</v>
      </c>
    </row>
    <row r="19" spans="12:13">
      <c r="L19" s="8" t="s">
        <v>51</v>
      </c>
      <c r="M19" s="6">
        <v>457507</v>
      </c>
    </row>
    <row r="20" spans="12:13">
      <c r="L20" s="8" t="s">
        <v>54</v>
      </c>
      <c r="M20" s="6">
        <v>913403</v>
      </c>
    </row>
    <row r="21" spans="12:13">
      <c r="L21" s="8" t="s">
        <v>58</v>
      </c>
      <c r="M21" s="6">
        <v>929903</v>
      </c>
    </row>
    <row r="22" spans="12:13">
      <c r="L22" s="8" t="s">
        <v>63</v>
      </c>
      <c r="M22" s="6">
        <v>935421</v>
      </c>
    </row>
    <row r="23" spans="12:13">
      <c r="L23" s="8" t="s">
        <v>66</v>
      </c>
      <c r="M23" s="6">
        <v>134080</v>
      </c>
    </row>
    <row r="24" spans="12:13">
      <c r="L24" s="8" t="s">
        <v>69</v>
      </c>
      <c r="M24" s="6">
        <v>1351367</v>
      </c>
    </row>
    <row r="25" spans="12:13">
      <c r="L25" s="8" t="s">
        <v>73</v>
      </c>
      <c r="M25" s="6">
        <v>1028836</v>
      </c>
    </row>
    <row r="26" spans="12:13">
      <c r="L26" s="8" t="s">
        <v>75</v>
      </c>
      <c r="M26" s="6">
        <v>1176370</v>
      </c>
    </row>
    <row r="27" spans="12:13">
      <c r="L27" s="8" t="s">
        <v>79</v>
      </c>
      <c r="M27" s="6">
        <v>342985</v>
      </c>
    </row>
    <row r="28" spans="12:13">
      <c r="L28" s="8" t="s">
        <v>81</v>
      </c>
      <c r="M28" s="6">
        <v>174447</v>
      </c>
    </row>
    <row r="29" spans="12:13">
      <c r="L29" s="8" t="s">
        <v>83</v>
      </c>
      <c r="M29" s="6">
        <v>170029</v>
      </c>
    </row>
    <row r="30" spans="12:13">
      <c r="L30" s="8" t="s">
        <v>85</v>
      </c>
      <c r="M30" s="6">
        <v>229830</v>
      </c>
    </row>
    <row r="31" spans="12:13">
      <c r="L31" s="8" t="s">
        <v>87</v>
      </c>
      <c r="M31" s="6">
        <v>1436992</v>
      </c>
    </row>
    <row r="32" spans="12:13">
      <c r="L32" s="8" t="s">
        <v>89</v>
      </c>
      <c r="M32" s="6">
        <v>611931</v>
      </c>
    </row>
    <row r="33" spans="12:13">
      <c r="L33" s="8" t="s">
        <v>91</v>
      </c>
      <c r="M33" s="6">
        <v>356094</v>
      </c>
    </row>
    <row r="34" spans="12:13">
      <c r="L34" s="8" t="s">
        <v>93</v>
      </c>
      <c r="M34" s="6">
        <v>1286497</v>
      </c>
    </row>
    <row r="35" spans="12:13">
      <c r="L35" s="8" t="s">
        <v>96</v>
      </c>
      <c r="M35" s="6">
        <v>1461220</v>
      </c>
    </row>
    <row r="36" spans="12:13">
      <c r="L36" s="8" t="s">
        <v>98</v>
      </c>
      <c r="M36" s="6">
        <v>733404</v>
      </c>
    </row>
    <row r="37" spans="12:13">
      <c r="L37" s="8" t="s">
        <v>100</v>
      </c>
      <c r="M37" s="6">
        <v>437732</v>
      </c>
    </row>
    <row r="38" spans="12:13">
      <c r="L38" s="8" t="s">
        <v>102</v>
      </c>
      <c r="M38" s="6">
        <v>916183</v>
      </c>
    </row>
    <row r="39" spans="12:13">
      <c r="L39" s="8" t="s">
        <v>104</v>
      </c>
      <c r="M39" s="6">
        <v>672893</v>
      </c>
    </row>
    <row r="40" spans="12:13">
      <c r="L40" s="8" t="s">
        <v>106</v>
      </c>
      <c r="M40" s="6">
        <v>891965</v>
      </c>
    </row>
    <row r="41" spans="12:13">
      <c r="L41" s="8" t="s">
        <v>108</v>
      </c>
      <c r="M41" s="6">
        <v>394710</v>
      </c>
    </row>
    <row r="42" spans="12:13">
      <c r="L42" s="8" t="s">
        <v>110</v>
      </c>
      <c r="M42" s="6">
        <v>682543</v>
      </c>
    </row>
    <row r="43" spans="12:13">
      <c r="L43" s="8" t="s">
        <v>112</v>
      </c>
      <c r="M43" s="6">
        <v>834586</v>
      </c>
    </row>
    <row r="44" spans="12:13">
      <c r="L44" s="8" t="s">
        <v>114</v>
      </c>
      <c r="M44" s="6">
        <v>1061967</v>
      </c>
    </row>
    <row r="45" spans="12:13">
      <c r="L45" s="8" t="s">
        <v>115</v>
      </c>
      <c r="M45" s="6">
        <v>501157</v>
      </c>
    </row>
    <row r="46" spans="12:13">
      <c r="L46" s="8" t="s">
        <v>117</v>
      </c>
      <c r="M46" s="6">
        <v>1156581</v>
      </c>
    </row>
    <row r="47" spans="12:13">
      <c r="L47" s="8" t="s">
        <v>119</v>
      </c>
      <c r="M47" s="6">
        <v>1315898</v>
      </c>
    </row>
    <row r="48" spans="12:13">
      <c r="L48" s="8" t="s">
        <v>121</v>
      </c>
      <c r="M48" s="6">
        <v>1288360</v>
      </c>
    </row>
    <row r="49" spans="12:13">
      <c r="L49" s="8" t="s">
        <v>123</v>
      </c>
      <c r="M49" s="6">
        <v>73387</v>
      </c>
    </row>
    <row r="50" spans="12:13">
      <c r="L50" s="8" t="s">
        <v>125</v>
      </c>
      <c r="M50" s="6">
        <v>930412</v>
      </c>
    </row>
    <row r="51" spans="12:13">
      <c r="L51" s="8" t="s">
        <v>127</v>
      </c>
      <c r="M51" s="6">
        <v>1184033</v>
      </c>
    </row>
    <row r="52" spans="12:13">
      <c r="L52" s="8" t="s">
        <v>129</v>
      </c>
      <c r="M52" s="6">
        <v>194129</v>
      </c>
    </row>
    <row r="53" spans="12:13">
      <c r="L53" s="8" t="s">
        <v>131</v>
      </c>
      <c r="M53" s="6">
        <v>1078308</v>
      </c>
    </row>
    <row r="54" spans="12:13">
      <c r="L54" s="8" t="s">
        <v>133</v>
      </c>
      <c r="M54" s="6">
        <v>367875</v>
      </c>
    </row>
    <row r="55" spans="12:13">
      <c r="L55" s="8" t="s">
        <v>135</v>
      </c>
      <c r="M55" s="6">
        <v>1278337</v>
      </c>
    </row>
    <row r="56" spans="12:13">
      <c r="L56" s="8" t="s">
        <v>137</v>
      </c>
      <c r="M56" s="6">
        <v>618926</v>
      </c>
    </row>
    <row r="57" spans="12:13">
      <c r="L57" s="8" t="s">
        <v>139</v>
      </c>
      <c r="M57" s="6">
        <v>534814</v>
      </c>
    </row>
    <row r="58" spans="12:13">
      <c r="L58" s="8" t="s">
        <v>141</v>
      </c>
      <c r="M58" s="6">
        <v>1276134</v>
      </c>
    </row>
    <row r="59" spans="12:13">
      <c r="L59" s="8" t="s">
        <v>142</v>
      </c>
      <c r="M59" s="6">
        <v>472955</v>
      </c>
    </row>
    <row r="60" spans="12:13">
      <c r="L60" s="8" t="s">
        <v>144</v>
      </c>
      <c r="M60" s="6">
        <v>1469541</v>
      </c>
    </row>
    <row r="61" spans="12:13">
      <c r="L61" s="8" t="s">
        <v>146</v>
      </c>
      <c r="M61" s="6">
        <v>1102330</v>
      </c>
    </row>
    <row r="62" spans="12:13">
      <c r="L62" s="8" t="s">
        <v>148</v>
      </c>
      <c r="M62" s="6">
        <v>117260</v>
      </c>
    </row>
    <row r="63" spans="12:13">
      <c r="L63" s="8" t="s">
        <v>150</v>
      </c>
      <c r="M63" s="6">
        <v>1165488</v>
      </c>
    </row>
    <row r="64" spans="12:13">
      <c r="L64" s="8" t="s">
        <v>152</v>
      </c>
      <c r="M64" s="6">
        <v>306695</v>
      </c>
    </row>
    <row r="65" spans="12:13">
      <c r="L65" s="8" t="s">
        <v>154</v>
      </c>
      <c r="M65" s="6">
        <v>582994</v>
      </c>
    </row>
    <row r="66" spans="12:13">
      <c r="L66" s="8" t="s">
        <v>156</v>
      </c>
      <c r="M66" s="6">
        <v>845326</v>
      </c>
    </row>
    <row r="67" spans="12:13">
      <c r="L67" s="8" t="s">
        <v>158</v>
      </c>
      <c r="M67" s="6">
        <v>396130</v>
      </c>
    </row>
    <row r="68" spans="12:13">
      <c r="L68" s="8" t="s">
        <v>160</v>
      </c>
      <c r="M68" s="6">
        <v>918374</v>
      </c>
    </row>
    <row r="69" spans="12:13">
      <c r="L69" s="8" t="s">
        <v>162</v>
      </c>
      <c r="M69" s="6">
        <v>79725</v>
      </c>
    </row>
    <row r="70" spans="12:13">
      <c r="L70" s="8" t="s">
        <v>164</v>
      </c>
      <c r="M70" s="6">
        <v>1235574</v>
      </c>
    </row>
    <row r="71" spans="12:13">
      <c r="L71" s="8" t="s">
        <v>166</v>
      </c>
      <c r="M71" s="6">
        <v>154555</v>
      </c>
    </row>
    <row r="72" spans="12:13">
      <c r="L72" s="8" t="s">
        <v>168</v>
      </c>
      <c r="M72" s="6">
        <v>311486</v>
      </c>
    </row>
    <row r="73" spans="12:13">
      <c r="L73" s="8" t="s">
        <v>170</v>
      </c>
      <c r="M73" s="6">
        <v>845928</v>
      </c>
    </row>
    <row r="74" spans="12:13">
      <c r="L74" s="8" t="s">
        <v>172</v>
      </c>
      <c r="M74" s="6">
        <v>938036</v>
      </c>
    </row>
    <row r="75" spans="12:13">
      <c r="L75" s="8" t="s">
        <v>174</v>
      </c>
      <c r="M75" s="6">
        <v>924631</v>
      </c>
    </row>
    <row r="76" spans="12:13">
      <c r="L76" s="8" t="s">
        <v>176</v>
      </c>
      <c r="M76" s="6">
        <v>615609</v>
      </c>
    </row>
    <row r="77" spans="12:13">
      <c r="L77" s="8" t="s">
        <v>178</v>
      </c>
      <c r="M77" s="6">
        <v>283103</v>
      </c>
    </row>
    <row r="78" spans="12:13">
      <c r="L78" s="8" t="s">
        <v>179</v>
      </c>
      <c r="M78" s="6">
        <v>1032599</v>
      </c>
    </row>
    <row r="79" spans="12:13">
      <c r="L79" s="8" t="s">
        <v>181</v>
      </c>
      <c r="M79" s="6">
        <v>465872</v>
      </c>
    </row>
    <row r="80" spans="12:13">
      <c r="L80" s="8" t="s">
        <v>183</v>
      </c>
      <c r="M80" s="6">
        <v>105147</v>
      </c>
    </row>
    <row r="81" spans="12:13">
      <c r="L81" s="8" t="s">
        <v>185</v>
      </c>
      <c r="M81" s="6">
        <v>492882</v>
      </c>
    </row>
    <row r="82" spans="12:13">
      <c r="L82" s="8" t="s">
        <v>186</v>
      </c>
      <c r="M82" s="6">
        <v>525584</v>
      </c>
    </row>
    <row r="83" spans="12:13">
      <c r="L83" s="8" t="s">
        <v>188</v>
      </c>
      <c r="M83" s="6">
        <v>350931</v>
      </c>
    </row>
    <row r="84" spans="12:13">
      <c r="L84" s="8" t="s">
        <v>189</v>
      </c>
      <c r="M84" s="6">
        <v>294839</v>
      </c>
    </row>
    <row r="85" spans="12:13">
      <c r="L85" s="8" t="s">
        <v>191</v>
      </c>
      <c r="M85" s="6">
        <v>506162</v>
      </c>
    </row>
    <row r="86" spans="12:13">
      <c r="L86" s="8" t="s">
        <v>193</v>
      </c>
      <c r="M86" s="6">
        <v>596015</v>
      </c>
    </row>
    <row r="87" spans="12:13">
      <c r="L87" s="8" t="s">
        <v>195</v>
      </c>
      <c r="M87" s="6">
        <v>1193657</v>
      </c>
    </row>
    <row r="88" spans="12:13">
      <c r="L88" s="8" t="s">
        <v>197</v>
      </c>
      <c r="M88" s="6">
        <v>1483441</v>
      </c>
    </row>
    <row r="89" spans="12:13">
      <c r="L89" s="8" t="s">
        <v>199</v>
      </c>
      <c r="M89" s="6">
        <v>739556</v>
      </c>
    </row>
    <row r="90" spans="12:13">
      <c r="L90" s="8" t="s">
        <v>201</v>
      </c>
      <c r="M90" s="6">
        <v>742095</v>
      </c>
    </row>
    <row r="91" spans="12:13">
      <c r="L91" s="8" t="s">
        <v>202</v>
      </c>
      <c r="M91" s="6">
        <v>810109</v>
      </c>
    </row>
    <row r="92" spans="12:13">
      <c r="L92" s="8" t="s">
        <v>204</v>
      </c>
      <c r="M92" s="6">
        <v>1178678</v>
      </c>
    </row>
    <row r="93" spans="12:13">
      <c r="L93" s="8" t="s">
        <v>205</v>
      </c>
      <c r="M93" s="6">
        <v>1047082</v>
      </c>
    </row>
    <row r="94" spans="12:13">
      <c r="L94" s="8" t="s">
        <v>207</v>
      </c>
      <c r="M94" s="6">
        <v>206570</v>
      </c>
    </row>
    <row r="95" spans="12:13">
      <c r="L95" s="8" t="s">
        <v>208</v>
      </c>
      <c r="M95" s="6">
        <v>1166271</v>
      </c>
    </row>
    <row r="96" spans="12:13">
      <c r="L96" s="8" t="s">
        <v>210</v>
      </c>
      <c r="M96" s="6">
        <v>481116</v>
      </c>
    </row>
    <row r="97" spans="12:13">
      <c r="L97" s="8" t="s">
        <v>211</v>
      </c>
      <c r="M97" s="6">
        <v>571608</v>
      </c>
    </row>
    <row r="98" spans="12:13">
      <c r="L98" s="8" t="s">
        <v>213</v>
      </c>
      <c r="M98" s="6">
        <v>167235</v>
      </c>
    </row>
    <row r="99" spans="12:13">
      <c r="L99" s="8" t="s">
        <v>215</v>
      </c>
      <c r="M99" s="6">
        <v>1052403</v>
      </c>
    </row>
    <row r="100" spans="12:13">
      <c r="L100" s="8" t="s">
        <v>217</v>
      </c>
      <c r="M100" s="6">
        <v>1117609</v>
      </c>
    </row>
    <row r="101" spans="12:13">
      <c r="L101" s="8" t="s">
        <v>219</v>
      </c>
      <c r="M101" s="6">
        <v>566409</v>
      </c>
    </row>
    <row r="102" spans="12:13">
      <c r="L102" s="8" t="s">
        <v>221</v>
      </c>
      <c r="M102" s="6">
        <v>716165</v>
      </c>
    </row>
    <row r="103" spans="12:13">
      <c r="L103" s="8" t="s">
        <v>223</v>
      </c>
      <c r="M103" s="6">
        <v>741211</v>
      </c>
    </row>
    <row r="104" spans="12:13">
      <c r="L104" s="8" t="s">
        <v>225</v>
      </c>
      <c r="M104" s="6">
        <v>601120</v>
      </c>
    </row>
    <row r="105" spans="12:13">
      <c r="L105" s="8" t="s">
        <v>227</v>
      </c>
      <c r="M105" s="6">
        <v>1293085</v>
      </c>
    </row>
    <row r="106" spans="12:13">
      <c r="L106" s="8" t="s">
        <v>229</v>
      </c>
      <c r="M106" s="6">
        <v>1476445</v>
      </c>
    </row>
    <row r="107" spans="12:13">
      <c r="L107" s="8" t="s">
        <v>231</v>
      </c>
      <c r="M107" s="6">
        <v>195016</v>
      </c>
    </row>
    <row r="108" spans="12:13">
      <c r="L108" s="8" t="s">
        <v>233</v>
      </c>
      <c r="M108" s="6">
        <v>332017</v>
      </c>
    </row>
    <row r="109" spans="12:13">
      <c r="L109" s="8" t="s">
        <v>235</v>
      </c>
      <c r="M109" s="6">
        <v>1188040</v>
      </c>
    </row>
    <row r="110" spans="12:13">
      <c r="L110" s="8" t="s">
        <v>236</v>
      </c>
      <c r="M110" s="6">
        <v>720739</v>
      </c>
    </row>
    <row r="111" spans="12:13">
      <c r="L111" s="8" t="s">
        <v>237</v>
      </c>
      <c r="M111" s="6">
        <v>1215898</v>
      </c>
    </row>
    <row r="112" spans="12:13">
      <c r="L112" s="8" t="s">
        <v>239</v>
      </c>
      <c r="M112" s="6">
        <v>795182</v>
      </c>
    </row>
    <row r="113" spans="12:13">
      <c r="L113" s="8" t="s">
        <v>241</v>
      </c>
      <c r="M113" s="6">
        <v>497557</v>
      </c>
    </row>
    <row r="114" spans="12:13">
      <c r="L114" s="8" t="s">
        <v>243</v>
      </c>
      <c r="M114" s="6">
        <v>848519</v>
      </c>
    </row>
    <row r="115" spans="12:13">
      <c r="L115" s="8" t="s">
        <v>244</v>
      </c>
      <c r="M115" s="6">
        <v>466978</v>
      </c>
    </row>
    <row r="116" spans="12:13">
      <c r="L116" s="8" t="s">
        <v>245</v>
      </c>
      <c r="M116" s="6">
        <v>1083316</v>
      </c>
    </row>
    <row r="117" spans="12:13">
      <c r="L117" s="8" t="s">
        <v>247</v>
      </c>
      <c r="M117" s="6">
        <v>919049</v>
      </c>
    </row>
    <row r="118" spans="12:13">
      <c r="L118" s="8" t="s">
        <v>249</v>
      </c>
      <c r="M118" s="6">
        <v>674771</v>
      </c>
    </row>
    <row r="119" spans="12:13">
      <c r="L119" s="8" t="s">
        <v>251</v>
      </c>
      <c r="M119" s="6">
        <v>573886</v>
      </c>
    </row>
    <row r="120" spans="12:13">
      <c r="L120" s="8" t="s">
        <v>252</v>
      </c>
      <c r="M120" s="6">
        <v>1333203</v>
      </c>
    </row>
    <row r="121" spans="12:13">
      <c r="L121" s="8" t="s">
        <v>254</v>
      </c>
      <c r="M121" s="6">
        <v>592601</v>
      </c>
    </row>
    <row r="122" spans="12:13">
      <c r="L122" s="8" t="s">
        <v>255</v>
      </c>
      <c r="M122" s="6">
        <v>1213490</v>
      </c>
    </row>
    <row r="123" spans="12:13">
      <c r="L123" s="8" t="s">
        <v>257</v>
      </c>
      <c r="M123" s="6">
        <v>597993</v>
      </c>
    </row>
    <row r="124" spans="12:13">
      <c r="L124" s="8" t="s">
        <v>259</v>
      </c>
      <c r="M124" s="6">
        <v>153892</v>
      </c>
    </row>
    <row r="125" spans="12:13">
      <c r="L125" s="8" t="s">
        <v>261</v>
      </c>
      <c r="M125" s="6">
        <v>1362743</v>
      </c>
    </row>
    <row r="126" spans="12:13">
      <c r="L126" s="8" t="s">
        <v>263</v>
      </c>
      <c r="M126" s="6">
        <v>693942</v>
      </c>
    </row>
    <row r="127" spans="12:13">
      <c r="L127" s="8" t="s">
        <v>265</v>
      </c>
      <c r="M127" s="6">
        <v>1289444</v>
      </c>
    </row>
    <row r="128" spans="12:13">
      <c r="L128" s="8" t="s">
        <v>267</v>
      </c>
      <c r="M128" s="6">
        <v>1178649</v>
      </c>
    </row>
    <row r="129" spans="12:13">
      <c r="L129" s="8" t="s">
        <v>269</v>
      </c>
      <c r="M129" s="6">
        <v>154195</v>
      </c>
    </row>
    <row r="130" spans="12:13">
      <c r="L130" s="8" t="s">
        <v>271</v>
      </c>
      <c r="M130" s="6">
        <v>766987</v>
      </c>
    </row>
    <row r="131" spans="12:13">
      <c r="L131" s="8" t="s">
        <v>273</v>
      </c>
      <c r="M131" s="6">
        <v>1132424</v>
      </c>
    </row>
    <row r="132" spans="12:13">
      <c r="L132" s="8" t="s">
        <v>275</v>
      </c>
      <c r="M132" s="6">
        <v>982883</v>
      </c>
    </row>
    <row r="133" spans="12:13">
      <c r="L133" s="8" t="s">
        <v>277</v>
      </c>
      <c r="M133" s="6">
        <v>1388486</v>
      </c>
    </row>
    <row r="134" spans="12:13">
      <c r="L134" s="8" t="s">
        <v>279</v>
      </c>
      <c r="M134" s="6">
        <v>1076630</v>
      </c>
    </row>
    <row r="135" spans="12:13">
      <c r="L135" s="8" t="s">
        <v>280</v>
      </c>
      <c r="M135" s="6">
        <v>118099</v>
      </c>
    </row>
    <row r="136" spans="12:13">
      <c r="L136" s="8" t="s">
        <v>282</v>
      </c>
      <c r="M136" s="6">
        <v>1062237</v>
      </c>
    </row>
    <row r="137" spans="12:13">
      <c r="L137" s="8" t="s">
        <v>284</v>
      </c>
      <c r="M137" s="6">
        <v>1167698</v>
      </c>
    </row>
    <row r="138" spans="12:13">
      <c r="L138" s="8" t="s">
        <v>285</v>
      </c>
      <c r="M138" s="6">
        <v>623156</v>
      </c>
    </row>
    <row r="139" spans="12:13">
      <c r="L139" s="8" t="s">
        <v>287</v>
      </c>
      <c r="M139" s="6">
        <v>1367363</v>
      </c>
    </row>
    <row r="140" spans="12:13">
      <c r="L140" s="8" t="s">
        <v>289</v>
      </c>
      <c r="M140" s="6">
        <v>536275</v>
      </c>
    </row>
    <row r="141" spans="12:13">
      <c r="L141" s="8" t="s">
        <v>290</v>
      </c>
      <c r="M141" s="6">
        <v>348871</v>
      </c>
    </row>
    <row r="142" spans="12:13">
      <c r="L142" s="8" t="s">
        <v>292</v>
      </c>
      <c r="M142" s="6">
        <v>1207655</v>
      </c>
    </row>
    <row r="143" spans="12:13">
      <c r="L143" s="8" t="s">
        <v>294</v>
      </c>
      <c r="M143" s="6">
        <v>902129</v>
      </c>
    </row>
    <row r="144" spans="12:13">
      <c r="L144" s="8" t="s">
        <v>296</v>
      </c>
      <c r="M144" s="6">
        <v>1114605</v>
      </c>
    </row>
    <row r="145" spans="12:13">
      <c r="L145" s="8" t="s">
        <v>297</v>
      </c>
      <c r="M145" s="6">
        <v>1344929</v>
      </c>
    </row>
    <row r="146" spans="12:13">
      <c r="L146" s="8" t="s">
        <v>298</v>
      </c>
      <c r="M146" s="6">
        <v>457442</v>
      </c>
    </row>
    <row r="147" spans="12:13">
      <c r="L147" s="8" t="s">
        <v>299</v>
      </c>
      <c r="M147" s="6">
        <v>1293294</v>
      </c>
    </row>
    <row r="148" spans="12:13">
      <c r="L148" s="8" t="s">
        <v>301</v>
      </c>
      <c r="M148" s="6">
        <v>1470178</v>
      </c>
    </row>
    <row r="149" spans="12:13">
      <c r="L149" s="8" t="s">
        <v>303</v>
      </c>
      <c r="M149" s="6">
        <v>946816</v>
      </c>
    </row>
    <row r="150" spans="12:13">
      <c r="L150" s="8" t="s">
        <v>305</v>
      </c>
      <c r="M150" s="6">
        <v>1167502</v>
      </c>
    </row>
    <row r="151" spans="12:13">
      <c r="L151" s="8" t="s">
        <v>307</v>
      </c>
      <c r="M151" s="6">
        <v>367650</v>
      </c>
    </row>
    <row r="152" spans="12:13">
      <c r="L152" s="8" t="s">
        <v>308</v>
      </c>
      <c r="M152" s="6">
        <v>493031</v>
      </c>
    </row>
    <row r="153" spans="12:13">
      <c r="L153" s="8" t="s">
        <v>310</v>
      </c>
      <c r="M153" s="6">
        <v>1140668</v>
      </c>
    </row>
    <row r="154" spans="12:13">
      <c r="L154" s="8" t="s">
        <v>312</v>
      </c>
      <c r="M154" s="6">
        <v>1423259</v>
      </c>
    </row>
    <row r="155" spans="12:13">
      <c r="L155" s="8" t="s">
        <v>314</v>
      </c>
      <c r="M155" s="6">
        <v>1033581</v>
      </c>
    </row>
    <row r="156" spans="12:13">
      <c r="L156" s="8" t="s">
        <v>316</v>
      </c>
      <c r="M156" s="6">
        <v>202889</v>
      </c>
    </row>
    <row r="157" spans="12:13">
      <c r="L157" s="8" t="s">
        <v>318</v>
      </c>
      <c r="M157" s="6">
        <v>743221</v>
      </c>
    </row>
    <row r="158" spans="12:13">
      <c r="L158" s="8" t="s">
        <v>320</v>
      </c>
      <c r="M158" s="6">
        <v>225006</v>
      </c>
    </row>
    <row r="159" spans="12:13">
      <c r="L159" s="8" t="s">
        <v>322</v>
      </c>
      <c r="M159" s="6">
        <v>819727</v>
      </c>
    </row>
    <row r="160" spans="12:13">
      <c r="L160" s="8" t="s">
        <v>323</v>
      </c>
      <c r="M160" s="6">
        <v>1239906</v>
      </c>
    </row>
    <row r="161" spans="12:13">
      <c r="L161" s="8" t="s">
        <v>324</v>
      </c>
      <c r="M161" s="6">
        <v>1156351</v>
      </c>
    </row>
    <row r="162" spans="12:13">
      <c r="L162" s="8" t="s">
        <v>325</v>
      </c>
      <c r="M162" s="6">
        <v>1366189</v>
      </c>
    </row>
    <row r="163" spans="12:13">
      <c r="L163" s="8" t="s">
        <v>326</v>
      </c>
      <c r="M163" s="6">
        <v>340998</v>
      </c>
    </row>
    <row r="164" spans="12:13">
      <c r="L164" s="8" t="s">
        <v>327</v>
      </c>
      <c r="M164" s="6">
        <v>711616</v>
      </c>
    </row>
    <row r="165" spans="12:13">
      <c r="L165" s="8" t="s">
        <v>328</v>
      </c>
      <c r="M165" s="6">
        <v>126256</v>
      </c>
    </row>
    <row r="166" spans="12:13">
      <c r="L166" s="8" t="s">
        <v>329</v>
      </c>
      <c r="M166" s="6">
        <v>1001441</v>
      </c>
    </row>
    <row r="167" spans="12:13">
      <c r="L167" s="8" t="s">
        <v>330</v>
      </c>
      <c r="M167" s="6">
        <v>1459854</v>
      </c>
    </row>
    <row r="168" spans="12:13">
      <c r="L168" s="8" t="s">
        <v>332</v>
      </c>
      <c r="M168" s="6">
        <v>231360</v>
      </c>
    </row>
    <row r="169" spans="12:13">
      <c r="L169" s="8" t="s">
        <v>333</v>
      </c>
      <c r="M169" s="6">
        <v>396874</v>
      </c>
    </row>
    <row r="170" spans="12:13">
      <c r="L170" s="8" t="s">
        <v>335</v>
      </c>
      <c r="M170" s="6">
        <v>468267</v>
      </c>
    </row>
    <row r="171" spans="12:13">
      <c r="L171" s="8" t="s">
        <v>336</v>
      </c>
      <c r="M171" s="6">
        <v>1388106</v>
      </c>
    </row>
    <row r="172" spans="12:13">
      <c r="L172" s="8" t="s">
        <v>337</v>
      </c>
      <c r="M172" s="6">
        <v>1341210</v>
      </c>
    </row>
    <row r="173" spans="12:13">
      <c r="L173" s="8" t="s">
        <v>339</v>
      </c>
      <c r="M173" s="6">
        <v>983688</v>
      </c>
    </row>
    <row r="174" spans="12:13">
      <c r="L174" s="8" t="s">
        <v>341</v>
      </c>
      <c r="M174" s="6">
        <v>83787</v>
      </c>
    </row>
    <row r="175" spans="12:13">
      <c r="L175" s="8" t="s">
        <v>343</v>
      </c>
      <c r="M175" s="6">
        <v>595909</v>
      </c>
    </row>
    <row r="176" spans="12:13">
      <c r="L176" s="8" t="s">
        <v>345</v>
      </c>
      <c r="M176" s="6">
        <v>652272</v>
      </c>
    </row>
    <row r="177" spans="12:13">
      <c r="L177" s="8" t="s">
        <v>347</v>
      </c>
      <c r="M177" s="6">
        <v>361955</v>
      </c>
    </row>
    <row r="178" spans="12:13">
      <c r="L178" s="8" t="s">
        <v>349</v>
      </c>
      <c r="M178" s="6">
        <v>80447</v>
      </c>
    </row>
    <row r="179" spans="12:13">
      <c r="L179" s="8" t="s">
        <v>351</v>
      </c>
      <c r="M179" s="6">
        <v>178046</v>
      </c>
    </row>
    <row r="180" spans="12:13">
      <c r="L180" s="8" t="s">
        <v>352</v>
      </c>
      <c r="M180" s="6">
        <v>789290</v>
      </c>
    </row>
    <row r="181" spans="12:13">
      <c r="L181" s="8" t="s">
        <v>354</v>
      </c>
      <c r="M181" s="6">
        <v>1067541</v>
      </c>
    </row>
    <row r="182" spans="12:13">
      <c r="L182" s="8" t="s">
        <v>356</v>
      </c>
      <c r="M182" s="6">
        <v>691147</v>
      </c>
    </row>
    <row r="183" spans="12:13">
      <c r="L183" s="8" t="s">
        <v>358</v>
      </c>
      <c r="M183" s="6">
        <v>238490</v>
      </c>
    </row>
    <row r="184" spans="12:13">
      <c r="L184" s="8" t="s">
        <v>360</v>
      </c>
      <c r="M184" s="6">
        <v>1082038</v>
      </c>
    </row>
    <row r="185" spans="12:13">
      <c r="L185" s="8" t="s">
        <v>362</v>
      </c>
      <c r="M185" s="6">
        <v>457688</v>
      </c>
    </row>
    <row r="186" spans="12:13">
      <c r="L186" s="8" t="s">
        <v>363</v>
      </c>
      <c r="M186" s="6">
        <v>554409</v>
      </c>
    </row>
    <row r="187" spans="12:13">
      <c r="L187" s="8" t="s">
        <v>365</v>
      </c>
      <c r="M187" s="6">
        <v>1336980</v>
      </c>
    </row>
    <row r="188" spans="12:13">
      <c r="L188" s="8" t="s">
        <v>366</v>
      </c>
      <c r="M188" s="6">
        <v>566595</v>
      </c>
    </row>
    <row r="189" spans="12:13">
      <c r="L189" s="8" t="s">
        <v>367</v>
      </c>
      <c r="M189" s="6">
        <v>713689</v>
      </c>
    </row>
    <row r="190" spans="12:13">
      <c r="L190" s="8" t="s">
        <v>369</v>
      </c>
      <c r="M190" s="6">
        <v>215937</v>
      </c>
    </row>
    <row r="191" spans="12:13">
      <c r="L191" s="8" t="s">
        <v>370</v>
      </c>
      <c r="M191" s="6">
        <v>1145426</v>
      </c>
    </row>
    <row r="192" spans="12:13">
      <c r="L192" s="8" t="s">
        <v>371</v>
      </c>
      <c r="M192" s="6">
        <v>1414940</v>
      </c>
    </row>
    <row r="193" spans="12:13">
      <c r="L193" s="8" t="s">
        <v>373</v>
      </c>
      <c r="M193" s="6">
        <v>293306</v>
      </c>
    </row>
    <row r="194" spans="12:13">
      <c r="L194" s="8" t="s">
        <v>374</v>
      </c>
      <c r="M194" s="6">
        <v>1192384</v>
      </c>
    </row>
    <row r="195" spans="12:13">
      <c r="L195" s="8" t="s">
        <v>376</v>
      </c>
      <c r="M195" s="6">
        <v>711757</v>
      </c>
    </row>
    <row r="196" spans="12:13">
      <c r="L196" s="8" t="s">
        <v>377</v>
      </c>
      <c r="M196" s="6">
        <v>278981</v>
      </c>
    </row>
    <row r="197" spans="12:13">
      <c r="L197" s="8" t="s">
        <v>379</v>
      </c>
      <c r="M197" s="6">
        <v>572220</v>
      </c>
    </row>
    <row r="198" spans="12:13">
      <c r="L198" s="8" t="s">
        <v>381</v>
      </c>
      <c r="M198" s="6">
        <v>103072</v>
      </c>
    </row>
    <row r="199" spans="12:13">
      <c r="L199" s="8" t="s">
        <v>382</v>
      </c>
      <c r="M199" s="6">
        <v>1121860</v>
      </c>
    </row>
    <row r="200" spans="12:13">
      <c r="L200" s="8" t="s">
        <v>383</v>
      </c>
      <c r="M200" s="6">
        <v>133369</v>
      </c>
    </row>
    <row r="201" spans="12:13">
      <c r="L201" s="8" t="s">
        <v>385</v>
      </c>
      <c r="M201" s="6">
        <v>861554</v>
      </c>
    </row>
    <row r="202" spans="12:13">
      <c r="L202" s="8" t="s">
        <v>387</v>
      </c>
      <c r="M202" s="6">
        <v>787266</v>
      </c>
    </row>
    <row r="203" spans="12:13">
      <c r="L203" s="8" t="s">
        <v>388</v>
      </c>
      <c r="M203" s="6">
        <v>637100</v>
      </c>
    </row>
    <row r="204" spans="12:13">
      <c r="L204" s="8" t="s">
        <v>390</v>
      </c>
      <c r="M204" s="6">
        <v>1368719</v>
      </c>
    </row>
    <row r="205" spans="12:13">
      <c r="L205" s="8" t="s">
        <v>392</v>
      </c>
      <c r="M205" s="6">
        <v>334580</v>
      </c>
    </row>
    <row r="206" spans="12:13">
      <c r="L206" s="8" t="s">
        <v>393</v>
      </c>
      <c r="M206" s="6">
        <v>573156</v>
      </c>
    </row>
    <row r="207" spans="12:13">
      <c r="L207" s="8" t="s">
        <v>395</v>
      </c>
      <c r="M207" s="6">
        <v>819097</v>
      </c>
    </row>
    <row r="208" spans="12:13">
      <c r="L208" s="8" t="s">
        <v>397</v>
      </c>
      <c r="M208" s="6">
        <v>302164</v>
      </c>
    </row>
    <row r="209" spans="12:13">
      <c r="L209" s="8" t="s">
        <v>398</v>
      </c>
      <c r="M209" s="6">
        <v>819605</v>
      </c>
    </row>
    <row r="210" spans="12:13">
      <c r="L210" s="8" t="s">
        <v>399</v>
      </c>
      <c r="M210" s="6">
        <v>1386921</v>
      </c>
    </row>
    <row r="211" spans="12:13">
      <c r="L211" s="8" t="s">
        <v>400</v>
      </c>
      <c r="M211" s="6">
        <v>200787</v>
      </c>
    </row>
    <row r="212" spans="12:13">
      <c r="L212" s="8" t="s">
        <v>401</v>
      </c>
      <c r="M212" s="6">
        <v>210381</v>
      </c>
    </row>
    <row r="213" spans="12:13">
      <c r="L213" s="8" t="s">
        <v>402</v>
      </c>
      <c r="M213" s="6">
        <v>499830</v>
      </c>
    </row>
    <row r="214" spans="12:13">
      <c r="L214" s="8" t="s">
        <v>403</v>
      </c>
      <c r="M214" s="6">
        <v>954098</v>
      </c>
    </row>
    <row r="215" spans="12:13">
      <c r="L215" s="8" t="s">
        <v>405</v>
      </c>
      <c r="M215" s="6">
        <v>1455568</v>
      </c>
    </row>
    <row r="216" spans="12:13">
      <c r="L216" s="8" t="s">
        <v>406</v>
      </c>
      <c r="M216" s="6">
        <v>118920</v>
      </c>
    </row>
    <row r="217" spans="12:13">
      <c r="L217" s="8" t="s">
        <v>407</v>
      </c>
      <c r="M217" s="6">
        <v>880051</v>
      </c>
    </row>
    <row r="218" spans="12:13">
      <c r="L218" s="8" t="s">
        <v>409</v>
      </c>
      <c r="M218" s="6">
        <v>700024</v>
      </c>
    </row>
    <row r="219" spans="12:13">
      <c r="L219" s="8" t="s">
        <v>410</v>
      </c>
      <c r="M219" s="6">
        <v>980997</v>
      </c>
    </row>
    <row r="220" spans="12:13">
      <c r="L220" s="8" t="s">
        <v>411</v>
      </c>
      <c r="M220" s="6">
        <v>591357</v>
      </c>
    </row>
    <row r="221" spans="12:13">
      <c r="L221" s="8" t="s">
        <v>412</v>
      </c>
      <c r="M221" s="6">
        <v>57531</v>
      </c>
    </row>
    <row r="222" spans="12:13">
      <c r="L222" s="8" t="s">
        <v>413</v>
      </c>
      <c r="M222" s="6">
        <v>480267</v>
      </c>
    </row>
    <row r="223" spans="12:13">
      <c r="L223" s="8" t="s">
        <v>414</v>
      </c>
      <c r="M223" s="6">
        <v>1165731</v>
      </c>
    </row>
    <row r="224" spans="12:13">
      <c r="L224" s="8" t="s">
        <v>416</v>
      </c>
      <c r="M224" s="6">
        <v>981479</v>
      </c>
    </row>
    <row r="225" spans="12:13">
      <c r="L225" s="8" t="s">
        <v>418</v>
      </c>
      <c r="M225" s="6">
        <v>357747</v>
      </c>
    </row>
    <row r="226" spans="12:13">
      <c r="L226" s="8" t="s">
        <v>419</v>
      </c>
      <c r="M226" s="6">
        <v>990756</v>
      </c>
    </row>
    <row r="227" spans="12:13">
      <c r="L227" s="8" t="s">
        <v>421</v>
      </c>
      <c r="M227" s="6">
        <v>524013</v>
      </c>
    </row>
    <row r="228" spans="12:13">
      <c r="L228" s="8" t="s">
        <v>423</v>
      </c>
      <c r="M228" s="6">
        <v>182503</v>
      </c>
    </row>
    <row r="229" spans="12:13">
      <c r="L229" s="8" t="s">
        <v>424</v>
      </c>
      <c r="M229" s="6">
        <v>742841</v>
      </c>
    </row>
    <row r="230" spans="12:13">
      <c r="L230" s="8" t="s">
        <v>425</v>
      </c>
      <c r="M230" s="6">
        <v>714917</v>
      </c>
    </row>
    <row r="231" spans="12:13">
      <c r="L231" s="8" t="s">
        <v>426</v>
      </c>
      <c r="M231" s="6">
        <v>1464022</v>
      </c>
    </row>
    <row r="232" spans="12:13">
      <c r="L232" s="8" t="s">
        <v>427</v>
      </c>
      <c r="M232" s="6">
        <v>1002246</v>
      </c>
    </row>
    <row r="233" spans="12:13">
      <c r="L233" s="8" t="s">
        <v>429</v>
      </c>
      <c r="M233" s="6">
        <v>69675</v>
      </c>
    </row>
    <row r="234" spans="12:13">
      <c r="L234" s="8" t="s">
        <v>430</v>
      </c>
      <c r="M234" s="6">
        <v>123997</v>
      </c>
    </row>
    <row r="235" spans="12:13">
      <c r="L235" s="8" t="s">
        <v>432</v>
      </c>
      <c r="M235" s="6">
        <v>198087</v>
      </c>
    </row>
    <row r="236" spans="12:13">
      <c r="L236" s="8" t="s">
        <v>433</v>
      </c>
      <c r="M236" s="6">
        <v>1017561</v>
      </c>
    </row>
    <row r="237" spans="12:13">
      <c r="L237" s="8" t="s">
        <v>435</v>
      </c>
      <c r="M237" s="6">
        <v>536799</v>
      </c>
    </row>
    <row r="238" spans="12:13">
      <c r="L238" s="8" t="s">
        <v>436</v>
      </c>
      <c r="M238" s="6">
        <v>569349</v>
      </c>
    </row>
    <row r="239" spans="12:13">
      <c r="L239" s="8" t="s">
        <v>437</v>
      </c>
      <c r="M239" s="6">
        <v>805678</v>
      </c>
    </row>
    <row r="240" spans="12:13">
      <c r="L240" s="8" t="s">
        <v>438</v>
      </c>
      <c r="M240" s="6">
        <v>190905</v>
      </c>
    </row>
    <row r="241" spans="12:13">
      <c r="L241" s="8" t="s">
        <v>440</v>
      </c>
      <c r="M241" s="6">
        <v>320040</v>
      </c>
    </row>
    <row r="242" spans="12:13">
      <c r="L242" s="8" t="s">
        <v>441</v>
      </c>
      <c r="M242" s="6">
        <v>361877</v>
      </c>
    </row>
    <row r="243" spans="12:13">
      <c r="L243" s="8" t="s">
        <v>442</v>
      </c>
      <c r="M243" s="6">
        <v>616088</v>
      </c>
    </row>
    <row r="244" spans="12:13">
      <c r="L244" s="8" t="s">
        <v>443</v>
      </c>
      <c r="M244" s="6">
        <v>1194620</v>
      </c>
    </row>
    <row r="245" spans="12:13">
      <c r="L245" s="8" t="s">
        <v>445</v>
      </c>
      <c r="M245" s="6">
        <v>317491</v>
      </c>
    </row>
    <row r="246" spans="12:13">
      <c r="L246" s="8" t="s">
        <v>446</v>
      </c>
      <c r="M246" s="6">
        <v>539066</v>
      </c>
    </row>
    <row r="247" spans="12:13">
      <c r="L247" s="8" t="s">
        <v>448</v>
      </c>
      <c r="M247" s="6">
        <v>708003</v>
      </c>
    </row>
    <row r="248" spans="12:13">
      <c r="L248" s="8" t="s">
        <v>449</v>
      </c>
      <c r="M248" s="6">
        <v>352929</v>
      </c>
    </row>
    <row r="249" spans="12:13">
      <c r="L249" s="8" t="s">
        <v>451</v>
      </c>
      <c r="M249" s="6">
        <v>855113</v>
      </c>
    </row>
    <row r="250" spans="12:13">
      <c r="L250" s="8" t="s">
        <v>452</v>
      </c>
      <c r="M250" s="6">
        <v>416008</v>
      </c>
    </row>
    <row r="251" spans="12:13">
      <c r="L251" s="8" t="s">
        <v>453</v>
      </c>
      <c r="M251" s="6">
        <v>983396</v>
      </c>
    </row>
    <row r="252" spans="12:13">
      <c r="L252" s="8" t="s">
        <v>454</v>
      </c>
      <c r="M252" s="6">
        <v>883731</v>
      </c>
    </row>
    <row r="253" spans="12:13">
      <c r="L253" s="8" t="s">
        <v>456</v>
      </c>
      <c r="M253" s="6">
        <v>1115649</v>
      </c>
    </row>
    <row r="254" spans="12:13">
      <c r="L254" s="8" t="s">
        <v>457</v>
      </c>
      <c r="M254" s="6">
        <v>803158</v>
      </c>
    </row>
    <row r="255" spans="12:13">
      <c r="L255" s="8" t="s">
        <v>458</v>
      </c>
      <c r="M255" s="6">
        <v>165359</v>
      </c>
    </row>
    <row r="256" spans="12:13">
      <c r="L256" s="8" t="s">
        <v>460</v>
      </c>
      <c r="M256" s="6">
        <v>975431</v>
      </c>
    </row>
    <row r="257" spans="12:13">
      <c r="L257" s="8" t="s">
        <v>462</v>
      </c>
      <c r="M257" s="6">
        <v>116707</v>
      </c>
    </row>
    <row r="258" spans="12:13">
      <c r="L258" s="8" t="s">
        <v>464</v>
      </c>
      <c r="M258" s="6">
        <v>301351</v>
      </c>
    </row>
    <row r="259" spans="12:13">
      <c r="L259" s="8" t="s">
        <v>465</v>
      </c>
      <c r="M259" s="6">
        <v>520670</v>
      </c>
    </row>
    <row r="260" spans="12:13">
      <c r="L260" s="8" t="s">
        <v>466</v>
      </c>
      <c r="M260" s="6">
        <v>1337087</v>
      </c>
    </row>
    <row r="261" spans="12:13">
      <c r="L261" s="8" t="s">
        <v>468</v>
      </c>
      <c r="M261" s="6">
        <v>1334294</v>
      </c>
    </row>
    <row r="262" spans="12:13">
      <c r="L262" s="8" t="s">
        <v>470</v>
      </c>
      <c r="M262" s="6">
        <v>100601</v>
      </c>
    </row>
    <row r="263" spans="12:13">
      <c r="L263" s="8" t="s">
        <v>471</v>
      </c>
      <c r="M263" s="6">
        <v>1044969</v>
      </c>
    </row>
    <row r="264" spans="12:13">
      <c r="L264" s="8" t="s">
        <v>472</v>
      </c>
      <c r="M264" s="6">
        <v>1494331</v>
      </c>
    </row>
    <row r="265" spans="12:13">
      <c r="L265" s="8" t="s">
        <v>474</v>
      </c>
      <c r="M265" s="6">
        <v>545479</v>
      </c>
    </row>
    <row r="266" spans="12:13">
      <c r="L266" s="8" t="s">
        <v>475</v>
      </c>
      <c r="M266" s="6">
        <v>301924</v>
      </c>
    </row>
    <row r="267" spans="12:13">
      <c r="L267" s="8" t="s">
        <v>477</v>
      </c>
      <c r="M267" s="6">
        <v>833441</v>
      </c>
    </row>
    <row r="268" spans="12:13">
      <c r="L268" s="8" t="s">
        <v>478</v>
      </c>
      <c r="M268" s="6">
        <v>299430</v>
      </c>
    </row>
    <row r="269" spans="12:13">
      <c r="L269" s="8" t="s">
        <v>479</v>
      </c>
      <c r="M269" s="6">
        <v>1221364</v>
      </c>
    </row>
    <row r="270" spans="12:13">
      <c r="L270" s="8" t="s">
        <v>480</v>
      </c>
      <c r="M270" s="6">
        <v>330466</v>
      </c>
    </row>
    <row r="271" spans="12:13">
      <c r="L271" s="8" t="s">
        <v>481</v>
      </c>
      <c r="M271" s="6">
        <v>500930</v>
      </c>
    </row>
    <row r="272" spans="12:13">
      <c r="L272" s="8" t="s">
        <v>483</v>
      </c>
      <c r="M272" s="6">
        <v>1448616</v>
      </c>
    </row>
    <row r="273" spans="12:13">
      <c r="L273" s="8" t="s">
        <v>484</v>
      </c>
      <c r="M273" s="6">
        <v>1160868</v>
      </c>
    </row>
    <row r="274" spans="12:13">
      <c r="L274" s="8" t="s">
        <v>486</v>
      </c>
      <c r="M274" s="6">
        <v>603343</v>
      </c>
    </row>
    <row r="275" spans="12:13">
      <c r="L275" s="8" t="s">
        <v>488</v>
      </c>
      <c r="M275" s="6">
        <v>355035</v>
      </c>
    </row>
    <row r="276" spans="12:13">
      <c r="L276" s="8" t="s">
        <v>490</v>
      </c>
      <c r="M276" s="6">
        <v>1451256</v>
      </c>
    </row>
    <row r="277" spans="12:13">
      <c r="L277" s="8" t="s">
        <v>491</v>
      </c>
      <c r="M277" s="6">
        <v>318448</v>
      </c>
    </row>
    <row r="278" spans="12:13">
      <c r="L278" s="8" t="s">
        <v>492</v>
      </c>
      <c r="M278" s="6">
        <v>1258948</v>
      </c>
    </row>
    <row r="279" spans="12:13">
      <c r="L279" s="8" t="s">
        <v>494</v>
      </c>
      <c r="M279" s="6">
        <v>991763</v>
      </c>
    </row>
    <row r="280" spans="12:13">
      <c r="L280" s="8" t="s">
        <v>496</v>
      </c>
      <c r="M280" s="6">
        <v>141006</v>
      </c>
    </row>
    <row r="281" spans="12:13">
      <c r="L281" s="8" t="s">
        <v>498</v>
      </c>
      <c r="M281" s="6">
        <v>179350</v>
      </c>
    </row>
    <row r="282" spans="12:13">
      <c r="L282" s="8" t="s">
        <v>500</v>
      </c>
      <c r="M282" s="6">
        <v>738725</v>
      </c>
    </row>
    <row r="283" spans="12:13">
      <c r="L283" s="8" t="s">
        <v>501</v>
      </c>
      <c r="M283" s="6">
        <v>855878</v>
      </c>
    </row>
    <row r="284" spans="12:13">
      <c r="L284" s="8" t="s">
        <v>503</v>
      </c>
      <c r="M284" s="6">
        <v>838768</v>
      </c>
    </row>
    <row r="285" spans="12:13">
      <c r="L285" s="8" t="s">
        <v>505</v>
      </c>
      <c r="M285" s="6">
        <v>256487</v>
      </c>
    </row>
    <row r="286" spans="12:13">
      <c r="L286" s="8" t="s">
        <v>507</v>
      </c>
      <c r="M286" s="6">
        <v>147852</v>
      </c>
    </row>
    <row r="287" spans="12:13">
      <c r="L287" s="8" t="s">
        <v>509</v>
      </c>
      <c r="M287" s="6">
        <v>1237169</v>
      </c>
    </row>
    <row r="288" spans="12:13">
      <c r="L288" s="8" t="s">
        <v>510</v>
      </c>
      <c r="M288" s="6">
        <v>777067</v>
      </c>
    </row>
    <row r="289" spans="12:13">
      <c r="L289" s="8" t="s">
        <v>511</v>
      </c>
      <c r="M289" s="6">
        <v>728841</v>
      </c>
    </row>
    <row r="290" spans="12:13">
      <c r="L290" s="8" t="s">
        <v>512</v>
      </c>
      <c r="M290" s="6">
        <v>330618</v>
      </c>
    </row>
    <row r="291" spans="12:13">
      <c r="L291" s="8" t="s">
        <v>513</v>
      </c>
      <c r="M291" s="6">
        <v>1276408</v>
      </c>
    </row>
    <row r="292" spans="12:13">
      <c r="L292" s="8" t="s">
        <v>514</v>
      </c>
      <c r="M292" s="6">
        <v>892150</v>
      </c>
    </row>
    <row r="293" spans="12:13">
      <c r="L293" s="8" t="s">
        <v>515</v>
      </c>
      <c r="M293" s="6">
        <v>1405349</v>
      </c>
    </row>
    <row r="294" spans="12:13">
      <c r="L294" s="8" t="s">
        <v>516</v>
      </c>
      <c r="M294" s="6">
        <v>95232</v>
      </c>
    </row>
    <row r="295" spans="12:13">
      <c r="L295" s="8" t="s">
        <v>517</v>
      </c>
      <c r="M295" s="6">
        <v>398688</v>
      </c>
    </row>
    <row r="296" spans="12:13">
      <c r="L296" s="8" t="s">
        <v>518</v>
      </c>
      <c r="M296" s="6">
        <v>510385</v>
      </c>
    </row>
    <row r="297" spans="12:13">
      <c r="L297" s="8" t="s">
        <v>520</v>
      </c>
      <c r="M297" s="6">
        <v>833301</v>
      </c>
    </row>
    <row r="298" spans="12:13">
      <c r="L298" s="8" t="s">
        <v>521</v>
      </c>
      <c r="M298" s="6">
        <v>362813</v>
      </c>
    </row>
    <row r="299" spans="12:13">
      <c r="L299" s="8" t="s">
        <v>522</v>
      </c>
      <c r="M299" s="6">
        <v>1307669</v>
      </c>
    </row>
    <row r="300" spans="12:13">
      <c r="L300" s="8" t="s">
        <v>523</v>
      </c>
      <c r="M300" s="6">
        <v>1076657</v>
      </c>
    </row>
    <row r="301" spans="12:13">
      <c r="L301" s="8" t="s">
        <v>524</v>
      </c>
      <c r="M301" s="6">
        <v>1429904</v>
      </c>
    </row>
    <row r="302" spans="12:13">
      <c r="L302" s="8" t="s">
        <v>526</v>
      </c>
      <c r="M302" s="6">
        <v>1111716</v>
      </c>
    </row>
    <row r="303" spans="12:13">
      <c r="L303" s="8" t="s">
        <v>527</v>
      </c>
      <c r="M303" s="6">
        <v>1487188</v>
      </c>
    </row>
    <row r="304" spans="12:13">
      <c r="L304" s="8" t="s">
        <v>528</v>
      </c>
      <c r="M304" s="6">
        <v>588645</v>
      </c>
    </row>
    <row r="305" spans="12:13">
      <c r="L305" s="8" t="s">
        <v>529</v>
      </c>
      <c r="M305" s="6">
        <v>1210248</v>
      </c>
    </row>
    <row r="306" spans="12:13">
      <c r="L306" s="8" t="s">
        <v>530</v>
      </c>
      <c r="M306" s="6">
        <v>380817</v>
      </c>
    </row>
    <row r="307" spans="12:13">
      <c r="L307" s="8" t="s">
        <v>531</v>
      </c>
      <c r="M307" s="6">
        <v>782303</v>
      </c>
    </row>
    <row r="308" spans="12:13">
      <c r="L308" s="8" t="s">
        <v>533</v>
      </c>
      <c r="M308" s="6">
        <v>670399</v>
      </c>
    </row>
    <row r="309" spans="12:13">
      <c r="L309" s="8" t="s">
        <v>535</v>
      </c>
      <c r="M309" s="6">
        <v>914690</v>
      </c>
    </row>
    <row r="310" spans="12:13">
      <c r="L310" s="8" t="s">
        <v>537</v>
      </c>
      <c r="M310" s="6">
        <v>456140</v>
      </c>
    </row>
    <row r="311" spans="12:13">
      <c r="L311" s="8" t="s">
        <v>539</v>
      </c>
      <c r="M311" s="6">
        <v>1167862</v>
      </c>
    </row>
    <row r="312" spans="12:13">
      <c r="L312" s="8" t="s">
        <v>540</v>
      </c>
      <c r="M312" s="6">
        <v>143269</v>
      </c>
    </row>
    <row r="313" spans="12:13">
      <c r="L313" s="8" t="s">
        <v>541</v>
      </c>
      <c r="M313" s="6">
        <v>308635</v>
      </c>
    </row>
    <row r="314" spans="12:13">
      <c r="L314" s="8" t="s">
        <v>542</v>
      </c>
      <c r="M314" s="6">
        <v>1172647</v>
      </c>
    </row>
    <row r="315" spans="12:13">
      <c r="L315" s="8" t="s">
        <v>543</v>
      </c>
      <c r="M315" s="6">
        <v>1319671</v>
      </c>
    </row>
    <row r="316" spans="12:13">
      <c r="L316" s="8" t="s">
        <v>1226</v>
      </c>
      <c r="M316" s="6">
        <v>224562192</v>
      </c>
    </row>
  </sheetData>
  <mergeCells count="2">
    <mergeCell ref="A1:G1"/>
    <mergeCell ref="L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Instruções</vt:lpstr>
      <vt:lpstr>AI</vt:lpstr>
      <vt:lpstr>Manutenção</vt:lpstr>
      <vt:lpstr>Reparação</vt:lpstr>
      <vt:lpstr>Compliance</vt:lpstr>
      <vt:lpstr>Dashboard_Graficos</vt:lpstr>
      <vt:lpstr>Tabelas_Dinamicas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2026-05-04T21:36:57Z</dcterms:created>
  <dcterms:modified xsi:type="dcterms:W3CDTF">2026-06-07T16:41:28Z</dcterms:modified>
</cp:coreProperties>
</file>