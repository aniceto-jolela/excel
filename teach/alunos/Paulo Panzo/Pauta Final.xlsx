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ula\Paulo Panzo\"/>
    </mc:Choice>
  </mc:AlternateContent>
  <xr:revisionPtr revIDLastSave="0" documentId="13_ncr:1_{C4A3F547-4836-4FDB-842D-99EC75602983}" xr6:coauthVersionLast="47" xr6:coauthVersionMax="47" xr10:uidLastSave="{00000000-0000-0000-0000-000000000000}"/>
  <bookViews>
    <workbookView xWindow="-120" yWindow="-120" windowWidth="29040" windowHeight="15840" xr2:uid="{C1E8E2F6-5DFE-43B7-AE9B-C535F78E78C6}"/>
  </bookViews>
  <sheets>
    <sheet name="Tabela Dinaamica" sheetId="5" r:id="rId1"/>
    <sheet name="Tabela Dinamica Recomendada" sheetId="6" r:id="rId2"/>
    <sheet name="Tabelas" sheetId="1" r:id="rId3"/>
    <sheet name="Dashboard" sheetId="7" r:id="rId4"/>
  </sheets>
  <definedNames>
    <definedName name="_xlnm._FilterDatabase" localSheetId="2" hidden="1">Tabelas!$B$18:$H$18</definedName>
  </definedNames>
  <calcPr calcId="191029"/>
  <pivotCaches>
    <pivotCache cacheId="18" r:id="rId5"/>
    <pivotCache cacheId="17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5" i="7" l="1"/>
  <c r="AA25" i="1"/>
  <c r="Z25" i="1"/>
  <c r="AB25" i="1" s="1"/>
  <c r="AA24" i="1"/>
  <c r="Z24" i="1"/>
  <c r="AB24" i="1" s="1"/>
  <c r="AA23" i="1"/>
  <c r="Z23" i="1"/>
  <c r="AB23" i="1" s="1"/>
  <c r="AA22" i="1"/>
  <c r="Z22" i="1"/>
  <c r="AB22" i="1" s="1"/>
  <c r="AA21" i="1"/>
  <c r="Z21" i="1"/>
  <c r="AB21" i="1" s="1"/>
  <c r="AA20" i="1"/>
  <c r="Z20" i="1"/>
  <c r="AB20" i="1" s="1"/>
  <c r="AA19" i="1"/>
  <c r="Z19" i="1"/>
  <c r="AB19" i="1" s="1"/>
  <c r="AA18" i="1"/>
  <c r="Z18" i="1"/>
  <c r="AB18" i="1" s="1"/>
  <c r="AA17" i="1"/>
  <c r="Z17" i="1"/>
  <c r="AB17" i="1" s="1"/>
  <c r="AA16" i="1"/>
  <c r="Z16" i="1"/>
  <c r="AB16" i="1" s="1"/>
  <c r="AA15" i="1"/>
  <c r="Z15" i="1"/>
  <c r="AB15" i="1" s="1"/>
  <c r="AA14" i="1"/>
  <c r="Z14" i="1"/>
  <c r="AB14" i="1" s="1"/>
  <c r="AA13" i="1"/>
  <c r="Z13" i="1"/>
  <c r="AB13" i="1" s="1"/>
  <c r="AA12" i="1"/>
  <c r="Z12" i="1"/>
  <c r="AB12" i="1" s="1"/>
  <c r="AA11" i="1"/>
  <c r="Z11" i="1"/>
  <c r="AB11" i="1" s="1"/>
  <c r="AA10" i="1"/>
  <c r="Z10" i="1"/>
  <c r="AB10" i="1" s="1"/>
  <c r="AA9" i="1"/>
  <c r="Z9" i="1"/>
  <c r="AB9" i="1" s="1"/>
  <c r="AA8" i="1"/>
  <c r="Z8" i="1"/>
  <c r="AB8" i="1" s="1"/>
  <c r="AA7" i="1"/>
  <c r="Z7" i="1"/>
  <c r="AB7" i="1" s="1"/>
  <c r="U7" i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AA6" i="1"/>
  <c r="Z6" i="1"/>
  <c r="AB6" i="1" s="1"/>
  <c r="G21" i="1"/>
  <c r="G22" i="1"/>
  <c r="G23" i="1"/>
  <c r="G24" i="1"/>
  <c r="G25" i="1"/>
  <c r="G26" i="1"/>
  <c r="G27" i="1"/>
  <c r="G28" i="1"/>
  <c r="G19" i="1"/>
  <c r="H28" i="1"/>
  <c r="H27" i="1"/>
  <c r="H26" i="1"/>
  <c r="H25" i="1"/>
  <c r="H24" i="1"/>
  <c r="H23" i="1"/>
  <c r="H22" i="1"/>
  <c r="H21" i="1"/>
  <c r="G20" i="1"/>
  <c r="H20" i="1" s="1"/>
  <c r="B20" i="1"/>
  <c r="B21" i="1" s="1"/>
  <c r="B22" i="1" s="1"/>
  <c r="B23" i="1" s="1"/>
  <c r="B24" i="1" s="1"/>
  <c r="B25" i="1" s="1"/>
  <c r="B26" i="1" s="1"/>
  <c r="B27" i="1" s="1"/>
  <c r="B28" i="1" s="1"/>
  <c r="H19" i="1"/>
  <c r="R15" i="1"/>
  <c r="S15" i="1" s="1"/>
  <c r="R14" i="1"/>
  <c r="S14" i="1" s="1"/>
  <c r="R13" i="1"/>
  <c r="S13" i="1" s="1"/>
  <c r="R12" i="1"/>
  <c r="S12" i="1" s="1"/>
  <c r="R11" i="1"/>
  <c r="S11" i="1" s="1"/>
  <c r="R10" i="1"/>
  <c r="S10" i="1" s="1"/>
  <c r="R9" i="1"/>
  <c r="S9" i="1" s="1"/>
  <c r="R8" i="1"/>
  <c r="S8" i="1" s="1"/>
  <c r="R7" i="1"/>
  <c r="S7" i="1" s="1"/>
  <c r="L7" i="1"/>
  <c r="L8" i="1" s="1"/>
  <c r="L9" i="1" s="1"/>
  <c r="L10" i="1" s="1"/>
  <c r="L11" i="1" s="1"/>
  <c r="L12" i="1" s="1"/>
  <c r="L13" i="1" s="1"/>
  <c r="L14" i="1" s="1"/>
  <c r="R6" i="1"/>
  <c r="S6" i="1" s="1"/>
  <c r="G7" i="1"/>
  <c r="G8" i="1"/>
  <c r="G9" i="1"/>
  <c r="G10" i="1"/>
  <c r="G11" i="1"/>
  <c r="G12" i="1"/>
  <c r="G13" i="1"/>
  <c r="G14" i="1"/>
  <c r="G15" i="1"/>
  <c r="I7" i="1"/>
  <c r="I8" i="1"/>
  <c r="I10" i="1"/>
  <c r="I11" i="1"/>
  <c r="I12" i="1"/>
  <c r="I13" i="1"/>
  <c r="I14" i="1"/>
  <c r="I15" i="1"/>
  <c r="H7" i="1"/>
  <c r="H8" i="1"/>
  <c r="H9" i="1"/>
  <c r="H10" i="1"/>
  <c r="H11" i="1"/>
  <c r="H12" i="1"/>
  <c r="H13" i="1"/>
  <c r="H14" i="1"/>
  <c r="H15" i="1"/>
  <c r="H6" i="1"/>
  <c r="I9" i="1"/>
  <c r="G6" i="1"/>
  <c r="I6" i="1" s="1"/>
  <c r="B7" i="1"/>
  <c r="B8" i="1" s="1"/>
  <c r="B9" i="1" s="1"/>
  <c r="B10" i="1" s="1"/>
  <c r="B11" i="1" s="1"/>
  <c r="B12" i="1" s="1"/>
  <c r="B13" i="1" s="1"/>
  <c r="B14" i="1" s="1"/>
  <c r="B15" i="1" s="1"/>
  <c r="L15" i="1" l="1"/>
</calcChain>
</file>

<file path=xl/sharedStrings.xml><?xml version="1.0" encoding="utf-8"?>
<sst xmlns="http://schemas.openxmlformats.org/spreadsheetml/2006/main" count="124" uniqueCount="31">
  <si>
    <t>Pauta Final</t>
  </si>
  <si>
    <t>Nº</t>
  </si>
  <si>
    <t>Nome</t>
  </si>
  <si>
    <t>P1</t>
  </si>
  <si>
    <t>P2</t>
  </si>
  <si>
    <t>P3</t>
  </si>
  <si>
    <t>Média</t>
  </si>
  <si>
    <t>Alice Da Sílva</t>
  </si>
  <si>
    <t>Miguel Paca</t>
  </si>
  <si>
    <t>Ariclene Morais</t>
  </si>
  <si>
    <t>Núria Raimundo</t>
  </si>
  <si>
    <t>Liliana Campos</t>
  </si>
  <si>
    <t>Esperaça Filipe</t>
  </si>
  <si>
    <t>Helena Joseanne</t>
  </si>
  <si>
    <t>Amilton Caleia</t>
  </si>
  <si>
    <t>Januario Da Rocha</t>
  </si>
  <si>
    <t>Hossana Kelly</t>
  </si>
  <si>
    <t>Média Formula</t>
  </si>
  <si>
    <t>Resultado Final</t>
  </si>
  <si>
    <t>Soma de Média</t>
  </si>
  <si>
    <t>Rótulos de Linha</t>
  </si>
  <si>
    <t>Apto</t>
  </si>
  <si>
    <t>Não Apto</t>
  </si>
  <si>
    <t>Total Geral</t>
  </si>
  <si>
    <t>Segmentação de Dados</t>
  </si>
  <si>
    <t>Genero</t>
  </si>
  <si>
    <t>F</t>
  </si>
  <si>
    <t>M</t>
  </si>
  <si>
    <t>Analise Geral</t>
  </si>
  <si>
    <t>Analise por genero</t>
  </si>
  <si>
    <t>Total de Alunos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</si>
</sst>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2" fillId="2" borderId="0" xfId="0" applyFont="1" applyFill="1"/>
    <xf numFmtId="0" fontId="0" fillId="3" borderId="0" xfId="0" applyFill="1"/>
    <xf numFmtId="0" fontId="0" fillId="0" borderId="0" xfId="0" quotePrefix="1"/>
    <xf numFmtId="1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" fontId="0" fillId="0" borderId="8" xfId="0" applyNumberFormat="1" applyBorder="1"/>
    <xf numFmtId="0" fontId="0" fillId="0" borderId="9" xfId="0" applyBorder="1"/>
    <xf numFmtId="0" fontId="1" fillId="4" borderId="1" xfId="0" applyFont="1" applyFill="1" applyBorder="1"/>
    <xf numFmtId="0" fontId="0" fillId="5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2" borderId="0" xfId="0" applyFill="1"/>
    <xf numFmtId="0" fontId="3" fillId="6" borderId="0" xfId="0" applyFont="1" applyFill="1"/>
    <xf numFmtId="0" fontId="1" fillId="6" borderId="0" xfId="0" applyFont="1" applyFill="1"/>
    <xf numFmtId="0" fontId="4" fillId="6" borderId="0" xfId="0" applyFont="1" applyFill="1"/>
    <xf numFmtId="0" fontId="2" fillId="6" borderId="0" xfId="0" applyFont="1" applyFill="1"/>
    <xf numFmtId="0" fontId="5" fillId="0" borderId="0" xfId="0" applyFont="1"/>
  </cellXfs>
  <cellStyles count="1">
    <cellStyle name="Normal" xfId="0" builtinId="0"/>
  </cellStyles>
  <dxfs count="2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[Pauta Final.xlsx]Tabela Dinaamica!Tabela dinâmica1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Dinaamica'!$B$3:$B$4</c:f>
              <c:strCache>
                <c:ptCount val="1"/>
                <c:pt idx="0">
                  <c:v>Apto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Dinaamica'!$A$5:$A$11</c:f>
              <c:strCache>
                <c:ptCount val="7"/>
                <c:pt idx="0">
                  <c:v>Alice Da Sílva</c:v>
                </c:pt>
                <c:pt idx="1">
                  <c:v>Ariclene Morais</c:v>
                </c:pt>
                <c:pt idx="2">
                  <c:v>Helena Joseanne</c:v>
                </c:pt>
                <c:pt idx="3">
                  <c:v>Hossana Kelly</c:v>
                </c:pt>
                <c:pt idx="4">
                  <c:v>Januario Da Rocha</c:v>
                </c:pt>
                <c:pt idx="5">
                  <c:v>Liliana Campos</c:v>
                </c:pt>
                <c:pt idx="6">
                  <c:v>Miguel Paca</c:v>
                </c:pt>
              </c:strCache>
            </c:strRef>
          </c:cat>
          <c:val>
            <c:numRef>
              <c:f>'Tabela Dinaamica'!$B$5:$B$11</c:f>
              <c:numCache>
                <c:formatCode>0</c:formatCode>
                <c:ptCount val="7"/>
                <c:pt idx="0">
                  <c:v>11.333333333333334</c:v>
                </c:pt>
                <c:pt idx="1">
                  <c:v>10.333333333333334</c:v>
                </c:pt>
                <c:pt idx="2">
                  <c:v>14.666666666666666</c:v>
                </c:pt>
                <c:pt idx="3">
                  <c:v>13</c:v>
                </c:pt>
                <c:pt idx="4">
                  <c:v>10.333333333333334</c:v>
                </c:pt>
                <c:pt idx="5">
                  <c:v>12.333333333333334</c:v>
                </c:pt>
                <c:pt idx="6">
                  <c:v>11.666666666666666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C2-487C-ACA7-D2CE3127BDF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82870272"/>
        <c:axId val="1082869312"/>
      </c:barChart>
      <c:catAx>
        <c:axId val="108287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82869312"/>
        <c:crosses val="autoZero"/>
        <c:auto val="1"/>
        <c:lblAlgn val="ctr"/>
        <c:lblOffset val="100"/>
        <c:noMultiLvlLbl val="0"/>
      </c:catAx>
      <c:valAx>
        <c:axId val="108286931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108287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[Pauta Final.xlsx]Tabela Dinaamica!Tabela dinâmica2</c:name>
    <c:fmtId val="12"/>
  </c:pivotSource>
  <c:chart>
    <c:title>
      <c:layout>
        <c:manualLayout>
          <c:xMode val="edge"/>
          <c:yMode val="edge"/>
          <c:x val="0.45522900262467197"/>
          <c:y val="8.59215514727325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6"/>
      </c:pivotFmt>
      <c:pivotFmt>
        <c:idx val="27"/>
      </c:pivotFmt>
      <c:pivotFmt>
        <c:idx val="28"/>
      </c:pivotFmt>
      <c:pivotFmt>
        <c:idx val="29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0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1"/>
      </c:pivotFmt>
      <c:pivotFmt>
        <c:idx val="32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pPr>
            <a:solidFill>
              <a:schemeClr val="accent1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</c:pivotFmts>
    <c:plotArea>
      <c:layout/>
      <c:pieChart>
        <c:varyColors val="1"/>
        <c:ser>
          <c:idx val="0"/>
          <c:order val="0"/>
          <c:tx>
            <c:strRef>
              <c:f>'Tabela Dinaamica'!$B$21:$B$22</c:f>
              <c:strCache>
                <c:ptCount val="1"/>
                <c:pt idx="0">
                  <c:v>Apto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A3D-4610-A624-FBD231E2F1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A3D-4610-A624-FBD231E2F10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A3D-4610-A624-FBD231E2F10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A3D-4610-A624-FBD231E2F10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A3D-4610-A624-FBD231E2F10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A3D-4610-A624-FBD231E2F10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A3D-4610-A624-FBD231E2F10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4A3D-4610-A624-FBD231E2F10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4A3D-4610-A624-FBD231E2F10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4A3D-4610-A624-FBD231E2F1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'Tabela Dinaamica'!$A$23:$A$27</c:f>
              <c:strCache>
                <c:ptCount val="4"/>
                <c:pt idx="0">
                  <c:v>Alice Da Sílva</c:v>
                </c:pt>
                <c:pt idx="1">
                  <c:v>Helena Joseanne</c:v>
                </c:pt>
                <c:pt idx="2">
                  <c:v>Hossana Kelly</c:v>
                </c:pt>
                <c:pt idx="3">
                  <c:v>Liliana Campos</c:v>
                </c:pt>
              </c:strCache>
            </c:strRef>
          </c:cat>
          <c:val>
            <c:numRef>
              <c:f>'Tabela Dinaamica'!$B$23:$B$27</c:f>
              <c:numCache>
                <c:formatCode>0</c:formatCode>
                <c:ptCount val="4"/>
                <c:pt idx="0">
                  <c:v>11.333333333333334</c:v>
                </c:pt>
                <c:pt idx="1">
                  <c:v>14.666666666666666</c:v>
                </c:pt>
                <c:pt idx="2">
                  <c:v>13</c:v>
                </c:pt>
                <c:pt idx="3">
                  <c:v>12.333333333333334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A3D-4610-A624-FBD231E2F10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85723</xdr:colOff>
      <xdr:row>2</xdr:row>
      <xdr:rowOff>76199</xdr:rowOff>
    </xdr:from>
    <xdr:to>
      <xdr:col>14</xdr:col>
      <xdr:colOff>352424</xdr:colOff>
      <xdr:row>34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CDDB23-827F-4553-909A-79AAE100B5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314325</xdr:colOff>
      <xdr:row>14</xdr:row>
      <xdr:rowOff>47625</xdr:rowOff>
    </xdr:from>
    <xdr:to>
      <xdr:col>23</xdr:col>
      <xdr:colOff>9525</xdr:colOff>
      <xdr:row>28</xdr:row>
      <xdr:rowOff>123825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6309BD1-5DEC-4A42-B7AA-83DC7D4E3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146.46987685185" createdVersion="8" refreshedVersion="8" minRefreshableVersion="3" recordCount="10" xr:uid="{6A79EF6D-553D-4FE9-849F-4C2A330B267F}">
  <cacheSource type="worksheet">
    <worksheetSource name="Tabela2"/>
  </cacheSource>
  <cacheFields count="8">
    <cacheField name="Nº" numFmtId="0">
      <sharedItems containsSemiMixedTypes="0" containsString="0" containsNumber="1" containsInteger="1" minValue="1" maxValue="10"/>
    </cacheField>
    <cacheField name="Nome" numFmtId="0">
      <sharedItems count="10">
        <s v="Alice Da Sílva"/>
        <s v="Miguel Paca"/>
        <s v="Ariclene Morais"/>
        <s v="Núria Raimundo"/>
        <s v="Liliana Campos"/>
        <s v="Esperaça Filipe"/>
        <s v="Helena Joseanne"/>
        <s v="Amilton Caleia"/>
        <s v="Januario Da Rocha"/>
        <s v="Hossana Kelly"/>
      </sharedItems>
    </cacheField>
    <cacheField name="Genero" numFmtId="0">
      <sharedItems count="2">
        <s v="F"/>
        <s v="M"/>
      </sharedItems>
    </cacheField>
    <cacheField name="P1" numFmtId="0">
      <sharedItems containsSemiMixedTypes="0" containsString="0" containsNumber="1" containsInteger="1" minValue="5" maxValue="19" count="8">
        <n v="10"/>
        <n v="9"/>
        <n v="11"/>
        <n v="7"/>
        <n v="8"/>
        <n v="16"/>
        <n v="5"/>
        <n v="19"/>
      </sharedItems>
    </cacheField>
    <cacheField name="P2" numFmtId="0">
      <sharedItems containsSemiMixedTypes="0" containsString="0" containsNumber="1" containsInteger="1" minValue="5" maxValue="18"/>
    </cacheField>
    <cacheField name="P3" numFmtId="0">
      <sharedItems containsSemiMixedTypes="0" containsString="0" containsNumber="1" containsInteger="1" minValue="5" maxValue="18"/>
    </cacheField>
    <cacheField name="Média" numFmtId="1">
      <sharedItems containsSemiMixedTypes="0" containsString="0" containsNumber="1" minValue="7.333333333333333" maxValue="14.666666666666666"/>
    </cacheField>
    <cacheField name="Resultado Final" numFmtId="0">
      <sharedItems count="2">
        <s v="Apto"/>
        <s v="Não Apt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146.469877083335" createdVersion="8" refreshedVersion="8" minRefreshableVersion="3" recordCount="10" xr:uid="{C88FC1DF-59BC-4538-B9E4-A4BF69F90C36}">
  <cacheSource type="worksheet">
    <worksheetSource name="Tabela2"/>
  </cacheSource>
  <cacheFields count="8">
    <cacheField name="Nº" numFmtId="0">
      <sharedItems containsSemiMixedTypes="0" containsString="0" containsNumber="1" containsInteger="1" minValue="1" maxValue="10"/>
    </cacheField>
    <cacheField name="Nome" numFmtId="0">
      <sharedItems/>
    </cacheField>
    <cacheField name="Genero" numFmtId="0">
      <sharedItems/>
    </cacheField>
    <cacheField name="P1" numFmtId="0">
      <sharedItems containsSemiMixedTypes="0" containsString="0" containsNumber="1" containsInteger="1" minValue="5" maxValue="19"/>
    </cacheField>
    <cacheField name="P2" numFmtId="0">
      <sharedItems containsSemiMixedTypes="0" containsString="0" containsNumber="1" containsInteger="1" minValue="5" maxValue="18"/>
    </cacheField>
    <cacheField name="P3" numFmtId="0">
      <sharedItems containsSemiMixedTypes="0" containsString="0" containsNumber="1" containsInteger="1" minValue="5" maxValue="18"/>
    </cacheField>
    <cacheField name="Média" numFmtId="1">
      <sharedItems containsSemiMixedTypes="0" containsString="0" containsNumber="1" minValue="7.333333333333333" maxValue="14.666666666666666"/>
    </cacheField>
    <cacheField name="Resultado Final" numFmtId="0">
      <sharedItems count="2">
        <s v="Apto"/>
        <s v="Não Apt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x v="0"/>
    <x v="0"/>
    <x v="0"/>
    <n v="11"/>
    <n v="13"/>
    <n v="11.333333333333334"/>
    <x v="0"/>
  </r>
  <r>
    <n v="2"/>
    <x v="1"/>
    <x v="1"/>
    <x v="1"/>
    <n v="10"/>
    <n v="16"/>
    <n v="11.666666666666666"/>
    <x v="0"/>
  </r>
  <r>
    <n v="3"/>
    <x v="2"/>
    <x v="1"/>
    <x v="2"/>
    <n v="14"/>
    <n v="6"/>
    <n v="10.333333333333334"/>
    <x v="0"/>
  </r>
  <r>
    <n v="4"/>
    <x v="3"/>
    <x v="0"/>
    <x v="3"/>
    <n v="5"/>
    <n v="10"/>
    <n v="7.333333333333333"/>
    <x v="1"/>
  </r>
  <r>
    <n v="5"/>
    <x v="4"/>
    <x v="0"/>
    <x v="4"/>
    <n v="11"/>
    <n v="18"/>
    <n v="12.333333333333334"/>
    <x v="0"/>
  </r>
  <r>
    <n v="6"/>
    <x v="5"/>
    <x v="0"/>
    <x v="3"/>
    <n v="7"/>
    <n v="9"/>
    <n v="7.666666666666667"/>
    <x v="1"/>
  </r>
  <r>
    <n v="7"/>
    <x v="6"/>
    <x v="0"/>
    <x v="5"/>
    <n v="18"/>
    <n v="10"/>
    <n v="14.666666666666666"/>
    <x v="0"/>
  </r>
  <r>
    <n v="8"/>
    <x v="7"/>
    <x v="1"/>
    <x v="0"/>
    <n v="8"/>
    <n v="5"/>
    <n v="7.666666666666667"/>
    <x v="1"/>
  </r>
  <r>
    <n v="9"/>
    <x v="8"/>
    <x v="1"/>
    <x v="6"/>
    <n v="10"/>
    <n v="16"/>
    <n v="10.333333333333334"/>
    <x v="0"/>
  </r>
  <r>
    <n v="10"/>
    <x v="9"/>
    <x v="0"/>
    <x v="7"/>
    <n v="11"/>
    <n v="9"/>
    <n v="13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s v="Alice Da Sílva"/>
    <s v="F"/>
    <n v="10"/>
    <n v="11"/>
    <n v="13"/>
    <n v="11.333333333333334"/>
    <x v="0"/>
  </r>
  <r>
    <n v="2"/>
    <s v="Miguel Paca"/>
    <s v="M"/>
    <n v="9"/>
    <n v="10"/>
    <n v="16"/>
    <n v="11.666666666666666"/>
    <x v="0"/>
  </r>
  <r>
    <n v="3"/>
    <s v="Ariclene Morais"/>
    <s v="M"/>
    <n v="11"/>
    <n v="14"/>
    <n v="6"/>
    <n v="10.333333333333334"/>
    <x v="0"/>
  </r>
  <r>
    <n v="4"/>
    <s v="Núria Raimundo"/>
    <s v="F"/>
    <n v="7"/>
    <n v="5"/>
    <n v="10"/>
    <n v="7.333333333333333"/>
    <x v="1"/>
  </r>
  <r>
    <n v="5"/>
    <s v="Liliana Campos"/>
    <s v="F"/>
    <n v="8"/>
    <n v="11"/>
    <n v="18"/>
    <n v="12.333333333333334"/>
    <x v="0"/>
  </r>
  <r>
    <n v="6"/>
    <s v="Esperaça Filipe"/>
    <s v="F"/>
    <n v="7"/>
    <n v="7"/>
    <n v="9"/>
    <n v="7.666666666666667"/>
    <x v="1"/>
  </r>
  <r>
    <n v="7"/>
    <s v="Helena Joseanne"/>
    <s v="F"/>
    <n v="16"/>
    <n v="18"/>
    <n v="10"/>
    <n v="14.666666666666666"/>
    <x v="0"/>
  </r>
  <r>
    <n v="8"/>
    <s v="Amilton Caleia"/>
    <s v="M"/>
    <n v="10"/>
    <n v="8"/>
    <n v="5"/>
    <n v="7.666666666666667"/>
    <x v="1"/>
  </r>
  <r>
    <n v="9"/>
    <s v="Januario Da Rocha"/>
    <s v="M"/>
    <n v="5"/>
    <n v="10"/>
    <n v="16"/>
    <n v="10.333333333333334"/>
    <x v="0"/>
  </r>
  <r>
    <n v="10"/>
    <s v="Hossana Kelly"/>
    <s v="F"/>
    <n v="19"/>
    <n v="11"/>
    <n v="9"/>
    <n v="1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FBA4EE-9914-49E6-94AA-C2B8E3C181B0}" name="Tabela dinâmica2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 rowHeaderCaption="Nome" colHeaderCaption="Segmentação de Dados">
  <location ref="A21:C27" firstHeaderRow="1" firstDataRow="2" firstDataCol="1" rowPageCount="1" colPageCount="1"/>
  <pivotFields count="8">
    <pivotField showAll="0"/>
    <pivotField axis="axisRow" showAll="0">
      <items count="11">
        <item sd="0" x="0"/>
        <item sd="0" x="7"/>
        <item sd="0" x="2"/>
        <item sd="0" x="5"/>
        <item sd="0" x="6"/>
        <item sd="0" x="9"/>
        <item sd="0" x="8"/>
        <item sd="0" x="4"/>
        <item sd="0" x="1"/>
        <item sd="0" x="3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showAll="0">
      <items count="9">
        <item x="6"/>
        <item x="3"/>
        <item x="4"/>
        <item x="1"/>
        <item x="0"/>
        <item x="2"/>
        <item x="5"/>
        <item x="7"/>
        <item t="default"/>
      </items>
    </pivotField>
    <pivotField showAll="0"/>
    <pivotField showAll="0"/>
    <pivotField dataField="1" numFmtId="1" showAll="0"/>
    <pivotField axis="axisCol" showAll="0">
      <items count="3">
        <item x="0"/>
        <item h="1" x="1"/>
        <item t="default"/>
      </items>
    </pivotField>
  </pivotFields>
  <rowFields count="1">
    <field x="1"/>
  </rowFields>
  <rowItems count="5">
    <i>
      <x/>
    </i>
    <i>
      <x v="4"/>
    </i>
    <i>
      <x v="5"/>
    </i>
    <i>
      <x v="7"/>
    </i>
    <i t="grand">
      <x/>
    </i>
  </rowItems>
  <colFields count="1">
    <field x="7"/>
  </colFields>
  <colItems count="2">
    <i>
      <x/>
    </i>
    <i t="grand">
      <x/>
    </i>
  </colItems>
  <pageFields count="1">
    <pageField fld="2" hier="-1"/>
  </pageFields>
  <dataFields count="1">
    <dataField name="Pauta Final" fld="6" baseField="0" baseItem="0" numFmtId="1"/>
  </dataFields>
  <chartFormats count="5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7" format="2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2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0"/>
          </reference>
        </references>
      </pivotArea>
    </chartFormat>
    <chartFormat chart="7" format="26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7" count="1" selected="0">
            <x v="0"/>
          </reference>
        </references>
      </pivotArea>
    </chartFormat>
    <chartFormat chart="7" format="27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7" count="1" selected="0">
            <x v="0"/>
          </reference>
        </references>
      </pivotArea>
    </chartFormat>
    <chartFormat chart="7" format="28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7" count="1" selected="0">
            <x v="0"/>
          </reference>
        </references>
      </pivotArea>
    </chartFormat>
    <chartFormat chart="7" format="29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7" count="1" selected="0">
            <x v="0"/>
          </reference>
        </references>
      </pivotArea>
    </chartFormat>
    <chartFormat chart="7" format="30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7" count="1" selected="0">
            <x v="0"/>
          </reference>
        </references>
      </pivotArea>
    </chartFormat>
    <chartFormat chart="7" format="3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7" count="1" selected="0">
            <x v="0"/>
          </reference>
        </references>
      </pivotArea>
    </chartFormat>
    <chartFormat chart="7" format="32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7" count="1" selected="0">
            <x v="0"/>
          </reference>
        </references>
      </pivotArea>
    </chartFormat>
    <chartFormat chart="7" format="33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7" count="1" selected="0">
            <x v="0"/>
          </reference>
        </references>
      </pivotArea>
    </chartFormat>
    <chartFormat chart="7" format="34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7" count="1" selected="0">
            <x v="0"/>
          </reference>
        </references>
      </pivotArea>
    </chartFormat>
    <chartFormat chart="7" format="3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7" format="3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1"/>
          </reference>
        </references>
      </pivotArea>
    </chartFormat>
    <chartFormat chart="7" format="3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7" count="1" selected="0">
            <x v="1"/>
          </reference>
        </references>
      </pivotArea>
    </chartFormat>
    <chartFormat chart="7" format="38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7" count="1" selected="0">
            <x v="1"/>
          </reference>
        </references>
      </pivotArea>
    </chartFormat>
    <chartFormat chart="7" format="39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7" count="1" selected="0">
            <x v="1"/>
          </reference>
        </references>
      </pivotArea>
    </chartFormat>
    <chartFormat chart="7" format="40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7" count="1" selected="0">
            <x v="1"/>
          </reference>
        </references>
      </pivotArea>
    </chartFormat>
    <chartFormat chart="7" format="4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7" count="1" selected="0">
            <x v="1"/>
          </reference>
        </references>
      </pivotArea>
    </chartFormat>
    <chartFormat chart="7" format="42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7" count="1" selected="0">
            <x v="1"/>
          </reference>
        </references>
      </pivotArea>
    </chartFormat>
    <chartFormat chart="7" format="43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7" count="1" selected="0">
            <x v="1"/>
          </reference>
        </references>
      </pivotArea>
    </chartFormat>
    <chartFormat chart="7" format="44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7" count="1" selected="0">
            <x v="1"/>
          </reference>
        </references>
      </pivotArea>
    </chartFormat>
    <chartFormat chart="7" format="45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7" count="1" selected="0">
            <x v="1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2" format="2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2" format="2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0"/>
          </reference>
        </references>
      </pivotArea>
    </chartFormat>
    <chartFormat chart="12" format="26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7" count="1" selected="0">
            <x v="0"/>
          </reference>
        </references>
      </pivotArea>
    </chartFormat>
    <chartFormat chart="12" format="27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7" count="1" selected="0">
            <x v="0"/>
          </reference>
        </references>
      </pivotArea>
    </chartFormat>
    <chartFormat chart="12" format="28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7" count="1" selected="0">
            <x v="0"/>
          </reference>
        </references>
      </pivotArea>
    </chartFormat>
    <chartFormat chart="12" format="29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7" count="1" selected="0">
            <x v="0"/>
          </reference>
        </references>
      </pivotArea>
    </chartFormat>
    <chartFormat chart="12" format="30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7" count="1" selected="0">
            <x v="0"/>
          </reference>
        </references>
      </pivotArea>
    </chartFormat>
    <chartFormat chart="12" format="3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7" count="1" selected="0">
            <x v="0"/>
          </reference>
        </references>
      </pivotArea>
    </chartFormat>
    <chartFormat chart="12" format="32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7" count="1" selected="0">
            <x v="0"/>
          </reference>
        </references>
      </pivotArea>
    </chartFormat>
    <chartFormat chart="12" format="33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7" count="1" selected="0">
            <x v="0"/>
          </reference>
        </references>
      </pivotArea>
    </chartFormat>
    <chartFormat chart="12" format="34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7" count="1" selected="0">
            <x v="0"/>
          </reference>
        </references>
      </pivotArea>
    </chartFormat>
    <chartFormat chart="12" format="3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2" format="3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1"/>
          </reference>
        </references>
      </pivotArea>
    </chartFormat>
    <chartFormat chart="12" format="3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7" count="1" selected="0">
            <x v="1"/>
          </reference>
        </references>
      </pivotArea>
    </chartFormat>
    <chartFormat chart="12" format="38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7" count="1" selected="0">
            <x v="1"/>
          </reference>
        </references>
      </pivotArea>
    </chartFormat>
    <chartFormat chart="12" format="39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7" count="1" selected="0">
            <x v="1"/>
          </reference>
        </references>
      </pivotArea>
    </chartFormat>
    <chartFormat chart="12" format="40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7" count="1" selected="0">
            <x v="1"/>
          </reference>
        </references>
      </pivotArea>
    </chartFormat>
    <chartFormat chart="12" format="4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7" count="1" selected="0">
            <x v="1"/>
          </reference>
        </references>
      </pivotArea>
    </chartFormat>
    <chartFormat chart="12" format="42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7" count="1" selected="0">
            <x v="1"/>
          </reference>
        </references>
      </pivotArea>
    </chartFormat>
    <chartFormat chart="12" format="43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7" count="1" selected="0">
            <x v="1"/>
          </reference>
        </references>
      </pivotArea>
    </chartFormat>
    <chartFormat chart="12" format="44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7" count="1" selected="0">
            <x v="1"/>
          </reference>
        </references>
      </pivotArea>
    </chartFormat>
    <chartFormat chart="12" format="45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C02C02-197C-4637-910B-50C35FBB9A4B}" name="Tabela dinâmica1" cacheId="18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outline="1" outlineData="1" multipleFieldFilters="0" chartFormat="11" rowHeaderCaption="Nome" colHeaderCaption="Segmentação de Dados">
  <location ref="A3:C11" firstHeaderRow="1" firstDataRow="2" firstDataCol="1"/>
  <pivotFields count="8">
    <pivotField showAll="0"/>
    <pivotField axis="axisRow" showAll="0">
      <items count="11">
        <item sd="0" x="0"/>
        <item sd="0" x="7"/>
        <item sd="0" x="2"/>
        <item sd="0" x="5"/>
        <item sd="0" x="6"/>
        <item sd="0" x="9"/>
        <item sd="0" x="8"/>
        <item sd="0" x="4"/>
        <item sd="0" x="1"/>
        <item sd="0" x="3"/>
        <item t="default"/>
      </items>
    </pivotField>
    <pivotField showAll="0">
      <items count="3">
        <item x="0"/>
        <item x="1"/>
        <item t="default"/>
      </items>
    </pivotField>
    <pivotField showAll="0">
      <items count="9">
        <item x="6"/>
        <item x="3"/>
        <item x="4"/>
        <item x="1"/>
        <item x="0"/>
        <item x="2"/>
        <item x="5"/>
        <item x="7"/>
        <item t="default"/>
      </items>
    </pivotField>
    <pivotField showAll="0"/>
    <pivotField showAll="0"/>
    <pivotField dataField="1" numFmtId="1" showAll="0"/>
    <pivotField axis="axisCol" showAll="0">
      <items count="3">
        <item x="0"/>
        <item h="1" x="1"/>
        <item t="default"/>
      </items>
    </pivotField>
  </pivotFields>
  <rowFields count="1">
    <field x="1"/>
  </rowFields>
  <rowItems count="7">
    <i>
      <x/>
    </i>
    <i>
      <x v="2"/>
    </i>
    <i>
      <x v="4"/>
    </i>
    <i>
      <x v="5"/>
    </i>
    <i>
      <x v="6"/>
    </i>
    <i>
      <x v="7"/>
    </i>
    <i>
      <x v="8"/>
    </i>
  </rowItems>
  <colFields count="1">
    <field x="7"/>
  </colFields>
  <colItems count="2">
    <i>
      <x/>
    </i>
    <i t="grand">
      <x/>
    </i>
  </colItems>
  <dataFields count="1">
    <dataField name="Pauta Final" fld="6" baseField="0" baseItem="0" numFmtId="1"/>
  </dataFields>
  <chartFormats count="26"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7" format="2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2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0"/>
          </reference>
        </references>
      </pivotArea>
    </chartFormat>
    <chartFormat chart="7" format="26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7" count="1" selected="0">
            <x v="0"/>
          </reference>
        </references>
      </pivotArea>
    </chartFormat>
    <chartFormat chart="7" format="27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7" count="1" selected="0">
            <x v="0"/>
          </reference>
        </references>
      </pivotArea>
    </chartFormat>
    <chartFormat chart="7" format="28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7" count="1" selected="0">
            <x v="0"/>
          </reference>
        </references>
      </pivotArea>
    </chartFormat>
    <chartFormat chart="7" format="29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7" count="1" selected="0">
            <x v="0"/>
          </reference>
        </references>
      </pivotArea>
    </chartFormat>
    <chartFormat chart="7" format="30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7" count="1" selected="0">
            <x v="0"/>
          </reference>
        </references>
      </pivotArea>
    </chartFormat>
    <chartFormat chart="7" format="3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7" count="1" selected="0">
            <x v="0"/>
          </reference>
        </references>
      </pivotArea>
    </chartFormat>
    <chartFormat chart="7" format="32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7" count="1" selected="0">
            <x v="0"/>
          </reference>
        </references>
      </pivotArea>
    </chartFormat>
    <chartFormat chart="7" format="33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7" count="1" selected="0">
            <x v="0"/>
          </reference>
        </references>
      </pivotArea>
    </chartFormat>
    <chartFormat chart="7" format="34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7" count="1" selected="0">
            <x v="0"/>
          </reference>
        </references>
      </pivotArea>
    </chartFormat>
    <chartFormat chart="7" format="3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7" format="3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7" count="1" selected="0">
            <x v="1"/>
          </reference>
        </references>
      </pivotArea>
    </chartFormat>
    <chartFormat chart="7" format="3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7" count="1" selected="0">
            <x v="1"/>
          </reference>
        </references>
      </pivotArea>
    </chartFormat>
    <chartFormat chart="7" format="38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7" count="1" selected="0">
            <x v="1"/>
          </reference>
        </references>
      </pivotArea>
    </chartFormat>
    <chartFormat chart="7" format="39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7" count="1" selected="0">
            <x v="1"/>
          </reference>
        </references>
      </pivotArea>
    </chartFormat>
    <chartFormat chart="7" format="40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7" count="1" selected="0">
            <x v="1"/>
          </reference>
        </references>
      </pivotArea>
    </chartFormat>
    <chartFormat chart="7" format="4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7" count="1" selected="0">
            <x v="1"/>
          </reference>
        </references>
      </pivotArea>
    </chartFormat>
    <chartFormat chart="7" format="42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7" count="1" selected="0">
            <x v="1"/>
          </reference>
        </references>
      </pivotArea>
    </chartFormat>
    <chartFormat chart="7" format="43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7" count="1" selected="0">
            <x v="1"/>
          </reference>
        </references>
      </pivotArea>
    </chartFormat>
    <chartFormat chart="7" format="44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7" count="1" selected="0">
            <x v="1"/>
          </reference>
        </references>
      </pivotArea>
    </chartFormat>
    <chartFormat chart="7" format="45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7" count="1" selected="0">
            <x v="1"/>
          </reference>
        </references>
      </pivotArea>
    </chartFormat>
    <chartFormat chart="7" format="4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59E545-1D85-4403-8A77-BC48BC7EF693}" name="Tabela dinâmica3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/>
  <pivotFields count="8">
    <pivotField showAll="0"/>
    <pivotField showAll="0"/>
    <pivotField showAll="0"/>
    <pivotField showAll="0"/>
    <pivotField showAll="0"/>
    <pivotField showAll="0"/>
    <pivotField dataField="1" numFmtId="1" showAll="0"/>
    <pivotField axis="axisRow" showAll="0">
      <items count="3">
        <item x="0"/>
        <item x="1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oma de Média" fld="6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D8786A-A01D-4AFB-A34D-242A90AB8C39}" name="Tabela2" displayName="Tabela2" ref="L5:S15" totalsRowShown="0" headerRowDxfId="19" headerRowBorderDxfId="17" tableBorderDxfId="18" totalsRowBorderDxfId="16">
  <autoFilter ref="L5:S15" xr:uid="{51D8786A-A01D-4AFB-A34D-242A90AB8C39}"/>
  <tableColumns count="8">
    <tableColumn id="1" xr3:uid="{94DBDCBF-4F7B-464E-BDB8-271E5FF1301D}" name="Nº" dataDxfId="15">
      <calculatedColumnFormula>L5+1</calculatedColumnFormula>
    </tableColumn>
    <tableColumn id="2" xr3:uid="{15832F90-A5CC-4D30-B2E7-849C47F48F74}" name="Nome" dataDxfId="14"/>
    <tableColumn id="8" xr3:uid="{4FE30512-3A63-427F-8CB3-FF41CB218DA8}" name="Genero" dataDxfId="8"/>
    <tableColumn id="3" xr3:uid="{9990EA62-69DD-4382-B716-6F7BFCE9B6E1}" name="P1" dataDxfId="13"/>
    <tableColumn id="4" xr3:uid="{434162ED-1D2C-49A3-9400-0A3262755685}" name="P2" dataDxfId="12"/>
    <tableColumn id="5" xr3:uid="{9D5AD53E-4E03-4242-8279-82387DE398DA}" name="P3" dataDxfId="11"/>
    <tableColumn id="6" xr3:uid="{09DDE38D-D458-499D-AA19-EBA61E38FD63}" name="Média" dataDxfId="10">
      <calculatedColumnFormula>(O6+P6+Q6)/3</calculatedColumnFormula>
    </tableColumn>
    <tableColumn id="7" xr3:uid="{EB97350A-1692-4A4C-938D-7341CAF42E5B}" name="Resultado Final" dataDxfId="9">
      <calculatedColumnFormula>IF(R6&gt;9,"Apto","Não Apto")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56D60-2B11-48F0-9FAC-9AF7ADC9DB2C}">
  <dimension ref="A3:C27"/>
  <sheetViews>
    <sheetView tabSelected="1" zoomScale="115" zoomScaleNormal="115" workbookViewId="0">
      <selection activeCell="I26" sqref="I26"/>
    </sheetView>
  </sheetViews>
  <sheetFormatPr defaultRowHeight="15" x14ac:dyDescent="0.25"/>
  <cols>
    <col min="1" max="1" width="17" bestFit="1" customWidth="1"/>
    <col min="2" max="2" width="24.140625" bestFit="1" customWidth="1"/>
    <col min="3" max="4" width="10.7109375" bestFit="1" customWidth="1"/>
    <col min="5" max="7" width="3" bestFit="1" customWidth="1"/>
    <col min="8" max="8" width="10.140625" bestFit="1" customWidth="1"/>
    <col min="9" max="9" width="12.85546875" bestFit="1" customWidth="1"/>
    <col min="10" max="11" width="3.42578125" bestFit="1" customWidth="1"/>
    <col min="12" max="12" width="3.140625" bestFit="1" customWidth="1"/>
    <col min="13" max="13" width="10.7109375" bestFit="1" customWidth="1"/>
    <col min="14" max="14" width="14.42578125" bestFit="1" customWidth="1"/>
    <col min="15" max="15" width="14.7109375" bestFit="1" customWidth="1"/>
  </cols>
  <sheetData>
    <row r="3" spans="1:3" x14ac:dyDescent="0.25">
      <c r="A3" s="17" t="s">
        <v>0</v>
      </c>
      <c r="B3" s="17" t="s">
        <v>24</v>
      </c>
    </row>
    <row r="4" spans="1:3" x14ac:dyDescent="0.25">
      <c r="A4" s="17" t="s">
        <v>2</v>
      </c>
      <c r="B4" t="s">
        <v>21</v>
      </c>
      <c r="C4" t="s">
        <v>23</v>
      </c>
    </row>
    <row r="5" spans="1:3" x14ac:dyDescent="0.25">
      <c r="A5" s="18" t="s">
        <v>7</v>
      </c>
      <c r="B5" s="19">
        <v>11.333333333333334</v>
      </c>
      <c r="C5" s="19">
        <v>11.333333333333334</v>
      </c>
    </row>
    <row r="6" spans="1:3" x14ac:dyDescent="0.25">
      <c r="A6" s="18" t="s">
        <v>9</v>
      </c>
      <c r="B6" s="19">
        <v>10.333333333333334</v>
      </c>
      <c r="C6" s="19">
        <v>10.333333333333334</v>
      </c>
    </row>
    <row r="7" spans="1:3" x14ac:dyDescent="0.25">
      <c r="A7" s="18" t="s">
        <v>13</v>
      </c>
      <c r="B7" s="19">
        <v>14.666666666666666</v>
      </c>
      <c r="C7" s="19">
        <v>14.666666666666666</v>
      </c>
    </row>
    <row r="8" spans="1:3" x14ac:dyDescent="0.25">
      <c r="A8" s="18" t="s">
        <v>16</v>
      </c>
      <c r="B8" s="19">
        <v>13</v>
      </c>
      <c r="C8" s="19">
        <v>13</v>
      </c>
    </row>
    <row r="9" spans="1:3" x14ac:dyDescent="0.25">
      <c r="A9" s="18" t="s">
        <v>15</v>
      </c>
      <c r="B9" s="19">
        <v>10.333333333333334</v>
      </c>
      <c r="C9" s="19">
        <v>10.333333333333334</v>
      </c>
    </row>
    <row r="10" spans="1:3" x14ac:dyDescent="0.25">
      <c r="A10" s="18" t="s">
        <v>11</v>
      </c>
      <c r="B10" s="19">
        <v>12.333333333333334</v>
      </c>
      <c r="C10" s="19">
        <v>12.333333333333334</v>
      </c>
    </row>
    <row r="11" spans="1:3" x14ac:dyDescent="0.25">
      <c r="A11" s="18" t="s">
        <v>8</v>
      </c>
      <c r="B11" s="19">
        <v>11.666666666666666</v>
      </c>
      <c r="C11" s="19">
        <v>11.666666666666666</v>
      </c>
    </row>
    <row r="19" spans="1:3" x14ac:dyDescent="0.25">
      <c r="A19" s="17" t="s">
        <v>25</v>
      </c>
      <c r="B19" t="s">
        <v>26</v>
      </c>
    </row>
    <row r="21" spans="1:3" x14ac:dyDescent="0.25">
      <c r="A21" s="17" t="s">
        <v>0</v>
      </c>
      <c r="B21" s="17" t="s">
        <v>24</v>
      </c>
    </row>
    <row r="22" spans="1:3" x14ac:dyDescent="0.25">
      <c r="A22" s="17" t="s">
        <v>2</v>
      </c>
      <c r="B22" t="s">
        <v>21</v>
      </c>
      <c r="C22" t="s">
        <v>23</v>
      </c>
    </row>
    <row r="23" spans="1:3" x14ac:dyDescent="0.25">
      <c r="A23" s="18" t="s">
        <v>7</v>
      </c>
      <c r="B23" s="19">
        <v>11.333333333333334</v>
      </c>
      <c r="C23" s="19">
        <v>11.333333333333334</v>
      </c>
    </row>
    <row r="24" spans="1:3" x14ac:dyDescent="0.25">
      <c r="A24" s="18" t="s">
        <v>13</v>
      </c>
      <c r="B24" s="19">
        <v>14.666666666666666</v>
      </c>
      <c r="C24" s="19">
        <v>14.666666666666666</v>
      </c>
    </row>
    <row r="25" spans="1:3" x14ac:dyDescent="0.25">
      <c r="A25" s="18" t="s">
        <v>16</v>
      </c>
      <c r="B25" s="19">
        <v>13</v>
      </c>
      <c r="C25" s="19">
        <v>13</v>
      </c>
    </row>
    <row r="26" spans="1:3" x14ac:dyDescent="0.25">
      <c r="A26" s="18" t="s">
        <v>11</v>
      </c>
      <c r="B26" s="19">
        <v>12.333333333333334</v>
      </c>
      <c r="C26" s="19">
        <v>12.333333333333334</v>
      </c>
    </row>
    <row r="27" spans="1:3" x14ac:dyDescent="0.25">
      <c r="A27" s="18" t="s">
        <v>23</v>
      </c>
      <c r="B27" s="19">
        <v>51.333333333333336</v>
      </c>
      <c r="C27" s="19">
        <v>51.333333333333336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2F049-69AD-48DB-89AA-B2B2EE7592C1}">
  <dimension ref="A3:B6"/>
  <sheetViews>
    <sheetView zoomScale="250" zoomScaleNormal="250" workbookViewId="0">
      <selection activeCell="A5" sqref="A4:A5"/>
    </sheetView>
  </sheetViews>
  <sheetFormatPr defaultRowHeight="15" x14ac:dyDescent="0.25"/>
  <cols>
    <col min="1" max="1" width="18" bestFit="1" customWidth="1"/>
    <col min="2" max="2" width="14.85546875" bestFit="1" customWidth="1"/>
  </cols>
  <sheetData>
    <row r="3" spans="1:2" x14ac:dyDescent="0.25">
      <c r="A3" s="17" t="s">
        <v>20</v>
      </c>
      <c r="B3" t="s">
        <v>19</v>
      </c>
    </row>
    <row r="4" spans="1:2" x14ac:dyDescent="0.25">
      <c r="A4" s="18" t="s">
        <v>21</v>
      </c>
      <c r="B4" s="19">
        <v>83.666666666666671</v>
      </c>
    </row>
    <row r="5" spans="1:2" x14ac:dyDescent="0.25">
      <c r="A5" s="18" t="s">
        <v>22</v>
      </c>
      <c r="B5" s="19">
        <v>22.666666666666668</v>
      </c>
    </row>
    <row r="6" spans="1:2" x14ac:dyDescent="0.25">
      <c r="A6" s="18" t="s">
        <v>23</v>
      </c>
      <c r="B6" s="19">
        <v>106.33333333333334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07E92-5D3D-4F3D-A6A9-3E1922E12051}">
  <dimension ref="B1:AB28"/>
  <sheetViews>
    <sheetView topLeftCell="K1" zoomScale="145" zoomScaleNormal="145" workbookViewId="0">
      <selection activeCell="N17" sqref="N17"/>
    </sheetView>
  </sheetViews>
  <sheetFormatPr defaultRowHeight="15" x14ac:dyDescent="0.25"/>
  <cols>
    <col min="3" max="3" width="17" bestFit="1" customWidth="1"/>
    <col min="4" max="4" width="7.42578125" customWidth="1"/>
    <col min="8" max="8" width="17" bestFit="1" customWidth="1"/>
    <col min="9" max="9" width="14.7109375" bestFit="1" customWidth="1"/>
    <col min="12" max="12" width="5.7109375" bestFit="1" customWidth="1"/>
    <col min="13" max="13" width="17" bestFit="1" customWidth="1"/>
    <col min="14" max="14" width="10.42578125" bestFit="1" customWidth="1"/>
    <col min="15" max="15" width="5.42578125" bestFit="1" customWidth="1"/>
    <col min="18" max="19" width="17" bestFit="1" customWidth="1"/>
    <col min="27" max="27" width="14.7109375" bestFit="1" customWidth="1"/>
  </cols>
  <sheetData>
    <row r="1" spans="2:28" s="2" customFormat="1" ht="23.25" x14ac:dyDescent="0.35">
      <c r="B1" s="2" t="s">
        <v>0</v>
      </c>
    </row>
    <row r="2" spans="2:28" s="3" customFormat="1" ht="6.75" customHeight="1" x14ac:dyDescent="0.25"/>
    <row r="5" spans="2:28" x14ac:dyDescent="0.25"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17</v>
      </c>
      <c r="I5" s="1" t="s">
        <v>18</v>
      </c>
      <c r="L5" s="8" t="s">
        <v>1</v>
      </c>
      <c r="M5" s="9" t="s">
        <v>2</v>
      </c>
      <c r="N5" s="9" t="s">
        <v>25</v>
      </c>
      <c r="O5" s="9" t="s">
        <v>3</v>
      </c>
      <c r="P5" s="9" t="s">
        <v>4</v>
      </c>
      <c r="Q5" s="9" t="s">
        <v>5</v>
      </c>
      <c r="R5" s="9" t="s">
        <v>6</v>
      </c>
      <c r="S5" s="10" t="s">
        <v>18</v>
      </c>
      <c r="U5" s="1" t="s">
        <v>1</v>
      </c>
      <c r="V5" s="1" t="s">
        <v>2</v>
      </c>
      <c r="W5" s="1" t="s">
        <v>3</v>
      </c>
      <c r="X5" s="1" t="s">
        <v>4</v>
      </c>
      <c r="Y5" s="1" t="s">
        <v>5</v>
      </c>
      <c r="Z5" s="1" t="s">
        <v>6</v>
      </c>
      <c r="AA5" s="1" t="s">
        <v>17</v>
      </c>
      <c r="AB5" s="1" t="s">
        <v>18</v>
      </c>
    </row>
    <row r="6" spans="2:28" x14ac:dyDescent="0.25">
      <c r="B6" s="1">
        <v>1</v>
      </c>
      <c r="C6" s="1" t="s">
        <v>7</v>
      </c>
      <c r="D6" s="1">
        <v>10</v>
      </c>
      <c r="E6" s="1">
        <v>11</v>
      </c>
      <c r="F6" s="1">
        <v>13</v>
      </c>
      <c r="G6" s="5">
        <f>(D6+E6+F6)/3</f>
        <v>11.333333333333334</v>
      </c>
      <c r="H6" s="5">
        <f>AVERAGE(D6:F6)</f>
        <v>11.333333333333334</v>
      </c>
      <c r="I6" s="1" t="str">
        <f>IF(G6&gt;9,"Apto","Não Apto")</f>
        <v>Apto</v>
      </c>
      <c r="J6" s="4"/>
      <c r="L6" s="6">
        <v>1</v>
      </c>
      <c r="M6" s="1" t="s">
        <v>7</v>
      </c>
      <c r="N6" s="1" t="s">
        <v>26</v>
      </c>
      <c r="O6" s="1">
        <v>10</v>
      </c>
      <c r="P6" s="1">
        <v>11</v>
      </c>
      <c r="Q6" s="1">
        <v>13</v>
      </c>
      <c r="R6" s="5">
        <f>(O6+P6+Q6)/3</f>
        <v>11.333333333333334</v>
      </c>
      <c r="S6" s="7" t="str">
        <f>IF(R6&gt;9,"Apto","Não Apto")</f>
        <v>Apto</v>
      </c>
      <c r="U6" s="1">
        <v>1</v>
      </c>
      <c r="V6" s="1" t="s">
        <v>7</v>
      </c>
      <c r="W6" s="1">
        <v>10</v>
      </c>
      <c r="X6" s="1">
        <v>11</v>
      </c>
      <c r="Y6" s="1">
        <v>13</v>
      </c>
      <c r="Z6" s="5">
        <f>(W6+X6+Y6)/3</f>
        <v>11.333333333333334</v>
      </c>
      <c r="AA6" s="5">
        <f>AVERAGE(W6:Y6)</f>
        <v>11.333333333333334</v>
      </c>
      <c r="AB6" s="1" t="str">
        <f>IF(Z6&gt;9,"Apto","Não Apto")</f>
        <v>Apto</v>
      </c>
    </row>
    <row r="7" spans="2:28" x14ac:dyDescent="0.25">
      <c r="B7" s="1">
        <f>B6+1</f>
        <v>2</v>
      </c>
      <c r="C7" s="1" t="s">
        <v>8</v>
      </c>
      <c r="D7" s="1">
        <v>9</v>
      </c>
      <c r="E7" s="1">
        <v>10</v>
      </c>
      <c r="F7" s="1">
        <v>5</v>
      </c>
      <c r="G7" s="5">
        <f t="shared" ref="G7:G15" si="0">(D7+E7+F7)/3</f>
        <v>8</v>
      </c>
      <c r="H7" s="5">
        <f t="shared" ref="H7:H15" si="1">AVERAGE(D7:F7)</f>
        <v>8</v>
      </c>
      <c r="I7" s="1" t="str">
        <f t="shared" ref="I7:I15" si="2">IF(G7&gt;9,"Apto","Não Apto")</f>
        <v>Não Apto</v>
      </c>
      <c r="L7" s="6">
        <f>L6+1</f>
        <v>2</v>
      </c>
      <c r="M7" s="1" t="s">
        <v>8</v>
      </c>
      <c r="N7" s="1" t="s">
        <v>27</v>
      </c>
      <c r="O7" s="1">
        <v>9</v>
      </c>
      <c r="P7" s="1">
        <v>10</v>
      </c>
      <c r="Q7" s="1">
        <v>16</v>
      </c>
      <c r="R7" s="5">
        <f t="shared" ref="R7:R15" si="3">(O7+P7+Q7)/3</f>
        <v>11.666666666666666</v>
      </c>
      <c r="S7" s="7" t="str">
        <f t="shared" ref="S7:S15" si="4">IF(R7&gt;9,"Apto","Não Apto")</f>
        <v>Apto</v>
      </c>
      <c r="U7" s="1">
        <f>U6+1</f>
        <v>2</v>
      </c>
      <c r="V7" s="1" t="s">
        <v>8</v>
      </c>
      <c r="W7" s="1">
        <v>9</v>
      </c>
      <c r="X7" s="1">
        <v>10</v>
      </c>
      <c r="Y7" s="1">
        <v>5</v>
      </c>
      <c r="Z7" s="5">
        <f t="shared" ref="Z7:Z15" si="5">(W7+X7+Y7)/3</f>
        <v>8</v>
      </c>
      <c r="AA7" s="5">
        <f t="shared" ref="AA7:AA15" si="6">AVERAGE(W7:Y7)</f>
        <v>8</v>
      </c>
      <c r="AB7" s="1" t="str">
        <f t="shared" ref="AB7:AB15" si="7">IF(Z7&gt;9,"Apto","Não Apto")</f>
        <v>Não Apto</v>
      </c>
    </row>
    <row r="8" spans="2:28" x14ac:dyDescent="0.25">
      <c r="B8" s="1">
        <f t="shared" ref="B8:B14" si="8">B7+1</f>
        <v>3</v>
      </c>
      <c r="C8" s="1" t="s">
        <v>9</v>
      </c>
      <c r="D8" s="1">
        <v>11</v>
      </c>
      <c r="E8" s="1">
        <v>14</v>
      </c>
      <c r="F8" s="1">
        <v>6</v>
      </c>
      <c r="G8" s="5">
        <f t="shared" si="0"/>
        <v>10.333333333333334</v>
      </c>
      <c r="H8" s="5">
        <f t="shared" si="1"/>
        <v>10.333333333333334</v>
      </c>
      <c r="I8" s="1" t="str">
        <f t="shared" si="2"/>
        <v>Apto</v>
      </c>
      <c r="L8" s="6">
        <f t="shared" ref="L8:L14" si="9">L7+1</f>
        <v>3</v>
      </c>
      <c r="M8" s="1" t="s">
        <v>9</v>
      </c>
      <c r="N8" s="1" t="s">
        <v>27</v>
      </c>
      <c r="O8" s="1">
        <v>11</v>
      </c>
      <c r="P8" s="1">
        <v>14</v>
      </c>
      <c r="Q8" s="1">
        <v>6</v>
      </c>
      <c r="R8" s="5">
        <f t="shared" si="3"/>
        <v>10.333333333333334</v>
      </c>
      <c r="S8" s="7" t="str">
        <f t="shared" si="4"/>
        <v>Apto</v>
      </c>
      <c r="U8" s="1">
        <f t="shared" ref="T8:U25" si="10">U7+1</f>
        <v>3</v>
      </c>
      <c r="V8" s="1" t="s">
        <v>9</v>
      </c>
      <c r="W8" s="1">
        <v>11</v>
      </c>
      <c r="X8" s="1">
        <v>14</v>
      </c>
      <c r="Y8" s="1">
        <v>6</v>
      </c>
      <c r="Z8" s="5">
        <f t="shared" si="5"/>
        <v>10.333333333333334</v>
      </c>
      <c r="AA8" s="5">
        <f t="shared" si="6"/>
        <v>10.333333333333334</v>
      </c>
      <c r="AB8" s="1" t="str">
        <f t="shared" si="7"/>
        <v>Apto</v>
      </c>
    </row>
    <row r="9" spans="2:28" x14ac:dyDescent="0.25">
      <c r="B9" s="1">
        <f t="shared" si="8"/>
        <v>4</v>
      </c>
      <c r="C9" s="1" t="s">
        <v>10</v>
      </c>
      <c r="D9" s="1">
        <v>7</v>
      </c>
      <c r="E9" s="1">
        <v>5</v>
      </c>
      <c r="F9" s="1">
        <v>10</v>
      </c>
      <c r="G9" s="5">
        <f t="shared" si="0"/>
        <v>7.333333333333333</v>
      </c>
      <c r="H9" s="5">
        <f t="shared" si="1"/>
        <v>7.333333333333333</v>
      </c>
      <c r="I9" s="1" t="str">
        <f t="shared" si="2"/>
        <v>Não Apto</v>
      </c>
      <c r="L9" s="6">
        <f t="shared" si="9"/>
        <v>4</v>
      </c>
      <c r="M9" s="1" t="s">
        <v>10</v>
      </c>
      <c r="N9" s="1" t="s">
        <v>26</v>
      </c>
      <c r="O9" s="1">
        <v>7</v>
      </c>
      <c r="P9" s="1">
        <v>5</v>
      </c>
      <c r="Q9" s="1">
        <v>10</v>
      </c>
      <c r="R9" s="5">
        <f t="shared" si="3"/>
        <v>7.333333333333333</v>
      </c>
      <c r="S9" s="7" t="str">
        <f t="shared" si="4"/>
        <v>Não Apto</v>
      </c>
      <c r="U9" s="1">
        <f t="shared" si="10"/>
        <v>4</v>
      </c>
      <c r="V9" s="1" t="s">
        <v>10</v>
      </c>
      <c r="W9" s="1">
        <v>7</v>
      </c>
      <c r="X9" s="1">
        <v>5</v>
      </c>
      <c r="Y9" s="1">
        <v>10</v>
      </c>
      <c r="Z9" s="5">
        <f t="shared" si="5"/>
        <v>7.333333333333333</v>
      </c>
      <c r="AA9" s="5">
        <f t="shared" si="6"/>
        <v>7.333333333333333</v>
      </c>
      <c r="AB9" s="1" t="str">
        <f t="shared" si="7"/>
        <v>Não Apto</v>
      </c>
    </row>
    <row r="10" spans="2:28" x14ac:dyDescent="0.25">
      <c r="B10" s="1">
        <f t="shared" si="8"/>
        <v>5</v>
      </c>
      <c r="C10" s="1" t="s">
        <v>11</v>
      </c>
      <c r="D10" s="1">
        <v>8</v>
      </c>
      <c r="E10" s="1">
        <v>11</v>
      </c>
      <c r="F10" s="1">
        <v>18</v>
      </c>
      <c r="G10" s="5">
        <f t="shared" si="0"/>
        <v>12.333333333333334</v>
      </c>
      <c r="H10" s="5">
        <f t="shared" si="1"/>
        <v>12.333333333333334</v>
      </c>
      <c r="I10" s="1" t="str">
        <f t="shared" si="2"/>
        <v>Apto</v>
      </c>
      <c r="L10" s="6">
        <f t="shared" si="9"/>
        <v>5</v>
      </c>
      <c r="M10" s="1" t="s">
        <v>11</v>
      </c>
      <c r="N10" s="1" t="s">
        <v>26</v>
      </c>
      <c r="O10" s="1">
        <v>8</v>
      </c>
      <c r="P10" s="1">
        <v>11</v>
      </c>
      <c r="Q10" s="1">
        <v>18</v>
      </c>
      <c r="R10" s="5">
        <f t="shared" si="3"/>
        <v>12.333333333333334</v>
      </c>
      <c r="S10" s="7" t="str">
        <f t="shared" si="4"/>
        <v>Apto</v>
      </c>
      <c r="U10" s="1">
        <f t="shared" si="10"/>
        <v>5</v>
      </c>
      <c r="V10" s="1" t="s">
        <v>11</v>
      </c>
      <c r="W10" s="1">
        <v>8</v>
      </c>
      <c r="X10" s="1">
        <v>11</v>
      </c>
      <c r="Y10" s="1">
        <v>18</v>
      </c>
      <c r="Z10" s="5">
        <f t="shared" si="5"/>
        <v>12.333333333333334</v>
      </c>
      <c r="AA10" s="5">
        <f t="shared" si="6"/>
        <v>12.333333333333334</v>
      </c>
      <c r="AB10" s="1" t="str">
        <f t="shared" si="7"/>
        <v>Apto</v>
      </c>
    </row>
    <row r="11" spans="2:28" x14ac:dyDescent="0.25">
      <c r="B11" s="1">
        <f t="shared" si="8"/>
        <v>6</v>
      </c>
      <c r="C11" s="1" t="s">
        <v>12</v>
      </c>
      <c r="D11" s="1">
        <v>7</v>
      </c>
      <c r="E11" s="1">
        <v>7</v>
      </c>
      <c r="F11" s="1">
        <v>9</v>
      </c>
      <c r="G11" s="5">
        <f t="shared" si="0"/>
        <v>7.666666666666667</v>
      </c>
      <c r="H11" s="5">
        <f t="shared" si="1"/>
        <v>7.666666666666667</v>
      </c>
      <c r="I11" s="1" t="str">
        <f t="shared" si="2"/>
        <v>Não Apto</v>
      </c>
      <c r="L11" s="6">
        <f t="shared" si="9"/>
        <v>6</v>
      </c>
      <c r="M11" s="1" t="s">
        <v>12</v>
      </c>
      <c r="N11" s="1" t="s">
        <v>26</v>
      </c>
      <c r="O11" s="1">
        <v>7</v>
      </c>
      <c r="P11" s="1">
        <v>7</v>
      </c>
      <c r="Q11" s="1">
        <v>9</v>
      </c>
      <c r="R11" s="5">
        <f t="shared" si="3"/>
        <v>7.666666666666667</v>
      </c>
      <c r="S11" s="7" t="str">
        <f t="shared" si="4"/>
        <v>Não Apto</v>
      </c>
      <c r="U11" s="1">
        <f t="shared" si="10"/>
        <v>6</v>
      </c>
      <c r="V11" s="1" t="s">
        <v>12</v>
      </c>
      <c r="W11" s="1">
        <v>7</v>
      </c>
      <c r="X11" s="1">
        <v>7</v>
      </c>
      <c r="Y11" s="1">
        <v>9</v>
      </c>
      <c r="Z11" s="5">
        <f t="shared" si="5"/>
        <v>7.666666666666667</v>
      </c>
      <c r="AA11" s="5">
        <f t="shared" si="6"/>
        <v>7.666666666666667</v>
      </c>
      <c r="AB11" s="1" t="str">
        <f t="shared" si="7"/>
        <v>Não Apto</v>
      </c>
    </row>
    <row r="12" spans="2:28" x14ac:dyDescent="0.25">
      <c r="B12" s="1">
        <f t="shared" si="8"/>
        <v>7</v>
      </c>
      <c r="C12" s="1" t="s">
        <v>13</v>
      </c>
      <c r="D12" s="1">
        <v>16</v>
      </c>
      <c r="E12" s="1">
        <v>18</v>
      </c>
      <c r="F12" s="1">
        <v>10</v>
      </c>
      <c r="G12" s="5">
        <f t="shared" si="0"/>
        <v>14.666666666666666</v>
      </c>
      <c r="H12" s="5">
        <f t="shared" si="1"/>
        <v>14.666666666666666</v>
      </c>
      <c r="I12" s="1" t="str">
        <f t="shared" si="2"/>
        <v>Apto</v>
      </c>
      <c r="L12" s="6">
        <f t="shared" si="9"/>
        <v>7</v>
      </c>
      <c r="M12" s="1" t="s">
        <v>13</v>
      </c>
      <c r="N12" s="1" t="s">
        <v>26</v>
      </c>
      <c r="O12" s="1">
        <v>16</v>
      </c>
      <c r="P12" s="1">
        <v>18</v>
      </c>
      <c r="Q12" s="1">
        <v>10</v>
      </c>
      <c r="R12" s="5">
        <f t="shared" si="3"/>
        <v>14.666666666666666</v>
      </c>
      <c r="S12" s="7" t="str">
        <f t="shared" si="4"/>
        <v>Apto</v>
      </c>
      <c r="U12" s="1">
        <f t="shared" si="10"/>
        <v>7</v>
      </c>
      <c r="V12" s="1" t="s">
        <v>13</v>
      </c>
      <c r="W12" s="1">
        <v>16</v>
      </c>
      <c r="X12" s="1">
        <v>18</v>
      </c>
      <c r="Y12" s="1">
        <v>10</v>
      </c>
      <c r="Z12" s="5">
        <f t="shared" si="5"/>
        <v>14.666666666666666</v>
      </c>
      <c r="AA12" s="5">
        <f t="shared" si="6"/>
        <v>14.666666666666666</v>
      </c>
      <c r="AB12" s="1" t="str">
        <f t="shared" si="7"/>
        <v>Apto</v>
      </c>
    </row>
    <row r="13" spans="2:28" x14ac:dyDescent="0.25">
      <c r="B13" s="1">
        <f t="shared" si="8"/>
        <v>8</v>
      </c>
      <c r="C13" s="1" t="s">
        <v>14</v>
      </c>
      <c r="D13" s="1">
        <v>10</v>
      </c>
      <c r="E13" s="1">
        <v>8</v>
      </c>
      <c r="F13" s="1">
        <v>5</v>
      </c>
      <c r="G13" s="5">
        <f t="shared" si="0"/>
        <v>7.666666666666667</v>
      </c>
      <c r="H13" s="5">
        <f t="shared" si="1"/>
        <v>7.666666666666667</v>
      </c>
      <c r="I13" s="1" t="str">
        <f t="shared" si="2"/>
        <v>Não Apto</v>
      </c>
      <c r="L13" s="6">
        <f t="shared" si="9"/>
        <v>8</v>
      </c>
      <c r="M13" s="1" t="s">
        <v>14</v>
      </c>
      <c r="N13" s="1" t="s">
        <v>27</v>
      </c>
      <c r="O13" s="1">
        <v>10</v>
      </c>
      <c r="P13" s="1">
        <v>8</v>
      </c>
      <c r="Q13" s="1">
        <v>5</v>
      </c>
      <c r="R13" s="5">
        <f t="shared" si="3"/>
        <v>7.666666666666667</v>
      </c>
      <c r="S13" s="7" t="str">
        <f t="shared" si="4"/>
        <v>Não Apto</v>
      </c>
      <c r="U13" s="1">
        <f t="shared" si="10"/>
        <v>8</v>
      </c>
      <c r="V13" s="1" t="s">
        <v>14</v>
      </c>
      <c r="W13" s="1">
        <v>10</v>
      </c>
      <c r="X13" s="1">
        <v>8</v>
      </c>
      <c r="Y13" s="1">
        <v>5</v>
      </c>
      <c r="Z13" s="5">
        <f t="shared" si="5"/>
        <v>7.666666666666667</v>
      </c>
      <c r="AA13" s="5">
        <f t="shared" si="6"/>
        <v>7.666666666666667</v>
      </c>
      <c r="AB13" s="1" t="str">
        <f t="shared" si="7"/>
        <v>Não Apto</v>
      </c>
    </row>
    <row r="14" spans="2:28" x14ac:dyDescent="0.25">
      <c r="B14" s="1">
        <f t="shared" si="8"/>
        <v>9</v>
      </c>
      <c r="C14" s="1" t="s">
        <v>15</v>
      </c>
      <c r="D14" s="1">
        <v>5</v>
      </c>
      <c r="E14" s="1">
        <v>10</v>
      </c>
      <c r="F14" s="1">
        <v>16</v>
      </c>
      <c r="G14" s="5">
        <f t="shared" si="0"/>
        <v>10.333333333333334</v>
      </c>
      <c r="H14" s="5">
        <f t="shared" si="1"/>
        <v>10.333333333333334</v>
      </c>
      <c r="I14" s="1" t="str">
        <f t="shared" si="2"/>
        <v>Apto</v>
      </c>
      <c r="L14" s="6">
        <f t="shared" si="9"/>
        <v>9</v>
      </c>
      <c r="M14" s="1" t="s">
        <v>15</v>
      </c>
      <c r="N14" s="1" t="s">
        <v>27</v>
      </c>
      <c r="O14" s="1">
        <v>5</v>
      </c>
      <c r="P14" s="1">
        <v>10</v>
      </c>
      <c r="Q14" s="1">
        <v>16</v>
      </c>
      <c r="R14" s="5">
        <f t="shared" si="3"/>
        <v>10.333333333333334</v>
      </c>
      <c r="S14" s="7" t="str">
        <f t="shared" si="4"/>
        <v>Apto</v>
      </c>
      <c r="U14" s="1">
        <f t="shared" si="10"/>
        <v>9</v>
      </c>
      <c r="V14" s="1" t="s">
        <v>15</v>
      </c>
      <c r="W14" s="1">
        <v>5</v>
      </c>
      <c r="X14" s="1">
        <v>10</v>
      </c>
      <c r="Y14" s="1">
        <v>16</v>
      </c>
      <c r="Z14" s="5">
        <f t="shared" si="5"/>
        <v>10.333333333333334</v>
      </c>
      <c r="AA14" s="5">
        <f t="shared" si="6"/>
        <v>10.333333333333334</v>
      </c>
      <c r="AB14" s="1" t="str">
        <f t="shared" si="7"/>
        <v>Apto</v>
      </c>
    </row>
    <row r="15" spans="2:28" x14ac:dyDescent="0.25">
      <c r="B15" s="1">
        <f>B14+1</f>
        <v>10</v>
      </c>
      <c r="C15" s="1" t="s">
        <v>16</v>
      </c>
      <c r="D15" s="1">
        <v>19</v>
      </c>
      <c r="E15" s="1">
        <v>11</v>
      </c>
      <c r="F15" s="1">
        <v>9</v>
      </c>
      <c r="G15" s="5">
        <f t="shared" si="0"/>
        <v>13</v>
      </c>
      <c r="H15" s="5">
        <f t="shared" si="1"/>
        <v>13</v>
      </c>
      <c r="I15" s="1" t="str">
        <f t="shared" si="2"/>
        <v>Apto</v>
      </c>
      <c r="L15" s="11">
        <f>L14+1</f>
        <v>10</v>
      </c>
      <c r="M15" s="12" t="s">
        <v>16</v>
      </c>
      <c r="N15" s="12" t="s">
        <v>26</v>
      </c>
      <c r="O15" s="12">
        <v>19</v>
      </c>
      <c r="P15" s="12">
        <v>11</v>
      </c>
      <c r="Q15" s="12">
        <v>9</v>
      </c>
      <c r="R15" s="13">
        <f t="shared" si="3"/>
        <v>13</v>
      </c>
      <c r="S15" s="14" t="str">
        <f t="shared" si="4"/>
        <v>Apto</v>
      </c>
      <c r="U15" s="1">
        <f t="shared" si="10"/>
        <v>10</v>
      </c>
      <c r="V15" s="1" t="s">
        <v>16</v>
      </c>
      <c r="W15" s="1">
        <v>19</v>
      </c>
      <c r="X15" s="1">
        <v>11</v>
      </c>
      <c r="Y15" s="1">
        <v>9</v>
      </c>
      <c r="Z15" s="5">
        <f t="shared" si="5"/>
        <v>13</v>
      </c>
      <c r="AA15" s="5">
        <f t="shared" si="6"/>
        <v>13</v>
      </c>
      <c r="AB15" s="1" t="str">
        <f t="shared" si="7"/>
        <v>Apto</v>
      </c>
    </row>
    <row r="16" spans="2:28" x14ac:dyDescent="0.25">
      <c r="U16" s="1">
        <f>U15+1</f>
        <v>11</v>
      </c>
      <c r="V16" s="1" t="s">
        <v>7</v>
      </c>
      <c r="W16" s="1">
        <v>10</v>
      </c>
      <c r="X16" s="1">
        <v>11</v>
      </c>
      <c r="Y16" s="1">
        <v>13</v>
      </c>
      <c r="Z16" s="5">
        <f>(W16+X16+Y16)/3</f>
        <v>11.333333333333334</v>
      </c>
      <c r="AA16" s="5">
        <f>AVERAGE(W16:Y16)</f>
        <v>11.333333333333334</v>
      </c>
      <c r="AB16" s="1" t="str">
        <f>IF(Z16&gt;9,"Apto","Não Apto")</f>
        <v>Apto</v>
      </c>
    </row>
    <row r="17" spans="2:28" x14ac:dyDescent="0.25">
      <c r="U17" s="1">
        <f>U16+1</f>
        <v>12</v>
      </c>
      <c r="V17" s="1" t="s">
        <v>8</v>
      </c>
      <c r="W17" s="1">
        <v>9</v>
      </c>
      <c r="X17" s="1">
        <v>10</v>
      </c>
      <c r="Y17" s="1">
        <v>5</v>
      </c>
      <c r="Z17" s="5">
        <f t="shared" ref="Z17:Z25" si="11">(W17+X17+Y17)/3</f>
        <v>8</v>
      </c>
      <c r="AA17" s="5">
        <f t="shared" ref="AA17:AA25" si="12">AVERAGE(W17:Y17)</f>
        <v>8</v>
      </c>
      <c r="AB17" s="1" t="str">
        <f t="shared" ref="AB17:AB25" si="13">IF(Z17&gt;9,"Apto","Não Apto")</f>
        <v>Não Apto</v>
      </c>
    </row>
    <row r="18" spans="2:28" x14ac:dyDescent="0.25">
      <c r="B18" s="15" t="s">
        <v>1</v>
      </c>
      <c r="C18" s="15" t="s">
        <v>2</v>
      </c>
      <c r="D18" s="15" t="s">
        <v>3</v>
      </c>
      <c r="E18" s="15" t="s">
        <v>4</v>
      </c>
      <c r="F18" s="15" t="s">
        <v>5</v>
      </c>
      <c r="G18" s="15" t="s">
        <v>6</v>
      </c>
      <c r="H18" s="15" t="s">
        <v>18</v>
      </c>
      <c r="U18" s="1">
        <f>U17+1</f>
        <v>13</v>
      </c>
      <c r="V18" s="1" t="s">
        <v>9</v>
      </c>
      <c r="W18" s="1">
        <v>11</v>
      </c>
      <c r="X18" s="1">
        <v>14</v>
      </c>
      <c r="Y18" s="1">
        <v>6</v>
      </c>
      <c r="Z18" s="5">
        <f t="shared" si="11"/>
        <v>10.333333333333334</v>
      </c>
      <c r="AA18" s="5">
        <f t="shared" si="12"/>
        <v>10.333333333333334</v>
      </c>
      <c r="AB18" s="1" t="str">
        <f t="shared" si="13"/>
        <v>Apto</v>
      </c>
    </row>
    <row r="19" spans="2:28" x14ac:dyDescent="0.25">
      <c r="B19" s="16">
        <v>1</v>
      </c>
      <c r="C19" s="16" t="s">
        <v>7</v>
      </c>
      <c r="D19" s="16">
        <v>10</v>
      </c>
      <c r="E19" s="16">
        <v>11</v>
      </c>
      <c r="F19" s="16">
        <v>13</v>
      </c>
      <c r="G19" s="5">
        <f t="shared" ref="G19:G28" si="14">(D19+E19+F19)/3</f>
        <v>11.333333333333334</v>
      </c>
      <c r="H19" s="16" t="str">
        <f>IF(G19&gt;9,"Apto","Não Apto")</f>
        <v>Apto</v>
      </c>
      <c r="U19" s="1">
        <f>U18+1</f>
        <v>14</v>
      </c>
      <c r="V19" s="1" t="s">
        <v>10</v>
      </c>
      <c r="W19" s="1">
        <v>7</v>
      </c>
      <c r="X19" s="1">
        <v>5</v>
      </c>
      <c r="Y19" s="1">
        <v>10</v>
      </c>
      <c r="Z19" s="5">
        <f t="shared" si="11"/>
        <v>7.333333333333333</v>
      </c>
      <c r="AA19" s="5">
        <f t="shared" si="12"/>
        <v>7.333333333333333</v>
      </c>
      <c r="AB19" s="1" t="str">
        <f t="shared" si="13"/>
        <v>Não Apto</v>
      </c>
    </row>
    <row r="20" spans="2:28" x14ac:dyDescent="0.25">
      <c r="B20" s="1">
        <f>B19+1</f>
        <v>2</v>
      </c>
      <c r="C20" s="1" t="s">
        <v>8</v>
      </c>
      <c r="D20" s="1">
        <v>9</v>
      </c>
      <c r="E20" s="1">
        <v>10</v>
      </c>
      <c r="F20" s="1">
        <v>5</v>
      </c>
      <c r="G20" s="5">
        <f t="shared" si="14"/>
        <v>8</v>
      </c>
      <c r="H20" s="1" t="str">
        <f t="shared" ref="H20:H28" si="15">IF(G20&gt;9,"Apto","Não Apto")</f>
        <v>Não Apto</v>
      </c>
      <c r="U20" s="1">
        <f>U19+1</f>
        <v>15</v>
      </c>
      <c r="V20" s="1" t="s">
        <v>11</v>
      </c>
      <c r="W20" s="1">
        <v>8</v>
      </c>
      <c r="X20" s="1">
        <v>11</v>
      </c>
      <c r="Y20" s="1">
        <v>18</v>
      </c>
      <c r="Z20" s="5">
        <f t="shared" si="11"/>
        <v>12.333333333333334</v>
      </c>
      <c r="AA20" s="5">
        <f t="shared" si="12"/>
        <v>12.333333333333334</v>
      </c>
      <c r="AB20" s="1" t="str">
        <f t="shared" si="13"/>
        <v>Apto</v>
      </c>
    </row>
    <row r="21" spans="2:28" x14ac:dyDescent="0.25">
      <c r="B21" s="16">
        <f t="shared" ref="B21:B27" si="16">B20+1</f>
        <v>3</v>
      </c>
      <c r="C21" s="16" t="s">
        <v>9</v>
      </c>
      <c r="D21" s="16">
        <v>11</v>
      </c>
      <c r="E21" s="16">
        <v>14</v>
      </c>
      <c r="F21" s="16">
        <v>6</v>
      </c>
      <c r="G21" s="5">
        <f t="shared" si="14"/>
        <v>10.333333333333334</v>
      </c>
      <c r="H21" s="16" t="str">
        <f t="shared" si="15"/>
        <v>Apto</v>
      </c>
      <c r="U21" s="1">
        <f>U20+1</f>
        <v>16</v>
      </c>
      <c r="V21" s="1" t="s">
        <v>12</v>
      </c>
      <c r="W21" s="1">
        <v>7</v>
      </c>
      <c r="X21" s="1">
        <v>7</v>
      </c>
      <c r="Y21" s="1">
        <v>9</v>
      </c>
      <c r="Z21" s="5">
        <f t="shared" si="11"/>
        <v>7.666666666666667</v>
      </c>
      <c r="AA21" s="5">
        <f t="shared" si="12"/>
        <v>7.666666666666667</v>
      </c>
      <c r="AB21" s="1" t="str">
        <f t="shared" si="13"/>
        <v>Não Apto</v>
      </c>
    </row>
    <row r="22" spans="2:28" x14ac:dyDescent="0.25">
      <c r="B22" s="1">
        <f t="shared" si="16"/>
        <v>4</v>
      </c>
      <c r="C22" s="1" t="s">
        <v>10</v>
      </c>
      <c r="D22" s="1">
        <v>7</v>
      </c>
      <c r="E22" s="1">
        <v>5</v>
      </c>
      <c r="F22" s="1">
        <v>10</v>
      </c>
      <c r="G22" s="5">
        <f t="shared" si="14"/>
        <v>7.333333333333333</v>
      </c>
      <c r="H22" s="1" t="str">
        <f t="shared" si="15"/>
        <v>Não Apto</v>
      </c>
      <c r="U22" s="1">
        <f>U21+1</f>
        <v>17</v>
      </c>
      <c r="V22" s="1" t="s">
        <v>13</v>
      </c>
      <c r="W22" s="1">
        <v>16</v>
      </c>
      <c r="X22" s="1">
        <v>18</v>
      </c>
      <c r="Y22" s="1">
        <v>10</v>
      </c>
      <c r="Z22" s="5">
        <f t="shared" si="11"/>
        <v>14.666666666666666</v>
      </c>
      <c r="AA22" s="5">
        <f t="shared" si="12"/>
        <v>14.666666666666666</v>
      </c>
      <c r="AB22" s="1" t="str">
        <f t="shared" si="13"/>
        <v>Apto</v>
      </c>
    </row>
    <row r="23" spans="2:28" x14ac:dyDescent="0.25">
      <c r="B23" s="16">
        <f t="shared" si="16"/>
        <v>5</v>
      </c>
      <c r="C23" s="16" t="s">
        <v>11</v>
      </c>
      <c r="D23" s="16">
        <v>8</v>
      </c>
      <c r="E23" s="16">
        <v>11</v>
      </c>
      <c r="F23" s="16">
        <v>18</v>
      </c>
      <c r="G23" s="5">
        <f t="shared" si="14"/>
        <v>12.333333333333334</v>
      </c>
      <c r="H23" s="16" t="str">
        <f t="shared" si="15"/>
        <v>Apto</v>
      </c>
      <c r="U23" s="1">
        <f>U22+1</f>
        <v>18</v>
      </c>
      <c r="V23" s="1" t="s">
        <v>14</v>
      </c>
      <c r="W23" s="1">
        <v>10</v>
      </c>
      <c r="X23" s="1">
        <v>8</v>
      </c>
      <c r="Y23" s="1">
        <v>5</v>
      </c>
      <c r="Z23" s="5">
        <f t="shared" si="11"/>
        <v>7.666666666666667</v>
      </c>
      <c r="AA23" s="5">
        <f t="shared" si="12"/>
        <v>7.666666666666667</v>
      </c>
      <c r="AB23" s="1" t="str">
        <f t="shared" si="13"/>
        <v>Não Apto</v>
      </c>
    </row>
    <row r="24" spans="2:28" x14ac:dyDescent="0.25">
      <c r="B24" s="1">
        <f t="shared" si="16"/>
        <v>6</v>
      </c>
      <c r="C24" s="1" t="s">
        <v>12</v>
      </c>
      <c r="D24" s="1">
        <v>7</v>
      </c>
      <c r="E24" s="1">
        <v>7</v>
      </c>
      <c r="F24" s="1">
        <v>9</v>
      </c>
      <c r="G24" s="5">
        <f t="shared" si="14"/>
        <v>7.666666666666667</v>
      </c>
      <c r="H24" s="1" t="str">
        <f t="shared" si="15"/>
        <v>Não Apto</v>
      </c>
      <c r="U24" s="1">
        <f>U23+1</f>
        <v>19</v>
      </c>
      <c r="V24" s="1" t="s">
        <v>15</v>
      </c>
      <c r="W24" s="1">
        <v>5</v>
      </c>
      <c r="X24" s="1">
        <v>10</v>
      </c>
      <c r="Y24" s="1">
        <v>16</v>
      </c>
      <c r="Z24" s="5">
        <f t="shared" si="11"/>
        <v>10.333333333333334</v>
      </c>
      <c r="AA24" s="5">
        <f t="shared" si="12"/>
        <v>10.333333333333334</v>
      </c>
      <c r="AB24" s="1" t="str">
        <f t="shared" si="13"/>
        <v>Apto</v>
      </c>
    </row>
    <row r="25" spans="2:28" x14ac:dyDescent="0.25">
      <c r="B25" s="16">
        <f t="shared" si="16"/>
        <v>7</v>
      </c>
      <c r="C25" s="16" t="s">
        <v>13</v>
      </c>
      <c r="D25" s="16">
        <v>16</v>
      </c>
      <c r="E25" s="16">
        <v>18</v>
      </c>
      <c r="F25" s="16">
        <v>10</v>
      </c>
      <c r="G25" s="5">
        <f t="shared" si="14"/>
        <v>14.666666666666666</v>
      </c>
      <c r="H25" s="16" t="str">
        <f t="shared" si="15"/>
        <v>Apto</v>
      </c>
      <c r="U25" s="1">
        <f>U24+1</f>
        <v>20</v>
      </c>
      <c r="V25" s="1" t="s">
        <v>16</v>
      </c>
      <c r="W25" s="1">
        <v>19</v>
      </c>
      <c r="X25" s="1">
        <v>11</v>
      </c>
      <c r="Y25" s="1">
        <v>9</v>
      </c>
      <c r="Z25" s="5">
        <f t="shared" si="11"/>
        <v>13</v>
      </c>
      <c r="AA25" s="5">
        <f t="shared" si="12"/>
        <v>13</v>
      </c>
      <c r="AB25" s="1" t="str">
        <f t="shared" si="13"/>
        <v>Apto</v>
      </c>
    </row>
    <row r="26" spans="2:28" x14ac:dyDescent="0.25">
      <c r="B26" s="1">
        <f t="shared" si="16"/>
        <v>8</v>
      </c>
      <c r="C26" s="1" t="s">
        <v>14</v>
      </c>
      <c r="D26" s="1">
        <v>10</v>
      </c>
      <c r="E26" s="1">
        <v>8</v>
      </c>
      <c r="F26" s="1">
        <v>5</v>
      </c>
      <c r="G26" s="5">
        <f t="shared" si="14"/>
        <v>7.666666666666667</v>
      </c>
      <c r="H26" s="1" t="str">
        <f t="shared" si="15"/>
        <v>Não Apto</v>
      </c>
    </row>
    <row r="27" spans="2:28" x14ac:dyDescent="0.25">
      <c r="B27" s="16">
        <f t="shared" si="16"/>
        <v>9</v>
      </c>
      <c r="C27" s="16" t="s">
        <v>15</v>
      </c>
      <c r="D27" s="16">
        <v>5</v>
      </c>
      <c r="E27" s="16">
        <v>10</v>
      </c>
      <c r="F27" s="16">
        <v>16</v>
      </c>
      <c r="G27" s="5">
        <f t="shared" si="14"/>
        <v>10.333333333333334</v>
      </c>
      <c r="H27" s="16" t="str">
        <f t="shared" si="15"/>
        <v>Apto</v>
      </c>
    </row>
    <row r="28" spans="2:28" x14ac:dyDescent="0.25">
      <c r="B28" s="1">
        <f>B27+1</f>
        <v>10</v>
      </c>
      <c r="C28" s="1" t="s">
        <v>16</v>
      </c>
      <c r="D28" s="1">
        <v>19</v>
      </c>
      <c r="E28" s="1">
        <v>11</v>
      </c>
      <c r="F28" s="1">
        <v>9</v>
      </c>
      <c r="G28" s="5">
        <f t="shared" si="14"/>
        <v>13</v>
      </c>
      <c r="H28" s="1" t="str">
        <f t="shared" si="15"/>
        <v>Apto</v>
      </c>
    </row>
  </sheetData>
  <autoFilter ref="B18:H18" xr:uid="{C5A07E92-5D3D-4F3D-A6A9-3E1922E12051}"/>
  <conditionalFormatting sqref="G6:G15 Z6:Z25">
    <cfRule type="cellIs" dxfId="5" priority="7" operator="lessThan">
      <formula>10</formula>
    </cfRule>
    <cfRule type="cellIs" dxfId="4" priority="8" operator="greaterThan">
      <formula>9</formula>
    </cfRule>
  </conditionalFormatting>
  <conditionalFormatting sqref="G19:G28">
    <cfRule type="cellIs" dxfId="3" priority="3" operator="lessThan">
      <formula>10</formula>
    </cfRule>
    <cfRule type="cellIs" dxfId="2" priority="4" operator="greaterThan">
      <formula>9</formula>
    </cfRule>
  </conditionalFormatting>
  <conditionalFormatting sqref="R6:R15">
    <cfRule type="cellIs" dxfId="1" priority="5" operator="lessThan">
      <formula>10</formula>
    </cfRule>
    <cfRule type="cellIs" dxfId="0" priority="6" operator="greaterThan">
      <formula>9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6F14D-79B4-42CE-AAC0-70F8CAD66E70}">
  <dimension ref="B1:W14"/>
  <sheetViews>
    <sheetView workbookViewId="0">
      <selection activeCell="U9" sqref="U9"/>
    </sheetView>
  </sheetViews>
  <sheetFormatPr defaultRowHeight="15" x14ac:dyDescent="0.25"/>
  <sheetData>
    <row r="1" spans="2:23" s="20" customFormat="1" x14ac:dyDescent="0.25"/>
    <row r="2" spans="2:23" s="22" customFormat="1" ht="31.5" x14ac:dyDescent="0.5">
      <c r="B2" s="21" t="s">
        <v>28</v>
      </c>
    </row>
    <row r="5" spans="2:23" ht="21" x14ac:dyDescent="0.35">
      <c r="R5" s="23" t="s">
        <v>30</v>
      </c>
      <c r="S5" s="22"/>
      <c r="T5" s="25">
        <f>COUNTA('Tabela Dinaamica'!A5:A14)</f>
        <v>7</v>
      </c>
    </row>
    <row r="14" spans="2:23" ht="23.25" x14ac:dyDescent="0.35">
      <c r="R14" s="24" t="s">
        <v>29</v>
      </c>
      <c r="S14" s="22"/>
      <c r="T14" s="22"/>
      <c r="U14" s="22"/>
      <c r="V14" s="22"/>
      <c r="W14" s="22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Tabela Dinaamica</vt:lpstr>
      <vt:lpstr>Tabela Dinamica Recomendada</vt:lpstr>
      <vt:lpstr>Tabelas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2026-05-04T08:07:15Z</dcterms:created>
  <dcterms:modified xsi:type="dcterms:W3CDTF">2026-05-04T11:16:38Z</dcterms:modified>
</cp:coreProperties>
</file>