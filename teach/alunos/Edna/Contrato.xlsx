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Edna\"/>
    </mc:Choice>
  </mc:AlternateContent>
  <bookViews>
    <workbookView xWindow="0" yWindow="0" windowWidth="20490" windowHeight="7530"/>
  </bookViews>
  <sheets>
    <sheet name="integrantes" sheetId="6" r:id="rId1"/>
    <sheet name="Pivots" sheetId="8" r:id="rId2"/>
  </sheets>
  <definedNames>
    <definedName name="_xlnm._FilterDatabase" localSheetId="0" hidden="1">integrantes!$B$5:$K$212</definedName>
  </definedNames>
  <calcPr calcId="162913"/>
  <pivotCaches>
    <pivotCache cacheId="49" r:id="rId3"/>
  </pivotCaches>
</workbook>
</file>

<file path=xl/calcChain.xml><?xml version="1.0" encoding="utf-8"?>
<calcChain xmlns="http://schemas.openxmlformats.org/spreadsheetml/2006/main">
  <c r="J6" i="6" l="1"/>
  <c r="J7" i="6"/>
  <c r="J8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F6" i="6"/>
  <c r="F7" i="6"/>
  <c r="F8" i="6"/>
  <c r="F9" i="6"/>
  <c r="J9" i="6" s="1"/>
  <c r="F10" i="6"/>
  <c r="F11" i="6"/>
  <c r="F12" i="6"/>
  <c r="F13" i="6"/>
  <c r="F14" i="6"/>
  <c r="F15" i="6"/>
  <c r="G15" i="6" s="1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G30" i="6" s="1"/>
  <c r="F31" i="6"/>
  <c r="G31" i="6" s="1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G62" i="6" s="1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G75" i="6" s="1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G111" i="6" s="1"/>
  <c r="F112" i="6"/>
  <c r="F113" i="6"/>
  <c r="F114" i="6"/>
  <c r="F115" i="6"/>
  <c r="F116" i="6"/>
  <c r="F117" i="6"/>
  <c r="F118" i="6"/>
  <c r="F119" i="6"/>
  <c r="G119" i="6" s="1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G135" i="6" s="1"/>
  <c r="F136" i="6"/>
  <c r="F137" i="6"/>
  <c r="F138" i="6"/>
  <c r="F139" i="6"/>
  <c r="F140" i="6"/>
  <c r="F141" i="6"/>
  <c r="F142" i="6"/>
  <c r="G142" i="6" s="1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G190" i="6" s="1"/>
  <c r="F191" i="6"/>
  <c r="G191" i="6" s="1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G66" i="6" s="1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G130" i="6" s="1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G167" i="6" l="1"/>
  <c r="G87" i="6"/>
  <c r="G47" i="6"/>
  <c r="G22" i="6"/>
  <c r="G21" i="6"/>
  <c r="G163" i="6"/>
  <c r="G97" i="6"/>
  <c r="G52" i="6"/>
  <c r="G74" i="6"/>
  <c r="G89" i="6"/>
  <c r="G160" i="6"/>
  <c r="G78" i="6"/>
  <c r="G84" i="6"/>
  <c r="G209" i="6"/>
  <c r="G121" i="6"/>
  <c r="G207" i="6"/>
  <c r="G159" i="6"/>
  <c r="G143" i="6"/>
  <c r="G39" i="6"/>
  <c r="G202" i="6"/>
  <c r="G201" i="6"/>
  <c r="G161" i="6"/>
  <c r="G81" i="6"/>
  <c r="G117" i="6"/>
  <c r="G172" i="6"/>
  <c r="G12" i="6"/>
  <c r="G195" i="6"/>
  <c r="G186" i="6"/>
  <c r="G138" i="6"/>
  <c r="G113" i="6"/>
  <c r="G141" i="6"/>
  <c r="G204" i="6"/>
  <c r="G108" i="6"/>
  <c r="G100" i="6"/>
  <c r="G92" i="6"/>
  <c r="G155" i="6"/>
  <c r="G43" i="6"/>
  <c r="G90" i="6"/>
  <c r="G129" i="6"/>
  <c r="G49" i="6"/>
  <c r="G17" i="6"/>
  <c r="G112" i="6"/>
  <c r="G56" i="6"/>
  <c r="G183" i="6"/>
  <c r="G71" i="6"/>
  <c r="G63" i="6"/>
  <c r="G23" i="6"/>
  <c r="G189" i="6"/>
  <c r="G133" i="6"/>
  <c r="G124" i="6"/>
  <c r="G60" i="6"/>
  <c r="G44" i="6"/>
  <c r="G147" i="6"/>
  <c r="G59" i="6"/>
  <c r="G178" i="6"/>
  <c r="G162" i="6"/>
  <c r="G58" i="6"/>
  <c r="G169" i="6"/>
  <c r="G73" i="6"/>
  <c r="G136" i="6"/>
  <c r="G93" i="6"/>
  <c r="G45" i="6"/>
  <c r="G37" i="6"/>
  <c r="G116" i="6"/>
  <c r="G99" i="6"/>
  <c r="G67" i="6"/>
  <c r="G170" i="6"/>
  <c r="G146" i="6"/>
  <c r="G57" i="6"/>
  <c r="G168" i="6"/>
  <c r="G8" i="6"/>
  <c r="G158" i="6"/>
  <c r="G126" i="6"/>
  <c r="G94" i="6"/>
  <c r="G68" i="6"/>
  <c r="G203" i="6"/>
  <c r="G187" i="6"/>
  <c r="G179" i="6"/>
  <c r="G123" i="6"/>
  <c r="G83" i="6"/>
  <c r="G51" i="6"/>
  <c r="G19" i="6"/>
  <c r="G106" i="6"/>
  <c r="G82" i="6"/>
  <c r="G34" i="6"/>
  <c r="G185" i="6"/>
  <c r="G137" i="6"/>
  <c r="G105" i="6"/>
  <c r="G65" i="6"/>
  <c r="G208" i="6"/>
  <c r="G64" i="6"/>
  <c r="G182" i="6"/>
  <c r="G174" i="6"/>
  <c r="G134" i="6"/>
  <c r="G118" i="6"/>
  <c r="G110" i="6"/>
  <c r="G86" i="6"/>
  <c r="G205" i="6"/>
  <c r="G181" i="6"/>
  <c r="G157" i="6"/>
  <c r="G109" i="6"/>
  <c r="G148" i="6"/>
  <c r="G76" i="6"/>
  <c r="G211" i="6"/>
  <c r="G171" i="6"/>
  <c r="G139" i="6"/>
  <c r="G131" i="6"/>
  <c r="G115" i="6"/>
  <c r="G107" i="6"/>
  <c r="G91" i="6"/>
  <c r="G35" i="6"/>
  <c r="G27" i="6"/>
  <c r="G11" i="6"/>
  <c r="G194" i="6"/>
  <c r="G122" i="6"/>
  <c r="G98" i="6"/>
  <c r="G50" i="6"/>
  <c r="G177" i="6"/>
  <c r="G145" i="6"/>
  <c r="G33" i="6"/>
  <c r="G184" i="6"/>
  <c r="G176" i="6"/>
  <c r="G152" i="6"/>
  <c r="G144" i="6"/>
  <c r="G40" i="6"/>
  <c r="G24" i="6"/>
  <c r="G210" i="6"/>
  <c r="G154" i="6"/>
  <c r="G114" i="6"/>
  <c r="G42" i="6"/>
  <c r="G26" i="6"/>
  <c r="G18" i="6"/>
  <c r="G10" i="6"/>
  <c r="G193" i="6"/>
  <c r="G153" i="6"/>
  <c r="G41" i="6"/>
  <c r="G25" i="6"/>
  <c r="G192" i="6"/>
  <c r="G120" i="6"/>
  <c r="G16" i="6"/>
  <c r="G103" i="6"/>
  <c r="G79" i="6"/>
  <c r="G206" i="6"/>
  <c r="G70" i="6"/>
  <c r="G54" i="6"/>
  <c r="G38" i="6"/>
  <c r="G14" i="6"/>
  <c r="G6" i="6"/>
  <c r="G197" i="6"/>
  <c r="G125" i="6"/>
  <c r="G85" i="6"/>
  <c r="G180" i="6"/>
  <c r="G164" i="6"/>
  <c r="G156" i="6"/>
  <c r="G140" i="6"/>
  <c r="G28" i="6"/>
  <c r="G200" i="6"/>
  <c r="G128" i="6"/>
  <c r="G104" i="6"/>
  <c r="G96" i="6"/>
  <c r="G88" i="6"/>
  <c r="G80" i="6"/>
  <c r="G72" i="6"/>
  <c r="G48" i="6"/>
  <c r="G32" i="6"/>
  <c r="G199" i="6"/>
  <c r="G175" i="6"/>
  <c r="G151" i="6"/>
  <c r="G127" i="6"/>
  <c r="G95" i="6"/>
  <c r="G55" i="6"/>
  <c r="G7" i="6"/>
  <c r="G198" i="6"/>
  <c r="G166" i="6"/>
  <c r="G150" i="6"/>
  <c r="G102" i="6"/>
  <c r="G46" i="6"/>
  <c r="G173" i="6"/>
  <c r="G165" i="6"/>
  <c r="G149" i="6"/>
  <c r="G101" i="6"/>
  <c r="G77" i="6"/>
  <c r="G69" i="6"/>
  <c r="G61" i="6"/>
  <c r="G53" i="6"/>
  <c r="G29" i="6"/>
  <c r="G13" i="6"/>
  <c r="G212" i="6"/>
  <c r="G196" i="6"/>
  <c r="G188" i="6"/>
  <c r="G132" i="6"/>
  <c r="G36" i="6"/>
  <c r="G20" i="6"/>
  <c r="G9" i="6"/>
  <c r="A7" i="6" l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</calcChain>
</file>

<file path=xl/sharedStrings.xml><?xml version="1.0" encoding="utf-8"?>
<sst xmlns="http://schemas.openxmlformats.org/spreadsheetml/2006/main" count="867" uniqueCount="450">
  <si>
    <t>ID</t>
  </si>
  <si>
    <t>Departamento</t>
  </si>
  <si>
    <t>João</t>
  </si>
  <si>
    <t>Pedro</t>
  </si>
  <si>
    <t>Ana</t>
  </si>
  <si>
    <t>Administrativo</t>
  </si>
  <si>
    <t>TI</t>
  </si>
  <si>
    <t>Vendas</t>
  </si>
  <si>
    <t>Produção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</si>
  <si>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</si>
  <si>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</si>
  <si>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</si>
  <si>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</si>
  <si>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</si>
  <si>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</si>
  <si>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</si>
  <si>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</si>
  <si>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</si>
  <si>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</si>
  <si>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</si>
  <si>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</si>
  <si>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</si>
  <si>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</si>
  <si>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</si>
  <si>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</si>
  <si>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</si>
  <si>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</si>
  <si>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</si>
  <si>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</si>
  <si>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</si>
  <si>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</si>
  <si>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</si>
  <si>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</si>
  <si>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</si>
  <si>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</si>
  <si>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</si>
  <si>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</si>
  <si>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</si>
  <si>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</si>
  <si>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</si>
  <si>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</si>
  <si>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</si>
  <si>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</si>
  <si>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</si>
  <si>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</si>
  <si>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</si>
  <si>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</si>
  <si>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</si>
  <si>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</si>
  <si>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</si>
  <si>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</si>
  <si>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</si>
  <si>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</si>
  <si>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</si>
  <si>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</si>
  <si>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</si>
  <si>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</si>
  <si>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</si>
  <si>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</si>
  <si>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</si>
  <si>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</si>
  <si>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</si>
  <si>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</si>
  <si>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</si>
  <si>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</si>
  <si>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</si>
  <si>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</si>
  <si>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</si>
  <si>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</si>
  <si>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</si>
  <si>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</si>
  <si>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</si>
  <si>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</si>
  <si>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</si>
  <si>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</si>
  <si>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</si>
  <si>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</si>
  <si>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</si>
  <si>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</si>
  <si>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</si>
  <si>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</si>
  <si>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</si>
  <si>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</si>
  <si>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</si>
  <si>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</si>
  <si>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</si>
  <si>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</si>
  <si>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</si>
  <si>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</si>
  <si>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</si>
  <si>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</si>
  <si>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</si>
  <si>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</si>
  <si>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</si>
  <si>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</si>
  <si>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</si>
  <si>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</si>
  <si>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</si>
  <si>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</si>
  <si>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</si>
  <si>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</si>
  <si>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</si>
  <si>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</si>
  <si>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</si>
  <si>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</si>
  <si>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</si>
  <si>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</si>
  <si>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</si>
  <si>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</si>
  <si>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</si>
  <si>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</si>
  <si>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</si>
  <si>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</si>
  <si>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</si>
  <si>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</si>
  <si>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</si>
  <si>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</si>
  <si>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</si>
  <si>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</si>
  <si>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</si>
  <si>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</si>
  <si>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</si>
  <si>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</si>
  <si>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</si>
  <si>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</si>
  <si>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</si>
  <si>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</si>
  <si>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</si>
  <si>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</si>
  <si>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</si>
  <si>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</si>
  <si>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</si>
  <si>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</si>
  <si>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</si>
  <si>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</si>
  <si>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</si>
  <si>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</si>
  <si>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</si>
  <si>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</si>
  <si>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</si>
  <si>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</si>
  <si>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</si>
  <si>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</si>
  <si>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</si>
  <si>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</si>
  <si>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</si>
  <si>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</si>
  <si>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</si>
  <si>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</si>
  <si>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</si>
  <si>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</si>
  <si>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</si>
  <si>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</si>
  <si>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</si>
  <si>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</si>
  <si>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</si>
  <si>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</si>
  <si>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</si>
  <si>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</si>
  <si>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</si>
  <si>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</si>
  <si>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</si>
  <si>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</si>
  <si>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</si>
  <si>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</si>
  <si>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</si>
  <si>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</si>
  <si>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</si>
  <si>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</si>
  <si>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</si>
  <si>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</si>
  <si>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</si>
  <si>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</si>
  <si>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</si>
  <si>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</si>
  <si>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</si>
  <si>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</si>
  <si>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</si>
  <si>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</si>
  <si>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</si>
  <si>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</si>
  <si>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</si>
  <si>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</si>
  <si>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</si>
  <si>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</si>
  <si>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</si>
  <si>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</si>
  <si>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</si>
  <si>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</si>
  <si>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</si>
  <si>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</si>
  <si>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</si>
  <si>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</si>
  <si>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</si>
  <si>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</si>
  <si>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</si>
  <si>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</si>
  <si>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</si>
  <si>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</si>
  <si>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</si>
  <si>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</si>
  <si>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</si>
  <si>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</si>
  <si>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</si>
  <si>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</si>
  <si>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Jazz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</si>
  <si>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</si>
  <si>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</si>
  <si>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</si>
  <si>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</si>
  <si>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</si>
  <si>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</si>
  <si>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</si>
  <si>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</si>
  <si>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</si>
  <si>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</si>
  <si>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</si>
  <si>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</si>
  <si>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</si>
  <si>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</si>
  <si>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</si>
  <si>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</si>
  <si>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</si>
  <si>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</si>
  <si>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</si>
  <si>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</si>
  <si>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</si>
  <si>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</si>
  <si>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</si>
  <si>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</si>
  <si>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</si>
  <si>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</si>
  <si>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</si>
  <si>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</si>
  <si>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</si>
  <si>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</si>
  <si>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</si>
  <si>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</si>
  <si>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</si>
  <si>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</si>
  <si>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</si>
  <si>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</si>
  <si>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</si>
  <si>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</si>
  <si>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</si>
  <si>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</si>
  <si>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</si>
  <si>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</si>
  <si>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</si>
  <si>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</si>
  <si>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</si>
  <si>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</si>
  <si>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</si>
  <si>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</si>
  <si>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</si>
  <si>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</si>
  <si>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</si>
  <si>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</si>
  <si>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</si>
  <si>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</si>
  <si>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</si>
  <si>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</si>
  <si>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</si>
  <si>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</si>
  <si>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</si>
  <si>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</si>
  <si>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</si>
  <si>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</si>
  <si>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</si>
  <si>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</si>
  <si>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</si>
  <si>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</si>
  <si>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</si>
  <si>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</si>
  <si>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</si>
  <si>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</si>
  <si>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</si>
  <si>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</si>
  <si>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</si>
  <si>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</si>
  <si>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</si>
  <si>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</si>
  <si>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</si>
  <si>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</si>
  <si>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</si>
  <si>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</si>
  <si>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</si>
  <si>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</si>
  <si>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</si>
  <si>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</si>
  <si>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</si>
  <si>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</si>
  <si>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</si>
  <si>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</si>
  <si>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</si>
  <si>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</si>
  <si>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</si>
  <si>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</si>
  <si>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</si>
  <si>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</si>
  <si>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</si>
  <si>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</si>
  <si>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</si>
  <si>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</si>
  <si>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</si>
  <si>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</si>
  <si>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</si>
  <si>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</si>
  <si>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</si>
  <si>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</si>
  <si>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</si>
  <si>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</si>
  <si>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</si>
  <si>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</si>
  <si>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</si>
  <si>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</si>
  <si>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</si>
  <si>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</si>
  <si>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</si>
  <si>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</si>
  <si>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</si>
  <si>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</si>
  <si>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</si>
  <si>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</si>
  <si>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</si>
  <si>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</si>
  <si>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</si>
  <si>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</si>
  <si>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</si>
  <si>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</si>
  <si>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</si>
  <si>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</si>
  <si>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</si>
  <si>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</si>
  <si>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</si>
  <si>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</si>
  <si>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</si>
  <si>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</si>
  <si>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</si>
  <si>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</si>
  <si>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</si>
  <si>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</si>
  <si>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</si>
  <si>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</si>
  <si>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</si>
  <si>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</si>
  <si>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</si>
  <si>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</si>
  <si>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</si>
  <si>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</si>
  <si>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</si>
  <si>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</si>
  <si>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</si>
  <si>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</si>
  <si>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</si>
  <si>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</si>
  <si>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</si>
  <si>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</si>
  <si>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</si>
  <si>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</si>
  <si>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</si>
  <si>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</si>
  <si>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</si>
  <si>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</si>
  <si>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</si>
  <si>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</si>
  <si>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</si>
  <si>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</si>
  <si>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</si>
  <si>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</si>
  <si>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</si>
  <si>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</si>
  <si>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</si>
  <si>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</si>
  <si>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</si>
  <si>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</si>
  <si>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</si>
  <si>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</si>
  <si>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</si>
  <si>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</si>
  <si>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</si>
  <si>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</si>
  <si>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</si>
  <si>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</si>
  <si>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</si>
  <si>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</si>
  <si>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</si>
  <si>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</si>
  <si>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</si>
  <si>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</si>
  <si>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</si>
  <si>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</si>
  <si>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</si>
  <si>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</si>
  <si>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</si>
  <si>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</si>
  <si>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</si>
  <si>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</si>
  <si>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</si>
  <si>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</si>
  <si>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</si>
  <si>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</si>
  <si>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</si>
  <si>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</si>
  <si>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</si>
  <si>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</si>
  <si>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</si>
  <si>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</si>
  <si>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</si>
  <si>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</si>
  <si>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</si>
  <si>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</si>
  <si>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</si>
  <si>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</si>
  <si>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Técnico de Produção I</t>
  </si>
  <si>
    <t>Analista Comercial I</t>
  </si>
  <si>
    <t>Analista Comercial II</t>
  </si>
  <si>
    <t>Analista Comercial III</t>
  </si>
  <si>
    <t>Diretor de Produção</t>
  </si>
  <si>
    <t>Diretor Comercial</t>
  </si>
  <si>
    <t>Diretor Administrativo</t>
  </si>
  <si>
    <t>Gerente de Produção</t>
  </si>
  <si>
    <t>Técnico de Produção II</t>
  </si>
  <si>
    <t>Gerente Comercial</t>
  </si>
  <si>
    <t>Gerente Administrativo</t>
  </si>
  <si>
    <t>Contador I</t>
  </si>
  <si>
    <t>Assistente Administrativo</t>
  </si>
  <si>
    <t>Analista de BI</t>
  </si>
  <si>
    <t>Gerente de TI</t>
  </si>
  <si>
    <t>Diretor de TI</t>
  </si>
  <si>
    <t>Analista de Dados</t>
  </si>
  <si>
    <t>Analista de Suporte de TI</t>
  </si>
  <si>
    <t>Engenheiro de Software</t>
  </si>
  <si>
    <t>Contador II</t>
  </si>
  <si>
    <t>Nº</t>
  </si>
  <si>
    <t>Empresa</t>
  </si>
  <si>
    <t>Tipos de contrato</t>
  </si>
  <si>
    <t>Tabela de contrato</t>
  </si>
  <si>
    <t>Valor do contrato</t>
  </si>
  <si>
    <t>Duração</t>
  </si>
  <si>
    <t>Status de contrato</t>
  </si>
  <si>
    <t>Parcer Juridico</t>
  </si>
  <si>
    <t>Parcer financeiro</t>
  </si>
  <si>
    <t>Parcer da área</t>
  </si>
  <si>
    <t>Rótulos de Linha</t>
  </si>
  <si>
    <t>Total Geral</t>
  </si>
  <si>
    <t>(Tudo)</t>
  </si>
  <si>
    <t>Da de Renovação</t>
  </si>
  <si>
    <t>Data de Contratação2</t>
  </si>
  <si>
    <t>Status de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</si>
</sst>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dd/mm/yy"/>
    <numFmt numFmtId="167" formatCode="_-* #,##0_-;\-* #,##0_-;_-* &quot;-&quot;??_-;_-@_-"/>
    <numFmt numFmtId="168" formatCode="_-* #,##0.00\ [$Kz]_-;\-* #,##0.00\ [$Kz]_-;_-* &quot;-&quot;??\ [$Kz]_-;_-@_-" x16r2:formatCode16="_-* #,##0.00\ [$Kz-pt-AO]_-;\-* #,##0.00\ [$Kz-pt-AO]_-;_-* &quot;-&quot;??\ [$Kz-pt-AO]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2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18" fillId="0" borderId="0" xfId="0" applyFont="1"/>
    <xf numFmtId="166" fontId="18" fillId="0" borderId="0" xfId="0" applyNumberFormat="1" applyFont="1"/>
    <xf numFmtId="167" fontId="18" fillId="0" borderId="0" xfId="42" applyNumberFormat="1" applyFont="1" applyFill="1" applyBorder="1" applyAlignment="1" applyProtection="1"/>
    <xf numFmtId="164" fontId="0" fillId="0" borderId="0" xfId="43" applyFont="1"/>
    <xf numFmtId="0" fontId="19" fillId="0" borderId="0" xfId="0" applyFont="1"/>
    <xf numFmtId="164" fontId="19" fillId="0" borderId="0" xfId="43" applyFont="1"/>
    <xf numFmtId="168" fontId="18" fillId="0" borderId="0" xfId="43" applyNumberFormat="1" applyFont="1"/>
    <xf numFmtId="0" fontId="13" fillId="33" borderId="0" xfId="0" applyFont="1" applyFill="1"/>
    <xf numFmtId="0" fontId="20" fillId="33" borderId="0" xfId="0" applyFont="1" applyFill="1"/>
    <xf numFmtId="164" fontId="13" fillId="33" borderId="0" xfId="43" applyFont="1" applyFill="1"/>
    <xf numFmtId="0" fontId="0" fillId="34" borderId="0" xfId="0" applyFill="1"/>
    <xf numFmtId="164" fontId="0" fillId="34" borderId="0" xfId="43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3" builtinId="4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_-* #,##0.00\ [$Kz]_-;\-* #,##0.00\ [$Kz]_-;_-* &quot;-&quot;??\ [$Kz]_-;_-@_-" x16r2:formatCode16="_-* #,##0.00\ [$Kz-pt-AO]_-;\-* #,##0.00\ [$Kz-pt-AO]_-;_-* &quot;-&quot;??\ [$Kz-pt-AO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742951</xdr:colOff>
      <xdr:row>3</xdr:row>
      <xdr:rowOff>123824</xdr:rowOff>
    </xdr:from>
    <xdr:to>
      <xdr:col>19</xdr:col>
      <xdr:colOff>666750</xdr:colOff>
      <xdr:row>18</xdr:row>
      <xdr:rowOff>47625</xdr:rowOff>
    </xdr:to>
    <xdr:sp macro="" textlink="">
      <xdr:nvSpPr>
        <xdr:cNvPr id="2" name="CaixaDeTexto 1"/>
        <xdr:cNvSpPr txBox="1"/>
      </xdr:nvSpPr>
      <xdr:spPr>
        <a:xfrm>
          <a:off x="17335501" y="962024"/>
          <a:ext cx="4162424" cy="278130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u="sng">
              <a:solidFill>
                <a:srgbClr val="C00000"/>
              </a:solidFill>
            </a:rPr>
            <a:t>Analises</a:t>
          </a:r>
        </a:p>
        <a:p>
          <a:r>
            <a:rPr lang="en-US" sz="2000" b="1">
              <a:solidFill>
                <a:schemeClr val="bg1"/>
              </a:solidFill>
            </a:rPr>
            <a:t>1. Contratos se vão renovar</a:t>
          </a:r>
        </a:p>
        <a:p>
          <a:r>
            <a:rPr lang="en-US" sz="2000" b="1">
              <a:solidFill>
                <a:schemeClr val="bg1"/>
              </a:solidFill>
            </a:rPr>
            <a:t>2.</a:t>
          </a:r>
          <a:r>
            <a:rPr lang="en-US" sz="2000" b="1" baseline="0">
              <a:solidFill>
                <a:schemeClr val="bg1"/>
              </a:solidFill>
            </a:rPr>
            <a:t> Pendentes (conclusos)</a:t>
          </a:r>
        </a:p>
        <a:p>
          <a:r>
            <a:rPr lang="en-US" sz="2000" b="1" baseline="0">
              <a:solidFill>
                <a:schemeClr val="bg1"/>
              </a:solidFill>
            </a:rPr>
            <a:t>3. Tipos de contratos que temos</a:t>
          </a:r>
        </a:p>
        <a:p>
          <a:r>
            <a:rPr lang="en-US" sz="2000" b="1" baseline="0">
              <a:solidFill>
                <a:schemeClr val="bg1"/>
              </a:solidFill>
            </a:rPr>
            <a:t>4. Controlar o prazo das prestações</a:t>
          </a:r>
        </a:p>
        <a:p>
          <a:r>
            <a:rPr lang="en-US" sz="2000" b="1" baseline="0">
              <a:solidFill>
                <a:schemeClr val="bg1"/>
              </a:solidFill>
            </a:rPr>
            <a:t>5. Controlar a prestação de serviço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578517</xdr:colOff>
      <xdr:row>3</xdr:row>
      <xdr:rowOff>173182</xdr:rowOff>
    </xdr:from>
    <xdr:to>
      <xdr:col>9</xdr:col>
      <xdr:colOff>1011023</xdr:colOff>
      <xdr:row>18</xdr:row>
      <xdr:rowOff>96983</xdr:rowOff>
    </xdr:to>
    <xdr:sp macro="" textlink="">
      <xdr:nvSpPr>
        <xdr:cNvPr id="2" name="CaixaDeTexto 1"/>
        <xdr:cNvSpPr txBox="1"/>
      </xdr:nvSpPr>
      <xdr:spPr>
        <a:xfrm>
          <a:off x="6017620" y="744682"/>
          <a:ext cx="3046955" cy="278130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u="sng">
              <a:solidFill>
                <a:srgbClr val="C00000"/>
              </a:solidFill>
            </a:rPr>
            <a:t>Analises</a:t>
          </a:r>
        </a:p>
        <a:p>
          <a:r>
            <a:rPr lang="en-US" sz="2000" b="1">
              <a:solidFill>
                <a:schemeClr val="bg1"/>
              </a:solidFill>
            </a:rPr>
            <a:t>1. Contratos se vão renovar</a:t>
          </a:r>
        </a:p>
        <a:p>
          <a:r>
            <a:rPr lang="en-US" sz="2000" b="1">
              <a:solidFill>
                <a:schemeClr val="bg1"/>
              </a:solidFill>
            </a:rPr>
            <a:t>2.</a:t>
          </a:r>
          <a:r>
            <a:rPr lang="en-US" sz="2000" b="1" baseline="0">
              <a:solidFill>
                <a:schemeClr val="bg1"/>
              </a:solidFill>
            </a:rPr>
            <a:t> Pendentes (conclusos)</a:t>
          </a:r>
        </a:p>
        <a:p>
          <a:r>
            <a:rPr lang="en-US" sz="2000" b="1" baseline="0">
              <a:solidFill>
                <a:schemeClr val="bg1"/>
              </a:solidFill>
            </a:rPr>
            <a:t>3. Tipos de contratos que temos</a:t>
          </a:r>
        </a:p>
        <a:p>
          <a:r>
            <a:rPr lang="en-US" sz="2000" b="1" baseline="0">
              <a:solidFill>
                <a:schemeClr val="bg1"/>
              </a:solidFill>
            </a:rPr>
            <a:t>4. Controlar o prazo das prestações</a:t>
          </a:r>
        </a:p>
        <a:p>
          <a:r>
            <a:rPr lang="en-US" sz="2000" b="1" baseline="0">
              <a:solidFill>
                <a:schemeClr val="bg1"/>
              </a:solidFill>
            </a:rPr>
            <a:t>5. Controlar a prestação de serviço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iceto José Jolela" refreshedDate="46130.735090509261" createdVersion="6" refreshedVersion="6" minRefreshableVersion="3" recordCount="207">
  <cacheSource type="worksheet">
    <worksheetSource name="Tabela14"/>
  </cacheSource>
  <cacheFields count="15">
    <cacheField name="Nº" numFmtId="0">
      <sharedItems containsSemiMixedTypes="0" containsString="0" containsNumber="1" containsInteger="1" minValue="1" maxValue="207"/>
    </cacheField>
    <cacheField name="Empresa" numFmtId="0">
      <sharedItems/>
    </cacheField>
    <cacheField name="ID" numFmtId="0">
      <sharedItems/>
    </cacheField>
    <cacheField name="Valor do contrato" numFmtId="168">
      <sharedItems containsSemiMixedTypes="0" containsString="0" containsNumber="1" containsInteger="1" minValue="3080" maxValue="17600"/>
    </cacheField>
    <cacheField name="Tipos de contrato" numFmtId="0">
      <sharedItems count="20">
        <s v="Técnico de Produção I"/>
        <s v="Analista Comercial I"/>
        <s v="Analista Comercial II"/>
        <s v="Analista Comercial III"/>
        <s v="Diretor de Produção"/>
        <s v="Diretor Comercial"/>
        <s v="Diretor Administrativo"/>
        <s v="Gerente de Produção"/>
        <s v="Técnico de Produção II"/>
        <s v="Gerente Comercial"/>
        <s v="Gerente Administrativo"/>
        <s v="Contador I"/>
        <s v="Assistente Administrativo"/>
        <s v="Analista de BI"/>
        <s v="Gerente de TI"/>
        <s v="Diretor de TI"/>
        <s v="Analista de Dados"/>
        <s v="Analista de Suporte de TI"/>
        <s v="Engenheiro de Software"/>
        <s v="Contador II"/>
      </sharedItems>
    </cacheField>
    <cacheField name="Duração" numFmtId="167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Data de Contratação" numFmtId="166">
      <sharedItems containsSemiMixedTypes="0" containsNonDate="0" containsDate="1" containsString="0" minDate="2009-08-31T00:00:00" maxDate="2019-08-06T00:00:00" count="87">
        <d v="2015-09-01T00:00:00"/>
        <d v="2015-02-03T00:00:00"/>
        <d v="2017-07-06T00:00:00"/>
        <d v="2018-11-04T00:00:00"/>
        <d v="2017-09-28T00:00:00"/>
        <d v="2017-12-04T00:00:00"/>
        <d v="2016-08-18T00:00:00"/>
        <d v="2019-06-07T00:00:00"/>
        <d v="2016-06-30T00:00:00"/>
        <d v="2014-09-30T00:00:00"/>
        <d v="2016-11-10T00:00:00"/>
        <d v="2016-08-06T00:00:00"/>
        <d v="2015-02-19T00:00:00"/>
        <d v="2016-02-18T00:00:00"/>
        <d v="2018-03-29T00:00:00"/>
        <d v="2015-02-06T00:00:00"/>
        <d v="2015-05-11T00:00:00"/>
        <d v="2015-09-07T00:00:00"/>
        <d v="2014-05-30T00:00:00"/>
        <d v="2010-05-10T00:00:00"/>
        <d v="2017-05-31T00:00:00"/>
        <d v="2017-02-16T00:00:00"/>
        <d v="2011-07-01T00:00:00"/>
        <d v="2014-04-03T00:00:00"/>
        <d v="2015-05-14T00:00:00"/>
        <d v="2016-01-04T00:00:00"/>
        <d v="2017-03-30T00:00:00"/>
        <d v="2018-04-30T00:00:00"/>
        <d v="2017-10-10T00:00:00"/>
        <d v="2014-05-15T00:00:00"/>
        <d v="2016-09-29T00:00:00"/>
        <d v="2014-03-09T00:00:00"/>
        <d v="2015-08-13T00:00:00"/>
        <d v="2013-04-25T00:00:00"/>
        <d v="2014-05-06T00:00:00"/>
        <d v="2014-11-27T00:00:00"/>
        <d v="2018-05-06T00:00:00"/>
        <d v="2014-11-06T00:00:00"/>
        <d v="2019-04-07T00:00:00"/>
        <d v="2012-06-06T00:00:00"/>
        <d v="2018-02-15T00:00:00"/>
        <d v="2017-08-17T00:00:00"/>
        <d v="2014-07-02T00:00:00"/>
        <d v="2015-04-30T00:00:00"/>
        <d v="2013-09-26T00:00:00"/>
        <d v="2015-05-03T00:00:00"/>
        <d v="2014-06-08T00:00:00"/>
        <d v="2009-08-31T00:00:00"/>
        <d v="2012-04-30T00:00:00"/>
        <d v="2017-05-04T00:00:00"/>
        <d v="2014-01-07T00:00:00"/>
        <d v="2019-01-27T00:00:00"/>
        <d v="2017-09-17T00:00:00"/>
        <d v="2018-02-05T00:00:00"/>
        <d v="2015-08-16T00:00:00"/>
        <d v="2015-02-09T00:00:00"/>
        <d v="2013-07-19T00:00:00"/>
        <d v="2012-07-31T00:00:00"/>
        <d v="2014-07-10T00:00:00"/>
        <d v="2019-06-06T00:00:00"/>
        <d v="2019-07-21T00:00:00"/>
        <d v="2013-08-29T00:00:00"/>
        <d v="2016-05-12T00:00:00"/>
        <d v="2018-05-05T00:00:00"/>
        <d v="2019-08-05T00:00:00"/>
        <d v="2017-05-17T00:00:00"/>
        <d v="2019-05-01T00:00:00"/>
        <d v="2011-10-27T00:00:00"/>
        <d v="2018-01-04T00:00:00"/>
        <d v="2019-02-09T00:00:00"/>
        <d v="2019-02-14T00:00:00"/>
        <d v="2019-04-20T00:00:00"/>
        <d v="2019-06-09T00:00:00"/>
        <d v="2013-10-03T00:00:00"/>
        <d v="2018-12-31T00:00:00"/>
        <d v="2014-04-14T00:00:00"/>
        <d v="2016-01-20T00:00:00"/>
        <d v="2015-02-14T00:00:00"/>
        <d v="2017-04-30T00:00:00"/>
        <d v="2015-05-09T00:00:00"/>
        <d v="2013-01-04T00:00:00"/>
        <d v="2014-01-20T00:00:00"/>
        <d v="2014-10-05T00:00:00"/>
        <d v="2017-09-29T00:00:00"/>
        <d v="2019-02-01T00:00:00"/>
        <d v="2014-08-14T00:00:00"/>
        <d v="2019-06-30T00:00:00"/>
      </sharedItems>
      <fieldGroup par="14" base="6">
        <rangePr groupBy="months" startDate="2009-08-31T00:00:00" endDate="2019-08-06T00:00:00"/>
        <groupItems count="14">
          <s v="&lt;8/31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6/2019"/>
        </groupItems>
      </fieldGroup>
    </cacheField>
    <cacheField name="Da de Renovação" numFmtId="166">
      <sharedItems containsSemiMixedTypes="0" containsNonDate="0" containsDate="1" containsString="0" minDate="2009-08-31T00:00:00" maxDate="2024-11-05T00:00:00"/>
    </cacheField>
    <cacheField name="Status de contrato" numFmtId="0">
      <sharedItems/>
    </cacheField>
    <cacheField name="Departamento" numFmtId="0">
      <sharedItems/>
    </cacheField>
    <cacheField name="Parcer financeiro" numFmtId="0">
      <sharedItems/>
    </cacheField>
    <cacheField name="Parcer Juridico" numFmtId="0">
      <sharedItems/>
    </cacheField>
    <cacheField name="Parcer da área" numFmtId="0">
      <sharedItems/>
    </cacheField>
    <cacheField name="Trimestres" numFmtId="0" databaseField="0">
      <fieldGroup base="6">
        <rangePr groupBy="quarters" startDate="2009-08-31T00:00:00" endDate="2019-08-06T00:00:00"/>
        <groupItems count="6">
          <s v="&lt;8/31/2009"/>
          <s v="Trim1"/>
          <s v="Trim2"/>
          <s v="Trim3"/>
          <s v="Trim4"/>
          <s v="&gt;8/6/2019"/>
        </groupItems>
      </fieldGroup>
    </cacheField>
    <cacheField name="Anos" numFmtId="0" databaseField="0">
      <fieldGroup base="6">
        <rangePr groupBy="years" startDate="2009-08-31T00:00:00" endDate="2019-08-06T00:00:00"/>
        <groupItems count="13">
          <s v="&lt;8/31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&gt;8/6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">
  <r>
    <n v="1"/>
    <s v="Isis"/>
    <s v="A1304055947"/>
    <n v="5060"/>
    <x v="0"/>
    <x v="0"/>
    <x v="0"/>
    <d v="2015-09-01T00:00:00"/>
    <s v="Em curso"/>
    <s v="Produção"/>
    <s v="Valor alto"/>
    <s v="Alterar"/>
    <s v="Renovar"/>
  </r>
  <r>
    <n v="2"/>
    <s v="Emanuel"/>
    <s v="A1109029366"/>
    <n v="3520"/>
    <x v="0"/>
    <x v="1"/>
    <x v="1"/>
    <d v="2015-02-03T00:00:00"/>
    <s v="Em curso"/>
    <s v="Produção"/>
    <s v="Rescendir"/>
    <s v="Aprovar"/>
    <s v="Contratar"/>
  </r>
  <r>
    <n v="3"/>
    <s v="Vinícius"/>
    <s v="A1501072124"/>
    <n v="4400"/>
    <x v="0"/>
    <x v="2"/>
    <x v="2"/>
    <d v="2017-07-06T00:00:00"/>
    <s v="Em curso"/>
    <s v="Produção"/>
    <s v="Valor alto"/>
    <s v="Renovar"/>
    <s v="Alterar"/>
  </r>
  <r>
    <n v="4"/>
    <s v="João Guilherme"/>
    <s v="A1302053339"/>
    <n v="3960"/>
    <x v="0"/>
    <x v="2"/>
    <x v="3"/>
    <d v="2024-11-04T00:00:00"/>
    <s v="Renovar"/>
    <s v="Produção"/>
    <s v="Alterar"/>
    <s v="Alterar"/>
    <s v="Renovar"/>
  </r>
  <r>
    <n v="5"/>
    <s v="Luna"/>
    <s v="A1204032927"/>
    <n v="3520"/>
    <x v="0"/>
    <x v="0"/>
    <x v="4"/>
    <d v="2017-09-28T00:00:00"/>
    <s v="Em curso"/>
    <s v="Produção"/>
    <s v="Valor alto"/>
    <s v="Aprovar"/>
    <s v="Contratar"/>
  </r>
  <r>
    <n v="6"/>
    <s v="Rebeca"/>
    <s v="A1404066622"/>
    <n v="4400"/>
    <x v="0"/>
    <x v="3"/>
    <x v="5"/>
    <d v="2017-12-04T00:00:00"/>
    <s v="Em curso"/>
    <s v="Produção"/>
    <s v="Averba"/>
    <s v="Aprovar"/>
    <s v="Contratar"/>
  </r>
  <r>
    <n v="7"/>
    <s v="Maria"/>
    <s v="A1205033102"/>
    <n v="3300"/>
    <x v="0"/>
    <x v="2"/>
    <x v="6"/>
    <d v="2016-08-18T00:00:00"/>
    <s v="Em curso"/>
    <s v="Produção"/>
    <s v="Alterar"/>
    <s v="Aprovar"/>
    <s v="Contratar"/>
  </r>
  <r>
    <n v="8"/>
    <s v="Catarina"/>
    <s v="A1308060366"/>
    <n v="3520"/>
    <x v="0"/>
    <x v="0"/>
    <x v="2"/>
    <d v="2017-07-06T00:00:00"/>
    <s v="Em curso"/>
    <s v="Produção"/>
    <s v="Rescendir"/>
    <s v="Rescendir"/>
    <s v="Alterar"/>
  </r>
  <r>
    <n v="9"/>
    <s v="Luiz Miguel"/>
    <s v="A1407069280"/>
    <n v="5445"/>
    <x v="0"/>
    <x v="2"/>
    <x v="7"/>
    <d v="2019-06-07T00:00:00"/>
    <s v="Em curso"/>
    <s v="Produção"/>
    <s v="Alterar"/>
    <s v="Alterar"/>
    <s v="Renovar"/>
  </r>
  <r>
    <n v="10"/>
    <s v="Clara"/>
    <s v="A1209048696"/>
    <n v="4840"/>
    <x v="0"/>
    <x v="2"/>
    <x v="8"/>
    <d v="2016-06-30T00:00:00"/>
    <s v="Em curso"/>
    <s v="Produção"/>
    <s v="Averba"/>
    <s v="Alterar"/>
    <s v="Rescendir"/>
  </r>
  <r>
    <n v="11"/>
    <s v="Ana Beatriz"/>
    <s v="A1006020020"/>
    <n v="5280"/>
    <x v="0"/>
    <x v="3"/>
    <x v="0"/>
    <d v="2015-09-01T00:00:00"/>
    <s v="Em curso"/>
    <s v="Produção"/>
    <s v="Valor alto"/>
    <s v="Aprovar"/>
    <s v="Rescendir"/>
  </r>
  <r>
    <n v="12"/>
    <s v="Vitória"/>
    <s v="A1408069882"/>
    <n v="3520"/>
    <x v="0"/>
    <x v="2"/>
    <x v="6"/>
    <d v="2016-08-18T00:00:00"/>
    <s v="Em curso"/>
    <s v="Produção"/>
    <s v="Averba"/>
    <s v="Rescendir"/>
    <s v="Rescendir"/>
  </r>
  <r>
    <n v="13"/>
    <s v="Kaique"/>
    <s v="A1311062610"/>
    <n v="4620"/>
    <x v="0"/>
    <x v="3"/>
    <x v="9"/>
    <d v="2014-09-30T00:00:00"/>
    <s v="Em curso"/>
    <s v="Produção"/>
    <s v="Alterar"/>
    <s v="Aprovar"/>
    <s v="Alterar"/>
  </r>
  <r>
    <n v="14"/>
    <s v="Olívia"/>
    <s v="A1308060754"/>
    <n v="5060"/>
    <x v="0"/>
    <x v="2"/>
    <x v="10"/>
    <d v="2016-11-10T00:00:00"/>
    <s v="Em curso"/>
    <s v="Produção"/>
    <s v="Valor alto"/>
    <s v="Renovar"/>
    <s v="Contratar"/>
  </r>
  <r>
    <n v="15"/>
    <s v="João Gabriel"/>
    <s v="A1011022887"/>
    <n v="3740"/>
    <x v="0"/>
    <x v="2"/>
    <x v="11"/>
    <d v="2016-08-06T00:00:00"/>
    <s v="Em curso"/>
    <s v="Produção"/>
    <s v="Averba"/>
    <s v="Renovar"/>
    <s v="Alterar"/>
  </r>
  <r>
    <n v="16"/>
    <s v="Emilly"/>
    <s v="A1410071137"/>
    <n v="3520"/>
    <x v="0"/>
    <x v="3"/>
    <x v="12"/>
    <d v="2015-02-19T00:00:00"/>
    <s v="Em curso"/>
    <s v="Produção"/>
    <s v="Alterar"/>
    <s v="Renovar"/>
    <s v="Alterar"/>
  </r>
  <r>
    <n v="17"/>
    <s v="Maria Valentina"/>
    <s v="A1409070255"/>
    <n v="5280"/>
    <x v="0"/>
    <x v="2"/>
    <x v="13"/>
    <d v="2016-02-18T00:00:00"/>
    <s v="Em curso"/>
    <s v="Produção"/>
    <s v="Averba"/>
    <s v="Alterar"/>
    <s v="Rescendir"/>
  </r>
  <r>
    <n v="18"/>
    <s v="Levi"/>
    <s v="A1599991009"/>
    <n v="3300"/>
    <x v="0"/>
    <x v="3"/>
    <x v="11"/>
    <d v="2016-08-06T00:00:00"/>
    <s v="Em curso"/>
    <s v="Produção"/>
    <s v="Rescendir"/>
    <s v="Alterar"/>
    <s v="Rescendir"/>
  </r>
  <r>
    <n v="19"/>
    <s v="Larissa"/>
    <s v="A1202031618"/>
    <n v="3685"/>
    <x v="0"/>
    <x v="1"/>
    <x v="1"/>
    <d v="2015-02-03T00:00:00"/>
    <s v="Em curso"/>
    <s v="Produção"/>
    <s v="Valor alto"/>
    <s v="Alterar"/>
    <s v="Alterar"/>
  </r>
  <r>
    <n v="20"/>
    <s v="Yuri"/>
    <s v="A1309061015"/>
    <n v="4180"/>
    <x v="0"/>
    <x v="3"/>
    <x v="14"/>
    <d v="2018-03-29T00:00:00"/>
    <s v="Em curso"/>
    <s v="Produção"/>
    <s v="Alterar"/>
    <s v="Alterar"/>
    <s v="Contratar"/>
  </r>
  <r>
    <n v="21"/>
    <s v="Enrico"/>
    <s v="A1106026579"/>
    <n v="3300"/>
    <x v="0"/>
    <x v="3"/>
    <x v="15"/>
    <d v="2015-02-06T00:00:00"/>
    <s v="Em curso"/>
    <s v="Produção"/>
    <s v="Averba"/>
    <s v="Rescendir"/>
    <s v="Alterar"/>
  </r>
  <r>
    <n v="22"/>
    <s v="Mirella"/>
    <s v="A1201031438"/>
    <n v="4400"/>
    <x v="0"/>
    <x v="2"/>
    <x v="16"/>
    <d v="2015-05-11T00:00:00"/>
    <s v="Em curso"/>
    <s v="Produção"/>
    <s v="Rescendir"/>
    <s v="Renovar"/>
    <s v="Renovar"/>
  </r>
  <r>
    <n v="23"/>
    <s v="Thiago"/>
    <s v="A1304055987"/>
    <n v="3740"/>
    <x v="0"/>
    <x v="0"/>
    <x v="17"/>
    <d v="2015-09-07T00:00:00"/>
    <s v="Em curso"/>
    <s v="Produção"/>
    <s v="Alterar"/>
    <s v="Aprovar"/>
    <s v="Alterar"/>
  </r>
  <r>
    <n v="24"/>
    <s v="Maria Flor"/>
    <s v="A1401064327"/>
    <n v="4400"/>
    <x v="0"/>
    <x v="2"/>
    <x v="18"/>
    <d v="2014-05-30T00:00:00"/>
    <s v="Em curso"/>
    <s v="Produção"/>
    <s v="Averba"/>
    <s v="Alterar"/>
    <s v="Rescendir"/>
  </r>
  <r>
    <n v="25"/>
    <s v="Lívia"/>
    <s v="A1203032357"/>
    <n v="4180"/>
    <x v="0"/>
    <x v="3"/>
    <x v="11"/>
    <d v="2016-08-06T00:00:00"/>
    <s v="Em curso"/>
    <s v="Produção"/>
    <s v="Averba"/>
    <s v="Alterar"/>
    <s v="Alterar"/>
  </r>
  <r>
    <n v="26"/>
    <s v="Ian"/>
    <s v="A1001735072"/>
    <n v="3740"/>
    <x v="0"/>
    <x v="0"/>
    <x v="19"/>
    <d v="2010-05-10T00:00:00"/>
    <s v="Em curso"/>
    <s v="Produção"/>
    <s v="Valor alto"/>
    <s v="Alterar"/>
    <s v="Rescendir"/>
  </r>
  <r>
    <n v="27"/>
    <s v="Ana Sophia"/>
    <s v="A710007555"/>
    <n v="3740"/>
    <x v="0"/>
    <x v="3"/>
    <x v="20"/>
    <d v="2017-05-31T00:00:00"/>
    <s v="Em curso"/>
    <s v="Produção"/>
    <s v="Averba"/>
    <s v="Renovar"/>
    <s v="Rescendir"/>
  </r>
  <r>
    <n v="28"/>
    <s v="Pietra"/>
    <s v="A1012023152"/>
    <n v="4840"/>
    <x v="0"/>
    <x v="1"/>
    <x v="21"/>
    <d v="2017-02-16T00:00:00"/>
    <s v="Em curso"/>
    <s v="Produção"/>
    <s v="Averba"/>
    <s v="Rescendir"/>
    <s v="Renovar"/>
  </r>
  <r>
    <n v="29"/>
    <s v="Maria Vitória"/>
    <s v="A1211051232"/>
    <n v="3300"/>
    <x v="0"/>
    <x v="2"/>
    <x v="4"/>
    <d v="2017-09-28T00:00:00"/>
    <s v="Em curso"/>
    <s v="Produção"/>
    <s v="Averba"/>
    <s v="Alterar"/>
    <s v="Contratar"/>
  </r>
  <r>
    <n v="30"/>
    <s v="Maya"/>
    <s v="A1011022883"/>
    <n v="4620"/>
    <x v="0"/>
    <x v="3"/>
    <x v="22"/>
    <d v="2011-07-01T00:00:00"/>
    <s v="Em curso"/>
    <s v="Produção"/>
    <s v="Rescendir"/>
    <s v="Renovar"/>
    <s v="Alterar"/>
  </r>
  <r>
    <n v="31"/>
    <s v="Laís"/>
    <s v="A1403066194"/>
    <n v="4840"/>
    <x v="0"/>
    <x v="3"/>
    <x v="23"/>
    <d v="2014-04-03T00:00:00"/>
    <s v="Em curso"/>
    <s v="Produção"/>
    <s v="Valor alto"/>
    <s v="Renovar"/>
    <s v="Contratar"/>
  </r>
  <r>
    <n v="32"/>
    <s v="Ayla"/>
    <s v="A1305057282"/>
    <n v="4290"/>
    <x v="0"/>
    <x v="2"/>
    <x v="5"/>
    <d v="2017-12-04T00:00:00"/>
    <s v="Em curso"/>
    <s v="Produção"/>
    <s v="Alterar"/>
    <s v="Aprovar"/>
    <s v="Contratar"/>
  </r>
  <r>
    <n v="33"/>
    <s v="Ana Lívia"/>
    <s v="A1001109612"/>
    <n v="3300"/>
    <x v="0"/>
    <x v="2"/>
    <x v="15"/>
    <d v="2015-02-06T00:00:00"/>
    <s v="Em curso"/>
    <s v="Produção"/>
    <s v="Rescendir"/>
    <s v="Aprovar"/>
    <s v="Alterar"/>
  </r>
  <r>
    <n v="34"/>
    <s v="Victor Hugo"/>
    <s v="A1406068241"/>
    <n v="4620"/>
    <x v="0"/>
    <x v="0"/>
    <x v="24"/>
    <d v="2015-05-14T00:00:00"/>
    <s v="Em curso"/>
    <s v="Produção"/>
    <s v="Averba"/>
    <s v="Renovar"/>
    <s v="Renovar"/>
  </r>
  <r>
    <n v="35"/>
    <s v="Gabrielly"/>
    <s v="A1102024121"/>
    <n v="3300"/>
    <x v="0"/>
    <x v="3"/>
    <x v="25"/>
    <d v="2016-01-04T00:00:00"/>
    <s v="Em curso"/>
    <s v="Produção"/>
    <s v="Rescendir"/>
    <s v="Renovar"/>
    <s v="Alterar"/>
  </r>
  <r>
    <n v="36"/>
    <s v="Carolina"/>
    <s v="A1302053362"/>
    <n v="4620"/>
    <x v="0"/>
    <x v="2"/>
    <x v="4"/>
    <d v="2017-09-28T00:00:00"/>
    <s v="Em curso"/>
    <s v="Produção"/>
    <s v="Averba"/>
    <s v="Alterar"/>
    <s v="Rescendir"/>
  </r>
  <r>
    <n v="37"/>
    <s v="Maria Laura"/>
    <s v="A1407069061"/>
    <n v="3080"/>
    <x v="0"/>
    <x v="3"/>
    <x v="24"/>
    <d v="2015-05-14T00:00:00"/>
    <s v="Em curso"/>
    <s v="Produção"/>
    <s v="Valor alto"/>
    <s v="Renovar"/>
    <s v="Contratar"/>
  </r>
  <r>
    <n v="38"/>
    <s v="Henry"/>
    <s v="A1101023679"/>
    <n v="3687"/>
    <x v="0"/>
    <x v="3"/>
    <x v="12"/>
    <d v="2015-02-19T00:00:00"/>
    <s v="Em curso"/>
    <s v="Produção"/>
    <s v="Alterar"/>
    <s v="Renovar"/>
    <s v="Alterar"/>
  </r>
  <r>
    <n v="39"/>
    <s v="Luiz Felipe"/>
    <s v="A1311063114"/>
    <n v="4400"/>
    <x v="0"/>
    <x v="0"/>
    <x v="26"/>
    <d v="2017-03-30T00:00:00"/>
    <s v="Em curso"/>
    <s v="Produção"/>
    <s v="Valor alto"/>
    <s v="Aprovar"/>
    <s v="Renovar"/>
  </r>
  <r>
    <n v="40"/>
    <s v="Maria Sophia"/>
    <s v="A1403066069"/>
    <n v="3465"/>
    <x v="0"/>
    <x v="1"/>
    <x v="27"/>
    <d v="2018-04-30T00:00:00"/>
    <s v="Em curso"/>
    <s v="Produção"/>
    <s v="Alterar"/>
    <s v="Rescendir"/>
    <s v="Contratar"/>
  </r>
  <r>
    <n v="41"/>
    <s v="Ryan"/>
    <s v="A1007020403"/>
    <n v="4675"/>
    <x v="0"/>
    <x v="0"/>
    <x v="28"/>
    <d v="2017-10-10T00:00:00"/>
    <s v="Em curso"/>
    <s v="Produção"/>
    <s v="Valor alto"/>
    <s v="Renovar"/>
    <s v="Renovar"/>
  </r>
  <r>
    <n v="42"/>
    <s v="Arthur Miguel"/>
    <s v="A1101023612"/>
    <n v="4620"/>
    <x v="0"/>
    <x v="1"/>
    <x v="26"/>
    <d v="2017-03-30T00:00:00"/>
    <s v="Em curso"/>
    <s v="Produção"/>
    <s v="Valor alto"/>
    <s v="Rescendir"/>
    <s v="Alterar"/>
  </r>
  <r>
    <n v="43"/>
    <s v="Fernanda"/>
    <s v="A1105026041"/>
    <n v="5280"/>
    <x v="0"/>
    <x v="1"/>
    <x v="29"/>
    <d v="2014-05-15T00:00:00"/>
    <s v="Em curso"/>
    <s v="Produção"/>
    <s v="Averba"/>
    <s v="Rescendir"/>
    <s v="Rescendir"/>
  </r>
  <r>
    <n v="44"/>
    <s v="Analu"/>
    <s v="A1412071713"/>
    <n v="4180"/>
    <x v="0"/>
    <x v="3"/>
    <x v="20"/>
    <d v="2017-05-31T00:00:00"/>
    <s v="Em curso"/>
    <s v="Produção"/>
    <s v="Rescendir"/>
    <s v="Rescendir"/>
    <s v="Alterar"/>
  </r>
  <r>
    <n v="45"/>
    <s v="Nathan"/>
    <s v="A1404066949"/>
    <n v="3520"/>
    <x v="0"/>
    <x v="1"/>
    <x v="30"/>
    <d v="2016-09-29T00:00:00"/>
    <s v="Em curso"/>
    <s v="Produção"/>
    <s v="Rescendir"/>
    <s v="Aprovar"/>
    <s v="Rescendir"/>
  </r>
  <r>
    <n v="46"/>
    <s v="Pedro Lucas"/>
    <s v="A1401064562"/>
    <n v="3520"/>
    <x v="0"/>
    <x v="2"/>
    <x v="20"/>
    <d v="2017-05-31T00:00:00"/>
    <s v="Em curso"/>
    <s v="Produção"/>
    <s v="Rescendir"/>
    <s v="Alterar"/>
    <s v="Renovar"/>
  </r>
  <r>
    <n v="47"/>
    <s v="Davi Miguel"/>
    <s v="A1106026896"/>
    <n v="4840"/>
    <x v="0"/>
    <x v="3"/>
    <x v="21"/>
    <d v="2017-02-16T00:00:00"/>
    <s v="Em curso"/>
    <s v="Produção"/>
    <s v="Averba"/>
    <s v="Alterar"/>
    <s v="Contratar"/>
  </r>
  <r>
    <n v="48"/>
    <s v="Raul"/>
    <s v="A1301052124"/>
    <n v="4840"/>
    <x v="0"/>
    <x v="1"/>
    <x v="30"/>
    <d v="2016-09-29T00:00:00"/>
    <s v="Em curso"/>
    <s v="Produção"/>
    <s v="Alterar"/>
    <s v="Aprovar"/>
    <s v="Rescendir"/>
  </r>
  <r>
    <n v="49"/>
    <s v="Louise"/>
    <s v="A1412071844"/>
    <n v="4840"/>
    <x v="0"/>
    <x v="2"/>
    <x v="6"/>
    <d v="2016-08-18T00:00:00"/>
    <s v="Em curso"/>
    <s v="Produção"/>
    <s v="Averba"/>
    <s v="Rescendir"/>
    <s v="Alterar"/>
  </r>
  <r>
    <n v="50"/>
    <s v="Heloise"/>
    <s v="A1012023295"/>
    <n v="4840"/>
    <x v="0"/>
    <x v="2"/>
    <x v="31"/>
    <d v="2014-03-09T00:00:00"/>
    <s v="Em curso"/>
    <s v="Produção"/>
    <s v="Averba"/>
    <s v="Renovar"/>
    <s v="Rescendir"/>
  </r>
  <r>
    <n v="51"/>
    <s v="Pedro Miguel"/>
    <s v="A706006285"/>
    <n v="4620"/>
    <x v="0"/>
    <x v="0"/>
    <x v="5"/>
    <d v="2017-12-04T00:00:00"/>
    <s v="Em curso"/>
    <s v="Produção"/>
    <s v="Rescendir"/>
    <s v="Rescendir"/>
    <s v="Contratar"/>
  </r>
  <r>
    <n v="52"/>
    <s v="Ana Vitória"/>
    <s v="A803009012"/>
    <n v="5060"/>
    <x v="0"/>
    <x v="2"/>
    <x v="12"/>
    <d v="2015-02-19T00:00:00"/>
    <s v="Em curso"/>
    <s v="Produção"/>
    <s v="Averba"/>
    <s v="Rescendir"/>
    <s v="Contratar"/>
  </r>
  <r>
    <n v="53"/>
    <s v="Ana Cecília"/>
    <s v="A1408069539"/>
    <n v="3740"/>
    <x v="0"/>
    <x v="0"/>
    <x v="10"/>
    <d v="2016-11-10T00:00:00"/>
    <s v="Em curso"/>
    <s v="Produção"/>
    <s v="Averba"/>
    <s v="Alterar"/>
    <s v="Renovar"/>
  </r>
  <r>
    <n v="54"/>
    <s v="Luiz Henrique"/>
    <s v="A1002017900"/>
    <n v="4180"/>
    <x v="0"/>
    <x v="3"/>
    <x v="32"/>
    <d v="2015-08-13T00:00:00"/>
    <s v="Em curso"/>
    <s v="Produção"/>
    <s v="Rescendir"/>
    <s v="Alterar"/>
    <s v="Alterar"/>
  </r>
  <r>
    <n v="55"/>
    <s v="Luan"/>
    <s v="A1304055683"/>
    <n v="3080"/>
    <x v="0"/>
    <x v="0"/>
    <x v="21"/>
    <d v="2017-02-16T00:00:00"/>
    <s v="Em curso"/>
    <s v="Produção"/>
    <s v="Valor alto"/>
    <s v="Aprovar"/>
    <s v="Contratar"/>
  </r>
  <r>
    <n v="56"/>
    <s v="Ana Liz"/>
    <s v="A1209049259"/>
    <n v="3740"/>
    <x v="0"/>
    <x v="2"/>
    <x v="20"/>
    <d v="2017-05-31T00:00:00"/>
    <s v="Em curso"/>
    <s v="Produção"/>
    <s v="Alterar"/>
    <s v="Rescendir"/>
    <s v="Rescendir"/>
  </r>
  <r>
    <n v="57"/>
    <s v="Liz"/>
    <s v="A1307059944"/>
    <n v="3740"/>
    <x v="0"/>
    <x v="0"/>
    <x v="33"/>
    <d v="2013-04-25T00:00:00"/>
    <s v="Em curso"/>
    <s v="Produção"/>
    <s v="Averba"/>
    <s v="Renovar"/>
    <s v="Rescendir"/>
  </r>
  <r>
    <n v="58"/>
    <s v="Samuel"/>
    <s v="A1501071909"/>
    <n v="5390"/>
    <x v="0"/>
    <x v="0"/>
    <x v="10"/>
    <d v="2016-11-10T00:00:00"/>
    <s v="Em curso"/>
    <s v="Produção"/>
    <s v="Averba"/>
    <s v="Alterar"/>
    <s v="Rescendir"/>
  </r>
  <r>
    <n v="59"/>
    <s v="Rodrigo"/>
    <s v="A1104025414"/>
    <n v="3960"/>
    <x v="0"/>
    <x v="0"/>
    <x v="11"/>
    <d v="2016-08-06T00:00:00"/>
    <s v="Em curso"/>
    <s v="Produção"/>
    <s v="Rescendir"/>
    <s v="Alterar"/>
    <s v="Rescendir"/>
  </r>
  <r>
    <n v="60"/>
    <s v="Ana Sophia S."/>
    <s v="A1503072857"/>
    <n v="4620"/>
    <x v="0"/>
    <x v="1"/>
    <x v="30"/>
    <d v="2016-09-29T00:00:00"/>
    <s v="Em curso"/>
    <s v="Produção"/>
    <s v="Valor alto"/>
    <s v="Aprovar"/>
    <s v="Renovar"/>
  </r>
  <r>
    <n v="61"/>
    <s v="Pietra S."/>
    <s v="A909015167"/>
    <n v="5280"/>
    <x v="0"/>
    <x v="0"/>
    <x v="8"/>
    <d v="2016-06-30T00:00:00"/>
    <s v="Em curso"/>
    <s v="Produção"/>
    <s v="Alterar"/>
    <s v="Aprovar"/>
    <s v="Alterar"/>
  </r>
  <r>
    <n v="62"/>
    <s v="Ayla S."/>
    <s v="A1111030244"/>
    <n v="3080"/>
    <x v="0"/>
    <x v="3"/>
    <x v="9"/>
    <d v="2014-09-30T00:00:00"/>
    <s v="Em curso"/>
    <s v="Produção"/>
    <s v="Rescendir"/>
    <s v="Rescendir"/>
    <s v="Contratar"/>
  </r>
  <r>
    <n v="63"/>
    <s v="Breno"/>
    <s v="A1409070522"/>
    <n v="4400"/>
    <x v="0"/>
    <x v="3"/>
    <x v="34"/>
    <d v="2014-05-06T00:00:00"/>
    <s v="Em curso"/>
    <s v="Produção"/>
    <s v="Rescendir"/>
    <s v="Rescendir"/>
    <s v="Contratar"/>
  </r>
  <r>
    <n v="64"/>
    <s v="Ana Lívia S."/>
    <s v="A1208048062"/>
    <n v="3520"/>
    <x v="0"/>
    <x v="2"/>
    <x v="4"/>
    <d v="2017-09-28T00:00:00"/>
    <s v="Em curso"/>
    <s v="Produção"/>
    <s v="Rescendir"/>
    <s v="Aprovar"/>
    <s v="Renovar"/>
  </r>
  <r>
    <n v="65"/>
    <s v="Eduarda S."/>
    <s v="A1311063172"/>
    <n v="4345"/>
    <x v="0"/>
    <x v="2"/>
    <x v="7"/>
    <d v="2019-06-07T00:00:00"/>
    <s v="Em curso"/>
    <s v="Produção"/>
    <s v="Valor alto"/>
    <s v="Alterar"/>
    <s v="Renovar"/>
  </r>
  <r>
    <n v="66"/>
    <s v="Mariah S."/>
    <s v="A1501072192"/>
    <n v="4180"/>
    <x v="0"/>
    <x v="0"/>
    <x v="14"/>
    <d v="2018-03-29T00:00:00"/>
    <s v="Em curso"/>
    <s v="Produção"/>
    <s v="Rescendir"/>
    <s v="Rescendir"/>
    <s v="Renovar"/>
  </r>
  <r>
    <n v="67"/>
    <s v="Stella S."/>
    <s v="A1405067064"/>
    <n v="5280"/>
    <x v="0"/>
    <x v="1"/>
    <x v="35"/>
    <d v="2014-11-27T00:00:00"/>
    <s v="Em curso"/>
    <s v="Produção"/>
    <s v="Alterar"/>
    <s v="Aprovar"/>
    <s v="Rescendir"/>
  </r>
  <r>
    <n v="68"/>
    <s v="Arthur Henrique"/>
    <s v="A1301052462"/>
    <n v="4180"/>
    <x v="0"/>
    <x v="1"/>
    <x v="30"/>
    <d v="2016-09-29T00:00:00"/>
    <s v="Em curso"/>
    <s v="Produção"/>
    <s v="Averba"/>
    <s v="Renovar"/>
    <s v="Contratar"/>
  </r>
  <r>
    <n v="69"/>
    <s v="Gabrielly S."/>
    <s v="A1109029256"/>
    <n v="4400"/>
    <x v="0"/>
    <x v="1"/>
    <x v="14"/>
    <d v="2018-03-29T00:00:00"/>
    <s v="Em curso"/>
    <s v="Produção"/>
    <s v="Valor alto"/>
    <s v="Rescendir"/>
    <s v="Contratar"/>
  </r>
  <r>
    <n v="70"/>
    <s v="Luiz Otávio"/>
    <s v="A1103024335"/>
    <n v="4840"/>
    <x v="0"/>
    <x v="1"/>
    <x v="21"/>
    <d v="2017-02-16T00:00:00"/>
    <s v="Em curso"/>
    <s v="Produção"/>
    <s v="Rescendir"/>
    <s v="Aprovar"/>
    <s v="Contratar"/>
  </r>
  <r>
    <n v="71"/>
    <s v="Lucas Gabriel"/>
    <s v="A1201031310"/>
    <n v="4180"/>
    <x v="0"/>
    <x v="1"/>
    <x v="27"/>
    <d v="2018-04-30T00:00:00"/>
    <s v="Em curso"/>
    <s v="Produção"/>
    <s v="Rescendir"/>
    <s v="Rescendir"/>
    <s v="Contratar"/>
  </r>
  <r>
    <n v="72"/>
    <s v="Sophie S."/>
    <s v="A1106026474"/>
    <n v="4400"/>
    <x v="0"/>
    <x v="0"/>
    <x v="36"/>
    <d v="2018-05-06T00:00:00"/>
    <s v="Em curso"/>
    <s v="Produção"/>
    <s v="Averba"/>
    <s v="Renovar"/>
    <s v="Alterar"/>
  </r>
  <r>
    <n v="73"/>
    <s v="José"/>
    <s v="A1111030129"/>
    <n v="4840"/>
    <x v="0"/>
    <x v="2"/>
    <x v="11"/>
    <d v="2016-08-06T00:00:00"/>
    <s v="Em curso"/>
    <s v="Produção"/>
    <s v="Alterar"/>
    <s v="Renovar"/>
    <s v="Rescendir"/>
  </r>
  <r>
    <n v="74"/>
    <s v="Sofia A"/>
    <s v="A1405067642"/>
    <n v="4840"/>
    <x v="0"/>
    <x v="2"/>
    <x v="35"/>
    <d v="2014-11-27T00:00:00"/>
    <s v="Em curso"/>
    <s v="Produção"/>
    <s v="Averba"/>
    <s v="Rescendir"/>
    <s v="Alterar"/>
  </r>
  <r>
    <n v="75"/>
    <s v="Francisco"/>
    <s v="A1411071212"/>
    <n v="3520"/>
    <x v="0"/>
    <x v="3"/>
    <x v="37"/>
    <d v="2014-11-06T00:00:00"/>
    <s v="Em curso"/>
    <s v="Produção"/>
    <s v="Valor alto"/>
    <s v="Renovar"/>
    <s v="Contratar"/>
  </r>
  <r>
    <n v="76"/>
    <s v="Maria Fernanda"/>
    <s v="A1403066020"/>
    <n v="3300"/>
    <x v="0"/>
    <x v="0"/>
    <x v="25"/>
    <d v="2016-01-04T00:00:00"/>
    <s v="Em curso"/>
    <s v="Produção"/>
    <s v="Valor alto"/>
    <s v="Alterar"/>
    <s v="Rescendir"/>
  </r>
  <r>
    <n v="77"/>
    <s v="Aurora"/>
    <s v="A1410070998"/>
    <n v="4400"/>
    <x v="0"/>
    <x v="3"/>
    <x v="38"/>
    <d v="2019-04-07T00:00:00"/>
    <s v="Em curso"/>
    <s v="Produção"/>
    <s v="Rescendir"/>
    <s v="Aprovar"/>
    <s v="Renovar"/>
  </r>
  <r>
    <n v="78"/>
    <s v="Ana Laura"/>
    <s v="A1212051409"/>
    <n v="4840"/>
    <x v="0"/>
    <x v="0"/>
    <x v="39"/>
    <d v="2012-06-06T00:00:00"/>
    <s v="Em curso"/>
    <s v="Produção"/>
    <s v="Valor alto"/>
    <s v="Alterar"/>
    <s v="Renovar"/>
  </r>
  <r>
    <n v="79"/>
    <s v="Ana"/>
    <s v="A1101023353"/>
    <n v="4400"/>
    <x v="0"/>
    <x v="1"/>
    <x v="40"/>
    <d v="2018-02-15T00:00:00"/>
    <s v="Em curso"/>
    <s v="Produção"/>
    <s v="Valor alto"/>
    <s v="Renovar"/>
    <s v="Contratar"/>
  </r>
  <r>
    <n v="80"/>
    <s v="Erick"/>
    <s v="A1302053044"/>
    <n v="4620"/>
    <x v="0"/>
    <x v="0"/>
    <x v="5"/>
    <d v="2017-12-04T00:00:00"/>
    <s v="Em curso"/>
    <s v="Produção"/>
    <s v="Rescendir"/>
    <s v="Alterar"/>
    <s v="Contratar"/>
  </r>
  <r>
    <n v="81"/>
    <s v="Mirella S."/>
    <s v="A1408069635"/>
    <n v="4400"/>
    <x v="0"/>
    <x v="2"/>
    <x v="10"/>
    <d v="2016-11-10T00:00:00"/>
    <s v="Em curso"/>
    <s v="Produção"/>
    <s v="Rescendir"/>
    <s v="Renovar"/>
    <s v="Alterar"/>
  </r>
  <r>
    <n v="82"/>
    <s v="Allana S."/>
    <s v="A1312063675"/>
    <n v="5280"/>
    <x v="0"/>
    <x v="1"/>
    <x v="6"/>
    <d v="2016-08-18T00:00:00"/>
    <s v="Em curso"/>
    <s v="Produção"/>
    <s v="Averba"/>
    <s v="Rescendir"/>
    <s v="Rescendir"/>
  </r>
  <r>
    <n v="83"/>
    <s v="André"/>
    <s v="A1110029777"/>
    <n v="3740"/>
    <x v="0"/>
    <x v="0"/>
    <x v="11"/>
    <d v="2016-08-06T00:00:00"/>
    <s v="Em curso"/>
    <s v="Produção"/>
    <s v="Rescendir"/>
    <s v="Alterar"/>
    <s v="Contratar"/>
  </r>
  <r>
    <n v="84"/>
    <s v="Pietra Conte"/>
    <s v="A807010161"/>
    <n v="3344"/>
    <x v="0"/>
    <x v="2"/>
    <x v="30"/>
    <d v="2016-09-29T00:00:00"/>
    <s v="Em curso"/>
    <s v="Produção"/>
    <s v="Valor alto"/>
    <s v="Renovar"/>
    <s v="Alterar"/>
  </r>
  <r>
    <n v="85"/>
    <s v="Isabella"/>
    <s v="A1403065721"/>
    <n v="5400"/>
    <x v="1"/>
    <x v="1"/>
    <x v="41"/>
    <d v="2017-08-17T00:00:00"/>
    <s v="Em curso"/>
    <s v="Vendas"/>
    <s v="Valor alto"/>
    <s v="Renovar"/>
    <s v="Renovar"/>
  </r>
  <r>
    <n v="86"/>
    <s v="Manuela"/>
    <s v="A1408069481"/>
    <n v="5400"/>
    <x v="1"/>
    <x v="1"/>
    <x v="12"/>
    <d v="2015-02-19T00:00:00"/>
    <s v="Em curso"/>
    <s v="Vendas"/>
    <s v="Valor alto"/>
    <s v="Rescendir"/>
    <s v="Rescendir"/>
  </r>
  <r>
    <n v="87"/>
    <s v="Bernardo"/>
    <s v="A1306059197"/>
    <n v="4250"/>
    <x v="1"/>
    <x v="0"/>
    <x v="41"/>
    <d v="2017-08-17T00:00:00"/>
    <s v="Em curso"/>
    <s v="Vendas"/>
    <s v="Averba"/>
    <s v="Rescendir"/>
    <s v="Contratar"/>
  </r>
  <r>
    <n v="88"/>
    <s v="Heitor"/>
    <s v="A1204032843"/>
    <n v="4250"/>
    <x v="1"/>
    <x v="2"/>
    <x v="42"/>
    <d v="2014-07-02T00:00:00"/>
    <s v="Em curso"/>
    <s v="Vendas"/>
    <s v="Rescendir"/>
    <s v="Renovar"/>
    <s v="Contratar"/>
  </r>
  <r>
    <n v="89"/>
    <s v="Davi"/>
    <s v="A1411071481"/>
    <n v="5400"/>
    <x v="1"/>
    <x v="1"/>
    <x v="5"/>
    <d v="2017-12-04T00:00:00"/>
    <s v="Em curso"/>
    <s v="Vendas"/>
    <s v="Rescendir"/>
    <s v="Renovar"/>
    <s v="Renovar"/>
  </r>
  <r>
    <n v="90"/>
    <s v="Théo"/>
    <s v="A1412071660"/>
    <n v="5400"/>
    <x v="1"/>
    <x v="0"/>
    <x v="43"/>
    <d v="2015-04-30T00:00:00"/>
    <s v="Em curso"/>
    <s v="Vendas"/>
    <s v="Valor alto"/>
    <s v="Renovar"/>
    <s v="Contratar"/>
  </r>
  <r>
    <n v="91"/>
    <s v="Pedro"/>
    <s v="A1306057978"/>
    <n v="5500"/>
    <x v="1"/>
    <x v="0"/>
    <x v="4"/>
    <d v="2017-09-28T00:00:00"/>
    <s v="Em curso"/>
    <s v="Vendas"/>
    <s v="Averba"/>
    <s v="Renovar"/>
    <s v="Contratar"/>
  </r>
  <r>
    <n v="92"/>
    <s v="Gabriel"/>
    <s v="A812011761"/>
    <n v="5400"/>
    <x v="1"/>
    <x v="3"/>
    <x v="27"/>
    <d v="2018-04-30T00:00:00"/>
    <s v="Em curso"/>
    <s v="Vendas"/>
    <s v="Alterar"/>
    <s v="Rescendir"/>
    <s v="Alterar"/>
  </r>
  <r>
    <n v="93"/>
    <s v="Heloísa"/>
    <s v="A1411071295"/>
    <n v="5350"/>
    <x v="1"/>
    <x v="0"/>
    <x v="44"/>
    <d v="2013-09-26T00:00:00"/>
    <s v="Em curso"/>
    <s v="Vendas"/>
    <s v="Alterar"/>
    <s v="Aprovar"/>
    <s v="Renovar"/>
  </r>
  <r>
    <n v="94"/>
    <s v="Luiza"/>
    <s v="A1312063714"/>
    <n v="7500"/>
    <x v="2"/>
    <x v="3"/>
    <x v="34"/>
    <d v="2014-05-06T00:00:00"/>
    <s v="Em curso"/>
    <s v="Vendas"/>
    <s v="Rescendir"/>
    <s v="Renovar"/>
    <s v="Renovar"/>
  </r>
  <r>
    <n v="95"/>
    <s v="Enzo"/>
    <s v="A1111030503"/>
    <n v="7500"/>
    <x v="2"/>
    <x v="2"/>
    <x v="45"/>
    <d v="2015-05-03T00:00:00"/>
    <s v="Em curso"/>
    <s v="Vendas"/>
    <s v="Averba"/>
    <s v="Alterar"/>
    <s v="Alterar"/>
  </r>
  <r>
    <n v="96"/>
    <s v="Matheus"/>
    <s v="A1504073313"/>
    <n v="7500"/>
    <x v="2"/>
    <x v="1"/>
    <x v="4"/>
    <d v="2017-09-28T00:00:00"/>
    <s v="Em curso"/>
    <s v="Vendas"/>
    <s v="Valor alto"/>
    <s v="Rescendir"/>
    <s v="Alterar"/>
  </r>
  <r>
    <n v="97"/>
    <s v="Maria Luiza"/>
    <s v="A1409070567"/>
    <n v="8600"/>
    <x v="2"/>
    <x v="3"/>
    <x v="9"/>
    <d v="2014-09-30T00:00:00"/>
    <s v="Em curso"/>
    <s v="Vendas"/>
    <s v="Alterar"/>
    <s v="Alterar"/>
    <s v="Renovar"/>
  </r>
  <r>
    <n v="98"/>
    <s v="Lucas"/>
    <s v="A1411071302"/>
    <n v="8600"/>
    <x v="2"/>
    <x v="2"/>
    <x v="46"/>
    <d v="2014-06-08T00:00:00"/>
    <s v="Em curso"/>
    <s v="Vendas"/>
    <s v="Alterar"/>
    <s v="Renovar"/>
    <s v="Renovar"/>
  </r>
  <r>
    <n v="99"/>
    <s v="Lorena"/>
    <s v="A1203032099"/>
    <n v="8600"/>
    <x v="2"/>
    <x v="0"/>
    <x v="40"/>
    <d v="2018-02-15T00:00:00"/>
    <s v="Em curso"/>
    <s v="Vendas"/>
    <s v="Averba"/>
    <s v="Aprovar"/>
    <s v="Alterar"/>
  </r>
  <r>
    <n v="100"/>
    <s v="Benjamin"/>
    <s v="A1203038888"/>
    <n v="8600"/>
    <x v="2"/>
    <x v="2"/>
    <x v="5"/>
    <d v="2017-12-04T00:00:00"/>
    <s v="Em curso"/>
    <s v="Vendas"/>
    <s v="Rescendir"/>
    <s v="Aprovar"/>
    <s v="Contratar"/>
  </r>
  <r>
    <n v="101"/>
    <s v="Nicolas"/>
    <s v="A1104025008"/>
    <n v="8000"/>
    <x v="2"/>
    <x v="0"/>
    <x v="6"/>
    <d v="2016-08-18T00:00:00"/>
    <s v="Em curso"/>
    <s v="Vendas"/>
    <s v="Averba"/>
    <s v="Alterar"/>
    <s v="Alterar"/>
  </r>
  <r>
    <n v="102"/>
    <s v="Guilherme"/>
    <s v="A1209048771"/>
    <n v="8600"/>
    <x v="2"/>
    <x v="2"/>
    <x v="24"/>
    <d v="2015-05-14T00:00:00"/>
    <s v="Em curso"/>
    <s v="Vendas"/>
    <s v="Averba"/>
    <s v="Renovar"/>
    <s v="Rescendir"/>
  </r>
  <r>
    <n v="103"/>
    <s v="Rafael"/>
    <s v="A1209049326"/>
    <n v="8000"/>
    <x v="2"/>
    <x v="1"/>
    <x v="7"/>
    <d v="2019-06-07T00:00:00"/>
    <s v="Em curso"/>
    <s v="Vendas"/>
    <s v="Valor alto"/>
    <s v="Aprovar"/>
    <s v="Rescendir"/>
  </r>
  <r>
    <n v="104"/>
    <s v="Lívia"/>
    <s v="A1111030684"/>
    <n v="8000"/>
    <x v="2"/>
    <x v="2"/>
    <x v="11"/>
    <d v="2016-08-06T00:00:00"/>
    <s v="Em curso"/>
    <s v="Vendas"/>
    <s v="Alterar"/>
    <s v="Aprovar"/>
    <s v="Renovar"/>
  </r>
  <r>
    <n v="105"/>
    <s v="Giovanna"/>
    <s v="A1501072180"/>
    <n v="10000"/>
    <x v="3"/>
    <x v="0"/>
    <x v="30"/>
    <d v="2016-09-29T00:00:00"/>
    <s v="Em curso"/>
    <s v="Vendas"/>
    <s v="Valor alto"/>
    <s v="Aprovar"/>
    <s v="Alterar"/>
  </r>
  <r>
    <n v="106"/>
    <s v="Maria Eduarda"/>
    <s v="A1102024106"/>
    <n v="10500"/>
    <x v="3"/>
    <x v="1"/>
    <x v="0"/>
    <d v="2015-09-01T00:00:00"/>
    <s v="Em curso"/>
    <s v="Vendas"/>
    <s v="Valor alto"/>
    <s v="Aprovar"/>
    <s v="Renovar"/>
  </r>
  <r>
    <n v="107"/>
    <s v="Joaquim"/>
    <s v="A1502072711"/>
    <n v="11200"/>
    <x v="3"/>
    <x v="1"/>
    <x v="47"/>
    <d v="2009-08-31T00:00:00"/>
    <s v="Em curso"/>
    <s v="Vendas"/>
    <s v="Rescendir"/>
    <s v="Alterar"/>
    <s v="Rescendir"/>
  </r>
  <r>
    <n v="108"/>
    <s v="Beatriz"/>
    <s v="A1401064637"/>
    <n v="10250"/>
    <x v="3"/>
    <x v="1"/>
    <x v="4"/>
    <d v="2017-09-28T00:00:00"/>
    <s v="Em curso"/>
    <s v="Vendas"/>
    <s v="Valor alto"/>
    <s v="Alterar"/>
    <s v="Renovar"/>
  </r>
  <r>
    <n v="109"/>
    <s v="Ana Clara"/>
    <s v="A1006020066"/>
    <n v="13200"/>
    <x v="4"/>
    <x v="1"/>
    <x v="48"/>
    <d v="2012-04-30T00:00:00"/>
    <s v="Em curso"/>
    <s v="Produção"/>
    <s v="Rescendir"/>
    <s v="Rescendir"/>
    <s v="Alterar"/>
  </r>
  <r>
    <n v="110"/>
    <s v="Melissa"/>
    <s v="A1009021646"/>
    <n v="13200"/>
    <x v="5"/>
    <x v="3"/>
    <x v="49"/>
    <d v="2017-05-04T00:00:00"/>
    <s v="Em curso"/>
    <s v="Vendas"/>
    <s v="Alterar"/>
    <s v="Alterar"/>
    <s v="Renovar"/>
  </r>
  <r>
    <n v="111"/>
    <s v="Antonella"/>
    <s v="A1001495124"/>
    <n v="17600"/>
    <x v="6"/>
    <x v="2"/>
    <x v="15"/>
    <d v="2015-02-06T00:00:00"/>
    <s v="Em curso"/>
    <s v="Administrativo"/>
    <s v="Valor alto"/>
    <s v="Renovar"/>
    <s v="Contratar"/>
  </r>
  <r>
    <n v="112"/>
    <s v="João"/>
    <s v="A1501072311"/>
    <n v="11990"/>
    <x v="7"/>
    <x v="0"/>
    <x v="50"/>
    <d v="2014-01-07T00:00:00"/>
    <s v="Em curso"/>
    <s v="Produção"/>
    <s v="Valor alto"/>
    <s v="Alterar"/>
    <s v="Rescendir"/>
  </r>
  <r>
    <n v="113"/>
    <s v="Antônio"/>
    <s v="A1110029990"/>
    <n v="12100"/>
    <x v="7"/>
    <x v="3"/>
    <x v="51"/>
    <d v="2019-01-27T00:00:00"/>
    <s v="Em curso"/>
    <s v="Produção"/>
    <s v="Averba"/>
    <s v="Alterar"/>
    <s v="Renovar"/>
  </r>
  <r>
    <n v="114"/>
    <s v="Rafaela"/>
    <s v="A1409070147"/>
    <n v="11220"/>
    <x v="7"/>
    <x v="0"/>
    <x v="52"/>
    <d v="2017-09-17T00:00:00"/>
    <s v="Em curso"/>
    <s v="Produção"/>
    <s v="Valor alto"/>
    <s v="Aprovar"/>
    <s v="Alterar"/>
  </r>
  <r>
    <n v="115"/>
    <s v="Vicente"/>
    <s v="A1307060077"/>
    <n v="11880"/>
    <x v="7"/>
    <x v="1"/>
    <x v="53"/>
    <d v="2018-02-05T00:00:00"/>
    <s v="Em curso"/>
    <s v="Produção"/>
    <s v="Alterar"/>
    <s v="Alterar"/>
    <s v="Renovar"/>
  </r>
  <r>
    <n v="116"/>
    <s v="Maria Cecília"/>
    <s v="A1103024679"/>
    <n v="12100"/>
    <x v="7"/>
    <x v="3"/>
    <x v="30"/>
    <d v="2016-09-29T00:00:00"/>
    <s v="Em curso"/>
    <s v="Produção"/>
    <s v="Averba"/>
    <s v="Aprovar"/>
    <s v="Alterar"/>
  </r>
  <r>
    <n v="117"/>
    <s v="Bento"/>
    <s v="A1107027351"/>
    <n v="11660"/>
    <x v="7"/>
    <x v="0"/>
    <x v="54"/>
    <d v="2015-08-16T00:00:00"/>
    <s v="Em curso"/>
    <s v="Produção"/>
    <s v="Rescendir"/>
    <s v="Rescendir"/>
    <s v="Alterar"/>
  </r>
  <r>
    <n v="118"/>
    <s v="Marina"/>
    <s v="A1102024149"/>
    <n v="11440"/>
    <x v="7"/>
    <x v="1"/>
    <x v="55"/>
    <d v="2015-02-09T00:00:00"/>
    <s v="Em curso"/>
    <s v="Produção"/>
    <s v="Alterar"/>
    <s v="Rescendir"/>
    <s v="Renovar"/>
  </r>
  <r>
    <n v="119"/>
    <s v="Caio"/>
    <s v="A1000974650"/>
    <n v="11660"/>
    <x v="7"/>
    <x v="1"/>
    <x v="56"/>
    <d v="2013-07-19T00:00:00"/>
    <s v="Em curso"/>
    <s v="Produção"/>
    <s v="Valor alto"/>
    <s v="Renovar"/>
    <s v="Renovar"/>
  </r>
  <r>
    <n v="120"/>
    <s v="Lucas Gabriel"/>
    <s v="A1405067298"/>
    <n v="12100"/>
    <x v="7"/>
    <x v="2"/>
    <x v="57"/>
    <d v="2012-07-31T00:00:00"/>
    <s v="Em curso"/>
    <s v="Produção"/>
    <s v="Alterar"/>
    <s v="Alterar"/>
    <s v="Renovar"/>
  </r>
  <r>
    <n v="121"/>
    <s v="Joana P."/>
    <s v="A1011022820"/>
    <n v="5500"/>
    <x v="8"/>
    <x v="0"/>
    <x v="45"/>
    <d v="2015-05-03T00:00:00"/>
    <s v="Em curso"/>
    <s v="Produção"/>
    <s v="Valor alto"/>
    <s v="Aprovar"/>
    <s v="Renovar"/>
  </r>
  <r>
    <n v="122"/>
    <s v="Maria- da M."/>
    <s v="A1306057810"/>
    <n v="5500"/>
    <x v="8"/>
    <x v="0"/>
    <x v="2"/>
    <d v="2017-07-06T00:00:00"/>
    <s v="Em curso"/>
    <s v="Produção"/>
    <s v="Alterar"/>
    <s v="Rescendir"/>
    <s v="Contratar"/>
  </r>
  <r>
    <n v="123"/>
    <s v="Gabriela da M."/>
    <s v="A1103024843"/>
    <n v="5720"/>
    <x v="8"/>
    <x v="1"/>
    <x v="1"/>
    <d v="2015-02-03T00:00:00"/>
    <s v="Em curso"/>
    <s v="Produção"/>
    <s v="Alterar"/>
    <s v="Alterar"/>
    <s v="Renovar"/>
  </r>
  <r>
    <n v="124"/>
    <s v="Ana Laura da M."/>
    <s v="A1001549006"/>
    <n v="5335"/>
    <x v="8"/>
    <x v="3"/>
    <x v="5"/>
    <d v="2017-12-04T00:00:00"/>
    <s v="Em curso"/>
    <s v="Produção"/>
    <s v="Averba"/>
    <s v="Aprovar"/>
    <s v="Contratar"/>
  </r>
  <r>
    <n v="125"/>
    <s v="Marcelo R"/>
    <s v="A1404066711"/>
    <n v="5940"/>
    <x v="8"/>
    <x v="0"/>
    <x v="58"/>
    <d v="2014-07-10T00:00:00"/>
    <s v="Em curso"/>
    <s v="Produção"/>
    <s v="Alterar"/>
    <s v="Alterar"/>
    <s v="Contratar"/>
  </r>
  <r>
    <n v="126"/>
    <s v="Ana Beatriz da M."/>
    <s v="A1205033180"/>
    <n v="4840"/>
    <x v="8"/>
    <x v="0"/>
    <x v="4"/>
    <d v="2017-09-28T00:00:00"/>
    <s v="Em curso"/>
    <s v="Produção"/>
    <s v="Valor alto"/>
    <s v="Aprovar"/>
    <s v="Alterar"/>
  </r>
  <r>
    <n v="127"/>
    <s v="Olívia da M."/>
    <s v="A1108028428"/>
    <n v="5940"/>
    <x v="8"/>
    <x v="2"/>
    <x v="2"/>
    <d v="2017-07-06T00:00:00"/>
    <s v="Em curso"/>
    <s v="Produção"/>
    <s v="Alterar"/>
    <s v="Rescendir"/>
    <s v="Rescendir"/>
  </r>
  <r>
    <n v="128"/>
    <s v="Maria Fernanda da M."/>
    <s v="A1106026433"/>
    <n v="5500"/>
    <x v="8"/>
    <x v="0"/>
    <x v="59"/>
    <d v="2019-06-06T00:00:00"/>
    <s v="Em curso"/>
    <s v="Produção"/>
    <s v="Alterar"/>
    <s v="Renovar"/>
    <s v="Alterar"/>
  </r>
  <r>
    <n v="129"/>
    <s v="Emilly da M."/>
    <s v="A1001504432"/>
    <n v="5742"/>
    <x v="8"/>
    <x v="0"/>
    <x v="6"/>
    <d v="2016-08-18T00:00:00"/>
    <s v="Em curso"/>
    <s v="Produção"/>
    <s v="Alterar"/>
    <s v="Aprovar"/>
    <s v="Alterar"/>
  </r>
  <r>
    <n v="130"/>
    <s v="Maria Valentina da M."/>
    <s v="A1104025435"/>
    <n v="5806"/>
    <x v="8"/>
    <x v="1"/>
    <x v="28"/>
    <d v="2017-10-10T00:00:00"/>
    <s v="Em curso"/>
    <s v="Produção"/>
    <s v="Rescendir"/>
    <s v="Rescendir"/>
    <s v="Renovar"/>
  </r>
  <r>
    <n v="131"/>
    <s v="Samuel"/>
    <s v="A1001970770"/>
    <n v="4840"/>
    <x v="8"/>
    <x v="0"/>
    <x v="4"/>
    <d v="2017-09-28T00:00:00"/>
    <s v="Em curso"/>
    <s v="Produção"/>
    <s v="Rescendir"/>
    <s v="Alterar"/>
    <s v="Rescendir"/>
  </r>
  <r>
    <n v="132"/>
    <s v="Maria Helena da M."/>
    <s v="A1303054329"/>
    <n v="5940"/>
    <x v="8"/>
    <x v="0"/>
    <x v="60"/>
    <d v="2019-07-21T00:00:00"/>
    <s v="Em curso"/>
    <s v="Produção"/>
    <s v="Averba"/>
    <s v="Rescendir"/>
    <s v="Renovar"/>
  </r>
  <r>
    <n v="133"/>
    <s v="Pedro Miguel G."/>
    <s v="A1307059937"/>
    <n v="5280"/>
    <x v="8"/>
    <x v="2"/>
    <x v="10"/>
    <d v="2016-11-10T00:00:00"/>
    <s v="Em curso"/>
    <s v="Produção"/>
    <s v="Rescendir"/>
    <s v="Alterar"/>
    <s v="Rescendir"/>
  </r>
  <r>
    <n v="134"/>
    <s v="Luiz Henrique G."/>
    <s v="A1405067565"/>
    <n v="4840"/>
    <x v="8"/>
    <x v="2"/>
    <x v="11"/>
    <d v="2016-08-06T00:00:00"/>
    <s v="Em curso"/>
    <s v="Produção"/>
    <s v="Alterar"/>
    <s v="Rescendir"/>
    <s v="Renovar"/>
  </r>
  <r>
    <n v="135"/>
    <s v="Luan B."/>
    <s v="A1408069503"/>
    <n v="5720"/>
    <x v="8"/>
    <x v="3"/>
    <x v="0"/>
    <d v="2015-09-01T00:00:00"/>
    <s v="Em curso"/>
    <s v="Produção"/>
    <s v="Rescendir"/>
    <s v="Alterar"/>
    <s v="Renovar"/>
  </r>
  <r>
    <n v="136"/>
    <s v="Erick C."/>
    <s v="A1106026462"/>
    <n v="6380"/>
    <x v="8"/>
    <x v="2"/>
    <x v="61"/>
    <d v="2013-08-29T00:00:00"/>
    <s v="Em curso"/>
    <s v="Produção"/>
    <s v="Averba"/>
    <s v="Alterar"/>
    <s v="Contratar"/>
  </r>
  <r>
    <n v="137"/>
    <s v="Martin da Silva"/>
    <s v="A1301052449"/>
    <n v="5720"/>
    <x v="8"/>
    <x v="2"/>
    <x v="23"/>
    <d v="2014-04-03T00:00:00"/>
    <s v="Em curso"/>
    <s v="Produção"/>
    <s v="Averba"/>
    <s v="Aprovar"/>
    <s v="Rescendir"/>
  </r>
  <r>
    <n v="138"/>
    <s v="Maria Flor da M."/>
    <s v="A1008020942"/>
    <n v="4950"/>
    <x v="8"/>
    <x v="2"/>
    <x v="34"/>
    <d v="2014-05-06T00:00:00"/>
    <s v="Em curso"/>
    <s v="Produção"/>
    <s v="Averba"/>
    <s v="Rescendir"/>
    <s v="Rescendir"/>
  </r>
  <r>
    <n v="139"/>
    <s v="Allana da M."/>
    <s v="A1406067957"/>
    <n v="5720"/>
    <x v="8"/>
    <x v="3"/>
    <x v="14"/>
    <d v="2018-03-29T00:00:00"/>
    <s v="Em curso"/>
    <s v="Produção"/>
    <s v="Averba"/>
    <s v="Alterar"/>
    <s v="Contratar"/>
  </r>
  <r>
    <n v="140"/>
    <s v="Bruno M."/>
    <s v="A1011022818"/>
    <n v="4840"/>
    <x v="8"/>
    <x v="1"/>
    <x v="41"/>
    <d v="2017-08-17T00:00:00"/>
    <s v="Em curso"/>
    <s v="Produção"/>
    <s v="Alterar"/>
    <s v="Renovar"/>
    <s v="Rescendir"/>
  </r>
  <r>
    <n v="141"/>
    <s v="Rodrigo Z."/>
    <s v="A1201031274"/>
    <n v="5500"/>
    <x v="8"/>
    <x v="0"/>
    <x v="58"/>
    <d v="2014-07-10T00:00:00"/>
    <s v="Em curso"/>
    <s v="Produção"/>
    <s v="Alterar"/>
    <s v="Aprovar"/>
    <s v="Rescendir"/>
  </r>
  <r>
    <n v="142"/>
    <s v="Mariana P."/>
    <s v="A1108028351"/>
    <n v="5940"/>
    <x v="8"/>
    <x v="2"/>
    <x v="30"/>
    <d v="2016-09-29T00:00:00"/>
    <s v="Em curso"/>
    <s v="Produção"/>
    <s v="Alterar"/>
    <s v="Rescendir"/>
    <s v="Contratar"/>
  </r>
  <r>
    <n v="143"/>
    <s v="Maria da Cruz"/>
    <s v="A1001103149"/>
    <n v="5500"/>
    <x v="8"/>
    <x v="1"/>
    <x v="62"/>
    <d v="2016-05-12T00:00:00"/>
    <s v="Em curso"/>
    <s v="Produção"/>
    <s v="Averba"/>
    <s v="Renovar"/>
    <s v="Renovar"/>
  </r>
  <r>
    <n v="144"/>
    <s v="Breno M."/>
    <s v="A1012023010"/>
    <n v="5335"/>
    <x v="8"/>
    <x v="1"/>
    <x v="2"/>
    <d v="2017-07-06T00:00:00"/>
    <s v="Em curso"/>
    <s v="Produção"/>
    <s v="Rescendir"/>
    <s v="Rescendir"/>
    <s v="Renovar"/>
  </r>
  <r>
    <n v="145"/>
    <s v="Jeniffer S."/>
    <s v="A1403066125"/>
    <n v="5940"/>
    <x v="8"/>
    <x v="3"/>
    <x v="23"/>
    <d v="2014-04-03T00:00:00"/>
    <s v="Em curso"/>
    <s v="Produção"/>
    <s v="Alterar"/>
    <s v="Aprovar"/>
    <s v="Renovar"/>
  </r>
  <r>
    <n v="146"/>
    <s v="Jazz"/>
    <s v="A1105025661"/>
    <n v="5280"/>
    <x v="8"/>
    <x v="3"/>
    <x v="2"/>
    <d v="2017-07-06T00:00:00"/>
    <s v="Em curso"/>
    <s v="Produção"/>
    <s v="Averba"/>
    <s v="Rescendir"/>
    <s v="Contratar"/>
  </r>
  <r>
    <n v="147"/>
    <s v="Kauê M."/>
    <s v="A1301052436"/>
    <n v="6380"/>
    <x v="8"/>
    <x v="3"/>
    <x v="62"/>
    <d v="2016-05-12T00:00:00"/>
    <s v="Em curso"/>
    <s v="Produção"/>
    <s v="Alterar"/>
    <s v="Renovar"/>
    <s v="Rescendir"/>
  </r>
  <r>
    <n v="148"/>
    <s v="Enzo Miguel M."/>
    <s v="A1101023457"/>
    <n v="4840"/>
    <x v="8"/>
    <x v="3"/>
    <x v="4"/>
    <d v="2017-09-28T00:00:00"/>
    <s v="Em curso"/>
    <s v="Produção"/>
    <s v="Valor alto"/>
    <s v="Alterar"/>
    <s v="Contratar"/>
  </r>
  <r>
    <n v="149"/>
    <s v="Eliana C."/>
    <s v="A1402065085"/>
    <n v="5280"/>
    <x v="8"/>
    <x v="1"/>
    <x v="21"/>
    <d v="2017-02-16T00:00:00"/>
    <s v="Em curso"/>
    <s v="Produção"/>
    <s v="Alterar"/>
    <s v="Alterar"/>
    <s v="Contratar"/>
  </r>
  <r>
    <n v="150"/>
    <s v="Marta J."/>
    <s v="A1103024924"/>
    <n v="6160"/>
    <x v="8"/>
    <x v="0"/>
    <x v="63"/>
    <d v="2018-05-05T00:00:00"/>
    <s v="Em curso"/>
    <s v="Produção"/>
    <s v="Rescendir"/>
    <s v="Rescendir"/>
    <s v="Alterar"/>
  </r>
  <r>
    <n v="151"/>
    <s v="Leticia M."/>
    <s v="A1110029623"/>
    <n v="5060"/>
    <x v="8"/>
    <x v="0"/>
    <x v="64"/>
    <d v="2019-08-05T00:00:00"/>
    <s v="Em curso"/>
    <s v="Produção"/>
    <s v="Alterar"/>
    <s v="Rescendir"/>
    <s v="Alterar"/>
  </r>
  <r>
    <n v="152"/>
    <s v="Alice R."/>
    <s v="A1402065303"/>
    <n v="11880"/>
    <x v="9"/>
    <x v="3"/>
    <x v="49"/>
    <d v="2017-05-04T00:00:00"/>
    <s v="Em curso"/>
    <s v="Vendas"/>
    <s v="Rescendir"/>
    <s v="Aprovar"/>
    <s v="Rescendir"/>
  </r>
  <r>
    <n v="153"/>
    <s v="Samuel"/>
    <s v="A1499902910"/>
    <n v="12320"/>
    <x v="9"/>
    <x v="0"/>
    <x v="65"/>
    <d v="2017-05-17T00:00:00"/>
    <s v="Em curso"/>
    <s v="Vendas"/>
    <s v="Rescendir"/>
    <s v="Rescendir"/>
    <s v="Alterar"/>
  </r>
  <r>
    <n v="154"/>
    <s v="Tomás M."/>
    <s v="A1102024115"/>
    <n v="12100"/>
    <x v="10"/>
    <x v="1"/>
    <x v="66"/>
    <d v="2019-05-01T00:00:00"/>
    <s v="Em curso"/>
    <s v="Administrativo"/>
    <s v="Alterar"/>
    <s v="Alterar"/>
    <s v="Rescendir"/>
  </r>
  <r>
    <n v="155"/>
    <s v="Alice"/>
    <s v="A1103024456"/>
    <n v="6270"/>
    <x v="11"/>
    <x v="3"/>
    <x v="67"/>
    <d v="2011-10-27T00:00:00"/>
    <s v="Em curso"/>
    <s v="Administrativo"/>
    <s v="Rescendir"/>
    <s v="Renovar"/>
    <s v="Alterar"/>
  </r>
  <r>
    <n v="156"/>
    <s v="Miguel"/>
    <s v="A1106026572"/>
    <n v="5060"/>
    <x v="11"/>
    <x v="0"/>
    <x v="20"/>
    <d v="2017-05-31T00:00:00"/>
    <s v="Em curso"/>
    <s v="Administrativo"/>
    <s v="Valor alto"/>
    <s v="Alterar"/>
    <s v="Alterar"/>
  </r>
  <r>
    <n v="157"/>
    <s v="Arthur"/>
    <s v="A1302053333"/>
    <n v="6380"/>
    <x v="11"/>
    <x v="3"/>
    <x v="4"/>
    <d v="2017-09-28T00:00:00"/>
    <s v="Em curso"/>
    <s v="Administrativo"/>
    <s v="Averba"/>
    <s v="Rescendir"/>
    <s v="Alterar"/>
  </r>
  <r>
    <n v="158"/>
    <s v="Helena"/>
    <s v="A1307059817"/>
    <n v="3643"/>
    <x v="12"/>
    <x v="0"/>
    <x v="68"/>
    <d v="2018-01-04T00:00:00"/>
    <s v="Em curso"/>
    <s v="Administrativo"/>
    <s v="Alterar"/>
    <s v="Alterar"/>
    <s v="Contratar"/>
  </r>
  <r>
    <n v="159"/>
    <s v="Maria Clara"/>
    <s v="A1009919940"/>
    <n v="7500"/>
    <x v="13"/>
    <x v="1"/>
    <x v="69"/>
    <d v="2019-02-09T00:00:00"/>
    <s v="Em curso"/>
    <s v="TI"/>
    <s v="Averba"/>
    <s v="Alterar"/>
    <s v="Renovar"/>
  </r>
  <r>
    <n v="160"/>
    <s v="Samuel"/>
    <s v="A1009919980"/>
    <n v="8000"/>
    <x v="13"/>
    <x v="2"/>
    <x v="70"/>
    <d v="2019-02-14T00:00:00"/>
    <s v="Em curso"/>
    <s v="TI"/>
    <s v="Alterar"/>
    <s v="Aprovar"/>
    <s v="Contratar"/>
  </r>
  <r>
    <n v="161"/>
    <s v="Enzo Gabriel"/>
    <s v="A1009919990"/>
    <n v="7500"/>
    <x v="13"/>
    <x v="0"/>
    <x v="71"/>
    <d v="2019-04-20T00:00:00"/>
    <s v="Em curso"/>
    <s v="TI"/>
    <s v="Rescendir"/>
    <s v="Rescendir"/>
    <s v="Contratar"/>
  </r>
  <r>
    <n v="162"/>
    <s v="João Miguel"/>
    <s v="A1009920000"/>
    <n v="7500"/>
    <x v="13"/>
    <x v="0"/>
    <x v="71"/>
    <d v="2019-04-20T00:00:00"/>
    <s v="Em curso"/>
    <s v="TI"/>
    <s v="Averba"/>
    <s v="Aprovar"/>
    <s v="Renovar"/>
  </r>
  <r>
    <n v="163"/>
    <s v="Henrique"/>
    <s v="A1009919920"/>
    <n v="11150"/>
    <x v="14"/>
    <x v="3"/>
    <x v="72"/>
    <d v="2019-06-09T00:00:00"/>
    <s v="Em curso"/>
    <s v="TI"/>
    <s v="Averba"/>
    <s v="Alterar"/>
    <s v="Renovar"/>
  </r>
  <r>
    <n v="164"/>
    <s v="Cecília"/>
    <s v="A1112030816"/>
    <n v="14300"/>
    <x v="15"/>
    <x v="0"/>
    <x v="73"/>
    <d v="2013-10-03T00:00:00"/>
    <s v="Em curso"/>
    <s v="TI"/>
    <s v="Rescendir"/>
    <s v="Aprovar"/>
    <s v="Renovar"/>
  </r>
  <r>
    <n v="165"/>
    <s v="Eloá"/>
    <s v="A1009919950"/>
    <n v="12100"/>
    <x v="16"/>
    <x v="1"/>
    <x v="74"/>
    <d v="2018-12-31T00:00:00"/>
    <s v="Em curso"/>
    <s v="TI"/>
    <s v="Alterar"/>
    <s v="Rescendir"/>
    <s v="Renovar"/>
  </r>
  <r>
    <n v="166"/>
    <s v="Isadora"/>
    <s v="A1105025718"/>
    <n v="7480"/>
    <x v="17"/>
    <x v="0"/>
    <x v="14"/>
    <d v="2018-03-29T00:00:00"/>
    <s v="Em curso"/>
    <s v="TI"/>
    <s v="Valor alto"/>
    <s v="Aprovar"/>
    <s v="Contratar"/>
  </r>
  <r>
    <n v="167"/>
    <s v="Fernando"/>
    <s v="A1003018246"/>
    <n v="8800"/>
    <x v="17"/>
    <x v="0"/>
    <x v="27"/>
    <d v="2018-04-30T00:00:00"/>
    <s v="Em curso"/>
    <s v="TI"/>
    <s v="Alterar"/>
    <s v="Rescendir"/>
    <s v="Contratar"/>
  </r>
  <r>
    <n v="168"/>
    <s v="Murilo"/>
    <s v="A1406068403"/>
    <n v="7810"/>
    <x v="16"/>
    <x v="1"/>
    <x v="28"/>
    <d v="2017-10-10T00:00:00"/>
    <s v="Em curso"/>
    <s v="TI"/>
    <s v="Rescendir"/>
    <s v="Alterar"/>
    <s v="Contratar"/>
  </r>
  <r>
    <n v="169"/>
    <s v="Emanuelly"/>
    <s v="A1108027853"/>
    <n v="9405"/>
    <x v="16"/>
    <x v="0"/>
    <x v="28"/>
    <d v="2017-10-10T00:00:00"/>
    <s v="Em curso"/>
    <s v="TI"/>
    <s v="Rescendir"/>
    <s v="Renovar"/>
    <s v="Renovar"/>
  </r>
  <r>
    <n v="170"/>
    <s v="Ana Júlia"/>
    <s v="A1407068885"/>
    <n v="8701"/>
    <x v="16"/>
    <x v="3"/>
    <x v="40"/>
    <d v="2018-02-15T00:00:00"/>
    <s v="Em curso"/>
    <s v="TI"/>
    <s v="Alterar"/>
    <s v="Aprovar"/>
    <s v="Rescendir"/>
  </r>
  <r>
    <n v="171"/>
    <s v="Pietro"/>
    <s v="A1203032255"/>
    <n v="9284"/>
    <x v="16"/>
    <x v="1"/>
    <x v="14"/>
    <d v="2018-03-29T00:00:00"/>
    <s v="Em curso"/>
    <s v="TI"/>
    <s v="Rescendir"/>
    <s v="Alterar"/>
    <s v="Alterar"/>
  </r>
  <r>
    <n v="172"/>
    <s v="Felipe"/>
    <s v="A808010278"/>
    <n v="6644"/>
    <x v="16"/>
    <x v="1"/>
    <x v="27"/>
    <d v="2018-04-30T00:00:00"/>
    <s v="Em curso"/>
    <s v="TI"/>
    <s v="Valor alto"/>
    <s v="Aprovar"/>
    <s v="Contratar"/>
  </r>
  <r>
    <n v="173"/>
    <s v="Ana Luiza"/>
    <s v="A1110029732"/>
    <n v="6908"/>
    <x v="16"/>
    <x v="3"/>
    <x v="14"/>
    <d v="2018-03-29T00:00:00"/>
    <s v="Em curso"/>
    <s v="TI"/>
    <s v="Averba"/>
    <s v="Alterar"/>
    <s v="Alterar"/>
  </r>
  <r>
    <n v="174"/>
    <s v="João Pedro"/>
    <s v="A1192991000"/>
    <n v="14300"/>
    <x v="14"/>
    <x v="3"/>
    <x v="75"/>
    <d v="2014-04-14T00:00:00"/>
    <s v="Em curso"/>
    <s v="TI"/>
    <s v="Alterar"/>
    <s v="Aprovar"/>
    <s v="Rescendir"/>
  </r>
  <r>
    <n v="175"/>
    <s v="Isaac"/>
    <s v="A1106026933"/>
    <n v="13640"/>
    <x v="14"/>
    <x v="1"/>
    <x v="76"/>
    <d v="2016-01-20T00:00:00"/>
    <s v="Em curso"/>
    <s v="TI"/>
    <s v="Alterar"/>
    <s v="Renovar"/>
    <s v="Alterar"/>
  </r>
  <r>
    <n v="176"/>
    <s v="Daniel"/>
    <s v="A1011022863"/>
    <n v="13860"/>
    <x v="14"/>
    <x v="0"/>
    <x v="77"/>
    <d v="2015-02-14T00:00:00"/>
    <s v="Em curso"/>
    <s v="TI"/>
    <s v="Alterar"/>
    <s v="Rescendir"/>
    <s v="Alterar"/>
  </r>
  <r>
    <n v="177"/>
    <s v="Anthony"/>
    <s v="A1101023754"/>
    <n v="14080"/>
    <x v="14"/>
    <x v="0"/>
    <x v="78"/>
    <d v="2017-04-30T00:00:00"/>
    <s v="Em curso"/>
    <s v="TI"/>
    <s v="Valor alto"/>
    <s v="Aprovar"/>
    <s v="Contratar"/>
  </r>
  <r>
    <n v="178"/>
    <s v="Leonardo"/>
    <s v="A1301052902"/>
    <n v="6378"/>
    <x v="17"/>
    <x v="2"/>
    <x v="79"/>
    <d v="2015-05-09T00:00:00"/>
    <s v="Em curso"/>
    <s v="TI"/>
    <s v="Averba"/>
    <s v="Alterar"/>
    <s v="Contratar"/>
  </r>
  <r>
    <n v="179"/>
    <s v="Yasmin"/>
    <s v="A1501072093"/>
    <n v="6908"/>
    <x v="17"/>
    <x v="0"/>
    <x v="80"/>
    <d v="2013-01-04T00:00:00"/>
    <s v="Em curso"/>
    <s v="TI"/>
    <s v="Averba"/>
    <s v="Aprovar"/>
    <s v="Rescendir"/>
  </r>
  <r>
    <n v="180"/>
    <s v="Maria Alice"/>
    <s v="A602000312"/>
    <n v="5720"/>
    <x v="17"/>
    <x v="0"/>
    <x v="81"/>
    <d v="2014-01-20T00:00:00"/>
    <s v="Em curso"/>
    <s v="TI"/>
    <s v="Alterar"/>
    <s v="Rescendir"/>
    <s v="Contratar"/>
  </r>
  <r>
    <n v="181"/>
    <s v="Isabelly"/>
    <s v="A1203032263"/>
    <n v="6048"/>
    <x v="17"/>
    <x v="0"/>
    <x v="82"/>
    <d v="2014-10-05T00:00:00"/>
    <s v="Em curso"/>
    <s v="TI"/>
    <s v="Rescendir"/>
    <s v="Renovar"/>
    <s v="Rescendir"/>
  </r>
  <r>
    <n v="182"/>
    <s v="Davi Lucca"/>
    <s v="A1212052023"/>
    <n v="9900"/>
    <x v="17"/>
    <x v="0"/>
    <x v="27"/>
    <d v="2018-04-30T00:00:00"/>
    <s v="Em curso"/>
    <s v="TI"/>
    <s v="Alterar"/>
    <s v="Rescendir"/>
    <s v="Contratar"/>
  </r>
  <r>
    <n v="183"/>
    <s v="Bryan"/>
    <s v="A1102024173"/>
    <n v="9240"/>
    <x v="17"/>
    <x v="0"/>
    <x v="14"/>
    <d v="2018-03-29T00:00:00"/>
    <s v="Em curso"/>
    <s v="TI"/>
    <s v="Alterar"/>
    <s v="Aprovar"/>
    <s v="Renovar"/>
  </r>
  <r>
    <n v="184"/>
    <s v="Lavínia"/>
    <s v="A1101023540"/>
    <n v="8140"/>
    <x v="17"/>
    <x v="3"/>
    <x v="27"/>
    <d v="2018-04-30T00:00:00"/>
    <s v="Em curso"/>
    <s v="TI"/>
    <s v="Alterar"/>
    <s v="Renovar"/>
    <s v="Rescendir"/>
  </r>
  <r>
    <n v="185"/>
    <s v="Francisco"/>
    <s v="A1988299991"/>
    <n v="8580"/>
    <x v="17"/>
    <x v="1"/>
    <x v="27"/>
    <d v="2018-04-30T00:00:00"/>
    <s v="Em curso"/>
    <s v="TI"/>
    <s v="Valor alto"/>
    <s v="Alterar"/>
    <s v="Contratar"/>
  </r>
  <r>
    <n v="186"/>
    <s v="Eduardo"/>
    <s v="A1012023013"/>
    <n v="9460"/>
    <x v="18"/>
    <x v="2"/>
    <x v="14"/>
    <d v="2018-03-29T00:00:00"/>
    <s v="Em curso"/>
    <s v="TI"/>
    <s v="Averba"/>
    <s v="Rescendir"/>
    <s v="Rescendir"/>
  </r>
  <r>
    <n v="187"/>
    <s v="Sarah"/>
    <s v="A1001956578"/>
    <n v="5940"/>
    <x v="18"/>
    <x v="2"/>
    <x v="40"/>
    <d v="2018-02-15T00:00:00"/>
    <s v="Em curso"/>
    <s v="TI"/>
    <s v="Valor alto"/>
    <s v="Alterar"/>
    <s v="Renovar"/>
  </r>
  <r>
    <n v="188"/>
    <s v="Elisa"/>
    <s v="A906014183"/>
    <n v="10340"/>
    <x v="18"/>
    <x v="0"/>
    <x v="83"/>
    <d v="2017-09-29T00:00:00"/>
    <s v="Em curso"/>
    <s v="TI"/>
    <s v="Alterar"/>
    <s v="Rescendir"/>
    <s v="Rescendir"/>
  </r>
  <r>
    <n v="189"/>
    <s v="Victor"/>
    <s v="A1411071506"/>
    <n v="10802"/>
    <x v="18"/>
    <x v="3"/>
    <x v="14"/>
    <d v="2018-03-29T00:00:00"/>
    <s v="Em curso"/>
    <s v="TI"/>
    <s v="Averba"/>
    <s v="Aprovar"/>
    <s v="Renovar"/>
  </r>
  <r>
    <n v="190"/>
    <s v="Cristiane"/>
    <s v="A1009919930"/>
    <n v="10000"/>
    <x v="13"/>
    <x v="0"/>
    <x v="69"/>
    <d v="2019-02-09T00:00:00"/>
    <s v="Em curso"/>
    <s v="TI"/>
    <s v="Averba"/>
    <s v="Alterar"/>
    <s v="Renovar"/>
  </r>
  <r>
    <n v="191"/>
    <s v="Luiz Otávio M."/>
    <s v="A1009919960"/>
    <n v="10500"/>
    <x v="13"/>
    <x v="0"/>
    <x v="84"/>
    <d v="2019-02-01T00:00:00"/>
    <s v="Em curso"/>
    <s v="TI"/>
    <s v="Rescendir"/>
    <s v="Aprovar"/>
    <s v="Alterar"/>
  </r>
  <r>
    <n v="192"/>
    <s v="Carlos Eduardo M."/>
    <s v="A1009919970"/>
    <n v="10500"/>
    <x v="13"/>
    <x v="0"/>
    <x v="70"/>
    <d v="2019-02-14T00:00:00"/>
    <s v="Em curso"/>
    <s v="TI"/>
    <s v="Alterar"/>
    <s v="Alterar"/>
    <s v="Contratar"/>
  </r>
  <r>
    <n v="193"/>
    <s v="Cristiani"/>
    <s v="A1107027358"/>
    <n v="10472"/>
    <x v="18"/>
    <x v="1"/>
    <x v="28"/>
    <d v="2017-10-10T00:00:00"/>
    <s v="Em curso"/>
    <s v="TI"/>
    <s v="Alterar"/>
    <s v="Aprovar"/>
    <s v="Rescendir"/>
  </r>
  <r>
    <n v="194"/>
    <s v="Cristina C."/>
    <s v="A1101023577"/>
    <n v="12320"/>
    <x v="18"/>
    <x v="0"/>
    <x v="10"/>
    <d v="2016-11-10T00:00:00"/>
    <s v="Em curso"/>
    <s v="TI"/>
    <s v="Valor alto"/>
    <s v="Renovar"/>
    <s v="Rescendir"/>
  </r>
  <r>
    <n v="195"/>
    <s v="Celia B."/>
    <s v="A1203032498"/>
    <n v="12566"/>
    <x v="18"/>
    <x v="3"/>
    <x v="0"/>
    <d v="2015-09-01T00:00:00"/>
    <s v="Em curso"/>
    <s v="TI"/>
    <s v="Valor alto"/>
    <s v="Renovar"/>
    <s v="Renovar"/>
  </r>
  <r>
    <n v="196"/>
    <s v="Keity C."/>
    <s v="A1303054625"/>
    <n v="12212"/>
    <x v="18"/>
    <x v="0"/>
    <x v="10"/>
    <d v="2016-11-10T00:00:00"/>
    <s v="Em curso"/>
    <s v="TI"/>
    <s v="Valor alto"/>
    <s v="Rescendir"/>
    <s v="Rescendir"/>
  </r>
  <r>
    <n v="197"/>
    <s v="Natasha P."/>
    <s v="A1012023185"/>
    <n v="10835"/>
    <x v="18"/>
    <x v="2"/>
    <x v="16"/>
    <d v="2015-05-11T00:00:00"/>
    <s v="Em curso"/>
    <s v="TI"/>
    <s v="Averba"/>
    <s v="Aprovar"/>
    <s v="Renovar"/>
  </r>
  <r>
    <n v="198"/>
    <s v="José M."/>
    <s v="A1201031324"/>
    <n v="10560"/>
    <x v="18"/>
    <x v="3"/>
    <x v="2"/>
    <d v="2017-07-06T00:00:00"/>
    <s v="Em curso"/>
    <s v="TI"/>
    <s v="Averba"/>
    <s v="Alterar"/>
    <s v="Contratar"/>
  </r>
  <r>
    <n v="199"/>
    <s v="Marcelo H."/>
    <s v="A1001644719"/>
    <n v="5940"/>
    <x v="14"/>
    <x v="1"/>
    <x v="85"/>
    <d v="2014-08-14T00:00:00"/>
    <s v="Em curso"/>
    <s v="TI"/>
    <s v="Valor alto"/>
    <s v="Alterar"/>
    <s v="Rescendir"/>
  </r>
  <r>
    <n v="200"/>
    <s v="Rovena Souza"/>
    <s v="A1201031308"/>
    <n v="7689"/>
    <x v="19"/>
    <x v="0"/>
    <x v="48"/>
    <d v="2012-04-30T00:00:00"/>
    <s v="Em curso"/>
    <s v="Administrativo"/>
    <s v="Alterar"/>
    <s v="Rescendir"/>
    <s v="Contratar"/>
  </r>
  <r>
    <n v="201"/>
    <s v="Ingrid G."/>
    <s v="A1307060188"/>
    <n v="7689"/>
    <x v="19"/>
    <x v="2"/>
    <x v="40"/>
    <d v="2018-02-15T00:00:00"/>
    <s v="Em curso"/>
    <s v="Administrativo"/>
    <s v="Averba"/>
    <s v="Alterar"/>
    <s v="Renovar"/>
  </r>
  <r>
    <n v="202"/>
    <s v="Ernilda J."/>
    <s v="A1010022337"/>
    <n v="13486"/>
    <x v="14"/>
    <x v="3"/>
    <x v="86"/>
    <d v="2019-06-30T00:00:00"/>
    <s v="Em curso"/>
    <s v="TI"/>
    <s v="Valor alto"/>
    <s v="Rescendir"/>
    <s v="Contratar"/>
  </r>
  <r>
    <n v="203"/>
    <s v="Leticia Barbosa"/>
    <s v="A1411071312"/>
    <n v="11902"/>
    <x v="18"/>
    <x v="2"/>
    <x v="28"/>
    <d v="2017-10-10T00:00:00"/>
    <s v="Em curso"/>
    <s v="TI"/>
    <s v="Averba"/>
    <s v="Alterar"/>
    <s v="Alterar"/>
  </r>
  <r>
    <n v="204"/>
    <s v="Bernardo S."/>
    <s v="A1108028108"/>
    <n v="12364"/>
    <x v="18"/>
    <x v="0"/>
    <x v="28"/>
    <d v="2017-10-10T00:00:00"/>
    <s v="Em curso"/>
    <s v="TI"/>
    <s v="Valor alto"/>
    <s v="Aprovar"/>
    <s v="Renovar"/>
  </r>
  <r>
    <n v="205"/>
    <s v="Marcos de F."/>
    <s v="A904013591"/>
    <n v="11836"/>
    <x v="18"/>
    <x v="3"/>
    <x v="86"/>
    <d v="2019-06-30T00:00:00"/>
    <s v="Em curso"/>
    <s v="TI"/>
    <s v="Alterar"/>
    <s v="Rescendir"/>
    <s v="Renovar"/>
  </r>
  <r>
    <n v="206"/>
    <s v="Mario Andradde"/>
    <s v="A1308060959"/>
    <n v="11660"/>
    <x v="18"/>
    <x v="0"/>
    <x v="28"/>
    <d v="2017-10-10T00:00:00"/>
    <s v="Em curso"/>
    <s v="TI"/>
    <s v="Valor alto"/>
    <s v="Aprovar"/>
    <s v="Contratar"/>
  </r>
  <r>
    <n v="207"/>
    <s v="Jessica Almeida"/>
    <s v="A1301052347"/>
    <n v="12144"/>
    <x v="18"/>
    <x v="1"/>
    <x v="14"/>
    <d v="2018-03-29T00:00:00"/>
    <s v="Em curso"/>
    <s v="TI"/>
    <s v="Alterar"/>
    <s v="Aprovar"/>
    <s v="Rescendi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4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24" firstHeaderRow="1" firstDataRow="1" firstDataCol="1" rowPageCount="1" colPageCount="1"/>
  <pivotFields count="15">
    <pivotField showAll="0"/>
    <pivotField showAll="0"/>
    <pivotField showAll="0"/>
    <pivotField numFmtId="168" showAll="0"/>
    <pivotField axis="axisRow" showAll="0">
      <items count="21">
        <item x="1"/>
        <item x="2"/>
        <item x="3"/>
        <item x="13"/>
        <item x="16"/>
        <item x="17"/>
        <item x="12"/>
        <item x="11"/>
        <item x="19"/>
        <item x="6"/>
        <item x="5"/>
        <item x="4"/>
        <item x="15"/>
        <item x="18"/>
        <item x="10"/>
        <item x="9"/>
        <item x="7"/>
        <item x="14"/>
        <item x="0"/>
        <item x="8"/>
        <item t="default"/>
      </items>
    </pivotField>
    <pivotField axis="axisPage" numFmtId="167" showAll="0">
      <items count="5">
        <item x="0"/>
        <item x="3"/>
        <item x="1"/>
        <item x="2"/>
        <item t="default"/>
      </items>
    </pivotField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 defaultSubtota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x="3"/>
        <item sd="0" x="4"/>
        <item sd="0" x="5"/>
      </items>
    </pivotField>
    <pivotField showAll="0" defaultSubtotal="0">
      <items count="13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4" name="Tabela14" displayName="Tabela14" ref="A5:N212" totalsRowShown="0" headerRowDxfId="15" dataDxfId="14">
  <autoFilter ref="A5:N212"/>
  <tableColumns count="14">
    <tableColumn id="11" name="Nº" dataDxfId="13">
      <calculatedColumnFormula>A5+1</calculatedColumnFormula>
    </tableColumn>
    <tableColumn id="1" name="Empresa" dataDxfId="12"/>
    <tableColumn id="2" name="ID" dataDxfId="11"/>
    <tableColumn id="3" name="Valor do contrato" dataDxfId="3" dataCellStyle="Moeda"/>
    <tableColumn id="4" name="Tipos de contrato" dataDxfId="10"/>
    <tableColumn id="5" name="Duração" dataDxfId="4" dataCellStyle="Vírgula">
      <calculatedColumnFormula>RANDBETWEEN(1,4)</calculatedColumnFormula>
    </tableColumn>
    <tableColumn id="15" name="Status de prestação de serviço" dataDxfId="0" dataCellStyle="Vírgula">
      <calculatedColumnFormula>IF(Tabela14[[#This Row],[Duração]]=1,"Faltão 3 anos",IF(Tabela14[[#This Row],[Duração]]=2,"Faltão 2 anos", IF(Tabela14[[#This Row],[Duração]]=3,"Faltão 1 ano",IF(Tabela14[[#This Row],[Duração]]=4,Tabela14[[#This Row],[Parcer da área]]))))</calculatedColumnFormula>
    </tableColumn>
    <tableColumn id="8" name="Data de Contratação2" dataDxfId="9"/>
    <tableColumn id="14" name="Da de Renovação" dataDxfId="2"/>
    <tableColumn id="9" name="Status de contrato" dataDxfId="1">
      <calculatedColumnFormula>IF(Tabela14[[#This Row],[Data de Contratação2]]=Tabela14[[#This Row],[Da de Renovação]],"Em curso",IF(Tabela14[[#This Row],[Duração]]=4,"Renovar","Em curso"))</calculatedColumnFormula>
    </tableColumn>
    <tableColumn id="10" name="Departamento" dataDxfId="8"/>
    <tableColumn id="7" name="Parcer financeiro" dataDxfId="5">
      <calculatedColumnFormula>CHOOSE(RANDBETWEEN(1,4),"Averba","Valor alto","Rescendir","Alterar")</calculatedColumnFormula>
    </tableColumn>
    <tableColumn id="12" name="Parcer Juridico" dataDxfId="6">
      <calculatedColumnFormula>CHOOSE(RANDBETWEEN(1,4),"Aprovar","Renovar","Rescendir","Alterar")</calculatedColumnFormula>
    </tableColumn>
    <tableColumn id="13" name="Parcer da área" dataDxfId="7">
      <calculatedColumnFormula>CHOOSE(RANDBETWEEN(1,4),"Contratar","Renovar","Rescendir","Alterar")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2"/>
  <sheetViews>
    <sheetView tabSelected="1" zoomScale="80" zoomScaleNormal="80" workbookViewId="0">
      <selection activeCell="E3" sqref="E3"/>
    </sheetView>
  </sheetViews>
  <sheetFormatPr defaultColWidth="12.7109375" defaultRowHeight="15" x14ac:dyDescent="0.25"/>
  <cols>
    <col min="1" max="1" width="5.7109375" bestFit="1" customWidth="1"/>
    <col min="2" max="2" width="21.42578125" bestFit="1" customWidth="1"/>
    <col min="3" max="3" width="12.85546875" style="4" bestFit="1" customWidth="1"/>
    <col min="4" max="4" width="21.7109375" bestFit="1" customWidth="1"/>
    <col min="5" max="5" width="24.28515625" bestFit="1" customWidth="1"/>
    <col min="6" max="6" width="10.42578125" bestFit="1" customWidth="1"/>
    <col min="7" max="7" width="30.42578125" bestFit="1" customWidth="1"/>
    <col min="8" max="8" width="21.42578125" bestFit="1" customWidth="1"/>
    <col min="9" max="9" width="19.5703125" bestFit="1" customWidth="1"/>
    <col min="10" max="10" width="19.7109375" bestFit="1" customWidth="1"/>
    <col min="11" max="11" width="16.28515625" bestFit="1" customWidth="1"/>
    <col min="12" max="12" width="16.42578125" customWidth="1"/>
    <col min="13" max="14" width="15.85546875" bestFit="1" customWidth="1"/>
  </cols>
  <sheetData>
    <row r="1" spans="1:14" s="8" customFormat="1" ht="36" x14ac:dyDescent="0.55000000000000004">
      <c r="B1" s="9" t="s">
        <v>437</v>
      </c>
      <c r="C1" s="10"/>
    </row>
    <row r="2" spans="1:14" s="11" customFormat="1" x14ac:dyDescent="0.25">
      <c r="C2" s="12"/>
    </row>
    <row r="5" spans="1:14" x14ac:dyDescent="0.25">
      <c r="A5" s="5" t="s">
        <v>434</v>
      </c>
      <c r="B5" s="5" t="s">
        <v>435</v>
      </c>
      <c r="C5" s="5" t="s">
        <v>0</v>
      </c>
      <c r="D5" s="6" t="s">
        <v>438</v>
      </c>
      <c r="E5" s="5" t="s">
        <v>436</v>
      </c>
      <c r="F5" s="5" t="s">
        <v>439</v>
      </c>
      <c r="G5" s="5" t="s">
        <v>449</v>
      </c>
      <c r="H5" s="5" t="s">
        <v>448</v>
      </c>
      <c r="I5" s="5" t="s">
        <v>447</v>
      </c>
      <c r="J5" s="5" t="s">
        <v>440</v>
      </c>
      <c r="K5" s="5" t="s">
        <v>1</v>
      </c>
      <c r="L5" s="5" t="s">
        <v>442</v>
      </c>
      <c r="M5" s="5" t="s">
        <v>441</v>
      </c>
      <c r="N5" s="5" t="s">
        <v>443</v>
      </c>
    </row>
    <row r="6" spans="1:14" x14ac:dyDescent="0.25">
      <c r="A6" s="1">
        <v>1</v>
      </c>
      <c r="B6" s="1" t="s">
        <v>74</v>
      </c>
      <c r="C6" s="1" t="s">
        <v>206</v>
      </c>
      <c r="D6" s="7">
        <v>5060</v>
      </c>
      <c r="E6" s="1" t="s">
        <v>414</v>
      </c>
      <c r="F6" s="3">
        <f ca="1">RANDBETWEEN(1,4)</f>
        <v>4</v>
      </c>
      <c r="G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6" s="2">
        <v>42248</v>
      </c>
      <c r="I6" s="2">
        <v>42248</v>
      </c>
      <c r="J6" s="1" t="str">
        <f>IF(Tabela14[[#This Row],[Data de Contratação2]]=Tabela14[[#This Row],[Da de Renovação]],"Em curso",IF(Tabela14[[#This Row],[Duração]]=4,"Renovar","Em curso"))</f>
        <v>Em curso</v>
      </c>
      <c r="K6" s="1" t="s">
        <v>8</v>
      </c>
      <c r="L6" s="1" t="str">
        <f t="shared" ref="L6:L69" ca="1" si="0">CHOOSE(RANDBETWEEN(1,4),"Averba","Valor alto","Rescendir","Alterar")</f>
        <v>Averba</v>
      </c>
      <c r="M6" s="1" t="str">
        <f t="shared" ref="M6:M69" ca="1" si="1">CHOOSE(RANDBETWEEN(1,4),"Aprovar","Renovar","Rescendir","Alterar")</f>
        <v>Rescendir</v>
      </c>
      <c r="N6" s="1" t="str">
        <f ca="1">CHOOSE(RANDBETWEEN(1,4),"Contratar","Renovar","Rescendir","Alterar")</f>
        <v>Contratar</v>
      </c>
    </row>
    <row r="7" spans="1:14" x14ac:dyDescent="0.25">
      <c r="A7" s="1">
        <f t="shared" ref="A7:A69" si="2">A6+1</f>
        <v>2</v>
      </c>
      <c r="B7" s="1" t="s">
        <v>79</v>
      </c>
      <c r="C7" s="1" t="s">
        <v>207</v>
      </c>
      <c r="D7" s="7">
        <v>3520</v>
      </c>
      <c r="E7" s="1" t="s">
        <v>414</v>
      </c>
      <c r="F7" s="3">
        <f t="shared" ref="F6:F69" ca="1" si="3">RANDBETWEEN(1,4)</f>
        <v>1</v>
      </c>
      <c r="G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" s="2">
        <v>42038</v>
      </c>
      <c r="I7" s="2">
        <v>42038</v>
      </c>
      <c r="J7" s="1" t="str">
        <f>IF(Tabela14[[#This Row],[Data de Contratação2]]=Tabela14[[#This Row],[Da de Renovação]],"Em curso",IF(Tabela14[[#This Row],[Duração]]=4,"Renovar","Em curso"))</f>
        <v>Em curso</v>
      </c>
      <c r="K7" s="1" t="s">
        <v>8</v>
      </c>
      <c r="L7" s="1" t="str">
        <f t="shared" ca="1" si="0"/>
        <v>Valor alto</v>
      </c>
      <c r="M7" s="1" t="str">
        <f t="shared" ca="1" si="1"/>
        <v>Renovar</v>
      </c>
      <c r="N7" s="1" t="str">
        <f t="shared" ref="N6:N69" ca="1" si="4">CHOOSE(RANDBETWEEN(1,4),"Contratar","Renovar","Rescendir","Alterar")</f>
        <v>Contratar</v>
      </c>
    </row>
    <row r="8" spans="1:14" x14ac:dyDescent="0.25">
      <c r="A8" s="1">
        <f t="shared" si="2"/>
        <v>3</v>
      </c>
      <c r="B8" s="1" t="s">
        <v>80</v>
      </c>
      <c r="C8" s="1" t="s">
        <v>208</v>
      </c>
      <c r="D8" s="7">
        <v>4400</v>
      </c>
      <c r="E8" s="1" t="s">
        <v>414</v>
      </c>
      <c r="F8" s="3">
        <f t="shared" ca="1" si="3"/>
        <v>2</v>
      </c>
      <c r="G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8" s="2">
        <v>42922</v>
      </c>
      <c r="I8" s="2">
        <v>42922</v>
      </c>
      <c r="J8" s="1" t="str">
        <f>IF(Tabela14[[#This Row],[Data de Contratação2]]=Tabela14[[#This Row],[Da de Renovação]],"Em curso",IF(Tabela14[[#This Row],[Duração]]=4,"Renovar","Em curso"))</f>
        <v>Em curso</v>
      </c>
      <c r="K8" s="1" t="s">
        <v>8</v>
      </c>
      <c r="L8" s="1" t="str">
        <f t="shared" ca="1" si="0"/>
        <v>Rescendir</v>
      </c>
      <c r="M8" s="1" t="str">
        <f t="shared" ca="1" si="1"/>
        <v>Renovar</v>
      </c>
      <c r="N8" s="1" t="str">
        <f t="shared" ca="1" si="4"/>
        <v>Rescendir</v>
      </c>
    </row>
    <row r="9" spans="1:14" x14ac:dyDescent="0.25">
      <c r="A9" s="1">
        <f t="shared" si="2"/>
        <v>4</v>
      </c>
      <c r="B9" s="1" t="s">
        <v>81</v>
      </c>
      <c r="C9" s="1" t="s">
        <v>209</v>
      </c>
      <c r="D9" s="7">
        <v>3960</v>
      </c>
      <c r="E9" s="1" t="s">
        <v>414</v>
      </c>
      <c r="F9" s="3">
        <f t="shared" ca="1" si="3"/>
        <v>3</v>
      </c>
      <c r="G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9" s="2">
        <v>43408</v>
      </c>
      <c r="I9" s="2">
        <v>45600</v>
      </c>
      <c r="J9" s="1" t="str">
        <f ca="1">IF(Tabela14[[#This Row],[Data de Contratação2]]=Tabela14[[#This Row],[Da de Renovação]],"Em curso",IF(Tabela14[[#This Row],[Duração]]=4,"Renovar","Em curso"))</f>
        <v>Em curso</v>
      </c>
      <c r="K9" s="1" t="s">
        <v>8</v>
      </c>
      <c r="L9" s="1" t="str">
        <f t="shared" ca="1" si="0"/>
        <v>Valor alto</v>
      </c>
      <c r="M9" s="1" t="str">
        <f t="shared" ca="1" si="1"/>
        <v>Rescendir</v>
      </c>
      <c r="N9" s="1" t="str">
        <f t="shared" ca="1" si="4"/>
        <v>Rescendir</v>
      </c>
    </row>
    <row r="10" spans="1:14" x14ac:dyDescent="0.25">
      <c r="A10" s="1">
        <f t="shared" si="2"/>
        <v>5</v>
      </c>
      <c r="B10" s="1" t="s">
        <v>75</v>
      </c>
      <c r="C10" s="1" t="s">
        <v>210</v>
      </c>
      <c r="D10" s="7">
        <v>3520</v>
      </c>
      <c r="E10" s="1" t="s">
        <v>414</v>
      </c>
      <c r="F10" s="3">
        <f t="shared" ca="1" si="3"/>
        <v>4</v>
      </c>
      <c r="G1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0" s="2">
        <v>43006</v>
      </c>
      <c r="I10" s="2">
        <v>43006</v>
      </c>
      <c r="J10" s="1" t="str">
        <f>IF(Tabela14[[#This Row],[Data de Contratação2]]=Tabela14[[#This Row],[Da de Renovação]],"Em curso",IF(Tabela14[[#This Row],[Duração]]=4,"Renovar","Em curso"))</f>
        <v>Em curso</v>
      </c>
      <c r="K10" s="1" t="s">
        <v>8</v>
      </c>
      <c r="L10" s="1" t="str">
        <f t="shared" ca="1" si="0"/>
        <v>Averba</v>
      </c>
      <c r="M10" s="1" t="str">
        <f t="shared" ca="1" si="1"/>
        <v>Aprovar</v>
      </c>
      <c r="N10" s="1" t="str">
        <f t="shared" ca="1" si="4"/>
        <v>Alterar</v>
      </c>
    </row>
    <row r="11" spans="1:14" x14ac:dyDescent="0.25">
      <c r="A11" s="1">
        <f t="shared" si="2"/>
        <v>6</v>
      </c>
      <c r="B11" s="1" t="s">
        <v>77</v>
      </c>
      <c r="C11" s="1" t="s">
        <v>211</v>
      </c>
      <c r="D11" s="7">
        <v>4400</v>
      </c>
      <c r="E11" s="1" t="s">
        <v>414</v>
      </c>
      <c r="F11" s="3">
        <f t="shared" ca="1" si="3"/>
        <v>3</v>
      </c>
      <c r="G1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1" s="2">
        <v>43073</v>
      </c>
      <c r="I11" s="2">
        <v>43073</v>
      </c>
      <c r="J11" s="1" t="str">
        <f>IF(Tabela14[[#This Row],[Data de Contratação2]]=Tabela14[[#This Row],[Da de Renovação]],"Em curso",IF(Tabela14[[#This Row],[Duração]]=4,"Renovar","Em curso"))</f>
        <v>Em curso</v>
      </c>
      <c r="K11" s="1" t="s">
        <v>8</v>
      </c>
      <c r="L11" s="1" t="str">
        <f t="shared" ca="1" si="0"/>
        <v>Rescendir</v>
      </c>
      <c r="M11" s="1" t="str">
        <f t="shared" ca="1" si="1"/>
        <v>Aprovar</v>
      </c>
      <c r="N11" s="1" t="str">
        <f t="shared" ca="1" si="4"/>
        <v>Contratar</v>
      </c>
    </row>
    <row r="12" spans="1:14" x14ac:dyDescent="0.25">
      <c r="A12" s="1">
        <f t="shared" si="2"/>
        <v>7</v>
      </c>
      <c r="B12" s="1" t="s">
        <v>413</v>
      </c>
      <c r="C12" s="1" t="s">
        <v>212</v>
      </c>
      <c r="D12" s="7">
        <v>3300</v>
      </c>
      <c r="E12" s="1" t="s">
        <v>414</v>
      </c>
      <c r="F12" s="3">
        <f t="shared" ca="1" si="3"/>
        <v>4</v>
      </c>
      <c r="G1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2" s="2">
        <v>42600</v>
      </c>
      <c r="I12" s="2">
        <v>42600</v>
      </c>
      <c r="J12" s="1" t="str">
        <f>IF(Tabela14[[#This Row],[Data de Contratação2]]=Tabela14[[#This Row],[Da de Renovação]],"Em curso",IF(Tabela14[[#This Row],[Duração]]=4,"Renovar","Em curso"))</f>
        <v>Em curso</v>
      </c>
      <c r="K12" s="1" t="s">
        <v>8</v>
      </c>
      <c r="L12" s="1" t="str">
        <f t="shared" ca="1" si="0"/>
        <v>Averba</v>
      </c>
      <c r="M12" s="1" t="str">
        <f t="shared" ca="1" si="1"/>
        <v>Aprovar</v>
      </c>
      <c r="N12" s="1" t="str">
        <f t="shared" ca="1" si="4"/>
        <v>Alterar</v>
      </c>
    </row>
    <row r="13" spans="1:14" x14ac:dyDescent="0.25">
      <c r="A13" s="1">
        <f t="shared" si="2"/>
        <v>8</v>
      </c>
      <c r="B13" s="1" t="s">
        <v>83</v>
      </c>
      <c r="C13" s="1" t="s">
        <v>213</v>
      </c>
      <c r="D13" s="7">
        <v>3520</v>
      </c>
      <c r="E13" s="1" t="s">
        <v>414</v>
      </c>
      <c r="F13" s="3">
        <f t="shared" ca="1" si="3"/>
        <v>3</v>
      </c>
      <c r="G1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3" s="2">
        <v>42922</v>
      </c>
      <c r="I13" s="2">
        <v>42922</v>
      </c>
      <c r="J13" s="1" t="str">
        <f>IF(Tabela14[[#This Row],[Data de Contratação2]]=Tabela14[[#This Row],[Da de Renovação]],"Em curso",IF(Tabela14[[#This Row],[Duração]]=4,"Renovar","Em curso"))</f>
        <v>Em curso</v>
      </c>
      <c r="K13" s="1" t="s">
        <v>8</v>
      </c>
      <c r="L13" s="1" t="str">
        <f t="shared" ca="1" si="0"/>
        <v>Alterar</v>
      </c>
      <c r="M13" s="1" t="str">
        <f t="shared" ca="1" si="1"/>
        <v>Alterar</v>
      </c>
      <c r="N13" s="1" t="str">
        <f t="shared" ca="1" si="4"/>
        <v>Renovar</v>
      </c>
    </row>
    <row r="14" spans="1:14" x14ac:dyDescent="0.25">
      <c r="A14" s="1">
        <f t="shared" si="2"/>
        <v>9</v>
      </c>
      <c r="B14" s="1" t="s">
        <v>87</v>
      </c>
      <c r="C14" s="1" t="s">
        <v>214</v>
      </c>
      <c r="D14" s="7">
        <v>5445</v>
      </c>
      <c r="E14" s="1" t="s">
        <v>414</v>
      </c>
      <c r="F14" s="3">
        <f t="shared" ca="1" si="3"/>
        <v>2</v>
      </c>
      <c r="G1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4" s="2">
        <v>43623</v>
      </c>
      <c r="I14" s="2">
        <v>43623</v>
      </c>
      <c r="J14" s="1" t="str">
        <f>IF(Tabela14[[#This Row],[Data de Contratação2]]=Tabela14[[#This Row],[Da de Renovação]],"Em curso",IF(Tabela14[[#This Row],[Duração]]=4,"Renovar","Em curso"))</f>
        <v>Em curso</v>
      </c>
      <c r="K14" s="1" t="s">
        <v>8</v>
      </c>
      <c r="L14" s="1" t="str">
        <f t="shared" ca="1" si="0"/>
        <v>Alterar</v>
      </c>
      <c r="M14" s="1" t="str">
        <f t="shared" ca="1" si="1"/>
        <v>Rescendir</v>
      </c>
      <c r="N14" s="1" t="str">
        <f t="shared" ca="1" si="4"/>
        <v>Contratar</v>
      </c>
    </row>
    <row r="15" spans="1:14" x14ac:dyDescent="0.25">
      <c r="A15" s="1">
        <f t="shared" si="2"/>
        <v>10</v>
      </c>
      <c r="B15" s="1" t="s">
        <v>85</v>
      </c>
      <c r="C15" s="1" t="s">
        <v>215</v>
      </c>
      <c r="D15" s="7">
        <v>4840</v>
      </c>
      <c r="E15" s="1" t="s">
        <v>414</v>
      </c>
      <c r="F15" s="3">
        <f t="shared" ca="1" si="3"/>
        <v>4</v>
      </c>
      <c r="G1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15" s="2">
        <v>42551</v>
      </c>
      <c r="I15" s="2">
        <v>42551</v>
      </c>
      <c r="J15" s="1" t="str">
        <f>IF(Tabela14[[#This Row],[Data de Contratação2]]=Tabela14[[#This Row],[Da de Renovação]],"Em curso",IF(Tabela14[[#This Row],[Duração]]=4,"Renovar","Em curso"))</f>
        <v>Em curso</v>
      </c>
      <c r="K15" s="1" t="s">
        <v>8</v>
      </c>
      <c r="L15" s="1" t="str">
        <f t="shared" ca="1" si="0"/>
        <v>Averba</v>
      </c>
      <c r="M15" s="1" t="str">
        <f t="shared" ca="1" si="1"/>
        <v>Aprovar</v>
      </c>
      <c r="N15" s="1" t="str">
        <f t="shared" ca="1" si="4"/>
        <v>Renovar</v>
      </c>
    </row>
    <row r="16" spans="1:14" x14ac:dyDescent="0.25">
      <c r="A16" s="1">
        <f t="shared" si="2"/>
        <v>11</v>
      </c>
      <c r="B16" s="1" t="s">
        <v>86</v>
      </c>
      <c r="C16" s="1" t="s">
        <v>216</v>
      </c>
      <c r="D16" s="7">
        <v>5280</v>
      </c>
      <c r="E16" s="1" t="s">
        <v>414</v>
      </c>
      <c r="F16" s="3">
        <f t="shared" ca="1" si="3"/>
        <v>1</v>
      </c>
      <c r="G1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" s="2">
        <v>42248</v>
      </c>
      <c r="I16" s="2">
        <v>42248</v>
      </c>
      <c r="J16" s="1" t="str">
        <f>IF(Tabela14[[#This Row],[Data de Contratação2]]=Tabela14[[#This Row],[Da de Renovação]],"Em curso",IF(Tabela14[[#This Row],[Duração]]=4,"Renovar","Em curso"))</f>
        <v>Em curso</v>
      </c>
      <c r="K16" s="1" t="s">
        <v>8</v>
      </c>
      <c r="L16" s="1" t="str">
        <f t="shared" ca="1" si="0"/>
        <v>Valor alto</v>
      </c>
      <c r="M16" s="1" t="str">
        <f t="shared" ca="1" si="1"/>
        <v>Renovar</v>
      </c>
      <c r="N16" s="1" t="str">
        <f t="shared" ca="1" si="4"/>
        <v>Alterar</v>
      </c>
    </row>
    <row r="17" spans="1:14" x14ac:dyDescent="0.25">
      <c r="A17" s="1">
        <f t="shared" si="2"/>
        <v>12</v>
      </c>
      <c r="B17" s="1" t="s">
        <v>88</v>
      </c>
      <c r="C17" s="1" t="s">
        <v>217</v>
      </c>
      <c r="D17" s="7">
        <v>3520</v>
      </c>
      <c r="E17" s="1" t="s">
        <v>414</v>
      </c>
      <c r="F17" s="3">
        <f t="shared" ca="1" si="3"/>
        <v>2</v>
      </c>
      <c r="G1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7" s="2">
        <v>42600</v>
      </c>
      <c r="I17" s="2">
        <v>42600</v>
      </c>
      <c r="J17" s="1" t="str">
        <f>IF(Tabela14[[#This Row],[Data de Contratação2]]=Tabela14[[#This Row],[Da de Renovação]],"Em curso",IF(Tabela14[[#This Row],[Duração]]=4,"Renovar","Em curso"))</f>
        <v>Em curso</v>
      </c>
      <c r="K17" s="1" t="s">
        <v>8</v>
      </c>
      <c r="L17" s="1" t="str">
        <f t="shared" ca="1" si="0"/>
        <v>Rescendir</v>
      </c>
      <c r="M17" s="1" t="str">
        <f t="shared" ca="1" si="1"/>
        <v>Renovar</v>
      </c>
      <c r="N17" s="1" t="str">
        <f t="shared" ca="1" si="4"/>
        <v>Alterar</v>
      </c>
    </row>
    <row r="18" spans="1:14" x14ac:dyDescent="0.25">
      <c r="A18" s="1">
        <f t="shared" si="2"/>
        <v>13</v>
      </c>
      <c r="B18" s="1" t="s">
        <v>91</v>
      </c>
      <c r="C18" s="1" t="s">
        <v>218</v>
      </c>
      <c r="D18" s="7">
        <v>4620</v>
      </c>
      <c r="E18" s="1" t="s">
        <v>414</v>
      </c>
      <c r="F18" s="3">
        <f t="shared" ca="1" si="3"/>
        <v>4</v>
      </c>
      <c r="G1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8" s="2">
        <v>41912</v>
      </c>
      <c r="I18" s="2">
        <v>41912</v>
      </c>
      <c r="J18" s="1" t="str">
        <f>IF(Tabela14[[#This Row],[Data de Contratação2]]=Tabela14[[#This Row],[Da de Renovação]],"Em curso",IF(Tabela14[[#This Row],[Duração]]=4,"Renovar","Em curso"))</f>
        <v>Em curso</v>
      </c>
      <c r="K18" s="1" t="s">
        <v>8</v>
      </c>
      <c r="L18" s="1" t="str">
        <f t="shared" ca="1" si="0"/>
        <v>Rescendir</v>
      </c>
      <c r="M18" s="1" t="str">
        <f t="shared" ca="1" si="1"/>
        <v>Alterar</v>
      </c>
      <c r="N18" s="1" t="str">
        <f t="shared" ca="1" si="4"/>
        <v>Contratar</v>
      </c>
    </row>
    <row r="19" spans="1:14" x14ac:dyDescent="0.25">
      <c r="A19" s="1">
        <f t="shared" si="2"/>
        <v>14</v>
      </c>
      <c r="B19" s="1" t="s">
        <v>90</v>
      </c>
      <c r="C19" s="1" t="s">
        <v>219</v>
      </c>
      <c r="D19" s="7">
        <v>5060</v>
      </c>
      <c r="E19" s="1" t="s">
        <v>414</v>
      </c>
      <c r="F19" s="3">
        <f t="shared" ca="1" si="3"/>
        <v>1</v>
      </c>
      <c r="G1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9" s="2">
        <v>42684</v>
      </c>
      <c r="I19" s="2">
        <v>42684</v>
      </c>
      <c r="J19" s="1" t="str">
        <f>IF(Tabela14[[#This Row],[Data de Contratação2]]=Tabela14[[#This Row],[Da de Renovação]],"Em curso",IF(Tabela14[[#This Row],[Duração]]=4,"Renovar","Em curso"))</f>
        <v>Em curso</v>
      </c>
      <c r="K19" s="1" t="s">
        <v>8</v>
      </c>
      <c r="L19" s="1" t="str">
        <f t="shared" ca="1" si="0"/>
        <v>Averba</v>
      </c>
      <c r="M19" s="1" t="str">
        <f t="shared" ca="1" si="1"/>
        <v>Aprovar</v>
      </c>
      <c r="N19" s="1" t="str">
        <f t="shared" ca="1" si="4"/>
        <v>Rescendir</v>
      </c>
    </row>
    <row r="20" spans="1:14" x14ac:dyDescent="0.25">
      <c r="A20" s="1">
        <f t="shared" si="2"/>
        <v>15</v>
      </c>
      <c r="B20" s="1" t="s">
        <v>84</v>
      </c>
      <c r="C20" s="1" t="s">
        <v>220</v>
      </c>
      <c r="D20" s="7">
        <v>3740</v>
      </c>
      <c r="E20" s="1" t="s">
        <v>414</v>
      </c>
      <c r="F20" s="3">
        <f t="shared" ca="1" si="3"/>
        <v>4</v>
      </c>
      <c r="G2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20" s="2">
        <v>42588</v>
      </c>
      <c r="I20" s="2">
        <v>42588</v>
      </c>
      <c r="J20" s="1" t="str">
        <f>IF(Tabela14[[#This Row],[Data de Contratação2]]=Tabela14[[#This Row],[Da de Renovação]],"Em curso",IF(Tabela14[[#This Row],[Duração]]=4,"Renovar","Em curso"))</f>
        <v>Em curso</v>
      </c>
      <c r="K20" s="1" t="s">
        <v>8</v>
      </c>
      <c r="L20" s="1" t="str">
        <f t="shared" ca="1" si="0"/>
        <v>Averba</v>
      </c>
      <c r="M20" s="1" t="str">
        <f t="shared" ca="1" si="1"/>
        <v>Aprovar</v>
      </c>
      <c r="N20" s="1" t="str">
        <f t="shared" ca="1" si="4"/>
        <v>Rescendir</v>
      </c>
    </row>
    <row r="21" spans="1:14" x14ac:dyDescent="0.25">
      <c r="A21" s="1">
        <f t="shared" si="2"/>
        <v>16</v>
      </c>
      <c r="B21" s="1" t="s">
        <v>93</v>
      </c>
      <c r="C21" s="1" t="s">
        <v>221</v>
      </c>
      <c r="D21" s="7">
        <v>3520</v>
      </c>
      <c r="E21" s="1" t="s">
        <v>414</v>
      </c>
      <c r="F21" s="3">
        <f t="shared" ca="1" si="3"/>
        <v>3</v>
      </c>
      <c r="G2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21" s="2">
        <v>42054</v>
      </c>
      <c r="I21" s="2">
        <v>42054</v>
      </c>
      <c r="J21" s="1" t="str">
        <f>IF(Tabela14[[#This Row],[Data de Contratação2]]=Tabela14[[#This Row],[Da de Renovação]],"Em curso",IF(Tabela14[[#This Row],[Duração]]=4,"Renovar","Em curso"))</f>
        <v>Em curso</v>
      </c>
      <c r="K21" s="1" t="s">
        <v>8</v>
      </c>
      <c r="L21" s="1" t="str">
        <f t="shared" ca="1" si="0"/>
        <v>Averba</v>
      </c>
      <c r="M21" s="1" t="str">
        <f t="shared" ca="1" si="1"/>
        <v>Renovar</v>
      </c>
      <c r="N21" s="1" t="str">
        <f t="shared" ca="1" si="4"/>
        <v>Renovar</v>
      </c>
    </row>
    <row r="22" spans="1:14" x14ac:dyDescent="0.25">
      <c r="A22" s="1">
        <f t="shared" si="2"/>
        <v>17</v>
      </c>
      <c r="B22" s="1" t="s">
        <v>94</v>
      </c>
      <c r="C22" s="1" t="s">
        <v>222</v>
      </c>
      <c r="D22" s="7">
        <v>5280</v>
      </c>
      <c r="E22" s="1" t="s">
        <v>414</v>
      </c>
      <c r="F22" s="3">
        <f t="shared" ca="1" si="3"/>
        <v>4</v>
      </c>
      <c r="G2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22" s="2">
        <v>42418</v>
      </c>
      <c r="I22" s="2">
        <v>42418</v>
      </c>
      <c r="J22" s="1" t="str">
        <f>IF(Tabela14[[#This Row],[Data de Contratação2]]=Tabela14[[#This Row],[Da de Renovação]],"Em curso",IF(Tabela14[[#This Row],[Duração]]=4,"Renovar","Em curso"))</f>
        <v>Em curso</v>
      </c>
      <c r="K22" s="1" t="s">
        <v>8</v>
      </c>
      <c r="L22" s="1" t="str">
        <f t="shared" ca="1" si="0"/>
        <v>Rescendir</v>
      </c>
      <c r="M22" s="1" t="str">
        <f t="shared" ca="1" si="1"/>
        <v>Rescendir</v>
      </c>
      <c r="N22" s="1" t="str">
        <f t="shared" ca="1" si="4"/>
        <v>Alterar</v>
      </c>
    </row>
    <row r="23" spans="1:14" x14ac:dyDescent="0.25">
      <c r="A23" s="1">
        <f t="shared" si="2"/>
        <v>18</v>
      </c>
      <c r="B23" s="1" t="s">
        <v>95</v>
      </c>
      <c r="C23" s="1" t="s">
        <v>223</v>
      </c>
      <c r="D23" s="7">
        <v>3300</v>
      </c>
      <c r="E23" s="1" t="s">
        <v>414</v>
      </c>
      <c r="F23" s="3">
        <f t="shared" ca="1" si="3"/>
        <v>4</v>
      </c>
      <c r="G2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23" s="2">
        <v>42588</v>
      </c>
      <c r="I23" s="2">
        <v>42588</v>
      </c>
      <c r="J23" s="1" t="str">
        <f>IF(Tabela14[[#This Row],[Data de Contratação2]]=Tabela14[[#This Row],[Da de Renovação]],"Em curso",IF(Tabela14[[#This Row],[Duração]]=4,"Renovar","Em curso"))</f>
        <v>Em curso</v>
      </c>
      <c r="K23" s="1" t="s">
        <v>8</v>
      </c>
      <c r="L23" s="1" t="str">
        <f t="shared" ca="1" si="0"/>
        <v>Alterar</v>
      </c>
      <c r="M23" s="1" t="str">
        <f t="shared" ca="1" si="1"/>
        <v>Renovar</v>
      </c>
      <c r="N23" s="1" t="str">
        <f t="shared" ca="1" si="4"/>
        <v>Alterar</v>
      </c>
    </row>
    <row r="24" spans="1:14" x14ac:dyDescent="0.25">
      <c r="A24" s="1">
        <f t="shared" si="2"/>
        <v>19</v>
      </c>
      <c r="B24" s="1" t="s">
        <v>99</v>
      </c>
      <c r="C24" s="1" t="s">
        <v>224</v>
      </c>
      <c r="D24" s="7">
        <v>3685</v>
      </c>
      <c r="E24" s="1" t="s">
        <v>414</v>
      </c>
      <c r="F24" s="3">
        <f t="shared" ca="1" si="3"/>
        <v>2</v>
      </c>
      <c r="G2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24" s="2">
        <v>42038</v>
      </c>
      <c r="I24" s="2">
        <v>42038</v>
      </c>
      <c r="J24" s="1" t="str">
        <f>IF(Tabela14[[#This Row],[Data de Contratação2]]=Tabela14[[#This Row],[Da de Renovação]],"Em curso",IF(Tabela14[[#This Row],[Duração]]=4,"Renovar","Em curso"))</f>
        <v>Em curso</v>
      </c>
      <c r="K24" s="1" t="s">
        <v>8</v>
      </c>
      <c r="L24" s="1" t="str">
        <f t="shared" ca="1" si="0"/>
        <v>Alterar</v>
      </c>
      <c r="M24" s="1" t="str">
        <f t="shared" ca="1" si="1"/>
        <v>Rescendir</v>
      </c>
      <c r="N24" s="1" t="str">
        <f t="shared" ca="1" si="4"/>
        <v>Renovar</v>
      </c>
    </row>
    <row r="25" spans="1:14" x14ac:dyDescent="0.25">
      <c r="A25" s="1">
        <f t="shared" si="2"/>
        <v>20</v>
      </c>
      <c r="B25" s="1" t="s">
        <v>96</v>
      </c>
      <c r="C25" s="1" t="s">
        <v>225</v>
      </c>
      <c r="D25" s="7">
        <v>4180</v>
      </c>
      <c r="E25" s="1" t="s">
        <v>414</v>
      </c>
      <c r="F25" s="3">
        <f t="shared" ca="1" si="3"/>
        <v>2</v>
      </c>
      <c r="G2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25" s="2">
        <v>43188</v>
      </c>
      <c r="I25" s="2">
        <v>43188</v>
      </c>
      <c r="J25" s="1" t="str">
        <f>IF(Tabela14[[#This Row],[Data de Contratação2]]=Tabela14[[#This Row],[Da de Renovação]],"Em curso",IF(Tabela14[[#This Row],[Duração]]=4,"Renovar","Em curso"))</f>
        <v>Em curso</v>
      </c>
      <c r="K25" s="1" t="s">
        <v>8</v>
      </c>
      <c r="L25" s="1" t="str">
        <f t="shared" ca="1" si="0"/>
        <v>Valor alto</v>
      </c>
      <c r="M25" s="1" t="str">
        <f t="shared" ca="1" si="1"/>
        <v>Alterar</v>
      </c>
      <c r="N25" s="1" t="str">
        <f t="shared" ca="1" si="4"/>
        <v>Alterar</v>
      </c>
    </row>
    <row r="26" spans="1:14" x14ac:dyDescent="0.25">
      <c r="A26" s="1">
        <f t="shared" si="2"/>
        <v>21</v>
      </c>
      <c r="B26" s="1" t="s">
        <v>97</v>
      </c>
      <c r="C26" s="1" t="s">
        <v>226</v>
      </c>
      <c r="D26" s="7">
        <v>3300</v>
      </c>
      <c r="E26" s="1" t="s">
        <v>414</v>
      </c>
      <c r="F26" s="3">
        <f t="shared" ca="1" si="3"/>
        <v>3</v>
      </c>
      <c r="G2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26" s="2">
        <v>42041</v>
      </c>
      <c r="I26" s="2">
        <v>42041</v>
      </c>
      <c r="J26" s="1" t="str">
        <f>IF(Tabela14[[#This Row],[Data de Contratação2]]=Tabela14[[#This Row],[Da de Renovação]],"Em curso",IF(Tabela14[[#This Row],[Duração]]=4,"Renovar","Em curso"))</f>
        <v>Em curso</v>
      </c>
      <c r="K26" s="1" t="s">
        <v>8</v>
      </c>
      <c r="L26" s="1" t="str">
        <f t="shared" ca="1" si="0"/>
        <v>Averba</v>
      </c>
      <c r="M26" s="1" t="str">
        <f t="shared" ca="1" si="1"/>
        <v>Rescendir</v>
      </c>
      <c r="N26" s="1" t="str">
        <f t="shared" ca="1" si="4"/>
        <v>Renovar</v>
      </c>
    </row>
    <row r="27" spans="1:14" x14ac:dyDescent="0.25">
      <c r="A27" s="1">
        <f t="shared" si="2"/>
        <v>22</v>
      </c>
      <c r="B27" s="1" t="s">
        <v>101</v>
      </c>
      <c r="C27" s="1" t="s">
        <v>227</v>
      </c>
      <c r="D27" s="7">
        <v>4400</v>
      </c>
      <c r="E27" s="1" t="s">
        <v>414</v>
      </c>
      <c r="F27" s="3">
        <f t="shared" ca="1" si="3"/>
        <v>2</v>
      </c>
      <c r="G2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27" s="2">
        <v>42135</v>
      </c>
      <c r="I27" s="2">
        <v>42135</v>
      </c>
      <c r="J27" s="1" t="str">
        <f>IF(Tabela14[[#This Row],[Data de Contratação2]]=Tabela14[[#This Row],[Da de Renovação]],"Em curso",IF(Tabela14[[#This Row],[Duração]]=4,"Renovar","Em curso"))</f>
        <v>Em curso</v>
      </c>
      <c r="K27" s="1" t="s">
        <v>8</v>
      </c>
      <c r="L27" s="1" t="str">
        <f t="shared" ca="1" si="0"/>
        <v>Alterar</v>
      </c>
      <c r="M27" s="1" t="str">
        <f t="shared" ca="1" si="1"/>
        <v>Alterar</v>
      </c>
      <c r="N27" s="1" t="str">
        <f t="shared" ca="1" si="4"/>
        <v>Renovar</v>
      </c>
    </row>
    <row r="28" spans="1:14" x14ac:dyDescent="0.25">
      <c r="A28" s="1">
        <f t="shared" si="2"/>
        <v>23</v>
      </c>
      <c r="B28" s="1" t="s">
        <v>98</v>
      </c>
      <c r="C28" s="1" t="s">
        <v>228</v>
      </c>
      <c r="D28" s="7">
        <v>3740</v>
      </c>
      <c r="E28" s="1" t="s">
        <v>414</v>
      </c>
      <c r="F28" s="3">
        <f t="shared" ca="1" si="3"/>
        <v>2</v>
      </c>
      <c r="G2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28" s="2">
        <v>42254</v>
      </c>
      <c r="I28" s="2">
        <v>42254</v>
      </c>
      <c r="J28" s="1" t="str">
        <f>IF(Tabela14[[#This Row],[Data de Contratação2]]=Tabela14[[#This Row],[Da de Renovação]],"Em curso",IF(Tabela14[[#This Row],[Duração]]=4,"Renovar","Em curso"))</f>
        <v>Em curso</v>
      </c>
      <c r="K28" s="1" t="s">
        <v>8</v>
      </c>
      <c r="L28" s="1" t="str">
        <f t="shared" ca="1" si="0"/>
        <v>Alterar</v>
      </c>
      <c r="M28" s="1" t="str">
        <f t="shared" ca="1" si="1"/>
        <v>Aprovar</v>
      </c>
      <c r="N28" s="1" t="str">
        <f t="shared" ca="1" si="4"/>
        <v>Rescendir</v>
      </c>
    </row>
    <row r="29" spans="1:14" x14ac:dyDescent="0.25">
      <c r="A29" s="1">
        <f t="shared" si="2"/>
        <v>24</v>
      </c>
      <c r="B29" s="1" t="s">
        <v>103</v>
      </c>
      <c r="C29" s="1" t="s">
        <v>229</v>
      </c>
      <c r="D29" s="7">
        <v>4400</v>
      </c>
      <c r="E29" s="1" t="s">
        <v>414</v>
      </c>
      <c r="F29" s="3">
        <f t="shared" ca="1" si="3"/>
        <v>3</v>
      </c>
      <c r="G2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29" s="2">
        <v>41789</v>
      </c>
      <c r="I29" s="2">
        <v>41789</v>
      </c>
      <c r="J29" s="1" t="str">
        <f>IF(Tabela14[[#This Row],[Data de Contratação2]]=Tabela14[[#This Row],[Da de Renovação]],"Em curso",IF(Tabela14[[#This Row],[Duração]]=4,"Renovar","Em curso"))</f>
        <v>Em curso</v>
      </c>
      <c r="K29" s="1" t="s">
        <v>8</v>
      </c>
      <c r="L29" s="1" t="str">
        <f t="shared" ca="1" si="0"/>
        <v>Valor alto</v>
      </c>
      <c r="M29" s="1" t="str">
        <f t="shared" ca="1" si="1"/>
        <v>Aprovar</v>
      </c>
      <c r="N29" s="1" t="str">
        <f t="shared" ca="1" si="4"/>
        <v>Alterar</v>
      </c>
    </row>
    <row r="30" spans="1:14" x14ac:dyDescent="0.25">
      <c r="A30" s="1">
        <f t="shared" si="2"/>
        <v>25</v>
      </c>
      <c r="B30" s="1" t="s">
        <v>27</v>
      </c>
      <c r="C30" s="1" t="s">
        <v>230</v>
      </c>
      <c r="D30" s="7">
        <v>4180</v>
      </c>
      <c r="E30" s="1" t="s">
        <v>414</v>
      </c>
      <c r="F30" s="3">
        <f t="shared" ca="1" si="3"/>
        <v>3</v>
      </c>
      <c r="G3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30" s="2">
        <v>42588</v>
      </c>
      <c r="I30" s="2">
        <v>42588</v>
      </c>
      <c r="J30" s="1" t="str">
        <f>IF(Tabela14[[#This Row],[Data de Contratação2]]=Tabela14[[#This Row],[Da de Renovação]],"Em curso",IF(Tabela14[[#This Row],[Duração]]=4,"Renovar","Em curso"))</f>
        <v>Em curso</v>
      </c>
      <c r="K30" s="1" t="s">
        <v>8</v>
      </c>
      <c r="L30" s="1" t="str">
        <f t="shared" ca="1" si="0"/>
        <v>Averba</v>
      </c>
      <c r="M30" s="1" t="str">
        <f t="shared" ca="1" si="1"/>
        <v>Renovar</v>
      </c>
      <c r="N30" s="1" t="str">
        <f t="shared" ca="1" si="4"/>
        <v>Alterar</v>
      </c>
    </row>
    <row r="31" spans="1:14" x14ac:dyDescent="0.25">
      <c r="A31" s="1">
        <f t="shared" si="2"/>
        <v>26</v>
      </c>
      <c r="B31" s="1" t="s">
        <v>100</v>
      </c>
      <c r="C31" s="1" t="s">
        <v>231</v>
      </c>
      <c r="D31" s="7">
        <v>3740</v>
      </c>
      <c r="E31" s="1" t="s">
        <v>414</v>
      </c>
      <c r="F31" s="3">
        <f t="shared" ca="1" si="3"/>
        <v>3</v>
      </c>
      <c r="G3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31" s="2">
        <v>40308</v>
      </c>
      <c r="I31" s="2">
        <v>40308</v>
      </c>
      <c r="J31" s="1" t="str">
        <f>IF(Tabela14[[#This Row],[Data de Contratação2]]=Tabela14[[#This Row],[Da de Renovação]],"Em curso",IF(Tabela14[[#This Row],[Duração]]=4,"Renovar","Em curso"))</f>
        <v>Em curso</v>
      </c>
      <c r="K31" s="1" t="s">
        <v>8</v>
      </c>
      <c r="L31" s="1" t="str">
        <f t="shared" ca="1" si="0"/>
        <v>Valor alto</v>
      </c>
      <c r="M31" s="1" t="str">
        <f t="shared" ca="1" si="1"/>
        <v>Aprovar</v>
      </c>
      <c r="N31" s="1" t="str">
        <f t="shared" ca="1" si="4"/>
        <v>Renovar</v>
      </c>
    </row>
    <row r="32" spans="1:14" x14ac:dyDescent="0.25">
      <c r="A32" s="1">
        <f t="shared" si="2"/>
        <v>27</v>
      </c>
      <c r="B32" s="1" t="s">
        <v>105</v>
      </c>
      <c r="C32" s="1" t="s">
        <v>232</v>
      </c>
      <c r="D32" s="7">
        <v>3740</v>
      </c>
      <c r="E32" s="1" t="s">
        <v>414</v>
      </c>
      <c r="F32" s="3">
        <f t="shared" ca="1" si="3"/>
        <v>3</v>
      </c>
      <c r="G3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32" s="2">
        <v>42886</v>
      </c>
      <c r="I32" s="2">
        <v>42886</v>
      </c>
      <c r="J32" s="1" t="str">
        <f>IF(Tabela14[[#This Row],[Data de Contratação2]]=Tabela14[[#This Row],[Da de Renovação]],"Em curso",IF(Tabela14[[#This Row],[Duração]]=4,"Renovar","Em curso"))</f>
        <v>Em curso</v>
      </c>
      <c r="K32" s="1" t="s">
        <v>8</v>
      </c>
      <c r="L32" s="1" t="str">
        <f t="shared" ca="1" si="0"/>
        <v>Rescendir</v>
      </c>
      <c r="M32" s="1" t="str">
        <f t="shared" ca="1" si="1"/>
        <v>Renovar</v>
      </c>
      <c r="N32" s="1" t="str">
        <f t="shared" ca="1" si="4"/>
        <v>Rescendir</v>
      </c>
    </row>
    <row r="33" spans="1:14" x14ac:dyDescent="0.25">
      <c r="A33" s="1">
        <f t="shared" si="2"/>
        <v>28</v>
      </c>
      <c r="B33" s="1" t="s">
        <v>108</v>
      </c>
      <c r="C33" s="1" t="s">
        <v>233</v>
      </c>
      <c r="D33" s="7">
        <v>4840</v>
      </c>
      <c r="E33" s="1" t="s">
        <v>414</v>
      </c>
      <c r="F33" s="3">
        <f t="shared" ca="1" si="3"/>
        <v>2</v>
      </c>
      <c r="G3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33" s="2">
        <v>42782</v>
      </c>
      <c r="I33" s="2">
        <v>42782</v>
      </c>
      <c r="J33" s="1" t="str">
        <f>IF(Tabela14[[#This Row],[Data de Contratação2]]=Tabela14[[#This Row],[Da de Renovação]],"Em curso",IF(Tabela14[[#This Row],[Duração]]=4,"Renovar","Em curso"))</f>
        <v>Em curso</v>
      </c>
      <c r="K33" s="1" t="s">
        <v>8</v>
      </c>
      <c r="L33" s="1" t="str">
        <f t="shared" ca="1" si="0"/>
        <v>Alterar</v>
      </c>
      <c r="M33" s="1" t="str">
        <f t="shared" ca="1" si="1"/>
        <v>Renovar</v>
      </c>
      <c r="N33" s="1" t="str">
        <f t="shared" ca="1" si="4"/>
        <v>Rescendir</v>
      </c>
    </row>
    <row r="34" spans="1:14" x14ac:dyDescent="0.25">
      <c r="A34" s="1">
        <f t="shared" si="2"/>
        <v>29</v>
      </c>
      <c r="B34" s="1" t="s">
        <v>110</v>
      </c>
      <c r="C34" s="1" t="s">
        <v>234</v>
      </c>
      <c r="D34" s="7">
        <v>3300</v>
      </c>
      <c r="E34" s="1" t="s">
        <v>414</v>
      </c>
      <c r="F34" s="3">
        <f t="shared" ca="1" si="3"/>
        <v>2</v>
      </c>
      <c r="G3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34" s="2">
        <v>43006</v>
      </c>
      <c r="I34" s="2">
        <v>43006</v>
      </c>
      <c r="J34" s="1" t="str">
        <f>IF(Tabela14[[#This Row],[Data de Contratação2]]=Tabela14[[#This Row],[Da de Renovação]],"Em curso",IF(Tabela14[[#This Row],[Duração]]=4,"Renovar","Em curso"))</f>
        <v>Em curso</v>
      </c>
      <c r="K34" s="1" t="s">
        <v>8</v>
      </c>
      <c r="L34" s="1" t="str">
        <f t="shared" ca="1" si="0"/>
        <v>Rescendir</v>
      </c>
      <c r="M34" s="1" t="str">
        <f t="shared" ca="1" si="1"/>
        <v>Aprovar</v>
      </c>
      <c r="N34" s="1" t="str">
        <f t="shared" ca="1" si="4"/>
        <v>Rescendir</v>
      </c>
    </row>
    <row r="35" spans="1:14" x14ac:dyDescent="0.25">
      <c r="A35" s="1">
        <f t="shared" si="2"/>
        <v>30</v>
      </c>
      <c r="B35" s="1" t="s">
        <v>111</v>
      </c>
      <c r="C35" s="1" t="s">
        <v>235</v>
      </c>
      <c r="D35" s="7">
        <v>4620</v>
      </c>
      <c r="E35" s="1" t="s">
        <v>414</v>
      </c>
      <c r="F35" s="3">
        <f t="shared" ca="1" si="3"/>
        <v>4</v>
      </c>
      <c r="G3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35" s="2">
        <v>40725</v>
      </c>
      <c r="I35" s="2">
        <v>40725</v>
      </c>
      <c r="J35" s="1" t="str">
        <f>IF(Tabela14[[#This Row],[Data de Contratação2]]=Tabela14[[#This Row],[Da de Renovação]],"Em curso",IF(Tabela14[[#This Row],[Duração]]=4,"Renovar","Em curso"))</f>
        <v>Em curso</v>
      </c>
      <c r="K35" s="1" t="s">
        <v>8</v>
      </c>
      <c r="L35" s="1" t="str">
        <f t="shared" ca="1" si="0"/>
        <v>Rescendir</v>
      </c>
      <c r="M35" s="1" t="str">
        <f t="shared" ca="1" si="1"/>
        <v>Alterar</v>
      </c>
      <c r="N35" s="1" t="str">
        <f t="shared" ca="1" si="4"/>
        <v>Contratar</v>
      </c>
    </row>
    <row r="36" spans="1:14" x14ac:dyDescent="0.25">
      <c r="A36" s="1">
        <f t="shared" si="2"/>
        <v>31</v>
      </c>
      <c r="B36" s="1" t="s">
        <v>113</v>
      </c>
      <c r="C36" s="1" t="s">
        <v>236</v>
      </c>
      <c r="D36" s="7">
        <v>4840</v>
      </c>
      <c r="E36" s="1" t="s">
        <v>414</v>
      </c>
      <c r="F36" s="3">
        <f t="shared" ca="1" si="3"/>
        <v>3</v>
      </c>
      <c r="G3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36" s="2">
        <v>41732</v>
      </c>
      <c r="I36" s="2">
        <v>41732</v>
      </c>
      <c r="J36" s="1" t="str">
        <f>IF(Tabela14[[#This Row],[Data de Contratação2]]=Tabela14[[#This Row],[Da de Renovação]],"Em curso",IF(Tabela14[[#This Row],[Duração]]=4,"Renovar","Em curso"))</f>
        <v>Em curso</v>
      </c>
      <c r="K36" s="1" t="s">
        <v>8</v>
      </c>
      <c r="L36" s="1" t="str">
        <f t="shared" ca="1" si="0"/>
        <v>Averba</v>
      </c>
      <c r="M36" s="1" t="str">
        <f t="shared" ca="1" si="1"/>
        <v>Rescendir</v>
      </c>
      <c r="N36" s="1" t="str">
        <f t="shared" ca="1" si="4"/>
        <v>Alterar</v>
      </c>
    </row>
    <row r="37" spans="1:14" x14ac:dyDescent="0.25">
      <c r="A37" s="1">
        <f t="shared" si="2"/>
        <v>32</v>
      </c>
      <c r="B37" s="1" t="s">
        <v>115</v>
      </c>
      <c r="C37" s="1" t="s">
        <v>237</v>
      </c>
      <c r="D37" s="7">
        <v>4290</v>
      </c>
      <c r="E37" s="1" t="s">
        <v>414</v>
      </c>
      <c r="F37" s="3">
        <f t="shared" ca="1" si="3"/>
        <v>3</v>
      </c>
      <c r="G3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37" s="2">
        <v>43073</v>
      </c>
      <c r="I37" s="2">
        <v>43073</v>
      </c>
      <c r="J37" s="1" t="str">
        <f>IF(Tabela14[[#This Row],[Data de Contratação2]]=Tabela14[[#This Row],[Da de Renovação]],"Em curso",IF(Tabela14[[#This Row],[Duração]]=4,"Renovar","Em curso"))</f>
        <v>Em curso</v>
      </c>
      <c r="K37" s="1" t="s">
        <v>8</v>
      </c>
      <c r="L37" s="1" t="str">
        <f t="shared" ca="1" si="0"/>
        <v>Rescendir</v>
      </c>
      <c r="M37" s="1" t="str">
        <f t="shared" ca="1" si="1"/>
        <v>Rescendir</v>
      </c>
      <c r="N37" s="1" t="str">
        <f t="shared" ca="1" si="4"/>
        <v>Rescendir</v>
      </c>
    </row>
    <row r="38" spans="1:14" x14ac:dyDescent="0.25">
      <c r="A38" s="1">
        <f t="shared" si="2"/>
        <v>33</v>
      </c>
      <c r="B38" s="1" t="s">
        <v>117</v>
      </c>
      <c r="C38" s="1" t="s">
        <v>238</v>
      </c>
      <c r="D38" s="7">
        <v>3300</v>
      </c>
      <c r="E38" s="1" t="s">
        <v>414</v>
      </c>
      <c r="F38" s="3">
        <f t="shared" ca="1" si="3"/>
        <v>2</v>
      </c>
      <c r="G3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38" s="2">
        <v>42041</v>
      </c>
      <c r="I38" s="2">
        <v>42041</v>
      </c>
      <c r="J38" s="1" t="str">
        <f>IF(Tabela14[[#This Row],[Data de Contratação2]]=Tabela14[[#This Row],[Da de Renovação]],"Em curso",IF(Tabela14[[#This Row],[Duração]]=4,"Renovar","Em curso"))</f>
        <v>Em curso</v>
      </c>
      <c r="K38" s="1" t="s">
        <v>8</v>
      </c>
      <c r="L38" s="1" t="str">
        <f t="shared" ca="1" si="0"/>
        <v>Valor alto</v>
      </c>
      <c r="M38" s="1" t="str">
        <f t="shared" ca="1" si="1"/>
        <v>Alterar</v>
      </c>
      <c r="N38" s="1" t="str">
        <f t="shared" ca="1" si="4"/>
        <v>Renovar</v>
      </c>
    </row>
    <row r="39" spans="1:14" x14ac:dyDescent="0.25">
      <c r="A39" s="1">
        <f t="shared" si="2"/>
        <v>34</v>
      </c>
      <c r="B39" s="1" t="s">
        <v>102</v>
      </c>
      <c r="C39" s="1" t="s">
        <v>239</v>
      </c>
      <c r="D39" s="7">
        <v>4620</v>
      </c>
      <c r="E39" s="1" t="s">
        <v>414</v>
      </c>
      <c r="F39" s="3">
        <f t="shared" ca="1" si="3"/>
        <v>1</v>
      </c>
      <c r="G3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39" s="2">
        <v>42138</v>
      </c>
      <c r="I39" s="2">
        <v>42138</v>
      </c>
      <c r="J39" s="1" t="str">
        <f>IF(Tabela14[[#This Row],[Data de Contratação2]]=Tabela14[[#This Row],[Da de Renovação]],"Em curso",IF(Tabela14[[#This Row],[Duração]]=4,"Renovar","Em curso"))</f>
        <v>Em curso</v>
      </c>
      <c r="K39" s="1" t="s">
        <v>8</v>
      </c>
      <c r="L39" s="1" t="str">
        <f t="shared" ca="1" si="0"/>
        <v>Alterar</v>
      </c>
      <c r="M39" s="1" t="str">
        <f t="shared" ca="1" si="1"/>
        <v>Renovar</v>
      </c>
      <c r="N39" s="1" t="str">
        <f t="shared" ca="1" si="4"/>
        <v>Contratar</v>
      </c>
    </row>
    <row r="40" spans="1:14" x14ac:dyDescent="0.25">
      <c r="A40" s="1">
        <f t="shared" si="2"/>
        <v>35</v>
      </c>
      <c r="B40" s="1" t="s">
        <v>123</v>
      </c>
      <c r="C40" s="1" t="s">
        <v>240</v>
      </c>
      <c r="D40" s="7">
        <v>3300</v>
      </c>
      <c r="E40" s="1" t="s">
        <v>414</v>
      </c>
      <c r="F40" s="3">
        <f t="shared" ca="1" si="3"/>
        <v>4</v>
      </c>
      <c r="G4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40" s="2">
        <v>42373</v>
      </c>
      <c r="I40" s="2">
        <v>42373</v>
      </c>
      <c r="J40" s="1" t="str">
        <f>IF(Tabela14[[#This Row],[Data de Contratação2]]=Tabela14[[#This Row],[Da de Renovação]],"Em curso",IF(Tabela14[[#This Row],[Duração]]=4,"Renovar","Em curso"))</f>
        <v>Em curso</v>
      </c>
      <c r="K40" s="1" t="s">
        <v>8</v>
      </c>
      <c r="L40" s="1" t="str">
        <f t="shared" ca="1" si="0"/>
        <v>Valor alto</v>
      </c>
      <c r="M40" s="1" t="str">
        <f t="shared" ca="1" si="1"/>
        <v>Renovar</v>
      </c>
      <c r="N40" s="1" t="str">
        <f t="shared" ca="1" si="4"/>
        <v>Renovar</v>
      </c>
    </row>
    <row r="41" spans="1:14" x14ac:dyDescent="0.25">
      <c r="A41" s="1">
        <f t="shared" si="2"/>
        <v>36</v>
      </c>
      <c r="B41" s="1" t="s">
        <v>124</v>
      </c>
      <c r="C41" s="1" t="s">
        <v>241</v>
      </c>
      <c r="D41" s="7">
        <v>4620</v>
      </c>
      <c r="E41" s="1" t="s">
        <v>414</v>
      </c>
      <c r="F41" s="3">
        <f t="shared" ca="1" si="3"/>
        <v>4</v>
      </c>
      <c r="G4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41" s="2">
        <v>43006</v>
      </c>
      <c r="I41" s="2">
        <v>43006</v>
      </c>
      <c r="J41" s="1" t="str">
        <f>IF(Tabela14[[#This Row],[Data de Contratação2]]=Tabela14[[#This Row],[Da de Renovação]],"Em curso",IF(Tabela14[[#This Row],[Duração]]=4,"Renovar","Em curso"))</f>
        <v>Em curso</v>
      </c>
      <c r="K41" s="1" t="s">
        <v>8</v>
      </c>
      <c r="L41" s="1" t="str">
        <f t="shared" ca="1" si="0"/>
        <v>Averba</v>
      </c>
      <c r="M41" s="1" t="str">
        <f t="shared" ca="1" si="1"/>
        <v>Renovar</v>
      </c>
      <c r="N41" s="1" t="str">
        <f t="shared" ca="1" si="4"/>
        <v>Rescendir</v>
      </c>
    </row>
    <row r="42" spans="1:14" x14ac:dyDescent="0.25">
      <c r="A42" s="1">
        <f t="shared" si="2"/>
        <v>37</v>
      </c>
      <c r="B42" s="1" t="s">
        <v>126</v>
      </c>
      <c r="C42" s="1" t="s">
        <v>242</v>
      </c>
      <c r="D42" s="7">
        <v>3080</v>
      </c>
      <c r="E42" s="1" t="s">
        <v>414</v>
      </c>
      <c r="F42" s="3">
        <f t="shared" ca="1" si="3"/>
        <v>1</v>
      </c>
      <c r="G4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42" s="2">
        <v>42138</v>
      </c>
      <c r="I42" s="2">
        <v>42138</v>
      </c>
      <c r="J42" s="1" t="str">
        <f>IF(Tabela14[[#This Row],[Data de Contratação2]]=Tabela14[[#This Row],[Da de Renovação]],"Em curso",IF(Tabela14[[#This Row],[Duração]]=4,"Renovar","Em curso"))</f>
        <v>Em curso</v>
      </c>
      <c r="K42" s="1" t="s">
        <v>8</v>
      </c>
      <c r="L42" s="1" t="str">
        <f t="shared" ca="1" si="0"/>
        <v>Rescendir</v>
      </c>
      <c r="M42" s="1" t="str">
        <f t="shared" ca="1" si="1"/>
        <v>Renovar</v>
      </c>
      <c r="N42" s="1" t="str">
        <f t="shared" ca="1" si="4"/>
        <v>Contratar</v>
      </c>
    </row>
    <row r="43" spans="1:14" x14ac:dyDescent="0.25">
      <c r="A43" s="1">
        <f t="shared" si="2"/>
        <v>38</v>
      </c>
      <c r="B43" s="1" t="s">
        <v>104</v>
      </c>
      <c r="C43" s="1" t="s">
        <v>243</v>
      </c>
      <c r="D43" s="7">
        <v>3687</v>
      </c>
      <c r="E43" s="1" t="s">
        <v>414</v>
      </c>
      <c r="F43" s="3">
        <f t="shared" ca="1" si="3"/>
        <v>3</v>
      </c>
      <c r="G4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43" s="2">
        <v>42054</v>
      </c>
      <c r="I43" s="2">
        <v>42054</v>
      </c>
      <c r="J43" s="1" t="str">
        <f>IF(Tabela14[[#This Row],[Data de Contratação2]]=Tabela14[[#This Row],[Da de Renovação]],"Em curso",IF(Tabela14[[#This Row],[Duração]]=4,"Renovar","Em curso"))</f>
        <v>Em curso</v>
      </c>
      <c r="K43" s="1" t="s">
        <v>8</v>
      </c>
      <c r="L43" s="1" t="str">
        <f t="shared" ca="1" si="0"/>
        <v>Rescendir</v>
      </c>
      <c r="M43" s="1" t="str">
        <f t="shared" ca="1" si="1"/>
        <v>Alterar</v>
      </c>
      <c r="N43" s="1" t="str">
        <f t="shared" ca="1" si="4"/>
        <v>Alterar</v>
      </c>
    </row>
    <row r="44" spans="1:14" x14ac:dyDescent="0.25">
      <c r="A44" s="1">
        <f t="shared" si="2"/>
        <v>39</v>
      </c>
      <c r="B44" s="1" t="s">
        <v>106</v>
      </c>
      <c r="C44" s="1" t="s">
        <v>244</v>
      </c>
      <c r="D44" s="7">
        <v>4400</v>
      </c>
      <c r="E44" s="1" t="s">
        <v>414</v>
      </c>
      <c r="F44" s="3">
        <f t="shared" ca="1" si="3"/>
        <v>2</v>
      </c>
      <c r="G4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44" s="2">
        <v>42824</v>
      </c>
      <c r="I44" s="2">
        <v>42824</v>
      </c>
      <c r="J44" s="1" t="str">
        <f>IF(Tabela14[[#This Row],[Data de Contratação2]]=Tabela14[[#This Row],[Da de Renovação]],"Em curso",IF(Tabela14[[#This Row],[Duração]]=4,"Renovar","Em curso"))</f>
        <v>Em curso</v>
      </c>
      <c r="K44" s="1" t="s">
        <v>8</v>
      </c>
      <c r="L44" s="1" t="str">
        <f t="shared" ca="1" si="0"/>
        <v>Alterar</v>
      </c>
      <c r="M44" s="1" t="str">
        <f t="shared" ca="1" si="1"/>
        <v>Renovar</v>
      </c>
      <c r="N44" s="1" t="str">
        <f t="shared" ca="1" si="4"/>
        <v>Renovar</v>
      </c>
    </row>
    <row r="45" spans="1:14" x14ac:dyDescent="0.25">
      <c r="A45" s="1">
        <f t="shared" si="2"/>
        <v>40</v>
      </c>
      <c r="B45" s="1" t="s">
        <v>127</v>
      </c>
      <c r="C45" s="1" t="s">
        <v>245</v>
      </c>
      <c r="D45" s="7">
        <v>3465</v>
      </c>
      <c r="E45" s="1" t="s">
        <v>414</v>
      </c>
      <c r="F45" s="3">
        <f t="shared" ca="1" si="3"/>
        <v>1</v>
      </c>
      <c r="G4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45" s="2">
        <v>43220</v>
      </c>
      <c r="I45" s="2">
        <v>43220</v>
      </c>
      <c r="J45" s="1" t="str">
        <f>IF(Tabela14[[#This Row],[Data de Contratação2]]=Tabela14[[#This Row],[Da de Renovação]],"Em curso",IF(Tabela14[[#This Row],[Duração]]=4,"Renovar","Em curso"))</f>
        <v>Em curso</v>
      </c>
      <c r="K45" s="1" t="s">
        <v>8</v>
      </c>
      <c r="L45" s="1" t="str">
        <f t="shared" ca="1" si="0"/>
        <v>Rescendir</v>
      </c>
      <c r="M45" s="1" t="str">
        <f t="shared" ca="1" si="1"/>
        <v>Aprovar</v>
      </c>
      <c r="N45" s="1" t="str">
        <f t="shared" ca="1" si="4"/>
        <v>Rescendir</v>
      </c>
    </row>
    <row r="46" spans="1:14" x14ac:dyDescent="0.25">
      <c r="A46" s="1">
        <f t="shared" si="2"/>
        <v>41</v>
      </c>
      <c r="B46" s="1" t="s">
        <v>107</v>
      </c>
      <c r="C46" s="1" t="s">
        <v>246</v>
      </c>
      <c r="D46" s="7">
        <v>4675</v>
      </c>
      <c r="E46" s="1" t="s">
        <v>414</v>
      </c>
      <c r="F46" s="3">
        <f t="shared" ca="1" si="3"/>
        <v>3</v>
      </c>
      <c r="G4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46" s="2">
        <v>43018</v>
      </c>
      <c r="I46" s="2">
        <v>43018</v>
      </c>
      <c r="J46" s="1" t="str">
        <f>IF(Tabela14[[#This Row],[Data de Contratação2]]=Tabela14[[#This Row],[Da de Renovação]],"Em curso",IF(Tabela14[[#This Row],[Duração]]=4,"Renovar","Em curso"))</f>
        <v>Em curso</v>
      </c>
      <c r="K46" s="1" t="s">
        <v>8</v>
      </c>
      <c r="L46" s="1" t="str">
        <f t="shared" ca="1" si="0"/>
        <v>Alterar</v>
      </c>
      <c r="M46" s="1" t="str">
        <f t="shared" ca="1" si="1"/>
        <v>Aprovar</v>
      </c>
      <c r="N46" s="1" t="str">
        <f t="shared" ca="1" si="4"/>
        <v>Renovar</v>
      </c>
    </row>
    <row r="47" spans="1:14" x14ac:dyDescent="0.25">
      <c r="A47" s="1">
        <f t="shared" si="2"/>
        <v>42</v>
      </c>
      <c r="B47" s="1" t="s">
        <v>109</v>
      </c>
      <c r="C47" s="1" t="s">
        <v>247</v>
      </c>
      <c r="D47" s="7">
        <v>4620</v>
      </c>
      <c r="E47" s="1" t="s">
        <v>414</v>
      </c>
      <c r="F47" s="3">
        <f t="shared" ca="1" si="3"/>
        <v>1</v>
      </c>
      <c r="G4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47" s="2">
        <v>42824</v>
      </c>
      <c r="I47" s="2">
        <v>42824</v>
      </c>
      <c r="J47" s="1" t="str">
        <f>IF(Tabela14[[#This Row],[Data de Contratação2]]=Tabela14[[#This Row],[Da de Renovação]],"Em curso",IF(Tabela14[[#This Row],[Duração]]=4,"Renovar","Em curso"))</f>
        <v>Em curso</v>
      </c>
      <c r="K47" s="1" t="s">
        <v>8</v>
      </c>
      <c r="L47" s="1" t="str">
        <f t="shared" ca="1" si="0"/>
        <v>Rescendir</v>
      </c>
      <c r="M47" s="1" t="str">
        <f t="shared" ca="1" si="1"/>
        <v>Rescendir</v>
      </c>
      <c r="N47" s="1" t="str">
        <f t="shared" ca="1" si="4"/>
        <v>Renovar</v>
      </c>
    </row>
    <row r="48" spans="1:14" x14ac:dyDescent="0.25">
      <c r="A48" s="1">
        <f t="shared" si="2"/>
        <v>43</v>
      </c>
      <c r="B48" s="1" t="s">
        <v>129</v>
      </c>
      <c r="C48" s="1" t="s">
        <v>248</v>
      </c>
      <c r="D48" s="7">
        <v>5280</v>
      </c>
      <c r="E48" s="1" t="s">
        <v>414</v>
      </c>
      <c r="F48" s="3">
        <f t="shared" ca="1" si="3"/>
        <v>3</v>
      </c>
      <c r="G4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48" s="2">
        <v>41774</v>
      </c>
      <c r="I48" s="2">
        <v>41774</v>
      </c>
      <c r="J48" s="1" t="str">
        <f>IF(Tabela14[[#This Row],[Data de Contratação2]]=Tabela14[[#This Row],[Da de Renovação]],"Em curso",IF(Tabela14[[#This Row],[Duração]]=4,"Renovar","Em curso"))</f>
        <v>Em curso</v>
      </c>
      <c r="K48" s="1" t="s">
        <v>8</v>
      </c>
      <c r="L48" s="1" t="str">
        <f t="shared" ca="1" si="0"/>
        <v>Valor alto</v>
      </c>
      <c r="M48" s="1" t="str">
        <f t="shared" ca="1" si="1"/>
        <v>Alterar</v>
      </c>
      <c r="N48" s="1" t="str">
        <f t="shared" ca="1" si="4"/>
        <v>Renovar</v>
      </c>
    </row>
    <row r="49" spans="1:14" x14ac:dyDescent="0.25">
      <c r="A49" s="1">
        <f t="shared" si="2"/>
        <v>44</v>
      </c>
      <c r="B49" s="1" t="s">
        <v>130</v>
      </c>
      <c r="C49" s="1" t="s">
        <v>249</v>
      </c>
      <c r="D49" s="7">
        <v>4180</v>
      </c>
      <c r="E49" s="1" t="s">
        <v>414</v>
      </c>
      <c r="F49" s="3">
        <f t="shared" ca="1" si="3"/>
        <v>2</v>
      </c>
      <c r="G4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49" s="2">
        <v>42886</v>
      </c>
      <c r="I49" s="2">
        <v>42886</v>
      </c>
      <c r="J49" s="1" t="str">
        <f>IF(Tabela14[[#This Row],[Data de Contratação2]]=Tabela14[[#This Row],[Da de Renovação]],"Em curso",IF(Tabela14[[#This Row],[Duração]]=4,"Renovar","Em curso"))</f>
        <v>Em curso</v>
      </c>
      <c r="K49" s="1" t="s">
        <v>8</v>
      </c>
      <c r="L49" s="1" t="str">
        <f t="shared" ca="1" si="0"/>
        <v>Valor alto</v>
      </c>
      <c r="M49" s="1" t="str">
        <f t="shared" ca="1" si="1"/>
        <v>Rescendir</v>
      </c>
      <c r="N49" s="1" t="str">
        <f t="shared" ca="1" si="4"/>
        <v>Rescendir</v>
      </c>
    </row>
    <row r="50" spans="1:14" x14ac:dyDescent="0.25">
      <c r="A50" s="1">
        <f t="shared" si="2"/>
        <v>45</v>
      </c>
      <c r="B50" s="1" t="s">
        <v>112</v>
      </c>
      <c r="C50" s="1" t="s">
        <v>250</v>
      </c>
      <c r="D50" s="7">
        <v>3520</v>
      </c>
      <c r="E50" s="1" t="s">
        <v>414</v>
      </c>
      <c r="F50" s="3">
        <f t="shared" ca="1" si="3"/>
        <v>1</v>
      </c>
      <c r="G5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50" s="2">
        <v>42642</v>
      </c>
      <c r="I50" s="2">
        <v>42642</v>
      </c>
      <c r="J50" s="1" t="str">
        <f>IF(Tabela14[[#This Row],[Data de Contratação2]]=Tabela14[[#This Row],[Da de Renovação]],"Em curso",IF(Tabela14[[#This Row],[Duração]]=4,"Renovar","Em curso"))</f>
        <v>Em curso</v>
      </c>
      <c r="K50" s="1" t="s">
        <v>8</v>
      </c>
      <c r="L50" s="1" t="str">
        <f t="shared" ca="1" si="0"/>
        <v>Rescendir</v>
      </c>
      <c r="M50" s="1" t="str">
        <f t="shared" ca="1" si="1"/>
        <v>Alterar</v>
      </c>
      <c r="N50" s="1" t="str">
        <f t="shared" ca="1" si="4"/>
        <v>Alterar</v>
      </c>
    </row>
    <row r="51" spans="1:14" x14ac:dyDescent="0.25">
      <c r="A51" s="1">
        <f t="shared" si="2"/>
        <v>46</v>
      </c>
      <c r="B51" s="1" t="s">
        <v>114</v>
      </c>
      <c r="C51" s="1" t="s">
        <v>251</v>
      </c>
      <c r="D51" s="7">
        <v>3520</v>
      </c>
      <c r="E51" s="1" t="s">
        <v>414</v>
      </c>
      <c r="F51" s="3">
        <f t="shared" ca="1" si="3"/>
        <v>1</v>
      </c>
      <c r="G5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51" s="2">
        <v>42886</v>
      </c>
      <c r="I51" s="2">
        <v>42886</v>
      </c>
      <c r="J51" s="1" t="str">
        <f>IF(Tabela14[[#This Row],[Data de Contratação2]]=Tabela14[[#This Row],[Da de Renovação]],"Em curso",IF(Tabela14[[#This Row],[Duração]]=4,"Renovar","Em curso"))</f>
        <v>Em curso</v>
      </c>
      <c r="K51" s="1" t="s">
        <v>8</v>
      </c>
      <c r="L51" s="1" t="str">
        <f t="shared" ca="1" si="0"/>
        <v>Averba</v>
      </c>
      <c r="M51" s="1" t="str">
        <f t="shared" ca="1" si="1"/>
        <v>Alterar</v>
      </c>
      <c r="N51" s="1" t="str">
        <f t="shared" ca="1" si="4"/>
        <v>Alterar</v>
      </c>
    </row>
    <row r="52" spans="1:14" x14ac:dyDescent="0.25">
      <c r="A52" s="1">
        <f t="shared" si="2"/>
        <v>47</v>
      </c>
      <c r="B52" s="1" t="s">
        <v>116</v>
      </c>
      <c r="C52" s="1" t="s">
        <v>252</v>
      </c>
      <c r="D52" s="7">
        <v>4840</v>
      </c>
      <c r="E52" s="1" t="s">
        <v>414</v>
      </c>
      <c r="F52" s="3">
        <f t="shared" ca="1" si="3"/>
        <v>2</v>
      </c>
      <c r="G5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52" s="2">
        <v>42782</v>
      </c>
      <c r="I52" s="2">
        <v>42782</v>
      </c>
      <c r="J52" s="1" t="str">
        <f>IF(Tabela14[[#This Row],[Data de Contratação2]]=Tabela14[[#This Row],[Da de Renovação]],"Em curso",IF(Tabela14[[#This Row],[Duração]]=4,"Renovar","Em curso"))</f>
        <v>Em curso</v>
      </c>
      <c r="K52" s="1" t="s">
        <v>8</v>
      </c>
      <c r="L52" s="1" t="str">
        <f t="shared" ca="1" si="0"/>
        <v>Averba</v>
      </c>
      <c r="M52" s="1" t="str">
        <f t="shared" ca="1" si="1"/>
        <v>Renovar</v>
      </c>
      <c r="N52" s="1" t="str">
        <f t="shared" ca="1" si="4"/>
        <v>Contratar</v>
      </c>
    </row>
    <row r="53" spans="1:14" x14ac:dyDescent="0.25">
      <c r="A53" s="1">
        <f t="shared" si="2"/>
        <v>48</v>
      </c>
      <c r="B53" s="1" t="s">
        <v>118</v>
      </c>
      <c r="C53" s="1" t="s">
        <v>253</v>
      </c>
      <c r="D53" s="7">
        <v>4840</v>
      </c>
      <c r="E53" s="1" t="s">
        <v>414</v>
      </c>
      <c r="F53" s="3">
        <f t="shared" ca="1" si="3"/>
        <v>2</v>
      </c>
      <c r="G5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53" s="2">
        <v>42642</v>
      </c>
      <c r="I53" s="2">
        <v>42642</v>
      </c>
      <c r="J53" s="1" t="str">
        <f>IF(Tabela14[[#This Row],[Data de Contratação2]]=Tabela14[[#This Row],[Da de Renovação]],"Em curso",IF(Tabela14[[#This Row],[Duração]]=4,"Renovar","Em curso"))</f>
        <v>Em curso</v>
      </c>
      <c r="K53" s="1" t="s">
        <v>8</v>
      </c>
      <c r="L53" s="1" t="str">
        <f t="shared" ca="1" si="0"/>
        <v>Alterar</v>
      </c>
      <c r="M53" s="1" t="str">
        <f t="shared" ca="1" si="1"/>
        <v>Aprovar</v>
      </c>
      <c r="N53" s="1" t="str">
        <f t="shared" ca="1" si="4"/>
        <v>Alterar</v>
      </c>
    </row>
    <row r="54" spans="1:14" x14ac:dyDescent="0.25">
      <c r="A54" s="1">
        <f t="shared" si="2"/>
        <v>49</v>
      </c>
      <c r="B54" s="1" t="s">
        <v>135</v>
      </c>
      <c r="C54" s="1" t="s">
        <v>254</v>
      </c>
      <c r="D54" s="7">
        <v>4840</v>
      </c>
      <c r="E54" s="1" t="s">
        <v>414</v>
      </c>
      <c r="F54" s="3">
        <f t="shared" ca="1" si="3"/>
        <v>3</v>
      </c>
      <c r="G5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54" s="2">
        <v>42600</v>
      </c>
      <c r="I54" s="2">
        <v>42600</v>
      </c>
      <c r="J54" s="1" t="str">
        <f>IF(Tabela14[[#This Row],[Data de Contratação2]]=Tabela14[[#This Row],[Da de Renovação]],"Em curso",IF(Tabela14[[#This Row],[Duração]]=4,"Renovar","Em curso"))</f>
        <v>Em curso</v>
      </c>
      <c r="K54" s="1" t="s">
        <v>8</v>
      </c>
      <c r="L54" s="1" t="str">
        <f t="shared" ca="1" si="0"/>
        <v>Valor alto</v>
      </c>
      <c r="M54" s="1" t="str">
        <f t="shared" ca="1" si="1"/>
        <v>Alterar</v>
      </c>
      <c r="N54" s="1" t="str">
        <f t="shared" ca="1" si="4"/>
        <v>Renovar</v>
      </c>
    </row>
    <row r="55" spans="1:14" x14ac:dyDescent="0.25">
      <c r="A55" s="1">
        <f t="shared" si="2"/>
        <v>50</v>
      </c>
      <c r="B55" s="1" t="s">
        <v>136</v>
      </c>
      <c r="C55" s="1" t="s">
        <v>255</v>
      </c>
      <c r="D55" s="7">
        <v>4840</v>
      </c>
      <c r="E55" s="1" t="s">
        <v>414</v>
      </c>
      <c r="F55" s="3">
        <f t="shared" ca="1" si="3"/>
        <v>1</v>
      </c>
      <c r="G5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55" s="2">
        <v>41707</v>
      </c>
      <c r="I55" s="2">
        <v>41707</v>
      </c>
      <c r="J55" s="1" t="str">
        <f>IF(Tabela14[[#This Row],[Data de Contratação2]]=Tabela14[[#This Row],[Da de Renovação]],"Em curso",IF(Tabela14[[#This Row],[Duração]]=4,"Renovar","Em curso"))</f>
        <v>Em curso</v>
      </c>
      <c r="K55" s="1" t="s">
        <v>8</v>
      </c>
      <c r="L55" s="1" t="str">
        <f t="shared" ca="1" si="0"/>
        <v>Averba</v>
      </c>
      <c r="M55" s="1" t="str">
        <f t="shared" ca="1" si="1"/>
        <v>Rescendir</v>
      </c>
      <c r="N55" s="1" t="str">
        <f t="shared" ca="1" si="4"/>
        <v>Renovar</v>
      </c>
    </row>
    <row r="56" spans="1:14" x14ac:dyDescent="0.25">
      <c r="A56" s="1">
        <f t="shared" si="2"/>
        <v>51</v>
      </c>
      <c r="B56" s="1" t="s">
        <v>119</v>
      </c>
      <c r="C56" s="1" t="s">
        <v>256</v>
      </c>
      <c r="D56" s="7">
        <v>4620</v>
      </c>
      <c r="E56" s="1" t="s">
        <v>414</v>
      </c>
      <c r="F56" s="3">
        <f t="shared" ca="1" si="3"/>
        <v>3</v>
      </c>
      <c r="G5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56" s="2">
        <v>43073</v>
      </c>
      <c r="I56" s="2">
        <v>43073</v>
      </c>
      <c r="J56" s="1" t="str">
        <f>IF(Tabela14[[#This Row],[Data de Contratação2]]=Tabela14[[#This Row],[Da de Renovação]],"Em curso",IF(Tabela14[[#This Row],[Duração]]=4,"Renovar","Em curso"))</f>
        <v>Em curso</v>
      </c>
      <c r="K56" s="1" t="s">
        <v>8</v>
      </c>
      <c r="L56" s="1" t="str">
        <f t="shared" ca="1" si="0"/>
        <v>Valor alto</v>
      </c>
      <c r="M56" s="1" t="str">
        <f t="shared" ca="1" si="1"/>
        <v>Alterar</v>
      </c>
      <c r="N56" s="1" t="str">
        <f t="shared" ca="1" si="4"/>
        <v>Rescendir</v>
      </c>
    </row>
    <row r="57" spans="1:14" x14ac:dyDescent="0.25">
      <c r="A57" s="1">
        <f t="shared" si="2"/>
        <v>52</v>
      </c>
      <c r="B57" s="1" t="s">
        <v>138</v>
      </c>
      <c r="C57" s="1" t="s">
        <v>257</v>
      </c>
      <c r="D57" s="7">
        <v>5060</v>
      </c>
      <c r="E57" s="1" t="s">
        <v>414</v>
      </c>
      <c r="F57" s="3">
        <f t="shared" ca="1" si="3"/>
        <v>1</v>
      </c>
      <c r="G5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57" s="2">
        <v>42054</v>
      </c>
      <c r="I57" s="2">
        <v>42054</v>
      </c>
      <c r="J57" s="1" t="str">
        <f>IF(Tabela14[[#This Row],[Data de Contratação2]]=Tabela14[[#This Row],[Da de Renovação]],"Em curso",IF(Tabela14[[#This Row],[Duração]]=4,"Renovar","Em curso"))</f>
        <v>Em curso</v>
      </c>
      <c r="K57" s="1" t="s">
        <v>8</v>
      </c>
      <c r="L57" s="1" t="str">
        <f t="shared" ca="1" si="0"/>
        <v>Rescendir</v>
      </c>
      <c r="M57" s="1" t="str">
        <f t="shared" ca="1" si="1"/>
        <v>Renovar</v>
      </c>
      <c r="N57" s="1" t="str">
        <f t="shared" ca="1" si="4"/>
        <v>Contratar</v>
      </c>
    </row>
    <row r="58" spans="1:14" x14ac:dyDescent="0.25">
      <c r="A58" s="1">
        <f t="shared" si="2"/>
        <v>53</v>
      </c>
      <c r="B58" s="1" t="s">
        <v>140</v>
      </c>
      <c r="C58" s="1" t="s">
        <v>258</v>
      </c>
      <c r="D58" s="7">
        <v>3740</v>
      </c>
      <c r="E58" s="1" t="s">
        <v>414</v>
      </c>
      <c r="F58" s="3">
        <f t="shared" ca="1" si="3"/>
        <v>3</v>
      </c>
      <c r="G5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58" s="2">
        <v>42684</v>
      </c>
      <c r="I58" s="2">
        <v>42684</v>
      </c>
      <c r="J58" s="1" t="str">
        <f>IF(Tabela14[[#This Row],[Data de Contratação2]]=Tabela14[[#This Row],[Da de Renovação]],"Em curso",IF(Tabela14[[#This Row],[Duração]]=4,"Renovar","Em curso"))</f>
        <v>Em curso</v>
      </c>
      <c r="K58" s="1" t="s">
        <v>8</v>
      </c>
      <c r="L58" s="1" t="str">
        <f t="shared" ca="1" si="0"/>
        <v>Valor alto</v>
      </c>
      <c r="M58" s="1" t="str">
        <f t="shared" ca="1" si="1"/>
        <v>Aprovar</v>
      </c>
      <c r="N58" s="1" t="str">
        <f t="shared" ca="1" si="4"/>
        <v>Alterar</v>
      </c>
    </row>
    <row r="59" spans="1:14" x14ac:dyDescent="0.25">
      <c r="A59" s="1">
        <f t="shared" si="2"/>
        <v>54</v>
      </c>
      <c r="B59" s="1" t="s">
        <v>120</v>
      </c>
      <c r="C59" s="1" t="s">
        <v>259</v>
      </c>
      <c r="D59" s="7">
        <v>4180</v>
      </c>
      <c r="E59" s="1" t="s">
        <v>414</v>
      </c>
      <c r="F59" s="3">
        <f t="shared" ca="1" si="3"/>
        <v>4</v>
      </c>
      <c r="G5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59" s="2">
        <v>42229</v>
      </c>
      <c r="I59" s="2">
        <v>42229</v>
      </c>
      <c r="J59" s="1" t="str">
        <f>IF(Tabela14[[#This Row],[Data de Contratação2]]=Tabela14[[#This Row],[Da de Renovação]],"Em curso",IF(Tabela14[[#This Row],[Duração]]=4,"Renovar","Em curso"))</f>
        <v>Em curso</v>
      </c>
      <c r="K59" s="1" t="s">
        <v>8</v>
      </c>
      <c r="L59" s="1" t="str">
        <f t="shared" ca="1" si="0"/>
        <v>Averba</v>
      </c>
      <c r="M59" s="1" t="str">
        <f t="shared" ca="1" si="1"/>
        <v>Aprovar</v>
      </c>
      <c r="N59" s="1" t="str">
        <f t="shared" ca="1" si="4"/>
        <v>Renovar</v>
      </c>
    </row>
    <row r="60" spans="1:14" x14ac:dyDescent="0.25">
      <c r="A60" s="1">
        <f t="shared" si="2"/>
        <v>55</v>
      </c>
      <c r="B60" s="1" t="s">
        <v>121</v>
      </c>
      <c r="C60" s="1" t="s">
        <v>260</v>
      </c>
      <c r="D60" s="7">
        <v>3080</v>
      </c>
      <c r="E60" s="1" t="s">
        <v>414</v>
      </c>
      <c r="F60" s="3">
        <f t="shared" ca="1" si="3"/>
        <v>1</v>
      </c>
      <c r="G6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60" s="2">
        <v>42782</v>
      </c>
      <c r="I60" s="2">
        <v>42782</v>
      </c>
      <c r="J60" s="1" t="str">
        <f>IF(Tabela14[[#This Row],[Data de Contratação2]]=Tabela14[[#This Row],[Da de Renovação]],"Em curso",IF(Tabela14[[#This Row],[Duração]]=4,"Renovar","Em curso"))</f>
        <v>Em curso</v>
      </c>
      <c r="K60" s="1" t="s">
        <v>8</v>
      </c>
      <c r="L60" s="1" t="str">
        <f t="shared" ca="1" si="0"/>
        <v>Valor alto</v>
      </c>
      <c r="M60" s="1" t="str">
        <f t="shared" ca="1" si="1"/>
        <v>Renovar</v>
      </c>
      <c r="N60" s="1" t="str">
        <f t="shared" ca="1" si="4"/>
        <v>Alterar</v>
      </c>
    </row>
    <row r="61" spans="1:14" x14ac:dyDescent="0.25">
      <c r="A61" s="1">
        <f t="shared" si="2"/>
        <v>56</v>
      </c>
      <c r="B61" s="1" t="s">
        <v>142</v>
      </c>
      <c r="C61" s="1" t="s">
        <v>261</v>
      </c>
      <c r="D61" s="7">
        <v>3740</v>
      </c>
      <c r="E61" s="1" t="s">
        <v>414</v>
      </c>
      <c r="F61" s="3">
        <f t="shared" ca="1" si="3"/>
        <v>3</v>
      </c>
      <c r="G6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61" s="2">
        <v>42886</v>
      </c>
      <c r="I61" s="2">
        <v>42886</v>
      </c>
      <c r="J61" s="1" t="str">
        <f>IF(Tabela14[[#This Row],[Data de Contratação2]]=Tabela14[[#This Row],[Da de Renovação]],"Em curso",IF(Tabela14[[#This Row],[Duração]]=4,"Renovar","Em curso"))</f>
        <v>Em curso</v>
      </c>
      <c r="K61" s="1" t="s">
        <v>8</v>
      </c>
      <c r="L61" s="1" t="str">
        <f t="shared" ca="1" si="0"/>
        <v>Alterar</v>
      </c>
      <c r="M61" s="1" t="str">
        <f t="shared" ca="1" si="1"/>
        <v>Renovar</v>
      </c>
      <c r="N61" s="1" t="str">
        <f t="shared" ca="1" si="4"/>
        <v>Rescendir</v>
      </c>
    </row>
    <row r="62" spans="1:14" x14ac:dyDescent="0.25">
      <c r="A62" s="1">
        <f t="shared" si="2"/>
        <v>57</v>
      </c>
      <c r="B62" s="1" t="s">
        <v>70</v>
      </c>
      <c r="C62" s="1" t="s">
        <v>262</v>
      </c>
      <c r="D62" s="7">
        <v>3740</v>
      </c>
      <c r="E62" s="1" t="s">
        <v>414</v>
      </c>
      <c r="F62" s="3">
        <f t="shared" ca="1" si="3"/>
        <v>3</v>
      </c>
      <c r="G6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62" s="2">
        <v>41389</v>
      </c>
      <c r="I62" s="2">
        <v>41389</v>
      </c>
      <c r="J62" s="1" t="str">
        <f>IF(Tabela14[[#This Row],[Data de Contratação2]]=Tabela14[[#This Row],[Da de Renovação]],"Em curso",IF(Tabela14[[#This Row],[Duração]]=4,"Renovar","Em curso"))</f>
        <v>Em curso</v>
      </c>
      <c r="K62" s="1" t="s">
        <v>8</v>
      </c>
      <c r="L62" s="1" t="str">
        <f t="shared" ca="1" si="0"/>
        <v>Alterar</v>
      </c>
      <c r="M62" s="1" t="str">
        <f t="shared" ca="1" si="1"/>
        <v>Aprovar</v>
      </c>
      <c r="N62" s="1" t="str">
        <f t="shared" ca="1" si="4"/>
        <v>Contratar</v>
      </c>
    </row>
    <row r="63" spans="1:14" x14ac:dyDescent="0.25">
      <c r="A63" s="1">
        <f t="shared" si="2"/>
        <v>58</v>
      </c>
      <c r="B63" s="1" t="s">
        <v>38</v>
      </c>
      <c r="C63" s="1" t="s">
        <v>263</v>
      </c>
      <c r="D63" s="7">
        <v>5390</v>
      </c>
      <c r="E63" s="1" t="s">
        <v>414</v>
      </c>
      <c r="F63" s="3">
        <f t="shared" ca="1" si="3"/>
        <v>3</v>
      </c>
      <c r="G6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63" s="2">
        <v>42684</v>
      </c>
      <c r="I63" s="2">
        <v>42684</v>
      </c>
      <c r="J63" s="1" t="str">
        <f>IF(Tabela14[[#This Row],[Data de Contratação2]]=Tabela14[[#This Row],[Da de Renovação]],"Em curso",IF(Tabela14[[#This Row],[Duração]]=4,"Renovar","Em curso"))</f>
        <v>Em curso</v>
      </c>
      <c r="K63" s="1" t="s">
        <v>8</v>
      </c>
      <c r="L63" s="1" t="str">
        <f t="shared" ca="1" si="0"/>
        <v>Alterar</v>
      </c>
      <c r="M63" s="1" t="str">
        <f t="shared" ca="1" si="1"/>
        <v>Aprovar</v>
      </c>
      <c r="N63" s="1" t="str">
        <f t="shared" ca="1" si="4"/>
        <v>Alterar</v>
      </c>
    </row>
    <row r="64" spans="1:14" x14ac:dyDescent="0.25">
      <c r="A64" s="1">
        <f t="shared" si="2"/>
        <v>59</v>
      </c>
      <c r="B64" s="1" t="s">
        <v>125</v>
      </c>
      <c r="C64" s="1" t="s">
        <v>264</v>
      </c>
      <c r="D64" s="7">
        <v>3960</v>
      </c>
      <c r="E64" s="1" t="s">
        <v>414</v>
      </c>
      <c r="F64" s="3">
        <f t="shared" ca="1" si="3"/>
        <v>1</v>
      </c>
      <c r="G6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64" s="2">
        <v>42588</v>
      </c>
      <c r="I64" s="2">
        <v>42588</v>
      </c>
      <c r="J64" s="1" t="str">
        <f>IF(Tabela14[[#This Row],[Data de Contratação2]]=Tabela14[[#This Row],[Da de Renovação]],"Em curso",IF(Tabela14[[#This Row],[Duração]]=4,"Renovar","Em curso"))</f>
        <v>Em curso</v>
      </c>
      <c r="K64" s="1" t="s">
        <v>8</v>
      </c>
      <c r="L64" s="1" t="str">
        <f t="shared" ca="1" si="0"/>
        <v>Rescendir</v>
      </c>
      <c r="M64" s="1" t="str">
        <f t="shared" ca="1" si="1"/>
        <v>Aprovar</v>
      </c>
      <c r="N64" s="1" t="str">
        <f t="shared" ca="1" si="4"/>
        <v>Renovar</v>
      </c>
    </row>
    <row r="65" spans="1:14" x14ac:dyDescent="0.25">
      <c r="A65" s="1">
        <f t="shared" si="2"/>
        <v>60</v>
      </c>
      <c r="B65" s="1" t="s">
        <v>164</v>
      </c>
      <c r="C65" s="1" t="s">
        <v>265</v>
      </c>
      <c r="D65" s="7">
        <v>4620</v>
      </c>
      <c r="E65" s="1" t="s">
        <v>414</v>
      </c>
      <c r="F65" s="3">
        <f t="shared" ca="1" si="3"/>
        <v>4</v>
      </c>
      <c r="G6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65" s="2">
        <v>42642</v>
      </c>
      <c r="I65" s="2">
        <v>42642</v>
      </c>
      <c r="J65" s="1" t="str">
        <f>IF(Tabela14[[#This Row],[Data de Contratação2]]=Tabela14[[#This Row],[Da de Renovação]],"Em curso",IF(Tabela14[[#This Row],[Duração]]=4,"Renovar","Em curso"))</f>
        <v>Em curso</v>
      </c>
      <c r="K65" s="1" t="s">
        <v>8</v>
      </c>
      <c r="L65" s="1" t="str">
        <f t="shared" ca="1" si="0"/>
        <v>Averba</v>
      </c>
      <c r="M65" s="1" t="str">
        <f t="shared" ca="1" si="1"/>
        <v>Aprovar</v>
      </c>
      <c r="N65" s="1" t="str">
        <f t="shared" ca="1" si="4"/>
        <v>Rescendir</v>
      </c>
    </row>
    <row r="66" spans="1:14" x14ac:dyDescent="0.25">
      <c r="A66" s="1">
        <f t="shared" si="2"/>
        <v>61</v>
      </c>
      <c r="B66" s="1" t="s">
        <v>165</v>
      </c>
      <c r="C66" s="1" t="s">
        <v>266</v>
      </c>
      <c r="D66" s="7">
        <v>5280</v>
      </c>
      <c r="E66" s="1" t="s">
        <v>414</v>
      </c>
      <c r="F66" s="3">
        <f t="shared" ca="1" si="3"/>
        <v>3</v>
      </c>
      <c r="G6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66" s="2">
        <v>42551</v>
      </c>
      <c r="I66" s="2">
        <v>42551</v>
      </c>
      <c r="J66" s="1" t="str">
        <f>IF(Tabela14[[#This Row],[Data de Contratação2]]=Tabela14[[#This Row],[Da de Renovação]],"Em curso",IF(Tabela14[[#This Row],[Duração]]=4,"Renovar","Em curso"))</f>
        <v>Em curso</v>
      </c>
      <c r="K66" s="1" t="s">
        <v>8</v>
      </c>
      <c r="L66" s="1" t="str">
        <f t="shared" ca="1" si="0"/>
        <v>Alterar</v>
      </c>
      <c r="M66" s="1" t="str">
        <f t="shared" ca="1" si="1"/>
        <v>Aprovar</v>
      </c>
      <c r="N66" s="1" t="str">
        <f t="shared" ca="1" si="4"/>
        <v>Renovar</v>
      </c>
    </row>
    <row r="67" spans="1:14" x14ac:dyDescent="0.25">
      <c r="A67" s="1">
        <f t="shared" si="2"/>
        <v>62</v>
      </c>
      <c r="B67" s="1" t="s">
        <v>166</v>
      </c>
      <c r="C67" s="1" t="s">
        <v>267</v>
      </c>
      <c r="D67" s="7">
        <v>3080</v>
      </c>
      <c r="E67" s="1" t="s">
        <v>414</v>
      </c>
      <c r="F67" s="3">
        <f t="shared" ca="1" si="3"/>
        <v>1</v>
      </c>
      <c r="G6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67" s="2">
        <v>41912</v>
      </c>
      <c r="I67" s="2">
        <v>41912</v>
      </c>
      <c r="J67" s="1" t="str">
        <f>IF(Tabela14[[#This Row],[Data de Contratação2]]=Tabela14[[#This Row],[Da de Renovação]],"Em curso",IF(Tabela14[[#This Row],[Duração]]=4,"Renovar","Em curso"))</f>
        <v>Em curso</v>
      </c>
      <c r="K67" s="1" t="s">
        <v>8</v>
      </c>
      <c r="L67" s="1" t="str">
        <f t="shared" ca="1" si="0"/>
        <v>Averba</v>
      </c>
      <c r="M67" s="1" t="str">
        <f t="shared" ca="1" si="1"/>
        <v>Aprovar</v>
      </c>
      <c r="N67" s="1" t="str">
        <f t="shared" ca="1" si="4"/>
        <v>Rescendir</v>
      </c>
    </row>
    <row r="68" spans="1:14" x14ac:dyDescent="0.25">
      <c r="A68" s="1">
        <f t="shared" si="2"/>
        <v>63</v>
      </c>
      <c r="B68" s="1" t="s">
        <v>128</v>
      </c>
      <c r="C68" s="1" t="s">
        <v>268</v>
      </c>
      <c r="D68" s="7">
        <v>4400</v>
      </c>
      <c r="E68" s="1" t="s">
        <v>414</v>
      </c>
      <c r="F68" s="3">
        <f t="shared" ca="1" si="3"/>
        <v>2</v>
      </c>
      <c r="G6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68" s="2">
        <v>41765</v>
      </c>
      <c r="I68" s="2">
        <v>41765</v>
      </c>
      <c r="J68" s="1" t="str">
        <f>IF(Tabela14[[#This Row],[Data de Contratação2]]=Tabela14[[#This Row],[Da de Renovação]],"Em curso",IF(Tabela14[[#This Row],[Duração]]=4,"Renovar","Em curso"))</f>
        <v>Em curso</v>
      </c>
      <c r="K68" s="1" t="s">
        <v>8</v>
      </c>
      <c r="L68" s="1" t="str">
        <f t="shared" ca="1" si="0"/>
        <v>Valor alto</v>
      </c>
      <c r="M68" s="1" t="str">
        <f t="shared" ca="1" si="1"/>
        <v>Renovar</v>
      </c>
      <c r="N68" s="1" t="str">
        <f t="shared" ca="1" si="4"/>
        <v>Contratar</v>
      </c>
    </row>
    <row r="69" spans="1:14" x14ac:dyDescent="0.25">
      <c r="A69" s="1">
        <f t="shared" si="2"/>
        <v>64</v>
      </c>
      <c r="B69" s="1" t="s">
        <v>167</v>
      </c>
      <c r="C69" s="1" t="s">
        <v>269</v>
      </c>
      <c r="D69" s="7">
        <v>3520</v>
      </c>
      <c r="E69" s="1" t="s">
        <v>414</v>
      </c>
      <c r="F69" s="3">
        <f t="shared" ca="1" si="3"/>
        <v>1</v>
      </c>
      <c r="G6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69" s="2">
        <v>43006</v>
      </c>
      <c r="I69" s="2">
        <v>43006</v>
      </c>
      <c r="J69" s="1" t="str">
        <f>IF(Tabela14[[#This Row],[Data de Contratação2]]=Tabela14[[#This Row],[Da de Renovação]],"Em curso",IF(Tabela14[[#This Row],[Duração]]=4,"Renovar","Em curso"))</f>
        <v>Em curso</v>
      </c>
      <c r="K69" s="1" t="s">
        <v>8</v>
      </c>
      <c r="L69" s="1" t="str">
        <f t="shared" ca="1" si="0"/>
        <v>Valor alto</v>
      </c>
      <c r="M69" s="1" t="str">
        <f t="shared" ca="1" si="1"/>
        <v>Rescendir</v>
      </c>
      <c r="N69" s="1" t="str">
        <f t="shared" ca="1" si="4"/>
        <v>Contratar</v>
      </c>
    </row>
    <row r="70" spans="1:14" x14ac:dyDescent="0.25">
      <c r="A70" s="1">
        <f t="shared" ref="A70:A133" si="5">A69+1</f>
        <v>65</v>
      </c>
      <c r="B70" s="1" t="s">
        <v>168</v>
      </c>
      <c r="C70" s="1" t="s">
        <v>270</v>
      </c>
      <c r="D70" s="7">
        <v>4345</v>
      </c>
      <c r="E70" s="1" t="s">
        <v>414</v>
      </c>
      <c r="F70" s="3">
        <f t="shared" ref="F70:F133" ca="1" si="6">RANDBETWEEN(1,4)</f>
        <v>2</v>
      </c>
      <c r="G7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70" s="2">
        <v>43623</v>
      </c>
      <c r="I70" s="2">
        <v>43623</v>
      </c>
      <c r="J70" s="1" t="str">
        <f>IF(Tabela14[[#This Row],[Data de Contratação2]]=Tabela14[[#This Row],[Da de Renovação]],"Em curso",IF(Tabela14[[#This Row],[Duração]]=4,"Renovar","Em curso"))</f>
        <v>Em curso</v>
      </c>
      <c r="K70" s="1" t="s">
        <v>8</v>
      </c>
      <c r="L70" s="1" t="str">
        <f t="shared" ref="L70:L133" ca="1" si="7">CHOOSE(RANDBETWEEN(1,4),"Averba","Valor alto","Rescendir","Alterar")</f>
        <v>Valor alto</v>
      </c>
      <c r="M70" s="1" t="str">
        <f t="shared" ref="M70:M133" ca="1" si="8">CHOOSE(RANDBETWEEN(1,4),"Aprovar","Renovar","Rescendir","Alterar")</f>
        <v>Aprovar</v>
      </c>
      <c r="N70" s="1" t="str">
        <f t="shared" ref="N70:N133" ca="1" si="9">CHOOSE(RANDBETWEEN(1,4),"Contratar","Renovar","Rescendir","Alterar")</f>
        <v>Renovar</v>
      </c>
    </row>
    <row r="71" spans="1:14" x14ac:dyDescent="0.25">
      <c r="A71" s="1">
        <f t="shared" si="5"/>
        <v>66</v>
      </c>
      <c r="B71" s="1" t="s">
        <v>169</v>
      </c>
      <c r="C71" s="1" t="s">
        <v>271</v>
      </c>
      <c r="D71" s="7">
        <v>4180</v>
      </c>
      <c r="E71" s="1" t="s">
        <v>414</v>
      </c>
      <c r="F71" s="3">
        <f t="shared" ca="1" si="6"/>
        <v>1</v>
      </c>
      <c r="G7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1" s="2">
        <v>43188</v>
      </c>
      <c r="I71" s="2">
        <v>43188</v>
      </c>
      <c r="J71" s="1" t="str">
        <f>IF(Tabela14[[#This Row],[Data de Contratação2]]=Tabela14[[#This Row],[Da de Renovação]],"Em curso",IF(Tabela14[[#This Row],[Duração]]=4,"Renovar","Em curso"))</f>
        <v>Em curso</v>
      </c>
      <c r="K71" s="1" t="s">
        <v>8</v>
      </c>
      <c r="L71" s="1" t="str">
        <f t="shared" ca="1" si="7"/>
        <v>Alterar</v>
      </c>
      <c r="M71" s="1" t="str">
        <f t="shared" ca="1" si="8"/>
        <v>Alterar</v>
      </c>
      <c r="N71" s="1" t="str">
        <f t="shared" ca="1" si="9"/>
        <v>Contratar</v>
      </c>
    </row>
    <row r="72" spans="1:14" x14ac:dyDescent="0.25">
      <c r="A72" s="1">
        <f t="shared" si="5"/>
        <v>67</v>
      </c>
      <c r="B72" s="1" t="s">
        <v>170</v>
      </c>
      <c r="C72" s="1" t="s">
        <v>272</v>
      </c>
      <c r="D72" s="7">
        <v>5280</v>
      </c>
      <c r="E72" s="1" t="s">
        <v>414</v>
      </c>
      <c r="F72" s="3">
        <f t="shared" ca="1" si="6"/>
        <v>1</v>
      </c>
      <c r="G7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2" s="2">
        <v>41970</v>
      </c>
      <c r="I72" s="2">
        <v>41970</v>
      </c>
      <c r="J72" s="1" t="str">
        <f>IF(Tabela14[[#This Row],[Data de Contratação2]]=Tabela14[[#This Row],[Da de Renovação]],"Em curso",IF(Tabela14[[#This Row],[Duração]]=4,"Renovar","Em curso"))</f>
        <v>Em curso</v>
      </c>
      <c r="K72" s="1" t="s">
        <v>8</v>
      </c>
      <c r="L72" s="1" t="str">
        <f t="shared" ca="1" si="7"/>
        <v>Alterar</v>
      </c>
      <c r="M72" s="1" t="str">
        <f t="shared" ca="1" si="8"/>
        <v>Rescendir</v>
      </c>
      <c r="N72" s="1" t="str">
        <f t="shared" ca="1" si="9"/>
        <v>Alterar</v>
      </c>
    </row>
    <row r="73" spans="1:14" x14ac:dyDescent="0.25">
      <c r="A73" s="1">
        <f t="shared" si="5"/>
        <v>68</v>
      </c>
      <c r="B73" s="1" t="s">
        <v>132</v>
      </c>
      <c r="C73" s="1" t="s">
        <v>273</v>
      </c>
      <c r="D73" s="7">
        <v>4180</v>
      </c>
      <c r="E73" s="1" t="s">
        <v>414</v>
      </c>
      <c r="F73" s="3">
        <f t="shared" ca="1" si="6"/>
        <v>1</v>
      </c>
      <c r="G7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3" s="2">
        <v>42642</v>
      </c>
      <c r="I73" s="2">
        <v>42642</v>
      </c>
      <c r="J73" s="1" t="str">
        <f>IF(Tabela14[[#This Row],[Data de Contratação2]]=Tabela14[[#This Row],[Da de Renovação]],"Em curso",IF(Tabela14[[#This Row],[Duração]]=4,"Renovar","Em curso"))</f>
        <v>Em curso</v>
      </c>
      <c r="K73" s="1" t="s">
        <v>8</v>
      </c>
      <c r="L73" s="1" t="str">
        <f t="shared" ca="1" si="7"/>
        <v>Alterar</v>
      </c>
      <c r="M73" s="1" t="str">
        <f t="shared" ca="1" si="8"/>
        <v>Rescendir</v>
      </c>
      <c r="N73" s="1" t="str">
        <f t="shared" ca="1" si="9"/>
        <v>Renovar</v>
      </c>
    </row>
    <row r="74" spans="1:14" x14ac:dyDescent="0.25">
      <c r="A74" s="1">
        <f t="shared" si="5"/>
        <v>69</v>
      </c>
      <c r="B74" s="1" t="s">
        <v>171</v>
      </c>
      <c r="C74" s="1" t="s">
        <v>274</v>
      </c>
      <c r="D74" s="7">
        <v>4400</v>
      </c>
      <c r="E74" s="1" t="s">
        <v>414</v>
      </c>
      <c r="F74" s="3">
        <f t="shared" ca="1" si="6"/>
        <v>4</v>
      </c>
      <c r="G7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74" s="2">
        <v>43188</v>
      </c>
      <c r="I74" s="2">
        <v>43188</v>
      </c>
      <c r="J74" s="1" t="str">
        <f>IF(Tabela14[[#This Row],[Data de Contratação2]]=Tabela14[[#This Row],[Da de Renovação]],"Em curso",IF(Tabela14[[#This Row],[Duração]]=4,"Renovar","Em curso"))</f>
        <v>Em curso</v>
      </c>
      <c r="K74" s="1" t="s">
        <v>8</v>
      </c>
      <c r="L74" s="1" t="str">
        <f t="shared" ca="1" si="7"/>
        <v>Rescendir</v>
      </c>
      <c r="M74" s="1" t="str">
        <f t="shared" ca="1" si="8"/>
        <v>Renovar</v>
      </c>
      <c r="N74" s="1" t="str">
        <f t="shared" ca="1" si="9"/>
        <v>Contratar</v>
      </c>
    </row>
    <row r="75" spans="1:14" x14ac:dyDescent="0.25">
      <c r="A75" s="1">
        <f t="shared" si="5"/>
        <v>70</v>
      </c>
      <c r="B75" s="1" t="s">
        <v>134</v>
      </c>
      <c r="C75" s="1" t="s">
        <v>275</v>
      </c>
      <c r="D75" s="7">
        <v>4840</v>
      </c>
      <c r="E75" s="1" t="s">
        <v>414</v>
      </c>
      <c r="F75" s="3">
        <f t="shared" ca="1" si="6"/>
        <v>1</v>
      </c>
      <c r="G7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5" s="2">
        <v>42782</v>
      </c>
      <c r="I75" s="2">
        <v>42782</v>
      </c>
      <c r="J75" s="1" t="str">
        <f>IF(Tabela14[[#This Row],[Data de Contratação2]]=Tabela14[[#This Row],[Da de Renovação]],"Em curso",IF(Tabela14[[#This Row],[Duração]]=4,"Renovar","Em curso"))</f>
        <v>Em curso</v>
      </c>
      <c r="K75" s="1" t="s">
        <v>8</v>
      </c>
      <c r="L75" s="1" t="str">
        <f t="shared" ca="1" si="7"/>
        <v>Alterar</v>
      </c>
      <c r="M75" s="1" t="str">
        <f t="shared" ca="1" si="8"/>
        <v>Alterar</v>
      </c>
      <c r="N75" s="1" t="str">
        <f t="shared" ca="1" si="9"/>
        <v>Alterar</v>
      </c>
    </row>
    <row r="76" spans="1:14" x14ac:dyDescent="0.25">
      <c r="A76" s="1">
        <f t="shared" si="5"/>
        <v>71</v>
      </c>
      <c r="B76" s="1" t="s">
        <v>137</v>
      </c>
      <c r="C76" s="1" t="s">
        <v>276</v>
      </c>
      <c r="D76" s="7">
        <v>4180</v>
      </c>
      <c r="E76" s="1" t="s">
        <v>414</v>
      </c>
      <c r="F76" s="3">
        <f t="shared" ca="1" si="6"/>
        <v>4</v>
      </c>
      <c r="G7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76" s="2">
        <v>43220</v>
      </c>
      <c r="I76" s="2">
        <v>43220</v>
      </c>
      <c r="J76" s="1" t="str">
        <f>IF(Tabela14[[#This Row],[Data de Contratação2]]=Tabela14[[#This Row],[Da de Renovação]],"Em curso",IF(Tabela14[[#This Row],[Duração]]=4,"Renovar","Em curso"))</f>
        <v>Em curso</v>
      </c>
      <c r="K76" s="1" t="s">
        <v>8</v>
      </c>
      <c r="L76" s="1" t="str">
        <f t="shared" ca="1" si="7"/>
        <v>Averba</v>
      </c>
      <c r="M76" s="1" t="str">
        <f t="shared" ca="1" si="8"/>
        <v>Rescendir</v>
      </c>
      <c r="N76" s="1" t="str">
        <f t="shared" ca="1" si="9"/>
        <v>Renovar</v>
      </c>
    </row>
    <row r="77" spans="1:14" x14ac:dyDescent="0.25">
      <c r="A77" s="1">
        <f t="shared" si="5"/>
        <v>72</v>
      </c>
      <c r="B77" s="1" t="s">
        <v>172</v>
      </c>
      <c r="C77" s="1" t="s">
        <v>277</v>
      </c>
      <c r="D77" s="7">
        <v>4400</v>
      </c>
      <c r="E77" s="1" t="s">
        <v>414</v>
      </c>
      <c r="F77" s="3">
        <f t="shared" ca="1" si="6"/>
        <v>2</v>
      </c>
      <c r="G7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77" s="2">
        <v>43226</v>
      </c>
      <c r="I77" s="2">
        <v>43226</v>
      </c>
      <c r="J77" s="1" t="str">
        <f>IF(Tabela14[[#This Row],[Data de Contratação2]]=Tabela14[[#This Row],[Da de Renovação]],"Em curso",IF(Tabela14[[#This Row],[Duração]]=4,"Renovar","Em curso"))</f>
        <v>Em curso</v>
      </c>
      <c r="K77" s="1" t="s">
        <v>8</v>
      </c>
      <c r="L77" s="1" t="str">
        <f t="shared" ca="1" si="7"/>
        <v>Averba</v>
      </c>
      <c r="M77" s="1" t="str">
        <f t="shared" ca="1" si="8"/>
        <v>Alterar</v>
      </c>
      <c r="N77" s="1" t="str">
        <f t="shared" ca="1" si="9"/>
        <v>Alterar</v>
      </c>
    </row>
    <row r="78" spans="1:14" x14ac:dyDescent="0.25">
      <c r="A78" s="1">
        <f t="shared" si="5"/>
        <v>73</v>
      </c>
      <c r="B78" s="1" t="s">
        <v>141</v>
      </c>
      <c r="C78" s="1" t="s">
        <v>278</v>
      </c>
      <c r="D78" s="7">
        <v>4840</v>
      </c>
      <c r="E78" s="1" t="s">
        <v>414</v>
      </c>
      <c r="F78" s="3">
        <f t="shared" ca="1" si="6"/>
        <v>1</v>
      </c>
      <c r="G7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8" s="2">
        <v>42588</v>
      </c>
      <c r="I78" s="2">
        <v>42588</v>
      </c>
      <c r="J78" s="1" t="str">
        <f>IF(Tabela14[[#This Row],[Data de Contratação2]]=Tabela14[[#This Row],[Da de Renovação]],"Em curso",IF(Tabela14[[#This Row],[Duração]]=4,"Renovar","Em curso"))</f>
        <v>Em curso</v>
      </c>
      <c r="K78" s="1" t="s">
        <v>8</v>
      </c>
      <c r="L78" s="1" t="str">
        <f t="shared" ca="1" si="7"/>
        <v>Rescendir</v>
      </c>
      <c r="M78" s="1" t="str">
        <f t="shared" ca="1" si="8"/>
        <v>Alterar</v>
      </c>
      <c r="N78" s="1" t="str">
        <f t="shared" ca="1" si="9"/>
        <v>Alterar</v>
      </c>
    </row>
    <row r="79" spans="1:14" x14ac:dyDescent="0.25">
      <c r="A79" s="1">
        <f t="shared" si="5"/>
        <v>74</v>
      </c>
      <c r="B79" s="1" t="s">
        <v>173</v>
      </c>
      <c r="C79" s="1" t="s">
        <v>279</v>
      </c>
      <c r="D79" s="7">
        <v>4840</v>
      </c>
      <c r="E79" s="1" t="s">
        <v>414</v>
      </c>
      <c r="F79" s="3">
        <f t="shared" ca="1" si="6"/>
        <v>1</v>
      </c>
      <c r="G7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79" s="2">
        <v>41970</v>
      </c>
      <c r="I79" s="2">
        <v>41970</v>
      </c>
      <c r="J79" s="1" t="str">
        <f>IF(Tabela14[[#This Row],[Data de Contratação2]]=Tabela14[[#This Row],[Da de Renovação]],"Em curso",IF(Tabela14[[#This Row],[Duração]]=4,"Renovar","Em curso"))</f>
        <v>Em curso</v>
      </c>
      <c r="K79" s="1" t="s">
        <v>8</v>
      </c>
      <c r="L79" s="1" t="str">
        <f t="shared" ca="1" si="7"/>
        <v>Rescendir</v>
      </c>
      <c r="M79" s="1" t="str">
        <f t="shared" ca="1" si="8"/>
        <v>Rescendir</v>
      </c>
      <c r="N79" s="1" t="str">
        <f t="shared" ca="1" si="9"/>
        <v>Contratar</v>
      </c>
    </row>
    <row r="80" spans="1:14" x14ac:dyDescent="0.25">
      <c r="A80" s="1">
        <f t="shared" si="5"/>
        <v>75</v>
      </c>
      <c r="B80" s="1" t="s">
        <v>89</v>
      </c>
      <c r="C80" s="1" t="s">
        <v>280</v>
      </c>
      <c r="D80" s="7">
        <v>3520</v>
      </c>
      <c r="E80" s="1" t="s">
        <v>414</v>
      </c>
      <c r="F80" s="3">
        <f t="shared" ca="1" si="6"/>
        <v>4</v>
      </c>
      <c r="G8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80" s="2">
        <v>41949</v>
      </c>
      <c r="I80" s="2">
        <v>41949</v>
      </c>
      <c r="J80" s="1" t="str">
        <f>IF(Tabela14[[#This Row],[Data de Contratação2]]=Tabela14[[#This Row],[Da de Renovação]],"Em curso",IF(Tabela14[[#This Row],[Duração]]=4,"Renovar","Em curso"))</f>
        <v>Em curso</v>
      </c>
      <c r="K80" s="1" t="s">
        <v>8</v>
      </c>
      <c r="L80" s="1" t="str">
        <f t="shared" ca="1" si="7"/>
        <v>Valor alto</v>
      </c>
      <c r="M80" s="1" t="str">
        <f t="shared" ca="1" si="8"/>
        <v>Alterar</v>
      </c>
      <c r="N80" s="1" t="str">
        <f t="shared" ca="1" si="9"/>
        <v>Alterar</v>
      </c>
    </row>
    <row r="81" spans="1:14" x14ac:dyDescent="0.25">
      <c r="A81" s="1">
        <f t="shared" si="5"/>
        <v>76</v>
      </c>
      <c r="B81" s="1" t="s">
        <v>92</v>
      </c>
      <c r="C81" s="1" t="s">
        <v>281</v>
      </c>
      <c r="D81" s="7">
        <v>3300</v>
      </c>
      <c r="E81" s="1" t="s">
        <v>414</v>
      </c>
      <c r="F81" s="3">
        <f t="shared" ca="1" si="6"/>
        <v>4</v>
      </c>
      <c r="G8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81" s="2">
        <v>42373</v>
      </c>
      <c r="I81" s="2">
        <v>42373</v>
      </c>
      <c r="J81" s="1" t="str">
        <f>IF(Tabela14[[#This Row],[Data de Contratação2]]=Tabela14[[#This Row],[Da de Renovação]],"Em curso",IF(Tabela14[[#This Row],[Duração]]=4,"Renovar","Em curso"))</f>
        <v>Em curso</v>
      </c>
      <c r="K81" s="1" t="s">
        <v>8</v>
      </c>
      <c r="L81" s="1" t="str">
        <f t="shared" ca="1" si="7"/>
        <v>Alterar</v>
      </c>
      <c r="M81" s="1" t="str">
        <f t="shared" ca="1" si="8"/>
        <v>Alterar</v>
      </c>
      <c r="N81" s="1" t="str">
        <f t="shared" ca="1" si="9"/>
        <v>Contratar</v>
      </c>
    </row>
    <row r="82" spans="1:14" x14ac:dyDescent="0.25">
      <c r="A82" s="1">
        <f t="shared" si="5"/>
        <v>77</v>
      </c>
      <c r="B82" s="1" t="s">
        <v>133</v>
      </c>
      <c r="C82" s="1" t="s">
        <v>282</v>
      </c>
      <c r="D82" s="7">
        <v>4400</v>
      </c>
      <c r="E82" s="1" t="s">
        <v>414</v>
      </c>
      <c r="F82" s="3">
        <f t="shared" ca="1" si="6"/>
        <v>1</v>
      </c>
      <c r="G8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82" s="2">
        <v>43562</v>
      </c>
      <c r="I82" s="2">
        <v>43562</v>
      </c>
      <c r="J82" s="1" t="str">
        <f>IF(Tabela14[[#This Row],[Data de Contratação2]]=Tabela14[[#This Row],[Da de Renovação]],"Em curso",IF(Tabela14[[#This Row],[Duração]]=4,"Renovar","Em curso"))</f>
        <v>Em curso</v>
      </c>
      <c r="K82" s="1" t="s">
        <v>8</v>
      </c>
      <c r="L82" s="1" t="str">
        <f t="shared" ca="1" si="7"/>
        <v>Rescendir</v>
      </c>
      <c r="M82" s="1" t="str">
        <f t="shared" ca="1" si="8"/>
        <v>Renovar</v>
      </c>
      <c r="N82" s="1" t="str">
        <f t="shared" ca="1" si="9"/>
        <v>Rescendir</v>
      </c>
    </row>
    <row r="83" spans="1:14" x14ac:dyDescent="0.25">
      <c r="A83" s="1">
        <f t="shared" si="5"/>
        <v>78</v>
      </c>
      <c r="B83" s="1" t="s">
        <v>82</v>
      </c>
      <c r="C83" s="1" t="s">
        <v>283</v>
      </c>
      <c r="D83" s="7">
        <v>4840</v>
      </c>
      <c r="E83" s="1" t="s">
        <v>414</v>
      </c>
      <c r="F83" s="3">
        <f t="shared" ca="1" si="6"/>
        <v>4</v>
      </c>
      <c r="G8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83" s="2">
        <v>41066</v>
      </c>
      <c r="I83" s="2">
        <v>41066</v>
      </c>
      <c r="J83" s="1" t="str">
        <f>IF(Tabela14[[#This Row],[Data de Contratação2]]=Tabela14[[#This Row],[Da de Renovação]],"Em curso",IF(Tabela14[[#This Row],[Duração]]=4,"Renovar","Em curso"))</f>
        <v>Em curso</v>
      </c>
      <c r="K83" s="1" t="s">
        <v>8</v>
      </c>
      <c r="L83" s="1" t="str">
        <f t="shared" ca="1" si="7"/>
        <v>Valor alto</v>
      </c>
      <c r="M83" s="1" t="str">
        <f t="shared" ca="1" si="8"/>
        <v>Renovar</v>
      </c>
      <c r="N83" s="1" t="str">
        <f t="shared" ca="1" si="9"/>
        <v>Rescendir</v>
      </c>
    </row>
    <row r="84" spans="1:14" x14ac:dyDescent="0.25">
      <c r="A84" s="1">
        <f t="shared" si="5"/>
        <v>79</v>
      </c>
      <c r="B84" s="1" t="s">
        <v>4</v>
      </c>
      <c r="C84" s="1" t="s">
        <v>284</v>
      </c>
      <c r="D84" s="7">
        <v>4400</v>
      </c>
      <c r="E84" s="1" t="s">
        <v>414</v>
      </c>
      <c r="F84" s="3">
        <f t="shared" ca="1" si="6"/>
        <v>4</v>
      </c>
      <c r="G8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84" s="2">
        <v>43146</v>
      </c>
      <c r="I84" s="2">
        <v>43146</v>
      </c>
      <c r="J84" s="1" t="str">
        <f>IF(Tabela14[[#This Row],[Data de Contratação2]]=Tabela14[[#This Row],[Da de Renovação]],"Em curso",IF(Tabela14[[#This Row],[Duração]]=4,"Renovar","Em curso"))</f>
        <v>Em curso</v>
      </c>
      <c r="K84" s="1" t="s">
        <v>8</v>
      </c>
      <c r="L84" s="1" t="str">
        <f t="shared" ca="1" si="7"/>
        <v>Valor alto</v>
      </c>
      <c r="M84" s="1" t="str">
        <f t="shared" ca="1" si="8"/>
        <v>Aprovar</v>
      </c>
      <c r="N84" s="1" t="str">
        <f t="shared" ca="1" si="9"/>
        <v>Renovar</v>
      </c>
    </row>
    <row r="85" spans="1:14" x14ac:dyDescent="0.25">
      <c r="A85" s="1">
        <f t="shared" si="5"/>
        <v>80</v>
      </c>
      <c r="B85" s="1" t="s">
        <v>122</v>
      </c>
      <c r="C85" s="1" t="s">
        <v>285</v>
      </c>
      <c r="D85" s="7">
        <v>4620</v>
      </c>
      <c r="E85" s="1" t="s">
        <v>414</v>
      </c>
      <c r="F85" s="3">
        <f t="shared" ca="1" si="6"/>
        <v>3</v>
      </c>
      <c r="G8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85" s="2">
        <v>43073</v>
      </c>
      <c r="I85" s="2">
        <v>43073</v>
      </c>
      <c r="J85" s="1" t="str">
        <f>IF(Tabela14[[#This Row],[Data de Contratação2]]=Tabela14[[#This Row],[Da de Renovação]],"Em curso",IF(Tabela14[[#This Row],[Duração]]=4,"Renovar","Em curso"))</f>
        <v>Em curso</v>
      </c>
      <c r="K85" s="1" t="s">
        <v>8</v>
      </c>
      <c r="L85" s="1" t="str">
        <f t="shared" ca="1" si="7"/>
        <v>Rescendir</v>
      </c>
      <c r="M85" s="1" t="str">
        <f t="shared" ca="1" si="8"/>
        <v>Rescendir</v>
      </c>
      <c r="N85" s="1" t="str">
        <f t="shared" ca="1" si="9"/>
        <v>Contratar</v>
      </c>
    </row>
    <row r="86" spans="1:14" x14ac:dyDescent="0.25">
      <c r="A86" s="1">
        <f t="shared" si="5"/>
        <v>81</v>
      </c>
      <c r="B86" s="1" t="s">
        <v>162</v>
      </c>
      <c r="C86" s="1" t="s">
        <v>286</v>
      </c>
      <c r="D86" s="7">
        <v>4400</v>
      </c>
      <c r="E86" s="1" t="s">
        <v>414</v>
      </c>
      <c r="F86" s="3">
        <f t="shared" ca="1" si="6"/>
        <v>1</v>
      </c>
      <c r="G8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86" s="2">
        <v>42684</v>
      </c>
      <c r="I86" s="2">
        <v>42684</v>
      </c>
      <c r="J86" s="1" t="str">
        <f>IF(Tabela14[[#This Row],[Data de Contratação2]]=Tabela14[[#This Row],[Da de Renovação]],"Em curso",IF(Tabela14[[#This Row],[Duração]]=4,"Renovar","Em curso"))</f>
        <v>Em curso</v>
      </c>
      <c r="K86" s="1" t="s">
        <v>8</v>
      </c>
      <c r="L86" s="1" t="str">
        <f t="shared" ca="1" si="7"/>
        <v>Rescendir</v>
      </c>
      <c r="M86" s="1" t="str">
        <f t="shared" ca="1" si="8"/>
        <v>Rescendir</v>
      </c>
      <c r="N86" s="1" t="str">
        <f t="shared" ca="1" si="9"/>
        <v>Contratar</v>
      </c>
    </row>
    <row r="87" spans="1:14" x14ac:dyDescent="0.25">
      <c r="A87" s="1">
        <f t="shared" si="5"/>
        <v>82</v>
      </c>
      <c r="B87" s="1" t="s">
        <v>163</v>
      </c>
      <c r="C87" s="1" t="s">
        <v>287</v>
      </c>
      <c r="D87" s="7">
        <v>5280</v>
      </c>
      <c r="E87" s="1" t="s">
        <v>414</v>
      </c>
      <c r="F87" s="3">
        <f t="shared" ca="1" si="6"/>
        <v>4</v>
      </c>
      <c r="G8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87" s="2">
        <v>42600</v>
      </c>
      <c r="I87" s="2">
        <v>42600</v>
      </c>
      <c r="J87" s="1" t="str">
        <f>IF(Tabela14[[#This Row],[Data de Contratação2]]=Tabela14[[#This Row],[Da de Renovação]],"Em curso",IF(Tabela14[[#This Row],[Duração]]=4,"Renovar","Em curso"))</f>
        <v>Em curso</v>
      </c>
      <c r="K87" s="1" t="s">
        <v>8</v>
      </c>
      <c r="L87" s="1" t="str">
        <f t="shared" ca="1" si="7"/>
        <v>Averba</v>
      </c>
      <c r="M87" s="1" t="str">
        <f t="shared" ca="1" si="8"/>
        <v>Alterar</v>
      </c>
      <c r="N87" s="1" t="str">
        <f t="shared" ca="1" si="9"/>
        <v>Renovar</v>
      </c>
    </row>
    <row r="88" spans="1:14" x14ac:dyDescent="0.25">
      <c r="A88" s="1">
        <f t="shared" si="5"/>
        <v>83</v>
      </c>
      <c r="B88" s="1" t="s">
        <v>139</v>
      </c>
      <c r="C88" s="1" t="s">
        <v>288</v>
      </c>
      <c r="D88" s="7">
        <v>3740</v>
      </c>
      <c r="E88" s="1" t="s">
        <v>414</v>
      </c>
      <c r="F88" s="3">
        <f t="shared" ca="1" si="6"/>
        <v>1</v>
      </c>
      <c r="G8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88" s="2">
        <v>42588</v>
      </c>
      <c r="I88" s="2">
        <v>42588</v>
      </c>
      <c r="J88" s="1" t="str">
        <f>IF(Tabela14[[#This Row],[Data de Contratação2]]=Tabela14[[#This Row],[Da de Renovação]],"Em curso",IF(Tabela14[[#This Row],[Duração]]=4,"Renovar","Em curso"))</f>
        <v>Em curso</v>
      </c>
      <c r="K88" s="1" t="s">
        <v>8</v>
      </c>
      <c r="L88" s="1" t="str">
        <f t="shared" ca="1" si="7"/>
        <v>Rescendir</v>
      </c>
      <c r="M88" s="1" t="str">
        <f t="shared" ca="1" si="8"/>
        <v>Renovar</v>
      </c>
      <c r="N88" s="1" t="str">
        <f t="shared" ca="1" si="9"/>
        <v>Rescendir</v>
      </c>
    </row>
    <row r="89" spans="1:14" x14ac:dyDescent="0.25">
      <c r="A89" s="1">
        <f t="shared" si="5"/>
        <v>84</v>
      </c>
      <c r="B89" s="1" t="s">
        <v>174</v>
      </c>
      <c r="C89" s="1" t="s">
        <v>289</v>
      </c>
      <c r="D89" s="7">
        <v>3344</v>
      </c>
      <c r="E89" s="1" t="s">
        <v>414</v>
      </c>
      <c r="F89" s="3">
        <f t="shared" ca="1" si="6"/>
        <v>2</v>
      </c>
      <c r="G8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89" s="2">
        <v>42642</v>
      </c>
      <c r="I89" s="2">
        <v>42642</v>
      </c>
      <c r="J89" s="1" t="str">
        <f>IF(Tabela14[[#This Row],[Data de Contratação2]]=Tabela14[[#This Row],[Da de Renovação]],"Em curso",IF(Tabela14[[#This Row],[Duração]]=4,"Renovar","Em curso"))</f>
        <v>Em curso</v>
      </c>
      <c r="K89" s="1" t="s">
        <v>8</v>
      </c>
      <c r="L89" s="1" t="str">
        <f t="shared" ca="1" si="7"/>
        <v>Valor alto</v>
      </c>
      <c r="M89" s="1" t="str">
        <f t="shared" ca="1" si="8"/>
        <v>Renovar</v>
      </c>
      <c r="N89" s="1" t="str">
        <f t="shared" ca="1" si="9"/>
        <v>Contratar</v>
      </c>
    </row>
    <row r="90" spans="1:14" x14ac:dyDescent="0.25">
      <c r="A90" s="1">
        <f t="shared" si="5"/>
        <v>85</v>
      </c>
      <c r="B90" s="1" t="s">
        <v>16</v>
      </c>
      <c r="C90" s="1" t="s">
        <v>290</v>
      </c>
      <c r="D90" s="7">
        <v>5400</v>
      </c>
      <c r="E90" s="1" t="s">
        <v>415</v>
      </c>
      <c r="F90" s="3">
        <f t="shared" ca="1" si="6"/>
        <v>4</v>
      </c>
      <c r="G9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90" s="2">
        <v>42964</v>
      </c>
      <c r="I90" s="2">
        <v>42964</v>
      </c>
      <c r="J90" s="1" t="str">
        <f>IF(Tabela14[[#This Row],[Data de Contratação2]]=Tabela14[[#This Row],[Da de Renovação]],"Em curso",IF(Tabela14[[#This Row],[Duração]]=4,"Renovar","Em curso"))</f>
        <v>Em curso</v>
      </c>
      <c r="K90" s="1" t="s">
        <v>7</v>
      </c>
      <c r="L90" s="1" t="str">
        <f t="shared" ca="1" si="7"/>
        <v>Alterar</v>
      </c>
      <c r="M90" s="1" t="str">
        <f t="shared" ca="1" si="8"/>
        <v>Renovar</v>
      </c>
      <c r="N90" s="1" t="str">
        <f t="shared" ca="1" si="9"/>
        <v>Alterar</v>
      </c>
    </row>
    <row r="91" spans="1:14" x14ac:dyDescent="0.25">
      <c r="A91" s="1">
        <f t="shared" si="5"/>
        <v>86</v>
      </c>
      <c r="B91" s="1" t="s">
        <v>17</v>
      </c>
      <c r="C91" s="1" t="s">
        <v>291</v>
      </c>
      <c r="D91" s="7">
        <v>5400</v>
      </c>
      <c r="E91" s="1" t="s">
        <v>415</v>
      </c>
      <c r="F91" s="3">
        <f t="shared" ca="1" si="6"/>
        <v>2</v>
      </c>
      <c r="G9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91" s="2">
        <v>42054</v>
      </c>
      <c r="I91" s="2">
        <v>42054</v>
      </c>
      <c r="J91" s="1" t="str">
        <f>IF(Tabela14[[#This Row],[Data de Contratação2]]=Tabela14[[#This Row],[Da de Renovação]],"Em curso",IF(Tabela14[[#This Row],[Duração]]=4,"Renovar","Em curso"))</f>
        <v>Em curso</v>
      </c>
      <c r="K91" s="1" t="s">
        <v>7</v>
      </c>
      <c r="L91" s="1" t="str">
        <f t="shared" ca="1" si="7"/>
        <v>Rescendir</v>
      </c>
      <c r="M91" s="1" t="str">
        <f t="shared" ca="1" si="8"/>
        <v>Renovar</v>
      </c>
      <c r="N91" s="1" t="str">
        <f t="shared" ca="1" si="9"/>
        <v>Rescendir</v>
      </c>
    </row>
    <row r="92" spans="1:14" x14ac:dyDescent="0.25">
      <c r="A92" s="1">
        <f t="shared" si="5"/>
        <v>87</v>
      </c>
      <c r="B92" s="1" t="s">
        <v>13</v>
      </c>
      <c r="C92" s="1" t="s">
        <v>292</v>
      </c>
      <c r="D92" s="7">
        <v>4250</v>
      </c>
      <c r="E92" s="1" t="s">
        <v>415</v>
      </c>
      <c r="F92" s="3">
        <f t="shared" ca="1" si="6"/>
        <v>3</v>
      </c>
      <c r="G9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92" s="2">
        <v>42964</v>
      </c>
      <c r="I92" s="2">
        <v>42964</v>
      </c>
      <c r="J92" s="1" t="str">
        <f>IF(Tabela14[[#This Row],[Data de Contratação2]]=Tabela14[[#This Row],[Da de Renovação]],"Em curso",IF(Tabela14[[#This Row],[Duração]]=4,"Renovar","Em curso"))</f>
        <v>Em curso</v>
      </c>
      <c r="K92" s="1" t="s">
        <v>7</v>
      </c>
      <c r="L92" s="1" t="str">
        <f t="shared" ca="1" si="7"/>
        <v>Alterar</v>
      </c>
      <c r="M92" s="1" t="str">
        <f t="shared" ca="1" si="8"/>
        <v>Rescendir</v>
      </c>
      <c r="N92" s="1" t="str">
        <f t="shared" ca="1" si="9"/>
        <v>Alterar</v>
      </c>
    </row>
    <row r="93" spans="1:14" x14ac:dyDescent="0.25">
      <c r="A93" s="1">
        <f t="shared" si="5"/>
        <v>88</v>
      </c>
      <c r="B93" s="1" t="s">
        <v>14</v>
      </c>
      <c r="C93" s="1" t="s">
        <v>293</v>
      </c>
      <c r="D93" s="7">
        <v>4250</v>
      </c>
      <c r="E93" s="1" t="s">
        <v>415</v>
      </c>
      <c r="F93" s="3">
        <f t="shared" ca="1" si="6"/>
        <v>1</v>
      </c>
      <c r="G9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93" s="2">
        <v>41822</v>
      </c>
      <c r="I93" s="2">
        <v>41822</v>
      </c>
      <c r="J93" s="1" t="str">
        <f>IF(Tabela14[[#This Row],[Data de Contratação2]]=Tabela14[[#This Row],[Da de Renovação]],"Em curso",IF(Tabela14[[#This Row],[Duração]]=4,"Renovar","Em curso"))</f>
        <v>Em curso</v>
      </c>
      <c r="K93" s="1" t="s">
        <v>7</v>
      </c>
      <c r="L93" s="1" t="str">
        <f t="shared" ca="1" si="7"/>
        <v>Rescendir</v>
      </c>
      <c r="M93" s="1" t="str">
        <f t="shared" ca="1" si="8"/>
        <v>Rescendir</v>
      </c>
      <c r="N93" s="1" t="str">
        <f t="shared" ca="1" si="9"/>
        <v>Contratar</v>
      </c>
    </row>
    <row r="94" spans="1:14" x14ac:dyDescent="0.25">
      <c r="A94" s="1">
        <f t="shared" si="5"/>
        <v>89</v>
      </c>
      <c r="B94" s="1" t="s">
        <v>15</v>
      </c>
      <c r="C94" s="1" t="s">
        <v>294</v>
      </c>
      <c r="D94" s="7">
        <v>5400</v>
      </c>
      <c r="E94" s="1" t="s">
        <v>415</v>
      </c>
      <c r="F94" s="3">
        <f t="shared" ca="1" si="6"/>
        <v>2</v>
      </c>
      <c r="G9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94" s="2">
        <v>43073</v>
      </c>
      <c r="I94" s="2">
        <v>43073</v>
      </c>
      <c r="J94" s="1" t="str">
        <f>IF(Tabela14[[#This Row],[Data de Contratação2]]=Tabela14[[#This Row],[Da de Renovação]],"Em curso",IF(Tabela14[[#This Row],[Duração]]=4,"Renovar","Em curso"))</f>
        <v>Em curso</v>
      </c>
      <c r="K94" s="1" t="s">
        <v>7</v>
      </c>
      <c r="L94" s="1" t="str">
        <f t="shared" ca="1" si="7"/>
        <v>Rescendir</v>
      </c>
      <c r="M94" s="1" t="str">
        <f t="shared" ca="1" si="8"/>
        <v>Aprovar</v>
      </c>
      <c r="N94" s="1" t="str">
        <f t="shared" ca="1" si="9"/>
        <v>Renovar</v>
      </c>
    </row>
    <row r="95" spans="1:14" x14ac:dyDescent="0.25">
      <c r="A95" s="1">
        <f t="shared" si="5"/>
        <v>90</v>
      </c>
      <c r="B95" s="1" t="s">
        <v>18</v>
      </c>
      <c r="C95" s="1" t="s">
        <v>295</v>
      </c>
      <c r="D95" s="7">
        <v>5400</v>
      </c>
      <c r="E95" s="1" t="s">
        <v>415</v>
      </c>
      <c r="F95" s="3">
        <f t="shared" ca="1" si="6"/>
        <v>3</v>
      </c>
      <c r="G9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95" s="2">
        <v>42124</v>
      </c>
      <c r="I95" s="2">
        <v>42124</v>
      </c>
      <c r="J95" s="1" t="str">
        <f>IF(Tabela14[[#This Row],[Data de Contratação2]]=Tabela14[[#This Row],[Da de Renovação]],"Em curso",IF(Tabela14[[#This Row],[Duração]]=4,"Renovar","Em curso"))</f>
        <v>Em curso</v>
      </c>
      <c r="K95" s="1" t="s">
        <v>7</v>
      </c>
      <c r="L95" s="1" t="str">
        <f t="shared" ca="1" si="7"/>
        <v>Alterar</v>
      </c>
      <c r="M95" s="1" t="str">
        <f t="shared" ca="1" si="8"/>
        <v>Rescendir</v>
      </c>
      <c r="N95" s="1" t="str">
        <f t="shared" ca="1" si="9"/>
        <v>Renovar</v>
      </c>
    </row>
    <row r="96" spans="1:14" x14ac:dyDescent="0.25">
      <c r="A96" s="1">
        <f t="shared" si="5"/>
        <v>91</v>
      </c>
      <c r="B96" s="1" t="s">
        <v>3</v>
      </c>
      <c r="C96" s="1" t="s">
        <v>296</v>
      </c>
      <c r="D96" s="7">
        <v>5500</v>
      </c>
      <c r="E96" s="1" t="s">
        <v>415</v>
      </c>
      <c r="F96" s="3">
        <f t="shared" ca="1" si="6"/>
        <v>2</v>
      </c>
      <c r="G9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96" s="2">
        <v>43006</v>
      </c>
      <c r="I96" s="2">
        <v>43006</v>
      </c>
      <c r="J96" s="1" t="str">
        <f>IF(Tabela14[[#This Row],[Data de Contratação2]]=Tabela14[[#This Row],[Da de Renovação]],"Em curso",IF(Tabela14[[#This Row],[Duração]]=4,"Renovar","Em curso"))</f>
        <v>Em curso</v>
      </c>
      <c r="K96" s="1" t="s">
        <v>7</v>
      </c>
      <c r="L96" s="1" t="str">
        <f t="shared" ca="1" si="7"/>
        <v>Rescendir</v>
      </c>
      <c r="M96" s="1" t="str">
        <f t="shared" ca="1" si="8"/>
        <v>Rescendir</v>
      </c>
      <c r="N96" s="1" t="str">
        <f t="shared" ca="1" si="9"/>
        <v>Renovar</v>
      </c>
    </row>
    <row r="97" spans="1:14" x14ac:dyDescent="0.25">
      <c r="A97" s="1">
        <f t="shared" si="5"/>
        <v>92</v>
      </c>
      <c r="B97" s="1" t="s">
        <v>20</v>
      </c>
      <c r="C97" s="1" t="s">
        <v>297</v>
      </c>
      <c r="D97" s="7">
        <v>5400</v>
      </c>
      <c r="E97" s="1" t="s">
        <v>415</v>
      </c>
      <c r="F97" s="3">
        <f t="shared" ca="1" si="6"/>
        <v>4</v>
      </c>
      <c r="G9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97" s="2">
        <v>43220</v>
      </c>
      <c r="I97" s="2">
        <v>43220</v>
      </c>
      <c r="J97" s="1" t="str">
        <f>IF(Tabela14[[#This Row],[Data de Contratação2]]=Tabela14[[#This Row],[Da de Renovação]],"Em curso",IF(Tabela14[[#This Row],[Duração]]=4,"Renovar","Em curso"))</f>
        <v>Em curso</v>
      </c>
      <c r="K97" s="1" t="s">
        <v>7</v>
      </c>
      <c r="L97" s="1" t="str">
        <f t="shared" ca="1" si="7"/>
        <v>Alterar</v>
      </c>
      <c r="M97" s="1" t="str">
        <f t="shared" ca="1" si="8"/>
        <v>Rescendir</v>
      </c>
      <c r="N97" s="1" t="str">
        <f t="shared" ca="1" si="9"/>
        <v>Contratar</v>
      </c>
    </row>
    <row r="98" spans="1:14" x14ac:dyDescent="0.25">
      <c r="A98" s="1">
        <f t="shared" si="5"/>
        <v>93</v>
      </c>
      <c r="B98" s="1" t="s">
        <v>19</v>
      </c>
      <c r="C98" s="1" t="s">
        <v>298</v>
      </c>
      <c r="D98" s="7">
        <v>5350</v>
      </c>
      <c r="E98" s="1" t="s">
        <v>415</v>
      </c>
      <c r="F98" s="3">
        <f t="shared" ca="1" si="6"/>
        <v>4</v>
      </c>
      <c r="G9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98" s="2">
        <v>41543</v>
      </c>
      <c r="I98" s="2">
        <v>41543</v>
      </c>
      <c r="J98" s="1" t="str">
        <f>IF(Tabela14[[#This Row],[Data de Contratação2]]=Tabela14[[#This Row],[Da de Renovação]],"Em curso",IF(Tabela14[[#This Row],[Duração]]=4,"Renovar","Em curso"))</f>
        <v>Em curso</v>
      </c>
      <c r="K98" s="1" t="s">
        <v>7</v>
      </c>
      <c r="L98" s="1" t="str">
        <f t="shared" ca="1" si="7"/>
        <v>Averba</v>
      </c>
      <c r="M98" s="1" t="str">
        <f t="shared" ca="1" si="8"/>
        <v>Rescendir</v>
      </c>
      <c r="N98" s="1" t="str">
        <f t="shared" ca="1" si="9"/>
        <v>Alterar</v>
      </c>
    </row>
    <row r="99" spans="1:14" x14ac:dyDescent="0.25">
      <c r="A99" s="1">
        <f t="shared" si="5"/>
        <v>94</v>
      </c>
      <c r="B99" s="1" t="s">
        <v>21</v>
      </c>
      <c r="C99" s="1" t="s">
        <v>299</v>
      </c>
      <c r="D99" s="7">
        <v>7500</v>
      </c>
      <c r="E99" s="1" t="s">
        <v>416</v>
      </c>
      <c r="F99" s="3">
        <f t="shared" ca="1" si="6"/>
        <v>3</v>
      </c>
      <c r="G9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99" s="2">
        <v>41765</v>
      </c>
      <c r="I99" s="2">
        <v>41765</v>
      </c>
      <c r="J99" s="1" t="str">
        <f>IF(Tabela14[[#This Row],[Data de Contratação2]]=Tabela14[[#This Row],[Da de Renovação]],"Em curso",IF(Tabela14[[#This Row],[Duração]]=4,"Renovar","Em curso"))</f>
        <v>Em curso</v>
      </c>
      <c r="K99" s="1" t="s">
        <v>7</v>
      </c>
      <c r="L99" s="1" t="str">
        <f t="shared" ca="1" si="7"/>
        <v>Alterar</v>
      </c>
      <c r="M99" s="1" t="str">
        <f t="shared" ca="1" si="8"/>
        <v>Rescendir</v>
      </c>
      <c r="N99" s="1" t="str">
        <f t="shared" ca="1" si="9"/>
        <v>Renovar</v>
      </c>
    </row>
    <row r="100" spans="1:14" x14ac:dyDescent="0.25">
      <c r="A100" s="1">
        <f t="shared" si="5"/>
        <v>95</v>
      </c>
      <c r="B100" s="1" t="s">
        <v>22</v>
      </c>
      <c r="C100" s="1" t="s">
        <v>300</v>
      </c>
      <c r="D100" s="7">
        <v>7500</v>
      </c>
      <c r="E100" s="1" t="s">
        <v>416</v>
      </c>
      <c r="F100" s="3">
        <f t="shared" ca="1" si="6"/>
        <v>3</v>
      </c>
      <c r="G10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00" s="2">
        <v>42127</v>
      </c>
      <c r="I100" s="2">
        <v>42127</v>
      </c>
      <c r="J100" s="1" t="str">
        <f>IF(Tabela14[[#This Row],[Data de Contratação2]]=Tabela14[[#This Row],[Da de Renovação]],"Em curso",IF(Tabela14[[#This Row],[Duração]]=4,"Renovar","Em curso"))</f>
        <v>Em curso</v>
      </c>
      <c r="K100" s="1" t="s">
        <v>7</v>
      </c>
      <c r="L100" s="1" t="str">
        <f t="shared" ca="1" si="7"/>
        <v>Valor alto</v>
      </c>
      <c r="M100" s="1" t="str">
        <f t="shared" ca="1" si="8"/>
        <v>Rescendir</v>
      </c>
      <c r="N100" s="1" t="str">
        <f t="shared" ca="1" si="9"/>
        <v>Renovar</v>
      </c>
    </row>
    <row r="101" spans="1:14" x14ac:dyDescent="0.25">
      <c r="A101" s="1">
        <f t="shared" si="5"/>
        <v>96</v>
      </c>
      <c r="B101" s="1" t="s">
        <v>24</v>
      </c>
      <c r="C101" s="1" t="s">
        <v>301</v>
      </c>
      <c r="D101" s="7">
        <v>7500</v>
      </c>
      <c r="E101" s="1" t="s">
        <v>416</v>
      </c>
      <c r="F101" s="3">
        <f t="shared" ca="1" si="6"/>
        <v>3</v>
      </c>
      <c r="G10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01" s="2">
        <v>43006</v>
      </c>
      <c r="I101" s="2">
        <v>43006</v>
      </c>
      <c r="J101" s="1" t="str">
        <f>IF(Tabela14[[#This Row],[Data de Contratação2]]=Tabela14[[#This Row],[Da de Renovação]],"Em curso",IF(Tabela14[[#This Row],[Duração]]=4,"Renovar","Em curso"))</f>
        <v>Em curso</v>
      </c>
      <c r="K101" s="1" t="s">
        <v>7</v>
      </c>
      <c r="L101" s="1" t="str">
        <f t="shared" ca="1" si="7"/>
        <v>Valor alto</v>
      </c>
      <c r="M101" s="1" t="str">
        <f t="shared" ca="1" si="8"/>
        <v>Rescendir</v>
      </c>
      <c r="N101" s="1" t="str">
        <f t="shared" ca="1" si="9"/>
        <v>Contratar</v>
      </c>
    </row>
    <row r="102" spans="1:14" x14ac:dyDescent="0.25">
      <c r="A102" s="1">
        <f t="shared" si="5"/>
        <v>97</v>
      </c>
      <c r="B102" s="1" t="s">
        <v>23</v>
      </c>
      <c r="C102" s="1" t="s">
        <v>302</v>
      </c>
      <c r="D102" s="7">
        <v>8600</v>
      </c>
      <c r="E102" s="1" t="s">
        <v>416</v>
      </c>
      <c r="F102" s="3">
        <f t="shared" ca="1" si="6"/>
        <v>3</v>
      </c>
      <c r="G10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02" s="2">
        <v>41912</v>
      </c>
      <c r="I102" s="2">
        <v>41912</v>
      </c>
      <c r="J102" s="1" t="str">
        <f>IF(Tabela14[[#This Row],[Data de Contratação2]]=Tabela14[[#This Row],[Da de Renovação]],"Em curso",IF(Tabela14[[#This Row],[Duração]]=4,"Renovar","Em curso"))</f>
        <v>Em curso</v>
      </c>
      <c r="K102" s="1" t="s">
        <v>7</v>
      </c>
      <c r="L102" s="1" t="str">
        <f t="shared" ca="1" si="7"/>
        <v>Rescendir</v>
      </c>
      <c r="M102" s="1" t="str">
        <f t="shared" ca="1" si="8"/>
        <v>Renovar</v>
      </c>
      <c r="N102" s="1" t="str">
        <f t="shared" ca="1" si="9"/>
        <v>Contratar</v>
      </c>
    </row>
    <row r="103" spans="1:14" x14ac:dyDescent="0.25">
      <c r="A103" s="1">
        <f t="shared" si="5"/>
        <v>98</v>
      </c>
      <c r="B103" s="1" t="s">
        <v>26</v>
      </c>
      <c r="C103" s="1" t="s">
        <v>303</v>
      </c>
      <c r="D103" s="7">
        <v>8600</v>
      </c>
      <c r="E103" s="1" t="s">
        <v>416</v>
      </c>
      <c r="F103" s="3">
        <f t="shared" ca="1" si="6"/>
        <v>1</v>
      </c>
      <c r="G10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03" s="2">
        <v>41798</v>
      </c>
      <c r="I103" s="2">
        <v>41798</v>
      </c>
      <c r="J103" s="1" t="str">
        <f>IF(Tabela14[[#This Row],[Data de Contratação2]]=Tabela14[[#This Row],[Da de Renovação]],"Em curso",IF(Tabela14[[#This Row],[Duração]]=4,"Renovar","Em curso"))</f>
        <v>Em curso</v>
      </c>
      <c r="K103" s="1" t="s">
        <v>7</v>
      </c>
      <c r="L103" s="1" t="str">
        <f t="shared" ca="1" si="7"/>
        <v>Averba</v>
      </c>
      <c r="M103" s="1" t="str">
        <f t="shared" ca="1" si="8"/>
        <v>Alterar</v>
      </c>
      <c r="N103" s="1" t="str">
        <f t="shared" ca="1" si="9"/>
        <v>Renovar</v>
      </c>
    </row>
    <row r="104" spans="1:14" x14ac:dyDescent="0.25">
      <c r="A104" s="1">
        <f t="shared" si="5"/>
        <v>99</v>
      </c>
      <c r="B104" s="1" t="s">
        <v>25</v>
      </c>
      <c r="C104" s="1" t="s">
        <v>304</v>
      </c>
      <c r="D104" s="7">
        <v>8600</v>
      </c>
      <c r="E104" s="1" t="s">
        <v>416</v>
      </c>
      <c r="F104" s="3">
        <f t="shared" ca="1" si="6"/>
        <v>4</v>
      </c>
      <c r="G10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04" s="2">
        <v>43146</v>
      </c>
      <c r="I104" s="2">
        <v>43146</v>
      </c>
      <c r="J104" s="1" t="str">
        <f>IF(Tabela14[[#This Row],[Data de Contratação2]]=Tabela14[[#This Row],[Da de Renovação]],"Em curso",IF(Tabela14[[#This Row],[Duração]]=4,"Renovar","Em curso"))</f>
        <v>Em curso</v>
      </c>
      <c r="K104" s="1" t="s">
        <v>7</v>
      </c>
      <c r="L104" s="1" t="str">
        <f t="shared" ca="1" si="7"/>
        <v>Rescendir</v>
      </c>
      <c r="M104" s="1" t="str">
        <f t="shared" ca="1" si="8"/>
        <v>Aprovar</v>
      </c>
      <c r="N104" s="1" t="str">
        <f t="shared" ca="1" si="9"/>
        <v>Alterar</v>
      </c>
    </row>
    <row r="105" spans="1:14" x14ac:dyDescent="0.25">
      <c r="A105" s="1">
        <f t="shared" si="5"/>
        <v>100</v>
      </c>
      <c r="B105" s="1" t="s">
        <v>28</v>
      </c>
      <c r="C105" s="1" t="s">
        <v>305</v>
      </c>
      <c r="D105" s="7">
        <v>8600</v>
      </c>
      <c r="E105" s="1" t="s">
        <v>416</v>
      </c>
      <c r="F105" s="3">
        <f t="shared" ca="1" si="6"/>
        <v>3</v>
      </c>
      <c r="G10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05" s="2">
        <v>43073</v>
      </c>
      <c r="I105" s="2">
        <v>43073</v>
      </c>
      <c r="J105" s="1" t="str">
        <f>IF(Tabela14[[#This Row],[Data de Contratação2]]=Tabela14[[#This Row],[Da de Renovação]],"Em curso",IF(Tabela14[[#This Row],[Duração]]=4,"Renovar","Em curso"))</f>
        <v>Em curso</v>
      </c>
      <c r="K105" s="1" t="s">
        <v>7</v>
      </c>
      <c r="L105" s="1" t="str">
        <f t="shared" ca="1" si="7"/>
        <v>Averba</v>
      </c>
      <c r="M105" s="1" t="str">
        <f t="shared" ca="1" si="8"/>
        <v>Alterar</v>
      </c>
      <c r="N105" s="1" t="str">
        <f t="shared" ca="1" si="9"/>
        <v>Renovar</v>
      </c>
    </row>
    <row r="106" spans="1:14" x14ac:dyDescent="0.25">
      <c r="A106" s="1">
        <f t="shared" si="5"/>
        <v>101</v>
      </c>
      <c r="B106" s="1" t="s">
        <v>30</v>
      </c>
      <c r="C106" s="1" t="s">
        <v>306</v>
      </c>
      <c r="D106" s="7">
        <v>8000</v>
      </c>
      <c r="E106" s="1" t="s">
        <v>416</v>
      </c>
      <c r="F106" s="3">
        <f t="shared" ca="1" si="6"/>
        <v>4</v>
      </c>
      <c r="G10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06" s="2">
        <v>42600</v>
      </c>
      <c r="I106" s="2">
        <v>42600</v>
      </c>
      <c r="J106" s="1" t="str">
        <f>IF(Tabela14[[#This Row],[Data de Contratação2]]=Tabela14[[#This Row],[Da de Renovação]],"Em curso",IF(Tabela14[[#This Row],[Duração]]=4,"Renovar","Em curso"))</f>
        <v>Em curso</v>
      </c>
      <c r="K106" s="1" t="s">
        <v>7</v>
      </c>
      <c r="L106" s="1" t="str">
        <f t="shared" ca="1" si="7"/>
        <v>Averba</v>
      </c>
      <c r="M106" s="1" t="str">
        <f t="shared" ca="1" si="8"/>
        <v>Rescendir</v>
      </c>
      <c r="N106" s="1" t="str">
        <f t="shared" ca="1" si="9"/>
        <v>Contratar</v>
      </c>
    </row>
    <row r="107" spans="1:14" x14ac:dyDescent="0.25">
      <c r="A107" s="1">
        <f t="shared" si="5"/>
        <v>102</v>
      </c>
      <c r="B107" s="1" t="s">
        <v>32</v>
      </c>
      <c r="C107" s="1" t="s">
        <v>307</v>
      </c>
      <c r="D107" s="7">
        <v>8600</v>
      </c>
      <c r="E107" s="1" t="s">
        <v>416</v>
      </c>
      <c r="F107" s="3">
        <f t="shared" ca="1" si="6"/>
        <v>3</v>
      </c>
      <c r="G10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07" s="2">
        <v>42138</v>
      </c>
      <c r="I107" s="2">
        <v>42138</v>
      </c>
      <c r="J107" s="1" t="str">
        <f>IF(Tabela14[[#This Row],[Data de Contratação2]]=Tabela14[[#This Row],[Da de Renovação]],"Em curso",IF(Tabela14[[#This Row],[Duração]]=4,"Renovar","Em curso"))</f>
        <v>Em curso</v>
      </c>
      <c r="K107" s="1" t="s">
        <v>7</v>
      </c>
      <c r="L107" s="1" t="str">
        <f t="shared" ca="1" si="7"/>
        <v>Alterar</v>
      </c>
      <c r="M107" s="1" t="str">
        <f t="shared" ca="1" si="8"/>
        <v>Aprovar</v>
      </c>
      <c r="N107" s="1" t="str">
        <f t="shared" ca="1" si="9"/>
        <v>Rescendir</v>
      </c>
    </row>
    <row r="108" spans="1:14" x14ac:dyDescent="0.25">
      <c r="A108" s="1">
        <f t="shared" si="5"/>
        <v>103</v>
      </c>
      <c r="B108" s="1" t="s">
        <v>34</v>
      </c>
      <c r="C108" s="1" t="s">
        <v>308</v>
      </c>
      <c r="D108" s="7">
        <v>8000</v>
      </c>
      <c r="E108" s="1" t="s">
        <v>416</v>
      </c>
      <c r="F108" s="3">
        <f t="shared" ca="1" si="6"/>
        <v>4</v>
      </c>
      <c r="G10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08" s="2">
        <v>43623</v>
      </c>
      <c r="I108" s="2">
        <v>43623</v>
      </c>
      <c r="J108" s="1" t="str">
        <f>IF(Tabela14[[#This Row],[Data de Contratação2]]=Tabela14[[#This Row],[Da de Renovação]],"Em curso",IF(Tabela14[[#This Row],[Duração]]=4,"Renovar","Em curso"))</f>
        <v>Em curso</v>
      </c>
      <c r="K108" s="1" t="s">
        <v>7</v>
      </c>
      <c r="L108" s="1" t="str">
        <f t="shared" ca="1" si="7"/>
        <v>Rescendir</v>
      </c>
      <c r="M108" s="1" t="str">
        <f t="shared" ca="1" si="8"/>
        <v>Rescendir</v>
      </c>
      <c r="N108" s="1" t="str">
        <f t="shared" ca="1" si="9"/>
        <v>Alterar</v>
      </c>
    </row>
    <row r="109" spans="1:14" x14ac:dyDescent="0.25">
      <c r="A109" s="1">
        <f t="shared" si="5"/>
        <v>104</v>
      </c>
      <c r="B109" s="1" t="s">
        <v>27</v>
      </c>
      <c r="C109" s="1" t="s">
        <v>309</v>
      </c>
      <c r="D109" s="7">
        <v>8000</v>
      </c>
      <c r="E109" s="1" t="s">
        <v>416</v>
      </c>
      <c r="F109" s="3">
        <f t="shared" ca="1" si="6"/>
        <v>1</v>
      </c>
      <c r="G10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09" s="2">
        <v>42588</v>
      </c>
      <c r="I109" s="2">
        <v>42588</v>
      </c>
      <c r="J109" s="1" t="str">
        <f>IF(Tabela14[[#This Row],[Data de Contratação2]]=Tabela14[[#This Row],[Da de Renovação]],"Em curso",IF(Tabela14[[#This Row],[Duração]]=4,"Renovar","Em curso"))</f>
        <v>Em curso</v>
      </c>
      <c r="K109" s="1" t="s">
        <v>7</v>
      </c>
      <c r="L109" s="1" t="str">
        <f t="shared" ca="1" si="7"/>
        <v>Alterar</v>
      </c>
      <c r="M109" s="1" t="str">
        <f t="shared" ca="1" si="8"/>
        <v>Rescendir</v>
      </c>
      <c r="N109" s="1" t="str">
        <f t="shared" ca="1" si="9"/>
        <v>Rescendir</v>
      </c>
    </row>
    <row r="110" spans="1:14" x14ac:dyDescent="0.25">
      <c r="A110" s="1">
        <f t="shared" si="5"/>
        <v>105</v>
      </c>
      <c r="B110" s="1" t="s">
        <v>29</v>
      </c>
      <c r="C110" s="1" t="s">
        <v>310</v>
      </c>
      <c r="D110" s="7">
        <v>10000</v>
      </c>
      <c r="E110" s="1" t="s">
        <v>417</v>
      </c>
      <c r="F110" s="3">
        <f t="shared" ca="1" si="6"/>
        <v>1</v>
      </c>
      <c r="G11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10" s="2">
        <v>42642</v>
      </c>
      <c r="I110" s="2">
        <v>42642</v>
      </c>
      <c r="J110" s="1" t="str">
        <f>IF(Tabela14[[#This Row],[Data de Contratação2]]=Tabela14[[#This Row],[Da de Renovação]],"Em curso",IF(Tabela14[[#This Row],[Duração]]=4,"Renovar","Em curso"))</f>
        <v>Em curso</v>
      </c>
      <c r="K110" s="1" t="s">
        <v>7</v>
      </c>
      <c r="L110" s="1" t="str">
        <f t="shared" ca="1" si="7"/>
        <v>Rescendir</v>
      </c>
      <c r="M110" s="1" t="str">
        <f t="shared" ca="1" si="8"/>
        <v>Renovar</v>
      </c>
      <c r="N110" s="1" t="str">
        <f t="shared" ca="1" si="9"/>
        <v>Rescendir</v>
      </c>
    </row>
    <row r="111" spans="1:14" x14ac:dyDescent="0.25">
      <c r="A111" s="1">
        <f t="shared" si="5"/>
        <v>106</v>
      </c>
      <c r="B111" s="1" t="s">
        <v>31</v>
      </c>
      <c r="C111" s="1" t="s">
        <v>311</v>
      </c>
      <c r="D111" s="7">
        <v>10500</v>
      </c>
      <c r="E111" s="1" t="s">
        <v>417</v>
      </c>
      <c r="F111" s="3">
        <f t="shared" ca="1" si="6"/>
        <v>3</v>
      </c>
      <c r="G11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11" s="2">
        <v>42248</v>
      </c>
      <c r="I111" s="2">
        <v>42248</v>
      </c>
      <c r="J111" s="1" t="str">
        <f>IF(Tabela14[[#This Row],[Data de Contratação2]]=Tabela14[[#This Row],[Da de Renovação]],"Em curso",IF(Tabela14[[#This Row],[Duração]]=4,"Renovar","Em curso"))</f>
        <v>Em curso</v>
      </c>
      <c r="K111" s="1" t="s">
        <v>7</v>
      </c>
      <c r="L111" s="1" t="str">
        <f t="shared" ca="1" si="7"/>
        <v>Valor alto</v>
      </c>
      <c r="M111" s="1" t="str">
        <f t="shared" ca="1" si="8"/>
        <v>Rescendir</v>
      </c>
      <c r="N111" s="1" t="str">
        <f t="shared" ca="1" si="9"/>
        <v>Contratar</v>
      </c>
    </row>
    <row r="112" spans="1:14" x14ac:dyDescent="0.25">
      <c r="A112" s="1">
        <f t="shared" si="5"/>
        <v>107</v>
      </c>
      <c r="B112" s="1" t="s">
        <v>36</v>
      </c>
      <c r="C112" s="1" t="s">
        <v>312</v>
      </c>
      <c r="D112" s="7">
        <v>11200</v>
      </c>
      <c r="E112" s="1" t="s">
        <v>417</v>
      </c>
      <c r="F112" s="3">
        <f t="shared" ca="1" si="6"/>
        <v>4</v>
      </c>
      <c r="G11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12" s="2">
        <v>40056</v>
      </c>
      <c r="I112" s="2">
        <v>40056</v>
      </c>
      <c r="J112" s="1" t="str">
        <f>IF(Tabela14[[#This Row],[Data de Contratação2]]=Tabela14[[#This Row],[Da de Renovação]],"Em curso",IF(Tabela14[[#This Row],[Duração]]=4,"Renovar","Em curso"))</f>
        <v>Em curso</v>
      </c>
      <c r="K112" s="1" t="s">
        <v>7</v>
      </c>
      <c r="L112" s="1" t="str">
        <f t="shared" ca="1" si="7"/>
        <v>Averba</v>
      </c>
      <c r="M112" s="1" t="str">
        <f t="shared" ca="1" si="8"/>
        <v>Alterar</v>
      </c>
      <c r="N112" s="1" t="str">
        <f t="shared" ca="1" si="9"/>
        <v>Contratar</v>
      </c>
    </row>
    <row r="113" spans="1:14" x14ac:dyDescent="0.25">
      <c r="A113" s="1">
        <f t="shared" si="5"/>
        <v>108</v>
      </c>
      <c r="B113" s="1" t="s">
        <v>33</v>
      </c>
      <c r="C113" s="1" t="s">
        <v>313</v>
      </c>
      <c r="D113" s="7">
        <v>10250</v>
      </c>
      <c r="E113" s="1" t="s">
        <v>417</v>
      </c>
      <c r="F113" s="3">
        <f t="shared" ca="1" si="6"/>
        <v>4</v>
      </c>
      <c r="G11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13" s="2">
        <v>43006</v>
      </c>
      <c r="I113" s="2">
        <v>43006</v>
      </c>
      <c r="J113" s="1" t="str">
        <f>IF(Tabela14[[#This Row],[Data de Contratação2]]=Tabela14[[#This Row],[Da de Renovação]],"Em curso",IF(Tabela14[[#This Row],[Duração]]=4,"Renovar","Em curso"))</f>
        <v>Em curso</v>
      </c>
      <c r="K113" s="1" t="s">
        <v>7</v>
      </c>
      <c r="L113" s="1" t="str">
        <f t="shared" ca="1" si="7"/>
        <v>Alterar</v>
      </c>
      <c r="M113" s="1" t="str">
        <f t="shared" ca="1" si="8"/>
        <v>Alterar</v>
      </c>
      <c r="N113" s="1" t="str">
        <f t="shared" ca="1" si="9"/>
        <v>Contratar</v>
      </c>
    </row>
    <row r="114" spans="1:14" x14ac:dyDescent="0.25">
      <c r="A114" s="1">
        <f t="shared" si="5"/>
        <v>109</v>
      </c>
      <c r="B114" s="1" t="s">
        <v>49</v>
      </c>
      <c r="C114" s="1" t="s">
        <v>314</v>
      </c>
      <c r="D114" s="7">
        <v>13200</v>
      </c>
      <c r="E114" s="1" t="s">
        <v>418</v>
      </c>
      <c r="F114" s="3">
        <f t="shared" ca="1" si="6"/>
        <v>1</v>
      </c>
      <c r="G11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14" s="2">
        <v>41029</v>
      </c>
      <c r="I114" s="2">
        <v>41029</v>
      </c>
      <c r="J114" s="1" t="str">
        <f>IF(Tabela14[[#This Row],[Data de Contratação2]]=Tabela14[[#This Row],[Da de Renovação]],"Em curso",IF(Tabela14[[#This Row],[Duração]]=4,"Renovar","Em curso"))</f>
        <v>Em curso</v>
      </c>
      <c r="K114" s="1" t="s">
        <v>8</v>
      </c>
      <c r="L114" s="1" t="str">
        <f t="shared" ca="1" si="7"/>
        <v>Rescendir</v>
      </c>
      <c r="M114" s="1" t="str">
        <f t="shared" ca="1" si="8"/>
        <v>Alterar</v>
      </c>
      <c r="N114" s="1" t="str">
        <f t="shared" ca="1" si="9"/>
        <v>Rescendir</v>
      </c>
    </row>
    <row r="115" spans="1:14" x14ac:dyDescent="0.25">
      <c r="A115" s="1">
        <f t="shared" si="5"/>
        <v>110</v>
      </c>
      <c r="B115" s="1" t="s">
        <v>51</v>
      </c>
      <c r="C115" s="1" t="s">
        <v>315</v>
      </c>
      <c r="D115" s="7">
        <v>13200</v>
      </c>
      <c r="E115" s="1" t="s">
        <v>419</v>
      </c>
      <c r="F115" s="3">
        <f t="shared" ca="1" si="6"/>
        <v>2</v>
      </c>
      <c r="G11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15" s="2">
        <v>42859</v>
      </c>
      <c r="I115" s="2">
        <v>42859</v>
      </c>
      <c r="J115" s="1" t="str">
        <f>IF(Tabela14[[#This Row],[Data de Contratação2]]=Tabela14[[#This Row],[Da de Renovação]],"Em curso",IF(Tabela14[[#This Row],[Duração]]=4,"Renovar","Em curso"))</f>
        <v>Em curso</v>
      </c>
      <c r="K115" s="1" t="s">
        <v>7</v>
      </c>
      <c r="L115" s="1" t="str">
        <f t="shared" ca="1" si="7"/>
        <v>Valor alto</v>
      </c>
      <c r="M115" s="1" t="str">
        <f t="shared" ca="1" si="8"/>
        <v>Alterar</v>
      </c>
      <c r="N115" s="1" t="str">
        <f t="shared" ca="1" si="9"/>
        <v>Contratar</v>
      </c>
    </row>
    <row r="116" spans="1:14" x14ac:dyDescent="0.25">
      <c r="A116" s="1">
        <f t="shared" si="5"/>
        <v>111</v>
      </c>
      <c r="B116" s="1" t="s">
        <v>65</v>
      </c>
      <c r="C116" s="1" t="s">
        <v>316</v>
      </c>
      <c r="D116" s="7">
        <v>17600</v>
      </c>
      <c r="E116" s="1" t="s">
        <v>420</v>
      </c>
      <c r="F116" s="3">
        <f t="shared" ca="1" si="6"/>
        <v>2</v>
      </c>
      <c r="G11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16" s="2">
        <v>42041</v>
      </c>
      <c r="I116" s="2">
        <v>42041</v>
      </c>
      <c r="J116" s="1" t="str">
        <f>IF(Tabela14[[#This Row],[Data de Contratação2]]=Tabela14[[#This Row],[Da de Renovação]],"Em curso",IF(Tabela14[[#This Row],[Duração]]=4,"Renovar","Em curso"))</f>
        <v>Em curso</v>
      </c>
      <c r="K116" s="1" t="s">
        <v>5</v>
      </c>
      <c r="L116" s="1" t="str">
        <f t="shared" ca="1" si="7"/>
        <v>Rescendir</v>
      </c>
      <c r="M116" s="1" t="str">
        <f t="shared" ca="1" si="8"/>
        <v>Rescendir</v>
      </c>
      <c r="N116" s="1" t="str">
        <f t="shared" ca="1" si="9"/>
        <v>Alterar</v>
      </c>
    </row>
    <row r="117" spans="1:14" x14ac:dyDescent="0.25">
      <c r="A117" s="1">
        <f t="shared" si="5"/>
        <v>112</v>
      </c>
      <c r="B117" s="1" t="s">
        <v>2</v>
      </c>
      <c r="C117" s="1" t="s">
        <v>317</v>
      </c>
      <c r="D117" s="7">
        <v>11990</v>
      </c>
      <c r="E117" s="1" t="s">
        <v>421</v>
      </c>
      <c r="F117" s="3">
        <f t="shared" ca="1" si="6"/>
        <v>1</v>
      </c>
      <c r="G11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17" s="2">
        <v>41646</v>
      </c>
      <c r="I117" s="2">
        <v>41646</v>
      </c>
      <c r="J117" s="1" t="str">
        <f>IF(Tabela14[[#This Row],[Data de Contratação2]]=Tabela14[[#This Row],[Da de Renovação]],"Em curso",IF(Tabela14[[#This Row],[Duração]]=4,"Renovar","Em curso"))</f>
        <v>Em curso</v>
      </c>
      <c r="K117" s="1" t="s">
        <v>8</v>
      </c>
      <c r="L117" s="1" t="str">
        <f t="shared" ca="1" si="7"/>
        <v>Valor alto</v>
      </c>
      <c r="M117" s="1" t="str">
        <f t="shared" ca="1" si="8"/>
        <v>Aprovar</v>
      </c>
      <c r="N117" s="1" t="str">
        <f t="shared" ca="1" si="9"/>
        <v>Rescendir</v>
      </c>
    </row>
    <row r="118" spans="1:14" x14ac:dyDescent="0.25">
      <c r="A118" s="1">
        <f t="shared" si="5"/>
        <v>113</v>
      </c>
      <c r="B118" s="1" t="s">
        <v>72</v>
      </c>
      <c r="C118" s="1" t="s">
        <v>318</v>
      </c>
      <c r="D118" s="7">
        <v>12100</v>
      </c>
      <c r="E118" s="1" t="s">
        <v>421</v>
      </c>
      <c r="F118" s="3">
        <f t="shared" ca="1" si="6"/>
        <v>4</v>
      </c>
      <c r="G11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18" s="2">
        <v>43492</v>
      </c>
      <c r="I118" s="2">
        <v>43492</v>
      </c>
      <c r="J118" s="1" t="str">
        <f>IF(Tabela14[[#This Row],[Data de Contratação2]]=Tabela14[[#This Row],[Da de Renovação]],"Em curso",IF(Tabela14[[#This Row],[Duração]]=4,"Renovar","Em curso"))</f>
        <v>Em curso</v>
      </c>
      <c r="K118" s="1" t="s">
        <v>8</v>
      </c>
      <c r="L118" s="1" t="str">
        <f t="shared" ca="1" si="7"/>
        <v>Valor alto</v>
      </c>
      <c r="M118" s="1" t="str">
        <f t="shared" ca="1" si="8"/>
        <v>Alterar</v>
      </c>
      <c r="N118" s="1" t="str">
        <f t="shared" ca="1" si="9"/>
        <v>Alterar</v>
      </c>
    </row>
    <row r="119" spans="1:14" x14ac:dyDescent="0.25">
      <c r="A119" s="1">
        <f t="shared" si="5"/>
        <v>114</v>
      </c>
      <c r="B119" s="1" t="s">
        <v>67</v>
      </c>
      <c r="C119" s="1" t="s">
        <v>319</v>
      </c>
      <c r="D119" s="7">
        <v>11220</v>
      </c>
      <c r="E119" s="1" t="s">
        <v>421</v>
      </c>
      <c r="F119" s="3">
        <f t="shared" ca="1" si="6"/>
        <v>1</v>
      </c>
      <c r="G11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19" s="2">
        <v>42995</v>
      </c>
      <c r="I119" s="2">
        <v>42995</v>
      </c>
      <c r="J119" s="1" t="str">
        <f>IF(Tabela14[[#This Row],[Data de Contratação2]]=Tabela14[[#This Row],[Da de Renovação]],"Em curso",IF(Tabela14[[#This Row],[Duração]]=4,"Renovar","Em curso"))</f>
        <v>Em curso</v>
      </c>
      <c r="K119" s="1" t="s">
        <v>8</v>
      </c>
      <c r="L119" s="1" t="str">
        <f t="shared" ca="1" si="7"/>
        <v>Valor alto</v>
      </c>
      <c r="M119" s="1" t="str">
        <f t="shared" ca="1" si="8"/>
        <v>Aprovar</v>
      </c>
      <c r="N119" s="1" t="str">
        <f t="shared" ca="1" si="9"/>
        <v>Renovar</v>
      </c>
    </row>
    <row r="120" spans="1:14" x14ac:dyDescent="0.25">
      <c r="A120" s="1">
        <f t="shared" si="5"/>
        <v>115</v>
      </c>
      <c r="B120" s="1" t="s">
        <v>73</v>
      </c>
      <c r="C120" s="1" t="s">
        <v>320</v>
      </c>
      <c r="D120" s="7">
        <v>11880</v>
      </c>
      <c r="E120" s="1" t="s">
        <v>421</v>
      </c>
      <c r="F120" s="3">
        <f t="shared" ca="1" si="6"/>
        <v>4</v>
      </c>
      <c r="G12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20" s="2">
        <v>43136</v>
      </c>
      <c r="I120" s="2">
        <v>43136</v>
      </c>
      <c r="J120" s="1" t="str">
        <f>IF(Tabela14[[#This Row],[Data de Contratação2]]=Tabela14[[#This Row],[Da de Renovação]],"Em curso",IF(Tabela14[[#This Row],[Duração]]=4,"Renovar","Em curso"))</f>
        <v>Em curso</v>
      </c>
      <c r="K120" s="1" t="s">
        <v>8</v>
      </c>
      <c r="L120" s="1" t="str">
        <f t="shared" ca="1" si="7"/>
        <v>Alterar</v>
      </c>
      <c r="M120" s="1" t="str">
        <f t="shared" ca="1" si="8"/>
        <v>Renovar</v>
      </c>
      <c r="N120" s="1" t="str">
        <f t="shared" ca="1" si="9"/>
        <v>Rescendir</v>
      </c>
    </row>
    <row r="121" spans="1:14" x14ac:dyDescent="0.25">
      <c r="A121" s="1">
        <f t="shared" si="5"/>
        <v>116</v>
      </c>
      <c r="B121" s="1" t="s">
        <v>68</v>
      </c>
      <c r="C121" s="1" t="s">
        <v>321</v>
      </c>
      <c r="D121" s="7">
        <v>12100</v>
      </c>
      <c r="E121" s="1" t="s">
        <v>421</v>
      </c>
      <c r="F121" s="3">
        <f t="shared" ca="1" si="6"/>
        <v>1</v>
      </c>
      <c r="G12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21" s="2">
        <v>42642</v>
      </c>
      <c r="I121" s="2">
        <v>42642</v>
      </c>
      <c r="J121" s="1" t="str">
        <f>IF(Tabela14[[#This Row],[Data de Contratação2]]=Tabela14[[#This Row],[Da de Renovação]],"Em curso",IF(Tabela14[[#This Row],[Duração]]=4,"Renovar","Em curso"))</f>
        <v>Em curso</v>
      </c>
      <c r="K121" s="1" t="s">
        <v>8</v>
      </c>
      <c r="L121" s="1" t="str">
        <f t="shared" ca="1" si="7"/>
        <v>Alterar</v>
      </c>
      <c r="M121" s="1" t="str">
        <f t="shared" ca="1" si="8"/>
        <v>Rescendir</v>
      </c>
      <c r="N121" s="1" t="str">
        <f t="shared" ca="1" si="9"/>
        <v>Rescendir</v>
      </c>
    </row>
    <row r="122" spans="1:14" x14ac:dyDescent="0.25">
      <c r="A122" s="1">
        <f t="shared" si="5"/>
        <v>117</v>
      </c>
      <c r="B122" s="1" t="s">
        <v>76</v>
      </c>
      <c r="C122" s="1" t="s">
        <v>322</v>
      </c>
      <c r="D122" s="7">
        <v>11660</v>
      </c>
      <c r="E122" s="1" t="s">
        <v>421</v>
      </c>
      <c r="F122" s="3">
        <f t="shared" ca="1" si="6"/>
        <v>2</v>
      </c>
      <c r="G12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22" s="2">
        <v>42232</v>
      </c>
      <c r="I122" s="2">
        <v>42232</v>
      </c>
      <c r="J122" s="1" t="str">
        <f>IF(Tabela14[[#This Row],[Data de Contratação2]]=Tabela14[[#This Row],[Da de Renovação]],"Em curso",IF(Tabela14[[#This Row],[Duração]]=4,"Renovar","Em curso"))</f>
        <v>Em curso</v>
      </c>
      <c r="K122" s="1" t="s">
        <v>8</v>
      </c>
      <c r="L122" s="1" t="str">
        <f t="shared" ca="1" si="7"/>
        <v>Alterar</v>
      </c>
      <c r="M122" s="1" t="str">
        <f t="shared" ca="1" si="8"/>
        <v>Alterar</v>
      </c>
      <c r="N122" s="1" t="str">
        <f t="shared" ca="1" si="9"/>
        <v>Renovar</v>
      </c>
    </row>
    <row r="123" spans="1:14" x14ac:dyDescent="0.25">
      <c r="A123" s="1">
        <f t="shared" si="5"/>
        <v>118</v>
      </c>
      <c r="B123" s="1" t="s">
        <v>71</v>
      </c>
      <c r="C123" s="1" t="s">
        <v>323</v>
      </c>
      <c r="D123" s="7">
        <v>11440</v>
      </c>
      <c r="E123" s="1" t="s">
        <v>421</v>
      </c>
      <c r="F123" s="3">
        <f t="shared" ca="1" si="6"/>
        <v>2</v>
      </c>
      <c r="G12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23" s="2">
        <v>42044</v>
      </c>
      <c r="I123" s="2">
        <v>42044</v>
      </c>
      <c r="J123" s="1" t="str">
        <f>IF(Tabela14[[#This Row],[Data de Contratação2]]=Tabela14[[#This Row],[Da de Renovação]],"Em curso",IF(Tabela14[[#This Row],[Duração]]=4,"Renovar","Em curso"))</f>
        <v>Em curso</v>
      </c>
      <c r="K123" s="1" t="s">
        <v>8</v>
      </c>
      <c r="L123" s="1" t="str">
        <f t="shared" ca="1" si="7"/>
        <v>Alterar</v>
      </c>
      <c r="M123" s="1" t="str">
        <f t="shared" ca="1" si="8"/>
        <v>Alterar</v>
      </c>
      <c r="N123" s="1" t="str">
        <f t="shared" ca="1" si="9"/>
        <v>Alterar</v>
      </c>
    </row>
    <row r="124" spans="1:14" x14ac:dyDescent="0.25">
      <c r="A124" s="1">
        <f t="shared" si="5"/>
        <v>119</v>
      </c>
      <c r="B124" s="1" t="s">
        <v>78</v>
      </c>
      <c r="C124" s="1" t="s">
        <v>324</v>
      </c>
      <c r="D124" s="7">
        <v>11660</v>
      </c>
      <c r="E124" s="1" t="s">
        <v>421</v>
      </c>
      <c r="F124" s="3">
        <f t="shared" ca="1" si="6"/>
        <v>4</v>
      </c>
      <c r="G12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24" s="2">
        <v>41474</v>
      </c>
      <c r="I124" s="2">
        <v>41474</v>
      </c>
      <c r="J124" s="1" t="str">
        <f>IF(Tabela14[[#This Row],[Data de Contratação2]]=Tabela14[[#This Row],[Da de Renovação]],"Em curso",IF(Tabela14[[#This Row],[Duração]]=4,"Renovar","Em curso"))</f>
        <v>Em curso</v>
      </c>
      <c r="K124" s="1" t="s">
        <v>8</v>
      </c>
      <c r="L124" s="1" t="str">
        <f t="shared" ca="1" si="7"/>
        <v>Averba</v>
      </c>
      <c r="M124" s="1" t="str">
        <f t="shared" ca="1" si="8"/>
        <v>Alterar</v>
      </c>
      <c r="N124" s="1" t="str">
        <f t="shared" ca="1" si="9"/>
        <v>Rescendir</v>
      </c>
    </row>
    <row r="125" spans="1:14" x14ac:dyDescent="0.25">
      <c r="A125" s="1">
        <f t="shared" si="5"/>
        <v>120</v>
      </c>
      <c r="B125" s="1" t="s">
        <v>137</v>
      </c>
      <c r="C125" s="1" t="s">
        <v>325</v>
      </c>
      <c r="D125" s="7">
        <v>12100</v>
      </c>
      <c r="E125" s="1" t="s">
        <v>421</v>
      </c>
      <c r="F125" s="3">
        <f t="shared" ca="1" si="6"/>
        <v>3</v>
      </c>
      <c r="G12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25" s="2">
        <v>41121</v>
      </c>
      <c r="I125" s="2">
        <v>41121</v>
      </c>
      <c r="J125" s="1" t="str">
        <f>IF(Tabela14[[#This Row],[Data de Contratação2]]=Tabela14[[#This Row],[Da de Renovação]],"Em curso",IF(Tabela14[[#This Row],[Duração]]=4,"Renovar","Em curso"))</f>
        <v>Em curso</v>
      </c>
      <c r="K125" s="1" t="s">
        <v>8</v>
      </c>
      <c r="L125" s="1" t="str">
        <f t="shared" ca="1" si="7"/>
        <v>Averba</v>
      </c>
      <c r="M125" s="1" t="str">
        <f t="shared" ca="1" si="8"/>
        <v>Aprovar</v>
      </c>
      <c r="N125" s="1" t="str">
        <f t="shared" ca="1" si="9"/>
        <v>Renovar</v>
      </c>
    </row>
    <row r="126" spans="1:14" x14ac:dyDescent="0.25">
      <c r="A126" s="1">
        <f t="shared" si="5"/>
        <v>121</v>
      </c>
      <c r="B126" s="1" t="s">
        <v>175</v>
      </c>
      <c r="C126" s="1" t="s">
        <v>326</v>
      </c>
      <c r="D126" s="7">
        <v>5500</v>
      </c>
      <c r="E126" s="1" t="s">
        <v>422</v>
      </c>
      <c r="F126" s="3">
        <f t="shared" ca="1" si="6"/>
        <v>2</v>
      </c>
      <c r="G12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26" s="2">
        <v>42127</v>
      </c>
      <c r="I126" s="2">
        <v>42127</v>
      </c>
      <c r="J126" s="1" t="str">
        <f>IF(Tabela14[[#This Row],[Data de Contratação2]]=Tabela14[[#This Row],[Da de Renovação]],"Em curso",IF(Tabela14[[#This Row],[Duração]]=4,"Renovar","Em curso"))</f>
        <v>Em curso</v>
      </c>
      <c r="K126" s="1" t="s">
        <v>8</v>
      </c>
      <c r="L126" s="1" t="str">
        <f t="shared" ca="1" si="7"/>
        <v>Valor alto</v>
      </c>
      <c r="M126" s="1" t="str">
        <f t="shared" ca="1" si="8"/>
        <v>Renovar</v>
      </c>
      <c r="N126" s="1" t="str">
        <f t="shared" ca="1" si="9"/>
        <v>Contratar</v>
      </c>
    </row>
    <row r="127" spans="1:14" x14ac:dyDescent="0.25">
      <c r="A127" s="1">
        <f t="shared" si="5"/>
        <v>122</v>
      </c>
      <c r="B127" s="1" t="s">
        <v>176</v>
      </c>
      <c r="C127" s="1" t="s">
        <v>327</v>
      </c>
      <c r="D127" s="7">
        <v>5500</v>
      </c>
      <c r="E127" s="1" t="s">
        <v>422</v>
      </c>
      <c r="F127" s="3">
        <f t="shared" ca="1" si="6"/>
        <v>4</v>
      </c>
      <c r="G12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27" s="2">
        <v>42922</v>
      </c>
      <c r="I127" s="2">
        <v>42922</v>
      </c>
      <c r="J127" s="1" t="str">
        <f>IF(Tabela14[[#This Row],[Data de Contratação2]]=Tabela14[[#This Row],[Da de Renovação]],"Em curso",IF(Tabela14[[#This Row],[Duração]]=4,"Renovar","Em curso"))</f>
        <v>Em curso</v>
      </c>
      <c r="K127" s="1" t="s">
        <v>8</v>
      </c>
      <c r="L127" s="1" t="str">
        <f t="shared" ca="1" si="7"/>
        <v>Averba</v>
      </c>
      <c r="M127" s="1" t="str">
        <f t="shared" ca="1" si="8"/>
        <v>Alterar</v>
      </c>
      <c r="N127" s="1" t="str">
        <f t="shared" ca="1" si="9"/>
        <v>Alterar</v>
      </c>
    </row>
    <row r="128" spans="1:14" x14ac:dyDescent="0.25">
      <c r="A128" s="1">
        <f t="shared" si="5"/>
        <v>123</v>
      </c>
      <c r="B128" s="1" t="s">
        <v>177</v>
      </c>
      <c r="C128" s="1" t="s">
        <v>328</v>
      </c>
      <c r="D128" s="7">
        <v>5720</v>
      </c>
      <c r="E128" s="1" t="s">
        <v>422</v>
      </c>
      <c r="F128" s="3">
        <f t="shared" ca="1" si="6"/>
        <v>2</v>
      </c>
      <c r="G12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28" s="2">
        <v>42038</v>
      </c>
      <c r="I128" s="2">
        <v>42038</v>
      </c>
      <c r="J128" s="1" t="str">
        <f>IF(Tabela14[[#This Row],[Data de Contratação2]]=Tabela14[[#This Row],[Da de Renovação]],"Em curso",IF(Tabela14[[#This Row],[Duração]]=4,"Renovar","Em curso"))</f>
        <v>Em curso</v>
      </c>
      <c r="K128" s="1" t="s">
        <v>8</v>
      </c>
      <c r="L128" s="1" t="str">
        <f t="shared" ca="1" si="7"/>
        <v>Averba</v>
      </c>
      <c r="M128" s="1" t="str">
        <f t="shared" ca="1" si="8"/>
        <v>Aprovar</v>
      </c>
      <c r="N128" s="1" t="str">
        <f t="shared" ca="1" si="9"/>
        <v>Renovar</v>
      </c>
    </row>
    <row r="129" spans="1:14" x14ac:dyDescent="0.25">
      <c r="A129" s="1">
        <f t="shared" si="5"/>
        <v>124</v>
      </c>
      <c r="B129" s="1" t="s">
        <v>178</v>
      </c>
      <c r="C129" s="1" t="s">
        <v>329</v>
      </c>
      <c r="D129" s="7">
        <v>5335</v>
      </c>
      <c r="E129" s="1" t="s">
        <v>422</v>
      </c>
      <c r="F129" s="3">
        <f t="shared" ca="1" si="6"/>
        <v>4</v>
      </c>
      <c r="G12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29" s="2">
        <v>43073</v>
      </c>
      <c r="I129" s="2">
        <v>43073</v>
      </c>
      <c r="J129" s="1" t="str">
        <f>IF(Tabela14[[#This Row],[Data de Contratação2]]=Tabela14[[#This Row],[Da de Renovação]],"Em curso",IF(Tabela14[[#This Row],[Duração]]=4,"Renovar","Em curso"))</f>
        <v>Em curso</v>
      </c>
      <c r="K129" s="1" t="s">
        <v>8</v>
      </c>
      <c r="L129" s="1" t="str">
        <f t="shared" ca="1" si="7"/>
        <v>Averba</v>
      </c>
      <c r="M129" s="1" t="str">
        <f t="shared" ca="1" si="8"/>
        <v>Aprovar</v>
      </c>
      <c r="N129" s="1" t="str">
        <f t="shared" ca="1" si="9"/>
        <v>Alterar</v>
      </c>
    </row>
    <row r="130" spans="1:14" x14ac:dyDescent="0.25">
      <c r="A130" s="1">
        <f t="shared" si="5"/>
        <v>125</v>
      </c>
      <c r="B130" s="1" t="s">
        <v>143</v>
      </c>
      <c r="C130" s="1" t="s">
        <v>330</v>
      </c>
      <c r="D130" s="7">
        <v>5940</v>
      </c>
      <c r="E130" s="1" t="s">
        <v>422</v>
      </c>
      <c r="F130" s="3">
        <f t="shared" ca="1" si="6"/>
        <v>1</v>
      </c>
      <c r="G13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30" s="2">
        <v>41830</v>
      </c>
      <c r="I130" s="2">
        <v>41830</v>
      </c>
      <c r="J130" s="1" t="str">
        <f>IF(Tabela14[[#This Row],[Data de Contratação2]]=Tabela14[[#This Row],[Da de Renovação]],"Em curso",IF(Tabela14[[#This Row],[Duração]]=4,"Renovar","Em curso"))</f>
        <v>Em curso</v>
      </c>
      <c r="K130" s="1" t="s">
        <v>8</v>
      </c>
      <c r="L130" s="1" t="str">
        <f t="shared" ca="1" si="7"/>
        <v>Valor alto</v>
      </c>
      <c r="M130" s="1" t="str">
        <f t="shared" ca="1" si="8"/>
        <v>Renovar</v>
      </c>
      <c r="N130" s="1" t="str">
        <f t="shared" ca="1" si="9"/>
        <v>Rescendir</v>
      </c>
    </row>
    <row r="131" spans="1:14" x14ac:dyDescent="0.25">
      <c r="A131" s="1">
        <f t="shared" si="5"/>
        <v>126</v>
      </c>
      <c r="B131" s="1" t="s">
        <v>179</v>
      </c>
      <c r="C131" s="1" t="s">
        <v>331</v>
      </c>
      <c r="D131" s="7">
        <v>4840</v>
      </c>
      <c r="E131" s="1" t="s">
        <v>422</v>
      </c>
      <c r="F131" s="3">
        <f t="shared" ca="1" si="6"/>
        <v>1</v>
      </c>
      <c r="G13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31" s="2">
        <v>43006</v>
      </c>
      <c r="I131" s="2">
        <v>43006</v>
      </c>
      <c r="J131" s="1" t="str">
        <f>IF(Tabela14[[#This Row],[Data de Contratação2]]=Tabela14[[#This Row],[Da de Renovação]],"Em curso",IF(Tabela14[[#This Row],[Duração]]=4,"Renovar","Em curso"))</f>
        <v>Em curso</v>
      </c>
      <c r="K131" s="1" t="s">
        <v>8</v>
      </c>
      <c r="L131" s="1" t="str">
        <f t="shared" ca="1" si="7"/>
        <v>Averba</v>
      </c>
      <c r="M131" s="1" t="str">
        <f t="shared" ca="1" si="8"/>
        <v>Alterar</v>
      </c>
      <c r="N131" s="1" t="str">
        <f t="shared" ca="1" si="9"/>
        <v>Alterar</v>
      </c>
    </row>
    <row r="132" spans="1:14" x14ac:dyDescent="0.25">
      <c r="A132" s="1">
        <f t="shared" si="5"/>
        <v>127</v>
      </c>
      <c r="B132" s="1" t="s">
        <v>180</v>
      </c>
      <c r="C132" s="1" t="s">
        <v>332</v>
      </c>
      <c r="D132" s="7">
        <v>5940</v>
      </c>
      <c r="E132" s="1" t="s">
        <v>422</v>
      </c>
      <c r="F132" s="3">
        <f t="shared" ca="1" si="6"/>
        <v>1</v>
      </c>
      <c r="G13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32" s="2">
        <v>42922</v>
      </c>
      <c r="I132" s="2">
        <v>42922</v>
      </c>
      <c r="J132" s="1" t="str">
        <f>IF(Tabela14[[#This Row],[Data de Contratação2]]=Tabela14[[#This Row],[Da de Renovação]],"Em curso",IF(Tabela14[[#This Row],[Duração]]=4,"Renovar","Em curso"))</f>
        <v>Em curso</v>
      </c>
      <c r="K132" s="1" t="s">
        <v>8</v>
      </c>
      <c r="L132" s="1" t="str">
        <f t="shared" ca="1" si="7"/>
        <v>Alterar</v>
      </c>
      <c r="M132" s="1" t="str">
        <f t="shared" ca="1" si="8"/>
        <v>Alterar</v>
      </c>
      <c r="N132" s="1" t="str">
        <f t="shared" ca="1" si="9"/>
        <v>Rescendir</v>
      </c>
    </row>
    <row r="133" spans="1:14" x14ac:dyDescent="0.25">
      <c r="A133" s="1">
        <f t="shared" si="5"/>
        <v>128</v>
      </c>
      <c r="B133" s="1" t="s">
        <v>181</v>
      </c>
      <c r="C133" s="1" t="s">
        <v>333</v>
      </c>
      <c r="D133" s="7">
        <v>5500</v>
      </c>
      <c r="E133" s="1" t="s">
        <v>422</v>
      </c>
      <c r="F133" s="3">
        <f t="shared" ca="1" si="6"/>
        <v>4</v>
      </c>
      <c r="G13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33" s="2">
        <v>43622</v>
      </c>
      <c r="I133" s="2">
        <v>43622</v>
      </c>
      <c r="J133" s="1" t="str">
        <f>IF(Tabela14[[#This Row],[Data de Contratação2]]=Tabela14[[#This Row],[Da de Renovação]],"Em curso",IF(Tabela14[[#This Row],[Duração]]=4,"Renovar","Em curso"))</f>
        <v>Em curso</v>
      </c>
      <c r="K133" s="1" t="s">
        <v>8</v>
      </c>
      <c r="L133" s="1" t="str">
        <f t="shared" ca="1" si="7"/>
        <v>Rescendir</v>
      </c>
      <c r="M133" s="1" t="str">
        <f t="shared" ca="1" si="8"/>
        <v>Renovar</v>
      </c>
      <c r="N133" s="1" t="str">
        <f t="shared" ca="1" si="9"/>
        <v>Contratar</v>
      </c>
    </row>
    <row r="134" spans="1:14" x14ac:dyDescent="0.25">
      <c r="A134" s="1">
        <f t="shared" ref="A134:A197" si="10">A133+1</f>
        <v>129</v>
      </c>
      <c r="B134" s="1" t="s">
        <v>182</v>
      </c>
      <c r="C134" s="1" t="s">
        <v>334</v>
      </c>
      <c r="D134" s="7">
        <v>5742</v>
      </c>
      <c r="E134" s="1" t="s">
        <v>422</v>
      </c>
      <c r="F134" s="3">
        <f t="shared" ref="F134:F197" ca="1" si="11">RANDBETWEEN(1,4)</f>
        <v>4</v>
      </c>
      <c r="G13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34" s="2">
        <v>42600</v>
      </c>
      <c r="I134" s="2">
        <v>42600</v>
      </c>
      <c r="J134" s="1" t="str">
        <f>IF(Tabela14[[#This Row],[Data de Contratação2]]=Tabela14[[#This Row],[Da de Renovação]],"Em curso",IF(Tabela14[[#This Row],[Duração]]=4,"Renovar","Em curso"))</f>
        <v>Em curso</v>
      </c>
      <c r="K134" s="1" t="s">
        <v>8</v>
      </c>
      <c r="L134" s="1" t="str">
        <f t="shared" ref="L134:L197" ca="1" si="12">CHOOSE(RANDBETWEEN(1,4),"Averba","Valor alto","Rescendir","Alterar")</f>
        <v>Rescendir</v>
      </c>
      <c r="M134" s="1" t="str">
        <f t="shared" ref="M134:M197" ca="1" si="13">CHOOSE(RANDBETWEEN(1,4),"Aprovar","Renovar","Rescendir","Alterar")</f>
        <v>Rescendir</v>
      </c>
      <c r="N134" s="1" t="str">
        <f t="shared" ref="N134:N197" ca="1" si="14">CHOOSE(RANDBETWEEN(1,4),"Contratar","Renovar","Rescendir","Alterar")</f>
        <v>Alterar</v>
      </c>
    </row>
    <row r="135" spans="1:14" x14ac:dyDescent="0.25">
      <c r="A135" s="1">
        <f t="shared" si="10"/>
        <v>130</v>
      </c>
      <c r="B135" s="1" t="s">
        <v>183</v>
      </c>
      <c r="C135" s="1" t="s">
        <v>335</v>
      </c>
      <c r="D135" s="7">
        <v>5806</v>
      </c>
      <c r="E135" s="1" t="s">
        <v>422</v>
      </c>
      <c r="F135" s="3">
        <f t="shared" ca="1" si="11"/>
        <v>2</v>
      </c>
      <c r="G13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35" s="2">
        <v>43018</v>
      </c>
      <c r="I135" s="2">
        <v>43018</v>
      </c>
      <c r="J135" s="1" t="str">
        <f>IF(Tabela14[[#This Row],[Data de Contratação2]]=Tabela14[[#This Row],[Da de Renovação]],"Em curso",IF(Tabela14[[#This Row],[Duração]]=4,"Renovar","Em curso"))</f>
        <v>Em curso</v>
      </c>
      <c r="K135" s="1" t="s">
        <v>8</v>
      </c>
      <c r="L135" s="1" t="str">
        <f t="shared" ca="1" si="12"/>
        <v>Valor alto</v>
      </c>
      <c r="M135" s="1" t="str">
        <f t="shared" ca="1" si="13"/>
        <v>Alterar</v>
      </c>
      <c r="N135" s="1" t="str">
        <f t="shared" ca="1" si="14"/>
        <v>Alterar</v>
      </c>
    </row>
    <row r="136" spans="1:14" x14ac:dyDescent="0.25">
      <c r="A136" s="1">
        <f t="shared" si="10"/>
        <v>131</v>
      </c>
      <c r="B136" s="1" t="s">
        <v>38</v>
      </c>
      <c r="C136" s="1" t="s">
        <v>336</v>
      </c>
      <c r="D136" s="7">
        <v>4840</v>
      </c>
      <c r="E136" s="1" t="s">
        <v>422</v>
      </c>
      <c r="F136" s="3">
        <f t="shared" ca="1" si="11"/>
        <v>3</v>
      </c>
      <c r="G13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36" s="2">
        <v>43006</v>
      </c>
      <c r="I136" s="2">
        <v>43006</v>
      </c>
      <c r="J136" s="1" t="str">
        <f>IF(Tabela14[[#This Row],[Data de Contratação2]]=Tabela14[[#This Row],[Da de Renovação]],"Em curso",IF(Tabela14[[#This Row],[Duração]]=4,"Renovar","Em curso"))</f>
        <v>Em curso</v>
      </c>
      <c r="K136" s="1" t="s">
        <v>8</v>
      </c>
      <c r="L136" s="1" t="str">
        <f t="shared" ca="1" si="12"/>
        <v>Valor alto</v>
      </c>
      <c r="M136" s="1" t="str">
        <f t="shared" ca="1" si="13"/>
        <v>Alterar</v>
      </c>
      <c r="N136" s="1" t="str">
        <f t="shared" ca="1" si="14"/>
        <v>Contratar</v>
      </c>
    </row>
    <row r="137" spans="1:14" x14ac:dyDescent="0.25">
      <c r="A137" s="1">
        <f t="shared" si="10"/>
        <v>132</v>
      </c>
      <c r="B137" s="1" t="s">
        <v>184</v>
      </c>
      <c r="C137" s="1" t="s">
        <v>337</v>
      </c>
      <c r="D137" s="7">
        <v>5940</v>
      </c>
      <c r="E137" s="1" t="s">
        <v>422</v>
      </c>
      <c r="F137" s="3">
        <f t="shared" ca="1" si="11"/>
        <v>4</v>
      </c>
      <c r="G13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37" s="2">
        <v>43667</v>
      </c>
      <c r="I137" s="2">
        <v>43667</v>
      </c>
      <c r="J137" s="1" t="str">
        <f>IF(Tabela14[[#This Row],[Data de Contratação2]]=Tabela14[[#This Row],[Da de Renovação]],"Em curso",IF(Tabela14[[#This Row],[Duração]]=4,"Renovar","Em curso"))</f>
        <v>Em curso</v>
      </c>
      <c r="K137" s="1" t="s">
        <v>8</v>
      </c>
      <c r="L137" s="1" t="str">
        <f t="shared" ca="1" si="12"/>
        <v>Rescendir</v>
      </c>
      <c r="M137" s="1" t="str">
        <f t="shared" ca="1" si="13"/>
        <v>Rescendir</v>
      </c>
      <c r="N137" s="1" t="str">
        <f t="shared" ca="1" si="14"/>
        <v>Contratar</v>
      </c>
    </row>
    <row r="138" spans="1:14" x14ac:dyDescent="0.25">
      <c r="A138" s="1">
        <f t="shared" si="10"/>
        <v>133</v>
      </c>
      <c r="B138" s="1" t="s">
        <v>144</v>
      </c>
      <c r="C138" s="1" t="s">
        <v>338</v>
      </c>
      <c r="D138" s="7">
        <v>5280</v>
      </c>
      <c r="E138" s="1" t="s">
        <v>422</v>
      </c>
      <c r="F138" s="3">
        <f t="shared" ca="1" si="11"/>
        <v>4</v>
      </c>
      <c r="G13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38" s="2">
        <v>42684</v>
      </c>
      <c r="I138" s="2">
        <v>42684</v>
      </c>
      <c r="J138" s="1" t="str">
        <f>IF(Tabela14[[#This Row],[Data de Contratação2]]=Tabela14[[#This Row],[Da de Renovação]],"Em curso",IF(Tabela14[[#This Row],[Duração]]=4,"Renovar","Em curso"))</f>
        <v>Em curso</v>
      </c>
      <c r="K138" s="1" t="s">
        <v>8</v>
      </c>
      <c r="L138" s="1" t="str">
        <f t="shared" ca="1" si="12"/>
        <v>Alterar</v>
      </c>
      <c r="M138" s="1" t="str">
        <f t="shared" ca="1" si="13"/>
        <v>Aprovar</v>
      </c>
      <c r="N138" s="1" t="str">
        <f t="shared" ca="1" si="14"/>
        <v>Contratar</v>
      </c>
    </row>
    <row r="139" spans="1:14" x14ac:dyDescent="0.25">
      <c r="A139" s="1">
        <f t="shared" si="10"/>
        <v>134</v>
      </c>
      <c r="B139" s="1" t="s">
        <v>145</v>
      </c>
      <c r="C139" s="1" t="s">
        <v>339</v>
      </c>
      <c r="D139" s="7">
        <v>4840</v>
      </c>
      <c r="E139" s="1" t="s">
        <v>422</v>
      </c>
      <c r="F139" s="3">
        <f t="shared" ca="1" si="11"/>
        <v>3</v>
      </c>
      <c r="G13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39" s="2">
        <v>42588</v>
      </c>
      <c r="I139" s="2">
        <v>42588</v>
      </c>
      <c r="J139" s="1" t="str">
        <f>IF(Tabela14[[#This Row],[Data de Contratação2]]=Tabela14[[#This Row],[Da de Renovação]],"Em curso",IF(Tabela14[[#This Row],[Duração]]=4,"Renovar","Em curso"))</f>
        <v>Em curso</v>
      </c>
      <c r="K139" s="1" t="s">
        <v>8</v>
      </c>
      <c r="L139" s="1" t="str">
        <f t="shared" ca="1" si="12"/>
        <v>Alterar</v>
      </c>
      <c r="M139" s="1" t="str">
        <f t="shared" ca="1" si="13"/>
        <v>Renovar</v>
      </c>
      <c r="N139" s="1" t="str">
        <f t="shared" ca="1" si="14"/>
        <v>Renovar</v>
      </c>
    </row>
    <row r="140" spans="1:14" x14ac:dyDescent="0.25">
      <c r="A140" s="1">
        <f t="shared" si="10"/>
        <v>135</v>
      </c>
      <c r="B140" s="1" t="s">
        <v>146</v>
      </c>
      <c r="C140" s="1" t="s">
        <v>340</v>
      </c>
      <c r="D140" s="7">
        <v>5720</v>
      </c>
      <c r="E140" s="1" t="s">
        <v>422</v>
      </c>
      <c r="F140" s="3">
        <f t="shared" ca="1" si="11"/>
        <v>3</v>
      </c>
      <c r="G14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40" s="2">
        <v>42248</v>
      </c>
      <c r="I140" s="2">
        <v>42248</v>
      </c>
      <c r="J140" s="1" t="str">
        <f>IF(Tabela14[[#This Row],[Data de Contratação2]]=Tabela14[[#This Row],[Da de Renovação]],"Em curso",IF(Tabela14[[#This Row],[Duração]]=4,"Renovar","Em curso"))</f>
        <v>Em curso</v>
      </c>
      <c r="K140" s="1" t="s">
        <v>8</v>
      </c>
      <c r="L140" s="1" t="str">
        <f t="shared" ca="1" si="12"/>
        <v>Rescendir</v>
      </c>
      <c r="M140" s="1" t="str">
        <f t="shared" ca="1" si="13"/>
        <v>Renovar</v>
      </c>
      <c r="N140" s="1" t="str">
        <f t="shared" ca="1" si="14"/>
        <v>Alterar</v>
      </c>
    </row>
    <row r="141" spans="1:14" x14ac:dyDescent="0.25">
      <c r="A141" s="1">
        <f t="shared" si="10"/>
        <v>136</v>
      </c>
      <c r="B141" s="1" t="s">
        <v>147</v>
      </c>
      <c r="C141" s="1" t="s">
        <v>341</v>
      </c>
      <c r="D141" s="7">
        <v>6380</v>
      </c>
      <c r="E141" s="1" t="s">
        <v>422</v>
      </c>
      <c r="F141" s="3">
        <f t="shared" ca="1" si="11"/>
        <v>1</v>
      </c>
      <c r="G14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41" s="2">
        <v>41515</v>
      </c>
      <c r="I141" s="2">
        <v>41515</v>
      </c>
      <c r="J141" s="1" t="str">
        <f>IF(Tabela14[[#This Row],[Data de Contratação2]]=Tabela14[[#This Row],[Da de Renovação]],"Em curso",IF(Tabela14[[#This Row],[Duração]]=4,"Renovar","Em curso"))</f>
        <v>Em curso</v>
      </c>
      <c r="K141" s="1" t="s">
        <v>8</v>
      </c>
      <c r="L141" s="1" t="str">
        <f t="shared" ca="1" si="12"/>
        <v>Valor alto</v>
      </c>
      <c r="M141" s="1" t="str">
        <f t="shared" ca="1" si="13"/>
        <v>Renovar</v>
      </c>
      <c r="N141" s="1" t="str">
        <f t="shared" ca="1" si="14"/>
        <v>Contratar</v>
      </c>
    </row>
    <row r="142" spans="1:14" x14ac:dyDescent="0.25">
      <c r="A142" s="1">
        <f t="shared" si="10"/>
        <v>137</v>
      </c>
      <c r="B142" s="1" t="s">
        <v>148</v>
      </c>
      <c r="C142" s="1" t="s">
        <v>342</v>
      </c>
      <c r="D142" s="7">
        <v>5720</v>
      </c>
      <c r="E142" s="1" t="s">
        <v>422</v>
      </c>
      <c r="F142" s="3">
        <f t="shared" ca="1" si="11"/>
        <v>4</v>
      </c>
      <c r="G14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42" s="2">
        <v>41732</v>
      </c>
      <c r="I142" s="2">
        <v>41732</v>
      </c>
      <c r="J142" s="1" t="str">
        <f>IF(Tabela14[[#This Row],[Data de Contratação2]]=Tabela14[[#This Row],[Da de Renovação]],"Em curso",IF(Tabela14[[#This Row],[Duração]]=4,"Renovar","Em curso"))</f>
        <v>Em curso</v>
      </c>
      <c r="K142" s="1" t="s">
        <v>8</v>
      </c>
      <c r="L142" s="1" t="str">
        <f t="shared" ca="1" si="12"/>
        <v>Rescendir</v>
      </c>
      <c r="M142" s="1" t="str">
        <f t="shared" ca="1" si="13"/>
        <v>Rescendir</v>
      </c>
      <c r="N142" s="1" t="str">
        <f t="shared" ca="1" si="14"/>
        <v>Alterar</v>
      </c>
    </row>
    <row r="143" spans="1:14" x14ac:dyDescent="0.25">
      <c r="A143" s="1">
        <f t="shared" si="10"/>
        <v>138</v>
      </c>
      <c r="B143" s="1" t="s">
        <v>185</v>
      </c>
      <c r="C143" s="1" t="s">
        <v>343</v>
      </c>
      <c r="D143" s="7">
        <v>4950</v>
      </c>
      <c r="E143" s="1" t="s">
        <v>422</v>
      </c>
      <c r="F143" s="3">
        <f t="shared" ca="1" si="11"/>
        <v>3</v>
      </c>
      <c r="G14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43" s="2">
        <v>41765</v>
      </c>
      <c r="I143" s="2">
        <v>41765</v>
      </c>
      <c r="J143" s="1" t="str">
        <f>IF(Tabela14[[#This Row],[Data de Contratação2]]=Tabela14[[#This Row],[Da de Renovação]],"Em curso",IF(Tabela14[[#This Row],[Duração]]=4,"Renovar","Em curso"))</f>
        <v>Em curso</v>
      </c>
      <c r="K143" s="1" t="s">
        <v>8</v>
      </c>
      <c r="L143" s="1" t="str">
        <f t="shared" ca="1" si="12"/>
        <v>Rescendir</v>
      </c>
      <c r="M143" s="1" t="str">
        <f t="shared" ca="1" si="13"/>
        <v>Aprovar</v>
      </c>
      <c r="N143" s="1" t="str">
        <f t="shared" ca="1" si="14"/>
        <v>Rescendir</v>
      </c>
    </row>
    <row r="144" spans="1:14" x14ac:dyDescent="0.25">
      <c r="A144" s="1">
        <f t="shared" si="10"/>
        <v>139</v>
      </c>
      <c r="B144" s="1" t="s">
        <v>186</v>
      </c>
      <c r="C144" s="1" t="s">
        <v>344</v>
      </c>
      <c r="D144" s="7">
        <v>5720</v>
      </c>
      <c r="E144" s="1" t="s">
        <v>422</v>
      </c>
      <c r="F144" s="3">
        <f t="shared" ca="1" si="11"/>
        <v>1</v>
      </c>
      <c r="G14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44" s="2">
        <v>43188</v>
      </c>
      <c r="I144" s="2">
        <v>43188</v>
      </c>
      <c r="J144" s="1" t="str">
        <f>IF(Tabela14[[#This Row],[Data de Contratação2]]=Tabela14[[#This Row],[Da de Renovação]],"Em curso",IF(Tabela14[[#This Row],[Duração]]=4,"Renovar","Em curso"))</f>
        <v>Em curso</v>
      </c>
      <c r="K144" s="1" t="s">
        <v>8</v>
      </c>
      <c r="L144" s="1" t="str">
        <f t="shared" ca="1" si="12"/>
        <v>Rescendir</v>
      </c>
      <c r="M144" s="1" t="str">
        <f t="shared" ca="1" si="13"/>
        <v>Aprovar</v>
      </c>
      <c r="N144" s="1" t="str">
        <f t="shared" ca="1" si="14"/>
        <v>Contratar</v>
      </c>
    </row>
    <row r="145" spans="1:14" x14ac:dyDescent="0.25">
      <c r="A145" s="1">
        <f t="shared" si="10"/>
        <v>140</v>
      </c>
      <c r="B145" s="1" t="s">
        <v>149</v>
      </c>
      <c r="C145" s="1" t="s">
        <v>345</v>
      </c>
      <c r="D145" s="7">
        <v>4840</v>
      </c>
      <c r="E145" s="1" t="s">
        <v>422</v>
      </c>
      <c r="F145" s="3">
        <f t="shared" ca="1" si="11"/>
        <v>1</v>
      </c>
      <c r="G14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45" s="2">
        <v>42964</v>
      </c>
      <c r="I145" s="2">
        <v>42964</v>
      </c>
      <c r="J145" s="1" t="str">
        <f>IF(Tabela14[[#This Row],[Data de Contratação2]]=Tabela14[[#This Row],[Da de Renovação]],"Em curso",IF(Tabela14[[#This Row],[Duração]]=4,"Renovar","Em curso"))</f>
        <v>Em curso</v>
      </c>
      <c r="K145" s="1" t="s">
        <v>8</v>
      </c>
      <c r="L145" s="1" t="str">
        <f t="shared" ca="1" si="12"/>
        <v>Rescendir</v>
      </c>
      <c r="M145" s="1" t="str">
        <f t="shared" ca="1" si="13"/>
        <v>Aprovar</v>
      </c>
      <c r="N145" s="1" t="str">
        <f t="shared" ca="1" si="14"/>
        <v>Renovar</v>
      </c>
    </row>
    <row r="146" spans="1:14" x14ac:dyDescent="0.25">
      <c r="A146" s="1">
        <f t="shared" si="10"/>
        <v>141</v>
      </c>
      <c r="B146" s="1" t="s">
        <v>150</v>
      </c>
      <c r="C146" s="1" t="s">
        <v>346</v>
      </c>
      <c r="D146" s="7">
        <v>5500</v>
      </c>
      <c r="E146" s="1" t="s">
        <v>422</v>
      </c>
      <c r="F146" s="3">
        <f t="shared" ca="1" si="11"/>
        <v>4</v>
      </c>
      <c r="G14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46" s="2">
        <v>41830</v>
      </c>
      <c r="I146" s="2">
        <v>41830</v>
      </c>
      <c r="J146" s="1" t="str">
        <f>IF(Tabela14[[#This Row],[Data de Contratação2]]=Tabela14[[#This Row],[Da de Renovação]],"Em curso",IF(Tabela14[[#This Row],[Duração]]=4,"Renovar","Em curso"))</f>
        <v>Em curso</v>
      </c>
      <c r="K146" s="1" t="s">
        <v>8</v>
      </c>
      <c r="L146" s="1" t="str">
        <f t="shared" ca="1" si="12"/>
        <v>Alterar</v>
      </c>
      <c r="M146" s="1" t="str">
        <f t="shared" ca="1" si="13"/>
        <v>Renovar</v>
      </c>
      <c r="N146" s="1" t="str">
        <f t="shared" ca="1" si="14"/>
        <v>Rescendir</v>
      </c>
    </row>
    <row r="147" spans="1:14" x14ac:dyDescent="0.25">
      <c r="A147" s="1">
        <f t="shared" si="10"/>
        <v>142</v>
      </c>
      <c r="B147" s="1" t="s">
        <v>187</v>
      </c>
      <c r="C147" s="1" t="s">
        <v>347</v>
      </c>
      <c r="D147" s="7">
        <v>5940</v>
      </c>
      <c r="E147" s="1" t="s">
        <v>422</v>
      </c>
      <c r="F147" s="3">
        <f t="shared" ca="1" si="11"/>
        <v>1</v>
      </c>
      <c r="G14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47" s="2">
        <v>42642</v>
      </c>
      <c r="I147" s="2">
        <v>42642</v>
      </c>
      <c r="J147" s="1" t="str">
        <f>IF(Tabela14[[#This Row],[Data de Contratação2]]=Tabela14[[#This Row],[Da de Renovação]],"Em curso",IF(Tabela14[[#This Row],[Duração]]=4,"Renovar","Em curso"))</f>
        <v>Em curso</v>
      </c>
      <c r="K147" s="1" t="s">
        <v>8</v>
      </c>
      <c r="L147" s="1" t="str">
        <f t="shared" ca="1" si="12"/>
        <v>Valor alto</v>
      </c>
      <c r="M147" s="1" t="str">
        <f t="shared" ca="1" si="13"/>
        <v>Rescendir</v>
      </c>
      <c r="N147" s="1" t="str">
        <f t="shared" ca="1" si="14"/>
        <v>Contratar</v>
      </c>
    </row>
    <row r="148" spans="1:14" x14ac:dyDescent="0.25">
      <c r="A148" s="1">
        <f t="shared" si="10"/>
        <v>143</v>
      </c>
      <c r="B148" s="1" t="s">
        <v>188</v>
      </c>
      <c r="C148" s="1" t="s">
        <v>348</v>
      </c>
      <c r="D148" s="7">
        <v>5500</v>
      </c>
      <c r="E148" s="1" t="s">
        <v>422</v>
      </c>
      <c r="F148" s="3">
        <f t="shared" ca="1" si="11"/>
        <v>4</v>
      </c>
      <c r="G14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48" s="2">
        <v>42502</v>
      </c>
      <c r="I148" s="2">
        <v>42502</v>
      </c>
      <c r="J148" s="1" t="str">
        <f>IF(Tabela14[[#This Row],[Data de Contratação2]]=Tabela14[[#This Row],[Da de Renovação]],"Em curso",IF(Tabela14[[#This Row],[Duração]]=4,"Renovar","Em curso"))</f>
        <v>Em curso</v>
      </c>
      <c r="K148" s="1" t="s">
        <v>8</v>
      </c>
      <c r="L148" s="1" t="str">
        <f t="shared" ca="1" si="12"/>
        <v>Valor alto</v>
      </c>
      <c r="M148" s="1" t="str">
        <f t="shared" ca="1" si="13"/>
        <v>Aprovar</v>
      </c>
      <c r="N148" s="1" t="str">
        <f t="shared" ca="1" si="14"/>
        <v>Rescendir</v>
      </c>
    </row>
    <row r="149" spans="1:14" x14ac:dyDescent="0.25">
      <c r="A149" s="1">
        <f t="shared" si="10"/>
        <v>144</v>
      </c>
      <c r="B149" s="1" t="s">
        <v>151</v>
      </c>
      <c r="C149" s="1" t="s">
        <v>349</v>
      </c>
      <c r="D149" s="7">
        <v>5335</v>
      </c>
      <c r="E149" s="1" t="s">
        <v>422</v>
      </c>
      <c r="F149" s="3">
        <f t="shared" ca="1" si="11"/>
        <v>3</v>
      </c>
      <c r="G14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49" s="2">
        <v>42922</v>
      </c>
      <c r="I149" s="2">
        <v>42922</v>
      </c>
      <c r="J149" s="1" t="str">
        <f>IF(Tabela14[[#This Row],[Data de Contratação2]]=Tabela14[[#This Row],[Da de Renovação]],"Em curso",IF(Tabela14[[#This Row],[Duração]]=4,"Renovar","Em curso"))</f>
        <v>Em curso</v>
      </c>
      <c r="K149" s="1" t="s">
        <v>8</v>
      </c>
      <c r="L149" s="1" t="str">
        <f t="shared" ca="1" si="12"/>
        <v>Alterar</v>
      </c>
      <c r="M149" s="1" t="str">
        <f t="shared" ca="1" si="13"/>
        <v>Alterar</v>
      </c>
      <c r="N149" s="1" t="str">
        <f t="shared" ca="1" si="14"/>
        <v>Alterar</v>
      </c>
    </row>
    <row r="150" spans="1:14" x14ac:dyDescent="0.25">
      <c r="A150" s="1">
        <f t="shared" si="10"/>
        <v>145</v>
      </c>
      <c r="B150" s="1" t="s">
        <v>189</v>
      </c>
      <c r="C150" s="1" t="s">
        <v>350</v>
      </c>
      <c r="D150" s="7">
        <v>5940</v>
      </c>
      <c r="E150" s="1" t="s">
        <v>422</v>
      </c>
      <c r="F150" s="3">
        <f t="shared" ca="1" si="11"/>
        <v>1</v>
      </c>
      <c r="G15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50" s="2">
        <v>41732</v>
      </c>
      <c r="I150" s="2">
        <v>41732</v>
      </c>
      <c r="J150" s="1" t="str">
        <f>IF(Tabela14[[#This Row],[Data de Contratação2]]=Tabela14[[#This Row],[Da de Renovação]],"Em curso",IF(Tabela14[[#This Row],[Duração]]=4,"Renovar","Em curso"))</f>
        <v>Em curso</v>
      </c>
      <c r="K150" s="1" t="s">
        <v>8</v>
      </c>
      <c r="L150" s="1" t="str">
        <f t="shared" ca="1" si="12"/>
        <v>Alterar</v>
      </c>
      <c r="M150" s="1" t="str">
        <f t="shared" ca="1" si="13"/>
        <v>Aprovar</v>
      </c>
      <c r="N150" s="1" t="str">
        <f t="shared" ca="1" si="14"/>
        <v>Alterar</v>
      </c>
    </row>
    <row r="151" spans="1:14" x14ac:dyDescent="0.25">
      <c r="A151" s="1">
        <f t="shared" si="10"/>
        <v>146</v>
      </c>
      <c r="B151" s="1" t="s">
        <v>205</v>
      </c>
      <c r="C151" s="1" t="s">
        <v>351</v>
      </c>
      <c r="D151" s="7">
        <v>5280</v>
      </c>
      <c r="E151" s="1" t="s">
        <v>422</v>
      </c>
      <c r="F151" s="3">
        <f t="shared" ca="1" si="11"/>
        <v>3</v>
      </c>
      <c r="G15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51" s="2">
        <v>42922</v>
      </c>
      <c r="I151" s="2">
        <v>42922</v>
      </c>
      <c r="J151" s="1" t="str">
        <f>IF(Tabela14[[#This Row],[Data de Contratação2]]=Tabela14[[#This Row],[Da de Renovação]],"Em curso",IF(Tabela14[[#This Row],[Duração]]=4,"Renovar","Em curso"))</f>
        <v>Em curso</v>
      </c>
      <c r="K151" s="1" t="s">
        <v>8</v>
      </c>
      <c r="L151" s="1" t="str">
        <f t="shared" ca="1" si="12"/>
        <v>Averba</v>
      </c>
      <c r="M151" s="1" t="str">
        <f t="shared" ca="1" si="13"/>
        <v>Renovar</v>
      </c>
      <c r="N151" s="1" t="str">
        <f t="shared" ca="1" si="14"/>
        <v>Renovar</v>
      </c>
    </row>
    <row r="152" spans="1:14" x14ac:dyDescent="0.25">
      <c r="A152" s="1">
        <f t="shared" si="10"/>
        <v>147</v>
      </c>
      <c r="B152" s="1" t="s">
        <v>152</v>
      </c>
      <c r="C152" s="1" t="s">
        <v>352</v>
      </c>
      <c r="D152" s="7">
        <v>6380</v>
      </c>
      <c r="E152" s="1" t="s">
        <v>422</v>
      </c>
      <c r="F152" s="3">
        <f t="shared" ca="1" si="11"/>
        <v>4</v>
      </c>
      <c r="G15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152" s="2">
        <v>42502</v>
      </c>
      <c r="I152" s="2">
        <v>42502</v>
      </c>
      <c r="J152" s="1" t="str">
        <f>IF(Tabela14[[#This Row],[Data de Contratação2]]=Tabela14[[#This Row],[Da de Renovação]],"Em curso",IF(Tabela14[[#This Row],[Duração]]=4,"Renovar","Em curso"))</f>
        <v>Em curso</v>
      </c>
      <c r="K152" s="1" t="s">
        <v>8</v>
      </c>
      <c r="L152" s="1" t="str">
        <f t="shared" ca="1" si="12"/>
        <v>Rescendir</v>
      </c>
      <c r="M152" s="1" t="str">
        <f t="shared" ca="1" si="13"/>
        <v>Aprovar</v>
      </c>
      <c r="N152" s="1" t="str">
        <f t="shared" ca="1" si="14"/>
        <v>Renovar</v>
      </c>
    </row>
    <row r="153" spans="1:14" x14ac:dyDescent="0.25">
      <c r="A153" s="1">
        <f t="shared" si="10"/>
        <v>148</v>
      </c>
      <c r="B153" s="1" t="s">
        <v>153</v>
      </c>
      <c r="C153" s="1" t="s">
        <v>353</v>
      </c>
      <c r="D153" s="7">
        <v>4840</v>
      </c>
      <c r="E153" s="1" t="s">
        <v>422</v>
      </c>
      <c r="F153" s="3">
        <f t="shared" ca="1" si="11"/>
        <v>2</v>
      </c>
      <c r="G15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53" s="2">
        <v>43006</v>
      </c>
      <c r="I153" s="2">
        <v>43006</v>
      </c>
      <c r="J153" s="1" t="str">
        <f>IF(Tabela14[[#This Row],[Data de Contratação2]]=Tabela14[[#This Row],[Da de Renovação]],"Em curso",IF(Tabela14[[#This Row],[Duração]]=4,"Renovar","Em curso"))</f>
        <v>Em curso</v>
      </c>
      <c r="K153" s="1" t="s">
        <v>8</v>
      </c>
      <c r="L153" s="1" t="str">
        <f t="shared" ca="1" si="12"/>
        <v>Rescendir</v>
      </c>
      <c r="M153" s="1" t="str">
        <f t="shared" ca="1" si="13"/>
        <v>Rescendir</v>
      </c>
      <c r="N153" s="1" t="str">
        <f t="shared" ca="1" si="14"/>
        <v>Rescendir</v>
      </c>
    </row>
    <row r="154" spans="1:14" x14ac:dyDescent="0.25">
      <c r="A154" s="1">
        <f t="shared" si="10"/>
        <v>149</v>
      </c>
      <c r="B154" s="1" t="s">
        <v>190</v>
      </c>
      <c r="C154" s="1" t="s">
        <v>354</v>
      </c>
      <c r="D154" s="7">
        <v>5280</v>
      </c>
      <c r="E154" s="1" t="s">
        <v>422</v>
      </c>
      <c r="F154" s="3">
        <f t="shared" ca="1" si="11"/>
        <v>3</v>
      </c>
      <c r="G15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54" s="2">
        <v>42782</v>
      </c>
      <c r="I154" s="2">
        <v>42782</v>
      </c>
      <c r="J154" s="1" t="str">
        <f>IF(Tabela14[[#This Row],[Data de Contratação2]]=Tabela14[[#This Row],[Da de Renovação]],"Em curso",IF(Tabela14[[#This Row],[Duração]]=4,"Renovar","Em curso"))</f>
        <v>Em curso</v>
      </c>
      <c r="K154" s="1" t="s">
        <v>8</v>
      </c>
      <c r="L154" s="1" t="str">
        <f t="shared" ca="1" si="12"/>
        <v>Rescendir</v>
      </c>
      <c r="M154" s="1" t="str">
        <f t="shared" ca="1" si="13"/>
        <v>Alterar</v>
      </c>
      <c r="N154" s="1" t="str">
        <f t="shared" ca="1" si="14"/>
        <v>Renovar</v>
      </c>
    </row>
    <row r="155" spans="1:14" x14ac:dyDescent="0.25">
      <c r="A155" s="1">
        <f t="shared" si="10"/>
        <v>150</v>
      </c>
      <c r="B155" s="1" t="s">
        <v>191</v>
      </c>
      <c r="C155" s="1" t="s">
        <v>355</v>
      </c>
      <c r="D155" s="7">
        <v>6160</v>
      </c>
      <c r="E155" s="1" t="s">
        <v>422</v>
      </c>
      <c r="F155" s="3">
        <f t="shared" ca="1" si="11"/>
        <v>4</v>
      </c>
      <c r="G15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55" s="2">
        <v>43225</v>
      </c>
      <c r="I155" s="2">
        <v>43225</v>
      </c>
      <c r="J155" s="1" t="str">
        <f>IF(Tabela14[[#This Row],[Data de Contratação2]]=Tabela14[[#This Row],[Da de Renovação]],"Em curso",IF(Tabela14[[#This Row],[Duração]]=4,"Renovar","Em curso"))</f>
        <v>Em curso</v>
      </c>
      <c r="K155" s="1" t="s">
        <v>8</v>
      </c>
      <c r="L155" s="1" t="str">
        <f t="shared" ca="1" si="12"/>
        <v>Rescendir</v>
      </c>
      <c r="M155" s="1" t="str">
        <f t="shared" ca="1" si="13"/>
        <v>Aprovar</v>
      </c>
      <c r="N155" s="1" t="str">
        <f t="shared" ca="1" si="14"/>
        <v>Contratar</v>
      </c>
    </row>
    <row r="156" spans="1:14" x14ac:dyDescent="0.25">
      <c r="A156" s="1">
        <f t="shared" si="10"/>
        <v>151</v>
      </c>
      <c r="B156" s="1" t="s">
        <v>192</v>
      </c>
      <c r="C156" s="1" t="s">
        <v>356</v>
      </c>
      <c r="D156" s="7">
        <v>5060</v>
      </c>
      <c r="E156" s="1" t="s">
        <v>422</v>
      </c>
      <c r="F156" s="3">
        <f t="shared" ca="1" si="11"/>
        <v>1</v>
      </c>
      <c r="G15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56" s="2">
        <v>43682</v>
      </c>
      <c r="I156" s="2">
        <v>43682</v>
      </c>
      <c r="J156" s="1" t="str">
        <f>IF(Tabela14[[#This Row],[Data de Contratação2]]=Tabela14[[#This Row],[Da de Renovação]],"Em curso",IF(Tabela14[[#This Row],[Duração]]=4,"Renovar","Em curso"))</f>
        <v>Em curso</v>
      </c>
      <c r="K156" s="1" t="s">
        <v>8</v>
      </c>
      <c r="L156" s="1" t="str">
        <f t="shared" ca="1" si="12"/>
        <v>Alterar</v>
      </c>
      <c r="M156" s="1" t="str">
        <f t="shared" ca="1" si="13"/>
        <v>Aprovar</v>
      </c>
      <c r="N156" s="1" t="str">
        <f t="shared" ca="1" si="14"/>
        <v>Rescendir</v>
      </c>
    </row>
    <row r="157" spans="1:14" x14ac:dyDescent="0.25">
      <c r="A157" s="1">
        <f t="shared" si="10"/>
        <v>152</v>
      </c>
      <c r="B157" s="1" t="s">
        <v>193</v>
      </c>
      <c r="C157" s="1" t="s">
        <v>357</v>
      </c>
      <c r="D157" s="7">
        <v>11880</v>
      </c>
      <c r="E157" s="1" t="s">
        <v>423</v>
      </c>
      <c r="F157" s="3">
        <f t="shared" ca="1" si="11"/>
        <v>2</v>
      </c>
      <c r="G15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57" s="2">
        <v>42859</v>
      </c>
      <c r="I157" s="2">
        <v>42859</v>
      </c>
      <c r="J157" s="1" t="str">
        <f>IF(Tabela14[[#This Row],[Data de Contratação2]]=Tabela14[[#This Row],[Da de Renovação]],"Em curso",IF(Tabela14[[#This Row],[Duração]]=4,"Renovar","Em curso"))</f>
        <v>Em curso</v>
      </c>
      <c r="K157" s="1" t="s">
        <v>7</v>
      </c>
      <c r="L157" s="1" t="str">
        <f t="shared" ca="1" si="12"/>
        <v>Valor alto</v>
      </c>
      <c r="M157" s="1" t="str">
        <f t="shared" ca="1" si="13"/>
        <v>Alterar</v>
      </c>
      <c r="N157" s="1" t="str">
        <f t="shared" ca="1" si="14"/>
        <v>Rescendir</v>
      </c>
    </row>
    <row r="158" spans="1:14" x14ac:dyDescent="0.25">
      <c r="A158" s="1">
        <f t="shared" si="10"/>
        <v>153</v>
      </c>
      <c r="B158" s="1" t="s">
        <v>38</v>
      </c>
      <c r="C158" s="1" t="s">
        <v>358</v>
      </c>
      <c r="D158" s="7">
        <v>12320</v>
      </c>
      <c r="E158" s="1" t="s">
        <v>423</v>
      </c>
      <c r="F158" s="3">
        <f t="shared" ca="1" si="11"/>
        <v>4</v>
      </c>
      <c r="G15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58" s="2">
        <v>42872</v>
      </c>
      <c r="I158" s="2">
        <v>42872</v>
      </c>
      <c r="J158" s="1" t="str">
        <f>IF(Tabela14[[#This Row],[Data de Contratação2]]=Tabela14[[#This Row],[Da de Renovação]],"Em curso",IF(Tabela14[[#This Row],[Duração]]=4,"Renovar","Em curso"))</f>
        <v>Em curso</v>
      </c>
      <c r="K158" s="1" t="s">
        <v>7</v>
      </c>
      <c r="L158" s="1" t="str">
        <f t="shared" ca="1" si="12"/>
        <v>Valor alto</v>
      </c>
      <c r="M158" s="1" t="str">
        <f t="shared" ca="1" si="13"/>
        <v>Rescendir</v>
      </c>
      <c r="N158" s="1" t="str">
        <f t="shared" ca="1" si="14"/>
        <v>Contratar</v>
      </c>
    </row>
    <row r="159" spans="1:14" x14ac:dyDescent="0.25">
      <c r="A159" s="1">
        <f t="shared" si="10"/>
        <v>154</v>
      </c>
      <c r="B159" s="1" t="s">
        <v>156</v>
      </c>
      <c r="C159" s="1" t="s">
        <v>359</v>
      </c>
      <c r="D159" s="7">
        <v>12100</v>
      </c>
      <c r="E159" s="1" t="s">
        <v>424</v>
      </c>
      <c r="F159" s="3">
        <f t="shared" ca="1" si="11"/>
        <v>1</v>
      </c>
      <c r="G15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59" s="2">
        <v>43586</v>
      </c>
      <c r="I159" s="2">
        <v>43586</v>
      </c>
      <c r="J159" s="1" t="str">
        <f>IF(Tabela14[[#This Row],[Data de Contratação2]]=Tabela14[[#This Row],[Da de Renovação]],"Em curso",IF(Tabela14[[#This Row],[Duração]]=4,"Renovar","Em curso"))</f>
        <v>Em curso</v>
      </c>
      <c r="K159" s="1" t="s">
        <v>5</v>
      </c>
      <c r="L159" s="1" t="str">
        <f t="shared" ca="1" si="12"/>
        <v>Alterar</v>
      </c>
      <c r="M159" s="1" t="str">
        <f t="shared" ca="1" si="13"/>
        <v>Alterar</v>
      </c>
      <c r="N159" s="1" t="str">
        <f t="shared" ca="1" si="14"/>
        <v>Rescendir</v>
      </c>
    </row>
    <row r="160" spans="1:14" x14ac:dyDescent="0.25">
      <c r="A160" s="1">
        <f t="shared" si="10"/>
        <v>155</v>
      </c>
      <c r="B160" s="1" t="s">
        <v>9</v>
      </c>
      <c r="C160" s="1" t="s">
        <v>360</v>
      </c>
      <c r="D160" s="7">
        <v>6270</v>
      </c>
      <c r="E160" s="1" t="s">
        <v>425</v>
      </c>
      <c r="F160" s="3">
        <f t="shared" ca="1" si="11"/>
        <v>1</v>
      </c>
      <c r="G16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0" s="2">
        <v>40843</v>
      </c>
      <c r="I160" s="2">
        <v>40843</v>
      </c>
      <c r="J160" s="1" t="str">
        <f>IF(Tabela14[[#This Row],[Data de Contratação2]]=Tabela14[[#This Row],[Da de Renovação]],"Em curso",IF(Tabela14[[#This Row],[Duração]]=4,"Renovar","Em curso"))</f>
        <v>Em curso</v>
      </c>
      <c r="K160" s="1" t="s">
        <v>5</v>
      </c>
      <c r="L160" s="1" t="str">
        <f t="shared" ca="1" si="12"/>
        <v>Rescendir</v>
      </c>
      <c r="M160" s="1" t="str">
        <f t="shared" ca="1" si="13"/>
        <v>Renovar</v>
      </c>
      <c r="N160" s="1" t="str">
        <f t="shared" ca="1" si="14"/>
        <v>Renovar</v>
      </c>
    </row>
    <row r="161" spans="1:14" x14ac:dyDescent="0.25">
      <c r="A161" s="1">
        <f t="shared" si="10"/>
        <v>156</v>
      </c>
      <c r="B161" s="1" t="s">
        <v>10</v>
      </c>
      <c r="C161" s="1" t="s">
        <v>361</v>
      </c>
      <c r="D161" s="7">
        <v>5060</v>
      </c>
      <c r="E161" s="1" t="s">
        <v>425</v>
      </c>
      <c r="F161" s="3">
        <f t="shared" ca="1" si="11"/>
        <v>2</v>
      </c>
      <c r="G16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61" s="2">
        <v>42886</v>
      </c>
      <c r="I161" s="2">
        <v>42886</v>
      </c>
      <c r="J161" s="1" t="str">
        <f>IF(Tabela14[[#This Row],[Data de Contratação2]]=Tabela14[[#This Row],[Da de Renovação]],"Em curso",IF(Tabela14[[#This Row],[Duração]]=4,"Renovar","Em curso"))</f>
        <v>Em curso</v>
      </c>
      <c r="K161" s="1" t="s">
        <v>5</v>
      </c>
      <c r="L161" s="1" t="str">
        <f t="shared" ca="1" si="12"/>
        <v>Averba</v>
      </c>
      <c r="M161" s="1" t="str">
        <f t="shared" ca="1" si="13"/>
        <v>Rescendir</v>
      </c>
      <c r="N161" s="1" t="str">
        <f t="shared" ca="1" si="14"/>
        <v>Renovar</v>
      </c>
    </row>
    <row r="162" spans="1:14" x14ac:dyDescent="0.25">
      <c r="A162" s="1">
        <f t="shared" si="10"/>
        <v>157</v>
      </c>
      <c r="B162" s="1" t="s">
        <v>11</v>
      </c>
      <c r="C162" s="1" t="s">
        <v>362</v>
      </c>
      <c r="D162" s="7">
        <v>6380</v>
      </c>
      <c r="E162" s="1" t="s">
        <v>425</v>
      </c>
      <c r="F162" s="3">
        <f t="shared" ca="1" si="11"/>
        <v>1</v>
      </c>
      <c r="G16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2" s="2">
        <v>43006</v>
      </c>
      <c r="I162" s="2">
        <v>43006</v>
      </c>
      <c r="J162" s="1" t="str">
        <f>IF(Tabela14[[#This Row],[Data de Contratação2]]=Tabela14[[#This Row],[Da de Renovação]],"Em curso",IF(Tabela14[[#This Row],[Duração]]=4,"Renovar","Em curso"))</f>
        <v>Em curso</v>
      </c>
      <c r="K162" s="1" t="s">
        <v>5</v>
      </c>
      <c r="L162" s="1" t="str">
        <f t="shared" ca="1" si="12"/>
        <v>Rescendir</v>
      </c>
      <c r="M162" s="1" t="str">
        <f t="shared" ca="1" si="13"/>
        <v>Aprovar</v>
      </c>
      <c r="N162" s="1" t="str">
        <f t="shared" ca="1" si="14"/>
        <v>Contratar</v>
      </c>
    </row>
    <row r="163" spans="1:14" x14ac:dyDescent="0.25">
      <c r="A163" s="1">
        <f t="shared" si="10"/>
        <v>158</v>
      </c>
      <c r="B163" s="1" t="s">
        <v>12</v>
      </c>
      <c r="C163" s="1" t="s">
        <v>363</v>
      </c>
      <c r="D163" s="7">
        <v>3643</v>
      </c>
      <c r="E163" s="1" t="s">
        <v>426</v>
      </c>
      <c r="F163" s="3">
        <f t="shared" ca="1" si="11"/>
        <v>1</v>
      </c>
      <c r="G16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3" s="2">
        <v>43104</v>
      </c>
      <c r="I163" s="2">
        <v>43104</v>
      </c>
      <c r="J163" s="1" t="str">
        <f>IF(Tabela14[[#This Row],[Data de Contratação2]]=Tabela14[[#This Row],[Da de Renovação]],"Em curso",IF(Tabela14[[#This Row],[Duração]]=4,"Renovar","Em curso"))</f>
        <v>Em curso</v>
      </c>
      <c r="K163" s="1" t="s">
        <v>5</v>
      </c>
      <c r="L163" s="1" t="str">
        <f t="shared" ca="1" si="12"/>
        <v>Alterar</v>
      </c>
      <c r="M163" s="1" t="str">
        <f t="shared" ca="1" si="13"/>
        <v>Alterar</v>
      </c>
      <c r="N163" s="1" t="str">
        <f t="shared" ca="1" si="14"/>
        <v>Alterar</v>
      </c>
    </row>
    <row r="164" spans="1:14" x14ac:dyDescent="0.25">
      <c r="A164" s="1">
        <f t="shared" si="10"/>
        <v>159</v>
      </c>
      <c r="B164" s="1" t="s">
        <v>35</v>
      </c>
      <c r="C164" s="1" t="s">
        <v>364</v>
      </c>
      <c r="D164" s="7">
        <v>7500</v>
      </c>
      <c r="E164" s="1" t="s">
        <v>427</v>
      </c>
      <c r="F164" s="3">
        <f t="shared" ca="1" si="11"/>
        <v>3</v>
      </c>
      <c r="G16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64" s="2">
        <v>43505</v>
      </c>
      <c r="I164" s="2">
        <v>43505</v>
      </c>
      <c r="J164" s="1" t="str">
        <f>IF(Tabela14[[#This Row],[Data de Contratação2]]=Tabela14[[#This Row],[Da de Renovação]],"Em curso",IF(Tabela14[[#This Row],[Duração]]=4,"Renovar","Em curso"))</f>
        <v>Em curso</v>
      </c>
      <c r="K164" s="1" t="s">
        <v>6</v>
      </c>
      <c r="L164" s="1" t="str">
        <f t="shared" ca="1" si="12"/>
        <v>Alterar</v>
      </c>
      <c r="M164" s="1" t="str">
        <f t="shared" ca="1" si="13"/>
        <v>Renovar</v>
      </c>
      <c r="N164" s="1" t="str">
        <f t="shared" ca="1" si="14"/>
        <v>Rescendir</v>
      </c>
    </row>
    <row r="165" spans="1:14" x14ac:dyDescent="0.25">
      <c r="A165" s="1">
        <f t="shared" si="10"/>
        <v>160</v>
      </c>
      <c r="B165" s="1" t="s">
        <v>38</v>
      </c>
      <c r="C165" s="1" t="s">
        <v>365</v>
      </c>
      <c r="D165" s="7">
        <v>8000</v>
      </c>
      <c r="E165" s="1" t="s">
        <v>427</v>
      </c>
      <c r="F165" s="3">
        <f t="shared" ca="1" si="11"/>
        <v>3</v>
      </c>
      <c r="G16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65" s="2">
        <v>43510</v>
      </c>
      <c r="I165" s="2">
        <v>43510</v>
      </c>
      <c r="J165" s="1" t="str">
        <f>IF(Tabela14[[#This Row],[Data de Contratação2]]=Tabela14[[#This Row],[Da de Renovação]],"Em curso",IF(Tabela14[[#This Row],[Duração]]=4,"Renovar","Em curso"))</f>
        <v>Em curso</v>
      </c>
      <c r="K165" s="1" t="s">
        <v>6</v>
      </c>
      <c r="L165" s="1" t="str">
        <f t="shared" ca="1" si="12"/>
        <v>Alterar</v>
      </c>
      <c r="M165" s="1" t="str">
        <f t="shared" ca="1" si="13"/>
        <v>Alterar</v>
      </c>
      <c r="N165" s="1" t="str">
        <f t="shared" ca="1" si="14"/>
        <v>Contratar</v>
      </c>
    </row>
    <row r="166" spans="1:14" x14ac:dyDescent="0.25">
      <c r="A166" s="1">
        <f t="shared" si="10"/>
        <v>161</v>
      </c>
      <c r="B166" s="1" t="s">
        <v>40</v>
      </c>
      <c r="C166" s="1" t="s">
        <v>366</v>
      </c>
      <c r="D166" s="7">
        <v>7500</v>
      </c>
      <c r="E166" s="1" t="s">
        <v>427</v>
      </c>
      <c r="F166" s="3">
        <f t="shared" ca="1" si="11"/>
        <v>1</v>
      </c>
      <c r="G16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6" s="2">
        <v>43575</v>
      </c>
      <c r="I166" s="2">
        <v>43575</v>
      </c>
      <c r="J166" s="1" t="str">
        <f>IF(Tabela14[[#This Row],[Data de Contratação2]]=Tabela14[[#This Row],[Da de Renovação]],"Em curso",IF(Tabela14[[#This Row],[Duração]]=4,"Renovar","Em curso"))</f>
        <v>Em curso</v>
      </c>
      <c r="K166" s="1" t="s">
        <v>6</v>
      </c>
      <c r="L166" s="1" t="str">
        <f t="shared" ca="1" si="12"/>
        <v>Rescendir</v>
      </c>
      <c r="M166" s="1" t="str">
        <f t="shared" ca="1" si="13"/>
        <v>Alterar</v>
      </c>
      <c r="N166" s="1" t="str">
        <f t="shared" ca="1" si="14"/>
        <v>Alterar</v>
      </c>
    </row>
    <row r="167" spans="1:14" x14ac:dyDescent="0.25">
      <c r="A167" s="1">
        <f t="shared" si="10"/>
        <v>162</v>
      </c>
      <c r="B167" s="1" t="s">
        <v>41</v>
      </c>
      <c r="C167" s="1" t="s">
        <v>367</v>
      </c>
      <c r="D167" s="7">
        <v>7500</v>
      </c>
      <c r="E167" s="1" t="s">
        <v>427</v>
      </c>
      <c r="F167" s="3">
        <f t="shared" ca="1" si="11"/>
        <v>1</v>
      </c>
      <c r="G16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7" s="2">
        <v>43575</v>
      </c>
      <c r="I167" s="2">
        <v>43575</v>
      </c>
      <c r="J167" s="1" t="str">
        <f>IF(Tabela14[[#This Row],[Data de Contratação2]]=Tabela14[[#This Row],[Da de Renovação]],"Em curso",IF(Tabela14[[#This Row],[Duração]]=4,"Renovar","Em curso"))</f>
        <v>Em curso</v>
      </c>
      <c r="K167" s="1" t="s">
        <v>6</v>
      </c>
      <c r="L167" s="1" t="str">
        <f t="shared" ca="1" si="12"/>
        <v>Alterar</v>
      </c>
      <c r="M167" s="1" t="str">
        <f t="shared" ca="1" si="13"/>
        <v>Alterar</v>
      </c>
      <c r="N167" s="1" t="str">
        <f t="shared" ca="1" si="14"/>
        <v>Rescendir</v>
      </c>
    </row>
    <row r="168" spans="1:14" x14ac:dyDescent="0.25">
      <c r="A168" s="1">
        <f t="shared" si="10"/>
        <v>163</v>
      </c>
      <c r="B168" s="1" t="s">
        <v>42</v>
      </c>
      <c r="C168" s="1" t="s">
        <v>368</v>
      </c>
      <c r="D168" s="7">
        <v>11150</v>
      </c>
      <c r="E168" s="1" t="s">
        <v>428</v>
      </c>
      <c r="F168" s="3">
        <f t="shared" ca="1" si="11"/>
        <v>4</v>
      </c>
      <c r="G16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68" s="2">
        <v>43625</v>
      </c>
      <c r="I168" s="2">
        <v>43625</v>
      </c>
      <c r="J168" s="1" t="str">
        <f>IF(Tabela14[[#This Row],[Data de Contratação2]]=Tabela14[[#This Row],[Da de Renovação]],"Em curso",IF(Tabela14[[#This Row],[Duração]]=4,"Renovar","Em curso"))</f>
        <v>Em curso</v>
      </c>
      <c r="K168" s="1" t="s">
        <v>6</v>
      </c>
      <c r="L168" s="1" t="str">
        <f t="shared" ca="1" si="12"/>
        <v>Rescendir</v>
      </c>
      <c r="M168" s="1" t="str">
        <f t="shared" ca="1" si="13"/>
        <v>Aprovar</v>
      </c>
      <c r="N168" s="1" t="str">
        <f t="shared" ca="1" si="14"/>
        <v>Contratar</v>
      </c>
    </row>
    <row r="169" spans="1:14" x14ac:dyDescent="0.25">
      <c r="A169" s="1">
        <f t="shared" si="10"/>
        <v>164</v>
      </c>
      <c r="B169" s="1" t="s">
        <v>37</v>
      </c>
      <c r="C169" s="1" t="s">
        <v>369</v>
      </c>
      <c r="D169" s="7">
        <v>14300</v>
      </c>
      <c r="E169" s="1" t="s">
        <v>429</v>
      </c>
      <c r="F169" s="3">
        <f t="shared" ca="1" si="11"/>
        <v>1</v>
      </c>
      <c r="G16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69" s="2">
        <v>41550</v>
      </c>
      <c r="I169" s="2">
        <v>41550</v>
      </c>
      <c r="J169" s="1" t="str">
        <f>IF(Tabela14[[#This Row],[Data de Contratação2]]=Tabela14[[#This Row],[Da de Renovação]],"Em curso",IF(Tabela14[[#This Row],[Duração]]=4,"Renovar","Em curso"))</f>
        <v>Em curso</v>
      </c>
      <c r="K169" s="1" t="s">
        <v>6</v>
      </c>
      <c r="L169" s="1" t="str">
        <f t="shared" ca="1" si="12"/>
        <v>Valor alto</v>
      </c>
      <c r="M169" s="1" t="str">
        <f t="shared" ca="1" si="13"/>
        <v>Renovar</v>
      </c>
      <c r="N169" s="1" t="str">
        <f t="shared" ca="1" si="14"/>
        <v>Contratar</v>
      </c>
    </row>
    <row r="170" spans="1:14" x14ac:dyDescent="0.25">
      <c r="A170" s="1">
        <f t="shared" si="10"/>
        <v>165</v>
      </c>
      <c r="B170" s="1" t="s">
        <v>39</v>
      </c>
      <c r="C170" s="1" t="s">
        <v>370</v>
      </c>
      <c r="D170" s="7">
        <v>12100</v>
      </c>
      <c r="E170" s="1" t="s">
        <v>430</v>
      </c>
      <c r="F170" s="3">
        <f t="shared" ca="1" si="11"/>
        <v>3</v>
      </c>
      <c r="G17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70" s="2">
        <v>43465</v>
      </c>
      <c r="I170" s="2">
        <v>43465</v>
      </c>
      <c r="J170" s="1" t="str">
        <f>IF(Tabela14[[#This Row],[Data de Contratação2]]=Tabela14[[#This Row],[Da de Renovação]],"Em curso",IF(Tabela14[[#This Row],[Duração]]=4,"Renovar","Em curso"))</f>
        <v>Em curso</v>
      </c>
      <c r="K170" s="1" t="s">
        <v>6</v>
      </c>
      <c r="L170" s="1" t="str">
        <f t="shared" ca="1" si="12"/>
        <v>Averba</v>
      </c>
      <c r="M170" s="1" t="str">
        <f t="shared" ca="1" si="13"/>
        <v>Rescendir</v>
      </c>
      <c r="N170" s="1" t="str">
        <f t="shared" ca="1" si="14"/>
        <v>Renovar</v>
      </c>
    </row>
    <row r="171" spans="1:14" x14ac:dyDescent="0.25">
      <c r="A171" s="1">
        <f t="shared" si="10"/>
        <v>166</v>
      </c>
      <c r="B171" s="1" t="s">
        <v>43</v>
      </c>
      <c r="C171" s="1" t="s">
        <v>371</v>
      </c>
      <c r="D171" s="7">
        <v>7480</v>
      </c>
      <c r="E171" s="1" t="s">
        <v>431</v>
      </c>
      <c r="F171" s="3">
        <f t="shared" ca="1" si="11"/>
        <v>4</v>
      </c>
      <c r="G17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71" s="2">
        <v>43188</v>
      </c>
      <c r="I171" s="2">
        <v>43188</v>
      </c>
      <c r="J171" s="1" t="str">
        <f>IF(Tabela14[[#This Row],[Data de Contratação2]]=Tabela14[[#This Row],[Da de Renovação]],"Em curso",IF(Tabela14[[#This Row],[Duração]]=4,"Renovar","Em curso"))</f>
        <v>Em curso</v>
      </c>
      <c r="K171" s="1" t="s">
        <v>6</v>
      </c>
      <c r="L171" s="1" t="str">
        <f t="shared" ca="1" si="12"/>
        <v>Rescendir</v>
      </c>
      <c r="M171" s="1" t="str">
        <f t="shared" ca="1" si="13"/>
        <v>Alterar</v>
      </c>
      <c r="N171" s="1" t="str">
        <f t="shared" ca="1" si="14"/>
        <v>Rescendir</v>
      </c>
    </row>
    <row r="172" spans="1:14" x14ac:dyDescent="0.25">
      <c r="A172" s="1">
        <f t="shared" si="10"/>
        <v>167</v>
      </c>
      <c r="B172" s="1" t="s">
        <v>131</v>
      </c>
      <c r="C172" s="1" t="s">
        <v>372</v>
      </c>
      <c r="D172" s="7">
        <v>8800</v>
      </c>
      <c r="E172" s="1" t="s">
        <v>431</v>
      </c>
      <c r="F172" s="3">
        <f t="shared" ca="1" si="11"/>
        <v>2</v>
      </c>
      <c r="G17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72" s="2">
        <v>43220</v>
      </c>
      <c r="I172" s="2">
        <v>43220</v>
      </c>
      <c r="J172" s="1" t="str">
        <f>IF(Tabela14[[#This Row],[Data de Contratação2]]=Tabela14[[#This Row],[Da de Renovação]],"Em curso",IF(Tabela14[[#This Row],[Duração]]=4,"Renovar","Em curso"))</f>
        <v>Em curso</v>
      </c>
      <c r="K172" s="1" t="s">
        <v>6</v>
      </c>
      <c r="L172" s="1" t="str">
        <f t="shared" ca="1" si="12"/>
        <v>Averba</v>
      </c>
      <c r="M172" s="1" t="str">
        <f t="shared" ca="1" si="13"/>
        <v>Alterar</v>
      </c>
      <c r="N172" s="1" t="str">
        <f t="shared" ca="1" si="14"/>
        <v>Renovar</v>
      </c>
    </row>
    <row r="173" spans="1:14" x14ac:dyDescent="0.25">
      <c r="A173" s="1">
        <f t="shared" si="10"/>
        <v>168</v>
      </c>
      <c r="B173" s="1" t="s">
        <v>44</v>
      </c>
      <c r="C173" s="1" t="s">
        <v>373</v>
      </c>
      <c r="D173" s="7">
        <v>7810</v>
      </c>
      <c r="E173" s="1" t="s">
        <v>430</v>
      </c>
      <c r="F173" s="3">
        <f t="shared" ca="1" si="11"/>
        <v>1</v>
      </c>
      <c r="G17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73" s="2">
        <v>43018</v>
      </c>
      <c r="I173" s="2">
        <v>43018</v>
      </c>
      <c r="J173" s="1" t="str">
        <f>IF(Tabela14[[#This Row],[Data de Contratação2]]=Tabela14[[#This Row],[Da de Renovação]],"Em curso",IF(Tabela14[[#This Row],[Duração]]=4,"Renovar","Em curso"))</f>
        <v>Em curso</v>
      </c>
      <c r="K173" s="1" t="s">
        <v>6</v>
      </c>
      <c r="L173" s="1" t="str">
        <f t="shared" ca="1" si="12"/>
        <v>Averba</v>
      </c>
      <c r="M173" s="1" t="str">
        <f t="shared" ca="1" si="13"/>
        <v>Aprovar</v>
      </c>
      <c r="N173" s="1" t="str">
        <f t="shared" ca="1" si="14"/>
        <v>Renovar</v>
      </c>
    </row>
    <row r="174" spans="1:14" x14ac:dyDescent="0.25">
      <c r="A174" s="1">
        <f t="shared" si="10"/>
        <v>169</v>
      </c>
      <c r="B174" s="1" t="s">
        <v>45</v>
      </c>
      <c r="C174" s="1" t="s">
        <v>374</v>
      </c>
      <c r="D174" s="7">
        <v>9405</v>
      </c>
      <c r="E174" s="1" t="s">
        <v>430</v>
      </c>
      <c r="F174" s="3">
        <f t="shared" ca="1" si="11"/>
        <v>4</v>
      </c>
      <c r="G17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74" s="2">
        <v>43018</v>
      </c>
      <c r="I174" s="2">
        <v>43018</v>
      </c>
      <c r="J174" s="1" t="str">
        <f>IF(Tabela14[[#This Row],[Data de Contratação2]]=Tabela14[[#This Row],[Da de Renovação]],"Em curso",IF(Tabela14[[#This Row],[Duração]]=4,"Renovar","Em curso"))</f>
        <v>Em curso</v>
      </c>
      <c r="K174" s="1" t="s">
        <v>6</v>
      </c>
      <c r="L174" s="1" t="str">
        <f t="shared" ca="1" si="12"/>
        <v>Averba</v>
      </c>
      <c r="M174" s="1" t="str">
        <f t="shared" ca="1" si="13"/>
        <v>Rescendir</v>
      </c>
      <c r="N174" s="1" t="str">
        <f t="shared" ca="1" si="14"/>
        <v>Rescendir</v>
      </c>
    </row>
    <row r="175" spans="1:14" x14ac:dyDescent="0.25">
      <c r="A175" s="1">
        <f t="shared" si="10"/>
        <v>170</v>
      </c>
      <c r="B175" s="1" t="s">
        <v>46</v>
      </c>
      <c r="C175" s="1" t="s">
        <v>375</v>
      </c>
      <c r="D175" s="7">
        <v>8701</v>
      </c>
      <c r="E175" s="1" t="s">
        <v>430</v>
      </c>
      <c r="F175" s="3">
        <f t="shared" ca="1" si="11"/>
        <v>1</v>
      </c>
      <c r="G17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75" s="2">
        <v>43146</v>
      </c>
      <c r="I175" s="2">
        <v>43146</v>
      </c>
      <c r="J175" s="1" t="str">
        <f>IF(Tabela14[[#This Row],[Data de Contratação2]]=Tabela14[[#This Row],[Da de Renovação]],"Em curso",IF(Tabela14[[#This Row],[Duração]]=4,"Renovar","Em curso"))</f>
        <v>Em curso</v>
      </c>
      <c r="K175" s="1" t="s">
        <v>6</v>
      </c>
      <c r="L175" s="1" t="str">
        <f t="shared" ca="1" si="12"/>
        <v>Averba</v>
      </c>
      <c r="M175" s="1" t="str">
        <f t="shared" ca="1" si="13"/>
        <v>Renovar</v>
      </c>
      <c r="N175" s="1" t="str">
        <f t="shared" ca="1" si="14"/>
        <v>Renovar</v>
      </c>
    </row>
    <row r="176" spans="1:14" x14ac:dyDescent="0.25">
      <c r="A176" s="1">
        <f t="shared" si="10"/>
        <v>171</v>
      </c>
      <c r="B176" s="1" t="s">
        <v>47</v>
      </c>
      <c r="C176" s="1" t="s">
        <v>376</v>
      </c>
      <c r="D176" s="7">
        <v>9284</v>
      </c>
      <c r="E176" s="1" t="s">
        <v>430</v>
      </c>
      <c r="F176" s="3">
        <f t="shared" ca="1" si="11"/>
        <v>4</v>
      </c>
      <c r="G17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76" s="2">
        <v>43188</v>
      </c>
      <c r="I176" s="2">
        <v>43188</v>
      </c>
      <c r="J176" s="1" t="str">
        <f>IF(Tabela14[[#This Row],[Data de Contratação2]]=Tabela14[[#This Row],[Da de Renovação]],"Em curso",IF(Tabela14[[#This Row],[Duração]]=4,"Renovar","Em curso"))</f>
        <v>Em curso</v>
      </c>
      <c r="K176" s="1" t="s">
        <v>6</v>
      </c>
      <c r="L176" s="1" t="str">
        <f t="shared" ca="1" si="12"/>
        <v>Alterar</v>
      </c>
      <c r="M176" s="1" t="str">
        <f t="shared" ca="1" si="13"/>
        <v>Renovar</v>
      </c>
      <c r="N176" s="1" t="str">
        <f t="shared" ca="1" si="14"/>
        <v>Contratar</v>
      </c>
    </row>
    <row r="177" spans="1:14" x14ac:dyDescent="0.25">
      <c r="A177" s="1">
        <f t="shared" si="10"/>
        <v>172</v>
      </c>
      <c r="B177" s="1" t="s">
        <v>50</v>
      </c>
      <c r="C177" s="1" t="s">
        <v>377</v>
      </c>
      <c r="D177" s="7">
        <v>6644</v>
      </c>
      <c r="E177" s="1" t="s">
        <v>430</v>
      </c>
      <c r="F177" s="3">
        <f t="shared" ca="1" si="11"/>
        <v>1</v>
      </c>
      <c r="G17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77" s="2">
        <v>43220</v>
      </c>
      <c r="I177" s="2">
        <v>43220</v>
      </c>
      <c r="J177" s="1" t="str">
        <f>IF(Tabela14[[#This Row],[Data de Contratação2]]=Tabela14[[#This Row],[Da de Renovação]],"Em curso",IF(Tabela14[[#This Row],[Duração]]=4,"Renovar","Em curso"))</f>
        <v>Em curso</v>
      </c>
      <c r="K177" s="1" t="s">
        <v>6</v>
      </c>
      <c r="L177" s="1" t="str">
        <f t="shared" ca="1" si="12"/>
        <v>Alterar</v>
      </c>
      <c r="M177" s="1" t="str">
        <f t="shared" ca="1" si="13"/>
        <v>Rescendir</v>
      </c>
      <c r="N177" s="1" t="str">
        <f t="shared" ca="1" si="14"/>
        <v>Contratar</v>
      </c>
    </row>
    <row r="178" spans="1:14" x14ac:dyDescent="0.25">
      <c r="A178" s="1">
        <f t="shared" si="10"/>
        <v>173</v>
      </c>
      <c r="B178" s="1" t="s">
        <v>48</v>
      </c>
      <c r="C178" s="1" t="s">
        <v>378</v>
      </c>
      <c r="D178" s="7">
        <v>6908</v>
      </c>
      <c r="E178" s="1" t="s">
        <v>430</v>
      </c>
      <c r="F178" s="3">
        <f t="shared" ca="1" si="11"/>
        <v>2</v>
      </c>
      <c r="G17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78" s="2">
        <v>43188</v>
      </c>
      <c r="I178" s="2">
        <v>43188</v>
      </c>
      <c r="J178" s="1" t="str">
        <f>IF(Tabela14[[#This Row],[Data de Contratação2]]=Tabela14[[#This Row],[Da de Renovação]],"Em curso",IF(Tabela14[[#This Row],[Duração]]=4,"Renovar","Em curso"))</f>
        <v>Em curso</v>
      </c>
      <c r="K178" s="1" t="s">
        <v>6</v>
      </c>
      <c r="L178" s="1" t="str">
        <f t="shared" ca="1" si="12"/>
        <v>Alterar</v>
      </c>
      <c r="M178" s="1" t="str">
        <f t="shared" ca="1" si="13"/>
        <v>Renovar</v>
      </c>
      <c r="N178" s="1" t="str">
        <f t="shared" ca="1" si="14"/>
        <v>Renovar</v>
      </c>
    </row>
    <row r="179" spans="1:14" x14ac:dyDescent="0.25">
      <c r="A179" s="1">
        <f t="shared" si="10"/>
        <v>174</v>
      </c>
      <c r="B179" s="1" t="s">
        <v>52</v>
      </c>
      <c r="C179" s="1" t="s">
        <v>379</v>
      </c>
      <c r="D179" s="7">
        <v>14300</v>
      </c>
      <c r="E179" s="1" t="s">
        <v>428</v>
      </c>
      <c r="F179" s="3">
        <f t="shared" ca="1" si="11"/>
        <v>4</v>
      </c>
      <c r="G17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79" s="2">
        <v>41743</v>
      </c>
      <c r="I179" s="2">
        <v>41743</v>
      </c>
      <c r="J179" s="1" t="str">
        <f>IF(Tabela14[[#This Row],[Data de Contratação2]]=Tabela14[[#This Row],[Da de Renovação]],"Em curso",IF(Tabela14[[#This Row],[Duração]]=4,"Renovar","Em curso"))</f>
        <v>Em curso</v>
      </c>
      <c r="K179" s="1" t="s">
        <v>6</v>
      </c>
      <c r="L179" s="1" t="str">
        <f t="shared" ca="1" si="12"/>
        <v>Rescendir</v>
      </c>
      <c r="M179" s="1" t="str">
        <f t="shared" ca="1" si="13"/>
        <v>Renovar</v>
      </c>
      <c r="N179" s="1" t="str">
        <f t="shared" ca="1" si="14"/>
        <v>Alterar</v>
      </c>
    </row>
    <row r="180" spans="1:14" x14ac:dyDescent="0.25">
      <c r="A180" s="1">
        <f t="shared" si="10"/>
        <v>175</v>
      </c>
      <c r="B180" s="1" t="s">
        <v>54</v>
      </c>
      <c r="C180" s="1" t="s">
        <v>380</v>
      </c>
      <c r="D180" s="7">
        <v>13640</v>
      </c>
      <c r="E180" s="1" t="s">
        <v>428</v>
      </c>
      <c r="F180" s="3">
        <f t="shared" ca="1" si="11"/>
        <v>3</v>
      </c>
      <c r="G18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80" s="2">
        <v>42389</v>
      </c>
      <c r="I180" s="2">
        <v>42389</v>
      </c>
      <c r="J180" s="1" t="str">
        <f>IF(Tabela14[[#This Row],[Data de Contratação2]]=Tabela14[[#This Row],[Da de Renovação]],"Em curso",IF(Tabela14[[#This Row],[Duração]]=4,"Renovar","Em curso"))</f>
        <v>Em curso</v>
      </c>
      <c r="K180" s="1" t="s">
        <v>6</v>
      </c>
      <c r="L180" s="1" t="str">
        <f t="shared" ca="1" si="12"/>
        <v>Alterar</v>
      </c>
      <c r="M180" s="1" t="str">
        <f t="shared" ca="1" si="13"/>
        <v>Renovar</v>
      </c>
      <c r="N180" s="1" t="str">
        <f t="shared" ca="1" si="14"/>
        <v>Alterar</v>
      </c>
    </row>
    <row r="181" spans="1:14" x14ac:dyDescent="0.25">
      <c r="A181" s="1">
        <f t="shared" si="10"/>
        <v>176</v>
      </c>
      <c r="B181" s="1" t="s">
        <v>57</v>
      </c>
      <c r="C181" s="1" t="s">
        <v>381</v>
      </c>
      <c r="D181" s="7">
        <v>13860</v>
      </c>
      <c r="E181" s="1" t="s">
        <v>428</v>
      </c>
      <c r="F181" s="3">
        <f t="shared" ca="1" si="11"/>
        <v>1</v>
      </c>
      <c r="G18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81" s="2">
        <v>42049</v>
      </c>
      <c r="I181" s="2">
        <v>42049</v>
      </c>
      <c r="J181" s="1" t="str">
        <f>IF(Tabela14[[#This Row],[Data de Contratação2]]=Tabela14[[#This Row],[Da de Renovação]],"Em curso",IF(Tabela14[[#This Row],[Duração]]=4,"Renovar","Em curso"))</f>
        <v>Em curso</v>
      </c>
      <c r="K181" s="1" t="s">
        <v>6</v>
      </c>
      <c r="L181" s="1" t="str">
        <f t="shared" ca="1" si="12"/>
        <v>Alterar</v>
      </c>
      <c r="M181" s="1" t="str">
        <f t="shared" ca="1" si="13"/>
        <v>Rescendir</v>
      </c>
      <c r="N181" s="1" t="str">
        <f t="shared" ca="1" si="14"/>
        <v>Contratar</v>
      </c>
    </row>
    <row r="182" spans="1:14" x14ac:dyDescent="0.25">
      <c r="A182" s="1">
        <f t="shared" si="10"/>
        <v>177</v>
      </c>
      <c r="B182" s="1" t="s">
        <v>59</v>
      </c>
      <c r="C182" s="1" t="s">
        <v>382</v>
      </c>
      <c r="D182" s="7">
        <v>14080</v>
      </c>
      <c r="E182" s="1" t="s">
        <v>428</v>
      </c>
      <c r="F182" s="3">
        <f t="shared" ca="1" si="11"/>
        <v>3</v>
      </c>
      <c r="G18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82" s="2">
        <v>42855</v>
      </c>
      <c r="I182" s="2">
        <v>42855</v>
      </c>
      <c r="J182" s="1" t="str">
        <f>IF(Tabela14[[#This Row],[Data de Contratação2]]=Tabela14[[#This Row],[Da de Renovação]],"Em curso",IF(Tabela14[[#This Row],[Duração]]=4,"Renovar","Em curso"))</f>
        <v>Em curso</v>
      </c>
      <c r="K182" s="1" t="s">
        <v>6</v>
      </c>
      <c r="L182" s="1" t="str">
        <f t="shared" ca="1" si="12"/>
        <v>Rescendir</v>
      </c>
      <c r="M182" s="1" t="str">
        <f t="shared" ca="1" si="13"/>
        <v>Alterar</v>
      </c>
      <c r="N182" s="1" t="str">
        <f t="shared" ca="1" si="14"/>
        <v>Alterar</v>
      </c>
    </row>
    <row r="183" spans="1:14" x14ac:dyDescent="0.25">
      <c r="A183" s="1">
        <f t="shared" si="10"/>
        <v>178</v>
      </c>
      <c r="B183" s="1" t="s">
        <v>60</v>
      </c>
      <c r="C183" s="1" t="s">
        <v>383</v>
      </c>
      <c r="D183" s="7">
        <v>6378</v>
      </c>
      <c r="E183" s="1" t="s">
        <v>431</v>
      </c>
      <c r="F183" s="3">
        <f t="shared" ca="1" si="11"/>
        <v>1</v>
      </c>
      <c r="G18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83" s="2">
        <v>42133</v>
      </c>
      <c r="I183" s="2">
        <v>42133</v>
      </c>
      <c r="J183" s="1" t="str">
        <f>IF(Tabela14[[#This Row],[Data de Contratação2]]=Tabela14[[#This Row],[Da de Renovação]],"Em curso",IF(Tabela14[[#This Row],[Duração]]=4,"Renovar","Em curso"))</f>
        <v>Em curso</v>
      </c>
      <c r="K183" s="1" t="s">
        <v>6</v>
      </c>
      <c r="L183" s="1" t="str">
        <f t="shared" ca="1" si="12"/>
        <v>Rescendir</v>
      </c>
      <c r="M183" s="1" t="str">
        <f t="shared" ca="1" si="13"/>
        <v>Alterar</v>
      </c>
      <c r="N183" s="1" t="str">
        <f t="shared" ca="1" si="14"/>
        <v>Renovar</v>
      </c>
    </row>
    <row r="184" spans="1:14" x14ac:dyDescent="0.25">
      <c r="A184" s="1">
        <f t="shared" si="10"/>
        <v>179</v>
      </c>
      <c r="B184" s="1" t="s">
        <v>53</v>
      </c>
      <c r="C184" s="1" t="s">
        <v>384</v>
      </c>
      <c r="D184" s="7">
        <v>6908</v>
      </c>
      <c r="E184" s="1" t="s">
        <v>431</v>
      </c>
      <c r="F184" s="3">
        <f t="shared" ca="1" si="11"/>
        <v>3</v>
      </c>
      <c r="G18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84" s="2">
        <v>41278</v>
      </c>
      <c r="I184" s="2">
        <v>41278</v>
      </c>
      <c r="J184" s="1" t="str">
        <f>IF(Tabela14[[#This Row],[Data de Contratação2]]=Tabela14[[#This Row],[Da de Renovação]],"Em curso",IF(Tabela14[[#This Row],[Duração]]=4,"Renovar","Em curso"))</f>
        <v>Em curso</v>
      </c>
      <c r="K184" s="1" t="s">
        <v>6</v>
      </c>
      <c r="L184" s="1" t="str">
        <f t="shared" ca="1" si="12"/>
        <v>Averba</v>
      </c>
      <c r="M184" s="1" t="str">
        <f t="shared" ca="1" si="13"/>
        <v>Alterar</v>
      </c>
      <c r="N184" s="1" t="str">
        <f t="shared" ca="1" si="14"/>
        <v>Rescendir</v>
      </c>
    </row>
    <row r="185" spans="1:14" x14ac:dyDescent="0.25">
      <c r="A185" s="1">
        <f t="shared" si="10"/>
        <v>180</v>
      </c>
      <c r="B185" s="1" t="s">
        <v>55</v>
      </c>
      <c r="C185" s="1" t="s">
        <v>385</v>
      </c>
      <c r="D185" s="7">
        <v>5720</v>
      </c>
      <c r="E185" s="1" t="s">
        <v>431</v>
      </c>
      <c r="F185" s="3">
        <f t="shared" ca="1" si="11"/>
        <v>2</v>
      </c>
      <c r="G18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85" s="2">
        <v>41659</v>
      </c>
      <c r="I185" s="2">
        <v>41659</v>
      </c>
      <c r="J185" s="1" t="str">
        <f>IF(Tabela14[[#This Row],[Data de Contratação2]]=Tabela14[[#This Row],[Da de Renovação]],"Em curso",IF(Tabela14[[#This Row],[Duração]]=4,"Renovar","Em curso"))</f>
        <v>Em curso</v>
      </c>
      <c r="K185" s="1" t="s">
        <v>6</v>
      </c>
      <c r="L185" s="1" t="str">
        <f t="shared" ca="1" si="12"/>
        <v>Averba</v>
      </c>
      <c r="M185" s="1" t="str">
        <f t="shared" ca="1" si="13"/>
        <v>Alterar</v>
      </c>
      <c r="N185" s="1" t="str">
        <f t="shared" ca="1" si="14"/>
        <v>Contratar</v>
      </c>
    </row>
    <row r="186" spans="1:14" x14ac:dyDescent="0.25">
      <c r="A186" s="1">
        <f t="shared" si="10"/>
        <v>181</v>
      </c>
      <c r="B186" s="1" t="s">
        <v>56</v>
      </c>
      <c r="C186" s="1" t="s">
        <v>386</v>
      </c>
      <c r="D186" s="7">
        <v>6048</v>
      </c>
      <c r="E186" s="1" t="s">
        <v>431</v>
      </c>
      <c r="F186" s="3">
        <f t="shared" ca="1" si="11"/>
        <v>4</v>
      </c>
      <c r="G18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86" s="2">
        <v>41917</v>
      </c>
      <c r="I186" s="2">
        <v>41917</v>
      </c>
      <c r="J186" s="1" t="str">
        <f>IF(Tabela14[[#This Row],[Data de Contratação2]]=Tabela14[[#This Row],[Da de Renovação]],"Em curso",IF(Tabela14[[#This Row],[Duração]]=4,"Renovar","Em curso"))</f>
        <v>Em curso</v>
      </c>
      <c r="K186" s="1" t="s">
        <v>6</v>
      </c>
      <c r="L186" s="1" t="str">
        <f t="shared" ca="1" si="12"/>
        <v>Valor alto</v>
      </c>
      <c r="M186" s="1" t="str">
        <f t="shared" ca="1" si="13"/>
        <v>Renovar</v>
      </c>
      <c r="N186" s="1" t="str">
        <f t="shared" ca="1" si="14"/>
        <v>Alterar</v>
      </c>
    </row>
    <row r="187" spans="1:14" x14ac:dyDescent="0.25">
      <c r="A187" s="1">
        <f t="shared" si="10"/>
        <v>182</v>
      </c>
      <c r="B187" s="1" t="s">
        <v>62</v>
      </c>
      <c r="C187" s="1" t="s">
        <v>387</v>
      </c>
      <c r="D187" s="7">
        <v>9900</v>
      </c>
      <c r="E187" s="1" t="s">
        <v>431</v>
      </c>
      <c r="F187" s="3">
        <f t="shared" ca="1" si="11"/>
        <v>1</v>
      </c>
      <c r="G18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87" s="2">
        <v>43220</v>
      </c>
      <c r="I187" s="2">
        <v>43220</v>
      </c>
      <c r="J187" s="1" t="str">
        <f>IF(Tabela14[[#This Row],[Data de Contratação2]]=Tabela14[[#This Row],[Da de Renovação]],"Em curso",IF(Tabela14[[#This Row],[Duração]]=4,"Renovar","Em curso"))</f>
        <v>Em curso</v>
      </c>
      <c r="K187" s="1" t="s">
        <v>6</v>
      </c>
      <c r="L187" s="1" t="str">
        <f t="shared" ca="1" si="12"/>
        <v>Valor alto</v>
      </c>
      <c r="M187" s="1" t="str">
        <f t="shared" ca="1" si="13"/>
        <v>Alterar</v>
      </c>
      <c r="N187" s="1" t="str">
        <f t="shared" ca="1" si="14"/>
        <v>Alterar</v>
      </c>
    </row>
    <row r="188" spans="1:14" x14ac:dyDescent="0.25">
      <c r="A188" s="1">
        <f t="shared" si="10"/>
        <v>183</v>
      </c>
      <c r="B188" s="1" t="s">
        <v>64</v>
      </c>
      <c r="C188" s="1" t="s">
        <v>388</v>
      </c>
      <c r="D188" s="7">
        <v>9240</v>
      </c>
      <c r="E188" s="1" t="s">
        <v>431</v>
      </c>
      <c r="F188" s="3">
        <f t="shared" ca="1" si="11"/>
        <v>2</v>
      </c>
      <c r="G18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88" s="2">
        <v>43188</v>
      </c>
      <c r="I188" s="2">
        <v>43188</v>
      </c>
      <c r="J188" s="1" t="str">
        <f>IF(Tabela14[[#This Row],[Data de Contratação2]]=Tabela14[[#This Row],[Da de Renovação]],"Em curso",IF(Tabela14[[#This Row],[Duração]]=4,"Renovar","Em curso"))</f>
        <v>Em curso</v>
      </c>
      <c r="K188" s="1" t="s">
        <v>6</v>
      </c>
      <c r="L188" s="1" t="str">
        <f t="shared" ca="1" si="12"/>
        <v>Alterar</v>
      </c>
      <c r="M188" s="1" t="str">
        <f t="shared" ca="1" si="13"/>
        <v>Aprovar</v>
      </c>
      <c r="N188" s="1" t="str">
        <f t="shared" ca="1" si="14"/>
        <v>Renovar</v>
      </c>
    </row>
    <row r="189" spans="1:14" x14ac:dyDescent="0.25">
      <c r="A189" s="1">
        <f t="shared" si="10"/>
        <v>184</v>
      </c>
      <c r="B189" s="1" t="s">
        <v>58</v>
      </c>
      <c r="C189" s="1" t="s">
        <v>389</v>
      </c>
      <c r="D189" s="7">
        <v>8140</v>
      </c>
      <c r="E189" s="1" t="s">
        <v>431</v>
      </c>
      <c r="F189" s="3">
        <f t="shared" ca="1" si="11"/>
        <v>4</v>
      </c>
      <c r="G18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189" s="2">
        <v>43220</v>
      </c>
      <c r="I189" s="2">
        <v>43220</v>
      </c>
      <c r="J189" s="1" t="str">
        <f>IF(Tabela14[[#This Row],[Data de Contratação2]]=Tabela14[[#This Row],[Da de Renovação]],"Em curso",IF(Tabela14[[#This Row],[Duração]]=4,"Renovar","Em curso"))</f>
        <v>Em curso</v>
      </c>
      <c r="K189" s="1" t="s">
        <v>6</v>
      </c>
      <c r="L189" s="1" t="str">
        <f t="shared" ca="1" si="12"/>
        <v>Averba</v>
      </c>
      <c r="M189" s="1" t="str">
        <f t="shared" ca="1" si="13"/>
        <v>Rescendir</v>
      </c>
      <c r="N189" s="1" t="str">
        <f t="shared" ca="1" si="14"/>
        <v>Alterar</v>
      </c>
    </row>
    <row r="190" spans="1:14" x14ac:dyDescent="0.25">
      <c r="A190" s="1">
        <f t="shared" si="10"/>
        <v>185</v>
      </c>
      <c r="B190" s="1" t="s">
        <v>89</v>
      </c>
      <c r="C190" s="1" t="s">
        <v>390</v>
      </c>
      <c r="D190" s="7">
        <v>8580</v>
      </c>
      <c r="E190" s="1" t="s">
        <v>431</v>
      </c>
      <c r="F190" s="3">
        <f t="shared" ca="1" si="11"/>
        <v>2</v>
      </c>
      <c r="G19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90" s="2">
        <v>43220</v>
      </c>
      <c r="I190" s="2">
        <v>43220</v>
      </c>
      <c r="J190" s="1" t="str">
        <f>IF(Tabela14[[#This Row],[Data de Contratação2]]=Tabela14[[#This Row],[Da de Renovação]],"Em curso",IF(Tabela14[[#This Row],[Duração]]=4,"Renovar","Em curso"))</f>
        <v>Em curso</v>
      </c>
      <c r="K190" s="1" t="s">
        <v>6</v>
      </c>
      <c r="L190" s="1" t="str">
        <f t="shared" ca="1" si="12"/>
        <v>Averba</v>
      </c>
      <c r="M190" s="1" t="str">
        <f t="shared" ca="1" si="13"/>
        <v>Rescendir</v>
      </c>
      <c r="N190" s="1" t="str">
        <f t="shared" ca="1" si="14"/>
        <v>Renovar</v>
      </c>
    </row>
    <row r="191" spans="1:14" x14ac:dyDescent="0.25">
      <c r="A191" s="1">
        <f t="shared" si="10"/>
        <v>186</v>
      </c>
      <c r="B191" s="1" t="s">
        <v>66</v>
      </c>
      <c r="C191" s="1" t="s">
        <v>391</v>
      </c>
      <c r="D191" s="7">
        <v>9460</v>
      </c>
      <c r="E191" s="1" t="s">
        <v>432</v>
      </c>
      <c r="F191" s="3">
        <f t="shared" ca="1" si="11"/>
        <v>1</v>
      </c>
      <c r="G19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91" s="2">
        <v>43188</v>
      </c>
      <c r="I191" s="2">
        <v>43188</v>
      </c>
      <c r="J191" s="1" t="str">
        <f>IF(Tabela14[[#This Row],[Data de Contratação2]]=Tabela14[[#This Row],[Da de Renovação]],"Em curso",IF(Tabela14[[#This Row],[Duração]]=4,"Renovar","Em curso"))</f>
        <v>Em curso</v>
      </c>
      <c r="K191" s="1" t="s">
        <v>6</v>
      </c>
      <c r="L191" s="1" t="str">
        <f t="shared" ca="1" si="12"/>
        <v>Rescendir</v>
      </c>
      <c r="M191" s="1" t="str">
        <f t="shared" ca="1" si="13"/>
        <v>Renovar</v>
      </c>
      <c r="N191" s="1" t="str">
        <f t="shared" ca="1" si="14"/>
        <v>Alterar</v>
      </c>
    </row>
    <row r="192" spans="1:14" x14ac:dyDescent="0.25">
      <c r="A192" s="1">
        <f t="shared" si="10"/>
        <v>187</v>
      </c>
      <c r="B192" s="1" t="s">
        <v>61</v>
      </c>
      <c r="C192" s="1" t="s">
        <v>392</v>
      </c>
      <c r="D192" s="7">
        <v>5940</v>
      </c>
      <c r="E192" s="1" t="s">
        <v>432</v>
      </c>
      <c r="F192" s="3">
        <f t="shared" ca="1" si="11"/>
        <v>4</v>
      </c>
      <c r="G19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192" s="2">
        <v>43146</v>
      </c>
      <c r="I192" s="2">
        <v>43146</v>
      </c>
      <c r="J192" s="1" t="str">
        <f>IF(Tabela14[[#This Row],[Data de Contratação2]]=Tabela14[[#This Row],[Da de Renovação]],"Em curso",IF(Tabela14[[#This Row],[Duração]]=4,"Renovar","Em curso"))</f>
        <v>Em curso</v>
      </c>
      <c r="K192" s="1" t="s">
        <v>6</v>
      </c>
      <c r="L192" s="1" t="str">
        <f t="shared" ca="1" si="12"/>
        <v>Valor alto</v>
      </c>
      <c r="M192" s="1" t="str">
        <f t="shared" ca="1" si="13"/>
        <v>Aprovar</v>
      </c>
      <c r="N192" s="1" t="str">
        <f t="shared" ca="1" si="14"/>
        <v>Rescendir</v>
      </c>
    </row>
    <row r="193" spans="1:14" x14ac:dyDescent="0.25">
      <c r="A193" s="1">
        <f t="shared" si="10"/>
        <v>188</v>
      </c>
      <c r="B193" s="1" t="s">
        <v>63</v>
      </c>
      <c r="C193" s="1" t="s">
        <v>393</v>
      </c>
      <c r="D193" s="7">
        <v>10340</v>
      </c>
      <c r="E193" s="1" t="s">
        <v>432</v>
      </c>
      <c r="F193" s="3">
        <f t="shared" ca="1" si="11"/>
        <v>2</v>
      </c>
      <c r="G19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93" s="2">
        <v>43007</v>
      </c>
      <c r="I193" s="2">
        <v>43007</v>
      </c>
      <c r="J193" s="1" t="str">
        <f>IF(Tabela14[[#This Row],[Data de Contratação2]]=Tabela14[[#This Row],[Da de Renovação]],"Em curso",IF(Tabela14[[#This Row],[Duração]]=4,"Renovar","Em curso"))</f>
        <v>Em curso</v>
      </c>
      <c r="K193" s="1" t="s">
        <v>6</v>
      </c>
      <c r="L193" s="1" t="str">
        <f t="shared" ca="1" si="12"/>
        <v>Rescendir</v>
      </c>
      <c r="M193" s="1" t="str">
        <f t="shared" ca="1" si="13"/>
        <v>Renovar</v>
      </c>
      <c r="N193" s="1" t="str">
        <f t="shared" ca="1" si="14"/>
        <v>Contratar</v>
      </c>
    </row>
    <row r="194" spans="1:14" x14ac:dyDescent="0.25">
      <c r="A194" s="1">
        <f t="shared" si="10"/>
        <v>189</v>
      </c>
      <c r="B194" s="1" t="s">
        <v>69</v>
      </c>
      <c r="C194" s="1" t="s">
        <v>394</v>
      </c>
      <c r="D194" s="7">
        <v>10802</v>
      </c>
      <c r="E194" s="1" t="s">
        <v>432</v>
      </c>
      <c r="F194" s="3">
        <f t="shared" ca="1" si="11"/>
        <v>3</v>
      </c>
      <c r="G19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194" s="2">
        <v>43188</v>
      </c>
      <c r="I194" s="2">
        <v>43188</v>
      </c>
      <c r="J194" s="1" t="str">
        <f>IF(Tabela14[[#This Row],[Data de Contratação2]]=Tabela14[[#This Row],[Da de Renovação]],"Em curso",IF(Tabela14[[#This Row],[Duração]]=4,"Renovar","Em curso"))</f>
        <v>Em curso</v>
      </c>
      <c r="K194" s="1" t="s">
        <v>6</v>
      </c>
      <c r="L194" s="1" t="str">
        <f t="shared" ca="1" si="12"/>
        <v>Rescendir</v>
      </c>
      <c r="M194" s="1" t="str">
        <f t="shared" ca="1" si="13"/>
        <v>Aprovar</v>
      </c>
      <c r="N194" s="1" t="str">
        <f t="shared" ca="1" si="14"/>
        <v>Contratar</v>
      </c>
    </row>
    <row r="195" spans="1:14" x14ac:dyDescent="0.25">
      <c r="A195" s="1">
        <f t="shared" si="10"/>
        <v>190</v>
      </c>
      <c r="B195" s="1" t="s">
        <v>194</v>
      </c>
      <c r="C195" s="1" t="s">
        <v>395</v>
      </c>
      <c r="D195" s="7">
        <v>10000</v>
      </c>
      <c r="E195" s="1" t="s">
        <v>427</v>
      </c>
      <c r="F195" s="3">
        <f t="shared" ca="1" si="11"/>
        <v>2</v>
      </c>
      <c r="G19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95" s="2">
        <v>43505</v>
      </c>
      <c r="I195" s="2">
        <v>43505</v>
      </c>
      <c r="J195" s="1" t="str">
        <f>IF(Tabela14[[#This Row],[Data de Contratação2]]=Tabela14[[#This Row],[Da de Renovação]],"Em curso",IF(Tabela14[[#This Row],[Duração]]=4,"Renovar","Em curso"))</f>
        <v>Em curso</v>
      </c>
      <c r="K195" s="1" t="s">
        <v>6</v>
      </c>
      <c r="L195" s="1" t="str">
        <f t="shared" ca="1" si="12"/>
        <v>Valor alto</v>
      </c>
      <c r="M195" s="1" t="str">
        <f t="shared" ca="1" si="13"/>
        <v>Renovar</v>
      </c>
      <c r="N195" s="1" t="str">
        <f t="shared" ca="1" si="14"/>
        <v>Alterar</v>
      </c>
    </row>
    <row r="196" spans="1:14" x14ac:dyDescent="0.25">
      <c r="A196" s="1">
        <f t="shared" si="10"/>
        <v>191</v>
      </c>
      <c r="B196" s="1" t="s">
        <v>154</v>
      </c>
      <c r="C196" s="1" t="s">
        <v>396</v>
      </c>
      <c r="D196" s="7">
        <v>10500</v>
      </c>
      <c r="E196" s="1" t="s">
        <v>427</v>
      </c>
      <c r="F196" s="3">
        <f t="shared" ca="1" si="11"/>
        <v>1</v>
      </c>
      <c r="G19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96" s="2">
        <v>43497</v>
      </c>
      <c r="I196" s="2">
        <v>43497</v>
      </c>
      <c r="J196" s="1" t="str">
        <f>IF(Tabela14[[#This Row],[Data de Contratação2]]=Tabela14[[#This Row],[Da de Renovação]],"Em curso",IF(Tabela14[[#This Row],[Duração]]=4,"Renovar","Em curso"))</f>
        <v>Em curso</v>
      </c>
      <c r="K196" s="1" t="s">
        <v>6</v>
      </c>
      <c r="L196" s="1" t="str">
        <f t="shared" ca="1" si="12"/>
        <v>Averba</v>
      </c>
      <c r="M196" s="1" t="str">
        <f t="shared" ca="1" si="13"/>
        <v>Alterar</v>
      </c>
      <c r="N196" s="1" t="str">
        <f t="shared" ca="1" si="14"/>
        <v>Alterar</v>
      </c>
    </row>
    <row r="197" spans="1:14" x14ac:dyDescent="0.25">
      <c r="A197" s="1">
        <f t="shared" si="10"/>
        <v>192</v>
      </c>
      <c r="B197" s="1" t="s">
        <v>155</v>
      </c>
      <c r="C197" s="1" t="s">
        <v>397</v>
      </c>
      <c r="D197" s="7">
        <v>10500</v>
      </c>
      <c r="E197" s="1" t="s">
        <v>427</v>
      </c>
      <c r="F197" s="3">
        <f t="shared" ca="1" si="11"/>
        <v>2</v>
      </c>
      <c r="G19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197" s="2">
        <v>43510</v>
      </c>
      <c r="I197" s="2">
        <v>43510</v>
      </c>
      <c r="J197" s="1" t="str">
        <f>IF(Tabela14[[#This Row],[Data de Contratação2]]=Tabela14[[#This Row],[Da de Renovação]],"Em curso",IF(Tabela14[[#This Row],[Duração]]=4,"Renovar","Em curso"))</f>
        <v>Em curso</v>
      </c>
      <c r="K197" s="1" t="s">
        <v>6</v>
      </c>
      <c r="L197" s="1" t="str">
        <f t="shared" ca="1" si="12"/>
        <v>Rescendir</v>
      </c>
      <c r="M197" s="1" t="str">
        <f t="shared" ca="1" si="13"/>
        <v>Renovar</v>
      </c>
      <c r="N197" s="1" t="str">
        <f t="shared" ca="1" si="14"/>
        <v>Alterar</v>
      </c>
    </row>
    <row r="198" spans="1:14" x14ac:dyDescent="0.25">
      <c r="A198" s="1">
        <f t="shared" ref="A198:A212" si="15">A197+1</f>
        <v>193</v>
      </c>
      <c r="B198" s="1" t="s">
        <v>195</v>
      </c>
      <c r="C198" s="1" t="s">
        <v>398</v>
      </c>
      <c r="D198" s="7">
        <v>10472</v>
      </c>
      <c r="E198" s="1" t="s">
        <v>432</v>
      </c>
      <c r="F198" s="3">
        <f t="shared" ref="F198:F212" ca="1" si="16">RANDBETWEEN(1,4)</f>
        <v>4</v>
      </c>
      <c r="G19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Contratar</v>
      </c>
      <c r="H198" s="2">
        <v>43018</v>
      </c>
      <c r="I198" s="2">
        <v>43018</v>
      </c>
      <c r="J198" s="1" t="str">
        <f>IF(Tabela14[[#This Row],[Data de Contratação2]]=Tabela14[[#This Row],[Da de Renovação]],"Em curso",IF(Tabela14[[#This Row],[Duração]]=4,"Renovar","Em curso"))</f>
        <v>Em curso</v>
      </c>
      <c r="K198" s="1" t="s">
        <v>6</v>
      </c>
      <c r="L198" s="1" t="str">
        <f t="shared" ref="L198:L212" ca="1" si="17">CHOOSE(RANDBETWEEN(1,4),"Averba","Valor alto","Rescendir","Alterar")</f>
        <v>Rescendir</v>
      </c>
      <c r="M198" s="1" t="str">
        <f t="shared" ref="M198:M212" ca="1" si="18">CHOOSE(RANDBETWEEN(1,4),"Aprovar","Renovar","Rescendir","Alterar")</f>
        <v>Renovar</v>
      </c>
      <c r="N198" s="1" t="str">
        <f t="shared" ref="N198:N212" ca="1" si="19">CHOOSE(RANDBETWEEN(1,4),"Contratar","Renovar","Rescendir","Alterar")</f>
        <v>Contratar</v>
      </c>
    </row>
    <row r="199" spans="1:14" x14ac:dyDescent="0.25">
      <c r="A199" s="1">
        <f t="shared" si="15"/>
        <v>194</v>
      </c>
      <c r="B199" s="1" t="s">
        <v>196</v>
      </c>
      <c r="C199" s="1" t="s">
        <v>399</v>
      </c>
      <c r="D199" s="7">
        <v>12320</v>
      </c>
      <c r="E199" s="1" t="s">
        <v>432</v>
      </c>
      <c r="F199" s="3">
        <f t="shared" ca="1" si="16"/>
        <v>1</v>
      </c>
      <c r="G19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199" s="2">
        <v>42684</v>
      </c>
      <c r="I199" s="2">
        <v>42684</v>
      </c>
      <c r="J199" s="1" t="str">
        <f>IF(Tabela14[[#This Row],[Data de Contratação2]]=Tabela14[[#This Row],[Da de Renovação]],"Em curso",IF(Tabela14[[#This Row],[Duração]]=4,"Renovar","Em curso"))</f>
        <v>Em curso</v>
      </c>
      <c r="K199" s="1" t="s">
        <v>6</v>
      </c>
      <c r="L199" s="1" t="str">
        <f t="shared" ca="1" si="17"/>
        <v>Averba</v>
      </c>
      <c r="M199" s="1" t="str">
        <f t="shared" ca="1" si="18"/>
        <v>Rescendir</v>
      </c>
      <c r="N199" s="1" t="str">
        <f t="shared" ca="1" si="19"/>
        <v>Rescendir</v>
      </c>
    </row>
    <row r="200" spans="1:14" x14ac:dyDescent="0.25">
      <c r="A200" s="1">
        <f t="shared" si="15"/>
        <v>195</v>
      </c>
      <c r="B200" s="1" t="s">
        <v>197</v>
      </c>
      <c r="C200" s="1" t="s">
        <v>400</v>
      </c>
      <c r="D200" s="7">
        <v>12566</v>
      </c>
      <c r="E200" s="1" t="s">
        <v>432</v>
      </c>
      <c r="F200" s="3">
        <f t="shared" ca="1" si="16"/>
        <v>2</v>
      </c>
      <c r="G20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200" s="2">
        <v>42248</v>
      </c>
      <c r="I200" s="2">
        <v>42248</v>
      </c>
      <c r="J200" s="1" t="str">
        <f>IF(Tabela14[[#This Row],[Data de Contratação2]]=Tabela14[[#This Row],[Da de Renovação]],"Em curso",IF(Tabela14[[#This Row],[Duração]]=4,"Renovar","Em curso"))</f>
        <v>Em curso</v>
      </c>
      <c r="K200" s="1" t="s">
        <v>6</v>
      </c>
      <c r="L200" s="1" t="str">
        <f t="shared" ca="1" si="17"/>
        <v>Rescendir</v>
      </c>
      <c r="M200" s="1" t="str">
        <f t="shared" ca="1" si="18"/>
        <v>Renovar</v>
      </c>
      <c r="N200" s="1" t="str">
        <f t="shared" ca="1" si="19"/>
        <v>Rescendir</v>
      </c>
    </row>
    <row r="201" spans="1:14" x14ac:dyDescent="0.25">
      <c r="A201" s="1">
        <f t="shared" si="15"/>
        <v>196</v>
      </c>
      <c r="B201" s="1" t="s">
        <v>198</v>
      </c>
      <c r="C201" s="1" t="s">
        <v>401</v>
      </c>
      <c r="D201" s="7">
        <v>12212</v>
      </c>
      <c r="E201" s="1" t="s">
        <v>432</v>
      </c>
      <c r="F201" s="3">
        <f t="shared" ca="1" si="16"/>
        <v>3</v>
      </c>
      <c r="G20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201" s="2">
        <v>42684</v>
      </c>
      <c r="I201" s="2">
        <v>42684</v>
      </c>
      <c r="J201" s="1" t="str">
        <f>IF(Tabela14[[#This Row],[Data de Contratação2]]=Tabela14[[#This Row],[Da de Renovação]],"Em curso",IF(Tabela14[[#This Row],[Duração]]=4,"Renovar","Em curso"))</f>
        <v>Em curso</v>
      </c>
      <c r="K201" s="1" t="s">
        <v>6</v>
      </c>
      <c r="L201" s="1" t="str">
        <f t="shared" ca="1" si="17"/>
        <v>Averba</v>
      </c>
      <c r="M201" s="1" t="str">
        <f t="shared" ca="1" si="18"/>
        <v>Alterar</v>
      </c>
      <c r="N201" s="1" t="str">
        <f t="shared" ca="1" si="19"/>
        <v>Alterar</v>
      </c>
    </row>
    <row r="202" spans="1:14" x14ac:dyDescent="0.25">
      <c r="A202" s="1">
        <f t="shared" si="15"/>
        <v>197</v>
      </c>
      <c r="B202" s="1" t="s">
        <v>199</v>
      </c>
      <c r="C202" s="1" t="s">
        <v>402</v>
      </c>
      <c r="D202" s="7">
        <v>10835</v>
      </c>
      <c r="E202" s="1" t="s">
        <v>432</v>
      </c>
      <c r="F202" s="3">
        <f t="shared" ca="1" si="16"/>
        <v>4</v>
      </c>
      <c r="G20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Renovar</v>
      </c>
      <c r="H202" s="2">
        <v>42135</v>
      </c>
      <c r="I202" s="2">
        <v>42135</v>
      </c>
      <c r="J202" s="1" t="str">
        <f>IF(Tabela14[[#This Row],[Data de Contratação2]]=Tabela14[[#This Row],[Da de Renovação]],"Em curso",IF(Tabela14[[#This Row],[Duração]]=4,"Renovar","Em curso"))</f>
        <v>Em curso</v>
      </c>
      <c r="K202" s="1" t="s">
        <v>6</v>
      </c>
      <c r="L202" s="1" t="str">
        <f t="shared" ca="1" si="17"/>
        <v>Averba</v>
      </c>
      <c r="M202" s="1" t="str">
        <f t="shared" ca="1" si="18"/>
        <v>Alterar</v>
      </c>
      <c r="N202" s="1" t="str">
        <f t="shared" ca="1" si="19"/>
        <v>Renovar</v>
      </c>
    </row>
    <row r="203" spans="1:14" x14ac:dyDescent="0.25">
      <c r="A203" s="1">
        <f t="shared" si="15"/>
        <v>198</v>
      </c>
      <c r="B203" s="1" t="s">
        <v>157</v>
      </c>
      <c r="C203" s="1" t="s">
        <v>403</v>
      </c>
      <c r="D203" s="7">
        <v>10560</v>
      </c>
      <c r="E203" s="1" t="s">
        <v>432</v>
      </c>
      <c r="F203" s="3">
        <f t="shared" ca="1" si="16"/>
        <v>1</v>
      </c>
      <c r="G203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203" s="2">
        <v>42922</v>
      </c>
      <c r="I203" s="2">
        <v>42922</v>
      </c>
      <c r="J203" s="1" t="str">
        <f>IF(Tabela14[[#This Row],[Data de Contratação2]]=Tabela14[[#This Row],[Da de Renovação]],"Em curso",IF(Tabela14[[#This Row],[Duração]]=4,"Renovar","Em curso"))</f>
        <v>Em curso</v>
      </c>
      <c r="K203" s="1" t="s">
        <v>6</v>
      </c>
      <c r="L203" s="1" t="str">
        <f t="shared" ca="1" si="17"/>
        <v>Rescendir</v>
      </c>
      <c r="M203" s="1" t="str">
        <f t="shared" ca="1" si="18"/>
        <v>Aprovar</v>
      </c>
      <c r="N203" s="1" t="str">
        <f t="shared" ca="1" si="19"/>
        <v>Rescendir</v>
      </c>
    </row>
    <row r="204" spans="1:14" x14ac:dyDescent="0.25">
      <c r="A204" s="1">
        <f t="shared" si="15"/>
        <v>199</v>
      </c>
      <c r="B204" s="1" t="s">
        <v>158</v>
      </c>
      <c r="C204" s="1" t="s">
        <v>404</v>
      </c>
      <c r="D204" s="7">
        <v>5940</v>
      </c>
      <c r="E204" s="1" t="s">
        <v>428</v>
      </c>
      <c r="F204" s="3">
        <f t="shared" ca="1" si="16"/>
        <v>4</v>
      </c>
      <c r="G204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204" s="2">
        <v>41865</v>
      </c>
      <c r="I204" s="2">
        <v>41865</v>
      </c>
      <c r="J204" s="1" t="str">
        <f>IF(Tabela14[[#This Row],[Data de Contratação2]]=Tabela14[[#This Row],[Da de Renovação]],"Em curso",IF(Tabela14[[#This Row],[Duração]]=4,"Renovar","Em curso"))</f>
        <v>Em curso</v>
      </c>
      <c r="K204" s="1" t="s">
        <v>6</v>
      </c>
      <c r="L204" s="1" t="str">
        <f t="shared" ca="1" si="17"/>
        <v>Rescendir</v>
      </c>
      <c r="M204" s="1" t="str">
        <f t="shared" ca="1" si="18"/>
        <v>Renovar</v>
      </c>
      <c r="N204" s="1" t="str">
        <f t="shared" ca="1" si="19"/>
        <v>Alterar</v>
      </c>
    </row>
    <row r="205" spans="1:14" x14ac:dyDescent="0.25">
      <c r="A205" s="1">
        <f t="shared" si="15"/>
        <v>200</v>
      </c>
      <c r="B205" s="1" t="s">
        <v>200</v>
      </c>
      <c r="C205" s="1" t="s">
        <v>405</v>
      </c>
      <c r="D205" s="7">
        <v>7689</v>
      </c>
      <c r="E205" s="1" t="s">
        <v>433</v>
      </c>
      <c r="F205" s="3">
        <f t="shared" ca="1" si="16"/>
        <v>3</v>
      </c>
      <c r="G205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205" s="2">
        <v>41029</v>
      </c>
      <c r="I205" s="2">
        <v>41029</v>
      </c>
      <c r="J205" s="1" t="str">
        <f>IF(Tabela14[[#This Row],[Data de Contratação2]]=Tabela14[[#This Row],[Da de Renovação]],"Em curso",IF(Tabela14[[#This Row],[Duração]]=4,"Renovar","Em curso"))</f>
        <v>Em curso</v>
      </c>
      <c r="K205" s="1" t="s">
        <v>5</v>
      </c>
      <c r="L205" s="1" t="str">
        <f t="shared" ca="1" si="17"/>
        <v>Valor alto</v>
      </c>
      <c r="M205" s="1" t="str">
        <f t="shared" ca="1" si="18"/>
        <v>Renovar</v>
      </c>
      <c r="N205" s="1" t="str">
        <f t="shared" ca="1" si="19"/>
        <v>Renovar</v>
      </c>
    </row>
    <row r="206" spans="1:14" x14ac:dyDescent="0.25">
      <c r="A206" s="1">
        <f t="shared" si="15"/>
        <v>201</v>
      </c>
      <c r="B206" s="1" t="s">
        <v>201</v>
      </c>
      <c r="C206" s="1" t="s">
        <v>406</v>
      </c>
      <c r="D206" s="7">
        <v>7689</v>
      </c>
      <c r="E206" s="1" t="s">
        <v>433</v>
      </c>
      <c r="F206" s="3">
        <f t="shared" ca="1" si="16"/>
        <v>1</v>
      </c>
      <c r="G206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206" s="2">
        <v>43146</v>
      </c>
      <c r="I206" s="2">
        <v>43146</v>
      </c>
      <c r="J206" s="1" t="str">
        <f>IF(Tabela14[[#This Row],[Data de Contratação2]]=Tabela14[[#This Row],[Da de Renovação]],"Em curso",IF(Tabela14[[#This Row],[Duração]]=4,"Renovar","Em curso"))</f>
        <v>Em curso</v>
      </c>
      <c r="K206" s="1" t="s">
        <v>5</v>
      </c>
      <c r="L206" s="1" t="str">
        <f t="shared" ca="1" si="17"/>
        <v>Alterar</v>
      </c>
      <c r="M206" s="1" t="str">
        <f t="shared" ca="1" si="18"/>
        <v>Renovar</v>
      </c>
      <c r="N206" s="1" t="str">
        <f t="shared" ca="1" si="19"/>
        <v>Contratar</v>
      </c>
    </row>
    <row r="207" spans="1:14" x14ac:dyDescent="0.25">
      <c r="A207" s="1">
        <f t="shared" si="15"/>
        <v>202</v>
      </c>
      <c r="B207" s="1" t="s">
        <v>202</v>
      </c>
      <c r="C207" s="1" t="s">
        <v>407</v>
      </c>
      <c r="D207" s="7">
        <v>13486</v>
      </c>
      <c r="E207" s="1" t="s">
        <v>428</v>
      </c>
      <c r="F207" s="3">
        <f t="shared" ca="1" si="16"/>
        <v>4</v>
      </c>
      <c r="G207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207" s="2">
        <v>43646</v>
      </c>
      <c r="I207" s="2">
        <v>43646</v>
      </c>
      <c r="J207" s="1" t="str">
        <f>IF(Tabela14[[#This Row],[Data de Contratação2]]=Tabela14[[#This Row],[Da de Renovação]],"Em curso",IF(Tabela14[[#This Row],[Duração]]=4,"Renovar","Em curso"))</f>
        <v>Em curso</v>
      </c>
      <c r="K207" s="1" t="s">
        <v>6</v>
      </c>
      <c r="L207" s="1" t="str">
        <f t="shared" ca="1" si="17"/>
        <v>Alterar</v>
      </c>
      <c r="M207" s="1" t="str">
        <f t="shared" ca="1" si="18"/>
        <v>Aprovar</v>
      </c>
      <c r="N207" s="1" t="str">
        <f t="shared" ca="1" si="19"/>
        <v>Alterar</v>
      </c>
    </row>
    <row r="208" spans="1:14" x14ac:dyDescent="0.25">
      <c r="A208" s="1">
        <f t="shared" si="15"/>
        <v>203</v>
      </c>
      <c r="B208" s="1" t="s">
        <v>203</v>
      </c>
      <c r="C208" s="1" t="s">
        <v>408</v>
      </c>
      <c r="D208" s="7">
        <v>11902</v>
      </c>
      <c r="E208" s="1" t="s">
        <v>432</v>
      </c>
      <c r="F208" s="3">
        <f t="shared" ca="1" si="16"/>
        <v>2</v>
      </c>
      <c r="G208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2 anos</v>
      </c>
      <c r="H208" s="2">
        <v>43018</v>
      </c>
      <c r="I208" s="2">
        <v>43018</v>
      </c>
      <c r="J208" s="1" t="str">
        <f>IF(Tabela14[[#This Row],[Data de Contratação2]]=Tabela14[[#This Row],[Da de Renovação]],"Em curso",IF(Tabela14[[#This Row],[Duração]]=4,"Renovar","Em curso"))</f>
        <v>Em curso</v>
      </c>
      <c r="K208" s="1" t="s">
        <v>6</v>
      </c>
      <c r="L208" s="1" t="str">
        <f t="shared" ca="1" si="17"/>
        <v>Alterar</v>
      </c>
      <c r="M208" s="1" t="str">
        <f t="shared" ca="1" si="18"/>
        <v>Aprovar</v>
      </c>
      <c r="N208" s="1" t="str">
        <f t="shared" ca="1" si="19"/>
        <v>Contratar</v>
      </c>
    </row>
    <row r="209" spans="1:14" x14ac:dyDescent="0.25">
      <c r="A209" s="1">
        <f t="shared" si="15"/>
        <v>204</v>
      </c>
      <c r="B209" s="1" t="s">
        <v>159</v>
      </c>
      <c r="C209" s="1" t="s">
        <v>409</v>
      </c>
      <c r="D209" s="7">
        <v>12364</v>
      </c>
      <c r="E209" s="1" t="s">
        <v>432</v>
      </c>
      <c r="F209" s="3">
        <f t="shared" ca="1" si="16"/>
        <v>4</v>
      </c>
      <c r="G209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Rescendir</v>
      </c>
      <c r="H209" s="2">
        <v>43018</v>
      </c>
      <c r="I209" s="2">
        <v>43018</v>
      </c>
      <c r="J209" s="1" t="str">
        <f>IF(Tabela14[[#This Row],[Data de Contratação2]]=Tabela14[[#This Row],[Da de Renovação]],"Em curso",IF(Tabela14[[#This Row],[Duração]]=4,"Renovar","Em curso"))</f>
        <v>Em curso</v>
      </c>
      <c r="K209" s="1" t="s">
        <v>6</v>
      </c>
      <c r="L209" s="1" t="str">
        <f t="shared" ca="1" si="17"/>
        <v>Rescendir</v>
      </c>
      <c r="M209" s="1" t="str">
        <f t="shared" ca="1" si="18"/>
        <v>Alterar</v>
      </c>
      <c r="N209" s="1" t="str">
        <f t="shared" ca="1" si="19"/>
        <v>Rescendir</v>
      </c>
    </row>
    <row r="210" spans="1:14" x14ac:dyDescent="0.25">
      <c r="A210" s="1">
        <f t="shared" si="15"/>
        <v>205</v>
      </c>
      <c r="B210" s="1" t="s">
        <v>160</v>
      </c>
      <c r="C210" s="1" t="s">
        <v>410</v>
      </c>
      <c r="D210" s="7">
        <v>11836</v>
      </c>
      <c r="E210" s="1" t="s">
        <v>432</v>
      </c>
      <c r="F210" s="3">
        <f t="shared" ca="1" si="16"/>
        <v>3</v>
      </c>
      <c r="G210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1 ano</v>
      </c>
      <c r="H210" s="2">
        <v>43646</v>
      </c>
      <c r="I210" s="2">
        <v>43646</v>
      </c>
      <c r="J210" s="1" t="str">
        <f>IF(Tabela14[[#This Row],[Data de Contratação2]]=Tabela14[[#This Row],[Da de Renovação]],"Em curso",IF(Tabela14[[#This Row],[Duração]]=4,"Renovar","Em curso"))</f>
        <v>Em curso</v>
      </c>
      <c r="K210" s="1" t="s">
        <v>6</v>
      </c>
      <c r="L210" s="1" t="str">
        <f t="shared" ca="1" si="17"/>
        <v>Alterar</v>
      </c>
      <c r="M210" s="1" t="str">
        <f t="shared" ca="1" si="18"/>
        <v>Aprovar</v>
      </c>
      <c r="N210" s="1" t="str">
        <f t="shared" ca="1" si="19"/>
        <v>Contratar</v>
      </c>
    </row>
    <row r="211" spans="1:14" x14ac:dyDescent="0.25">
      <c r="A211" s="1">
        <f t="shared" si="15"/>
        <v>206</v>
      </c>
      <c r="B211" s="1" t="s">
        <v>161</v>
      </c>
      <c r="C211" s="1" t="s">
        <v>411</v>
      </c>
      <c r="D211" s="7">
        <v>11660</v>
      </c>
      <c r="E211" s="1" t="s">
        <v>432</v>
      </c>
      <c r="F211" s="3">
        <f t="shared" ca="1" si="16"/>
        <v>4</v>
      </c>
      <c r="G211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Alterar</v>
      </c>
      <c r="H211" s="2">
        <v>43018</v>
      </c>
      <c r="I211" s="2">
        <v>43018</v>
      </c>
      <c r="J211" s="1" t="str">
        <f>IF(Tabela14[[#This Row],[Data de Contratação2]]=Tabela14[[#This Row],[Da de Renovação]],"Em curso",IF(Tabela14[[#This Row],[Duração]]=4,"Renovar","Em curso"))</f>
        <v>Em curso</v>
      </c>
      <c r="K211" s="1" t="s">
        <v>6</v>
      </c>
      <c r="L211" s="1" t="str">
        <f t="shared" ca="1" si="17"/>
        <v>Alterar</v>
      </c>
      <c r="M211" s="1" t="str">
        <f t="shared" ca="1" si="18"/>
        <v>Renovar</v>
      </c>
      <c r="N211" s="1" t="str">
        <f t="shared" ca="1" si="19"/>
        <v>Alterar</v>
      </c>
    </row>
    <row r="212" spans="1:14" x14ac:dyDescent="0.25">
      <c r="A212" s="1">
        <f t="shared" si="15"/>
        <v>207</v>
      </c>
      <c r="B212" s="1" t="s">
        <v>204</v>
      </c>
      <c r="C212" s="1" t="s">
        <v>412</v>
      </c>
      <c r="D212" s="7">
        <v>12144</v>
      </c>
      <c r="E212" s="1" t="s">
        <v>432</v>
      </c>
      <c r="F212" s="3">
        <f t="shared" ca="1" si="16"/>
        <v>1</v>
      </c>
      <c r="G212" s="3" t="str">
        <f ca="1">IF(Tabela14[[#This Row],[Duração]]=1,"Faltão 3 anos",IF(Tabela14[[#This Row],[Duração]]=2,"Faltão 2 anos", IF(Tabela14[[#This Row],[Duração]]=3,"Faltão 1 ano",IF(Tabela14[[#This Row],[Duração]]=4,Tabela14[[#This Row],[Parcer da área]]))))</f>
        <v>Faltão 3 anos</v>
      </c>
      <c r="H212" s="2">
        <v>43188</v>
      </c>
      <c r="I212" s="2">
        <v>43188</v>
      </c>
      <c r="J212" s="1" t="str">
        <f>IF(Tabela14[[#This Row],[Data de Contratação2]]=Tabela14[[#This Row],[Da de Renovação]],"Em curso",IF(Tabela14[[#This Row],[Duração]]=4,"Renovar","Em curso"))</f>
        <v>Em curso</v>
      </c>
      <c r="K212" s="1" t="s">
        <v>6</v>
      </c>
      <c r="L212" s="1" t="str">
        <f t="shared" ca="1" si="17"/>
        <v>Valor alto</v>
      </c>
      <c r="M212" s="1" t="str">
        <f t="shared" ca="1" si="18"/>
        <v>Aprovar</v>
      </c>
      <c r="N212" s="1" t="str">
        <f t="shared" ca="1" si="19"/>
        <v>Rescendir</v>
      </c>
    </row>
  </sheetData>
  <dataValidations count="1">
    <dataValidation type="list" allowBlank="1" showInputMessage="1" showErrorMessage="1" sqref="B2">
      <formula1>$B$6:$B$212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7" zoomScale="130" zoomScaleNormal="130" workbookViewId="0">
      <selection activeCell="B9" sqref="B9"/>
    </sheetView>
  </sheetViews>
  <sheetFormatPr defaultRowHeight="15" x14ac:dyDescent="0.25"/>
  <cols>
    <col min="1" max="1" width="24.28515625" bestFit="1" customWidth="1"/>
    <col min="2" max="2" width="9.140625" customWidth="1"/>
    <col min="3" max="3" width="6.28515625" customWidth="1"/>
    <col min="4" max="4" width="5.7109375" customWidth="1"/>
    <col min="5" max="5" width="9.5703125" customWidth="1"/>
    <col min="6" max="6" width="12.140625" customWidth="1"/>
    <col min="7" max="11" width="19.5703125" customWidth="1"/>
    <col min="12" max="13" width="10.7109375" customWidth="1"/>
    <col min="14" max="15" width="7.85546875" customWidth="1"/>
    <col min="16" max="16" width="4.5703125" customWidth="1"/>
    <col min="17" max="17" width="7.85546875" customWidth="1"/>
    <col min="18" max="18" width="4.85546875" customWidth="1"/>
    <col min="19" max="19" width="4" customWidth="1"/>
    <col min="20" max="20" width="7.85546875" customWidth="1"/>
    <col min="21" max="21" width="4.42578125" customWidth="1"/>
    <col min="22" max="22" width="4.28515625" customWidth="1"/>
    <col min="23" max="23" width="7.85546875" customWidth="1"/>
    <col min="24" max="24" width="4.5703125" customWidth="1"/>
    <col min="25" max="26" width="7.85546875" customWidth="1"/>
    <col min="27" max="27" width="4.85546875" customWidth="1"/>
    <col min="28" max="28" width="7.85546875" customWidth="1"/>
    <col min="29" max="29" width="4.28515625" customWidth="1"/>
    <col min="30" max="30" width="7.85546875" customWidth="1"/>
    <col min="31" max="31" width="4.28515625" customWidth="1"/>
    <col min="32" max="32" width="7.85546875" customWidth="1"/>
    <col min="33" max="33" width="4" customWidth="1"/>
    <col min="34" max="34" width="7.85546875" customWidth="1"/>
    <col min="35" max="35" width="4.28515625" customWidth="1"/>
    <col min="36" max="37" width="7.85546875" customWidth="1"/>
    <col min="38" max="38" width="4.5703125" customWidth="1"/>
    <col min="39" max="39" width="7.85546875" customWidth="1"/>
    <col min="40" max="40" width="4.85546875" customWidth="1"/>
    <col min="41" max="41" width="7.85546875" customWidth="1"/>
    <col min="42" max="42" width="4.42578125" customWidth="1"/>
    <col min="43" max="43" width="4.28515625" customWidth="1"/>
    <col min="44" max="44" width="7.85546875" customWidth="1"/>
    <col min="45" max="45" width="4.28515625" customWidth="1"/>
    <col min="46" max="46" width="7.85546875" customWidth="1"/>
    <col min="47" max="47" width="4.28515625" customWidth="1"/>
    <col min="48" max="48" width="4.5703125" customWidth="1"/>
    <col min="49" max="49" width="7.85546875" customWidth="1"/>
    <col min="50" max="50" width="4.85546875" customWidth="1"/>
    <col min="51" max="51" width="7.85546875" customWidth="1"/>
    <col min="52" max="52" width="4.28515625" customWidth="1"/>
    <col min="53" max="53" width="7.85546875" customWidth="1"/>
    <col min="54" max="54" width="4.28515625" customWidth="1"/>
    <col min="55" max="55" width="7.85546875" customWidth="1"/>
    <col min="56" max="56" width="4.85546875" customWidth="1"/>
    <col min="57" max="57" width="4" customWidth="1"/>
    <col min="58" max="58" width="7.85546875" customWidth="1"/>
    <col min="59" max="59" width="4.42578125" customWidth="1"/>
    <col min="60" max="60" width="10.7109375" customWidth="1"/>
    <col min="61" max="88" width="8.7109375" customWidth="1"/>
    <col min="89" max="89" width="10.7109375" bestFit="1" customWidth="1"/>
  </cols>
  <sheetData>
    <row r="1" spans="1:7" x14ac:dyDescent="0.25">
      <c r="A1" s="13" t="s">
        <v>439</v>
      </c>
      <c r="B1" t="s">
        <v>446</v>
      </c>
    </row>
    <row r="3" spans="1:7" x14ac:dyDescent="0.25">
      <c r="A3" s="13" t="s">
        <v>444</v>
      </c>
    </row>
    <row r="4" spans="1:7" x14ac:dyDescent="0.25">
      <c r="A4" s="14" t="s">
        <v>415</v>
      </c>
    </row>
    <row r="5" spans="1:7" x14ac:dyDescent="0.25">
      <c r="A5" s="14" t="s">
        <v>416</v>
      </c>
    </row>
    <row r="6" spans="1:7" x14ac:dyDescent="0.25">
      <c r="A6" s="14" t="s">
        <v>417</v>
      </c>
      <c r="G6" s="15"/>
    </row>
    <row r="7" spans="1:7" x14ac:dyDescent="0.25">
      <c r="A7" s="14" t="s">
        <v>427</v>
      </c>
    </row>
    <row r="8" spans="1:7" x14ac:dyDescent="0.25">
      <c r="A8" s="14" t="s">
        <v>430</v>
      </c>
    </row>
    <row r="9" spans="1:7" x14ac:dyDescent="0.25">
      <c r="A9" s="14" t="s">
        <v>431</v>
      </c>
    </row>
    <row r="10" spans="1:7" x14ac:dyDescent="0.25">
      <c r="A10" s="14" t="s">
        <v>426</v>
      </c>
    </row>
    <row r="11" spans="1:7" x14ac:dyDescent="0.25">
      <c r="A11" s="14" t="s">
        <v>425</v>
      </c>
    </row>
    <row r="12" spans="1:7" x14ac:dyDescent="0.25">
      <c r="A12" s="14" t="s">
        <v>433</v>
      </c>
    </row>
    <row r="13" spans="1:7" x14ac:dyDescent="0.25">
      <c r="A13" s="14" t="s">
        <v>420</v>
      </c>
    </row>
    <row r="14" spans="1:7" x14ac:dyDescent="0.25">
      <c r="A14" s="14" t="s">
        <v>419</v>
      </c>
    </row>
    <row r="15" spans="1:7" x14ac:dyDescent="0.25">
      <c r="A15" s="14" t="s">
        <v>418</v>
      </c>
    </row>
    <row r="16" spans="1:7" x14ac:dyDescent="0.25">
      <c r="A16" s="14" t="s">
        <v>429</v>
      </c>
    </row>
    <row r="17" spans="1:1" x14ac:dyDescent="0.25">
      <c r="A17" s="14" t="s">
        <v>432</v>
      </c>
    </row>
    <row r="18" spans="1:1" x14ac:dyDescent="0.25">
      <c r="A18" s="14" t="s">
        <v>424</v>
      </c>
    </row>
    <row r="19" spans="1:1" x14ac:dyDescent="0.25">
      <c r="A19" s="14" t="s">
        <v>423</v>
      </c>
    </row>
    <row r="20" spans="1:1" x14ac:dyDescent="0.25">
      <c r="A20" s="14" t="s">
        <v>421</v>
      </c>
    </row>
    <row r="21" spans="1:1" x14ac:dyDescent="0.25">
      <c r="A21" s="14" t="s">
        <v>428</v>
      </c>
    </row>
    <row r="22" spans="1:1" x14ac:dyDescent="0.25">
      <c r="A22" s="14" t="s">
        <v>414</v>
      </c>
    </row>
    <row r="23" spans="1:1" x14ac:dyDescent="0.25">
      <c r="A23" s="14" t="s">
        <v>422</v>
      </c>
    </row>
    <row r="24" spans="1:1" x14ac:dyDescent="0.25">
      <c r="A24" s="14" t="s">
        <v>445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79137-9C6D-42C3-AE38-7088CBE157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F7190-5077-473B-8501-4E3D87611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integrantes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Aniceto José Jolela</cp:lastModifiedBy>
  <dcterms:created xsi:type="dcterms:W3CDTF">2020-04-23T15:06:46Z</dcterms:created>
  <dcterms:modified xsi:type="dcterms:W3CDTF">2026-04-18T17:16:45Z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