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ther\Documents\Teach\Excel\16-18\"/>
    </mc:Choice>
  </mc:AlternateContent>
  <bookViews>
    <workbookView xWindow="0" yWindow="0" windowWidth="19035" windowHeight="6690"/>
  </bookViews>
  <sheets>
    <sheet name="Fórmulas básicas" sheetId="1" r:id="rId1"/>
    <sheet name="Rascunh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L3" i="1"/>
  <c r="L6" i="1"/>
  <c r="L5" i="1"/>
  <c r="G13" i="1"/>
  <c r="G14" i="1"/>
  <c r="G5" i="1"/>
  <c r="G7" i="1"/>
  <c r="G6" i="1"/>
  <c r="H12" i="1"/>
  <c r="H11" i="1"/>
  <c r="H9" i="1"/>
  <c r="H6" i="1"/>
  <c r="H8" i="1"/>
  <c r="H4" i="1"/>
  <c r="H7" i="1"/>
  <c r="H5" i="1"/>
  <c r="H13" i="1"/>
  <c r="H10" i="1"/>
  <c r="G12" i="1"/>
  <c r="G11" i="1"/>
  <c r="G9" i="1"/>
  <c r="G8" i="1"/>
  <c r="G4" i="1"/>
  <c r="G10" i="1"/>
  <c r="L13" i="1" l="1"/>
  <c r="L11" i="1"/>
  <c r="L10" i="1"/>
  <c r="L12" i="1"/>
  <c r="F5" i="1"/>
  <c r="F6" i="1" s="1"/>
  <c r="F7" i="1" l="1"/>
  <c r="F8" i="1" s="1"/>
  <c r="F9" i="1" s="1"/>
  <c r="F10" i="1" s="1"/>
  <c r="F11" i="1" s="1"/>
  <c r="F12" i="1" s="1"/>
  <c r="F13" i="1" s="1"/>
  <c r="F14" i="1" s="1"/>
  <c r="L14" i="1"/>
  <c r="L7" i="1"/>
  <c r="L8" i="1" l="1"/>
  <c r="L9" i="1"/>
</calcChain>
</file>

<file path=xl/sharedStrings.xml><?xml version="1.0" encoding="utf-8"?>
<sst xmlns="http://schemas.openxmlformats.org/spreadsheetml/2006/main" count="41" uniqueCount="30">
  <si>
    <t>Nº</t>
  </si>
  <si>
    <t>NOME</t>
  </si>
  <si>
    <t>Miguel da silva</t>
  </si>
  <si>
    <t>Ronaldo</t>
  </si>
  <si>
    <t>vila</t>
  </si>
  <si>
    <t>Paulo Da Sílva</t>
  </si>
  <si>
    <t>lucas</t>
  </si>
  <si>
    <t>Jaime da Conceição</t>
  </si>
  <si>
    <t>maria Guilherme</t>
  </si>
  <si>
    <t>Luis dias</t>
  </si>
  <si>
    <t>m</t>
  </si>
  <si>
    <t>f</t>
  </si>
  <si>
    <t>SEXO</t>
  </si>
  <si>
    <t>IDADE</t>
  </si>
  <si>
    <t>Joao rocha</t>
  </si>
  <si>
    <t>Total</t>
  </si>
  <si>
    <t>Min</t>
  </si>
  <si>
    <t>Max</t>
  </si>
  <si>
    <t>Media</t>
  </si>
  <si>
    <t>Contar nº ceclula</t>
  </si>
  <si>
    <t>Contar ceclulas vazias</t>
  </si>
  <si>
    <t>Contar celulas com valores</t>
  </si>
  <si>
    <t>sIlva Marculino Piedoso</t>
  </si>
  <si>
    <t>Idade de todos os homens</t>
  </si>
  <si>
    <t>Idade de todas as mulheres</t>
  </si>
  <si>
    <t>Qtd. Homens</t>
  </si>
  <si>
    <t>Qtd. Mulheres</t>
  </si>
  <si>
    <t>TABELA DOS FUNCIONÁRIOS</t>
  </si>
  <si>
    <t>Total de celulas com valores</t>
  </si>
  <si>
    <t>anlia julias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</si>
</sst>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quotePrefix="1"/>
    <xf numFmtId="0" fontId="1" fillId="0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Fill="1" applyBorder="1"/>
    <xf numFmtId="0" fontId="0" fillId="0" borderId="2" xfId="0" applyBorder="1"/>
    <xf numFmtId="2" fontId="0" fillId="0" borderId="3" xfId="0" applyNumberFormat="1" applyBorder="1"/>
    <xf numFmtId="0" fontId="2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M25"/>
  <sheetViews>
    <sheetView tabSelected="1" workbookViewId="0">
      <selection activeCell="L6" sqref="L6"/>
    </sheetView>
  </sheetViews>
  <sheetFormatPr defaultRowHeight="15" x14ac:dyDescent="0.25"/>
  <cols>
    <col min="2" max="2" width="20.5703125" bestFit="1" customWidth="1"/>
    <col min="3" max="3" width="18" bestFit="1" customWidth="1"/>
    <col min="7" max="7" width="26.140625" bestFit="1" customWidth="1"/>
    <col min="11" max="11" width="25.7109375" bestFit="1" customWidth="1"/>
  </cols>
  <sheetData>
    <row r="2" spans="6:13" ht="21" x14ac:dyDescent="0.35">
      <c r="F2" s="9" t="s">
        <v>27</v>
      </c>
      <c r="G2" s="10"/>
      <c r="H2" s="10"/>
      <c r="I2" s="11"/>
    </row>
    <row r="3" spans="6:13" x14ac:dyDescent="0.25">
      <c r="F3" s="2" t="s">
        <v>0</v>
      </c>
      <c r="G3" s="2" t="s">
        <v>1</v>
      </c>
      <c r="H3" s="2" t="s">
        <v>12</v>
      </c>
      <c r="I3" s="2" t="s">
        <v>13</v>
      </c>
      <c r="K3" s="4" t="s">
        <v>15</v>
      </c>
      <c r="L3" s="7">
        <f>SUM(I4:I14)</f>
        <v>302</v>
      </c>
    </row>
    <row r="4" spans="6:13" x14ac:dyDescent="0.25">
      <c r="F4" s="1">
        <v>1</v>
      </c>
      <c r="G4" s="1" t="str">
        <f>UPPER(Rascunho!C11)</f>
        <v>LUCAS</v>
      </c>
      <c r="H4" s="1" t="str">
        <f>UPPER(Rascunho!E11)</f>
        <v>M</v>
      </c>
      <c r="I4" s="1">
        <v>71</v>
      </c>
      <c r="K4" s="1" t="s">
        <v>16</v>
      </c>
      <c r="L4" s="1">
        <f>SMALL(I4:I14,M4)</f>
        <v>10</v>
      </c>
      <c r="M4" s="1">
        <v>2</v>
      </c>
    </row>
    <row r="5" spans="6:13" x14ac:dyDescent="0.25">
      <c r="F5" s="1">
        <f t="shared" ref="F5:F14" si="0">$F4+1</f>
        <v>2</v>
      </c>
      <c r="G5" s="1" t="str">
        <f>UPPER(Rascunho!C13)</f>
        <v>MARIA GUILHERME</v>
      </c>
      <c r="H5" s="1" t="str">
        <f>UPPER(Rascunho!E13)</f>
        <v>F</v>
      </c>
      <c r="I5" s="1">
        <v>44</v>
      </c>
      <c r="K5" s="1" t="s">
        <v>17</v>
      </c>
      <c r="L5" s="1">
        <f>LARGE(I4:I14,M5)</f>
        <v>44</v>
      </c>
      <c r="M5" s="1">
        <v>2</v>
      </c>
    </row>
    <row r="6" spans="6:13" x14ac:dyDescent="0.25">
      <c r="F6" s="1">
        <f t="shared" si="0"/>
        <v>3</v>
      </c>
      <c r="G6" s="1" t="str">
        <f>UPPER(Rascunho!C9)</f>
        <v>VILA</v>
      </c>
      <c r="H6" s="1" t="str">
        <f>UPPER(Rascunho!E9)</f>
        <v>M</v>
      </c>
      <c r="I6" s="1">
        <v>43</v>
      </c>
      <c r="K6" s="1" t="s">
        <v>18</v>
      </c>
      <c r="L6" s="8">
        <f>AVERAGE(I4:I14)</f>
        <v>30.2</v>
      </c>
    </row>
    <row r="7" spans="6:13" x14ac:dyDescent="0.25">
      <c r="F7" s="1">
        <f t="shared" si="0"/>
        <v>4</v>
      </c>
      <c r="G7" s="1" t="str">
        <f>UPPER(Rascunho!C12)</f>
        <v>JAIME DA CONCEIÇÃO</v>
      </c>
      <c r="H7" s="1" t="str">
        <f>UPPER(Rascunho!E12)</f>
        <v>M</v>
      </c>
      <c r="I7" s="1">
        <v>35</v>
      </c>
      <c r="K7" s="1" t="s">
        <v>19</v>
      </c>
      <c r="L7" s="1">
        <f>COUNT(F4:I13)</f>
        <v>20</v>
      </c>
    </row>
    <row r="8" spans="6:13" x14ac:dyDescent="0.25">
      <c r="F8" s="1">
        <f t="shared" si="0"/>
        <v>5</v>
      </c>
      <c r="G8" s="1" t="str">
        <f>UPPER(Rascunho!C10)</f>
        <v>PAULO DA SÍLVA</v>
      </c>
      <c r="H8" s="1" t="str">
        <f>UPPER(Rascunho!E10)</f>
        <v>M</v>
      </c>
      <c r="I8" s="1">
        <v>31</v>
      </c>
      <c r="K8" s="1" t="s">
        <v>20</v>
      </c>
      <c r="L8" s="1">
        <f>COUNTBLANK(F4:I13)</f>
        <v>0</v>
      </c>
    </row>
    <row r="9" spans="6:13" x14ac:dyDescent="0.25">
      <c r="F9" s="1">
        <f t="shared" si="0"/>
        <v>6</v>
      </c>
      <c r="G9" s="1" t="str">
        <f>UPPER(Rascunho!C8)</f>
        <v>RONALDO</v>
      </c>
      <c r="H9" s="1" t="str">
        <f>UPPER(Rascunho!E8)</f>
        <v>M</v>
      </c>
      <c r="I9" s="1">
        <v>29</v>
      </c>
      <c r="K9" s="1" t="s">
        <v>21</v>
      </c>
      <c r="L9" s="1">
        <f>COUNTA(F4:I13)</f>
        <v>40</v>
      </c>
    </row>
    <row r="10" spans="6:13" x14ac:dyDescent="0.25">
      <c r="F10" s="1">
        <f t="shared" si="0"/>
        <v>7</v>
      </c>
      <c r="G10" s="1" t="str">
        <f>UPPER(Rascunho!C5)</f>
        <v>MIGUEL DA SILVA</v>
      </c>
      <c r="H10" s="1" t="str">
        <f>UPPER(Rascunho!E5)</f>
        <v>M</v>
      </c>
      <c r="I10" s="1">
        <v>19</v>
      </c>
      <c r="K10" s="6" t="s">
        <v>24</v>
      </c>
      <c r="L10" s="1">
        <f>SUMIF(H4:H13,"f",I4:I13)</f>
        <v>71</v>
      </c>
    </row>
    <row r="11" spans="6:13" x14ac:dyDescent="0.25">
      <c r="F11" s="1">
        <f t="shared" si="0"/>
        <v>8</v>
      </c>
      <c r="G11" s="1" t="str">
        <f>UPPER(Rascunho!C7)</f>
        <v>SILVA MARCULINO PIEDOSO</v>
      </c>
      <c r="H11" s="1" t="str">
        <f>UPPER(Rascunho!E7)</f>
        <v>F</v>
      </c>
      <c r="I11" s="1">
        <v>17</v>
      </c>
      <c r="K11" s="6" t="s">
        <v>23</v>
      </c>
      <c r="L11" s="1">
        <f>SUMIF(H4:H13,"m",I4:I13)</f>
        <v>231</v>
      </c>
    </row>
    <row r="12" spans="6:13" x14ac:dyDescent="0.25">
      <c r="F12" s="1">
        <f t="shared" si="0"/>
        <v>9</v>
      </c>
      <c r="G12" s="1" t="str">
        <f>UPPER(Rascunho!C6)</f>
        <v>JOAO ROCHA</v>
      </c>
      <c r="H12" s="1" t="str">
        <f>UPPER(Rascunho!E6)</f>
        <v>F</v>
      </c>
      <c r="I12" s="1">
        <v>10</v>
      </c>
      <c r="K12" s="6" t="s">
        <v>25</v>
      </c>
      <c r="L12" s="1">
        <f>COUNTIF(H4:H13,"m")</f>
        <v>7</v>
      </c>
    </row>
    <row r="13" spans="6:13" x14ac:dyDescent="0.25">
      <c r="F13" s="1">
        <f t="shared" si="0"/>
        <v>10</v>
      </c>
      <c r="G13" s="1" t="str">
        <f>UPPER(Rascunho!C14)</f>
        <v>ANLIA JULIAS</v>
      </c>
      <c r="H13" s="1" t="str">
        <f>UPPER(Rascunho!E15)</f>
        <v>M</v>
      </c>
      <c r="I13" s="1">
        <v>3</v>
      </c>
      <c r="K13" s="6" t="s">
        <v>26</v>
      </c>
      <c r="L13" s="1">
        <f>COUNTIF(H4:H13,"f")</f>
        <v>3</v>
      </c>
    </row>
    <row r="14" spans="6:13" x14ac:dyDescent="0.25">
      <c r="F14" s="1">
        <f t="shared" si="0"/>
        <v>11</v>
      </c>
      <c r="G14" s="1" t="str">
        <f>UPPER(Rascunho!C15)</f>
        <v>LUIS DIAS</v>
      </c>
      <c r="H14" s="1"/>
      <c r="I14" s="1"/>
      <c r="K14" s="6" t="s">
        <v>28</v>
      </c>
      <c r="L14" s="1">
        <f>COUNTA(F3:I13)</f>
        <v>44</v>
      </c>
    </row>
    <row r="16" spans="6:13" x14ac:dyDescent="0.25">
      <c r="I16" s="3"/>
    </row>
    <row r="17" spans="9:9" x14ac:dyDescent="0.25">
      <c r="I17" s="3"/>
    </row>
    <row r="18" spans="9:9" x14ac:dyDescent="0.25">
      <c r="I18" s="3"/>
    </row>
    <row r="19" spans="9:9" x14ac:dyDescent="0.25">
      <c r="I19" s="3"/>
    </row>
    <row r="20" spans="9:9" x14ac:dyDescent="0.25">
      <c r="I20" s="3"/>
    </row>
    <row r="21" spans="9:9" x14ac:dyDescent="0.25">
      <c r="I21" s="3"/>
    </row>
    <row r="22" spans="9:9" x14ac:dyDescent="0.25">
      <c r="I22" s="3"/>
    </row>
    <row r="23" spans="9:9" x14ac:dyDescent="0.25">
      <c r="I23" s="3"/>
    </row>
    <row r="24" spans="9:9" x14ac:dyDescent="0.25">
      <c r="I24" s="3"/>
    </row>
    <row r="25" spans="9:9" x14ac:dyDescent="0.25">
      <c r="I25" s="3"/>
    </row>
  </sheetData>
  <sortState ref="G4:I14">
    <sortCondition descending="1" ref="I4:I14"/>
  </sortState>
  <mergeCells count="1">
    <mergeCell ref="F2:I2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15"/>
  <sheetViews>
    <sheetView workbookViewId="0">
      <selection activeCell="C10" sqref="C10"/>
    </sheetView>
  </sheetViews>
  <sheetFormatPr defaultRowHeight="15" x14ac:dyDescent="0.25"/>
  <cols>
    <col min="3" max="3" width="22.28515625" bestFit="1" customWidth="1"/>
  </cols>
  <sheetData>
    <row r="4" spans="3:5" x14ac:dyDescent="0.25">
      <c r="C4" s="5" t="s">
        <v>1</v>
      </c>
      <c r="E4" s="2" t="s">
        <v>12</v>
      </c>
    </row>
    <row r="5" spans="3:5" x14ac:dyDescent="0.25">
      <c r="C5" s="1" t="s">
        <v>2</v>
      </c>
      <c r="E5" s="1" t="s">
        <v>10</v>
      </c>
    </row>
    <row r="6" spans="3:5" x14ac:dyDescent="0.25">
      <c r="C6" s="1" t="s">
        <v>14</v>
      </c>
      <c r="E6" s="1" t="s">
        <v>11</v>
      </c>
    </row>
    <row r="7" spans="3:5" x14ac:dyDescent="0.25">
      <c r="C7" s="1" t="s">
        <v>22</v>
      </c>
      <c r="E7" s="1" t="s">
        <v>11</v>
      </c>
    </row>
    <row r="8" spans="3:5" x14ac:dyDescent="0.25">
      <c r="C8" s="1" t="s">
        <v>3</v>
      </c>
      <c r="E8" s="1" t="s">
        <v>10</v>
      </c>
    </row>
    <row r="9" spans="3:5" x14ac:dyDescent="0.25">
      <c r="C9" s="1" t="s">
        <v>4</v>
      </c>
      <c r="E9" s="1" t="s">
        <v>10</v>
      </c>
    </row>
    <row r="10" spans="3:5" x14ac:dyDescent="0.25">
      <c r="C10" s="1" t="s">
        <v>5</v>
      </c>
      <c r="E10" s="1" t="s">
        <v>10</v>
      </c>
    </row>
    <row r="11" spans="3:5" x14ac:dyDescent="0.25">
      <c r="C11" s="1" t="s">
        <v>6</v>
      </c>
      <c r="E11" s="1" t="s">
        <v>10</v>
      </c>
    </row>
    <row r="12" spans="3:5" x14ac:dyDescent="0.25">
      <c r="C12" s="1" t="s">
        <v>7</v>
      </c>
      <c r="E12" s="1" t="s">
        <v>10</v>
      </c>
    </row>
    <row r="13" spans="3:5" x14ac:dyDescent="0.25">
      <c r="C13" s="1" t="s">
        <v>8</v>
      </c>
      <c r="E13" s="1" t="s">
        <v>11</v>
      </c>
    </row>
    <row r="14" spans="3:5" x14ac:dyDescent="0.25">
      <c r="C14" s="1" t="s">
        <v>29</v>
      </c>
      <c r="E14" s="1" t="s">
        <v>11</v>
      </c>
    </row>
    <row r="15" spans="3:5" x14ac:dyDescent="0.25">
      <c r="C15" s="1" t="s">
        <v>9</v>
      </c>
      <c r="E15" s="1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Fórmulas básicas</vt:lpstr>
      <vt:lpstr>Rascunho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Other</cp:lastModifiedBy>
  <dcterms:created xsi:type="dcterms:W3CDTF">2025-09-09T15:47:58Z</dcterms:created>
  <dcterms:modified xsi:type="dcterms:W3CDTF">2025-10-19T19:43:35Z</dcterms:modified>
</cp:coreProperties>
</file>